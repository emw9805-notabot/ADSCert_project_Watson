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elisabethwatson/Documents/GitHub/ADSCert_project_Watson/"/>
    </mc:Choice>
  </mc:AlternateContent>
  <xr:revisionPtr revIDLastSave="0" documentId="13_ncr:1_{7CF0A422-ACD6-844E-A804-8644A07AF2F2}" xr6:coauthVersionLast="47" xr6:coauthVersionMax="47" xr10:uidLastSave="{00000000-0000-0000-0000-000000000000}"/>
  <bookViews>
    <workbookView xWindow="160" yWindow="660" windowWidth="20240" windowHeight="22220" firstSheet="8" activeTab="10" xr2:uid="{8E6727E0-A9FB-8C40-9512-4989402EF6F9}"/>
  </bookViews>
  <sheets>
    <sheet name="README" sheetId="10" r:id="rId1"/>
    <sheet name="results" sheetId="11" r:id="rId2"/>
    <sheet name="Category words" sheetId="12" r:id="rId3"/>
    <sheet name="start and stop times" sheetId="13" r:id="rId4"/>
    <sheet name="Sheet3" sheetId="1" r:id="rId5"/>
    <sheet name="bondsJune7" sheetId="2" r:id="rId6"/>
    <sheet name="expected results" sheetId="3" r:id="rId7"/>
    <sheet name="allocationsJune7" sheetId="4" r:id="rId8"/>
    <sheet name="Sheet2" sheetId="5" r:id="rId9"/>
    <sheet name="simScoreMap" sheetId="14" r:id="rId10"/>
    <sheet name="Sheet4" sheetId="15" r:id="rId11"/>
    <sheet name="Project timeline" sheetId="6" r:id="rId12"/>
    <sheet name="ground_truth_train" sheetId="7" r:id="rId13"/>
    <sheet name="manual_baseline" sheetId="9" r:id="rId14"/>
    <sheet name="rpts failing to execute" sheetId="8" r:id="rId15"/>
  </sheets>
  <definedNames>
    <definedName name="_xlnm._FilterDatabase" localSheetId="7" hidden="1">allocationsJune7!$A$2:$AC$2280</definedName>
    <definedName name="_xlnm._FilterDatabase" localSheetId="5" hidden="1">bondsJune7!$B$13:$AI$299</definedName>
    <definedName name="_xlnm._FilterDatabase" localSheetId="13" hidden="1">manual_baseline!$C$1:$H$17</definedName>
    <definedName name="_xlnm._FilterDatabase" localSheetId="1" hidden="1">results!$A$1:$T$27</definedName>
    <definedName name="Slicer_eval_pop">#N/A</definedName>
    <definedName name="Slicer_is_in_allocs">#N/A</definedName>
    <definedName name="Slicer_out_of_scope">#N/A</definedName>
    <definedName name="Slicer_PDF_name">#N/A</definedName>
  </definedNames>
  <calcPr calcId="191029"/>
  <pivotCaches>
    <pivotCache cacheId="21" r:id="rId1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4:slicerCache r:id="rId19"/>
        <x14:slicerCache r:id="rId2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87" i="15" l="1"/>
  <c r="AB286" i="15"/>
  <c r="AB285" i="15"/>
  <c r="AB284" i="15"/>
  <c r="AB281" i="15"/>
  <c r="AB280" i="15"/>
  <c r="AB278" i="15"/>
  <c r="AB277" i="15"/>
  <c r="AB276" i="15"/>
  <c r="AB273" i="15"/>
  <c r="AB272" i="15"/>
  <c r="AB270" i="15"/>
  <c r="AB268" i="15"/>
  <c r="AB266" i="15"/>
  <c r="AB264" i="15"/>
  <c r="AB263" i="15"/>
  <c r="AB260" i="15"/>
  <c r="AB258" i="15"/>
  <c r="AB257" i="15"/>
  <c r="AB256" i="15"/>
  <c r="AB255" i="15"/>
  <c r="AB254" i="15"/>
  <c r="AB251" i="15"/>
  <c r="AB250" i="15"/>
  <c r="AB249" i="15"/>
  <c r="AB248" i="15"/>
  <c r="AB247" i="15"/>
  <c r="AB245" i="15"/>
  <c r="AB242" i="15"/>
  <c r="AB241" i="15"/>
  <c r="AB240" i="15"/>
  <c r="AB238" i="15"/>
  <c r="AB235" i="15"/>
  <c r="AB233" i="15"/>
  <c r="AB231" i="15"/>
  <c r="AB230" i="15"/>
  <c r="AB228" i="15"/>
  <c r="AB222" i="15"/>
  <c r="AB219" i="15"/>
  <c r="AB218" i="15"/>
  <c r="AB216" i="15"/>
  <c r="AB214" i="15"/>
  <c r="AB213" i="15"/>
  <c r="AB212" i="15"/>
  <c r="AB211" i="15"/>
  <c r="AB210" i="15"/>
  <c r="AB209" i="15"/>
  <c r="AB207" i="15"/>
  <c r="AB205" i="15"/>
  <c r="AB204" i="15"/>
  <c r="AB203" i="15"/>
  <c r="AB201" i="15"/>
  <c r="AB199" i="15"/>
  <c r="AB198" i="15"/>
  <c r="AB197" i="15"/>
  <c r="AB196" i="15"/>
  <c r="AB195" i="15"/>
  <c r="AB194" i="15"/>
  <c r="AB193" i="15"/>
  <c r="AB192" i="15"/>
  <c r="AB187" i="15"/>
  <c r="AB184" i="15"/>
  <c r="AB183" i="15"/>
  <c r="AB180" i="15"/>
  <c r="AB178" i="15"/>
  <c r="AB175" i="15"/>
  <c r="AB174" i="15"/>
  <c r="AB172" i="15"/>
  <c r="AB170" i="15"/>
  <c r="AB169" i="15"/>
  <c r="AB166" i="15"/>
  <c r="AB165" i="15"/>
  <c r="AB164" i="15"/>
  <c r="AB162" i="15"/>
  <c r="AB161" i="15"/>
  <c r="AB160" i="15"/>
  <c r="AB159" i="15"/>
  <c r="AB158" i="15"/>
  <c r="AB157" i="15"/>
  <c r="AB156" i="15"/>
  <c r="AB155" i="15"/>
  <c r="AB153" i="15"/>
  <c r="AB152" i="15"/>
  <c r="AB151" i="15"/>
  <c r="AB149" i="15"/>
  <c r="AB145" i="15"/>
  <c r="AB144" i="15"/>
  <c r="AB143" i="15"/>
  <c r="AB141" i="15"/>
  <c r="AB139" i="15"/>
  <c r="AB138" i="15"/>
  <c r="AB135" i="15"/>
  <c r="AB134" i="15"/>
  <c r="AB133" i="15"/>
  <c r="AB132" i="15"/>
  <c r="AB131" i="15"/>
  <c r="AB130" i="15"/>
  <c r="AB127" i="15"/>
  <c r="AB125" i="15"/>
  <c r="AB124" i="15"/>
  <c r="AB122" i="15"/>
  <c r="AB121" i="15"/>
  <c r="AB120" i="15"/>
  <c r="AB119" i="15"/>
  <c r="AB116" i="15"/>
  <c r="AB115" i="15"/>
  <c r="AB114" i="15"/>
  <c r="AB113" i="15"/>
  <c r="AB110" i="15"/>
  <c r="AB109" i="15"/>
  <c r="AB108" i="15"/>
  <c r="AB107" i="15"/>
  <c r="AB105" i="15"/>
  <c r="AB97" i="15"/>
  <c r="AB96" i="15"/>
  <c r="AB94" i="15"/>
  <c r="AB91" i="15"/>
  <c r="AB89" i="15"/>
  <c r="AB87" i="15"/>
  <c r="AB86" i="15"/>
  <c r="AB84" i="15"/>
  <c r="AB83" i="15"/>
  <c r="AB82" i="15"/>
  <c r="AB80" i="15"/>
  <c r="AB79" i="15"/>
  <c r="AB78" i="15"/>
  <c r="AB77" i="15"/>
  <c r="AB75" i="15"/>
  <c r="AB73" i="15"/>
  <c r="AB72" i="15"/>
  <c r="AB70" i="15"/>
  <c r="AB67" i="15"/>
  <c r="AB66" i="15"/>
  <c r="AB65" i="15"/>
  <c r="AB62" i="15"/>
  <c r="AB61" i="15"/>
  <c r="AB56" i="15"/>
  <c r="AB55" i="15"/>
  <c r="AB54" i="15"/>
  <c r="AB53" i="15"/>
  <c r="AB50" i="15"/>
  <c r="AB48" i="15"/>
  <c r="AB47" i="15"/>
  <c r="AB46" i="15"/>
  <c r="AB45" i="15"/>
  <c r="AB43" i="15"/>
  <c r="AB40" i="15"/>
  <c r="AB37" i="15"/>
  <c r="AB35" i="15"/>
  <c r="AB34" i="15"/>
  <c r="AB33" i="15"/>
  <c r="AB30" i="15"/>
  <c r="AB29" i="15"/>
  <c r="AB28" i="15"/>
  <c r="AB26" i="15"/>
  <c r="AB23" i="15"/>
  <c r="AB22" i="15"/>
  <c r="AB18" i="15"/>
  <c r="AB17" i="15"/>
  <c r="AB13" i="15"/>
  <c r="AB12" i="15"/>
  <c r="AB11" i="15"/>
  <c r="AB9" i="15"/>
  <c r="AB8" i="15"/>
  <c r="AB7" i="15"/>
  <c r="AB6" i="15"/>
  <c r="AB5" i="15"/>
  <c r="AB4" i="15"/>
  <c r="N5" i="5"/>
  <c r="H6" i="5"/>
  <c r="N6" i="5"/>
  <c r="H7" i="5"/>
  <c r="N7" i="5"/>
  <c r="H8" i="5"/>
  <c r="N8" i="5"/>
  <c r="H9" i="5"/>
  <c r="N9" i="5"/>
  <c r="H10" i="5"/>
  <c r="N10" i="5"/>
  <c r="H11" i="5"/>
  <c r="N11" i="5"/>
  <c r="H12" i="5"/>
  <c r="N12" i="5"/>
  <c r="H13" i="5"/>
  <c r="N13" i="5"/>
  <c r="H14" i="5"/>
  <c r="N14" i="5"/>
  <c r="H15" i="5"/>
  <c r="N15" i="5"/>
  <c r="H16" i="5"/>
  <c r="N16" i="5"/>
  <c r="H17" i="5"/>
  <c r="N17" i="5"/>
  <c r="H18" i="5"/>
  <c r="N18" i="5"/>
  <c r="H19" i="5"/>
  <c r="N19" i="5"/>
  <c r="H20" i="5"/>
  <c r="N20" i="5"/>
  <c r="H21" i="5"/>
  <c r="N21" i="5"/>
  <c r="H22" i="5"/>
  <c r="N22" i="5"/>
  <c r="H23" i="5"/>
  <c r="N23" i="5"/>
  <c r="H24" i="5"/>
  <c r="N24" i="5"/>
  <c r="H25" i="5"/>
  <c r="N25" i="5"/>
  <c r="H26" i="5"/>
  <c r="N26" i="5"/>
  <c r="H27" i="5"/>
  <c r="N27" i="5"/>
  <c r="H28" i="5"/>
  <c r="N28" i="5"/>
  <c r="H29" i="5"/>
  <c r="N29" i="5"/>
  <c r="H30" i="5"/>
  <c r="N30" i="5"/>
  <c r="H31" i="5"/>
  <c r="N31" i="5"/>
  <c r="H32" i="5"/>
  <c r="N32" i="5"/>
  <c r="H33" i="5"/>
  <c r="N33" i="5"/>
  <c r="H34" i="5"/>
  <c r="N34" i="5"/>
  <c r="H35" i="5"/>
  <c r="N35" i="5"/>
  <c r="H36" i="5"/>
  <c r="N36" i="5"/>
  <c r="H37" i="5"/>
  <c r="N37" i="5"/>
  <c r="H38" i="5"/>
  <c r="N38" i="5"/>
  <c r="H39" i="5"/>
  <c r="N39" i="5"/>
  <c r="H40" i="5"/>
  <c r="N40" i="5"/>
  <c r="H41" i="5"/>
  <c r="N41" i="5"/>
  <c r="H42" i="5"/>
  <c r="N42" i="5"/>
  <c r="H43" i="5"/>
  <c r="N43" i="5"/>
  <c r="H44" i="5"/>
  <c r="N44" i="5"/>
  <c r="H45" i="5"/>
  <c r="N45" i="5"/>
  <c r="H46" i="5"/>
  <c r="N46" i="5"/>
  <c r="H47" i="5"/>
  <c r="N47" i="5"/>
  <c r="H48" i="5"/>
  <c r="N48" i="5"/>
  <c r="H49" i="5"/>
  <c r="N49" i="5"/>
  <c r="H50" i="5"/>
  <c r="N50" i="5"/>
  <c r="H51" i="5"/>
  <c r="N51" i="5"/>
  <c r="H52" i="5"/>
  <c r="N52" i="5"/>
  <c r="H53" i="5"/>
  <c r="N53" i="5"/>
  <c r="H54" i="5"/>
  <c r="N54" i="5"/>
  <c r="H55" i="5"/>
  <c r="N55" i="5"/>
  <c r="N56" i="5"/>
  <c r="N57" i="5"/>
  <c r="AB16" i="2"/>
  <c r="AB17" i="2"/>
  <c r="AB18" i="2"/>
  <c r="AB19" i="2"/>
  <c r="AB20" i="2"/>
  <c r="AB21" i="2"/>
  <c r="AB23" i="2"/>
  <c r="AB24" i="2"/>
  <c r="AB25" i="2"/>
  <c r="AB29" i="2"/>
  <c r="AB30" i="2"/>
  <c r="AB34" i="2"/>
  <c r="AB35" i="2"/>
  <c r="AB38" i="2"/>
  <c r="AB40" i="2"/>
  <c r="AB41" i="2"/>
  <c r="AB42" i="2"/>
  <c r="AB45" i="2"/>
  <c r="AB46" i="2"/>
  <c r="AB47" i="2"/>
  <c r="AB49" i="2"/>
  <c r="AB52" i="2"/>
  <c r="AB55" i="2"/>
  <c r="AB57" i="2"/>
  <c r="AB58" i="2"/>
  <c r="AB59" i="2"/>
  <c r="AB60" i="2"/>
  <c r="AB62" i="2"/>
  <c r="AB65" i="2"/>
  <c r="AB66" i="2"/>
  <c r="AB67" i="2"/>
  <c r="AB68" i="2"/>
  <c r="AB73" i="2"/>
  <c r="AB74" i="2"/>
  <c r="AB77" i="2"/>
  <c r="AB78" i="2"/>
  <c r="AB79" i="2"/>
  <c r="AB82" i="2"/>
  <c r="AB84" i="2"/>
  <c r="AB85" i="2"/>
  <c r="AB87" i="2"/>
  <c r="AB89" i="2"/>
  <c r="AB90" i="2"/>
  <c r="AB91" i="2"/>
  <c r="AB92" i="2"/>
  <c r="AB94" i="2"/>
  <c r="AB95" i="2"/>
  <c r="AB96" i="2"/>
  <c r="AB98" i="2"/>
  <c r="AB99" i="2"/>
  <c r="AB101" i="2"/>
  <c r="AB103" i="2"/>
  <c r="AB106" i="2"/>
  <c r="AB108" i="2"/>
  <c r="AB109" i="2"/>
  <c r="AB117" i="2"/>
  <c r="AB119" i="2"/>
  <c r="AB120" i="2"/>
  <c r="AB121" i="2"/>
  <c r="AB122" i="2"/>
  <c r="AB125" i="2"/>
  <c r="AB126" i="2"/>
  <c r="AB127" i="2"/>
  <c r="AB128" i="2"/>
  <c r="AB131" i="2"/>
  <c r="AB132" i="2"/>
  <c r="AB133" i="2"/>
  <c r="AB134" i="2"/>
  <c r="AB136" i="2"/>
  <c r="AB137" i="2"/>
  <c r="AB139" i="2"/>
  <c r="AB142" i="2"/>
  <c r="AB143" i="2"/>
  <c r="AB144" i="2"/>
  <c r="AB145" i="2"/>
  <c r="AB146" i="2"/>
  <c r="AB147" i="2"/>
  <c r="AB150" i="2"/>
  <c r="AB151" i="2"/>
  <c r="AB153" i="2"/>
  <c r="AB155" i="2"/>
  <c r="AB156" i="2"/>
  <c r="AB157" i="2"/>
  <c r="AB161" i="2"/>
  <c r="AB163" i="2"/>
  <c r="AB164" i="2"/>
  <c r="AB165" i="2"/>
  <c r="AB167" i="2"/>
  <c r="AB168" i="2"/>
  <c r="AB169" i="2"/>
  <c r="AB170" i="2"/>
  <c r="AB171" i="2"/>
  <c r="AB172" i="2"/>
  <c r="AB173" i="2"/>
  <c r="AB174" i="2"/>
  <c r="AB176" i="2"/>
  <c r="AB177" i="2"/>
  <c r="AB178" i="2"/>
  <c r="AB181" i="2"/>
  <c r="AB182" i="2"/>
  <c r="AB184" i="2"/>
  <c r="AB186" i="2"/>
  <c r="AB187" i="2"/>
  <c r="AB190" i="2"/>
  <c r="AB192" i="2"/>
  <c r="AB195" i="2"/>
  <c r="AB196" i="2"/>
  <c r="AB199" i="2"/>
  <c r="AB204" i="2"/>
  <c r="AB205" i="2"/>
  <c r="AB206" i="2"/>
  <c r="AB207" i="2"/>
  <c r="AB208" i="2"/>
  <c r="AB209" i="2"/>
  <c r="AB210" i="2"/>
  <c r="AB211" i="2"/>
  <c r="AB213" i="2"/>
  <c r="AB215" i="2"/>
  <c r="AB216" i="2"/>
  <c r="AB217" i="2"/>
  <c r="AB219" i="2"/>
  <c r="AB221" i="2"/>
  <c r="AB222" i="2"/>
  <c r="AB223" i="2"/>
  <c r="AB224" i="2"/>
  <c r="AB225" i="2"/>
  <c r="AB226" i="2"/>
  <c r="AB228" i="2"/>
  <c r="AB230" i="2"/>
  <c r="AB231" i="2"/>
  <c r="AB234" i="2"/>
  <c r="AB240" i="2"/>
  <c r="AB242" i="2"/>
  <c r="AB243" i="2"/>
  <c r="AB245" i="2"/>
  <c r="AB247" i="2"/>
  <c r="AB250" i="2"/>
  <c r="AB252" i="2"/>
  <c r="AB253" i="2"/>
  <c r="AB254" i="2"/>
  <c r="AB257" i="2"/>
  <c r="AB259" i="2"/>
  <c r="AB260" i="2"/>
  <c r="AB261" i="2"/>
  <c r="AB262" i="2"/>
  <c r="AB263" i="2"/>
  <c r="AB266" i="2"/>
  <c r="AB267" i="2"/>
  <c r="AB268" i="2"/>
  <c r="AB269" i="2"/>
  <c r="AB270" i="2"/>
  <c r="AB272" i="2"/>
  <c r="AB275" i="2"/>
  <c r="AB276" i="2"/>
  <c r="AB278" i="2"/>
  <c r="AB280" i="2"/>
  <c r="AB282" i="2"/>
  <c r="AB284" i="2"/>
  <c r="AB285" i="2"/>
  <c r="AB288" i="2"/>
  <c r="AB289" i="2"/>
  <c r="AB290" i="2"/>
  <c r="AB292" i="2"/>
  <c r="AB293" i="2"/>
  <c r="AB296" i="2"/>
  <c r="AB297" i="2"/>
  <c r="AB298" i="2"/>
  <c r="AB29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tc={0145379E-184F-554D-A39C-F5247F5B0D2C}</author>
    <author>tc={CC052EA0-85E3-EA44-8A2E-2E9C03C5920B}</author>
    <author>tc={BEAB167B-4359-4F49-BAC7-C89EDCABB3DA}</author>
    <author>tc={480743B7-2DA2-B74F-8A6E-7DE8D7FFED2F}</author>
    <author>tc={E889D926-5384-9D43-BE09-6F5D0768450B}</author>
    <author>tc={2C455E6B-A506-C448-95EC-A909314A37D7}</author>
    <author>tc={AB6472DE-4185-D249-812D-337D2F2D7122}</author>
    <author>tc={516055E0-2F26-8344-B136-645E27AF6E0D}</author>
    <author>tc={00ADAAFC-8ABD-BB4E-8D8C-3D02BF5C746E}</author>
    <author>tc={A93490A6-AAA4-2248-8BED-47FB1BB375A5}</author>
    <author>tc={4A625130-7E8A-9B4E-B9C8-2EBEBCF458D8}</author>
    <author>tc={BE14DC6E-2D58-874D-891B-3B7A5DB1C57D}</author>
    <author>tc={1AB3B3D0-CAD4-464D-A2CD-D92C433339AC}</author>
    <author>tc={F0ABFC7B-83A3-1D41-99F0-D34DC1FB0744}</author>
    <author>tc={EF865A72-07FA-7240-833D-312B9460C279}</author>
    <author>tc={25611C2E-F7FD-154F-942C-8824141B8674}</author>
    <author>tc={22434478-EA82-B046-BD99-4934ADD81F75}</author>
    <author>tc={F57FBFE0-A00B-5648-8EBB-118C9BFF2A0D}</author>
    <author>tc={57260984-3284-E849-9A4A-E4B836B6B78B}</author>
    <author>tc={4415F625-77FC-144D-A93C-074F686CF8B0}</author>
    <author>tc={714E5C75-A2DA-EA49-BD5A-18C7767233EE}</author>
    <author>tc={DCB81AFB-8E57-BB4C-A2B2-6B7B37E459E8}</author>
    <author>tc={9E3E33F2-02E2-3F45-BD75-1CB76D984853}</author>
    <author>tc={D0CB8269-2B33-8243-B878-0B2A1AD60526}</author>
    <author>tc={C0F716C7-B57D-FF4C-9342-24FB300846DC}</author>
  </authors>
  <commentList>
    <comment ref="R3" authorId="0" shapeId="0" xr:uid="{0145379E-184F-554D-A39C-F5247F5B0D2C}">
      <text>
        <t>[Threaded comment]
Your version of Excel allows you to read this threaded comment; however, any edits to it will get removed if the file is opened in a newer version of Excel. Learn more: https://go.microsoft.com/fwlink/?linkid=870924
Comment:
    UOP include Renewable Energy, Energy Efficiency, Water Efficiency &amp; Sustainable Buildings</t>
      </text>
    </comment>
    <comment ref="R4" authorId="1" shapeId="0" xr:uid="{CC052EA0-85E3-EA44-8A2E-2E9C03C5920B}">
      <text>
        <t>[Threaded comment]
Your version of Excel allows you to read this threaded comment; however, any edits to it will get removed if the file is opened in a newer version of Excel. Learn more: https://go.microsoft.com/fwlink/?linkid=870924
Comment:
    UOP include Renewable Energy &amp; Energy Efficiency</t>
      </text>
    </comment>
    <comment ref="R5" authorId="2" shapeId="0" xr:uid="{BEAB167B-4359-4F49-BAC7-C89EDCABB3DA}">
      <text>
        <t>[Threaded comment]
Your version of Excel allows you to read this threaded comment; however, any edits to it will get removed if the file is opened in a newer version of Excel. Learn more: https://go.microsoft.com/fwlink/?linkid=870924
Comment:
    UOP include Energy Efficiency, Sustainable Water &amp; Wastewater Management, Clean Transportation, Green Buildings &amp; renewable Energy</t>
      </text>
    </comment>
    <comment ref="R6" authorId="3" shapeId="0" xr:uid="{480743B7-2DA2-B74F-8A6E-7DE8D7FFED2F}">
      <text>
        <t>[Threaded comment]
Your version of Excel allows you to read this threaded comment; however, any edits to it will get removed if the file is opened in a newer version of Excel. Learn more: https://go.microsoft.com/fwlink/?linkid=870924
Comment:
    UOP include renewable Energy, Flood Defences, Agriculture &amp; Forestry</t>
      </text>
    </comment>
    <comment ref="R7" authorId="4" shapeId="0" xr:uid="{E889D926-5384-9D43-BE09-6F5D0768450B}">
      <text>
        <t>[Threaded comment]
Your version of Excel allows you to read this threaded comment; however, any edits to it will get removed if the file is opened in a newer version of Excel. Learn more: https://go.microsoft.com/fwlink/?linkid=870924
Comment:
    UOP include Renewable Energy, Clean Transportation, Sustainable Management, Waste management, Water Management &amp; Energy Efficiency</t>
      </text>
    </comment>
    <comment ref="R8" authorId="5" shapeId="0" xr:uid="{2C455E6B-A506-C448-95EC-A909314A37D7}">
      <text>
        <t>[Threaded comment]
Your version of Excel allows you to read this threaded comment; however, any edits to it will get removed if the file is opened in a newer version of Excel. Learn more: https://go.microsoft.com/fwlink/?linkid=870924
Comment:
    UoP categories are: 
Hydropower, Solar Power, Wind Power, Geothermal Power, Co-generation from biomass, waste Management, Treatment of wastewater and effluents, Waste -to-energy from municipal solid waste, Recycling &amp; waste diversion.
I am considering Hydropower, solar power, wind power, geothermal power, co-generation from biomass, and waste-to-energy from municipal solid waste as one category under renewable since it all falls under the renewable category. This leaves 3 categories that do not fall under renewable, resulting in a total of 4 categories.</t>
      </text>
    </comment>
    <comment ref="P9" authorId="6" shapeId="0" xr:uid="{AB6472DE-4185-D249-812D-337D2F2D7122}">
      <text>
        <t>[Threaded comment]
Your version of Excel allows you to read this threaded comment; however, any edits to it will get removed if the file is opened in a newer version of Excel. Learn more: https://go.microsoft.com/fwlink/?linkid=870924
Comment:
    UOP include Renewable Energy</t>
      </text>
    </comment>
    <comment ref="R10" authorId="7" shapeId="0" xr:uid="{516055E0-2F26-8344-B136-645E27AF6E0D}">
      <text>
        <t>[Threaded comment]
Your version of Excel allows you to read this threaded comment; however, any edits to it will get removed if the file is opened in a newer version of Excel. Learn more: https://go.microsoft.com/fwlink/?linkid=870924
Comment:
    UOPs are Water Efficiency, Energy Efficiency, Renewable Energy &amp; Environmentally Sustainable Agriculture
Reply:
    Checked no changes</t>
      </text>
    </comment>
    <comment ref="R11" authorId="8" shapeId="0" xr:uid="{00ADAAFC-8ABD-BB4E-8D8C-3D02BF5C746E}">
      <text>
        <t>[Threaded comment]
Your version of Excel allows you to read this threaded comment; however, any edits to it will get removed if the file is opened in a newer version of Excel. Learn more: https://go.microsoft.com/fwlink/?linkid=870924
Comment:
    UOPs are Water Efficiency, Energy Efficiency, Renewable Energy &amp; Environmentally Sustainable Agriculture
Reply:
    Checked no changes</t>
      </text>
    </comment>
    <comment ref="R12" authorId="9" shapeId="0" xr:uid="{A93490A6-AAA4-2248-8BED-47FB1BB375A5}">
      <text>
        <t>[Threaded comment]
Your version of Excel allows you to read this threaded comment; however, any edits to it will get removed if the file is opened in a newer version of Excel. Learn more: https://go.microsoft.com/fwlink/?linkid=870924
Comment:
    UOPs are Water Efficiency, Energy Efficiency, Renewable Energy &amp; Environmentally Sustainable Agriculture
Reply:
    Checked no changes</t>
      </text>
    </comment>
    <comment ref="P13" authorId="10" shapeId="0" xr:uid="{4A625130-7E8A-9B4E-B9C8-2EBEBCF458D8}">
      <text>
        <t>[Threaded comment]
Your version of Excel allows you to read this threaded comment; however, any edits to it will get removed if the file is opened in a newer version of Excel. Learn more: https://go.microsoft.com/fwlink/?linkid=870924
Comment:
    UOP include electric power transmission infrastructures 
Reply:
    Agree no change</t>
      </text>
    </comment>
    <comment ref="P14" authorId="11" shapeId="0" xr:uid="{BE14DC6E-2D58-874D-891B-3B7A5DB1C57D}">
      <text>
        <t>[Threaded comment]
Your version of Excel allows you to read this threaded comment; however, any edits to it will get removed if the file is opened in a newer version of Excel. Learn more: https://go.microsoft.com/fwlink/?linkid=870924
Comment:
    UOP include electric power transmission infrastructures
Reply:
    Agree no change</t>
      </text>
    </comment>
    <comment ref="P15" authorId="12" shapeId="0" xr:uid="{1AB3B3D0-CAD4-464D-A2CD-D92C433339AC}">
      <text>
        <t>[Threaded comment]
Your version of Excel allows you to read this threaded comment; however, any edits to it will get removed if the file is opened in a newer version of Excel. Learn more: https://go.microsoft.com/fwlink/?linkid=870924
Comment:
    UOP include electric power transmission infrastructures
Reply:
    Agree no change</t>
      </text>
    </comment>
    <comment ref="R16" authorId="13" shapeId="0" xr:uid="{F0ABFC7B-83A3-1D41-99F0-D34DC1FB0744}">
      <text>
        <t xml:space="preserve">[Threaded comment]
Your version of Excel allows you to read this threaded comment; however, any edits to it will get removed if the file is opened in a newer version of Excel. Learn more: https://go.microsoft.com/fwlink/?linkid=870924
Comment:
    UOP include Energy Efficiency , Sustainable Water Management , Pollution Prevention and Control </t>
      </text>
    </comment>
    <comment ref="R17" authorId="14" shapeId="0" xr:uid="{EF865A72-07FA-7240-833D-312B9460C279}">
      <text>
        <t>[Threaded comment]
Your version of Excel allows you to read this threaded comment; however, any edits to it will get removed if the file is opened in a newer version of Excel. Learn more: https://go.microsoft.com/fwlink/?linkid=870924
Comment:
    UOP include Sustainable Forest Management, Restorative Of Native Forests and Conservation of Biodiversity, Renewable Energy, Clean Transportation, Energy Efficiency, Waste Management, Sustainable Water Management, Eco-Efficient and Circular Economy Adapted Products, Production Tech and Process, Climate Change Adaptation
Reply:
    No changes required</t>
      </text>
    </comment>
    <comment ref="R18" authorId="15" shapeId="0" xr:uid="{25611C2E-F7FD-154F-942C-8824141B8674}">
      <text>
        <t>[Threaded comment]
Your version of Excel allows you to read this threaded comment; however, any edits to it will get removed if the file is opened in a newer version of Excel. Learn more: https://go.microsoft.com/fwlink/?linkid=870924
Comment:
    UOP include Sustainable Forest Management, Restorative Of Native Forests and Conservation of Biodiversity, Renewable Energy, Clean Transportation, Energy Efficiency, Waste Management, Sustainable Water Management, Eco-Efficient and Circular Economy Adapted Products, Production Tech and Process, Climate Change Adaptation
Reply:
    Agree no changes required</t>
      </text>
    </comment>
    <comment ref="R19" authorId="16" shapeId="0" xr:uid="{22434478-EA82-B046-BD99-4934ADD81F75}">
      <text>
        <t>[Threaded comment]
Your version of Excel allows you to read this threaded comment; however, any edits to it will get removed if the file is opened in a newer version of Excel. Learn more: https://go.microsoft.com/fwlink/?linkid=870924
Comment:
    UOP include renewable energy, energy efficiency, cleaner production, agriculture, construction, transportation and waste management
Reply:
    Agree no change</t>
      </text>
    </comment>
    <comment ref="R20" authorId="17" shapeId="0" xr:uid="{F57FBFE0-A00B-5648-8EBB-118C9BFF2A0D}">
      <text>
        <t>[Threaded comment]
Your version of Excel allows you to read this threaded comment; however, any edits to it will get removed if the file is opened in a newer version of Excel. Learn more: https://go.microsoft.com/fwlink/?linkid=870924
Comment:
    UOP include Potable Water supply and Wastewater treatment
Reply:
    Agree no change</t>
      </text>
    </comment>
    <comment ref="R21" authorId="18" shapeId="0" xr:uid="{57260984-3284-E849-9A4A-E4B836B6B78B}">
      <text>
        <t>[Threaded comment]
Your version of Excel allows you to read this threaded comment; however, any edits to it will get removed if the file is opened in a newer version of Excel. Learn more: https://go.microsoft.com/fwlink/?linkid=870924
Comment:
    UoP include Sustainable forest management, Sustainable water resource management, Preservation of biodiversity and restoration of forest cover of high conservation value, Prevention and control, Energy efficiency
Reply:
    Agree no change required</t>
      </text>
    </comment>
    <comment ref="P22" authorId="19" shapeId="0" xr:uid="{4415F625-77FC-144D-A93C-074F686CF8B0}">
      <text>
        <t>[Threaded comment]
Your version of Excel allows you to read this threaded comment; however, any edits to it will get removed if the file is opened in a newer version of Excel. Learn more: https://go.microsoft.com/fwlink/?linkid=870924
Comment:
    allocated towards financing or refinancing new and existing renewable energy projects 
Reply:
    Agree, no change</t>
      </text>
    </comment>
    <comment ref="R23" authorId="20" shapeId="0" xr:uid="{714E5C75-A2DA-EA49-BD5A-18C7767233EE}">
      <text>
        <t xml:space="preserve">[Threaded comment]
Your version of Excel allows you to read this threaded comment; however, any edits to it will get removed if the file is opened in a newer version of Excel. Learn more: https://go.microsoft.com/fwlink/?linkid=870924
Comment:
    Renewable energy; Efficiency; waste treatment; sustainable agriculture 
Reply:
    I got 8 total categories from pages 10-13:
Renewable energy
Energy efficiency
Sustainable Transportation
Sustainable Infrastructure
Green Construction
Water
Handling of Waste
Use of Soil
</t>
      </text>
    </comment>
    <comment ref="R24" authorId="21" shapeId="0" xr:uid="{DCB81AFB-8E57-BB4C-A2B2-6B7B37E459E8}">
      <text>
        <t>[Threaded comment]
Your version of Excel allows you to read this threaded comment; however, any edits to it will get removed if the file is opened in a newer version of Excel. Learn more: https://go.microsoft.com/fwlink/?linkid=870924
Comment:
    Renewable energy; information &amp; communication technologies; sustainable aquacultural ; agriculture; forest mgmt.; clean transportation; waste water treatment plans
Reply:
    Agree, no change</t>
      </text>
    </comment>
    <comment ref="R25" authorId="22" shapeId="0" xr:uid="{9E3E33F2-02E2-3F45-BD75-1CB76D984853}">
      <text>
        <t>[Threaded comment]
Your version of Excel allows you to read this threaded comment; however, any edits to it will get removed if the file is opened in a newer version of Excel. Learn more: https://go.microsoft.com/fwlink/?linkid=870924
Comment:
    Clean transportation ; pollution prevention and control
Reply:
    Agree, no change</t>
      </text>
    </comment>
    <comment ref="R26" authorId="23" shapeId="0" xr:uid="{D0CB8269-2B33-8243-B878-0B2A1AD60526}">
      <text>
        <t>[Threaded comment]
Your version of Excel allows you to read this threaded comment; however, any edits to it will get removed if the file is opened in a newer version of Excel. Learn more: https://go.microsoft.com/fwlink/?linkid=870924
Comment:
    Drinking water solutions; water storage; sanitation and sewage treatment; water and waste water treatment
Reply:
    Agree, no change</t>
      </text>
    </comment>
    <comment ref="P27" authorId="24" shapeId="0" xr:uid="{C0F716C7-B57D-FF4C-9342-24FB300846DC}">
      <text>
        <t>[Threaded comment]
Your version of Excel allows you to read this threaded comment; however, any edits to it will get removed if the file is opened in a newer version of Excel. Learn more: https://go.microsoft.com/fwlink/?linkid=870924
Comment:
    Agree, no change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tc={EE858CE7-E667-CA4F-A3DB-8F50F6DC4740}</author>
  </authors>
  <commentList>
    <comment ref="AF135" authorId="0" shapeId="0" xr:uid="{EE858CE7-E667-CA4F-A3DB-8F50F6DC4740}">
      <text>
        <t>[Threaded comment]
Your version of Excel allows you to read this threaded comment; however, any edits to it will get removed if the file is opened in a newer version of Excel. Learn more: https://go.microsoft.com/fwlink/?linkid=870924
Comment:
    distinct cats not on separate rows - cleanup TH too high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tc={8EA154A8-5B63-8C4F-BFA4-C31579AA81A2}</author>
  </authors>
  <commentList>
    <comment ref="F1" authorId="0" shapeId="0" xr:uid="{8EA154A8-5B63-8C4F-BFA4-C31579AA81A2}">
      <text>
        <t>[Threaded comment]
Your version of Excel allows you to read this threaded comment; however, any edits to it will get removed if the file is opened in a newer version of Excel. Learn more: https://go.microsoft.com/fwlink/?linkid=870924
Comment:
    where ES is partial</t>
      </text>
    </comment>
  </commentList>
</comments>
</file>

<file path=xl/sharedStrings.xml><?xml version="1.0" encoding="utf-8"?>
<sst xmlns="http://schemas.openxmlformats.org/spreadsheetml/2006/main" count="25441" uniqueCount="2920">
  <si>
    <t>Row Labels</t>
  </si>
  <si>
    <t>Count of ISIN</t>
  </si>
  <si>
    <t>4d55cd98379640de90be2eb2fa9aba1f</t>
  </si>
  <si>
    <t>PAL3009913A2</t>
  </si>
  <si>
    <t>PAL3009913B0</t>
  </si>
  <si>
    <t>PAL3009913C8</t>
  </si>
  <si>
    <t>PAL3009913D6</t>
  </si>
  <si>
    <t>PAL3009913E4</t>
  </si>
  <si>
    <t>PAL3009913F1</t>
  </si>
  <si>
    <t>PAL3009913G9</t>
  </si>
  <si>
    <t>PAL3009913H7</t>
  </si>
  <si>
    <t>PAL3009913I5</t>
  </si>
  <si>
    <t>PAL3009913J3</t>
  </si>
  <si>
    <t>PAL3009913K1</t>
  </si>
  <si>
    <t>PAL3009913L9</t>
  </si>
  <si>
    <t>PAL3009913M7</t>
  </si>
  <si>
    <t>PAL3009913N5</t>
  </si>
  <si>
    <t>PAL3009913O3</t>
  </si>
  <si>
    <t>PAL3009913P0</t>
  </si>
  <si>
    <t>PAL3009913Q8</t>
  </si>
  <si>
    <t>PAL3009913R6</t>
  </si>
  <si>
    <t>PAL3009913U0</t>
  </si>
  <si>
    <t>PAL3009913V8</t>
  </si>
  <si>
    <t>PAL3009913W6</t>
  </si>
  <si>
    <t>PAL3009917W7</t>
  </si>
  <si>
    <t>PAL3009923S3</t>
  </si>
  <si>
    <t>(blank)</t>
  </si>
  <si>
    <t>41f78746078d444787f9a1f78b30153c</t>
  </si>
  <si>
    <t>MXCDBA</t>
  </si>
  <si>
    <t>MXCDBA0300A2</t>
  </si>
  <si>
    <t>MXCDBA0300B0</t>
  </si>
  <si>
    <t>MXCDBA0300C8</t>
  </si>
  <si>
    <t>MXCDBA0300D6</t>
  </si>
  <si>
    <t>MXCDBA0300E4</t>
  </si>
  <si>
    <t>MXCDBA0300F1</t>
  </si>
  <si>
    <t>MXCDBA0300G9</t>
  </si>
  <si>
    <t>MXCDBA0300H7</t>
  </si>
  <si>
    <t>MXCDBA0300I5</t>
  </si>
  <si>
    <t>MXCDBA0300J3</t>
  </si>
  <si>
    <t>US05973JAA88</t>
  </si>
  <si>
    <t>0861b552d06e4b9799ebc7a3b1aa7e2a</t>
  </si>
  <si>
    <t>AR0086415137</t>
  </si>
  <si>
    <t>AR0200051115</t>
  </si>
  <si>
    <t>AR0329026279</t>
  </si>
  <si>
    <t>AR0667572231</t>
  </si>
  <si>
    <t>AREMGA5600P1</t>
  </si>
  <si>
    <t>AREMGA5600Q9</t>
  </si>
  <si>
    <t>AREMGA5600R7</t>
  </si>
  <si>
    <t>AREMGA5600S5</t>
  </si>
  <si>
    <t>AREMGA5600T3</t>
  </si>
  <si>
    <t>USP46756BA25</t>
  </si>
  <si>
    <t>b25746bc73674469a979cd1218fc9355</t>
  </si>
  <si>
    <t>US168863DL94</t>
  </si>
  <si>
    <t>US168863DN50</t>
  </si>
  <si>
    <t>US168863DV76</t>
  </si>
  <si>
    <t>US168863DW59</t>
  </si>
  <si>
    <t>US168863DX33</t>
  </si>
  <si>
    <t>XS1843433639</t>
  </si>
  <si>
    <t>XS2108987517</t>
  </si>
  <si>
    <t>XS2327851874</t>
  </si>
  <si>
    <t>e6873103865949bdb9e863d906f83c74</t>
  </si>
  <si>
    <t>CRCOOPGV</t>
  </si>
  <si>
    <t>CRCOOPGV0027</t>
  </si>
  <si>
    <t>CRCOOPGV0043</t>
  </si>
  <si>
    <t>CRCOOPGV0050</t>
  </si>
  <si>
    <t>CRCOOPGV0068</t>
  </si>
  <si>
    <t>CRCOOPGV0076</t>
  </si>
  <si>
    <t>CRCOOPGV0084</t>
  </si>
  <si>
    <t>54743cb2f07c4d9f923a5c04c2547bb4</t>
  </si>
  <si>
    <t>CH1148308716</t>
  </si>
  <si>
    <t>CH1191066278</t>
  </si>
  <si>
    <t>CH1231312682</t>
  </si>
  <si>
    <t>XS2045838039</t>
  </si>
  <si>
    <t>XS2553215521</t>
  </si>
  <si>
    <t>06916bad6f3d4631a2127d3f46ff766d</t>
  </si>
  <si>
    <t>BRECOACRA7P1</t>
  </si>
  <si>
    <t>BROCTSCRA3A5</t>
  </si>
  <si>
    <t>BROCTSCRA3B3</t>
  </si>
  <si>
    <t>US30315XAB01</t>
  </si>
  <si>
    <t>463bf5e91ed14844b7cce6dafe61cf29</t>
  </si>
  <si>
    <t>DO2020300110</t>
  </si>
  <si>
    <t>DO2020300227</t>
  </si>
  <si>
    <t>FOPLARIMAR1NO04</t>
  </si>
  <si>
    <t>9baf8156464a428da24a03b589461dec</t>
  </si>
  <si>
    <t>XS2567238675</t>
  </si>
  <si>
    <t>XS2567239053</t>
  </si>
  <si>
    <t>XS2577780021</t>
  </si>
  <si>
    <t>20ab6a5a7a89447fa8ffc6208696d342</t>
  </si>
  <si>
    <t>CH0553331882.</t>
  </si>
  <si>
    <t>CH1151526238</t>
  </si>
  <si>
    <t>XS2081543204</t>
  </si>
  <si>
    <t>8dc563c540c1439a8c930ddbfada75ef</t>
  </si>
  <si>
    <t>CH1142512339</t>
  </si>
  <si>
    <t>XS2318617185</t>
  </si>
  <si>
    <t>XS2424489958</t>
  </si>
  <si>
    <t>538769c825394307acb906d53afb2664</t>
  </si>
  <si>
    <t>PAL3014421A9</t>
  </si>
  <si>
    <t>PAL3014421B7</t>
  </si>
  <si>
    <t>PAL3014421C5</t>
  </si>
  <si>
    <t>e791ce8ea3eb4c6897df799280b78881</t>
  </si>
  <si>
    <t>BRTRPLDBS0D1</t>
  </si>
  <si>
    <t>BRTRPLDBS0E9</t>
  </si>
  <si>
    <t>BRTRPLDBS0G4</t>
  </si>
  <si>
    <t>79973950fccc4bf18841836cb416b80c</t>
  </si>
  <si>
    <t>BonoVerdeBogDC</t>
  </si>
  <si>
    <t>US097230AC04</t>
  </si>
  <si>
    <t>USP17460AF60</t>
  </si>
  <si>
    <t>db1cda571f7a40d78a10fa816b44c3d0</t>
  </si>
  <si>
    <t>MX95FE040186</t>
  </si>
  <si>
    <t>MX95FE0401J4</t>
  </si>
  <si>
    <t>3335c7c5d57a40b1a9abcb760293f7c1</t>
  </si>
  <si>
    <t>BRSCDILFI4X6</t>
  </si>
  <si>
    <t>BRSCDILFI4Y4</t>
  </si>
  <si>
    <t>a40381fb70654535ada4454c2ff5e808</t>
  </si>
  <si>
    <t>US46137NAC20</t>
  </si>
  <si>
    <t>USP5875NAB93</t>
  </si>
  <si>
    <t>588f4584351c4b9ea59518b315bbf51d</t>
  </si>
  <si>
    <t>COL06CB00026</t>
  </si>
  <si>
    <t>COL06CB00034</t>
  </si>
  <si>
    <t>cfa387c69d2e4d5494eca57e9ec0f224</t>
  </si>
  <si>
    <t>MXCDNA0Q00B9</t>
  </si>
  <si>
    <t>MXCDNA0R0060</t>
  </si>
  <si>
    <t>9abfc296b9b74968b8b8bba5571996b7</t>
  </si>
  <si>
    <t>USA35155AB50</t>
  </si>
  <si>
    <t>USL5828LAB55</t>
  </si>
  <si>
    <t>4fe1e360ebb54d2881c324702c05ca4c</t>
  </si>
  <si>
    <t>US05971AAG67</t>
  </si>
  <si>
    <t>XS2264186524</t>
  </si>
  <si>
    <t>46bc90cd9f664b57a297ff3b221857bd</t>
  </si>
  <si>
    <t>COB63CB00440</t>
  </si>
  <si>
    <t>COB63CB00457</t>
  </si>
  <si>
    <t>896c5d8cf68641b1899f31ed76479743</t>
  </si>
  <si>
    <t>AR0341140462</t>
  </si>
  <si>
    <t>AR0580434501</t>
  </si>
  <si>
    <t>f9ddf8d55aab4e4298b72383891943eb</t>
  </si>
  <si>
    <t>US833636AL76</t>
  </si>
  <si>
    <t>US833636AN33</t>
  </si>
  <si>
    <t>38a2706058d5487d82e4af8bb087ae84</t>
  </si>
  <si>
    <t>MX91CA130053</t>
  </si>
  <si>
    <t>b49dc523ef1442c78e3ef719dbf815cc</t>
  </si>
  <si>
    <t>COB31CB00280</t>
  </si>
  <si>
    <t>29f98e23a2cc401ab33817cd7d63db29</t>
  </si>
  <si>
    <t>US059514AF65</t>
  </si>
  <si>
    <t>3bed31a8a09f4c65bf9b9e10a3a99d43</t>
  </si>
  <si>
    <t>MX90GC040026</t>
  </si>
  <si>
    <t>d8dd0247138a43a6abc81107430dc6c1</t>
  </si>
  <si>
    <t>PEP50420M017</t>
  </si>
  <si>
    <t>58b7e3d2455f4c2bad02912c15d51fc7</t>
  </si>
  <si>
    <t>00BNCR0OH462</t>
  </si>
  <si>
    <t>966583712d874a15a4861b2f4a3ebaa5</t>
  </si>
  <si>
    <t>MXCDNA0R0037</t>
  </si>
  <si>
    <t>5ed0f5af81e743d59f6cc5245e8d8fd0</t>
  </si>
  <si>
    <t>USL79090AC78</t>
  </si>
  <si>
    <t>2b5263d9a5ad4526a9d1719870519eec</t>
  </si>
  <si>
    <t>COL17CT03797</t>
  </si>
  <si>
    <t>f77734da4e7947ce9ee14e628edae0c0</t>
  </si>
  <si>
    <t>US058942AA15</t>
  </si>
  <si>
    <t>32a1a5a27135419ca0571c622c7d8237</t>
  </si>
  <si>
    <t>MX90GC040000</t>
  </si>
  <si>
    <t>62947748118b4a87bfa9d3d52dfb49f1</t>
  </si>
  <si>
    <t>BRCTGEDBS010</t>
  </si>
  <si>
    <t>540e3b9e7ad24ec29091bc6c98dbbc0a</t>
  </si>
  <si>
    <t>CRICE00B0226</t>
  </si>
  <si>
    <t>04e21c087086494eb8ed28a377b70eee</t>
  </si>
  <si>
    <t>PEP11100M336</t>
  </si>
  <si>
    <t>56debb04f16d471a921ea472390c8779</t>
  </si>
  <si>
    <t>BRRBRACRI713</t>
  </si>
  <si>
    <t>74105bd6a7dd421e81b4531e21ef74af</t>
  </si>
  <si>
    <t>EC0C311200A4</t>
  </si>
  <si>
    <t>277b6ad349f343c0861b25da64e6f9e1</t>
  </si>
  <si>
    <t>00BNCR0OL332</t>
  </si>
  <si>
    <t>766cfab46e8a4f4c9ad6466bfd582707</t>
  </si>
  <si>
    <t>US191241AJ70</t>
  </si>
  <si>
    <t>a15f538c621d460dac7d16f40b18d701</t>
  </si>
  <si>
    <t>MX95FE0401P1</t>
  </si>
  <si>
    <t>3dacbafde8ad4f978ac7ddb77457ec42</t>
  </si>
  <si>
    <t>US02265WAA36</t>
  </si>
  <si>
    <t>4eac0cad7e8548e0a253795fe4e7343b</t>
  </si>
  <si>
    <t>XS2868783858</t>
  </si>
  <si>
    <t>7e876d44cd22441faf1a62083a53b7ad</t>
  </si>
  <si>
    <t>US629598AS28</t>
  </si>
  <si>
    <t>b64652431f724d2f81550871f0d9a6e1</t>
  </si>
  <si>
    <t>CL0002564384</t>
  </si>
  <si>
    <t>8248830a582148988b2d374bbe06b15d</t>
  </si>
  <si>
    <t>USP14486AM92</t>
  </si>
  <si>
    <t>d20be6c53e8d483da48e9bb992e3d342</t>
  </si>
  <si>
    <t>MX90GC040018</t>
  </si>
  <si>
    <t>830cb84d78304b5ca38d002488709460</t>
  </si>
  <si>
    <t>PEP11100M351</t>
  </si>
  <si>
    <t>0ca1bbf86b2045aba7e8ff9a179c2758</t>
  </si>
  <si>
    <t>BRVERTCRA286</t>
  </si>
  <si>
    <t>23874d9911cb4bc4b0376a3d29a0a700</t>
  </si>
  <si>
    <t>USP5R70LAA96</t>
  </si>
  <si>
    <t>e7161c8807ca44e085439ddf548d7489</t>
  </si>
  <si>
    <t>COB07CBBO198</t>
  </si>
  <si>
    <t>44e38dbb4e334294b5534acaf9930631</t>
  </si>
  <si>
    <t>CL0002521988</t>
  </si>
  <si>
    <t>f3dbd2a2f86048d3b238e68cedcb70fa</t>
  </si>
  <si>
    <t>COB01CB00135</t>
  </si>
  <si>
    <t>95b3eb28144a4ce6a75c1665a0a4d887</t>
  </si>
  <si>
    <t>MX91AG050018</t>
  </si>
  <si>
    <t>95bbca5a4dd447cd8e159fa1f8155886</t>
  </si>
  <si>
    <t>BRESB1DBS004</t>
  </si>
  <si>
    <t>616bf483456a4f2584a515fd255ad176</t>
  </si>
  <si>
    <t>CRBPDC0V7859</t>
  </si>
  <si>
    <t>70c67210b92a4b7690c983e47607acea</t>
  </si>
  <si>
    <t>CL0002435833</t>
  </si>
  <si>
    <t>d583c1a1b1f2463ebec5379b3985a990</t>
  </si>
  <si>
    <t>e7422ceebd5f4b049171588f9f404b91</t>
  </si>
  <si>
    <t>d6700b8c707544c78fa5f4e5a0b6c1e4</t>
  </si>
  <si>
    <t>75a44c0cd7a04d06b490e812b1645147</t>
  </si>
  <si>
    <t>50f2b7fafb124d06ab93eef678436e3e</t>
  </si>
  <si>
    <t>Grand Total</t>
  </si>
  <si>
    <t>Handle</t>
  </si>
  <si>
    <t>is_in_allocs</t>
  </si>
  <si>
    <t>pipeline_devlt</t>
  </si>
  <si>
    <t>is_green</t>
  </si>
  <si>
    <t>eval_pop</t>
  </si>
  <si>
    <t>testing_refine_pop</t>
  </si>
  <si>
    <t>out_of_scope</t>
  </si>
  <si>
    <t>Link</t>
  </si>
  <si>
    <t>ISIN</t>
  </si>
  <si>
    <t>FIGI</t>
  </si>
  <si>
    <t>CUSIP</t>
  </si>
  <si>
    <t>Ticker</t>
  </si>
  <si>
    <t>Name</t>
  </si>
  <si>
    <t>Fund</t>
  </si>
  <si>
    <t>Fund handle</t>
  </si>
  <si>
    <t>Fund link</t>
  </si>
  <si>
    <t>Issuance date (date)</t>
  </si>
  <si>
    <t>Maturity date (date)</t>
  </si>
  <si>
    <t>Last published (date)</t>
  </si>
  <si>
    <t>Bond type</t>
  </si>
  <si>
    <t>Bond theme</t>
  </si>
  <si>
    <t>Issuer name</t>
  </si>
  <si>
    <t>Issuer type</t>
  </si>
  <si>
    <t>Issuer jurisdiction</t>
  </si>
  <si>
    <t>PDF name</t>
  </si>
  <si>
    <t>Framework link</t>
  </si>
  <si>
    <t>sustainability report</t>
  </si>
  <si>
    <t>extract cateogry table</t>
  </si>
  <si>
    <t>Find UOP</t>
  </si>
  <si>
    <t>find token similarity</t>
  </si>
  <si>
    <t>non english</t>
  </si>
  <si>
    <t>Bond currency</t>
  </si>
  <si>
    <t>Volume in bond currency</t>
  </si>
  <si>
    <t>Volume in USD</t>
  </si>
  <si>
    <t>9bd98e9cc0fd42a69775ddbd0c63147a</t>
  </si>
  <si>
    <t>TRUE - Wave 2</t>
  </si>
  <si>
    <t>https://www.greenbondtransparency.com/bond-info/?handle=9bd98e9cc0fd42a69775ddbd0c63147a</t>
  </si>
  <si>
    <t>BRERENDBS073</t>
  </si>
  <si>
    <t>Terceira Emiss√£o De Deb√™ntures Simples Da Eren Dracena Participa√ß√µes S.A.</t>
  </si>
  <si>
    <t>No</t>
  </si>
  <si>
    <t>unspecified</t>
  </si>
  <si>
    <t>green</t>
  </si>
  <si>
    <t>Total Eren</t>
  </si>
  <si>
    <t>Non-Financial Corporate</t>
  </si>
  <si>
    <t>Brazil</t>
  </si>
  <si>
    <t>Google gemini: Framework report issued duering its time as an independent renewable energy producer. Appears to be no longer publicly available</t>
  </si>
  <si>
    <t>Only at the parent level - would need to detect GB specific details IF THEY ARE IN THE RPT</t>
  </si>
  <si>
    <t>BRL</t>
  </si>
  <si>
    <t>65152643.330000000000</t>
  </si>
  <si>
    <t>e6bb16f3d1e04ba789445370e5e99dc0</t>
  </si>
  <si>
    <t>https://www.greenbondtransparency.com/bond-info/?handle=e6bb16f3d1e04ba789445370e5e99dc0</t>
  </si>
  <si>
    <t>ARENEY560035</t>
  </si>
  <si>
    <t>GYC2D CLASE III</t>
  </si>
  <si>
    <t>ON 360 ENERGY SOLAR CLASE 3</t>
  </si>
  <si>
    <t>Green</t>
  </si>
  <si>
    <t>360 Energy Solar S.A.</t>
  </si>
  <si>
    <t>Argentina</t>
  </si>
  <si>
    <t>USD</t>
  </si>
  <si>
    <t>60000000.000000000000</t>
  </si>
  <si>
    <t>82f9c056cca1404e906b6d3270884a77</t>
  </si>
  <si>
    <t>https://www.greenbondtransparency.com/bond-info/?handle=82f9c056cca1404e906b6d3270884a77</t>
  </si>
  <si>
    <t>CIFI Serie J</t>
  </si>
  <si>
    <t>c8db70a600e4496aa0bdff98338e72ee</t>
  </si>
  <si>
    <t>https://www.greenbondtransparency.com/bond-info/?handle=c8db70a600e4496aa0bdff98338e72ee</t>
  </si>
  <si>
    <t>Corporaci√≥n Interamericana para el Financiamiento de Infraestructura (CIFI)</t>
  </si>
  <si>
    <t>Financial Corporate</t>
  </si>
  <si>
    <t>Panama</t>
  </si>
  <si>
    <t>https://www.greenbondtransparency.com/download-document/?entity=Framework&amp;handle=4d55cd98379640de90be2eb2fa9aba1f</t>
  </si>
  <si>
    <t>2000000.000000000000</t>
  </si>
  <si>
    <t>3e001fbc60b6457dbbb4e67ee69152c0</t>
  </si>
  <si>
    <t>https://www.greenbondtransparency.com/bond-info/?handle=3e001fbc60b6457dbbb4e67ee69152c0</t>
  </si>
  <si>
    <t>BAGUA-AE</t>
  </si>
  <si>
    <t>Unsecured</t>
  </si>
  <si>
    <t>Aguas Andinas</t>
  </si>
  <si>
    <t>Chile</t>
  </si>
  <si>
    <t>Green_social_bond_framework_series_ad_ae_2019</t>
  </si>
  <si>
    <t>https://www.greenbondtransparency.com/download-document/?entity=Framework&amp;handle=44e38dbb4e334294b5534acaf9930631</t>
  </si>
  <si>
    <t>CLF</t>
  </si>
  <si>
    <t>81506332.000000000000</t>
  </si>
  <si>
    <t>85ffe90464964adb84185c436e607c2f</t>
  </si>
  <si>
    <t>https://www.greenbondtransparency.com/bond-info/?handle=85ffe90464964adb84185c436e607c2f</t>
  </si>
  <si>
    <t>Sicredi - Sustainable LF 3yr</t>
  </si>
  <si>
    <t>Sustainability</t>
  </si>
  <si>
    <t>Banco Cooperativo Sicredi S.A.</t>
  </si>
  <si>
    <t>https://www.greenbondtransparency.com/download-document/?entity=Framework&amp;handle=3335c7c5d57a40b1a9abcb760293f7c1</t>
  </si>
  <si>
    <t>111126211.00000000</t>
  </si>
  <si>
    <t>14cdc800b4464301a71619d0ffe527a8</t>
  </si>
  <si>
    <t>https://www.greenbondtransparency.com/bond-info/?handle=14cdc800b4464301a71619d0ffe527a8</t>
  </si>
  <si>
    <t>BBG0180P8YS2</t>
  </si>
  <si>
    <t>CABEI 1.5462 11</t>
  </si>
  <si>
    <t>Second Swiss Green Bond</t>
  </si>
  <si>
    <t>Central American Bank for Economic Integration (CABEI)</t>
  </si>
  <si>
    <t>Development Bank</t>
  </si>
  <si>
    <t>Supranational</t>
  </si>
  <si>
    <t>https://www.greenbondtransparency.com/download-document/?entity=Framework&amp;handle=54743cb2f07c4d9f923a5c04c2547bb4</t>
  </si>
  <si>
    <t>CHF</t>
  </si>
  <si>
    <t>158583998.00000000</t>
  </si>
  <si>
    <t>4dc0ae2f41244e9e94027befe1771452</t>
  </si>
  <si>
    <t>https://www.greenbondtransparency.com/bond-info/?handle=4dc0ae2f41244e9e94027befe1771452</t>
  </si>
  <si>
    <t>Green MTN BTG Pactual Chile</t>
  </si>
  <si>
    <t>BTG Pactual Chile</t>
  </si>
  <si>
    <t>https://www.greenbondtransparency.com/download-document/?entity=Framework&amp;handle=4eac0cad7e8548e0a253795fe4e7343b</t>
  </si>
  <si>
    <t>20000000.000000000000</t>
  </si>
  <si>
    <t>203dff3c1e9e428488243f5c7b1779a1</t>
  </si>
  <si>
    <t>https://www.greenbondtransparency.com/bond-info/?handle=203dff3c1e9e428488243f5c7b1779a1</t>
  </si>
  <si>
    <t>Local Green Bond - Series XL</t>
  </si>
  <si>
    <t>Genneia S.A.</t>
  </si>
  <si>
    <t>https://www.greenbondtransparency.com/download-document/?entity=Framework&amp;handle=0861b552d06e4b9799ebc7a3b1aa7e2a</t>
  </si>
  <si>
    <t>10867627.000000000000</t>
  </si>
  <si>
    <t>9e0c3b8d34694ed499992594a3a20a12</t>
  </si>
  <si>
    <t>https://www.greenbondtransparency.com/bond-info/?handle=9e0c3b8d34694ed499992594a3a20a12</t>
  </si>
  <si>
    <t>ARENEY560019</t>
  </si>
  <si>
    <t>GYC1O</t>
  </si>
  <si>
    <t>ON 360 ENERGY SOLAR CLASE 1</t>
  </si>
  <si>
    <t>08736641da994e8497cd2ef0703f97f4</t>
  </si>
  <si>
    <t>https://www.greenbondtransparency.com/bond-info/?handle=08736641da994e8497cd2ef0703f97f4</t>
  </si>
  <si>
    <t>BBG00RHW0199</t>
  </si>
  <si>
    <t>Chile - USD 2032</t>
  </si>
  <si>
    <t>fd47a3cbf44c4c7bb9c69c5ad3fcc8e0</t>
  </si>
  <si>
    <t>https://www.greenbondtransparency.com/bond-info/?handle=fd47a3cbf44c4c7bb9c69c5ad3fcc8e0</t>
  </si>
  <si>
    <t>Ministry of Finance of the Republic of Chile</t>
  </si>
  <si>
    <t>Sovereign</t>
  </si>
  <si>
    <t>https://www.greenbondtransparency.com/download-document/?entity=Framework&amp;handle=b25746bc73674469a979cd1218fc9355</t>
  </si>
  <si>
    <t>1500000000.00000000</t>
  </si>
  <si>
    <t>6bc750a3957345d59e7c71f20600611b</t>
  </si>
  <si>
    <t>https://www.greenbondtransparency.com/bond-info/?handle=6bc750a3957345d59e7c71f20600611b</t>
  </si>
  <si>
    <t>Bancomext Senior Notes 23 4x</t>
  </si>
  <si>
    <t>c22e982b478d43eb9de3be32cbb89496</t>
  </si>
  <si>
    <t>https://www.greenbondtransparency.com/bond-info/?handle=c22e982b478d43eb9de3be32cbb89496</t>
  </si>
  <si>
    <t>Bancomext</t>
  </si>
  <si>
    <t>Mexico</t>
  </si>
  <si>
    <t>https://www.greenbondtransparency.com/download-document/?entity=Framework&amp;handle=41f78746078d444787f9a1f78b30153c</t>
  </si>
  <si>
    <t>MXN</t>
  </si>
  <si>
    <t>326000000.00000000</t>
  </si>
  <si>
    <t>1378351368c44ddd9aaaacbad374fdba</t>
  </si>
  <si>
    <t>https://www.greenbondtransparency.com/bond-info/?handle=1378351368c44ddd9aaaacbad374fdba</t>
  </si>
  <si>
    <t>Bono Azul</t>
  </si>
  <si>
    <t>Banco Nacional de Costa Rica</t>
  </si>
  <si>
    <t>Costa Rica</t>
  </si>
  <si>
    <t>https://www.greenbondtransparency.com/download-document/?entity=Framework&amp;handle=277b6ad349f343c0861b25da64e6f9e1</t>
  </si>
  <si>
    <t>50000000.000000000000</t>
  </si>
  <si>
    <t>641852f48d4d4d0ab9f8c969be2dcd20</t>
  </si>
  <si>
    <t>https://www.greenbondtransparency.com/bond-info/?handle=641852f48d4d4d0ab9f8c969be2dcd20</t>
  </si>
  <si>
    <t>BRIMWLCRA0N2</t>
  </si>
  <si>
    <t>Certificado de Recebimento do Agroneg√≥cio (CRA)</t>
  </si>
  <si>
    <t>SLC Agr√≠cola S.A.</t>
  </si>
  <si>
    <t>94702575.000000000000</t>
  </si>
  <si>
    <t>4de81a22550d465b9b985c699f30e69b</t>
  </si>
  <si>
    <t>TRUE - No Docs</t>
  </si>
  <si>
    <t>https://www.greenbondtransparency.com/bond-info/?handle=4de81a22550d465b9b985c699f30e69b</t>
  </si>
  <si>
    <t>BRPASNDBS018</t>
  </si>
  <si>
    <t>BBG00WGHMDH3</t>
  </si>
  <si>
    <t>T√≠tulo Sustent√°vel Paranagu√°</t>
  </si>
  <si>
    <t>Igu√° Saneamento</t>
  </si>
  <si>
    <t>safari cannot locate page too many and possibly circular re-directs, same problem with chrome</t>
  </si>
  <si>
    <t>49936379.000000000000</t>
  </si>
  <si>
    <t>2d8de8f14b6641838c8358b9eeb40c28</t>
  </si>
  <si>
    <t>https://www.greenbondtransparency.com/bond-info/?handle=2d8de8f14b6641838c8358b9eeb40c28</t>
  </si>
  <si>
    <t>BRHITCDBS001</t>
  </si>
  <si>
    <t>CHPT11</t>
  </si>
  <si>
    <t>Deb√™ntures 12.431 - Central Hidrel√©trica Palmeiras do Tocantins</t>
  </si>
  <si>
    <t>ZX Participa√ß√µes S.A</t>
  </si>
  <si>
    <t>cannot find a website</t>
  </si>
  <si>
    <t>only seem to come up in business directories</t>
  </si>
  <si>
    <t>4266666.000000000000</t>
  </si>
  <si>
    <t>c0573c3a55414bb284866d6334dfb985</t>
  </si>
  <si>
    <t>https://www.greenbondtransparency.com/bond-info/?handle=c0573c3a55414bb284866d6334dfb985</t>
  </si>
  <si>
    <t>Prog Finandina</t>
  </si>
  <si>
    <t>Programa Bonos Verdes Banco Finandina</t>
  </si>
  <si>
    <t>Yes</t>
  </si>
  <si>
    <t>Banco Finandina BIC</t>
  </si>
  <si>
    <t>Colombia</t>
  </si>
  <si>
    <t>https://www.greenbondtransparency.com/download-document/?entity=Framework&amp;handle=46bc90cd9f664b57a297ff3b221857bd</t>
  </si>
  <si>
    <t>COP</t>
  </si>
  <si>
    <t>8de35726c38f47e0be910337fedb0a9a</t>
  </si>
  <si>
    <t>https://www.greenbondtransparency.com/bond-info/?handle=8de35726c38f47e0be910337fedb0a9a</t>
  </si>
  <si>
    <t>BonoFindeter</t>
  </si>
  <si>
    <t>Bono Sostenible Findeter</t>
  </si>
  <si>
    <t>Financiera de Desarrollo Territorial S.A. Findeter</t>
  </si>
  <si>
    <t>https://www.greenbondtransparency.com/download-document/?entity=Framework&amp;handle=588f4584351c4b9ea59518b315bbf51d</t>
  </si>
  <si>
    <t>ac1e3c0e77e8451281967844be46aafd</t>
  </si>
  <si>
    <t>https://www.greenbondtransparency.com/bond-info/?handle=ac1e3c0e77e8451281967844be46aafd</t>
  </si>
  <si>
    <t>WREL#1_B</t>
  </si>
  <si>
    <t>WREL#1 Note B</t>
  </si>
  <si>
    <t>857a2aaaa36240d4ac4b2f568bca4a42</t>
  </si>
  <si>
    <t>https://www.greenbondtransparency.com/bond-info/?handle=857a2aaaa36240d4ac4b2f568bca4a42</t>
  </si>
  <si>
    <t>Williams Caribbean Capital</t>
  </si>
  <si>
    <t>Barbados</t>
  </si>
  <si>
    <t>BBD</t>
  </si>
  <si>
    <t>897477db801c4bf7972c48ef87a1f00e</t>
  </si>
  <si>
    <t>https://www.greenbondtransparency.com/bond-info/?handle=897477db801c4bf7972c48ef87a1f00e</t>
  </si>
  <si>
    <t>BRGRBALBO021</t>
  </si>
  <si>
    <t>Primeira Emiss√£o de CRA Verde da Usina S√£o Francisco S/A</t>
  </si>
  <si>
    <t>Usina S√£o Francisco S/A</t>
  </si>
  <si>
    <t>19016830.000000000000</t>
  </si>
  <si>
    <t>a31693d3e7bf4b0490bc87250076b904</t>
  </si>
  <si>
    <t>https://www.greenbondtransparency.com/bond-info/?handle=a31693d3e7bf4b0490bc87250076b904</t>
  </si>
  <si>
    <t>BRCGEPDBS000</t>
  </si>
  <si>
    <t>BBG00LZCH1F1</t>
  </si>
  <si>
    <t>CGEP12</t>
  </si>
  <si>
    <t>Green Bond Rio Energy Serra da Babilonia Wind Complex</t>
  </si>
  <si>
    <t>Rio Energy Participa√ß√µes</t>
  </si>
  <si>
    <t>no FW report - sustainability report could enable assessment of the whole firm</t>
  </si>
  <si>
    <t>32656920.880000000000</t>
  </si>
  <si>
    <t>52a3ebde93e1453cb962eb8e994d15f0</t>
  </si>
  <si>
    <t>https://www.greenbondtransparency.com/bond-info/?handle=52a3ebde93e1453cb962eb8e994d15f0</t>
  </si>
  <si>
    <t>BBG012DCNXZ7</t>
  </si>
  <si>
    <t>P46756 BA2</t>
  </si>
  <si>
    <t>Global Secured Green Bond - Series XXXI</t>
  </si>
  <si>
    <t>366118638.00000000</t>
  </si>
  <si>
    <t>1dfdf670db17445598adbebb3b4e26a0</t>
  </si>
  <si>
    <t>https://www.greenbondtransparency.com/bond-info/?handle=1dfdf670db17445598adbebb3b4e26a0</t>
  </si>
  <si>
    <t>1st Green Bond FS</t>
  </si>
  <si>
    <t>FS Agribusiness</t>
  </si>
  <si>
    <t>https://www.greenbondtransparency.com/download-document/?entity=Framework&amp;handle=06916bad6f3d4631a2127d3f46ff766d</t>
  </si>
  <si>
    <t>680000000.00000000</t>
  </si>
  <si>
    <t>d504aa002bf5487f8fc01a2b94b3a137</t>
  </si>
  <si>
    <t>https://www.greenbondtransparency.com/bond-info/?handle=d504aa002bf5487f8fc01a2b94b3a137</t>
  </si>
  <si>
    <t>COE15CB00295</t>
  </si>
  <si>
    <t>Tramo 14 Serie G20</t>
  </si>
  <si>
    <t>a0bc4c5a1c144c07bd4a964abff5f34f</t>
  </si>
  <si>
    <t>https://www.greenbondtransparency.com/bond-info/?handle=a0bc4c5a1c144c07bd4a964abff5f34f</t>
  </si>
  <si>
    <t>ISA - Interconexi√≥n El√©ctrica S.A. E.S.P.</t>
  </si>
  <si>
    <t>37276946.000000000000</t>
  </si>
  <si>
    <t>2d02a140e1674840929801f32b91dbf3</t>
  </si>
  <si>
    <t>https://www.greenbondtransparency.com/bond-info/?handle=2d02a140e1674840929801f32b91dbf3</t>
  </si>
  <si>
    <t>BRECOACRA1I9</t>
  </si>
  <si>
    <t>Suzano CRA Verde 2016</t>
  </si>
  <si>
    <t>Other</t>
  </si>
  <si>
    <t>Suzano Papel e Celulose</t>
  </si>
  <si>
    <t>291723795.00000000</t>
  </si>
  <si>
    <t>acc19cf373e7447e8563013358643c48</t>
  </si>
  <si>
    <t>https://www.greenbondtransparency.com/bond-info/?handle=acc19cf373e7447e8563013358643c48</t>
  </si>
  <si>
    <t>BBG01NTHRL30</t>
  </si>
  <si>
    <t>CIFI Serie R</t>
  </si>
  <si>
    <t>5800000.000000000000</t>
  </si>
  <si>
    <t>519f17ca40d44fbba816416b0e9f3cb1</t>
  </si>
  <si>
    <t>https://www.greenbondtransparency.com/bond-info/?handle=519f17ca40d44fbba816416b0e9f3cb1</t>
  </si>
  <si>
    <t>XS1459407026</t>
  </si>
  <si>
    <t>BBG00DJ0DXT2</t>
  </si>
  <si>
    <t>CABEI 8.4</t>
  </si>
  <si>
    <t>Uridashi "Best Effort" Green Bond</t>
  </si>
  <si>
    <t>ZAR</t>
  </si>
  <si>
    <t>72865918.000000000000</t>
  </si>
  <si>
    <t>38c8968c7a15417cb719352eb6a09133</t>
  </si>
  <si>
    <t>https://www.greenbondtransparency.com/bond-info/?handle=38c8968c7a15417cb719352eb6a09133</t>
  </si>
  <si>
    <t>Finandina Serie A Subserie A36</t>
  </si>
  <si>
    <t>12313132.000000000000</t>
  </si>
  <si>
    <t>5d9414c64ce1488fb9135b3bf4414ee5</t>
  </si>
  <si>
    <t>https://www.greenbondtransparency.com/bond-info/?handle=5d9414c64ce1488fb9135b3bf4414ee5</t>
  </si>
  <si>
    <t>BBG00WLK8HD1.</t>
  </si>
  <si>
    <t>CHF GREEN BOND BENCHMARK</t>
  </si>
  <si>
    <t>91d5f951533040578939c60b74089a81</t>
  </si>
  <si>
    <t>https://www.greenbondtransparency.com/bond-info/?handle=91d5f951533040578939c60b74089a81</t>
  </si>
  <si>
    <t>CAF - Banco de Desarrollo de America Latina</t>
  </si>
  <si>
    <t>https://www.greenbondtransparency.com/download-document/?entity=Framework&amp;handle=20ab6a5a7a89447fa8ffc6208696d342</t>
  </si>
  <si>
    <t>381887615.00000000</t>
  </si>
  <si>
    <t>da9916873b564cd28fda3e00d0460e6c</t>
  </si>
  <si>
    <t>https://www.greenbondtransparency.com/bond-info/?handle=da9916873b564cd28fda3e00d0460e6c</t>
  </si>
  <si>
    <t>BBG01Y651z07</t>
  </si>
  <si>
    <t>YJ6756839</t>
  </si>
  <si>
    <t>BOGOTA</t>
  </si>
  <si>
    <t>Bogot√° D.C. Green Bond 2035</t>
  </si>
  <si>
    <t>2b60c8d79cfe41b1ab91f267a4314ae9</t>
  </si>
  <si>
    <t>https://www.greenbondtransparency.com/bond-info/?handle=2b60c8d79cfe41b1ab91f267a4314ae9</t>
  </si>
  <si>
    <t>Bogot√° Distrito Capital</t>
  </si>
  <si>
    <t>Local government</t>
  </si>
  <si>
    <t>https://www.greenbondtransparency.com/download-document/?entity=Framework&amp;handle=79973950fccc4bf18841836cb416b80c</t>
  </si>
  <si>
    <t>554322876.00000000</t>
  </si>
  <si>
    <t>070039e58a2142adbcc6777258457e5e</t>
  </si>
  <si>
    <t>https://www.greenbondtransparency.com/bond-info/?handle=070039e58a2142adbcc6777258457e5e</t>
  </si>
  <si>
    <t>ARZUAM560013</t>
  </si>
  <si>
    <t>BBG0146Z2RY7</t>
  </si>
  <si>
    <t>ZUAMAR S.A - BONO VERDE ON SERIE I</t>
  </si>
  <si>
    <t>ZUAMAR S.A.</t>
  </si>
  <si>
    <t>ARS</t>
  </si>
  <si>
    <t>1127672.000000000000</t>
  </si>
  <si>
    <t>2fdfc64b87b840a397dbab7ef4863118</t>
  </si>
  <si>
    <t>https://www.greenbondtransparency.com/bond-info/?handle=2fdfc64b87b840a397dbab7ef4863118</t>
  </si>
  <si>
    <t>BROMNGDBS011</t>
  </si>
  <si>
    <t>OMNG12</t>
  </si>
  <si>
    <t>Omega Energia</t>
  </si>
  <si>
    <t>69681997.000000000000</t>
  </si>
  <si>
    <t>84dd8bdea79945f3bb209c0d1a0d1d9c</t>
  </si>
  <si>
    <t>https://www.greenbondtransparency.com/bond-info/?handle=84dd8bdea79945f3bb209c0d1a0d1d9c</t>
  </si>
  <si>
    <t>Bancomext Senior Notes 23 3x</t>
  </si>
  <si>
    <t>265.0000000000000000</t>
  </si>
  <si>
    <t>282de9537dfb4fe29cef3d72871b4d6d</t>
  </si>
  <si>
    <t>https://www.greenbondtransparency.com/bond-info/?handle=282de9537dfb4fe29cef3d72871b4d6d</t>
  </si>
  <si>
    <t>BBG00Y91VPS3</t>
  </si>
  <si>
    <t>BTG Pactual Green Bond- Private Placement</t>
  </si>
  <si>
    <t>8e6d700046f54858af9428fd50d0f6ee</t>
  </si>
  <si>
    <t>https://www.greenbondtransparency.com/bond-info/?handle=8e6d700046f54858af9428fd50d0f6ee</t>
  </si>
  <si>
    <t>BTG Pactual</t>
  </si>
  <si>
    <t>https://www.greenbondtransparency.com/download-document/?entity=Framework&amp;handle=4fe1e360ebb54d2881c324702c05ca4c</t>
  </si>
  <si>
    <t>8cba0d41c7f845c0a91a28b66fd44836</t>
  </si>
  <si>
    <t>https://www.greenbondtransparency.com/bond-info/?handle=8cba0d41c7f845c0a91a28b66fd44836</t>
  </si>
  <si>
    <t>BBG01J3R1QB3</t>
  </si>
  <si>
    <t>CIFI Serie N</t>
  </si>
  <si>
    <t>1ea3f91d3e7047c6af38408cf446eaae</t>
  </si>
  <si>
    <t>https://www.greenbondtransparency.com/bond-info/?handle=1ea3f91d3e7047c6af38408cf446eaae</t>
  </si>
  <si>
    <t>BRITMGDBS028</t>
  </si>
  <si>
    <t>BBG00GY1HY29</t>
  </si>
  <si>
    <t>ITGE13</t>
  </si>
  <si>
    <t>Green Bond Rio Energy Itarema Wind Complex</t>
  </si>
  <si>
    <t>no FW rpt - sust rpt assessment. Also look at what is available in a more structured manner from GBTP</t>
  </si>
  <si>
    <t>https://rioenergy.com.br/wp-content/uploads/2025/06/2022-Sustainability-Report-–-Rio-Energy-1.pdf</t>
  </si>
  <si>
    <t>35235512.960000000000</t>
  </si>
  <si>
    <t>5606e307519f4f58abc9d45cb7e36d03</t>
  </si>
  <si>
    <t>TRUE - Wave 1</t>
  </si>
  <si>
    <t>https://www.greenbondtransparency.com/bond-info/?handle=5606e307519f4f58abc9d45cb7e36d03</t>
  </si>
  <si>
    <t>BBG000GZL6P0</t>
  </si>
  <si>
    <t>PCD</t>
  </si>
  <si>
    <t>Banco Pichincha Green Bond -Issue 1</t>
  </si>
  <si>
    <t>Banco Pichincha SA</t>
  </si>
  <si>
    <t>Ecuador</t>
  </si>
  <si>
    <t>Green_Bonds_Framework_-_Banco_Pichincha</t>
  </si>
  <si>
    <t>https://www.greenbondtransparency.com/download-document/?entity=Framework&amp;handle=75a44c0cd7a04d06b490e812b1645147</t>
  </si>
  <si>
    <t>150000000.00000000</t>
  </si>
  <si>
    <t>e1a151fc549946899135468e9f745cc9</t>
  </si>
  <si>
    <t>https://www.greenbondtransparency.com/bond-info/?handle=e1a151fc549946899135468e9f745cc9</t>
  </si>
  <si>
    <t>ARYPFE5600G5</t>
  </si>
  <si>
    <t>BBG0154MTNZ4</t>
  </si>
  <si>
    <t>YPFLUZ 5</t>
  </si>
  <si>
    <t>YPF Luz Series X Bond</t>
  </si>
  <si>
    <t>YPF Luz</t>
  </si>
  <si>
    <t>63900000.000000000000</t>
  </si>
  <si>
    <t>314f7f4c213f427091038506ef0c444b</t>
  </si>
  <si>
    <t>https://www.greenbondtransparency.com/bond-info/?handle=314f7f4c213f427091038506ef0c444b</t>
  </si>
  <si>
    <t>BRTAEEDBS0I1</t>
  </si>
  <si>
    <t>BBG00RHCX4G3</t>
  </si>
  <si>
    <t>Oitava Emiss√£o de Deb√™ntures da Taesa</t>
  </si>
  <si>
    <t>TAESA</t>
  </si>
  <si>
    <t>deal documentation</t>
  </si>
  <si>
    <t>https://ri.taesa.com.br/wp-content/uploads/2018/11/ARTD-Escritura-8-ª-emissao-redz.pdf</t>
  </si>
  <si>
    <t>67094434.000000000000</t>
  </si>
  <si>
    <t>d240454344144dd4bfb77918cdce733e</t>
  </si>
  <si>
    <t>https://www.greenbondtransparency.com/bond-info/?handle=d240454344144dd4bfb77918cdce733e</t>
  </si>
  <si>
    <t>BBG01NTHRL58</t>
  </si>
  <si>
    <t>CIFI Serie Q</t>
  </si>
  <si>
    <t>750000.000000000000</t>
  </si>
  <si>
    <t>1fd5c178da6148569a42c52f45981714</t>
  </si>
  <si>
    <t>https://www.greenbondtransparency.com/bond-info/?handle=1fd5c178da6148569a42c52f45981714</t>
  </si>
  <si>
    <t>COB07CB00587</t>
  </si>
  <si>
    <t>Bancolombia Bono Verde 1</t>
  </si>
  <si>
    <t>Grupo Bancolombia</t>
  </si>
  <si>
    <t>page not found on gbtp</t>
  </si>
  <si>
    <t>https://www.greenbondtransparency.com/download-document/?entity=Framework&amp;handle=887634f5dea44d698661f04daff365d5</t>
  </si>
  <si>
    <t>114340224.20000000</t>
  </si>
  <si>
    <t>887634f5dea44d698661f04daff365d5</t>
  </si>
  <si>
    <t>f0bc9a72c6c845c69b76bdc585cf07da</t>
  </si>
  <si>
    <t>https://www.greenbondtransparency.com/bond-info/?handle=f0bc9a72c6c845c69b76bdc585cf07da</t>
  </si>
  <si>
    <t>ARMUCO320161</t>
  </si>
  <si>
    <t>BBG01BBP1V51</t>
  </si>
  <si>
    <t>TITULOS DE DEUDA SERIE I - BONO VERDE -DE LA MUNICIPALIDAD DE LA CIUDAD DE CORDOBA</t>
  </si>
  <si>
    <t>Municipalidad de C√≥rdoba</t>
  </si>
  <si>
    <t>12845355.000000000000</t>
  </si>
  <si>
    <t>d926bd6190f14503bf5981ccf4d7c715</t>
  </si>
  <si>
    <t>https://www.greenbondtransparency.com/bond-info/?handle=d926bd6190f14503bf5981ccf4d7c715</t>
  </si>
  <si>
    <t>BBG00GM45ZM4</t>
  </si>
  <si>
    <t>P14486AM9</t>
  </si>
  <si>
    <t>BNDES Green Bond 2017</t>
  </si>
  <si>
    <t>Senior unsecured</t>
  </si>
  <si>
    <t>BNDES</t>
  </si>
  <si>
    <t>BNDES_Green_Bond_Framework</t>
  </si>
  <si>
    <t>https://www.greenbondtransparency.com/download-document/?entity=Framework&amp;handle=8248830a582148988b2d374bbe06b15d</t>
  </si>
  <si>
    <t>1000000000.00000000</t>
  </si>
  <si>
    <t>44e27f4e41cc40a693f0cb8b082426ca</t>
  </si>
  <si>
    <t>https://www.greenbondtransparency.com/bond-info/?handle=44e27f4e41cc40a693f0cb8b082426ca</t>
  </si>
  <si>
    <t>31572UAF3</t>
  </si>
  <si>
    <t>Fibria Green Bond 2027</t>
  </si>
  <si>
    <t>https://s201.q4cdn.com/761980458/files/doc_downloads/bonds/2027-Bond.pdf</t>
  </si>
  <si>
    <t>700000000.00000000</t>
  </si>
  <si>
    <t>63b60ae70a5b49b388cfbc958b5a5781</t>
  </si>
  <si>
    <t>https://www.greenbondtransparency.com/bond-info/?handle=63b60ae70a5b49b388cfbc958b5a5781</t>
  </si>
  <si>
    <t>First Blue Bond Japan Market Tranche 2</t>
  </si>
  <si>
    <t>blue</t>
  </si>
  <si>
    <t>https://www.greenbondtransparency.com/download-document/?entity=Framework&amp;handle=9baf8156464a428da24a03b589461dec</t>
  </si>
  <si>
    <t>JPY</t>
  </si>
  <si>
    <t>72700836.000000000000</t>
  </si>
  <si>
    <t>2878df0beb2d40299777e8fb4ee097d6</t>
  </si>
  <si>
    <t>https://www.greenbondtransparency.com/bond-info/?handle=2878df0beb2d40299777e8fb4ee097d6</t>
  </si>
  <si>
    <t>Bancomext Senior Notes 23x</t>
  </si>
  <si>
    <t>c9818a5477c24c92b64c779cc3249a8f</t>
  </si>
  <si>
    <t>https://www.greenbondtransparency.com/bond-info/?handle=c9818a5477c24c92b64c779cc3249a8f</t>
  </si>
  <si>
    <t>222222222.00000000</t>
  </si>
  <si>
    <t>ce25e51a10e6404da2cdacb8e09bae28</t>
  </si>
  <si>
    <t>https://www.greenbondtransparency.com/bond-info/?handle=ce25e51a10e6404da2cdacb8e09bae28</t>
  </si>
  <si>
    <t>Local Green Bond - Series XLI</t>
  </si>
  <si>
    <t>30000000.000000000000</t>
  </si>
  <si>
    <t>b5a27427940641ac941aae5bb87fc15e</t>
  </si>
  <si>
    <t>https://www.greenbondtransparency.com/bond-info/?handle=b5a27427940641ac941aae5bb87fc15e</t>
  </si>
  <si>
    <t>Bancolombia Bono Sostenible 2021</t>
  </si>
  <si>
    <t>https://www.greenbondtransparency.com/download-document/?entity=Framework&amp;handle=e7161c8807ca44e085439ddf548d7489</t>
  </si>
  <si>
    <t>156847983.00000000</t>
  </si>
  <si>
    <t>731de09d90c6433a8eddaf8aa22dc123</t>
  </si>
  <si>
    <t>https://www.greenbondtransparency.com/bond-info/?handle=731de09d90c6433a8eddaf8aa22dc123</t>
  </si>
  <si>
    <t>BR07S4CTF001</t>
  </si>
  <si>
    <t>Green FIDC Solar GD √ìrigo</t>
  </si>
  <si>
    <t>Albion Capital Ltda</t>
  </si>
  <si>
    <t>Climate Finance Lab and Albion Capital</t>
  </si>
  <si>
    <t>https://www.climatefinancelab.org/ideas/green-receivables-fund-green-fidc/</t>
  </si>
  <si>
    <t>24673072.000000000000</t>
  </si>
  <si>
    <t>885f7ef8568f4ecc8fb398961cb01fd4</t>
  </si>
  <si>
    <t>https://www.greenbondtransparency.com/bond-info/?handle=885f7ef8568f4ecc8fb398961cb01fd4</t>
  </si>
  <si>
    <t>BBG00QFWTF19</t>
  </si>
  <si>
    <t>CIFI Serie B</t>
  </si>
  <si>
    <t>12000000.000000000000</t>
  </si>
  <si>
    <t>e4570195ee594e479365900b4140ec5f</t>
  </si>
  <si>
    <t>https://www.greenbondtransparency.com/bond-info/?handle=e4570195ee594e479365900b4140ec5f</t>
  </si>
  <si>
    <t>PR_PV_BRADESCO</t>
  </si>
  <si>
    <t>Bradesco Climate Bond - 2020</t>
  </si>
  <si>
    <t>Private placement</t>
  </si>
  <si>
    <t>Bradesco</t>
  </si>
  <si>
    <t>231928875.00000000</t>
  </si>
  <si>
    <t>69a374327ec74ed980c676a9cc7a693a</t>
  </si>
  <si>
    <t>https://www.greenbondtransparency.com/bond-info/?handle=69a374327ec74ed980c676a9cc7a693a</t>
  </si>
  <si>
    <t>BRSAQIDBS008</t>
  </si>
  <si>
    <t>BBG00Q6C9BH7</t>
  </si>
  <si>
    <t>Sabar√° Green Bond</t>
  </si>
  <si>
    <t>Sabar√° Qu√≠micos e Ingredientes S.A.</t>
  </si>
  <si>
    <t>sustainability rpt parent level in portuguese</t>
  </si>
  <si>
    <t>https://gruposabara.com/en/download/Relatorio_sustentabilidade_Sabara2022.pdf</t>
  </si>
  <si>
    <t>4895000.000000000000</t>
  </si>
  <si>
    <t>25c3df197dbe40e98c935279203ab764</t>
  </si>
  <si>
    <t>https://www.greenbondtransparency.com/bond-info/?handle=25c3df197dbe40e98c935279203ab764</t>
  </si>
  <si>
    <t>CIFI Serie I</t>
  </si>
  <si>
    <t>4000000.000000000000</t>
  </si>
  <si>
    <t>d36e148cc02845588f4173c38ab6f688</t>
  </si>
  <si>
    <t>https://www.greenbondtransparency.com/bond-info/?handle=d36e148cc02845588f4173c38ab6f688</t>
  </si>
  <si>
    <t>CGTBV0722</t>
  </si>
  <si>
    <t>Primer Bono Verde colones Planta Solar Huacas - COOPEGUANACASTE</t>
  </si>
  <si>
    <t>Coopeguanacaste, R.L.</t>
  </si>
  <si>
    <t>https://www.greenbondtransparency.com/download-document/?entity=Framework&amp;handle=e6873103865949bdb9e863d906f83c74</t>
  </si>
  <si>
    <t>CRC</t>
  </si>
  <si>
    <t>6011609.000000000000</t>
  </si>
  <si>
    <t>CAF GB Program</t>
  </si>
  <si>
    <t>Green Bond Program</t>
  </si>
  <si>
    <t>CAF’s_GREEN_BOND_FRAMEWORK</t>
  </si>
  <si>
    <t>e409442424864da7afa12f94bb6ac8de</t>
  </si>
  <si>
    <t>https://www.greenbondtransparency.com/bond-info/?handle=e409442424864da7afa12f94bb6ac8de</t>
  </si>
  <si>
    <t>BBG011CKB3Z1</t>
  </si>
  <si>
    <t>46137NAC2</t>
  </si>
  <si>
    <t>ILAPCL 144A</t>
  </si>
  <si>
    <t>Inversiones Latin America Power 144A Note</t>
  </si>
  <si>
    <t>Inversiones Latin America Power (ILAP)</t>
  </si>
  <si>
    <t>https://www.greenbondtransparency.com/download-document/?entity=Framework&amp;handle=a40381fb70654535ada4454c2ff5e808</t>
  </si>
  <si>
    <t>153670000.00000000</t>
  </si>
  <si>
    <t>b801a9916932412fb579bb166dbdcdbe</t>
  </si>
  <si>
    <t>https://www.greenbondtransparency.com/bond-info/?handle=b801a9916932412fb579bb166dbdcdbe</t>
  </si>
  <si>
    <t>BRSMTODBS005</t>
  </si>
  <si>
    <t>SMTO13</t>
  </si>
  <si>
    <t>3¬™ Emiss√£o de Deb√™ntures - S√©rie √önica - S√£o Martinho</t>
  </si>
  <si>
    <t>S√£o Martinho</t>
  </si>
  <si>
    <t>99956019.000000000000</t>
  </si>
  <si>
    <t>a51f0a51fdd241f0b87f87edf3924a15</t>
  </si>
  <si>
    <t>https://www.greenbondtransparency.com/bond-info/?handle=a51f0a51fdd241f0b87f87edf3924a15</t>
  </si>
  <si>
    <t>BRTAEEDBS0H3</t>
  </si>
  <si>
    <t>BBG00QPSKY60</t>
  </si>
  <si>
    <t>S√©tima Emiss√£o de Deb√™ntures da Taesa</t>
  </si>
  <si>
    <t>html with table showing project coverage by debenture issuance</t>
  </si>
  <si>
    <t>https://ri.taesa.com.br/en/sustainability/overview/#financasverdes</t>
  </si>
  <si>
    <t>118751087.00000000</t>
  </si>
  <si>
    <t>939ba0f096214b298b1b949ef2ad6ad7</t>
  </si>
  <si>
    <t>https://www.greenbondtransparency.com/bond-info/?handle=939ba0f096214b298b1b949ef2ad6ad7</t>
  </si>
  <si>
    <t>CRA0200018J</t>
  </si>
  <si>
    <t>CRA Coopan</t>
  </si>
  <si>
    <t>ABS</t>
  </si>
  <si>
    <t>Grupo Gaia</t>
  </si>
  <si>
    <t>255972.000000000000</t>
  </si>
  <si>
    <t>19e36a4428614da782362502bd1291a3</t>
  </si>
  <si>
    <t>https://www.greenbondtransparency.com/bond-info/?handle=19e36a4428614da782362502bd1291a3</t>
  </si>
  <si>
    <t>BRATAMDBS010</t>
  </si>
  <si>
    <t>BBG00QJ63P18</t>
  </si>
  <si>
    <t>Attend Ambiental 2026</t>
  </si>
  <si>
    <t>Attend Ambiental S.A.</t>
  </si>
  <si>
    <t>website - no EN option</t>
  </si>
  <si>
    <t>13000000.000000000000</t>
  </si>
  <si>
    <t>0ed1b474d025484781d9dddf7b4e395a</t>
  </si>
  <si>
    <t>https://www.greenbondtransparency.com/bond-info/?handle=0ed1b474d025484781d9dddf7b4e395a</t>
  </si>
  <si>
    <t>BBG013865923</t>
  </si>
  <si>
    <t>BACMEXT 21X</t>
  </si>
  <si>
    <t>Bancomext Senior Notes 21x</t>
  </si>
  <si>
    <t>1403dbb9be5b4892b8984de9f4461536</t>
  </si>
  <si>
    <t>https://www.greenbondtransparency.com/bond-info/?handle=1403dbb9be5b4892b8984de9f4461536</t>
  </si>
  <si>
    <t>147597845.00000000</t>
  </si>
  <si>
    <t>f21e0d60edce484e9ebf4c459d4e16a3</t>
  </si>
  <si>
    <t>https://www.greenbondtransparency.com/bond-info/?handle=f21e0d60edce484e9ebf4c459d4e16a3</t>
  </si>
  <si>
    <t>CTGE13</t>
  </si>
  <si>
    <t>COMPANHIA DE GERACAO E TRANSMISSAO DE ENERGIA ELETRICA DO SUL DO BRASIL</t>
  </si>
  <si>
    <t>CGT Eletrosul</t>
  </si>
  <si>
    <t>https://www.greenbondtransparency.com/download-document/?entity=Framework&amp;handle=62947748118b4a87bfa9d3d52dfb49f1</t>
  </si>
  <si>
    <t>35191173.000000000000</t>
  </si>
  <si>
    <t>16e566aa3fe94a5dad3b8f95dc398955</t>
  </si>
  <si>
    <t>https://www.greenbondtransparency.com/bond-info/?handle=16e566aa3fe94a5dad3b8f95dc398955</t>
  </si>
  <si>
    <t>BROMGEDBS051</t>
  </si>
  <si>
    <t>OMGE22</t>
  </si>
  <si>
    <t>9482628.000000000000</t>
  </si>
  <si>
    <t>7a6a01a52c374ca2af5362834049d674</t>
  </si>
  <si>
    <t>https://www.greenbondtransparency.com/bond-info/?handle=7a6a01a52c374ca2af5362834049d674</t>
  </si>
  <si>
    <t>BRRANIDBS049</t>
  </si>
  <si>
    <t>RANI16</t>
  </si>
  <si>
    <t>Irani Green Bond 2040</t>
  </si>
  <si>
    <t>Irani Papel e Embalagem S.A.</t>
  </si>
  <si>
    <t>24000000.000000000000</t>
  </si>
  <si>
    <t>1fe1c3a0375046e78c97ae9bae5d186c</t>
  </si>
  <si>
    <t>https://www.greenbondtransparency.com/bond-info/?handle=1fe1c3a0375046e78c97ae9bae5d186c</t>
  </si>
  <si>
    <t>Emisi√≥n 1 del Fideicomiso de Oferta P√∫blica de Valores Larimar I No. 04 ‚Äì FP</t>
  </si>
  <si>
    <t>0ba4484e2ad6469ba637e46670f3aff2</t>
  </si>
  <si>
    <t>https://www.greenbondtransparency.com/bond-info/?handle=0ba4484e2ad6469ba637e46670f3aff2</t>
  </si>
  <si>
    <t>EGE Haina, S.A</t>
  </si>
  <si>
    <t>Dominican Republic</t>
  </si>
  <si>
    <t>https://www.greenbondtransparency.com/download-document/?entity=Framework&amp;handle=463bf5e91ed14844b7cce6dafe61cf29</t>
  </si>
  <si>
    <t>b9e53c01ef12400ea7f0a9fcfb8945de</t>
  </si>
  <si>
    <t>https://www.greenbondtransparency.com/bond-info/?handle=b9e53c01ef12400ea7f0a9fcfb8945de</t>
  </si>
  <si>
    <t>BBG016XZJ395</t>
  </si>
  <si>
    <t>BACMEXT 22-3X</t>
  </si>
  <si>
    <t>Bancomext Senior Notes 22 3x</t>
  </si>
  <si>
    <t>a203bf32e36b489bacf6ec7972d80d21</t>
  </si>
  <si>
    <t>https://www.greenbondtransparency.com/bond-info/?handle=a203bf32e36b489bacf6ec7972d80d21</t>
  </si>
  <si>
    <t>399201770.65000000</t>
  </si>
  <si>
    <t>a0aa44bf434b49beaeb87649efc4f8f9</t>
  </si>
  <si>
    <t>https://www.greenbondtransparency.com/bond-info/?handle=a0aa44bf434b49beaeb87649efc4f8f9</t>
  </si>
  <si>
    <t>BBG00PGF6K39</t>
  </si>
  <si>
    <t>Chile - USD 2050</t>
  </si>
  <si>
    <t>2318357000.00000000</t>
  </si>
  <si>
    <t>75ebf4bea1c94bb19c2ffc24f937cac8</t>
  </si>
  <si>
    <t>https://www.greenbondtransparency.com/bond-info/?handle=75ebf4bea1c94bb19c2ffc24f937cac8</t>
  </si>
  <si>
    <t>BRGAFLCRA0Z3</t>
  </si>
  <si>
    <t>CRA Tab√¥a Fortalecimento</t>
  </si>
  <si>
    <t>Senior secured</t>
  </si>
  <si>
    <t>208416.000000000000</t>
  </si>
  <si>
    <t>3b458b09436446d2a6d9fcfb9429589a</t>
  </si>
  <si>
    <t>https://www.greenbondtransparency.com/bond-info/?handle=3b458b09436446d2a6d9fcfb9429589a</t>
  </si>
  <si>
    <t>ARPAMP5600J1</t>
  </si>
  <si>
    <t>Pampa Energ√≠a - ON Clase 17</t>
  </si>
  <si>
    <t>Pampa Energ√≠a</t>
  </si>
  <si>
    <t>27001402.000000000000</t>
  </si>
  <si>
    <t>217efb9a5dd74511844511fb3b018583</t>
  </si>
  <si>
    <t>https://www.greenbondtransparency.com/bond-info/?handle=217efb9a5dd74511844511fb3b018583</t>
  </si>
  <si>
    <t>Local Green Bond - Series XLVIII</t>
  </si>
  <si>
    <t>https://www.greenbondtransparency.com/download-document/?entity=Framework&amp;handle=896c5d8cf68641b1899f31ed76479743</t>
  </si>
  <si>
    <t>27760264.000000000000</t>
  </si>
  <si>
    <t>04294fc06e364f34ab5f14d4404902f1</t>
  </si>
  <si>
    <t>https://www.greenbondtransparency.com/bond-info/?handle=04294fc06e364f34ab5f14d4404902f1</t>
  </si>
  <si>
    <t>BRBEVELFNAX0</t>
  </si>
  <si>
    <t>LF s√©rie 2</t>
  </si>
  <si>
    <t>Banco BV S.A.</t>
  </si>
  <si>
    <t>82842942.000000000000</t>
  </si>
  <si>
    <t>f1d14902b93342ed933751f295a5a0ab</t>
  </si>
  <si>
    <t>https://www.greenbondtransparency.com/bond-info/?handle=f1d14902b93342ed933751f295a5a0ab</t>
  </si>
  <si>
    <t>CIFI Serie H</t>
  </si>
  <si>
    <t>1000000.000000000000</t>
  </si>
  <si>
    <t>ea9a89ad1508463fad71fa19e7983bd1</t>
  </si>
  <si>
    <t>https://www.greenbondtransparency.com/bond-info/?handle=ea9a89ad1508463fad71fa19e7983bd1</t>
  </si>
  <si>
    <t>BBG01Y651YW5</t>
  </si>
  <si>
    <t>097230AC0</t>
  </si>
  <si>
    <t>BOGOT√Å</t>
  </si>
  <si>
    <t>Bogot√° D.C. Green Bond 2035-Rule 144A</t>
  </si>
  <si>
    <t>45677124.000000000000</t>
  </si>
  <si>
    <t>5073cee4321d452094fa4f5c3433e692</t>
  </si>
  <si>
    <t>https://www.greenbondtransparency.com/bond-info/?handle=5073cee4321d452094fa4f5c3433e692</t>
  </si>
  <si>
    <t>BRBEVELFN810</t>
  </si>
  <si>
    <t>LF Privada</t>
  </si>
  <si>
    <t>1941747.000000000000</t>
  </si>
  <si>
    <t>a140093146e2423aae9bab50d3386544</t>
  </si>
  <si>
    <t>https://www.greenbondtransparency.com/bond-info/?handle=a140093146e2423aae9bab50d3386544</t>
  </si>
  <si>
    <t>BBG0149HJGY0</t>
  </si>
  <si>
    <t>Local Green Bond - Series XXXV</t>
  </si>
  <si>
    <t>38184061.000000000000</t>
  </si>
  <si>
    <t>19a9b617aa704f8285094522d06a5367</t>
  </si>
  <si>
    <t>https://www.greenbondtransparency.com/bond-info/?handle=19a9b617aa704f8285094522d06a5367</t>
  </si>
  <si>
    <t>BRNEOEDBS047</t>
  </si>
  <si>
    <t>BBG00PQCN094</t>
  </si>
  <si>
    <t>Neoenergia - 6¬™ emiss√£o de deb√™ntures</t>
  </si>
  <si>
    <t>Grupo Neoenergia</t>
  </si>
  <si>
    <t>green finance framework in portuguese</t>
  </si>
  <si>
    <t>downloaded
https://ri.neoenergia.com/en/sustainability/green-debts-and-framework/</t>
  </si>
  <si>
    <t>343437160.00000000</t>
  </si>
  <si>
    <t>fff649d8ad8e44c8b95865b97246f16f</t>
  </si>
  <si>
    <t>https://www.greenbondtransparency.com/bond-info/?handle=fff649d8ad8e44c8b95865b97246f16f</t>
  </si>
  <si>
    <t>BBG00YLWNDV3</t>
  </si>
  <si>
    <t>CADUMX</t>
  </si>
  <si>
    <t>CADU 20V</t>
  </si>
  <si>
    <t>CADU</t>
  </si>
  <si>
    <t>https://www.greenbondtransparency.com/download-document/?entity=Framework&amp;handle=38a2706058d5487d82e4af8bb087ae84</t>
  </si>
  <si>
    <t>25281139.000000000000</t>
  </si>
  <si>
    <t>23878660cd7440629e174e8e95ab223b</t>
  </si>
  <si>
    <t>https://www.greenbondtransparency.com/bond-info/?handle=23878660cd7440629e174e8e95ab223b</t>
  </si>
  <si>
    <t>CIFI Serie C</t>
  </si>
  <si>
    <t>19c1f11e1a3f444cae63d334393894ed</t>
  </si>
  <si>
    <t>https://www.greenbondtransparency.com/bond-info/?handle=19c1f11e1a3f444cae63d334393894ed</t>
  </si>
  <si>
    <t>BBG00MCDMXF6</t>
  </si>
  <si>
    <t>Green Bond Protisa Per√∫, CMPC</t>
  </si>
  <si>
    <t>PROTISA Per√∫</t>
  </si>
  <si>
    <t>Peru</t>
  </si>
  <si>
    <t>Framework,_Green_Bond_Protisa_Peru_</t>
  </si>
  <si>
    <t>https://www.greenbondtransparency.com/download-document/?entity=Framework&amp;handle=d8dd0247138a43a6abc81107430dc6c1</t>
  </si>
  <si>
    <t>PEN</t>
  </si>
  <si>
    <t>33012000.000000000000</t>
  </si>
  <si>
    <t>4e17f0d80ab34899bc0d289e2bbfe144</t>
  </si>
  <si>
    <t>https://www.greenbondtransparency.com/bond-info/?handle=4e17f0d80ab34899bc0d289e2bbfe144</t>
  </si>
  <si>
    <t>BAGUA-AC</t>
  </si>
  <si>
    <t>Green_social_bond_framework_series_ab_ac_2018</t>
  </si>
  <si>
    <t>https://www.greenbondtransparency.com/download-document/?entity=Framework&amp;handle=70c67210b92a4b7690c983e47607acea</t>
  </si>
  <si>
    <t>58974060.000000000000</t>
  </si>
  <si>
    <t>39587602e1844d63bfd0b032da4a4a9c</t>
  </si>
  <si>
    <t>https://www.greenbondtransparency.com/bond-info/?handle=39587602e1844d63bfd0b032da4a4a9c</t>
  </si>
  <si>
    <t>BRTAEEDBS0R2</t>
  </si>
  <si>
    <t>BBG017BXTY02</t>
  </si>
  <si>
    <t>3¬™ s√©rie Decima Segunda Emiss√£o Taesa</t>
  </si>
  <si>
    <t>eba65f8413f44823a8d3c8570919f967</t>
  </si>
  <si>
    <t>https://www.greenbondtransparency.com/bond-info/?handle=eba65f8413f44823a8d3c8570919f967</t>
  </si>
  <si>
    <t>62036777.000000000000</t>
  </si>
  <si>
    <t>e9a0f59f69594dab8b3a2da1c11b7d70</t>
  </si>
  <si>
    <t>https://www.greenbondtransparency.com/bond-info/?handle=e9a0f59f69594dab8b3a2da1c11b7d70</t>
  </si>
  <si>
    <t>First EUR Green Bond</t>
  </si>
  <si>
    <t>EUR</t>
  </si>
  <si>
    <t>24725000.000000000000</t>
  </si>
  <si>
    <t>e0a694559f4542f5b1dc0222a650b513</t>
  </si>
  <si>
    <t>https://www.greenbondtransparency.com/bond-info/?handle=e0a694559f4542f5b1dc0222a650b513</t>
  </si>
  <si>
    <t>BBG014LKGKD6</t>
  </si>
  <si>
    <t>CAF0.45 02/24/2</t>
  </si>
  <si>
    <t>CHF GREEN BOND BENCHMARK (2nd)</t>
  </si>
  <si>
    <t>382096069.87000000</t>
  </si>
  <si>
    <t>Bancomext Senior Notes 2023</t>
  </si>
  <si>
    <t>826fb91751eb4970ac578c6e8f0929fc</t>
  </si>
  <si>
    <t>https://www.greenbondtransparency.com/bond-info/?handle=826fb91751eb4970ac578c6e8f0929fc</t>
  </si>
  <si>
    <t>US00105DAG07</t>
  </si>
  <si>
    <t>BBG00QGRGP11</t>
  </si>
  <si>
    <t>00105DAG0</t>
  </si>
  <si>
    <t>AES Gener Green Bond</t>
  </si>
  <si>
    <t>AES Andes</t>
  </si>
  <si>
    <t>450000000.00000000</t>
  </si>
  <si>
    <t>874808e162394384acb97cc13c29e805</t>
  </si>
  <si>
    <t>https://www.greenbondtransparency.com/bond-info/?handle=874808e162394384acb97cc13c29e805</t>
  </si>
  <si>
    <t>BBG00ZLGVWW3</t>
  </si>
  <si>
    <t>BCI - USD 2029</t>
  </si>
  <si>
    <t>60f0ba75eb89444c9f0fe841a8ec78cf</t>
  </si>
  <si>
    <t>https://www.greenbondtransparency.com/bond-info/?handle=60f0ba75eb89444c9f0fe841a8ec78cf</t>
  </si>
  <si>
    <t>Banco de Cr√©dito e Inversiones</t>
  </si>
  <si>
    <t>https://www.greenbondtransparency.com/download-document/?entity=Framework&amp;handle=8dc563c540c1439a8c930ddbfada75ef</t>
  </si>
  <si>
    <t>54000000.000000000000</t>
  </si>
  <si>
    <t>468a42fe710843308deb5d475a46fcf8</t>
  </si>
  <si>
    <t>https://www.greenbondtransparency.com/bond-info/?handle=468a42fe710843308deb5d475a46fcf8</t>
  </si>
  <si>
    <t>Serie C</t>
  </si>
  <si>
    <t>d75e034c7a0c45b899ba1ad806895825</t>
  </si>
  <si>
    <t>https://www.greenbondtransparency.com/bond-info/?handle=d75e034c7a0c45b899ba1ad806895825</t>
  </si>
  <si>
    <t>Banco Promerica de Costa Rica</t>
  </si>
  <si>
    <t>https://www.greenbondtransparency.com/download-document/?entity=Framework&amp;handle=538769c825394307acb906d53afb2664</t>
  </si>
  <si>
    <t>10000000.000000000000</t>
  </si>
  <si>
    <t>81ad48a9aaec4cada170f3b8e9b2616a</t>
  </si>
  <si>
    <t>https://www.greenbondtransparency.com/bond-info/?handle=81ad48a9aaec4cada170f3b8e9b2616a</t>
  </si>
  <si>
    <t>PR_PL_Jacinta</t>
  </si>
  <si>
    <t>La Jacinta</t>
  </si>
  <si>
    <t>Invenergy</t>
  </si>
  <si>
    <t>Uruguay</t>
  </si>
  <si>
    <t>64750000.000000000000</t>
  </si>
  <si>
    <t>bf96a41e500b4f00b41161bfbded8061</t>
  </si>
  <si>
    <t>https://www.greenbondtransparency.com/bond-info/?handle=bf96a41e500b4f00b41161bfbded8061</t>
  </si>
  <si>
    <t>CRI Credit Suisse</t>
  </si>
  <si>
    <t>https://www.greenbondtransparency.com/download-document/?entity=Framework&amp;handle=56debb04f16d471a921ea472390c8779</t>
  </si>
  <si>
    <t>25992643.000000000000</t>
  </si>
  <si>
    <t>8924efd445c0450a816e678627f70b60</t>
  </si>
  <si>
    <t>https://www.greenbondtransparency.com/bond-info/?handle=8924efd445c0450a816e678627f70b60</t>
  </si>
  <si>
    <t>ARPLAZ560060</t>
  </si>
  <si>
    <t>BBG00ZDQTSP0</t>
  </si>
  <si>
    <t>PZC6O</t>
  </si>
  <si>
    <t>Sustainable Bond ON C6</t>
  </si>
  <si>
    <t>Plaza Log√≠stica</t>
  </si>
  <si>
    <t>UVA</t>
  </si>
  <si>
    <t>20338983.030000000000</t>
  </si>
  <si>
    <t>d7bac6cf699841a39d3ffad7c658d887</t>
  </si>
  <si>
    <t>https://www.greenbondtransparency.com/bond-info/?handle=d7bac6cf699841a39d3ffad7c658d887</t>
  </si>
  <si>
    <t>BBG01HTLPW69</t>
  </si>
  <si>
    <t>CIFI Serie L</t>
  </si>
  <si>
    <t>10229000.000000000000</t>
  </si>
  <si>
    <t>5fcd12ec5dd342389cf9fb4c48cb3f8f</t>
  </si>
  <si>
    <t>https://www.greenbondtransparency.com/bond-info/?handle=5fcd12ec5dd342389cf9fb4c48cb3f8f</t>
  </si>
  <si>
    <t>WREL#2_A</t>
  </si>
  <si>
    <t>b490975cce04415b9354b4cb9beb18ed</t>
  </si>
  <si>
    <t>https://www.greenbondtransparency.com/bond-info/?handle=b490975cce04415b9354b4cb9beb18ed</t>
  </si>
  <si>
    <t>7000000.000000000000</t>
  </si>
  <si>
    <t>bd0f32df9b284f019686cfd86211d218</t>
  </si>
  <si>
    <t>https://www.greenbondtransparency.com/bond-info/?handle=bd0f32df9b284f019686cfd86211d218</t>
  </si>
  <si>
    <t>DIANABIO</t>
  </si>
  <si>
    <t>Diana Bioenergia</t>
  </si>
  <si>
    <t>Diana Bioenergia Avanhandava S.A</t>
  </si>
  <si>
    <t>3b70961fc8884f169dc04b9d539085f2</t>
  </si>
  <si>
    <t>https://www.greenbondtransparency.com/bond-info/?handle=3b70961fc8884f169dc04b9d539085f2</t>
  </si>
  <si>
    <t>FEFA 19V</t>
  </si>
  <si>
    <t>Fondo Especial para Financiamientos Agropecuarios (FEFA)</t>
  </si>
  <si>
    <t>FEFA_Green_Bond_Framework</t>
  </si>
  <si>
    <t>https://www.greenbondtransparency.com/download-document/?entity=Framework&amp;handle=db1cda571f7a40d78a10fa816b44c3d0</t>
  </si>
  <si>
    <t>128932439.00000000</t>
  </si>
  <si>
    <t>26841b3a429e412a9322c0fc4089babb</t>
  </si>
  <si>
    <t>https://www.greenbondtransparency.com/bond-info/?handle=26841b3a429e412a9322c0fc4089babb</t>
  </si>
  <si>
    <t>COE15CB00287</t>
  </si>
  <si>
    <t>Tramo 14 Serie A9</t>
  </si>
  <si>
    <t>42602933.000000000000</t>
  </si>
  <si>
    <t>79998baaa2e74bf0aa47e9d7521dd092</t>
  </si>
  <si>
    <t>https://www.greenbondtransparency.com/bond-info/?handle=79998baaa2e74bf0aa47e9d7521dd092</t>
  </si>
  <si>
    <t>BBG0142N0GR2</t>
  </si>
  <si>
    <t>BCI - JPY 2027</t>
  </si>
  <si>
    <t>44000000.000000000000</t>
  </si>
  <si>
    <t>6f267b54dd6942f79b3910d04d4f7d65</t>
  </si>
  <si>
    <t>https://www.greenbondtransparency.com/bond-info/?handle=6f267b54dd6942f79b3910d04d4f7d65</t>
  </si>
  <si>
    <t>BBG00YS3V5H4</t>
  </si>
  <si>
    <t>BTG Pactual Green Bond</t>
  </si>
  <si>
    <t>500000000.00000000</t>
  </si>
  <si>
    <t>8e703a04c0ff4d2dbff110c1e5184a3c</t>
  </si>
  <si>
    <t>https://www.greenbondtransparency.com/bond-info/?handle=8e703a04c0ff4d2dbff110c1e5184a3c</t>
  </si>
  <si>
    <t>XS2133606637</t>
  </si>
  <si>
    <t>BBG00S6RW9X1</t>
  </si>
  <si>
    <t>Banco Votorantim</t>
  </si>
  <si>
    <t>9fc875791e3143a1bb3f864a304e8185</t>
  </si>
  <si>
    <t>https://www.greenbondtransparency.com/bond-info/?handle=9fc875791e3143a1bb3f864a304e8185</t>
  </si>
  <si>
    <t>PR_PL_DAVIVIEND</t>
  </si>
  <si>
    <t>Green Bond 2017 - Davivienda</t>
  </si>
  <si>
    <t>Davivienda</t>
  </si>
  <si>
    <t>greenbondsprogramme</t>
  </si>
  <si>
    <t>https://sostenibilidad.davivienda.com/assets/pdf/en/greenbondsprogramme.pdf</t>
  </si>
  <si>
    <t>a86346b545214fce9c82bd25f5b032ed</t>
  </si>
  <si>
    <t>https://www.greenbondtransparency.com/bond-info/?handle=a86346b545214fce9c82bd25f5b032ed</t>
  </si>
  <si>
    <t>BRALGEDBS037</t>
  </si>
  <si>
    <t>BBG0125H2GH5</t>
  </si>
  <si>
    <t>ALIG14</t>
  </si>
  <si>
    <t>First Climate Bond Issuance of Alian√ßa Energia S.A.</t>
  </si>
  <si>
    <t>Alian√ßa Gera√ß√£o de Energia S.A.</t>
  </si>
  <si>
    <t>41926324.000000000000</t>
  </si>
  <si>
    <t>de08d71d4fcd410eac1c1c388f5743cc</t>
  </si>
  <si>
    <t>https://www.greenbondtransparency.com/bond-info/?handle=de08d71d4fcd410eac1c1c388f5743cc</t>
  </si>
  <si>
    <t>BRRANIDBS031</t>
  </si>
  <si>
    <t>RANI14</t>
  </si>
  <si>
    <t>Irani Green Bond 2029</t>
  </si>
  <si>
    <t>10531304.000000000000</t>
  </si>
  <si>
    <t>e08c0b3166944eb2b98be1cefb70dcbe</t>
  </si>
  <si>
    <t>https://www.greenbondtransparency.com/bond-info/?handle=e08c0b3166944eb2b98be1cefb70dcbe</t>
  </si>
  <si>
    <t>BRECOACRAB06</t>
  </si>
  <si>
    <t>CRA022008NF</t>
  </si>
  <si>
    <t>Irani Green Bond 2027</t>
  </si>
  <si>
    <t>97000000.000000000000</t>
  </si>
  <si>
    <t>12¬™Emiss√£oTaesa</t>
  </si>
  <si>
    <t>Decima segunda emiss√£o Taesa</t>
  </si>
  <si>
    <t>8b6c8d33bb7747b3b7811d6ebf1edd18</t>
  </si>
  <si>
    <t>https://www.greenbondtransparency.com/bond-info/?handle=8b6c8d33bb7747b3b7811d6ebf1edd18</t>
  </si>
  <si>
    <t>BRNITADBS003</t>
  </si>
  <si>
    <t>BBG00SJ4XZ50</t>
  </si>
  <si>
    <t>Neoenergia Itabapoana - 1¬™ Emiss√£o de Deb√™ntures</t>
  </si>
  <si>
    <t>https://ri.neoenergia.com/en/sustainability/green-debts-and-framework/</t>
  </si>
  <si>
    <t>67039106.000000000000</t>
  </si>
  <si>
    <t>c8b591f6ccb14f81b80ec4b4bb81e572</t>
  </si>
  <si>
    <t>https://www.greenbondtransparency.com/bond-info/?handle=c8b591f6ccb14f81b80ec4b4bb81e572</t>
  </si>
  <si>
    <t>BBG013PNMSR9</t>
  </si>
  <si>
    <t>CABEI 0.11</t>
  </si>
  <si>
    <t>First Swiss Green Bond</t>
  </si>
  <si>
    <t>237068965.52000000</t>
  </si>
  <si>
    <t>28100961034e4404b6bfbb0919a87500</t>
  </si>
  <si>
    <t>https://www.greenbondtransparency.com/bond-info/?handle=28100961034e4404b6bfbb0919a87500</t>
  </si>
  <si>
    <t>BRAPCSCRI606</t>
  </si>
  <si>
    <t>CRI H2energy</t>
  </si>
  <si>
    <t>H2energy Consultoria, Solu√ß√µes e Instala√ß√µes Fotovoltaicas Ltda</t>
  </si>
  <si>
    <t>https://h2energy.com.br</t>
  </si>
  <si>
    <t>4855349.000000000000</t>
  </si>
  <si>
    <t>c965ff69d69c472abb516e0dc534a23f</t>
  </si>
  <si>
    <t>https://www.greenbondtransparency.com/bond-info/?handle=c965ff69d69c472abb516e0dc534a23f</t>
  </si>
  <si>
    <t>BBG00PGL2BJ3</t>
  </si>
  <si>
    <t>BSFDT1199A07</t>
  </si>
  <si>
    <t>Bono Sostenible Findeter Tramo 2</t>
  </si>
  <si>
    <t>81290866.000000000000</t>
  </si>
  <si>
    <t>038f99e1b7f6427aafac6439088698c1</t>
  </si>
  <si>
    <t>https://www.greenbondtransparency.com/bond-info/?handle=038f99e1b7f6427aafac6439088698c1</t>
  </si>
  <si>
    <t>Sicredi Green Bond</t>
  </si>
  <si>
    <t>https://www.greenbondtransparency.com/download-document/?entity=Framework&amp;handle=f77734da4e7947ce9ee14e628edae0c0</t>
  </si>
  <si>
    <t>100000000.000000000000</t>
  </si>
  <si>
    <t>ed59ee0d7fc44227976ce655ff761e54</t>
  </si>
  <si>
    <t>https://www.greenbondtransparency.com/bond-info/?handle=ed59ee0d7fc44227976ce655ff761e54</t>
  </si>
  <si>
    <t>BBG00PGKZ3Z9</t>
  </si>
  <si>
    <t>BSFDT1199A05</t>
  </si>
  <si>
    <t>Bono Sostenible Findeter Tramo 1</t>
  </si>
  <si>
    <t>40414345.000000000000</t>
  </si>
  <si>
    <t>28819e812f754cc7a6258219e8918c4e</t>
  </si>
  <si>
    <t>https://www.greenbondtransparency.com/bond-info/?handle=28819e812f754cc7a6258219e8918c4e</t>
  </si>
  <si>
    <t>BBG016FLVJ51</t>
  </si>
  <si>
    <t>BACMEXT 22X</t>
  </si>
  <si>
    <t>Bancomext Senior Notes 22x</t>
  </si>
  <si>
    <t>245806247.87000000</t>
  </si>
  <si>
    <t>5350c0b9a9a4490689021b2d8added30</t>
  </si>
  <si>
    <t>https://www.greenbondtransparency.com/bond-info/?handle=5350c0b9a9a4490689021b2d8added30</t>
  </si>
  <si>
    <t>BRAPCSCRI8Y6</t>
  </si>
  <si>
    <t>Green CRI √ìrigo</t>
  </si>
  <si>
    <t>11908000.000000000000</t>
  </si>
  <si>
    <t>c772aaa1d45c44249ab562e30a730690</t>
  </si>
  <si>
    <t>https://www.greenbondtransparency.com/bond-info/?handle=c772aaa1d45c44249ab562e30a730690</t>
  </si>
  <si>
    <t>BROMGEDBS069</t>
  </si>
  <si>
    <t>OMGE13</t>
  </si>
  <si>
    <t>186514140.00000000</t>
  </si>
  <si>
    <t>9c03a74b758e4701a008d492a219a209</t>
  </si>
  <si>
    <t>https://www.greenbondtransparency.com/bond-info/?handle=9c03a74b758e4701a008d492a219a209</t>
  </si>
  <si>
    <t>Sicredi - Sustainable LF 2yr</t>
  </si>
  <si>
    <t>40308331.000000000000</t>
  </si>
  <si>
    <t>d9525c9ea2474a129e3809622580b897</t>
  </si>
  <si>
    <t>https://www.greenbondtransparency.com/bond-info/?handle=d9525c9ea2474a129e3809622580b897</t>
  </si>
  <si>
    <t>Local Green Bond - Series XXXIX</t>
  </si>
  <si>
    <t>13db022e186047ecbb817d21fa259364</t>
  </si>
  <si>
    <t>https://www.greenbondtransparency.com/bond-info/?handle=13db022e186047ecbb817d21fa259364</t>
  </si>
  <si>
    <t>BBG00MMMVX56</t>
  </si>
  <si>
    <t>AV7948830</t>
  </si>
  <si>
    <t>90_GCDMXCB_18V</t>
  </si>
  <si>
    <t>GCDMXCB 18V</t>
  </si>
  <si>
    <t>Gobierno de la Ciudad de M√©xico</t>
  </si>
  <si>
    <t>https://www.greenbondtransparency.com/download-document/?entity=Framework&amp;handle=3bed31a8a09f4c65bf9b9e10a3a99d43</t>
  </si>
  <si>
    <t>54449245.870000000000</t>
  </si>
  <si>
    <t>22fbd3d08bab4319a6ba0483c84d2380</t>
  </si>
  <si>
    <t>https://www.greenbondtransparency.com/bond-info/?handle=22fbd3d08bab4319a6ba0483c84d2380</t>
  </si>
  <si>
    <t>PR_PL_ATHON</t>
  </si>
  <si>
    <t>Athon Gera√ß√£o Distribu√≠da Green Bond</t>
  </si>
  <si>
    <t>Grupo Athon</t>
  </si>
  <si>
    <t>Green_Bonds_Framework_Athon_2020</t>
  </si>
  <si>
    <t>https://www.greenbondtransparency.com/download-document/?entity=Framework&amp;handle=50f2b7fafb124d06ab93eef678436e3e</t>
  </si>
  <si>
    <t>7532830.000000000000</t>
  </si>
  <si>
    <t>ISA GB2020</t>
  </si>
  <si>
    <t>ISA GB2020 Tramo 14</t>
  </si>
  <si>
    <t>2713ee8efde4440b875f3a181f33a9f4</t>
  </si>
  <si>
    <t>https://www.greenbondtransparency.com/bond-info/?handle=2713ee8efde4440b875f3a181f33a9f4</t>
  </si>
  <si>
    <t>BRTRPLDBS071</t>
  </si>
  <si>
    <t>BBG00KVC0Y18</t>
  </si>
  <si>
    <t>CTEE17</t>
  </si>
  <si>
    <t>ISA CTEEP - 7¬™ Emiss√£o</t>
  </si>
  <si>
    <t>CTEEP - Companhia de Transmiss√£o de Energia El√©trica Paulista</t>
  </si>
  <si>
    <t>framework report for other issueances</t>
  </si>
  <si>
    <t>sustainability rpt downloaded</t>
  </si>
  <si>
    <t>119500000.00000000</t>
  </si>
  <si>
    <t>45bc04beee6449828a1dd7bb19ad2945</t>
  </si>
  <si>
    <t>https://www.greenbondtransparency.com/bond-info/?handle=45bc04beee6449828a1dd7bb19ad2945</t>
  </si>
  <si>
    <t>BBG01248N435</t>
  </si>
  <si>
    <t>Local Green Bond - Series XXXIV</t>
  </si>
  <si>
    <t>15605522.000000000000</t>
  </si>
  <si>
    <t>fe0a421accf44c3d96fa8f387676d503</t>
  </si>
  <si>
    <t>https://www.greenbondtransparency.com/bond-info/?handle=fe0a421accf44c3d96fa8f387676d503</t>
  </si>
  <si>
    <t>CRA Eucalipto 2</t>
  </si>
  <si>
    <t>2884442.000000000000</t>
  </si>
  <si>
    <t>5bbc61b2d8164da5bb796c580b1305b9</t>
  </si>
  <si>
    <t>https://www.greenbondtransparency.com/bond-info/?handle=5bbc61b2d8164da5bb796c580b1305b9</t>
  </si>
  <si>
    <t>BBG011CKJQK8</t>
  </si>
  <si>
    <t>P5875NAB9</t>
  </si>
  <si>
    <t>ILAPCL REGS</t>
  </si>
  <si>
    <t>Inversiones Latin America Power RegS Note</t>
  </si>
  <si>
    <t>250230000.00000000</t>
  </si>
  <si>
    <t>a70a185c981f45a483e6d1f133ccf7d2</t>
  </si>
  <si>
    <t>https://www.greenbondtransparency.com/bond-info/?handle=a70a185c981f45a483e6d1f133ccf7d2</t>
  </si>
  <si>
    <t>FEFA 20V</t>
  </si>
  <si>
    <t>FEFA_20V_Green_Bond_Framework</t>
  </si>
  <si>
    <t>https://www.greenbondtransparency.com/download-document/?entity=Framework&amp;handle=a15f538c621d460dac7d16f40b18d701</t>
  </si>
  <si>
    <t>130548303.00000000</t>
  </si>
  <si>
    <t>CBI_Chile</t>
  </si>
  <si>
    <t>CBI Certified Portfolio</t>
  </si>
  <si>
    <t>CIFI_GB</t>
  </si>
  <si>
    <t>CIFI Green Bond Program</t>
  </si>
  <si>
    <t>CIFI_Green_Bond_Framework</t>
  </si>
  <si>
    <t>41addda30ffa42dc853b76de12de5adc</t>
  </si>
  <si>
    <t>https://www.greenbondtransparency.com/bond-info/?handle=41addda30ffa42dc853b76de12de5adc</t>
  </si>
  <si>
    <t>Segundo Bono Planta Gasificaci√≥n</t>
  </si>
  <si>
    <t>75049f1e11c54e90999fd4a8e1fcd697</t>
  </si>
  <si>
    <t>https://www.greenbondtransparency.com/bond-info/?handle=75049f1e11c54e90999fd4a8e1fcd697</t>
  </si>
  <si>
    <t>12698533.000000000000</t>
  </si>
  <si>
    <t>9b121b328ec94eefabc6253b9a7bc1bd</t>
  </si>
  <si>
    <t>https://www.greenbondtransparency.com/bond-info/?handle=9b121b328ec94eefabc6253b9a7bc1bd</t>
  </si>
  <si>
    <t>ARLUZT560013</t>
  </si>
  <si>
    <t>BBG01396XF81</t>
  </si>
  <si>
    <t>LUCAR 0 10/28/2</t>
  </si>
  <si>
    <t>Luz de Tres Picos - Clase 1</t>
  </si>
  <si>
    <t>Luz de Tres Picos</t>
  </si>
  <si>
    <t>dfcf690c361b41209d466c53b12f3844</t>
  </si>
  <si>
    <t>https://www.greenbondtransparency.com/bond-info/?handle=dfcf690c361b41209d466c53b12f3844</t>
  </si>
  <si>
    <t>Finandina Serie D Subserie D24</t>
  </si>
  <si>
    <t>21128122.000000000000</t>
  </si>
  <si>
    <t>29d94d24937e477b9e4b09346ba22815</t>
  </si>
  <si>
    <t>https://www.greenbondtransparency.com/bond-info/?handle=29d94d24937e477b9e4b09346ba22815</t>
  </si>
  <si>
    <t>USP2867KAL00</t>
  </si>
  <si>
    <t>BBG01315K0F0</t>
  </si>
  <si>
    <t>COLBUN</t>
  </si>
  <si>
    <t>COLBUN 2032</t>
  </si>
  <si>
    <t>Colb√∫n</t>
  </si>
  <si>
    <t>600000000.00000000</t>
  </si>
  <si>
    <t>9262a652e89847ee9530b3ace7b6a330</t>
  </si>
  <si>
    <t>https://www.greenbondtransparency.com/bond-info/?handle=9262a652e89847ee9530b3ace7b6a330</t>
  </si>
  <si>
    <t>CRA019004MY</t>
  </si>
  <si>
    <t>CRA Solinftec</t>
  </si>
  <si>
    <t>Opea Capital Plataforma de securitiza√ß√£o</t>
  </si>
  <si>
    <t>19351090.000000000000</t>
  </si>
  <si>
    <t>10f66d4ac1cc40dcb68e1b9385431c90</t>
  </si>
  <si>
    <t>https://www.greenbondtransparency.com/bond-info/?handle=10f66d4ac1cc40dcb68e1b9385431c90</t>
  </si>
  <si>
    <t>BBG011Y6R782</t>
  </si>
  <si>
    <t>05973 AA8</t>
  </si>
  <si>
    <t>BNCE V2.72 08/1</t>
  </si>
  <si>
    <t>BANCOMEXT Sustainable Tier2 10NC5</t>
  </si>
  <si>
    <t>198b03b178234dc5b866de3b2c6711e9</t>
  </si>
  <si>
    <t>https://www.greenbondtransparency.com/bond-info/?handle=198b03b178234dc5b866de3b2c6711e9</t>
  </si>
  <si>
    <t>BBG00ZVD9YG8</t>
  </si>
  <si>
    <t>Chile - USD 2053</t>
  </si>
  <si>
    <t>9530e379ee3d4b6792285d7e6f57ee10</t>
  </si>
  <si>
    <t>https://www.greenbondtransparency.com/bond-info/?handle=9530e379ee3d4b6792285d7e6f57ee10</t>
  </si>
  <si>
    <t>BBG013X0G3N6</t>
  </si>
  <si>
    <t>NAFR 21X</t>
  </si>
  <si>
    <t>fde1fb8ae7d44947b015b7189e5ccd9a</t>
  </si>
  <si>
    <t>https://www.greenbondtransparency.com/bond-info/?handle=fde1fb8ae7d44947b015b7189e5ccd9a</t>
  </si>
  <si>
    <t>Nafin</t>
  </si>
  <si>
    <t>https://www.greenbondtransparency.com/download-document/?entity=Framework&amp;handle=cfa387c69d2e4d5494eca57e9ec0f224</t>
  </si>
  <si>
    <t>62013433.000000000000</t>
  </si>
  <si>
    <t>ee9df556adb449adafe84d28ebff80a9</t>
  </si>
  <si>
    <t>https://www.greenbondtransparency.com/bond-info/?handle=ee9df556adb449adafe84d28ebff80a9</t>
  </si>
  <si>
    <t>Primer Bono Planta Gasificaci√≥n</t>
  </si>
  <si>
    <t>5685910.000000000000</t>
  </si>
  <si>
    <t>BCI PROGRAM</t>
  </si>
  <si>
    <t>Bci Program</t>
  </si>
  <si>
    <t>ddc074cc122446bc92e5b6929179d0e2</t>
  </si>
  <si>
    <t>https://www.greenbondtransparency.com/bond-info/?handle=ddc074cc122446bc92e5b6929179d0e2</t>
  </si>
  <si>
    <t>BBG00VSZG6M8</t>
  </si>
  <si>
    <t>RAILBZ 5 1/4</t>
  </si>
  <si>
    <t>Rumo 2028</t>
  </si>
  <si>
    <t>Rumo S.A.</t>
  </si>
  <si>
    <t>Rumo_Green_Bond_2028_Framework</t>
  </si>
  <si>
    <t>https://www.greenbondtransparency.com/download-document/?entity=Framework&amp;handle=5ed0f5af81e743d59f6cc5245e8d8fd0</t>
  </si>
  <si>
    <t>65809b95fbf34e898b30b546b2d2a6a8</t>
  </si>
  <si>
    <t>https://www.greenbondtransparency.com/bond-info/?handle=65809b95fbf34e898b30b546b2d2a6a8</t>
  </si>
  <si>
    <t>ARAESA560032</t>
  </si>
  <si>
    <t>AES Argentina Green Bond</t>
  </si>
  <si>
    <t>AES Argentina S.A</t>
  </si>
  <si>
    <t>AES-Green-Financing-Framework-Reporting-May-2025</t>
  </si>
  <si>
    <t>https://www.aes.com/sites/vault/files/2025-05/AES-Green-Financing-Framework-Reporting-May-2025.pdf</t>
  </si>
  <si>
    <t>48450360.000000000000</t>
  </si>
  <si>
    <t>1d7c3d7cb3dc4a89829b4f66476fa9f7</t>
  </si>
  <si>
    <t>https://www.greenbondtransparency.com/bond-info/?handle=1d7c3d7cb3dc4a89829b4f66476fa9f7</t>
  </si>
  <si>
    <t>WREL#1_C</t>
  </si>
  <si>
    <t>WREL#1 Note C</t>
  </si>
  <si>
    <t>NafinSustBond21</t>
  </si>
  <si>
    <t>NAFIN Sustainability Bond 2021</t>
  </si>
  <si>
    <t>5e83524c4bff46698146fad15dedc311</t>
  </si>
  <si>
    <t>https://www.greenbondtransparency.com/bond-info/?handle=5e83524c4bff46698146fad15dedc311</t>
  </si>
  <si>
    <t>BBG00ZVN1906</t>
  </si>
  <si>
    <t>E1 ENERGIA GREEN BOND</t>
  </si>
  <si>
    <t>E1 Energia, Brasil</t>
  </si>
  <si>
    <t>Climate_Bond_Framework_of_E1_SUBHOLDING_S_A__in_2021</t>
  </si>
  <si>
    <t>https://www.greenbondtransparency.com/download-document/?entity=Framework&amp;handle=95bbca5a4dd447cd8e159fa1f8155886</t>
  </si>
  <si>
    <t>26644877.000000000000</t>
  </si>
  <si>
    <t>46ba0c82743449358dab7d75a17d4967</t>
  </si>
  <si>
    <t>https://www.greenbondtransparency.com/bond-info/?handle=46ba0c82743449358dab7d75a17d4967</t>
  </si>
  <si>
    <t>CRA021000GR</t>
  </si>
  <si>
    <t>CRA Produzindo Certo</t>
  </si>
  <si>
    <t>11236441.000000000000</t>
  </si>
  <si>
    <t>a30df90865b844a591bb6fbd89b25a31</t>
  </si>
  <si>
    <t>https://www.greenbondtransparency.com/bond-info/?handle=a30df90865b844a591bb6fbd89b25a31</t>
  </si>
  <si>
    <t>BBG014D2W4Q9</t>
  </si>
  <si>
    <t>BCI - CHF 2027</t>
  </si>
  <si>
    <t>218000000.00000000</t>
  </si>
  <si>
    <t>26a5760d5ece44d0b9a7553dae41917f</t>
  </si>
  <si>
    <t>https://www.greenbondtransparency.com/bond-info/?handle=26a5760d5ece44d0b9a7553dae41917f</t>
  </si>
  <si>
    <t>BRTSMMDBS009</t>
  </si>
  <si>
    <t>BBG00R9CGHN4</t>
  </si>
  <si>
    <t>ALUBR 4.5 12/15</t>
  </si>
  <si>
    <t>TSM - Transmissora Serra da Mantiqueira S.A.</t>
  </si>
  <si>
    <t>TSM Transmissora Serra da Mantiqueira SA</t>
  </si>
  <si>
    <t>129429290.00000000</t>
  </si>
  <si>
    <t>a4421d17dd0646b391003e3bb6642131</t>
  </si>
  <si>
    <t>https://www.greenbondtransparency.com/bond-info/?handle=a4421d17dd0646b391003e3bb6642131</t>
  </si>
  <si>
    <t>BBG016XZHSV7</t>
  </si>
  <si>
    <t>BACMEXT 22-2X</t>
  </si>
  <si>
    <t>Bancomext Senior Notes 22 2x</t>
  </si>
  <si>
    <t>202689199.64000000</t>
  </si>
  <si>
    <t>3a4f6ab306c64e85af7f7d44d4610e2b</t>
  </si>
  <si>
    <t>https://www.greenbondtransparency.com/bond-info/?handle=3a4f6ab306c64e85af7f7d44d4610e2b</t>
  </si>
  <si>
    <t>CIFI Serie E</t>
  </si>
  <si>
    <t>7d27df26e2924c4d9fcf8ba0c0d9d684</t>
  </si>
  <si>
    <t>https://www.greenbondtransparency.com/bond-info/?handle=7d27df26e2924c4d9fcf8ba0c0d9d684</t>
  </si>
  <si>
    <t>BBG00HPK5N13</t>
  </si>
  <si>
    <t>Klabin 2027</t>
  </si>
  <si>
    <t>Klabin S.A.</t>
  </si>
  <si>
    <t>Green_Bond_Framework</t>
  </si>
  <si>
    <t>https://www.greenbondtransparency.com/download-document/?entity=Framework&amp;handle=9abfc296b9b74968b8b8bba5571996b7</t>
  </si>
  <si>
    <t>4b814969226641c7bbfb4e9ec61ee07d</t>
  </si>
  <si>
    <t>https://www.greenbondtransparency.com/bond-info/?handle=4b814969226641c7bbfb4e9ec61ee07d</t>
  </si>
  <si>
    <t>ARLUZT560021</t>
  </si>
  <si>
    <t>Luz de Tres Picos - Clase 2</t>
  </si>
  <si>
    <t>15000000.000000000000</t>
  </si>
  <si>
    <t>846e9c246ab34723bcc280ee825e8fa8</t>
  </si>
  <si>
    <t>https://www.greenbondtransparency.com/bond-info/?handle=846e9c246ab34723bcc280ee825e8fa8</t>
  </si>
  <si>
    <t>WREL#1 Note E</t>
  </si>
  <si>
    <t>1500000.000000000000</t>
  </si>
  <si>
    <t>cfd7ae09c92d481ba80c9caf94bf5d8d</t>
  </si>
  <si>
    <t>https://www.greenbondtransparency.com/bond-info/?handle=cfd7ae09c92d481ba80c9caf94bf5d8d</t>
  </si>
  <si>
    <t>PR_PL_SOLARIA</t>
  </si>
  <si>
    <t>Natelu Yarnel Solar Uruguay Trust</t>
  </si>
  <si>
    <t>Solaria Energ√≠a y Medio Ambiente SA</t>
  </si>
  <si>
    <t>28071000.000000000000</t>
  </si>
  <si>
    <t>5dd63e9b992f47a88db15d84001a0aad</t>
  </si>
  <si>
    <t>https://www.greenbondtransparency.com/bond-info/?handle=5dd63e9b992f47a88db15d84001a0aad</t>
  </si>
  <si>
    <t>CIFI Serie G</t>
  </si>
  <si>
    <t>f0dceb4939764cf79116320d82d6536c</t>
  </si>
  <si>
    <t>https://www.greenbondtransparency.com/bond-info/?handle=f0dceb4939764cf79116320d82d6536c</t>
  </si>
  <si>
    <t>LTTE15</t>
  </si>
  <si>
    <t>Gemini Energy - Linhas de Taubat√© Transmissora de Energia S.A</t>
  </si>
  <si>
    <t>Gemini Energy S.A.</t>
  </si>
  <si>
    <t>76235101.000000000000</t>
  </si>
  <si>
    <t>49cb4d743fe74855bb2fdccb6675c219</t>
  </si>
  <si>
    <t>https://www.greenbondtransparency.com/bond-info/?handle=49cb4d743fe74855bb2fdccb6675c219</t>
  </si>
  <si>
    <t>BBG00DRG03L6</t>
  </si>
  <si>
    <t>NAFF 16V</t>
  </si>
  <si>
    <t>https://www.greenbondtransparency.com/download-document/?entity=Framework&amp;handle=966583712d874a15a4861b2f4a3ebaa5</t>
  </si>
  <si>
    <t>107187455.00000000</t>
  </si>
  <si>
    <t>cffe109b8d59400dbf3b62d9e36c0d76</t>
  </si>
  <si>
    <t>https://www.greenbondtransparency.com/bond-info/?handle=cffe109b8d59400dbf3b62d9e36c0d76</t>
  </si>
  <si>
    <t>BBG00HSGX4Z3</t>
  </si>
  <si>
    <t>AP2487621</t>
  </si>
  <si>
    <t>90_GCDMXCB_17X</t>
  </si>
  <si>
    <t>GCDMXCB 17X</t>
  </si>
  <si>
    <t>https://www.greenbondtransparency.com/download-document/?entity=Framework&amp;handle=d20be6c53e8d483da48e9bb992e3d342</t>
  </si>
  <si>
    <t>112585354.00000000</t>
  </si>
  <si>
    <t>58429bd7fbda4989af63d9e2653fa72d</t>
  </si>
  <si>
    <t>https://www.greenbondtransparency.com/bond-info/?handle=58429bd7fbda4989af63d9e2653fa72d</t>
  </si>
  <si>
    <t>Quinto Bono Planta Gasificaci√≥n</t>
  </si>
  <si>
    <t>2833235.000000000000</t>
  </si>
  <si>
    <t>47b8b2c3d39b42a2b47e9b1faa6b599c</t>
  </si>
  <si>
    <t>https://www.greenbondtransparency.com/bond-info/?handle=47b8b2c3d39b42a2b47e9b1faa6b599c</t>
  </si>
  <si>
    <t>BRANEMDBS007</t>
  </si>
  <si>
    <t>BBG011XY0RK3</t>
  </si>
  <si>
    <t>ANEM11</t>
  </si>
  <si>
    <t>ANEMUS 2039</t>
  </si>
  <si>
    <t>Anemus Wind Holding S.A.</t>
  </si>
  <si>
    <t>93503937.000000000000</t>
  </si>
  <si>
    <t>b9f186bd509f4477ae95d772ed0011dc</t>
  </si>
  <si>
    <t>https://www.greenbondtransparency.com/bond-info/?handle=b9f186bd509f4477ae95d772ed0011dc</t>
  </si>
  <si>
    <t>BBG00B8NWQ03</t>
  </si>
  <si>
    <t>NAFIN Green Bond USD</t>
  </si>
  <si>
    <t>https://www.greenbondtransparency.com/download-document/?entity=Framework&amp;handle=7e876d44cd22441faf1a62083a53b7ad</t>
  </si>
  <si>
    <t>Bonos Verdes Gasificaci√≥n de Residuos S√≥lidos Municipales</t>
  </si>
  <si>
    <t>BANCOMEXT CEBUR</t>
  </si>
  <si>
    <t>Bancomext Senior Notes 2022</t>
  </si>
  <si>
    <t>995bd787280d4ace8324e498e8d6a743</t>
  </si>
  <si>
    <t>https://www.greenbondtransparency.com/bond-info/?handle=995bd787280d4ace8324e498e8d6a743</t>
  </si>
  <si>
    <t>BBG01K0T56V7</t>
  </si>
  <si>
    <t>833636AN3</t>
  </si>
  <si>
    <t>SQM 6 ¬Ω 11/07/3</t>
  </si>
  <si>
    <t>SQM Green Bond 2033</t>
  </si>
  <si>
    <t>Sociedad Qu√≠mica y Minera de Chile S.A.</t>
  </si>
  <si>
    <t>https://www.greenbondtransparency.com/download-document/?entity=Framework&amp;handle=f9ddf8d55aab4e4298b72383891943eb</t>
  </si>
  <si>
    <t>750000000.00000000</t>
  </si>
  <si>
    <t>56a87edc53084effb9acacd9c75e3483</t>
  </si>
  <si>
    <t>https://www.greenbondtransparency.com/bond-info/?handle=56a87edc53084effb9acacd9c75e3483</t>
  </si>
  <si>
    <t>BBG01KD8QC34</t>
  </si>
  <si>
    <t>CIFI Serie O</t>
  </si>
  <si>
    <t>880000.000000000000</t>
  </si>
  <si>
    <t>e91e942fa37544299f136f2cedcd069e</t>
  </si>
  <si>
    <t>https://www.greenbondtransparency.com/bond-info/?handle=e91e942fa37544299f136f2cedcd069e</t>
  </si>
  <si>
    <t>BBG014X2RNT8</t>
  </si>
  <si>
    <t>Chile - USD 2027</t>
  </si>
  <si>
    <t>5787e355e9bd42c7bc1457de45e69f11</t>
  </si>
  <si>
    <t>https://www.greenbondtransparency.com/bond-info/?handle=5787e355e9bd42c7bc1457de45e69f11</t>
  </si>
  <si>
    <t>BBG00QFWMT70</t>
  </si>
  <si>
    <t>CIFI Serie A</t>
  </si>
  <si>
    <t>15140943b0a04379b031e05c40cac738</t>
  </si>
  <si>
    <t>https://www.greenbondtransparency.com/bond-info/?handle=15140943b0a04379b031e05c40cac738</t>
  </si>
  <si>
    <t>NFB-2-N1A-23</t>
  </si>
  <si>
    <t>Bono Verde BDP I - Emisi√≥n I: Seria A</t>
  </si>
  <si>
    <t>22b1953e5bdd4aa58a7099a976f2ea89</t>
  </si>
  <si>
    <t>https://www.greenbondtransparency.com/bond-info/?handle=22b1953e5bdd4aa58a7099a976f2ea89</t>
  </si>
  <si>
    <t>Banco de Desarrollo Productivo- S.A.M</t>
  </si>
  <si>
    <t>Bolivia</t>
  </si>
  <si>
    <t>https://www.greenbondtransparency.com/download-document/?entity=Framework&amp;handle=d6700b8c707544c78fa5f4e5a0b6c1e4</t>
  </si>
  <si>
    <t>BOB</t>
  </si>
  <si>
    <t>3696000.000000000000</t>
  </si>
  <si>
    <t>03be22eb7b4543fd9e05fab58d3a22db</t>
  </si>
  <si>
    <t>https://www.greenbondtransparency.com/bond-info/?handle=03be22eb7b4543fd9e05fab58d3a22db</t>
  </si>
  <si>
    <t>WREL#1 Note D</t>
  </si>
  <si>
    <t>Serie B&amp;C_PROM</t>
  </si>
  <si>
    <t>Serie B&amp;C</t>
  </si>
  <si>
    <t>cceb5f829dd949e79888e0f25d524a53</t>
  </si>
  <si>
    <t>https://www.greenbondtransparency.com/bond-info/?handle=cceb5f829dd949e79888e0f25d524a53</t>
  </si>
  <si>
    <t>PR_PL_GUAYAQUIL</t>
  </si>
  <si>
    <t>Banco Guayaquil's green bond</t>
  </si>
  <si>
    <t>Banco Guayaquil</t>
  </si>
  <si>
    <t>https://www.greenbondtransparency.com/download-document/?entity=Framework&amp;handle=74105bd6a7dd421e81b4531e21ef74af</t>
  </si>
  <si>
    <t>80000000.000000000000</t>
  </si>
  <si>
    <t>f3475e2874264a62a2a2804c493ed2e5</t>
  </si>
  <si>
    <t>https://www.greenbondtransparency.com/bond-info/?handle=f3475e2874264a62a2a2804c493ed2e5</t>
  </si>
  <si>
    <t>BBG0123NW8B5</t>
  </si>
  <si>
    <t>Local Green Bond - Series XXXII</t>
  </si>
  <si>
    <t>48971674.000000000000</t>
  </si>
  <si>
    <t>6e51d902b61a4b549586725651a46b90</t>
  </si>
  <si>
    <t>https://www.greenbondtransparency.com/bond-info/?handle=6e51d902b61a4b549586725651a46b90</t>
  </si>
  <si>
    <t>BRTAEEDBS0P6</t>
  </si>
  <si>
    <t>BBG017BXT6W8</t>
  </si>
  <si>
    <t>1¬™ s√©rie Decima Segunda Emiss√£o Taesa</t>
  </si>
  <si>
    <t>122744308.00000000</t>
  </si>
  <si>
    <t>c527fed125b442ecbb7b7a6b6ec34c21</t>
  </si>
  <si>
    <t>https://www.greenbondtransparency.com/bond-info/?handle=c527fed125b442ecbb7b7a6b6ec34c21</t>
  </si>
  <si>
    <t>ARENEY560027</t>
  </si>
  <si>
    <t>GYC2D CLASE II</t>
  </si>
  <si>
    <t>ON 360 ENERGY SOLAR CLASE 2</t>
  </si>
  <si>
    <t>abe9dd05116c4c77b3bb4fae4ba7fa01</t>
  </si>
  <si>
    <t>https://www.greenbondtransparency.com/bond-info/?handle=abe9dd05116c4c77b3bb4fae4ba7fa01</t>
  </si>
  <si>
    <t>BBG00QQGQVT0</t>
  </si>
  <si>
    <t>CABEI¬¥s 2019 Green Bond</t>
  </si>
  <si>
    <t>CABEI´s_Green_Bond_Framework</t>
  </si>
  <si>
    <t>375000000.00000000</t>
  </si>
  <si>
    <t>5d189d45553746e8a45d605d8b3a658f</t>
  </si>
  <si>
    <t>https://www.greenbondtransparency.com/bond-info/?handle=5d189d45553746e8a45d605d8b3a658f</t>
  </si>
  <si>
    <t>Emisi√≥n 2 del Fideicomiso de Oferta P√∫blica de Valores Larimar I No. 04 ‚Äì FP</t>
  </si>
  <si>
    <t>40000000.000000000000</t>
  </si>
  <si>
    <t>WREL#1</t>
  </si>
  <si>
    <t>Williams Renewable Energy Limited</t>
  </si>
  <si>
    <t>wcc-green-bond-second-party-opinion-05222019</t>
  </si>
  <si>
    <t>https://mstar-sustops-cdn-mainwebsite-s3.s3.amazonaws.com/docs/default-source/spos/wcc-green-bond-second-party-opinion-05222019.pdf?sfvrsn=88756a8d_3</t>
  </si>
  <si>
    <t>1ebb3382d810474480d9b51700c98bf5</t>
  </si>
  <si>
    <t>https://www.greenbondtransparency.com/bond-info/?handle=1ebb3382d810474480d9b51700c98bf5</t>
  </si>
  <si>
    <t>BBG01386BXD1</t>
  </si>
  <si>
    <t>BACMEXT 21-2X</t>
  </si>
  <si>
    <t>Bancomext Senior Notes 21 2x</t>
  </si>
  <si>
    <t>49199281.000000000000</t>
  </si>
  <si>
    <t>d6f306c4689246d5b3726c64833c00bb</t>
  </si>
  <si>
    <t>https://www.greenbondtransparency.com/bond-info/?handle=d6f306c4689246d5b3726c64833c00bb</t>
  </si>
  <si>
    <t>ARMGCZ520013</t>
  </si>
  <si>
    <t>GYN23 - SERIE I</t>
  </si>
  <si>
    <t>LETRAS SVS GODOY CRUZ SERIE I</t>
  </si>
  <si>
    <t>Municipalidad de Godoy Cruz</t>
  </si>
  <si>
    <t>1209677.000000000000</t>
  </si>
  <si>
    <t>6e080a992f2446428ffd4c836997a3dd</t>
  </si>
  <si>
    <t>https://www.greenbondtransparency.com/bond-info/?handle=6e080a992f2446428ffd4c836997a3dd</t>
  </si>
  <si>
    <t>BBG01BJ0TM67</t>
  </si>
  <si>
    <t>Local Green Bond XXXVII</t>
  </si>
  <si>
    <t>29917476.000000000000</t>
  </si>
  <si>
    <t>fe8a86a4318f49fb850f1dfa256f263b</t>
  </si>
  <si>
    <t>https://www.greenbondtransparency.com/bond-info/?handle=fe8a86a4318f49fb850f1dfa256f263b</t>
  </si>
  <si>
    <t>BBG00FWZHJQ5</t>
  </si>
  <si>
    <t>AM3592905</t>
  </si>
  <si>
    <t>90_GCDMXCB_16V</t>
  </si>
  <si>
    <t>GCDMXCB 16V</t>
  </si>
  <si>
    <t>series of folders  no doc</t>
  </si>
  <si>
    <t>https://www.greenbondtransparency.com/download-document/?entity=Framework&amp;handle=32a1a5a27135419ca0571c622c7d8237</t>
  </si>
  <si>
    <t>49269093.000000000000</t>
  </si>
  <si>
    <t>dd4e23cc5ace413b987d8d6702f2615e</t>
  </si>
  <si>
    <t>https://www.greenbondtransparency.com/bond-info/?handle=dd4e23cc5ace413b987d8d6702f2615e</t>
  </si>
  <si>
    <t>WREL#1_A</t>
  </si>
  <si>
    <t>WREL#1 Note A</t>
  </si>
  <si>
    <t>266ba26a960a4367b8afe616f921de4a</t>
  </si>
  <si>
    <t>https://www.greenbondtransparency.com/bond-info/?handle=266ba26a960a4367b8afe616f921de4a</t>
  </si>
  <si>
    <t>BRRSANDBS048</t>
  </si>
  <si>
    <t>BBG00ZR6XDJ4</t>
  </si>
  <si>
    <t>T√≠tulo Sustent√°vel Rio Grande do Sul 1</t>
  </si>
  <si>
    <t>COMPANHIA RIOGRANDENSE DE SANEAMENTO - CORSAN</t>
  </si>
  <si>
    <t>21369506.000000000000</t>
  </si>
  <si>
    <t>bfc6f6927d0842d4b44fe9c260c3a4fa</t>
  </si>
  <si>
    <t>https://www.greenbondtransparency.com/bond-info/?handle=bfc6f6927d0842d4b44fe9c260c3a4fa</t>
  </si>
  <si>
    <t>PR_PL_BICE</t>
  </si>
  <si>
    <t>Bono sostenible BICE</t>
  </si>
  <si>
    <t>Banco de Inversi√≥n y Comercio Exterior</t>
  </si>
  <si>
    <t>Marco_de_la_Primera_Emisio_n</t>
  </si>
  <si>
    <t>https://www.greenbondtransparency.com/download-document/?entity=Framework&amp;handle=e7422ceebd5f4b049171588f9f404b91</t>
  </si>
  <si>
    <t>12c30d017c6c42079eb376acbc94e798</t>
  </si>
  <si>
    <t>https://www.greenbondtransparency.com/bond-info/?handle=12c30d017c6c42079eb376acbc94e798</t>
  </si>
  <si>
    <t>ARLUZT560039</t>
  </si>
  <si>
    <t>Luz de Tres Picos - clase 3</t>
  </si>
  <si>
    <t>62536958.000000000000</t>
  </si>
  <si>
    <t>955f56ed481d4787ad7e85603344a7c0</t>
  </si>
  <si>
    <t>https://www.greenbondtransparency.com/bond-info/?handle=955f56ed481d4787ad7e85603344a7c0</t>
  </si>
  <si>
    <t>Local Green Bond - Series XLIII</t>
  </si>
  <si>
    <t>20697951.000000000000</t>
  </si>
  <si>
    <t>e9262b027b574458921d2b6cbacdfd08</t>
  </si>
  <si>
    <t>https://www.greenbondtransparency.com/bond-info/?handle=e9262b027b574458921d2b6cbacdfd08</t>
  </si>
  <si>
    <t>BRBEVELFNAW2</t>
  </si>
  <si>
    <t>LF serie 1</t>
  </si>
  <si>
    <t>16530815.000000000000</t>
  </si>
  <si>
    <t>4e35de7792ff439aabffcfc63ac8ad08</t>
  </si>
  <si>
    <t>https://www.greenbondtransparency.com/bond-info/?handle=4e35de7792ff439aabffcfc63ac8ad08</t>
  </si>
  <si>
    <t>ARLUZT560047</t>
  </si>
  <si>
    <t>Luz de Tres Picos - clase 4</t>
  </si>
  <si>
    <t>04fc276ef8034164bc420f1e04ee9cab</t>
  </si>
  <si>
    <t>https://www.greenbondtransparency.com/bond-info/?handle=04fc276ef8034164bc420f1e04ee9cab</t>
  </si>
  <si>
    <t>Second Blue Bond</t>
  </si>
  <si>
    <t>53110773.900000000000</t>
  </si>
  <si>
    <t>675b2c75c3cf4ef5be3d6cf3421d4300</t>
  </si>
  <si>
    <t>https://www.greenbondtransparency.com/bond-info/?handle=675b2c75c3cf4ef5be3d6cf3421d4300</t>
  </si>
  <si>
    <t>BBG00Z71T3Y7</t>
  </si>
  <si>
    <t>CTEEA0</t>
  </si>
  <si>
    <t>ISA CTEEP - 10¬™ Emiss√£o</t>
  </si>
  <si>
    <t>Framework_ISA_CTEEP</t>
  </si>
  <si>
    <t>https://www.greenbondtransparency.com/download-document/?entity=Framework&amp;handle=e791ce8ea3eb4c6897df799280b78881</t>
  </si>
  <si>
    <t>129400000.00000000</t>
  </si>
  <si>
    <t>57ce82e059004c8db47a7007175c47c1</t>
  </si>
  <si>
    <t>https://www.greenbondtransparency.com/bond-info/?handle=57ce82e059004c8db47a7007175c47c1</t>
  </si>
  <si>
    <t>BRPTMIDBS003</t>
  </si>
  <si>
    <t>PTMI11</t>
  </si>
  <si>
    <t>13415220.000000000000</t>
  </si>
  <si>
    <t>6f46459260bb4254a71f833639627109</t>
  </si>
  <si>
    <t>https://www.greenbondtransparency.com/bond-info/?handle=6f46459260bb4254a71f833639627109</t>
  </si>
  <si>
    <t>COB07CB00603</t>
  </si>
  <si>
    <t>Bancolombia Bono Verde 2</t>
  </si>
  <si>
    <t>https://www.greenbondtransparency.com/download-document/?entity=Framework&amp;handle=9c192826e78e482c93c7455809b0c515</t>
  </si>
  <si>
    <t>104228913.00000000</t>
  </si>
  <si>
    <t>9c192826e78e482c93c7455809b0c515</t>
  </si>
  <si>
    <t>BTGP Green</t>
  </si>
  <si>
    <t>Green Financial Instruments</t>
  </si>
  <si>
    <t>BTG_Pactual_Green,_Social_and_Sustainable_Financing_Framework</t>
  </si>
  <si>
    <t>33ceef813ef14aac8ab44dc3a53606d8</t>
  </si>
  <si>
    <t>https://www.greenbondtransparency.com/bond-info/?handle=33ceef813ef14aac8ab44dc3a53606d8</t>
  </si>
  <si>
    <t>COB07CB00611</t>
  </si>
  <si>
    <t>Bancolombia Bono Sostenible</t>
  </si>
  <si>
    <t>206408402.00000000</t>
  </si>
  <si>
    <t>abd0c7b98f1b493c9940586652a55745</t>
  </si>
  <si>
    <t>https://www.greenbondtransparency.com/bond-info/?handle=abd0c7b98f1b493c9940586652a55745</t>
  </si>
  <si>
    <t>PR_PL_MLP</t>
  </si>
  <si>
    <t>Mesa La Paz Green Bond</t>
  </si>
  <si>
    <t>Mesa La Paz</t>
  </si>
  <si>
    <t>cannot find - private placement</t>
  </si>
  <si>
    <t>304150000.00000000</t>
  </si>
  <si>
    <t>23ac54016a514edeae404b318584d263</t>
  </si>
  <si>
    <t>https://www.greenbondtransparency.com/bond-info/?handle=23ac54016a514edeae404b318584d263</t>
  </si>
  <si>
    <t>BRGAIACRA0G3</t>
  </si>
  <si>
    <t>CRA FS Bioenergia</t>
  </si>
  <si>
    <t>39152294.000000000000</t>
  </si>
  <si>
    <t>f9632afcb3694a64802fe137e6f54c15</t>
  </si>
  <si>
    <t>https://www.greenbondtransparency.com/bond-info/?handle=f9632afcb3694a64802fe137e6f54c15</t>
  </si>
  <si>
    <t>BRPVSCCRA013</t>
  </si>
  <si>
    <t>CRA SoluBio</t>
  </si>
  <si>
    <t>Solubio</t>
  </si>
  <si>
    <t>17500000.000000000000</t>
  </si>
  <si>
    <t>529f8dfe19a04a8cb685fd365187fb27</t>
  </si>
  <si>
    <t>https://www.greenbondtransparency.com/bond-info/?handle=529f8dfe19a04a8cb685fd365187fb27</t>
  </si>
  <si>
    <t>First Blue Bond Japan Tranche 1</t>
  </si>
  <si>
    <t>AUD</t>
  </si>
  <si>
    <t>20130000.000000000000</t>
  </si>
  <si>
    <t>b560e3f93699403a87c728fa565ae61a</t>
  </si>
  <si>
    <t>https://www.greenbondtransparency.com/bond-info/?handle=b560e3f93699403a87c728fa565ae61a</t>
  </si>
  <si>
    <t>BBG00RHGN5T8</t>
  </si>
  <si>
    <t>Chile - EUR 2040</t>
  </si>
  <si>
    <t>1397134210.00000000</t>
  </si>
  <si>
    <t>Bono Verde BDP</t>
  </si>
  <si>
    <t>Bono Verde BDP I-Emisi√≥n I</t>
  </si>
  <si>
    <t>a561c543716445c4b7d17b219e4eaf09</t>
  </si>
  <si>
    <t>https://www.greenbondtransparency.com/bond-info/?handle=a561c543716445c4b7d17b219e4eaf09</t>
  </si>
  <si>
    <t>BBG00PKC7RS8</t>
  </si>
  <si>
    <t>Chile -EUR 2031</t>
  </si>
  <si>
    <t>2221232860.00000000</t>
  </si>
  <si>
    <t>44da4c00410844f39441c4720c5769bb</t>
  </si>
  <si>
    <t>https://www.greenbondtransparency.com/bond-info/?handle=44da4c00410844f39441c4720c5769bb</t>
  </si>
  <si>
    <t>Local Green Bond - Series XLIV</t>
  </si>
  <si>
    <t>12502792.000000000000</t>
  </si>
  <si>
    <t>734f4cf2916542dbbaeacbcc4fb98898</t>
  </si>
  <si>
    <t>https://www.greenbondtransparency.com/bond-info/?handle=734f4cf2916542dbbaeacbcc4fb98898</t>
  </si>
  <si>
    <t>BBG012R5QQJ7</t>
  </si>
  <si>
    <t>TFVT10260331</t>
  </si>
  <si>
    <t>Bono verde soberano Colombia (TES)</t>
  </si>
  <si>
    <t>Ministry of Finance of the Republic of Colombia</t>
  </si>
  <si>
    <t>https://www.greenbondtransparency.com/download-document/?entity=Framework&amp;handle=2b5263d9a5ad4526a9d1719870519eec</t>
  </si>
  <si>
    <t>512352827.00000000</t>
  </si>
  <si>
    <t>e7a60b9c1e1547e78842af5b5db91a2f</t>
  </si>
  <si>
    <t>https://www.greenbondtransparency.com/bond-info/?handle=e7a60b9c1e1547e78842af5b5db91a2f</t>
  </si>
  <si>
    <t>BBG00WYXCK74</t>
  </si>
  <si>
    <t>KOF</t>
  </si>
  <si>
    <t>Coca-Cola FEMSA Green Bond</t>
  </si>
  <si>
    <t>Coca-Cola FEMSA</t>
  </si>
  <si>
    <t>Coca-Cola_FEMSA_Green_Bond_Framework</t>
  </si>
  <si>
    <t>https://www.greenbondtransparency.com/download-document/?entity=Framework&amp;handle=766cfab46e8a4f4c9ad6466bfd582707</t>
  </si>
  <si>
    <t>705000000.00000000</t>
  </si>
  <si>
    <t>dfcc0dc402434cf9b677d5f1a319bd81</t>
  </si>
  <si>
    <t>https://www.greenbondtransparency.com/bond-info/?handle=dfcc0dc402434cf9b677d5f1a319bd81</t>
  </si>
  <si>
    <t>Local Green Bond - Series XLII</t>
  </si>
  <si>
    <t>15196669.000000000000</t>
  </si>
  <si>
    <t>9b5072c9c8a74de999ff58ac7a32f456</t>
  </si>
  <si>
    <t>https://www.greenbondtransparency.com/bond-info/?handle=9b5072c9c8a74de999ff58ac7a32f456</t>
  </si>
  <si>
    <t>BRSUCUDBS001</t>
  </si>
  <si>
    <t>CHSU11</t>
  </si>
  <si>
    <t>Deb√™ntures 12.431 - Central Hidrel√©trica Sucuri</t>
  </si>
  <si>
    <t>3733333.000000000000</t>
  </si>
  <si>
    <t>a8392d86e81349c6adf4a4cc3384fc61</t>
  </si>
  <si>
    <t>https://www.greenbondtransparency.com/bond-info/?handle=a8392d86e81349c6adf4a4cc3384fc61</t>
  </si>
  <si>
    <t>BBG00Z0HH595</t>
  </si>
  <si>
    <t>02265WAA3</t>
  </si>
  <si>
    <t>AMAGGI Sustainability Bond</t>
  </si>
  <si>
    <t>Amaggi Luxembourg International S.a r.l.</t>
  </si>
  <si>
    <t>https://www.greenbondtransparency.com/download-document/?entity=Framework&amp;handle=3dacbafde8ad4f978ac7ddb77457ec42</t>
  </si>
  <si>
    <t>8c79d4f9366a4162a9629192e2530d2d</t>
  </si>
  <si>
    <t>https://www.greenbondtransparency.com/bond-info/?handle=8c79d4f9366a4162a9629192e2530d2d</t>
  </si>
  <si>
    <t>BRESVHDBS002</t>
  </si>
  <si>
    <t>E√≥lica Serra das Vacas Holding II S.A.</t>
  </si>
  <si>
    <t>Engeform - E√≥lica Serra das Vacas Holding II S.A</t>
  </si>
  <si>
    <t xml:space="preserve">Google Gemini says: Eólica Serra das Vacas Holding II S.A. is a special-purpose holding company structured by PEC Energia, a subsidiary of Engeform Energia Renovável. It manages the second phase of the Serra das Vacas wind energy complex, which generates </t>
  </si>
  <si>
    <t>https://www.google.com/search?q=Engeform+-+Eólica+Serra+das+Vacas+Holding+II+S.A&amp;client=safari&amp;hs=792p&amp;sca_esv=4a455b0f3ad2390b&amp;rls=en&amp;sxsrf=ANbL-n5D245Yg7U6E1cbh_05kLr6vVgmNw%3A1781078072720&amp;ei=OBgpapfSK7S0hbIPv4X3gQQ&amp;biw=788&amp;bih=779&amp;ved=0ahUKEwiXzt3umPy</t>
  </si>
  <si>
    <t>14620773.000000000000</t>
  </si>
  <si>
    <t>4402b99ca0974803b1b4b959a37fca7d</t>
  </si>
  <si>
    <t>https://www.greenbondtransparency.com/bond-info/?handle=4402b99ca0974803b1b4b959a37fca7d</t>
  </si>
  <si>
    <t>BBG00QV12752</t>
  </si>
  <si>
    <t>CAF EUR BENCHMARK 7Y</t>
  </si>
  <si>
    <t>825187500.00000000</t>
  </si>
  <si>
    <t>5b9bc195be534adaa28f29ea980225c8</t>
  </si>
  <si>
    <t>https://www.greenbondtransparency.com/bond-info/?handle=5b9bc195be534adaa28f29ea980225c8</t>
  </si>
  <si>
    <t>BBG00YG422X6</t>
  </si>
  <si>
    <t>CTEE29</t>
  </si>
  <si>
    <t>ISA CTEEP - 9¬™ Emiss√£o (2¬™ Serie)</t>
  </si>
  <si>
    <t>154000000.00000000</t>
  </si>
  <si>
    <t>039a805a3e354fb9abc557d41eaf0c0a</t>
  </si>
  <si>
    <t>https://www.greenbondtransparency.com/bond-info/?handle=039a805a3e354fb9abc557d41eaf0c0a</t>
  </si>
  <si>
    <t>BBG00P0Y6CR7</t>
  </si>
  <si>
    <t>Bono Verde COFIDE</t>
  </si>
  <si>
    <t>Cofide</t>
  </si>
  <si>
    <t>Marco_del_Bono_Verde</t>
  </si>
  <si>
    <t>https://www.greenbondtransparency.com/download-document/?entity=Framework&amp;handle=04e21c087086494eb8ed28a377b70eee</t>
  </si>
  <si>
    <t>30012004.000000000000</t>
  </si>
  <si>
    <t>14a9f009a6c0487aa7122710957cc603</t>
  </si>
  <si>
    <t>https://www.greenbondtransparency.com/bond-info/?handle=14a9f009a6c0487aa7122710957cc603</t>
  </si>
  <si>
    <t>WREL#1 Note F</t>
  </si>
  <si>
    <t>2250000.000000000000</t>
  </si>
  <si>
    <t>b39685efcca04b61bebbca809d22fe37</t>
  </si>
  <si>
    <t>https://www.greenbondtransparency.com/bond-info/?handle=b39685efcca04b61bebbca809d22fe37</t>
  </si>
  <si>
    <t>BSOND-J</t>
  </si>
  <si>
    <t>SONDA SA</t>
  </si>
  <si>
    <t>SONDA_S_A__GREEN_BOND_FRAMEWORK</t>
  </si>
  <si>
    <t>https://www.greenbondtransparency.com/download-document/?entity=Framework&amp;handle=b64652431f724d2f81550871f0d9a6e1</t>
  </si>
  <si>
    <t>59024473.000000000000</t>
  </si>
  <si>
    <t>f5ae13b56104475c94e09bc5a1fbbcd7</t>
  </si>
  <si>
    <t>https://www.greenbondtransparency.com/bond-info/?handle=f5ae13b56104475c94e09bc5a1fbbcd7</t>
  </si>
  <si>
    <t>BRSMTODBS021</t>
  </si>
  <si>
    <t>SMTO24</t>
  </si>
  <si>
    <t>4¬™ Emiss√£o de Deb√™ntures - 2¬™ S√©rie - S√£o Martinho</t>
  </si>
  <si>
    <t>100163388.000000000000</t>
  </si>
  <si>
    <t>009d5aef8eb040e39ea6ab6db3788d97</t>
  </si>
  <si>
    <t>https://www.greenbondtransparency.com/bond-info/?handle=009d5aef8eb040e39ea6ab6db3788d97</t>
  </si>
  <si>
    <t>CIFI Serie F</t>
  </si>
  <si>
    <t>14521d00f4b7491a901136cd68acd349</t>
  </si>
  <si>
    <t>https://www.greenbondtransparency.com/bond-info/?handle=14521d00f4b7491a901136cd68acd349</t>
  </si>
  <si>
    <t>NFB-2-N1B-23</t>
  </si>
  <si>
    <t>Bono Verde BDP I - Emisi√≥n I: Serie B</t>
  </si>
  <si>
    <t>4435345.000000000000</t>
  </si>
  <si>
    <t>ff0274d7d0c14d4abbc9bfd497c65e5f</t>
  </si>
  <si>
    <t>https://www.greenbondtransparency.com/bond-info/?handle=ff0274d7d0c14d4abbc9bfd497c65e5f</t>
  </si>
  <si>
    <t>BONO VERDE ICE G-3V</t>
  </si>
  <si>
    <t>Instituto Costarricense de Electricidad</t>
  </si>
  <si>
    <t>https://www.greenbondtransparency.com/download-document/?entity=Framework&amp;handle=540e3b9e7ad24ec29091bc6c98dbbc0a</t>
  </si>
  <si>
    <t>22444096.000000000000</t>
  </si>
  <si>
    <t>f495dc7708c7482192c314338682e805</t>
  </si>
  <si>
    <t>https://www.greenbondtransparency.com/bond-info/?handle=f495dc7708c7482192c314338682e805</t>
  </si>
  <si>
    <t>CRI_ATHON1</t>
  </si>
  <si>
    <t>CRI Athon ESG I</t>
  </si>
  <si>
    <t>Climate Bond Framework of Athon in 2021</t>
  </si>
  <si>
    <t>https://www.greenbondtransparency.com/download-document/?entity=Framework&amp;handle=d583c1a1b1f2463ebec5379b3985a990</t>
  </si>
  <si>
    <t>15906000.000000000000</t>
  </si>
  <si>
    <t>BNCMXT CEBUR21</t>
  </si>
  <si>
    <t>Bancomext Senior Notes 2021</t>
  </si>
  <si>
    <t>920a9c0f73ed4a33b396662dfdd27f14</t>
  </si>
  <si>
    <t>https://www.greenbondtransparency.com/bond-info/?handle=920a9c0f73ed4a33b396662dfdd27f14</t>
  </si>
  <si>
    <t>BBG01TR9MN65</t>
  </si>
  <si>
    <t>CIFI Serie T</t>
  </si>
  <si>
    <t>c0def428de184b52ba62a6b13efd2b97</t>
  </si>
  <si>
    <t>https://www.greenbondtransparency.com/bond-info/?handle=c0def428de184b52ba62a6b13efd2b97</t>
  </si>
  <si>
    <t>BRDNBGDBS025</t>
  </si>
  <si>
    <t>Primeiro T√≠tulo Verde da Diana Bioenergia - DIAN24</t>
  </si>
  <si>
    <t>6200726.000000000000</t>
  </si>
  <si>
    <t>594db9695dc343bfac2c28d05e9d6e37</t>
  </si>
  <si>
    <t>https://www.greenbondtransparency.com/bond-info/?handle=594db9695dc343bfac2c28d05e9d6e37</t>
  </si>
  <si>
    <t>Serie B</t>
  </si>
  <si>
    <t>591bdf3d52c84e4b9abd76b03591ae92</t>
  </si>
  <si>
    <t>https://www.greenbondtransparency.com/bond-info/?handle=591bdf3d52c84e4b9abd76b03591ae92</t>
  </si>
  <si>
    <t>ARCPMA560025</t>
  </si>
  <si>
    <t>OMC20</t>
  </si>
  <si>
    <t>Clase II</t>
  </si>
  <si>
    <t>CP Los Olivos y CP Manque</t>
  </si>
  <si>
    <t>prospectus - in spanish</t>
  </si>
  <si>
    <t>https://irdirect.net/template_files/1418/files/Programa-Global-CP-Manque-CP-Los-Olivos.pdf</t>
  </si>
  <si>
    <t>b43ece8c5bc44097b88347e2476d8c95</t>
  </si>
  <si>
    <t>https://www.greenbondtransparency.com/bond-info/?handle=b43ece8c5bc44097b88347e2476d8c95</t>
  </si>
  <si>
    <t>BBG014X2RWX3</t>
  </si>
  <si>
    <t>Chile - USD 2052</t>
  </si>
  <si>
    <t>f566f05a4aae4b2485cb8306fd41679c</t>
  </si>
  <si>
    <t>https://www.greenbondtransparency.com/bond-info/?handle=f566f05a4aae4b2485cb8306fd41679c</t>
  </si>
  <si>
    <t>Local Green Bond - Series XXXVIII</t>
  </si>
  <si>
    <t>73432000.000000000000</t>
  </si>
  <si>
    <t>e966bfa760da47229e612d1814fcd544</t>
  </si>
  <si>
    <t>https://www.greenbondtransparency.com/bond-info/?handle=e966bfa760da47229e612d1814fcd544</t>
  </si>
  <si>
    <t>BRRSANDBS055</t>
  </si>
  <si>
    <t>BBG00ZR6WHP9</t>
  </si>
  <si>
    <t>T√≠tulo Sustent√°vel Rio Grande do Sul 2</t>
  </si>
  <si>
    <t>62350602.000000000000</t>
  </si>
  <si>
    <t>69021b69981246b2b037aa13c8fabc98</t>
  </si>
  <si>
    <t>https://www.greenbondtransparency.com/bond-info/?handle=69021b69981246b2b037aa13c8fabc98</t>
  </si>
  <si>
    <t>BRIGSNDBS044</t>
  </si>
  <si>
    <t>BBG00WFC29W9</t>
  </si>
  <si>
    <t>T√≠tulo Sustent√°vel Cuiab√°</t>
  </si>
  <si>
    <t>119262306.00000000</t>
  </si>
  <si>
    <t>Bono Verde Bogot√° D.C.</t>
  </si>
  <si>
    <t>1c15de3906d74b2d8a7d01d482b86c19</t>
  </si>
  <si>
    <t>https://www.greenbondtransparency.com/bond-info/?handle=1c15de3906d74b2d8a7d01d482b86c19</t>
  </si>
  <si>
    <t>BRRANIDBS023</t>
  </si>
  <si>
    <t>BBG00PWZ9NS1</t>
  </si>
  <si>
    <t>CELU13</t>
  </si>
  <si>
    <t>Irani Green Bond 2025</t>
  </si>
  <si>
    <t>131867558.00000000</t>
  </si>
  <si>
    <t>e803ccf87ecb45d7a8e5c36f97782157</t>
  </si>
  <si>
    <t>https://www.greenbondtransparency.com/bond-info/?handle=e803ccf87ecb45d7a8e5c36f97782157</t>
  </si>
  <si>
    <t>BRMGPRDBS068</t>
  </si>
  <si>
    <t>MTRJ19</t>
  </si>
  <si>
    <t>9¬™ EMISS√ÉO DE DEB√äNTURES DA CONCESS√ÉO METROVI√ÅRIA DO RIO DE JANEIRO S.A.</t>
  </si>
  <si>
    <t>Concess√£o Metrovi√°ria do Rio de Janeiro S.A.</t>
  </si>
  <si>
    <t>227703984.00000000</t>
  </si>
  <si>
    <t>2a7bdd3170f44ab4b731fddbc86f0ade</t>
  </si>
  <si>
    <t>https://www.greenbondtransparency.com/bond-info/?handle=2a7bdd3170f44ab4b731fddbc86f0ade</t>
  </si>
  <si>
    <t>ARPETQ560069</t>
  </si>
  <si>
    <t>PCR - Class 2</t>
  </si>
  <si>
    <t>Petroquimica Comodoro Rivadavia</t>
  </si>
  <si>
    <t>36962246.000000000000</t>
  </si>
  <si>
    <t>270dc78108554e578876030bd2496dde</t>
  </si>
  <si>
    <t>https://www.greenbondtransparency.com/bond-info/?handle=270dc78108554e578876030bd2496dde</t>
  </si>
  <si>
    <t>BRVERTCRA2K6</t>
  </si>
  <si>
    <t>CRA ComBio Green Bond 2028</t>
  </si>
  <si>
    <t>ComBio Energia</t>
  </si>
  <si>
    <t>26572188.000000000000</t>
  </si>
  <si>
    <t>df57d6a3698d41908685999048e46b1f</t>
  </si>
  <si>
    <t>https://www.greenbondtransparency.com/bond-info/?handle=df57d6a3698d41908685999048e46b1f</t>
  </si>
  <si>
    <t>PR_PL_Tealov</t>
  </si>
  <si>
    <t>Cardal</t>
  </si>
  <si>
    <t>55539288.960000000000</t>
  </si>
  <si>
    <t>43da939a64e7473388d28a08a74f1490</t>
  </si>
  <si>
    <t>https://www.greenbondtransparency.com/bond-info/?handle=43da939a64e7473388d28a08a74f1490</t>
  </si>
  <si>
    <t>No aplica</t>
  </si>
  <si>
    <t>Primera Emisi√≥n Bono Verde Banco de Bogot√°</t>
  </si>
  <si>
    <t>Banco de Bogot√°</t>
  </si>
  <si>
    <t>Marco_de_Referencia_de_Bonos_Verdes_del_Banco_de_Bogota_</t>
  </si>
  <si>
    <t>https://www.greenbondtransparency.com/download-document/?entity=Framework&amp;handle=f3dbd2a2f86048d3b238e68cedcb70fa</t>
  </si>
  <si>
    <t>77647790.000000000000</t>
  </si>
  <si>
    <t>63eb049b54cf46b8871604a7b6c595b4</t>
  </si>
  <si>
    <t>https://www.greenbondtransparency.com/bond-info/?handle=63eb049b54cf46b8871604a7b6c595b4</t>
  </si>
  <si>
    <t>US90363PAA49</t>
  </si>
  <si>
    <t>BBG00YGNGLS3</t>
  </si>
  <si>
    <t>UEP Penonome II</t>
  </si>
  <si>
    <t>UEP Penonome II, S.A.</t>
  </si>
  <si>
    <t>Discussion-Paper</t>
  </si>
  <si>
    <t>https://documents1.worldbank.org/curated/en/207441627059166610/pdf/Discussion-Paper.pdf</t>
  </si>
  <si>
    <t>case study. On p63</t>
  </si>
  <si>
    <t>262664000.00000000</t>
  </si>
  <si>
    <t>788e2e9e050c4500b6edbd5e51925cdc</t>
  </si>
  <si>
    <t>https://www.greenbondtransparency.com/bond-info/?handle=788e2e9e050c4500b6edbd5e51925cdc</t>
  </si>
  <si>
    <t>Third Swiss Green Bond</t>
  </si>
  <si>
    <t>114798580.67000000</t>
  </si>
  <si>
    <t>ac18a46cd99149a4aad8929bb8729af1</t>
  </si>
  <si>
    <t>https://www.greenbondtransparency.com/bond-info/?handle=ac18a46cd99149a4aad8929bb8729af1</t>
  </si>
  <si>
    <t>BBG011WG3VZ5</t>
  </si>
  <si>
    <t>ISA Interchile Bono verde</t>
  </si>
  <si>
    <t>ISA Interchile</t>
  </si>
  <si>
    <t>https://www.greenbondtransparency.com/download-document/?entity=Framework&amp;handle=23874d9911cb4bc4b0376a3d29a0a700</t>
  </si>
  <si>
    <t>1200000000.00000000</t>
  </si>
  <si>
    <t>0a375fceacec416eab4e7bd776b260c3</t>
  </si>
  <si>
    <t>https://www.greenbondtransparency.com/bond-info/?handle=0a375fceacec416eab4e7bd776b260c3</t>
  </si>
  <si>
    <t>ARCPMA560017</t>
  </si>
  <si>
    <t>OMC10</t>
  </si>
  <si>
    <t>Clase I</t>
  </si>
  <si>
    <t>35160000.000000000000</t>
  </si>
  <si>
    <t>ecf0a4ed83224db981757ec473492b69</t>
  </si>
  <si>
    <t>https://www.greenbondtransparency.com/bond-info/?handle=ecf0a4ed83224db981757ec473492b69</t>
  </si>
  <si>
    <t>BBG01TR9MRD8</t>
  </si>
  <si>
    <t>CIFI Serie V</t>
  </si>
  <si>
    <t>570000.000000000000</t>
  </si>
  <si>
    <t>22d0a3c93e424dd2b0df0efe6c3c0c8d</t>
  </si>
  <si>
    <t>https://www.greenbondtransparency.com/bond-info/?handle=22d0a3c93e424dd2b0df0efe6c3c0c8d</t>
  </si>
  <si>
    <t>BRVERTCRA2X9</t>
  </si>
  <si>
    <t>CRA ComBio Green Bond 2030</t>
  </si>
  <si>
    <t>38219725.000000000000</t>
  </si>
  <si>
    <t>3fe053899f524b6fb2ed54ab7bfd9437</t>
  </si>
  <si>
    <t>https://www.greenbondtransparency.com/bond-info/?handle=3fe053899f524b6fb2ed54ab7bfd9437</t>
  </si>
  <si>
    <t>Tercer Bono Planta Gasificaci√≥n</t>
  </si>
  <si>
    <t>16291105.000000000000</t>
  </si>
  <si>
    <t>7764daf78634437c8d58059674d26e96</t>
  </si>
  <si>
    <t>https://www.greenbondtransparency.com/bond-info/?handle=7764daf78634437c8d58059674d26e96</t>
  </si>
  <si>
    <t>BRTRPLDBS089</t>
  </si>
  <si>
    <t>BBG00R4VZ614</t>
  </si>
  <si>
    <t>CTEE18</t>
  </si>
  <si>
    <t>ISA CTEEP - 8¬™ Emiss√£o</t>
  </si>
  <si>
    <t>78700000.000000000000</t>
  </si>
  <si>
    <t>7c95589261774817a0ed576d49102d56</t>
  </si>
  <si>
    <t>https://www.greenbondtransparency.com/bond-info/?handle=7c95589261774817a0ed576d49102d56</t>
  </si>
  <si>
    <t>BROMGEDBS044</t>
  </si>
  <si>
    <t>OMGE12</t>
  </si>
  <si>
    <t>20861782.000000000000</t>
  </si>
  <si>
    <t>c75cda2c7e804d5893416feaf9a3f5a9</t>
  </si>
  <si>
    <t>https://www.greenbondtransparency.com/bond-info/?handle=c75cda2c7e804d5893416feaf9a3f5a9</t>
  </si>
  <si>
    <t>Local Green Bond - Series XLVI</t>
  </si>
  <si>
    <t>7d5a909c5f244b7da7c3fab618115955</t>
  </si>
  <si>
    <t>https://www.greenbondtransparency.com/bond-info/?handle=7d5a909c5f244b7da7c3fab618115955</t>
  </si>
  <si>
    <t>BRGAFLCRI009</t>
  </si>
  <si>
    <t>CRI MAGIK</t>
  </si>
  <si>
    <t>932191.000000000000</t>
  </si>
  <si>
    <t>49af944d0d1c40e281e6f0f49e870b56</t>
  </si>
  <si>
    <t>https://www.greenbondtransparency.com/bond-info/?handle=49af944d0d1c40e281e6f0f49e870b56</t>
  </si>
  <si>
    <t>BBG012J2LYL8</t>
  </si>
  <si>
    <t>833636AL7</t>
  </si>
  <si>
    <t>SQM</t>
  </si>
  <si>
    <t>SQM Green Bond 2051</t>
  </si>
  <si>
    <t>31fc7425804742a8a5ead2a49c68dd6d</t>
  </si>
  <si>
    <t>https://www.greenbondtransparency.com/bond-info/?handle=31fc7425804742a8a5ead2a49c68dd6d</t>
  </si>
  <si>
    <t>BBG01XJ3T775</t>
  </si>
  <si>
    <t>CIFI Serie S</t>
  </si>
  <si>
    <t>3138cc32cdef45918af3cade062653bd</t>
  </si>
  <si>
    <t>https://www.greenbondtransparency.com/bond-info/?handle=3138cc32cdef45918af3cade062653bd</t>
  </si>
  <si>
    <t>FEFA 18V</t>
  </si>
  <si>
    <t>128887743.00000000</t>
  </si>
  <si>
    <t>8d5678c837d04ad1b519d55593035eaa</t>
  </si>
  <si>
    <t>https://www.greenbondtransparency.com/bond-info/?handle=8d5678c837d04ad1b519d55593035eaa</t>
  </si>
  <si>
    <t>PR_PL_ERGONPERU</t>
  </si>
  <si>
    <t>ERGON PER√ö - BONO VERDE</t>
  </si>
  <si>
    <t>Ergon Per√∫ S.A.C</t>
  </si>
  <si>
    <t>google results</t>
  </si>
  <si>
    <t>https://www.google.com/search?client=safari&amp;rls=en&amp;q=ERGON+PER%C3%9A+-+BONO+VERDE+framework&amp;ie=UTF-8&amp;oe=UTF-8</t>
  </si>
  <si>
    <t>google search - private placement</t>
  </si>
  <si>
    <t>219270538.00000000</t>
  </si>
  <si>
    <t>en&amp;q</t>
  </si>
  <si>
    <t>ERGON+PER%C3%9A+-+BONO+VERDE+framework&amp;ie</t>
  </si>
  <si>
    <t>UTF-8&amp;oe</t>
  </si>
  <si>
    <t>UTF-8</t>
  </si>
  <si>
    <t>c03d5494595e4f10b3d7da851eb1edc1</t>
  </si>
  <si>
    <t>https://www.greenbondtransparency.com/bond-info/?handle=c03d5494595e4f10b3d7da851eb1edc1</t>
  </si>
  <si>
    <t>BRECOACRAB14</t>
  </si>
  <si>
    <t>CRA022008NH</t>
  </si>
  <si>
    <t>Irani Green Bond 2 2029</t>
  </si>
  <si>
    <t>46000000.000000000000</t>
  </si>
  <si>
    <t>48b1c6beafb241c0965ebde179a9197b</t>
  </si>
  <si>
    <t>https://www.greenbondtransparency.com/bond-info/?handle=48b1c6beafb241c0965ebde179a9197b</t>
  </si>
  <si>
    <t>BBG01L14H316</t>
  </si>
  <si>
    <t>CIFI Serie P</t>
  </si>
  <si>
    <t>af0eaea35ff14871ad1562a44f51eff6</t>
  </si>
  <si>
    <t>https://www.greenbondtransparency.com/bond-info/?handle=af0eaea35ff14871ad1562a44f51eff6</t>
  </si>
  <si>
    <t>US46556M2A90</t>
  </si>
  <si>
    <t>BBG00YVH7B65</t>
  </si>
  <si>
    <t>46556M2A9</t>
  </si>
  <si>
    <t>Tier 2 Subordinated Sustainable Notes</t>
  </si>
  <si>
    <t>Ita√∫ Unibanco</t>
  </si>
  <si>
    <t>f32ff5d9b337416bbf62841a89d0c5f3</t>
  </si>
  <si>
    <t>https://www.greenbondtransparency.com/bond-info/?handle=f32ff5d9b337416bbf62841a89d0c5f3</t>
  </si>
  <si>
    <t>BBG01TR9MT26</t>
  </si>
  <si>
    <t>CIFI Serie U</t>
  </si>
  <si>
    <t>3000000.000000000000</t>
  </si>
  <si>
    <t>4ca13ef9ab934a72b5abeaa573a02582</t>
  </si>
  <si>
    <t>https://www.greenbondtransparency.com/bond-info/?handle=4ca13ef9ab934a72b5abeaa573a02582</t>
  </si>
  <si>
    <t>Local Green Bond Series XLVII</t>
  </si>
  <si>
    <t>48300000.000000000000</t>
  </si>
  <si>
    <t>Programa de Emisi√≥n de Fideicomiso de Oferta P√∫blica de Valores Larimar I No. 04 ‚Äì FP</t>
  </si>
  <si>
    <t>346f88279d564a3884e3182f0e281b57</t>
  </si>
  <si>
    <t>https://www.greenbondtransparency.com/bond-info/?handle=346f88279d564a3884e3182f0e281b57</t>
  </si>
  <si>
    <t>BBG013X0CW38</t>
  </si>
  <si>
    <t>NAFF 21X</t>
  </si>
  <si>
    <t>310067165.00000000</t>
  </si>
  <si>
    <t>cdd9dbb7c5b7426a8c366cb944a814a9</t>
  </si>
  <si>
    <t>https://www.greenbondtransparency.com/bond-info/?handle=cdd9dbb7c5b7426a8c366cb944a814a9</t>
  </si>
  <si>
    <t>BBG012N0L8M3</t>
  </si>
  <si>
    <t>CRA Verde XP 2021</t>
  </si>
  <si>
    <t>58050658.000000000000</t>
  </si>
  <si>
    <t>5b4a75cdb66b4ce9b8961d7a9fd6bfb5</t>
  </si>
  <si>
    <t>https://www.greenbondtransparency.com/bond-info/?handle=5b4a75cdb66b4ce9b8961d7a9fd6bfb5</t>
  </si>
  <si>
    <t>BRTAEEDBS0M3</t>
  </si>
  <si>
    <t>BBG0113RBDT1</t>
  </si>
  <si>
    <t>Decima Emiss√£o de Deb√™ntures da Taesa</t>
  </si>
  <si>
    <t>18730651.000000000000</t>
  </si>
  <si>
    <t>21273ccef0ca496f88b04b4970e3394e</t>
  </si>
  <si>
    <t>https://www.greenbondtransparency.com/bond-info/?handle=21273ccef0ca496f88b04b4970e3394e</t>
  </si>
  <si>
    <t>BRJTEEDBS010</t>
  </si>
  <si>
    <t>BBG00R9NDNK3</t>
  </si>
  <si>
    <t>Segunda Emiss√£o Jana√∫ba</t>
  </si>
  <si>
    <t>133008850.00000000</t>
  </si>
  <si>
    <t>8d288b5fb4d744a292bdcdedbe89c663</t>
  </si>
  <si>
    <t>https://www.greenbondtransparency.com/bond-info/?handle=8d288b5fb4d744a292bdcdedbe89c663</t>
  </si>
  <si>
    <t>BPCR0400000123A</t>
  </si>
  <si>
    <t>Serie A</t>
  </si>
  <si>
    <t>a23a413a540343deb7a6f9e315c32a3c</t>
  </si>
  <si>
    <t>https://www.greenbondtransparency.com/bond-info/?handle=a23a413a540343deb7a6f9e315c32a3c</t>
  </si>
  <si>
    <t>BBG014X2RRC7</t>
  </si>
  <si>
    <t>Chile - USD 2034</t>
  </si>
  <si>
    <t>7bf9a1229a5441e1aa420dae5a45422d</t>
  </si>
  <si>
    <t>https://www.greenbondtransparency.com/bond-info/?handle=7bf9a1229a5441e1aa420dae5a45422d</t>
  </si>
  <si>
    <t>Cuarto Bono Planta Gasificaci√≥n</t>
  </si>
  <si>
    <t>6374780.000000000000</t>
  </si>
  <si>
    <t>551e621100684f8ca808b9cc0ca3e11f</t>
  </si>
  <si>
    <t>https://www.greenbondtransparency.com/bond-info/?handle=551e621100684f8ca808b9cc0ca3e11f</t>
  </si>
  <si>
    <t>BBG00GNBTL60</t>
  </si>
  <si>
    <t>BONO VERDE BANC√ìLDEX</t>
  </si>
  <si>
    <t>Bancoldex</t>
  </si>
  <si>
    <t>https://www.greenbondtransparency.com/download-document/?entity=Framework&amp;handle=b49dc523ef1442c78e3ef719dbf815cc</t>
  </si>
  <si>
    <t>70000000.000000000000</t>
  </si>
  <si>
    <t>72b244fd46b444aba44095c0ca650e2f</t>
  </si>
  <si>
    <t>https://www.greenbondtransparency.com/bond-info/?handle=72b244fd46b444aba44095c0ca650e2f</t>
  </si>
  <si>
    <t>BBG00NQJNB18</t>
  </si>
  <si>
    <t>Klabin 2049</t>
  </si>
  <si>
    <t>93ce256ddb7048a1bfbdb5f7a6662d28</t>
  </si>
  <si>
    <t>https://www.greenbondtransparency.com/bond-info/?handle=93ce256ddb7048a1bfbdb5f7a6662d28</t>
  </si>
  <si>
    <t>BRTAEEDBS0Q4</t>
  </si>
  <si>
    <t>BBG017BXVSB0</t>
  </si>
  <si>
    <t>2¬™ s√©rie Decima Segunda Emiss√£o Taesa</t>
  </si>
  <si>
    <t>58456898.000000000000</t>
  </si>
  <si>
    <t>8646617898db47f5bd5c5b2049986b06</t>
  </si>
  <si>
    <t>https://www.greenbondtransparency.com/bond-info/?handle=8646617898db47f5bd5c5b2049986b06</t>
  </si>
  <si>
    <t>CRA Eucalipto</t>
  </si>
  <si>
    <t>11537768.160000000000</t>
  </si>
  <si>
    <t>3bc2ce485efc4b8680560d04eaf51ce3</t>
  </si>
  <si>
    <t>https://www.greenbondtransparency.com/bond-info/?handle=3bc2ce485efc4b8680560d04eaf51ce3</t>
  </si>
  <si>
    <t>PR_PL_Nicefield</t>
  </si>
  <si>
    <t>Campo Palomas</t>
  </si>
  <si>
    <t>135810000.00000000</t>
  </si>
  <si>
    <t>1fbdb1696ffd4349bd5b0b17c8a00bea</t>
  </si>
  <si>
    <t>https://www.greenbondtransparency.com/bond-info/?handle=1fbdb1696ffd4349bd5b0b17c8a00bea</t>
  </si>
  <si>
    <t>BRSMTODBS013</t>
  </si>
  <si>
    <t>SMTO14</t>
  </si>
  <si>
    <t>4¬™ Emiss√£o de Deb√™ntures - 1¬™ S√©rie - S√£o Martinho</t>
  </si>
  <si>
    <t>122988538.00000000</t>
  </si>
  <si>
    <t>f1985f32b06e470d94a2449373c82379</t>
  </si>
  <si>
    <t>https://www.greenbondtransparency.com/bond-info/?handle=f1985f32b06e470d94a2449373c82379</t>
  </si>
  <si>
    <t>CIFI Serie D</t>
  </si>
  <si>
    <t>9d3a8736bb3c4d16b346440e01077353</t>
  </si>
  <si>
    <t>https://www.greenbondtransparency.com/bond-info/?handle=9d3a8736bb3c4d16b346440e01077353</t>
  </si>
  <si>
    <t>Bancomext Senior Notes 23x 2x</t>
  </si>
  <si>
    <t>333333333.00000000</t>
  </si>
  <si>
    <t>0f91b88562524743ad5ecf105cddab89</t>
  </si>
  <si>
    <t>https://www.greenbondtransparency.com/bond-info/?handle=0f91b88562524743ad5ecf105cddab89</t>
  </si>
  <si>
    <t>USP14623AC98</t>
  </si>
  <si>
    <t>JK8733616</t>
  </si>
  <si>
    <t>Bono Verde</t>
  </si>
  <si>
    <t>28ae5ae6b38d4f6ea026a78ebefacd1b</t>
  </si>
  <si>
    <t>https://www.greenbondtransparency.com/bond-info/?handle=28ae5ae6b38d4f6ea026a78ebefacd1b</t>
  </si>
  <si>
    <t>CRA TEREOS</t>
  </si>
  <si>
    <t>VERT Companhia Securitizadora</t>
  </si>
  <si>
    <t>https://www.greenbondtransparency.com/download-document/?entity=Framework&amp;handle=0ca1bbf86b2045aba7e8ff9a179c2758</t>
  </si>
  <si>
    <t>60339509.000000000000</t>
  </si>
  <si>
    <t>9e3d5a4bf8ef4c9bb3306040e0cd6790</t>
  </si>
  <si>
    <t>https://www.greenbondtransparency.com/bond-info/?handle=9e3d5a4bf8ef4c9bb3306040e0cd6790</t>
  </si>
  <si>
    <t>USP58072AL66</t>
  </si>
  <si>
    <t>BBG00GCM8LR8</t>
  </si>
  <si>
    <t>Green Bond CMPC 2017</t>
  </si>
  <si>
    <t>CMPC</t>
  </si>
  <si>
    <t>Integrated-Report-2017</t>
  </si>
  <si>
    <t>https://s23.q4cdn.com/927837516/files/doc_financials/annual/Integrated-Report-2017.pdf</t>
  </si>
  <si>
    <t>https://s23.q4cdn.com/927837516/files/doc_downloads/green_bond/2021/CMPC-Green-Bond-Opinion-03162017.pdf</t>
  </si>
  <si>
    <t>6699aa37a3de4631b0742dedc052011e</t>
  </si>
  <si>
    <t>https://www.greenbondtransparency.com/bond-info/?handle=6699aa37a3de4631b0742dedc052011e</t>
  </si>
  <si>
    <t>BBG00H2F8GK0</t>
  </si>
  <si>
    <t>AGUA 17-2X</t>
  </si>
  <si>
    <t>AGUA 17-2x</t>
  </si>
  <si>
    <t>Grupo Rotoplas SAB</t>
  </si>
  <si>
    <t>Sustainability_Bond_Framework</t>
  </si>
  <si>
    <t>https://www.greenbondtransparency.com/download-document/?entity=Framework&amp;handle=95b3eb28144a4ce6a75c1665a0a4d887</t>
  </si>
  <si>
    <t>246836426.00000000</t>
  </si>
  <si>
    <t>25af7f0c068d403b829146d02fd9ec6a</t>
  </si>
  <si>
    <t>https://www.greenbondtransparency.com/bond-info/?handle=25af7f0c068d403b829146d02fd9ec6a</t>
  </si>
  <si>
    <t>ARPAMP5600C6</t>
  </si>
  <si>
    <t>MGC8O</t>
  </si>
  <si>
    <t>Pampa Energ√≠a - ON Clase 8</t>
  </si>
  <si>
    <t>9c8ab892f54b40c8817e29c75c9c5029</t>
  </si>
  <si>
    <t>https://www.greenbondtransparency.com/bond-info/?handle=9c8ab892f54b40c8817e29c75c9c5029</t>
  </si>
  <si>
    <t>BBG01386H8Q6</t>
  </si>
  <si>
    <t>BACMEXT 21-3X</t>
  </si>
  <si>
    <t>Bancomext Senior Notes 21 3x</t>
  </si>
  <si>
    <t>295195690.00000000</t>
  </si>
  <si>
    <t>9454206ae5ef4e8d85b80872d8b63a12</t>
  </si>
  <si>
    <t>https://www.greenbondtransparency.com/bond-info/?handle=9454206ae5ef4e8d85b80872d8b63a12</t>
  </si>
  <si>
    <t>BRTAEEDBS0G5</t>
  </si>
  <si>
    <t>BBG00P910118</t>
  </si>
  <si>
    <t>Sexta Emiss√£o de Deb√™ntures da Taesa</t>
  </si>
  <si>
    <t>51284404.000000000000</t>
  </si>
  <si>
    <t>942df8edcc9a42129d5d4d45bafa80a0</t>
  </si>
  <si>
    <t>https://www.greenbondtransparency.com/bond-info/?handle=942df8edcc9a42129d5d4d45bafa80a0</t>
  </si>
  <si>
    <t>BP010</t>
  </si>
  <si>
    <t>Banco Popular y de Desarrollo Comunal</t>
  </si>
  <si>
    <t>https://www.greenbondtransparency.com/download-document/?entity=Framework&amp;handle=616bf483456a4f2584a515fd255ad176</t>
  </si>
  <si>
    <t>80639959.000000000000</t>
  </si>
  <si>
    <t>e64ffa5c0591438394d37c2907df6fd9</t>
  </si>
  <si>
    <t>https://www.greenbondtransparency.com/bond-info/?handle=e64ffa5c0591438394d37c2907df6fd9</t>
  </si>
  <si>
    <t>BBG00QRZJCL5</t>
  </si>
  <si>
    <t>Bono Sostenible COFIDE</t>
  </si>
  <si>
    <t>https://www.greenbondtransparency.com/download-document/?entity=Framework&amp;handle=830cb84d78304b5ca38d002488709460</t>
  </si>
  <si>
    <t>29868578.000000000000</t>
  </si>
  <si>
    <t>ee7a68239dbe4664adad596c19403c93</t>
  </si>
  <si>
    <t>https://www.greenbondtransparency.com/bond-info/?handle=ee7a68239dbe4664adad596c19403c93</t>
  </si>
  <si>
    <t>US05674XAA90</t>
  </si>
  <si>
    <t>05674XAA9</t>
  </si>
  <si>
    <t>Suzano Papel e Celulose Green Bond 2026</t>
  </si>
  <si>
    <t>WREL#2</t>
  </si>
  <si>
    <t>Williams Renewable Energy Limited #2</t>
  </si>
  <si>
    <t>0133ec302c0d41be9bb813367a29b518</t>
  </si>
  <si>
    <t>https://www.greenbondtransparency.com/bond-info/?handle=0133ec302c0d41be9bb813367a29b518</t>
  </si>
  <si>
    <t>NFB-2-N1C-23</t>
  </si>
  <si>
    <t>Bono Verde BDP I - Emisi√≥n I: Serie C</t>
  </si>
  <si>
    <t>6653017.000000000000</t>
  </si>
  <si>
    <t>efccb817483a461688c4cc612e645b68</t>
  </si>
  <si>
    <t>https://www.greenbondtransparency.com/bond-info/?handle=efccb817483a461688c4cc612e645b68</t>
  </si>
  <si>
    <t>CIFI Serie K</t>
  </si>
  <si>
    <t>PU</t>
  </si>
  <si>
    <t>Bancomext Senior Notes 2023b</t>
  </si>
  <si>
    <t>2a7f1db976e749ceace3907f38ec71be</t>
  </si>
  <si>
    <t>https://www.greenbondtransparency.com/bond-info/?handle=2a7f1db976e749ceace3907f38ec71be</t>
  </si>
  <si>
    <t>BDMGBZ</t>
  </si>
  <si>
    <t>BDMG Sustainable Bond</t>
  </si>
  <si>
    <t>BDMG</t>
  </si>
  <si>
    <t>f1d6d989d8ea4e09b00dcd41200c9e35</t>
  </si>
  <si>
    <t>https://www.greenbondtransparency.com/bond-info/?handle=f1d6d989d8ea4e09b00dcd41200c9e35</t>
  </si>
  <si>
    <t>BBG0137WGWJ6</t>
  </si>
  <si>
    <t>ISA CTEEP - 11¬™ Emiss√£o (1¬™ e 2¬™ Serie)</t>
  </si>
  <si>
    <t>182800000.00000000</t>
  </si>
  <si>
    <t>26cedf129ce845a0b17cfbb44acab792</t>
  </si>
  <si>
    <t>https://www.greenbondtransparency.com/bond-info/?handle=26cedf129ce845a0b17cfbb44acab792</t>
  </si>
  <si>
    <t>BBG01G15LBZ4</t>
  </si>
  <si>
    <t>CIFI Serie M</t>
  </si>
  <si>
    <t>3750000.000000000000</t>
  </si>
  <si>
    <t>a9aa0a935d744333b5a6d355a4e69b50</t>
  </si>
  <si>
    <t>https://www.greenbondtransparency.com/bond-info/?handle=a9aa0a935d744333b5a6d355a4e69b50</t>
  </si>
  <si>
    <t>BRDNBGDBS017</t>
  </si>
  <si>
    <t>Primeiro T√≠tulo Verde da Diana Bioenergia-DIAN14</t>
  </si>
  <si>
    <t>7086544.000000000000</t>
  </si>
  <si>
    <t>845b8c6024f84b6aa16c08a43390e05c</t>
  </si>
  <si>
    <t>https://www.greenbondtransparency.com/bond-info/?handle=845b8c6024f84b6aa16c08a43390e05c</t>
  </si>
  <si>
    <t>CRA021000RZ</t>
  </si>
  <si>
    <t>CRA Solinftec II</t>
  </si>
  <si>
    <t>27048129.000000000000</t>
  </si>
  <si>
    <t>6f10fc8c596043d3897e951f336cf443</t>
  </si>
  <si>
    <t>https://www.greenbondtransparency.com/bond-info/?handle=6f10fc8c596043d3897e951f336cf443</t>
  </si>
  <si>
    <t>BBG001TR9MTH0</t>
  </si>
  <si>
    <t>CIFI Serie W</t>
  </si>
  <si>
    <t>998000.000000000000</t>
  </si>
  <si>
    <t>6fdfd4500a2b40aaa22565c089d3f496</t>
  </si>
  <si>
    <t>https://www.greenbondtransparency.com/bond-info/?handle=6fdfd4500a2b40aaa22565c089d3f496</t>
  </si>
  <si>
    <t>Bono Sostenible Subordinado Banco de Bogot√°</t>
  </si>
  <si>
    <t>https://www.greenbondtransparency.com/download-document/?entity=Framework&amp;handle=29f98e23a2cc401ab33817cd7d63db29</t>
  </si>
  <si>
    <t>230000000.00000000</t>
  </si>
  <si>
    <t>db0aed66fef140e2bec6644ac909c86c</t>
  </si>
  <si>
    <t>https://www.greenbondtransparency.com/bond-info/?handle=db0aed66fef140e2bec6644ac909c86c</t>
  </si>
  <si>
    <t>BBG0149HK0D6</t>
  </si>
  <si>
    <t>Local Green Bond - Series XXXVI</t>
  </si>
  <si>
    <t>a68b722863664407bab1ed8013144d3e</t>
  </si>
  <si>
    <t>https://www.greenbondtransparency.com/bond-info/?handle=a68b722863664407bab1ed8013144d3e</t>
  </si>
  <si>
    <t>Bono Social</t>
  </si>
  <si>
    <t>Social</t>
  </si>
  <si>
    <t>https://www.greenbondtransparency.com/download-document/?entity=Framework&amp;handle=58b7e3d2455f4c2bad02912c15d51fc7</t>
  </si>
  <si>
    <t>75000000.000000000000</t>
  </si>
  <si>
    <t>nomenclature</t>
  </si>
  <si>
    <t>ICMA Green Bonds Principles Project Categories</t>
  </si>
  <si>
    <t>(All)</t>
  </si>
  <si>
    <t>Sum of disbursed_usd</t>
  </si>
  <si>
    <t>category</t>
  </si>
  <si>
    <t>Total</t>
  </si>
  <si>
    <t>Renewable energy</t>
  </si>
  <si>
    <t>Water and wastewater</t>
  </si>
  <si>
    <t>Clean transportation</t>
  </si>
  <si>
    <t>Green buildings</t>
  </si>
  <si>
    <t>Eco-efficient economy</t>
  </si>
  <si>
    <t>Energy efficiency</t>
  </si>
  <si>
    <t>Environmental management</t>
  </si>
  <si>
    <t>Pollution</t>
  </si>
  <si>
    <t>CH1191066278 CH1148308716 CH1231312682 XS2045838039 XS2553215521</t>
  </si>
  <si>
    <t>US168863DN50 US168863DL94</t>
  </si>
  <si>
    <t>Climate change adaptation</t>
  </si>
  <si>
    <t>AREMGA5600S5 USP46756BA25</t>
  </si>
  <si>
    <t>AREMGA5600R7 AREMGA5600T3</t>
  </si>
  <si>
    <t>Prog Finandina COB63CB00440 COB63CB00457</t>
  </si>
  <si>
    <t>CH0553331882</t>
  </si>
  <si>
    <t>bond_handle</t>
  </si>
  <si>
    <t>bond_name</t>
  </si>
  <si>
    <t>subcategory</t>
  </si>
  <si>
    <t>project</t>
  </si>
  <si>
    <t>location</t>
  </si>
  <si>
    <t>date_allocation</t>
  </si>
  <si>
    <t>date_disbursement</t>
  </si>
  <si>
    <t>allocation_currency</t>
  </si>
  <si>
    <t>allocated_allocation_currency</t>
  </si>
  <si>
    <t>disbursed_allocation_currency</t>
  </si>
  <si>
    <t>bond_currency</t>
  </si>
  <si>
    <t>disbursed_bond_currency</t>
  </si>
  <si>
    <t>disbursed_usd</t>
  </si>
  <si>
    <t>refinancing</t>
  </si>
  <si>
    <t>cofinancing_percentage</t>
  </si>
  <si>
    <t>Climate Bonds Initiative Project Classification</t>
  </si>
  <si>
    <t>Energy</t>
  </si>
  <si>
    <t>Hydro</t>
  </si>
  <si>
    <t>GB 1 Proyecto 1</t>
  </si>
  <si>
    <t>Generation</t>
  </si>
  <si>
    <t>GB 1 Proyecto 2</t>
  </si>
  <si>
    <t>GB 1 Proyecto 4</t>
  </si>
  <si>
    <t>GB 1 Proyecto 7</t>
  </si>
  <si>
    <t>GB 1 Proyecto 8</t>
  </si>
  <si>
    <t>Water</t>
  </si>
  <si>
    <t>Flood defence</t>
  </si>
  <si>
    <t>Construcci√≥n de la planta de bombeo y laguna de regulaci√≥n en la U.H. Vicente Guerrero - 16</t>
  </si>
  <si>
    <t>Flooding mitigation</t>
  </si>
  <si>
    <t>Treatment</t>
  </si>
  <si>
    <t>Construcci√≥n de la Planta Potabilizadora Selene - 16</t>
  </si>
  <si>
    <t>Infrastructure</t>
  </si>
  <si>
    <t>Storage</t>
  </si>
  <si>
    <t>Reposici√≥n de 8 Pozos de Agua Potable - 16</t>
  </si>
  <si>
    <t>Distribution</t>
  </si>
  <si>
    <t>Construcci√≥n del C√°rcamo de bombeo el Molino</t>
  </si>
  <si>
    <t>Urban drainage</t>
  </si>
  <si>
    <t>Planta Potabilizadora Rio Hondo - 16</t>
  </si>
  <si>
    <t>Colector de agua Azcapotzalco-La Villa</t>
  </si>
  <si>
    <t>Planta de Bombeo Municipio Libre</t>
  </si>
  <si>
    <t>Colector de agua Electricistas</t>
  </si>
  <si>
    <t>Colector de agua Poniente 112</t>
  </si>
  <si>
    <t>L√≠nea de agua potable Artesanias -Tanque de agua Fovissste</t>
  </si>
  <si>
    <t>Drenaje Av. De la Industria</t>
  </si>
  <si>
    <t>Colector de agua Violeta</t>
  </si>
  <si>
    <t>Grid</t>
  </si>
  <si>
    <t>Mejora y mantenimiento del alumbrado p√∫blico - 16</t>
  </si>
  <si>
    <t>Smart grids</t>
  </si>
  <si>
    <t>Transport</t>
  </si>
  <si>
    <t>Rail</t>
  </si>
  <si>
    <t>Mejora del STC - 16</t>
  </si>
  <si>
    <t>Low Carbon Buses</t>
  </si>
  <si>
    <t>Metrob√∫s L√≠nea 5 - 16</t>
  </si>
  <si>
    <t>Vehicle infrastructure</t>
  </si>
  <si>
    <t>Adquisici√≥n de 4 trenes Tren Ligero CDMX - 16</t>
  </si>
  <si>
    <t>Buildings</t>
  </si>
  <si>
    <t>Commercial</t>
  </si>
  <si>
    <t>GB 1 Proyecto 3</t>
  </si>
  <si>
    <t>GB 1 Proyecto 9</t>
  </si>
  <si>
    <t>Baixo Igua√ßu</t>
  </si>
  <si>
    <t>Unspecified</t>
  </si>
  <si>
    <t>GB 1 Proyecto 11</t>
  </si>
  <si>
    <t>Wind</t>
  </si>
  <si>
    <t>Chafariz 1</t>
  </si>
  <si>
    <t>GB 1 Proyecto 12</t>
  </si>
  <si>
    <t>GB 2 Proyecto 1</t>
  </si>
  <si>
    <t>GB 2 Proyecto 2</t>
  </si>
  <si>
    <t>Appliances</t>
  </si>
  <si>
    <t>GB 2 Proyecto 3</t>
  </si>
  <si>
    <t>Chafariz 2</t>
  </si>
  <si>
    <t>District heating</t>
  </si>
  <si>
    <t>Bioenergy</t>
  </si>
  <si>
    <t>GB 2 Proyecto 4</t>
  </si>
  <si>
    <t>Chafariz 3</t>
  </si>
  <si>
    <t>Residential</t>
  </si>
  <si>
    <t>GB 2 Proyecto 14</t>
  </si>
  <si>
    <t>GB 2 Proyecto 15</t>
  </si>
  <si>
    <t>GB 2 Proyecto 16</t>
  </si>
  <si>
    <t>SB Proyecto 2</t>
  </si>
  <si>
    <t>SB Proyecto 5</t>
  </si>
  <si>
    <t>SB Proyecto 6</t>
  </si>
  <si>
    <t>SB Proyecto 7</t>
  </si>
  <si>
    <t>SB Proyecto 8</t>
  </si>
  <si>
    <t>SB Proyecto 9</t>
  </si>
  <si>
    <t>SB Proyecto 10</t>
  </si>
  <si>
    <t>SB Proyecto 11</t>
  </si>
  <si>
    <t>SB Proyecto 12</t>
  </si>
  <si>
    <t>SB Proyecto 13</t>
  </si>
  <si>
    <t>SB Proyecto 14</t>
  </si>
  <si>
    <t>SB Proyecto 15</t>
  </si>
  <si>
    <t>SB Proyecto 27</t>
  </si>
  <si>
    <t>SB Proyecto 28</t>
  </si>
  <si>
    <t>SB Proyecto 29</t>
  </si>
  <si>
    <t>UEE Atlantic 2</t>
  </si>
  <si>
    <t>EU Taxonomy Green Bonds Standard</t>
  </si>
  <si>
    <t>ISO</t>
  </si>
  <si>
    <t>UEE Calango 6</t>
  </si>
  <si>
    <t>Linhas de tratamento Attend Ambiental</t>
  </si>
  <si>
    <t>Wastewater treatment</t>
  </si>
  <si>
    <t>Chafariz 4</t>
  </si>
  <si>
    <t>Chafariz 5</t>
  </si>
  <si>
    <t>Chafariz 6</t>
  </si>
  <si>
    <t>UEE Brazil Energy</t>
  </si>
  <si>
    <t>UEE Contour Picos 2</t>
  </si>
  <si>
    <t>UEE Rio Energy I</t>
  </si>
  <si>
    <t>Land-use</t>
  </si>
  <si>
    <t>Agriculture</t>
  </si>
  <si>
    <t>Protected Agriculture</t>
  </si>
  <si>
    <t>Localized irrigation</t>
  </si>
  <si>
    <t>Sprinkler irrigation</t>
  </si>
  <si>
    <t>Protected agriculture FEFA 19V</t>
  </si>
  <si>
    <t>Commercial Forestry</t>
  </si>
  <si>
    <t>Forestry FEFA 19V</t>
  </si>
  <si>
    <t>Forestry</t>
  </si>
  <si>
    <t>Localized irrigation FEFA19V</t>
  </si>
  <si>
    <t>Sprinkler irrigation FEFA 19V</t>
  </si>
  <si>
    <t>Chafariz 7</t>
  </si>
  <si>
    <t>Banco Nacional de Costa Rica 2021</t>
  </si>
  <si>
    <t>Transmission</t>
  </si>
  <si>
    <t>Subestacion Coronado</t>
  </si>
  <si>
    <t>Balsa Inferior</t>
  </si>
  <si>
    <t>Ventanas</t>
  </si>
  <si>
    <t>San Lorenzo</t>
  </si>
  <si>
    <t>Los Negros II</t>
  </si>
  <si>
    <t>Toro 3</t>
  </si>
  <si>
    <t>Sigifredo y San Lorenzo</t>
  </si>
  <si>
    <t>Bijagua</t>
  </si>
  <si>
    <t>La Esperanza</t>
  </si>
  <si>
    <t>Muelle Pital</t>
  </si>
  <si>
    <t>Tacares</t>
  </si>
  <si>
    <t>Platanar</t>
  </si>
  <si>
    <t>Los Santos</t>
  </si>
  <si>
    <t>Mogote</t>
  </si>
  <si>
    <t>UEE Santa Vit√≥ria do Palmar</t>
  </si>
  <si>
    <t>UEE Servtec 2</t>
  </si>
  <si>
    <t>UEE S√£o Clemente</t>
  </si>
  <si>
    <t>Canoas 2</t>
  </si>
  <si>
    <t>Canoas 3</t>
  </si>
  <si>
    <t>Chiripa</t>
  </si>
  <si>
    <t>Eolico Tilawind Park</t>
  </si>
  <si>
    <t>Cacao</t>
  </si>
  <si>
    <t>Chiripa 2</t>
  </si>
  <si>
    <t>a036428305c44970a478ea6648e9e9bb</t>
  </si>
  <si>
    <t>CRA SOLINFTEC II</t>
  </si>
  <si>
    <t>Solinfitec II</t>
  </si>
  <si>
    <t>1792bc496a08430098ec7886e2e7ea0f</t>
  </si>
  <si>
    <t>FSBIOENERGIA</t>
  </si>
  <si>
    <t>FS BIOENERGIA</t>
  </si>
  <si>
    <t>Products</t>
  </si>
  <si>
    <t>Central Hidroel√©ctrica RenovAndes H1</t>
  </si>
  <si>
    <t>E√≥lico Cerro de Hula</t>
  </si>
  <si>
    <t>Honduras</t>
  </si>
  <si>
    <t>Ampliaci√≥n de 24 MW del e√≥lico Cerro de Hula</t>
  </si>
  <si>
    <t>Hidroel√©ctrico Ojo de Agua</t>
  </si>
  <si>
    <t>E√≥lico Amayo Fase I</t>
  </si>
  <si>
    <t>Nicaragua</t>
  </si>
  <si>
    <t>Construcci√≥n de la Central Hidroel√©ctrica Larreynaga</t>
  </si>
  <si>
    <t>Factory Sodium Chloride</t>
  </si>
  <si>
    <t>Greenhouse gas control</t>
  </si>
  <si>
    <t>Solar</t>
  </si>
  <si>
    <t>Solar photovoltaic systems FEFA 19V</t>
  </si>
  <si>
    <t>Canoas 4</t>
  </si>
  <si>
    <t>Lagoa 3</t>
  </si>
  <si>
    <t>SB Proyecto 30</t>
  </si>
  <si>
    <t>SB Proyecto 16</t>
  </si>
  <si>
    <t>Lagoa 4</t>
  </si>
  <si>
    <t>Ventos do Arapu√° 1</t>
  </si>
  <si>
    <t>SB Proyecto 17</t>
  </si>
  <si>
    <t>SB Proyecto 31</t>
  </si>
  <si>
    <t>Ventos do Arapu√° 2</t>
  </si>
  <si>
    <t>e13fb411d38e445aa8115a546717c6ce</t>
  </si>
  <si>
    <t>Green Bond CMPC 2019</t>
  </si>
  <si>
    <t>Products &amp; Systems for Efficiency</t>
  </si>
  <si>
    <t>Corporate Building</t>
  </si>
  <si>
    <t>Transport of wood for pulping by barge to the Guaiba mill</t>
  </si>
  <si>
    <t>Ca√±ete Waste Water Treatment Plant</t>
  </si>
  <si>
    <t>ICT</t>
  </si>
  <si>
    <t>Power Management</t>
  </si>
  <si>
    <t>Ca√±ete Paper Machine</t>
  </si>
  <si>
    <t>Ventos do Arapu√° 3</t>
  </si>
  <si>
    <t>EKTT 1</t>
  </si>
  <si>
    <t>EKTT 2</t>
  </si>
  <si>
    <t>Development of Eucalyptus hybrids and genetic improvements strategy for better yields in Radiate Pine and Eucalyptus Nitiens</t>
  </si>
  <si>
    <t>Modernization of Steam System</t>
  </si>
  <si>
    <t>EKTT 3</t>
  </si>
  <si>
    <t>EKTT 4</t>
  </si>
  <si>
    <t>EKTT 5</t>
  </si>
  <si>
    <t>EKTT 11</t>
  </si>
  <si>
    <t>E√≥lico Penonom√© II</t>
  </si>
  <si>
    <t>Programa de Gesti√≥n Integrada de Recursos H√≠dricos</t>
  </si>
  <si>
    <t>Programa de Abastecimiento del √Årea Metropolitana de San Jos√©, Acueductos Urbanos y Alcantarillado Sanitario de Puerto Viejo de Lim√≥n</t>
  </si>
  <si>
    <t>Rehabilitaci√≥n de la Planta Potabilizadora de Las Pavas</t>
  </si>
  <si>
    <t>El Salvador</t>
  </si>
  <si>
    <t>Mejoramiento y Ampliaci√≥n de los Sistemas de Abastecimiento de Agua Potable y Saneamiento en 19 Ciudades.</t>
  </si>
  <si>
    <t>Programa de Sostenibilidad del Sector Agua y Saneamiento Rural</t>
  </si>
  <si>
    <t>Programa Sectorial de Agua y Saneamiento</t>
  </si>
  <si>
    <t>General</t>
  </si>
  <si>
    <t>Social projects</t>
  </si>
  <si>
    <t>EKTT 12-A</t>
  </si>
  <si>
    <t>Sustainable Forestry</t>
  </si>
  <si>
    <t>Reforestation</t>
  </si>
  <si>
    <t>Waste</t>
  </si>
  <si>
    <t>Reuse</t>
  </si>
  <si>
    <t>Retail Paper Bags Project</t>
  </si>
  <si>
    <t>Waste recycling</t>
  </si>
  <si>
    <t>Process of planting/replanting in Guaiba and Losango</t>
  </si>
  <si>
    <t>Water-borne</t>
  </si>
  <si>
    <t>Ca√±ete Clarified Water Recirculation</t>
  </si>
  <si>
    <t>Santa Anita PP2 Water Treatment System</t>
  </si>
  <si>
    <t>EKTT 13-A</t>
  </si>
  <si>
    <t>EKTT 14-A</t>
  </si>
  <si>
    <t>EKTT 15-A</t>
  </si>
  <si>
    <t>EKTT 4 (Itabapoana)</t>
  </si>
  <si>
    <t>Colector Emilio Carranza, en la Delegaci√≥n Iztapalapa</t>
  </si>
  <si>
    <t>Colector de alivio, Pueblo de Santiago Zapotitl√°n, en la Delegaci√≥n Tl√°huac</t>
  </si>
  <si>
    <t>Planta Tratamiento Agua Potable Chamisero (Canal Batuco) - 2018</t>
  </si>
  <si>
    <t>CLP</t>
  </si>
  <si>
    <t>Obras Emergencia Eventos De Turbiedad - 2018</t>
  </si>
  <si>
    <t>Estanque Pirque - 2018</t>
  </si>
  <si>
    <t>Ampliaci√≥n Planta De Tratamiento Aguas Servidas Curacavi</t>
  </si>
  <si>
    <t>Planta potabilizadora Acueducto Sierra Santa Catarina, en la Delegaci√≥n Iztapalapa</t>
  </si>
  <si>
    <t>Red secundaria de drenaje en 13 colonias de la Delegaci√≥n Azcapotzalco</t>
  </si>
  <si>
    <t>Red de drenaje en la Colonia Juan Gonz√°lez Romero, Delegaci√≥n Gustavo A. Madero</t>
  </si>
  <si>
    <t>Planta potabilizadora Tecomitl 18, en la Delegaci√≥n Tl√°huac</t>
  </si>
  <si>
    <t>Red secundaria de drenaje en las colonias: Amado Nervo y Cuajimalpa, en la Delegaci√≥n Cuajimalpa de Morelos</t>
  </si>
  <si>
    <t>Pozos en la Delegaci√≥n Iztapalapa</t>
  </si>
  <si>
    <t>Construcci√≥n de la L√≠nea 7 del Metrob√∫s</t>
  </si>
  <si>
    <t>Planta de bombeo de agua potable Cherokes</t>
  </si>
  <si>
    <t>Reposici√≥n del pozo Iztapalapa No. 6</t>
  </si>
  <si>
    <t>Planta Potabilizadora Xotepingo 4.C, Delegaci√≥n Iztapalapa</t>
  </si>
  <si>
    <t>Planta potabilizadora La Libertad</t>
  </si>
  <si>
    <t>Planta de bombeo de agua potable Las Pe√±as en la Delegaci√≥n Iztapalapa</t>
  </si>
  <si>
    <t>Sustituci√≥n de atarjeas en varias Delegaciones</t>
  </si>
  <si>
    <t>Metrob√∫s L√≠nea 5 - 17</t>
  </si>
  <si>
    <t>L√≠nea 6 del Metrob√∫s</t>
  </si>
  <si>
    <t>Debottlenecking and modernization of Imperatriz Unit</t>
  </si>
  <si>
    <t>Imperatriz wastewater treatment</t>
  </si>
  <si>
    <t>Mucuri wastewater treatment</t>
  </si>
  <si>
    <t>Limeira wastewater treatment</t>
  </si>
  <si>
    <t>Ecosystem Conservation &amp; Restoration</t>
  </si>
  <si>
    <t>Forest recovery</t>
  </si>
  <si>
    <t>Natural landscapes</t>
  </si>
  <si>
    <t>Preserving biodiversity</t>
  </si>
  <si>
    <t>Sustainable forestry (certification)</t>
  </si>
  <si>
    <t>Sustainable forestry (Social and environmental actions)</t>
  </si>
  <si>
    <t>Mucuri river spring conservation</t>
  </si>
  <si>
    <t>Ampliaci√≥n Planta Tratamiento Aguas Servidas Talagante II - 2018</t>
  </si>
  <si>
    <t>Mejora del STC - 17</t>
  </si>
  <si>
    <t>Actualizaci√≥n Tecnol√≥gica de la planta potabilizadora San Sebasti√°n Tecoloxtitla</t>
  </si>
  <si>
    <t>Medidores en el DF</t>
  </si>
  <si>
    <t>Colector 20 de Noviembre en la Delegaci√≥n Tl√°huac</t>
  </si>
  <si>
    <t>Colector Ameca  en el Pueblo de Tulyehualco</t>
  </si>
  <si>
    <t>L√≠nea de conducci√≥n de agua potable  en la Delegaci√≥n Magdalena Contreras</t>
  </si>
  <si>
    <t>Rehabilitaci√≥n de tanques de agua potable</t>
  </si>
  <si>
    <t>Ampliaci√≥n Tercera Planta De Tratamiento Aguas Servidas - 2018</t>
  </si>
  <si>
    <t>Colectores en Zona Escolara Delegaci√≥n Gustavo A. Madero</t>
  </si>
  <si>
    <t>Colector Lomas de la Estancia a la Laguna de regulaci√≥n La Quebradora en la Delegaci√≥n Iztapalapa</t>
  </si>
  <si>
    <t>Construcci√≥n de la planta de bombeo y laguna de regulaci√≥n en la U.H. Vicente Guerrero - 17</t>
  </si>
  <si>
    <t>Construcci√≥n de la Planta Potabilizadora Selene - 17</t>
  </si>
  <si>
    <t>Reposici√≥n de 8 Pozos de Agua Potable - 17</t>
  </si>
  <si>
    <t>Planta Potabilizadora Rio Hondo - 17</t>
  </si>
  <si>
    <t>Adquisici√≥n de 4 trenes Tren Ligero CDMX - 17</t>
  </si>
  <si>
    <t>Mantenimiento a Trenes del STC Metro</t>
  </si>
  <si>
    <t>b1ee5ee2b303417fb77c0c62bf84343a</t>
  </si>
  <si>
    <t>Green Bond ON C1</t>
  </si>
  <si>
    <t>Green Bond ON C1 Plaza Mercado W1</t>
  </si>
  <si>
    <t>Eficiencia Energ√©tica</t>
  </si>
  <si>
    <t>Energ√≠a Renovable</t>
  </si>
  <si>
    <t>Interliga√ß√£o El√©trica Ita√∫nas S.A. - 9¬∞</t>
  </si>
  <si>
    <t>Interliga√ß√£o El√©trica Itaquer√™ S.A. - 9¬∞</t>
  </si>
  <si>
    <t>Interliga√ß√£o El√©trica Itapura S.A. (Lote 25) - 9¬∞</t>
  </si>
  <si>
    <t>Interliga√ß√£o El√©trica Itapura S.A. (Lote 10) - 9¬∞</t>
  </si>
  <si>
    <t>Interliga√ß√£o El√©trica Aguape√≠ S.A. - 9¬∞</t>
  </si>
  <si>
    <t>Interliga√ß√£o El√©trica Aimor√©s S.A. - 9¬∞</t>
  </si>
  <si>
    <t>Ampliaci√≥n Planta De Tratamiento Aguas Servidas Buin-Maipo - 2018</t>
  </si>
  <si>
    <t>Ampliaci√≥n Planta De Tratamiento De Aguas Servidas El Monte 2018 - 2018</t>
  </si>
  <si>
    <t>Planta Tratamiento Agua Potable Chamisero (Canal Batuco) - 2019</t>
  </si>
  <si>
    <t>Mezapa</t>
  </si>
  <si>
    <t>San Juan</t>
  </si>
  <si>
    <t>Obras Emergencia Eventos De Turbiedad - 2019</t>
  </si>
  <si>
    <t>Estanque Pirque - 2019</t>
  </si>
  <si>
    <t>Mejora y mantenimiento del alumbrado p√∫blico - 17</t>
  </si>
  <si>
    <t>Ampliaci√≥n Planta Tratamiento Aguas Servidas Talagante II - 2019</t>
  </si>
  <si>
    <t>Ampliaci√≥n Tercera Planta De Tratamiento Aguas Servidas - 2019</t>
  </si>
  <si>
    <t>Proyectos sociales</t>
  </si>
  <si>
    <t>Green Bond ON C1 Plaza Ciudad (CTC)</t>
  </si>
  <si>
    <t>Interliga√ß√£o El√©trica Ita√∫nas S.A. - 7¬∞</t>
  </si>
  <si>
    <t>Interliga√ß√£o El√©trica Itaquer√™ S.A. - 7¬∞</t>
  </si>
  <si>
    <t>Interliga√ß√£o El√©trica Itapura S.A. (Lote 25) - 7¬∞</t>
  </si>
  <si>
    <t>Interliga√ß√£o El√©trica Tibagi S.A. - 7¬∞</t>
  </si>
  <si>
    <t>Interliga√ß√£o El√©trica Aguape√≠ S.A. - 7¬∞</t>
  </si>
  <si>
    <t>Green Bond ON C1 Plaza Pilar W2</t>
  </si>
  <si>
    <t>Green Bond ON C1 Plaza Esteban Echeverr√≠a W1 y W2</t>
  </si>
  <si>
    <t>Green Bond ON C1 Plaza Tortugas W2</t>
  </si>
  <si>
    <t>Interliga√ß√£o El√©trica Ivai S.A. - 7¬∞</t>
  </si>
  <si>
    <t>Interliga√ß√£o El√©trica Aimor√©s S.A. - 7¬∞</t>
  </si>
  <si>
    <t>Interliga√ß√£o El√©trica Paragua√ßu S.A. - 7¬∞</t>
  </si>
  <si>
    <t>Ampliaci√≥n Planta De Tratamiento Aguas Servidas Buin-Maipo - 2019</t>
  </si>
  <si>
    <t>Ampliaci√≥n Planta De Tratamiento De Aguas Servidas El Monte 2018 - 2019</t>
  </si>
  <si>
    <t>Instalaci√≥n Sistema de Tratamiento de Nitratos Biofactor√≠a La Farfana</t>
  </si>
  <si>
    <t>Cogeneraci√≥n Biofactor√≠a Mapocho-Trebal</t>
  </si>
  <si>
    <t>Interliga√ß√£o El√©trica Ita√∫nas S.A. - 8¬∞</t>
  </si>
  <si>
    <t>Interliga√ß√£o El√©trica Itaquer√™ S.A. - 8¬∞</t>
  </si>
  <si>
    <t>Interliga√ß√£o El√©trica Itapura S.A. (Lote 25) - 8¬∞</t>
  </si>
  <si>
    <t>Interliga√ß√£o El√©trica Itapura S.A. (Lote 10) - 8¬∞</t>
  </si>
  <si>
    <t>Sustainable forestry (Social and environmental)</t>
  </si>
  <si>
    <t>Interliga√ß√£o El√©trica Tibagi S.A. - 8¬∞</t>
  </si>
  <si>
    <t>Interliga√ß√£o El√©trica Aguape√≠ S.A. - 8¬∞</t>
  </si>
  <si>
    <t>Interliga√ß√£o El√©trica Aimor√©s S.A. - 8¬∞</t>
  </si>
  <si>
    <t>Interliga√ß√£o El√©trica Paragua√ßu S.A. - 8¬∞</t>
  </si>
  <si>
    <t>Interliga√ß√£o El√©trica Bigua√ßu S.A. - 8¬∞</t>
  </si>
  <si>
    <t>Interliga√ß√£o El√©trica Paragua√ßu S.A. - 9¬∞</t>
  </si>
  <si>
    <t>Interliga√ß√£o El√©trica Bigua√ßu S.A. - 9¬∞</t>
  </si>
  <si>
    <t>Projetos de Refor√ßos - 9¬∞</t>
  </si>
  <si>
    <t>Interliga√ß√£o El√©trica de Minas Gerais S.A. (Triangulo Mineiro) - 10¬∞</t>
  </si>
  <si>
    <t>Interliga√ß√£o El√©trica Evrecy S.A. (Minuano) - 10¬∞</t>
  </si>
  <si>
    <t>Forest Maintenance</t>
  </si>
  <si>
    <t>Forest Protection and Management</t>
  </si>
  <si>
    <t>Certified Wood Purchase</t>
  </si>
  <si>
    <t>Restoration</t>
  </si>
  <si>
    <t>Conservation of Biodiversity</t>
  </si>
  <si>
    <t>Recycling</t>
  </si>
  <si>
    <t>Waste Management</t>
  </si>
  <si>
    <t>Waste reduction</t>
  </si>
  <si>
    <t>Sustainable Water Management - Water Usage Efficiency</t>
  </si>
  <si>
    <t>Renewable Energy ‚Äì Generation of Energy from Renewable Sources</t>
  </si>
  <si>
    <t>Vientos Neuquinos</t>
  </si>
  <si>
    <t>Manque 1</t>
  </si>
  <si>
    <t>Los Olivos 1</t>
  </si>
  <si>
    <t>Manque 2</t>
  </si>
  <si>
    <t>Los Olivos 2</t>
  </si>
  <si>
    <t>Data hubs</t>
  </si>
  <si>
    <t>Data Center Tier IV KUDOS</t>
  </si>
  <si>
    <t>Assentamento Ibirapitanga</t>
  </si>
  <si>
    <t>Aurelino Leal</t>
  </si>
  <si>
    <t>Camac√£</t>
  </si>
  <si>
    <t>Ilheus</t>
  </si>
  <si>
    <t>Uru√ßuca</t>
  </si>
  <si>
    <t>Itacar√©</t>
  </si>
  <si>
    <t>Chimbarongo</t>
  </si>
  <si>
    <t>Panquehue</t>
  </si>
  <si>
    <t>El Espinal</t>
  </si>
  <si>
    <t>Bosforo</t>
  </si>
  <si>
    <t>Panasolar</t>
  </si>
  <si>
    <t>Sistema de Abastecimento de √°gua e Esgotamento Sanit√°rio Cuiab√°</t>
  </si>
  <si>
    <t>Sistema de Abastecimento de √°gua e Esgotamento Sanit√°rio Paranagu√°</t>
  </si>
  <si>
    <t>UEP Penonom√© II</t>
  </si>
  <si>
    <t>Control of exotic species (PR)</t>
  </si>
  <si>
    <t>Control of exotic species (SC)</t>
  </si>
  <si>
    <t>Crescer Project</t>
  </si>
  <si>
    <t>Deployment of new ETAC</t>
  </si>
  <si>
    <t>Design of products adapted to the circular economy</t>
  </si>
  <si>
    <t>Usina fotovoltaica Jo√£o Pinheiro</t>
  </si>
  <si>
    <t>Usina fotovoltaica Arcos 25</t>
  </si>
  <si>
    <t>CGH Palmeiras do Tocantins</t>
  </si>
  <si>
    <t>CGH Sucuri</t>
  </si>
  <si>
    <t>Usina fotovoltaica Frutal</t>
  </si>
  <si>
    <t>Usina fotovoltaica Monte Carmelo I</t>
  </si>
  <si>
    <t>Usina fotovoltaica Monte Carmelo II</t>
  </si>
  <si>
    <t>Campos 100</t>
  </si>
  <si>
    <t>Campos 200</t>
  </si>
  <si>
    <t>Campos 300</t>
  </si>
  <si>
    <t>Quissam√£ 100</t>
  </si>
  <si>
    <t>Quissam√£ 200</t>
  </si>
  <si>
    <t>Marab√° 200</t>
  </si>
  <si>
    <t>M√£e do Rio 100</t>
  </si>
  <si>
    <t>Mat√µes 100</t>
  </si>
  <si>
    <t>ca95780fd934421fa99ce5cb0b1f71d2</t>
  </si>
  <si>
    <t>ISA CTM</t>
  </si>
  <si>
    <t>Trujillo - Cliclayo Transmission Line</t>
  </si>
  <si>
    <t>Machupicchu-Abancay-Cotaruse Transmission Line</t>
  </si>
  <si>
    <t>Mantaro-Montalvo Transmission Line</t>
  </si>
  <si>
    <t>Friaspata-Mollepata Transmission Line</t>
  </si>
  <si>
    <t>Nueva Yanango-Nueva Hu√°nuco Interconnection</t>
  </si>
  <si>
    <t>Mantaro-Nueva Yanango-Carapongo Interconnection</t>
  </si>
  <si>
    <t>Construcci√≥n Sostenible</t>
  </si>
  <si>
    <t>Eficiencia energ√©tica</t>
  </si>
  <si>
    <t>Agricultura Sostenible</t>
  </si>
  <si>
    <t>Transporte Sostenible</t>
  </si>
  <si>
    <t>Hybrid</t>
  </si>
  <si>
    <t>Gesti√≥n de residuos</t>
  </si>
  <si>
    <t>Marab√° 100</t>
  </si>
  <si>
    <t>Timon 100</t>
  </si>
  <si>
    <t>Tr√™s Lagoas 100</t>
  </si>
  <si>
    <t>Pirapora 100</t>
  </si>
  <si>
    <t>Bela Vista 100</t>
  </si>
  <si>
    <t>Buritizeiro 100</t>
  </si>
  <si>
    <t>Usina Solar Fotovoltaica Dracena</t>
  </si>
  <si>
    <t>Wind Farm Park Artilleros</t>
  </si>
  <si>
    <t>Small hydro-plants Angel</t>
  </si>
  <si>
    <t>Hydro-plant Langui</t>
  </si>
  <si>
    <t>Distribution Grid Modernization and Loss Reduction</t>
  </si>
  <si>
    <t>Quito Metro Line One</t>
  </si>
  <si>
    <t>Complexo E√≥lico Itarema</t>
  </si>
  <si>
    <t>Lima Metro Line 2</t>
  </si>
  <si>
    <t>Sao Paulo Metro Line 17</t>
  </si>
  <si>
    <t>Complexo E√≥lico Serra da Babil√¥nia</t>
  </si>
  <si>
    <t>Extension of S√£o Paulo Metro Line 2</t>
  </si>
  <si>
    <t>Wastewater treatment Plant, Panama City and Panama Bay</t>
  </si>
  <si>
    <t>Wastewater treatment plant in the region of Guangarcucho - Cuenca</t>
  </si>
  <si>
    <t>Potable water treatment plant in the regions of La Plata, Berisso y Ensenada</t>
  </si>
  <si>
    <t>Program Mais Mogi Ecotiete - Municipality Mogi Das Cruzes - Water Sanitation</t>
  </si>
  <si>
    <t>Mi Agua Program: IV, IV phase 2, V. Multi-stage national program in Bolivia</t>
  </si>
  <si>
    <t>Drinking Water Supply and Basic Sanitation Program in Rural and Urban Areas in Buenaventura District</t>
  </si>
  <si>
    <t>Desenvolvimento Socioambiental de Sobral Program - PRODESOL</t>
  </si>
  <si>
    <t>Packaging</t>
  </si>
  <si>
    <t>Diluted Non-Condensable Gas (DNCG) Treatment System Installation in the Correia Pinto Unit (SC)</t>
  </si>
  <si>
    <t>Reduction of local emissions</t>
  </si>
  <si>
    <t>Effluent Treatment</t>
  </si>
  <si>
    <t>Environment projects and certifications</t>
  </si>
  <si>
    <t>Environmental Protector Program</t>
  </si>
  <si>
    <t>Fauna and Flora Monitoring</t>
  </si>
  <si>
    <t>Fire prevention measures</t>
  </si>
  <si>
    <t>Early warning systems</t>
  </si>
  <si>
    <t>For√ßa Verde Mirim Program</t>
  </si>
  <si>
    <t>Forest Certification</t>
  </si>
  <si>
    <t>Williams Renewable Energy</t>
  </si>
  <si>
    <t>Renewable Energy - Biofuel</t>
  </si>
  <si>
    <t>Renewable Energy - Wind/Solar Energy</t>
  </si>
  <si>
    <t>Sustainable Water and Wastewater Management</t>
  </si>
  <si>
    <t>E√≥lica Serra das Vacas - Phase II</t>
  </si>
  <si>
    <t>Drinking Water Solutions</t>
  </si>
  <si>
    <t>Water and Wastewater Treatment</t>
  </si>
  <si>
    <t>Public</t>
  </si>
  <si>
    <t>Line 3 of Metro</t>
  </si>
  <si>
    <t>Extension of Metro Line 3</t>
  </si>
  <si>
    <t>Extension of Metro Line 2</t>
  </si>
  <si>
    <t>Line 7 of Metro</t>
  </si>
  <si>
    <t>Electromobility in RED I</t>
  </si>
  <si>
    <t>Electric</t>
  </si>
  <si>
    <t>Electromobility in RED II</t>
  </si>
  <si>
    <t>Electromobility in RED III</t>
  </si>
  <si>
    <t>Electromobility in RED IV</t>
  </si>
  <si>
    <t>Renewal of Train Parts</t>
  </si>
  <si>
    <t>Solar Thermal Energy Panel son Houses</t>
  </si>
  <si>
    <t>Construction of Photovoltaic System</t>
  </si>
  <si>
    <t>Technical Assistance for Photovoltaic Systems</t>
  </si>
  <si>
    <t>Urban Development</t>
  </si>
  <si>
    <t>Sustainable Public Buildings</t>
  </si>
  <si>
    <t>Monitoring</t>
  </si>
  <si>
    <t>Analysis and Conservation of Water Resources</t>
  </si>
  <si>
    <t>Climate observation</t>
  </si>
  <si>
    <t>Metrotrain Alameda-Melipilla</t>
  </si>
  <si>
    <t>Metro Reconstruction</t>
  </si>
  <si>
    <t>Project 1 Water Treatment</t>
  </si>
  <si>
    <t>Project 2 Green Building</t>
  </si>
  <si>
    <t>Project 3 Energy efficiency equipment</t>
  </si>
  <si>
    <t>Project 4 Bioenergy</t>
  </si>
  <si>
    <t>Project 5 Hydro Energy</t>
  </si>
  <si>
    <t>Project 6 Solar Energy 1</t>
  </si>
  <si>
    <t>Project 7 Solar Energy 2</t>
  </si>
  <si>
    <t>Project 8 Solar Energy 3</t>
  </si>
  <si>
    <t>Project 9 Solar Energy 4</t>
  </si>
  <si>
    <t>Project 10 Solar Energy 5</t>
  </si>
  <si>
    <t>Project 11 Public Transport</t>
  </si>
  <si>
    <t>Usina fotovoltaica Bom Despacho 58</t>
  </si>
  <si>
    <t>Usina fotovoltaica Bras√≠lia de Minas</t>
  </si>
  <si>
    <t>Usina fotovoltaica Francisco S√° I</t>
  </si>
  <si>
    <t>Usina fotovoltaica Francisco S√° II</t>
  </si>
  <si>
    <t>Usina fotovoltaica Ibi√° 25</t>
  </si>
  <si>
    <t>Usina fotovoltaica Ibi√° 42</t>
  </si>
  <si>
    <t>Usina fotovoltaica Jana√∫ba</t>
  </si>
  <si>
    <t>Usina fotovoltaica Lagoa Grande 78</t>
  </si>
  <si>
    <t>Usina fotovoltaica Lagoa Grande 90</t>
  </si>
  <si>
    <t>Projeto Jana√∫ba</t>
  </si>
  <si>
    <t>Projeto Mariana</t>
  </si>
  <si>
    <t>Projeto Miracema</t>
  </si>
  <si>
    <t>Projeto Sant'ana - 6¬™</t>
  </si>
  <si>
    <t>Projeto Paragua√ßu</t>
  </si>
  <si>
    <t>Projeto Aimor√©s</t>
  </si>
  <si>
    <t>Projeto Sant'ana - 7¬™</t>
  </si>
  <si>
    <t>Projeto Sant'ana - 8¬™</t>
  </si>
  <si>
    <t>Projeto Iva√≠</t>
  </si>
  <si>
    <t>Projeto SPT 1</t>
  </si>
  <si>
    <t>Projeto SPT 2</t>
  </si>
  <si>
    <t>Project 12 Recycling</t>
  </si>
  <si>
    <t>9d39abd34d6c4799835d76e97b6b75e1</t>
  </si>
  <si>
    <t>FIDC GREEN ANG√Å-SOLF√ÅCIL</t>
  </si>
  <si>
    <t>Project 13 Sustainable Infrastructure</t>
  </si>
  <si>
    <t>Project 14 Wind Energy</t>
  </si>
  <si>
    <t>Sustainability Bond ON C6 (SVS) Green</t>
  </si>
  <si>
    <t>Sustainability Bond ON C6 (SVS) Social</t>
  </si>
  <si>
    <t>Bem Viver Design</t>
  </si>
  <si>
    <t>Bem Santa Cec√≠lia(Fortunato)</t>
  </si>
  <si>
    <t>Bem Viver Ces√°rio Mota</t>
  </si>
  <si>
    <t>Hydrogen pipe exchange</t>
  </si>
  <si>
    <t>Improvement on the Biological Treatment System and Final Effluent Quality</t>
  </si>
  <si>
    <t>Improvements in wastewater treatment</t>
  </si>
  <si>
    <t>Improvements on the Power Boiler Biomass Silos</t>
  </si>
  <si>
    <t>Piratininga-Bandeirantes Transmissora de Energia S.A. - 9¬∞</t>
  </si>
  <si>
    <t>Basic Power Network and transmission lines</t>
  </si>
  <si>
    <t>Biodiversity Monitoring Program</t>
  </si>
  <si>
    <t>Biomass boiler and maintenance</t>
  </si>
  <si>
    <t>Burner Flame Efficiency</t>
  </si>
  <si>
    <t>Caiubi Program</t>
  </si>
  <si>
    <t>System for the Recirculation and Recovery of Water</t>
  </si>
  <si>
    <t>Restoration of Native Forests and Conservation of Biodiversity</t>
  </si>
  <si>
    <t>Usina H2energy SPE BK Brazl√¢ndia</t>
  </si>
  <si>
    <t>Usina H2energy SPE BK Cajamar</t>
  </si>
  <si>
    <t>Usina H2energy SPE BK Itaborai</t>
  </si>
  <si>
    <t>Usina H2energy SPE BK Itaguai</t>
  </si>
  <si>
    <t>Usina H2energy SPE BK Saltinho</t>
  </si>
  <si>
    <t>Maintenance of high conservation value areas (HCVA)</t>
  </si>
  <si>
    <t>Recovery of fiber in Valdivia, Chile</t>
  </si>
  <si>
    <t>Energy efficiency projects (Plan EE 20/20 + iCel)</t>
  </si>
  <si>
    <t>Categorization, description and conservation of native forests</t>
  </si>
  <si>
    <t>Supply Chain Management</t>
  </si>
  <si>
    <t>Pollution Prevention and Control</t>
  </si>
  <si>
    <t>Native forest restoration program (in partnership with FSC and Certfor)</t>
  </si>
  <si>
    <t>Interliga√ß√£o El√©trica Itapura S.A. (Lote 25) - 11¬∞</t>
  </si>
  <si>
    <t>Interliga√ß√£o El√©trica Itapura S.A. (Lote 10) - 11¬∞</t>
  </si>
  <si>
    <t>Interliga√ß√£o El√©trica Paragua√ßu S.A. - 11¬∞</t>
  </si>
  <si>
    <t>Interliga√ß√£o El√©trica Tibagi S.A. - 11¬∞</t>
  </si>
  <si>
    <t>Interliga√ß√£o El√©trica Bigua√ßu S.A. - 11¬∞</t>
  </si>
  <si>
    <t>Interliga√ß√£o El√©trica Aimor√©s S.A.  - 11¬∞</t>
  </si>
  <si>
    <t>Interliga√ß√£o El√©trica Ita√∫nas S.A.  - 11¬∞</t>
  </si>
  <si>
    <t>Interliga√ß√£o El√©trica Aguape√≠ S.A. - 11¬∞</t>
  </si>
  <si>
    <t>Investments - New Technology Center and Research Lines</t>
  </si>
  <si>
    <t>Klabin Ecological Park</t>
  </si>
  <si>
    <t>Legal Woods Program</t>
  </si>
  <si>
    <t>Main CNCG and DNCG Gas Incineration System and Monte Alegre Plant Reserve</t>
  </si>
  <si>
    <t>Management Microplanning</t>
  </si>
  <si>
    <t>Matas Legais Seedlings</t>
  </si>
  <si>
    <t>MR2 Resin application system upgrade</t>
  </si>
  <si>
    <t>Noise Reduction</t>
  </si>
  <si>
    <t>Oil-fired boiler replacement</t>
  </si>
  <si>
    <t>Photovoltaic Generations and Load Station</t>
  </si>
  <si>
    <t>Pneumatic bale transport</t>
  </si>
  <si>
    <t>Power generation from renewable energy sources</t>
  </si>
  <si>
    <t>Producers Certification</t>
  </si>
  <si>
    <t>Projects to reduce water consumption</t>
  </si>
  <si>
    <t>Property Protection in PR</t>
  </si>
  <si>
    <t>Purchase of Wood</t>
  </si>
  <si>
    <t>Freight Rail</t>
  </si>
  <si>
    <t>Railroad, wagons and locomotives</t>
  </si>
  <si>
    <t>Recovery of degraded areas surrounding the Puma Unit</t>
  </si>
  <si>
    <t>Reduction of Atmospheric Emissions</t>
  </si>
  <si>
    <t>Reduction of steam consumption and increased power generation</t>
  </si>
  <si>
    <t>Renewable Energy Generation</t>
  </si>
  <si>
    <t>Small and Medium Producers Forest Certification Program</t>
  </si>
  <si>
    <t>Smart Blowing System Installation in the Recovery Boiler</t>
  </si>
  <si>
    <t>Social Woods Program</t>
  </si>
  <si>
    <t>System for purging inert substances by furnace precipitators</t>
  </si>
  <si>
    <t>Tall Oil Plant</t>
  </si>
  <si>
    <t>Preparation</t>
  </si>
  <si>
    <t>Waste Central</t>
  </si>
  <si>
    <t>Extension of Tut√≥ia Yard</t>
  </si>
  <si>
    <t>Rio Claro Novo Yard</t>
  </si>
  <si>
    <t>Ouro and Tamoio Yard</t>
  </si>
  <si>
    <t>Rio Claro Novo and Cordeir√≥polis crossing yards</t>
  </si>
  <si>
    <t>Second railway line - Camaqu√£ and Rio Claro Novo</t>
  </si>
  <si>
    <t>Cedral Yard</t>
  </si>
  <si>
    <t>Gonzaga de Campos Yard (Mirassol/SP)</t>
  </si>
  <si>
    <t>Mat√£o Yard</t>
  </si>
  <si>
    <t>Ecatu-Baldu√≠no Yard</t>
  </si>
  <si>
    <t>Espig√£o-Boa Esperan√ßa Yard</t>
  </si>
  <si>
    <t>Rio Preto Paulista Yard</t>
  </si>
  <si>
    <t>Rio Claro Velho Yard</t>
  </si>
  <si>
    <t>Votuporanga Yard</t>
  </si>
  <si>
    <t>Switching optimization for train departures in Santos</t>
  </si>
  <si>
    <t>Satellite and LTE Communication</t>
  </si>
  <si>
    <t>Railway Modernization - Rio Preto x Taquaritinga</t>
  </si>
  <si>
    <t>Pre-Modernization of the Perequ√™-Parada de Linfa trunk line</t>
  </si>
  <si>
    <t>Adequation of Itirapina-Pederneiras Branch Line</t>
  </si>
  <si>
    <t>UFV E2 - AL (Energisa SE)</t>
  </si>
  <si>
    <t>UFV E2 - BA (COELBA) - USINA 1</t>
  </si>
  <si>
    <t>UFV E2 - BA (COELBA) - USINA 2</t>
  </si>
  <si>
    <t>UFV E2 - CE (ENEL CE)</t>
  </si>
  <si>
    <t>UFV E2 - MA (CEMAR)</t>
  </si>
  <si>
    <t>UFV E2- PA (CELPA)</t>
  </si>
  <si>
    <t>UFV E2 - PB (Energisa PB)</t>
  </si>
  <si>
    <t>UFV E2 - PE (CELPE) - USINA 1</t>
  </si>
  <si>
    <t>UFV E2 - PE (CELPE) - USINA 2</t>
  </si>
  <si>
    <t>UFV E2- PI (CEPISA)</t>
  </si>
  <si>
    <t>UFV E2 - RN (COSERN)</t>
  </si>
  <si>
    <t>UFV E2 - SE (Energisa SE)</t>
  </si>
  <si>
    <t>UFV E2 - TO (ETO) - USINA 1</t>
  </si>
  <si>
    <t>UFV E2 - TO (ETO) - USINA 2</t>
  </si>
  <si>
    <t>UFV E1 3 - ES (EDP ES)</t>
  </si>
  <si>
    <t>UFV E1 3 - MG (CEMIG) - USINA 1</t>
  </si>
  <si>
    <t>UFV E1 3 - MG (CEMIG) - USINA 2</t>
  </si>
  <si>
    <t>UFV E1 3 - PR (COPEL)</t>
  </si>
  <si>
    <t>UFV E1 3 - RJ (ENEL RJ)</t>
  </si>
  <si>
    <t>UFV E1 3 - RJ (LIGHT) - USINA 1</t>
  </si>
  <si>
    <t>UFV E1 3 - RJ (LIGHT) - USINA 2</t>
  </si>
  <si>
    <t>UFV E1 3 - RJ (LIGHT) - USINA 3</t>
  </si>
  <si>
    <t>UFV E1 3 - RS (CEEE)</t>
  </si>
  <si>
    <t>UFV E1 3 - RS (RGE)</t>
  </si>
  <si>
    <t>UFV E1 3 - SC (CELESC)</t>
  </si>
  <si>
    <t>UFV E1 3 - SP (CPFL Paulista)</t>
  </si>
  <si>
    <t>UFV E1 3 - SP (ELEKTRO)</t>
  </si>
  <si>
    <t>UFV E1 3 - SP (ELETROPAULO) - USINA 1</t>
  </si>
  <si>
    <t>UFV E1 3 - SP (ELETROPAULO) - USINA 2</t>
  </si>
  <si>
    <t>UFV E1 3 - SP (ENERGISA)</t>
  </si>
  <si>
    <t>UFV E1 3 - SP (EDP SP)</t>
  </si>
  <si>
    <t>UFV E1 4 - AC (ELETROACRE)</t>
  </si>
  <si>
    <t>UFV E1 4 - AM (AME)</t>
  </si>
  <si>
    <t>UFV E1 4 - AP (CEA)</t>
  </si>
  <si>
    <t>UFV E1 4 - MS (EMS)</t>
  </si>
  <si>
    <t>UFV E1 4 - MT (EMT)</t>
  </si>
  <si>
    <t>UFV E1 4 - RO (CERON)</t>
  </si>
  <si>
    <t>UFV E1 4 - RR (Boa Vista)</t>
  </si>
  <si>
    <t>UFV E1 6 - BA (COELBA)</t>
  </si>
  <si>
    <t>UFV E1 6 - CE (ENEL CE)</t>
  </si>
  <si>
    <t>UFV E1 6 - DF (CEB)</t>
  </si>
  <si>
    <t>UFV E1 6 - GO (ENEL GO)</t>
  </si>
  <si>
    <t>UFV E1 6 - MA (CEMAR)</t>
  </si>
  <si>
    <t>UFV E1 6 - MT (EMT)</t>
  </si>
  <si>
    <t>UFV E1 6 - PR (COPEL)</t>
  </si>
  <si>
    <t>UFV E1 6 - RJ (ENEL RJ)</t>
  </si>
  <si>
    <t>UFV E1 6 - SC (CELESC) - USINA 1</t>
  </si>
  <si>
    <t>UFV E1 6 - SC (CELESC) - USINA 2</t>
  </si>
  <si>
    <t>UFV E1 6 - SP (CPFL Paulista)</t>
  </si>
  <si>
    <t>UFV E1 6 - SP (EDP SP) - USINA 1</t>
  </si>
  <si>
    <t>UFV E1 6 - SP (EDP SP) - USINA 2</t>
  </si>
  <si>
    <t>UFV E1 6 - SP (ELETROPAULO) - USINA 2</t>
  </si>
  <si>
    <t>UFV E1 6 - SP (ELETROPAULO) - USINA 1</t>
  </si>
  <si>
    <t>UFV E1 7 - PE (CELPE)</t>
  </si>
  <si>
    <t>UFV E1 7 - SP (CPFL PIR.)</t>
  </si>
  <si>
    <t>Protected agriculture</t>
  </si>
  <si>
    <t>Greenhouses</t>
  </si>
  <si>
    <t>Conservation tillage</t>
  </si>
  <si>
    <t>Macro tunnel</t>
  </si>
  <si>
    <t>Shade production (Coffe)</t>
  </si>
  <si>
    <t>Water purification equipment</t>
  </si>
  <si>
    <t>Biodigesters</t>
  </si>
  <si>
    <t>Solar energy equipment</t>
  </si>
  <si>
    <t>Solar thermal systems</t>
  </si>
  <si>
    <t>Efficient boilers</t>
  </si>
  <si>
    <t>Cogeneration of energy equipment</t>
  </si>
  <si>
    <t>LED luminaires</t>
  </si>
  <si>
    <t>Cooling system modernisation</t>
  </si>
  <si>
    <t>Efficient pumping systems</t>
  </si>
  <si>
    <t>Proyectos Verdes Elegibles 2020</t>
  </si>
  <si>
    <t>Proyecto CECO - L√≠nea de Transmisi√≥n Cerromatoso - Chin√∫ - Copey a 500 kV</t>
  </si>
  <si>
    <t>Proyecto COCU-
Interconexi√≥n Cuestecitas ‚Äì Copey ‚Äì Fundaci√≥n 500/220 mil voltios</t>
  </si>
  <si>
    <t>Solar Project I</t>
  </si>
  <si>
    <t>Solar Project II</t>
  </si>
  <si>
    <t>Wind Projects</t>
  </si>
  <si>
    <t>Circular Economy</t>
  </si>
  <si>
    <t>Water Stewardship</t>
  </si>
  <si>
    <t>Climate Action</t>
  </si>
  <si>
    <t>Residential Building #1</t>
  </si>
  <si>
    <t>Residential Building #2</t>
  </si>
  <si>
    <t>Commercial Building #1</t>
  </si>
  <si>
    <t>Commercial Building #2</t>
  </si>
  <si>
    <t>Hospital and Medical Green Building #1</t>
  </si>
  <si>
    <t>Residential Building #3 Et1</t>
  </si>
  <si>
    <t>Enterprise and Commercial Building #1</t>
  </si>
  <si>
    <t>Residential Building #4</t>
  </si>
  <si>
    <t>Green Hotel Building #1</t>
  </si>
  <si>
    <t>Residential Building #5</t>
  </si>
  <si>
    <t>Green Hotel Building #2</t>
  </si>
  <si>
    <t>Residential Building #6 Et1</t>
  </si>
  <si>
    <t>Residential Building #6 Et2</t>
  </si>
  <si>
    <t>Residential Building #7</t>
  </si>
  <si>
    <t>Residential Building #3 Et2</t>
  </si>
  <si>
    <t>Commercial Building #3</t>
  </si>
  <si>
    <t>Enterprise and Commercial Building #2</t>
  </si>
  <si>
    <t>Green Hotel Building #3</t>
  </si>
  <si>
    <t>Enterprise and Commercial Building #3</t>
  </si>
  <si>
    <t>Masivo Fotovoltaico - Electrificaci√≥n de las √°reas rurales</t>
  </si>
  <si>
    <t>Residential Building #17 Et3</t>
  </si>
  <si>
    <t>Residential Building #8 Et1</t>
  </si>
  <si>
    <t>Residential Building #8 Et2</t>
  </si>
  <si>
    <t>Residential Building #9</t>
  </si>
  <si>
    <t>Residential Building #10</t>
  </si>
  <si>
    <t>Residential Building #15 SEt 2</t>
  </si>
  <si>
    <t>Residential Building #11</t>
  </si>
  <si>
    <t>Residential Building #12</t>
  </si>
  <si>
    <t>Residential Building #13</t>
  </si>
  <si>
    <t>Residential Building #14</t>
  </si>
  <si>
    <t>Residential Building #15 SEt 1</t>
  </si>
  <si>
    <t>Residential Building #16</t>
  </si>
  <si>
    <t>Residential Building #17 Et2</t>
  </si>
  <si>
    <t>Residential Building #18</t>
  </si>
  <si>
    <t>Residential Building #19</t>
  </si>
  <si>
    <t>Residential Building #20</t>
  </si>
  <si>
    <t>Residential Building #21</t>
  </si>
  <si>
    <t>Residential Building #22</t>
  </si>
  <si>
    <t>Residential Building #23</t>
  </si>
  <si>
    <t>Residential Building #24</t>
  </si>
  <si>
    <t>Residential Building #25</t>
  </si>
  <si>
    <t>Residential Building #26</t>
  </si>
  <si>
    <t>Residential Building #27</t>
  </si>
  <si>
    <t>Residential Building #28</t>
  </si>
  <si>
    <t>Residential Building #29</t>
  </si>
  <si>
    <t>Residential Building #30</t>
  </si>
  <si>
    <t>Residential Building #31</t>
  </si>
  <si>
    <t>Residential Building #32</t>
  </si>
  <si>
    <t>Residential Building #33</t>
  </si>
  <si>
    <t>date</t>
  </si>
  <si>
    <t>notebook name</t>
  </si>
  <si>
    <t>libraries</t>
  </si>
  <si>
    <t>classes</t>
  </si>
  <si>
    <t>methods</t>
  </si>
  <si>
    <t>reports</t>
  </si>
  <si>
    <t>aim</t>
  </si>
  <si>
    <t>GBTP_explore</t>
  </si>
  <si>
    <t>Green_bond_e2e_test_run</t>
  </si>
  <si>
    <t>try pdf plumber; try EnvBERT</t>
  </si>
  <si>
    <t>poor match to aims. Very different aims - check Env BERT aims versus operational aim</t>
  </si>
  <si>
    <t>CaseStudyOne_CocColaFEMSA</t>
  </si>
  <si>
    <t>example of report that was abandoned</t>
  </si>
  <si>
    <t>gbtp bonds and allocations explore</t>
  </si>
  <si>
    <t>columns used and why</t>
  </si>
  <si>
    <t>Pipeline_devlt</t>
  </si>
  <si>
    <t>explore_other_spacy_classes</t>
  </si>
  <si>
    <t>explore_spacy_usage</t>
  </si>
  <si>
    <t>established importance of category words</t>
  </si>
  <si>
    <t>set aside eval rpts</t>
  </si>
  <si>
    <t>ground truth availability</t>
  </si>
  <si>
    <t>Feb</t>
  </si>
  <si>
    <t>May</t>
  </si>
  <si>
    <t>Category_words</t>
  </si>
  <si>
    <t>report_population</t>
  </si>
  <si>
    <t>Pipeline_Portguguese</t>
  </si>
  <si>
    <t>June</t>
  </si>
  <si>
    <t>Jul</t>
  </si>
  <si>
    <t>pipeline_refine_strip_punct</t>
  </si>
  <si>
    <t>Pipeline_devlt_V1.5</t>
  </si>
  <si>
    <t>Pipeline_refactor</t>
  </si>
  <si>
    <t>pipeline_refine_notable</t>
  </si>
  <si>
    <t>ppl_dev_tocfp</t>
  </si>
  <si>
    <t>ppl_dev_diacritic</t>
  </si>
  <si>
    <t>pipeline_refine_newrpt</t>
  </si>
  <si>
    <t>pipeline_refine_V3.0</t>
  </si>
  <si>
    <t>pipeline_final_V4-0</t>
  </si>
  <si>
    <t>outcome pipeline</t>
  </si>
  <si>
    <t>outcome data / scenarios</t>
  </si>
  <si>
    <t>5 report level scenarios with variations - major driver in pipeline devlt - requirements specification and design</t>
  </si>
  <si>
    <t>pdfplumber; spacy_layout; docling; pymupdf</t>
  </si>
  <si>
    <t>pymupdf; masters thesis; where recommendation came from; what pymupdf. Layer structure vs pdfplumber plus tables and page object in for loop</t>
  </si>
  <si>
    <t>learn how to parse pdf and select library</t>
  </si>
  <si>
    <t>page, doc, table</t>
  </si>
  <si>
    <t>spacy</t>
  </si>
  <si>
    <t>nlp, doc, token</t>
  </si>
  <si>
    <t>reminder of what an nlp is
prove clean text extraction in en and pt - design outcomes: 1)detect UOP area, 2)ppl in native language to preserve context - convert keywords to native lang
single word approach for similarity</t>
  </si>
  <si>
    <t>how cat word lists were populated</t>
  </si>
  <si>
    <t>keyword phrases in rpts UOP, Cats
started to categorise info into needed for ppls versus needed for requirment qstn</t>
  </si>
  <si>
    <t>similarity - can be words and phrases but limitation is what phrase to pick out from the pdf - hence single words approach. Need to use larger nlp - why?
From middle of NB, very nice small scale experiment leading to use of similarity, starting with CPI taxy. started with doc sim (UOP section). stepped thru - need to write up this experiment - created a doc with .to_string as nlp argument but ultimately looking for a count of distinct categories to answer the qstn
matcher - rule based matching, named entity - not used as not needed for UOP section (rect works fine) or category (word variation) - aiming for accurate, distinct list.
another experiment towards the end of the NB - named entities - but the question is what do we do with this to meet the requirement?</t>
  </si>
  <si>
    <t>pymupdf &amp; spacy</t>
  </si>
  <si>
    <t>extracted category words from ICMA to have authoritative reference categories</t>
  </si>
  <si>
    <t>doc.noun_chunks
token.text, token,I, token.idx</t>
  </si>
  <si>
    <t>in tandem with excel - use again to create ground truth data</t>
  </si>
  <si>
    <t>got stuck on diacritics - need to prove how this get resolved</t>
  </si>
  <si>
    <t>pymypdf, spacy, pandas, pathlib</t>
  </si>
  <si>
    <t>nlp word vectors, page.search_for, .find_tables</t>
  </si>
  <si>
    <t>created the reference cat lists
page idx, page scenarios, UOP area - approach 1, 
table headers and to pandas for subsequent steps
assessment of tables - approach 1
cat word similarity func - treat each word as a single token doc - less code
sequence funcs and execute in sequence wiht outputs from one function a inputs to the next
run the program  - approach 1</t>
  </si>
  <si>
    <t>Pipeline_for_refinement_EN - pass 2</t>
  </si>
  <si>
    <t>3 reports only</t>
  </si>
  <si>
    <t>Pipeline_for_refinement_EN - pass 1 - major milestone - had a working ppl now needed to keep refinining on more and more reports, aiming to improve generalisation</t>
  </si>
  <si>
    <t>CADU and both FS rpts - no tables</t>
  </si>
  <si>
    <t>skip fpr now</t>
  </si>
  <si>
    <t>worked out functions by focussing on inputs and outputs</t>
  </si>
  <si>
    <t>developed page scenarios and used for both table and word extraction, similarity code, summary output for a report
had a basic algorithm and was working out the coding details</t>
  </si>
  <si>
    <t>basic logical algorithm taking shape, proved out with code and reports
made and wrote down simplifying assumptions</t>
  </si>
  <si>
    <t>overhauled the logical algorithm - just focus on what you need to answer the question and prioritise / sequence funcs for best results</t>
  </si>
  <si>
    <t>reference word conversion
collate UOP searchwords from reports</t>
  </si>
  <si>
    <t>similarities roughly guessed</t>
  </si>
  <si>
    <t>dealing with toc FPs and multiple FPs - page based logic difficult - explored font based and medium article
max font
still need to remove toc FPs
removed new line chars from cats and various refinements to input / output objects, aligned with the logical algorithm</t>
  </si>
  <si>
    <t>manually tested all the EN reports to prove out new algo</t>
  </si>
  <si>
    <t>brought all the languages together &amp; created lists of filenames to speed up testing and make it less laborious to repeat
settled on 3 inputs to maximise chance of finding a  cat table</t>
  </si>
  <si>
    <t>created structured output tables - to answer requirement question and enable assessment of pipeline or diagnosis if something fails</t>
  </si>
  <si>
    <t>made tweaks to code to work in the case of no table - was failing in reports where no tables at all existed because this scenario wasn't in first 3 reports</t>
  </si>
  <si>
    <t>Marco_de_referencia_Bono_Verde_BPDC</t>
  </si>
  <si>
    <t>Bono_Verde_de_Bancoldex_Framework</t>
  </si>
  <si>
    <t>Green_Finance_Framework_Interchile</t>
  </si>
  <si>
    <t>Marco_de_referencia_de_Bonos_Verdes_Soberanos_de_Colombia</t>
  </si>
  <si>
    <t>Green_Bond_Framework_of_Banco_Guayaquil</t>
  </si>
  <si>
    <t>Marco_de_Uso_de_Fondo_para_la_Emision_de_Bonos_Verdes,_Sociales_o_Sostenibles_BDP_I</t>
  </si>
  <si>
    <t>Green_Bond_Financing_Framework</t>
  </si>
  <si>
    <t>Nacional_Financiera_Green_Bond_USD</t>
  </si>
  <si>
    <t>Nacional_Financiera_Green_Bond_MXN</t>
  </si>
  <si>
    <t>Marco_de_Referencia_del_Bono_Verde_de_la_Ciudad_de_Mexico</t>
  </si>
  <si>
    <t>Sicredi_Green_Bond_Framework</t>
  </si>
  <si>
    <t>FS_Green_Bond_Framework_-_November_2020</t>
  </si>
  <si>
    <t>Bci_Sustainable_Financing_Framework</t>
  </si>
  <si>
    <t>Marco_de_Gestión_de_Bono_Verde</t>
  </si>
  <si>
    <t>CADU_GREEN_BOND_FRAMEWORK</t>
  </si>
  <si>
    <t>Genneia_Green_Financing_Framework</t>
  </si>
  <si>
    <t>EGE_Haina_Green_Securities_Framework</t>
  </si>
  <si>
    <t>ILAP_Green_Financing_Framework</t>
  </si>
  <si>
    <t>Marco_de_referencia_de_bono_verde_Coopeguanacaste,_R_L_</t>
  </si>
  <si>
    <t>Reference_Framework_Of_Green_Social_Sustainable_Bonds_of_Bogota_Capital_District</t>
  </si>
  <si>
    <t>BTG_Sustainable_Financing_Framework</t>
  </si>
  <si>
    <t>Genneia_Green_Bond_Framework</t>
  </si>
  <si>
    <t>Cartilla_Bonos_Verdes</t>
  </si>
  <si>
    <t>FS_Green_Bond_Framework_-_July_2021</t>
  </si>
  <si>
    <t>Bono_Azul_-_Framework</t>
  </si>
  <si>
    <t>Chile_Sustainable_Bond_Framework</t>
  </si>
  <si>
    <t>CABEI_Green_Bond_Framework</t>
  </si>
  <si>
    <t>CAFs_GREEN_BOND_FRAMEWORK</t>
  </si>
  <si>
    <t>ISA_CTM_FRAMEWORK</t>
  </si>
  <si>
    <t>Marco_de_GestioÃÅn_de_Bono_Verde</t>
  </si>
  <si>
    <t>#N/A</t>
  </si>
  <si>
    <t>Handle2</t>
  </si>
  <si>
    <t>alloc data table</t>
  </si>
  <si>
    <t>manual</t>
  </si>
  <si>
    <t>Marco_de_Gestion_de_Bono_Verde</t>
  </si>
  <si>
    <t>ES_0_percent</t>
  </si>
  <si>
    <t>ES_100_percent</t>
  </si>
  <si>
    <t>ES_partial</t>
  </si>
  <si>
    <t>number_of_cats</t>
  </si>
  <si>
    <t>pdfname</t>
  </si>
  <si>
    <t>gt_source</t>
  </si>
  <si>
    <t>align with manual baseline?</t>
  </si>
  <si>
    <t>If you decided as a group to confer in the case of ambiguities, you may not have any such cases</t>
  </si>
  <si>
    <t>If you don't agree but it's a judgement call about how word align to categories, correct it directly in the grid, mark the font as amber and update the category assumptions in cols S &amp; T, colouring their original entry in red font and leaving yours in black</t>
  </si>
  <si>
    <t>If you have to correct an entry to a non entry, enter 'should be blank' in red font</t>
  </si>
  <si>
    <t>If you don't agree and you think it's an error, correct it directly in the grid and mark the font as red</t>
  </si>
  <si>
    <t>When you check someone else's group, if you agree with their result, leave in in the grid as is.</t>
  </si>
  <si>
    <t>dealing with errors when checking</t>
  </si>
  <si>
    <t>Try to do each task all in one sitting but if you have to stop and then return to it, start and stop a timer each time to work on the task</t>
  </si>
  <si>
    <t>Start a timer when you start and record the start and stop times and record these in 'start and stop times'</t>
  </si>
  <si>
    <t>It's fine to complete in less than 90 mins but it's important to stick to the time limit - if you don't complete, simply write 'ran out of time' in the relevant cell(s).</t>
  </si>
  <si>
    <t>The 90 mins is a time limit - don't work longer than this on either task.</t>
  </si>
  <si>
    <t>You don't all have to work at the same time</t>
  </si>
  <si>
    <t>Set aside a 90 min slot to fill in the grid for your report group and then another 90 minute slot to check someone else's group</t>
  </si>
  <si>
    <t>recording time</t>
  </si>
  <si>
    <r>
      <rPr>
        <b/>
        <sz val="12"/>
        <color theme="1"/>
        <rFont val="Aptos Narrow"/>
        <scheme val="minor"/>
      </rPr>
      <t>If that's happened, use Columns S &amp; T</t>
    </r>
    <r>
      <rPr>
        <sz val="12"/>
        <color theme="1"/>
        <rFont val="Aptos Narrow"/>
        <family val="2"/>
        <scheme val="minor"/>
      </rPr>
      <t xml:space="preserve"> to record the 'new' word(s) and how you aligned . You can enter more than one word in a cell if needs be</t>
    </r>
  </si>
  <si>
    <r>
      <t xml:space="preserve">If the report contains category words other than these, </t>
    </r>
    <r>
      <rPr>
        <b/>
        <sz val="12"/>
        <color theme="1"/>
        <rFont val="Aptos Narrow"/>
        <scheme val="minor"/>
      </rPr>
      <t>use your judgement</t>
    </r>
    <r>
      <rPr>
        <sz val="12"/>
        <color theme="1"/>
        <rFont val="Aptos Narrow"/>
        <family val="2"/>
        <scheme val="minor"/>
      </rPr>
      <t xml:space="preserve"> to assign to one of the existing categories </t>
    </r>
  </si>
  <si>
    <t>Each category is in blue and words in red can be assigned to that category</t>
  </si>
  <si>
    <r>
      <t xml:space="preserve">The </t>
    </r>
    <r>
      <rPr>
        <b/>
        <sz val="12"/>
        <color theme="1"/>
        <rFont val="Aptos Narrow"/>
        <scheme val="minor"/>
      </rPr>
      <t>category words</t>
    </r>
    <r>
      <rPr>
        <sz val="12"/>
        <color theme="1"/>
        <rFont val="Aptos Narrow"/>
        <family val="2"/>
        <scheme val="minor"/>
      </rPr>
      <t xml:space="preserve"> tab has a 'dictionary style' list of 10 categories</t>
    </r>
  </si>
  <si>
    <t>For the rows where Renewable Energy partial% = 1, enter the total unique number of categories</t>
  </si>
  <si>
    <t>Col 'Num Cats (perial % only)'</t>
  </si>
  <si>
    <t>Enter 1 if the renewable energy is one of a number of different categories or leave blank</t>
  </si>
  <si>
    <t>Col 'Renewble Energy partial%'</t>
  </si>
  <si>
    <t>Enter 1 if the renewable energy is  the only category or leave blank</t>
  </si>
  <si>
    <t>Col 'Renewble Energy 100%'</t>
  </si>
  <si>
    <t>Enter 1 if the renewable energy is not present in the categories or leave blank</t>
  </si>
  <si>
    <t>Col 'Renewble Energy 0%'</t>
  </si>
  <si>
    <t xml:space="preserve">The data to fill in is as follows: </t>
  </si>
  <si>
    <t>filling in the grid</t>
  </si>
  <si>
    <r>
      <t xml:space="preserve">Also </t>
    </r>
    <r>
      <rPr>
        <b/>
        <sz val="12"/>
        <color theme="1"/>
        <rFont val="Aptos Narrow"/>
        <scheme val="minor"/>
      </rPr>
      <t>decide</t>
    </r>
    <r>
      <rPr>
        <sz val="12"/>
        <color theme="1"/>
        <rFont val="Aptos Narrow"/>
        <family val="2"/>
        <scheme val="minor"/>
      </rPr>
      <t xml:space="preserve"> as a group before starting whether you'll work </t>
    </r>
    <r>
      <rPr>
        <b/>
        <sz val="12"/>
        <color theme="1"/>
        <rFont val="Aptos Narrow"/>
        <scheme val="minor"/>
      </rPr>
      <t>independently or confer in case of ambiguities</t>
    </r>
  </si>
  <si>
    <r>
      <rPr>
        <b/>
        <sz val="12"/>
        <color theme="1"/>
        <rFont val="Aptos Narrow"/>
        <scheme val="minor"/>
      </rPr>
      <t>Decide</t>
    </r>
    <r>
      <rPr>
        <sz val="12"/>
        <color theme="1"/>
        <rFont val="Aptos Narrow"/>
        <family val="2"/>
        <scheme val="minor"/>
      </rPr>
      <t xml:space="preserve"> as a group how you will handle non English pdfs </t>
    </r>
    <r>
      <rPr>
        <b/>
        <sz val="12"/>
        <color theme="1"/>
        <rFont val="Aptos Narrow"/>
        <scheme val="minor"/>
      </rPr>
      <t>before you start the exercise</t>
    </r>
  </si>
  <si>
    <r>
      <rPr>
        <b/>
        <sz val="12"/>
        <color theme="1"/>
        <rFont val="Aptos Narrow"/>
        <scheme val="minor"/>
      </rPr>
      <t>Some pdfs are not in English</t>
    </r>
    <r>
      <rPr>
        <sz val="12"/>
        <color theme="1"/>
        <rFont val="Aptos Narrow"/>
        <family val="2"/>
        <scheme val="minor"/>
      </rPr>
      <t>: 1 in groups 1 &amp; 2 and 2 in group 3 (so group 3 is a little smaller)</t>
    </r>
  </si>
  <si>
    <r>
      <rPr>
        <b/>
        <sz val="12"/>
        <color theme="1"/>
        <rFont val="Aptos Narrow"/>
        <scheme val="minor"/>
      </rPr>
      <t>Some pdfs cover more that one row</t>
    </r>
    <r>
      <rPr>
        <sz val="12"/>
        <color theme="1"/>
        <rFont val="Aptos Narrow"/>
        <family val="2"/>
        <scheme val="minor"/>
      </rPr>
      <t xml:space="preserve"> and these are all in group 2</t>
    </r>
  </si>
  <si>
    <t>In col L, the bonds are divided into 3 groups, take one group each to fill in</t>
  </si>
  <si>
    <r>
      <t xml:space="preserve">Please fill in the </t>
    </r>
    <r>
      <rPr>
        <b/>
        <sz val="12"/>
        <color theme="1"/>
        <rFont val="Aptos Narrow"/>
        <scheme val="minor"/>
      </rPr>
      <t xml:space="preserve">blue grid section </t>
    </r>
    <r>
      <rPr>
        <sz val="12"/>
        <color theme="1"/>
        <rFont val="Aptos Narrow"/>
        <family val="2"/>
        <scheme val="minor"/>
      </rPr>
      <t>of that tab</t>
    </r>
  </si>
  <si>
    <r>
      <t>The list of bond is in '</t>
    </r>
    <r>
      <rPr>
        <b/>
        <sz val="12"/>
        <color theme="1"/>
        <rFont val="Aptos Narrow"/>
        <scheme val="minor"/>
      </rPr>
      <t>results</t>
    </r>
    <r>
      <rPr>
        <sz val="12"/>
        <color theme="1"/>
        <rFont val="Aptos Narrow"/>
        <family val="2"/>
        <scheme val="minor"/>
      </rPr>
      <t xml:space="preserve">' </t>
    </r>
  </si>
  <si>
    <t>preparation</t>
  </si>
  <si>
    <t>READ FIRST</t>
  </si>
  <si>
    <t>Marco_de_Referencia_de_Bonos_Verdes_del_Banco_de_Bogotá</t>
  </si>
  <si>
    <t>Framework,_Green_Bond_Protisa_Perú</t>
  </si>
  <si>
    <t>Renewable energy
Renewable energy</t>
  </si>
  <si>
    <t>Biomass
Geothermal</t>
  </si>
  <si>
    <t>Marco_de_la_Primera_Emisión</t>
  </si>
  <si>
    <t>Alignment of new words to dictionary keys</t>
  </si>
  <si>
    <t>New category words</t>
  </si>
  <si>
    <t>Num Cats (perial % only)</t>
  </si>
  <si>
    <t>Renewable Energy partial %</t>
  </si>
  <si>
    <t>Renewable Energy 100%</t>
  </si>
  <si>
    <t>Renewable Energy 0%</t>
  </si>
  <si>
    <t>Group 1, 2, 3</t>
  </si>
  <si>
    <r>
      <t>green_buildings</t>
    </r>
    <r>
      <rPr>
        <sz val="12"/>
        <color rgb="FF3B3B3B"/>
        <rFont val="Menlo"/>
        <family val="2"/>
      </rPr>
      <t xml:space="preserve"> </t>
    </r>
    <r>
      <rPr>
        <sz val="12"/>
        <color rgb="FF000000"/>
        <rFont val="Menlo"/>
        <family val="2"/>
      </rPr>
      <t>=</t>
    </r>
    <r>
      <rPr>
        <sz val="12"/>
        <color rgb="FF3B3B3B"/>
        <rFont val="Menlo"/>
        <family val="2"/>
      </rPr>
      <t xml:space="preserve"> [</t>
    </r>
    <r>
      <rPr>
        <sz val="12"/>
        <color rgb="FFA31515"/>
        <rFont val="Menlo"/>
        <family val="2"/>
      </rPr>
      <t>'buildings'</t>
    </r>
    <r>
      <rPr>
        <sz val="12"/>
        <color rgb="FF3B3B3B"/>
        <rFont val="Menlo"/>
        <family val="2"/>
      </rPr>
      <t xml:space="preserve">, </t>
    </r>
    <r>
      <rPr>
        <sz val="12"/>
        <color rgb="FFA31515"/>
        <rFont val="Menlo"/>
        <family val="2"/>
      </rPr>
      <t>'appliances'</t>
    </r>
    <r>
      <rPr>
        <sz val="12"/>
        <color rgb="FF3B3B3B"/>
        <rFont val="Menlo"/>
        <family val="2"/>
      </rPr>
      <t>]</t>
    </r>
  </si>
  <si>
    <r>
      <t>circular_economy_and_or_ecoefficient_projects</t>
    </r>
    <r>
      <rPr>
        <sz val="12"/>
        <color rgb="FF3B3B3B"/>
        <rFont val="Menlo"/>
        <family val="2"/>
      </rPr>
      <t xml:space="preserve"> </t>
    </r>
    <r>
      <rPr>
        <sz val="12"/>
        <color rgb="FF000000"/>
        <rFont val="Menlo"/>
        <family val="2"/>
      </rPr>
      <t>=</t>
    </r>
    <r>
      <rPr>
        <sz val="12"/>
        <color rgb="FF3B3B3B"/>
        <rFont val="Menlo"/>
        <family val="2"/>
      </rPr>
      <t xml:space="preserve"> [</t>
    </r>
    <r>
      <rPr>
        <sz val="12"/>
        <color rgb="FFA31515"/>
        <rFont val="Menlo"/>
        <family val="2"/>
      </rPr>
      <t>'circular'</t>
    </r>
    <r>
      <rPr>
        <sz val="12"/>
        <color rgb="FF3B3B3B"/>
        <rFont val="Menlo"/>
        <family val="2"/>
      </rPr>
      <t xml:space="preserve">, </t>
    </r>
    <r>
      <rPr>
        <sz val="12"/>
        <color rgb="FFA31515"/>
        <rFont val="Menlo"/>
        <family val="2"/>
      </rPr>
      <t>'recycle'</t>
    </r>
    <r>
      <rPr>
        <sz val="12"/>
        <color rgb="FF3B3B3B"/>
        <rFont val="Menlo"/>
        <family val="2"/>
      </rPr>
      <t xml:space="preserve">, </t>
    </r>
    <r>
      <rPr>
        <sz val="12"/>
        <color rgb="FFA31515"/>
        <rFont val="Menlo"/>
        <family val="2"/>
      </rPr>
      <t>'reuse'</t>
    </r>
    <r>
      <rPr>
        <sz val="12"/>
        <color rgb="FF3B3B3B"/>
        <rFont val="Menlo"/>
        <family val="2"/>
      </rPr>
      <t>]</t>
    </r>
  </si>
  <si>
    <r>
      <t>climate_change_adaptation</t>
    </r>
    <r>
      <rPr>
        <sz val="12"/>
        <color rgb="FF3B3B3B"/>
        <rFont val="Menlo"/>
        <family val="2"/>
      </rPr>
      <t xml:space="preserve"> </t>
    </r>
    <r>
      <rPr>
        <sz val="12"/>
        <color rgb="FF000000"/>
        <rFont val="Menlo"/>
        <family val="2"/>
      </rPr>
      <t>=</t>
    </r>
    <r>
      <rPr>
        <sz val="12"/>
        <color rgb="FF3B3B3B"/>
        <rFont val="Menlo"/>
        <family val="2"/>
      </rPr>
      <t xml:space="preserve"> [</t>
    </r>
    <r>
      <rPr>
        <sz val="12"/>
        <color rgb="FFA31515"/>
        <rFont val="Menlo"/>
        <family val="2"/>
      </rPr>
      <t>'adaptation'</t>
    </r>
    <r>
      <rPr>
        <sz val="12"/>
        <color rgb="FF3B3B3B"/>
        <rFont val="Menlo"/>
        <family val="2"/>
      </rPr>
      <t xml:space="preserve">, </t>
    </r>
    <r>
      <rPr>
        <sz val="12"/>
        <color rgb="FFA31515"/>
        <rFont val="Menlo"/>
        <family val="2"/>
      </rPr>
      <t>'disaster'</t>
    </r>
    <r>
      <rPr>
        <sz val="12"/>
        <color rgb="FF3B3B3B"/>
        <rFont val="Menlo"/>
        <family val="2"/>
      </rPr>
      <t>]</t>
    </r>
  </si>
  <si>
    <r>
      <t>sustainable_water_and_wastewater_management</t>
    </r>
    <r>
      <rPr>
        <sz val="12"/>
        <color rgb="FF3B3B3B"/>
        <rFont val="Menlo"/>
        <family val="2"/>
      </rPr>
      <t xml:space="preserve"> </t>
    </r>
    <r>
      <rPr>
        <sz val="12"/>
        <color rgb="FF000000"/>
        <rFont val="Menlo"/>
        <family val="2"/>
      </rPr>
      <t>=</t>
    </r>
    <r>
      <rPr>
        <sz val="12"/>
        <color rgb="FF3B3B3B"/>
        <rFont val="Menlo"/>
        <family val="2"/>
      </rPr>
      <t xml:space="preserve"> [</t>
    </r>
    <r>
      <rPr>
        <sz val="12"/>
        <color rgb="FFA31515"/>
        <rFont val="Menlo"/>
        <family val="2"/>
      </rPr>
      <t>'water'</t>
    </r>
    <r>
      <rPr>
        <sz val="12"/>
        <color rgb="FF3B3B3B"/>
        <rFont val="Menlo"/>
        <family val="2"/>
      </rPr>
      <t xml:space="preserve">, </t>
    </r>
    <r>
      <rPr>
        <sz val="12"/>
        <color rgb="FFA31515"/>
        <rFont val="Menlo"/>
        <family val="2"/>
      </rPr>
      <t>'potable'</t>
    </r>
    <r>
      <rPr>
        <sz val="12"/>
        <color rgb="FF3B3B3B"/>
        <rFont val="Menlo"/>
        <family val="2"/>
      </rPr>
      <t xml:space="preserve">, </t>
    </r>
    <r>
      <rPr>
        <sz val="12"/>
        <color rgb="FFA31515"/>
        <rFont val="Menlo"/>
        <family val="2"/>
      </rPr>
      <t>'wastewater'</t>
    </r>
    <r>
      <rPr>
        <sz val="12"/>
        <color rgb="FF3B3B3B"/>
        <rFont val="Menlo"/>
        <family val="2"/>
      </rPr>
      <t xml:space="preserve">, </t>
    </r>
    <r>
      <rPr>
        <sz val="12"/>
        <color rgb="FFA31515"/>
        <rFont val="Menlo"/>
        <family val="2"/>
      </rPr>
      <t>'sanitation'</t>
    </r>
    <r>
      <rPr>
        <sz val="12"/>
        <color rgb="FF3B3B3B"/>
        <rFont val="Menlo"/>
        <family val="2"/>
      </rPr>
      <t xml:space="preserve">, </t>
    </r>
    <r>
      <rPr>
        <sz val="12"/>
        <color rgb="FFA31515"/>
        <rFont val="Menlo"/>
        <family val="2"/>
      </rPr>
      <t>'treatment'</t>
    </r>
    <r>
      <rPr>
        <sz val="12"/>
        <color rgb="FF3B3B3B"/>
        <rFont val="Menlo"/>
        <family val="2"/>
      </rPr>
      <t>]</t>
    </r>
  </si>
  <si>
    <r>
      <t>clean_transportation</t>
    </r>
    <r>
      <rPr>
        <sz val="12"/>
        <color rgb="FF3B3B3B"/>
        <rFont val="Menlo"/>
        <family val="2"/>
      </rPr>
      <t xml:space="preserve"> </t>
    </r>
    <r>
      <rPr>
        <sz val="12"/>
        <color rgb="FF000000"/>
        <rFont val="Menlo"/>
        <family val="2"/>
      </rPr>
      <t>=</t>
    </r>
    <r>
      <rPr>
        <sz val="12"/>
        <color rgb="FF3B3B3B"/>
        <rFont val="Menlo"/>
        <family val="2"/>
      </rPr>
      <t xml:space="preserve"> [</t>
    </r>
    <r>
      <rPr>
        <sz val="12"/>
        <color rgb="FFA31515"/>
        <rFont val="Menlo"/>
        <family val="2"/>
      </rPr>
      <t>'transportation'</t>
    </r>
    <r>
      <rPr>
        <sz val="12"/>
        <color rgb="FF3B3B3B"/>
        <rFont val="Menlo"/>
        <family val="2"/>
      </rPr>
      <t xml:space="preserve">, </t>
    </r>
    <r>
      <rPr>
        <sz val="12"/>
        <color rgb="FFA31515"/>
        <rFont val="Menlo"/>
        <family val="2"/>
      </rPr>
      <t>'electric'</t>
    </r>
    <r>
      <rPr>
        <sz val="12"/>
        <color rgb="FF3B3B3B"/>
        <rFont val="Menlo"/>
        <family val="2"/>
      </rPr>
      <t xml:space="preserve">, </t>
    </r>
    <r>
      <rPr>
        <sz val="12"/>
        <color rgb="FFA31515"/>
        <rFont val="Menlo"/>
        <family val="2"/>
      </rPr>
      <t>'battery'</t>
    </r>
    <r>
      <rPr>
        <sz val="12"/>
        <color rgb="FF3B3B3B"/>
        <rFont val="Menlo"/>
        <family val="2"/>
      </rPr>
      <t xml:space="preserve">, </t>
    </r>
    <r>
      <rPr>
        <sz val="12"/>
        <color rgb="FFA31515"/>
        <rFont val="Menlo"/>
        <family val="2"/>
      </rPr>
      <t>'EV'</t>
    </r>
    <r>
      <rPr>
        <sz val="12"/>
        <color rgb="FF3B3B3B"/>
        <rFont val="Menlo"/>
        <family val="2"/>
      </rPr>
      <t xml:space="preserve">, </t>
    </r>
    <r>
      <rPr>
        <sz val="12"/>
        <color rgb="FFA31515"/>
        <rFont val="Menlo"/>
        <family val="2"/>
      </rPr>
      <t>'charger'</t>
    </r>
    <r>
      <rPr>
        <sz val="12"/>
        <color rgb="FF3B3B3B"/>
        <rFont val="Menlo"/>
        <family val="2"/>
      </rPr>
      <t xml:space="preserve">, </t>
    </r>
    <r>
      <rPr>
        <sz val="12"/>
        <color rgb="FFA31515"/>
        <rFont val="Menlo"/>
        <family val="2"/>
      </rPr>
      <t>'bus'</t>
    </r>
    <r>
      <rPr>
        <sz val="12"/>
        <color rgb="FF3B3B3B"/>
        <rFont val="Menlo"/>
        <family val="2"/>
      </rPr>
      <t xml:space="preserve">, </t>
    </r>
    <r>
      <rPr>
        <sz val="12"/>
        <color rgb="FFA31515"/>
        <rFont val="Menlo"/>
        <family val="2"/>
      </rPr>
      <t>'rail'</t>
    </r>
    <r>
      <rPr>
        <sz val="12"/>
        <color rgb="FF3B3B3B"/>
        <rFont val="Menlo"/>
        <family val="2"/>
      </rPr>
      <t xml:space="preserve">, </t>
    </r>
    <r>
      <rPr>
        <sz val="12"/>
        <color rgb="FFA31515"/>
        <rFont val="Menlo"/>
        <family val="2"/>
      </rPr>
      <t>'train'</t>
    </r>
    <r>
      <rPr>
        <sz val="12"/>
        <color rgb="FF3B3B3B"/>
        <rFont val="Menlo"/>
        <family val="2"/>
      </rPr>
      <t xml:space="preserve">, </t>
    </r>
    <r>
      <rPr>
        <sz val="12"/>
        <color rgb="FFA31515"/>
        <rFont val="Menlo"/>
        <family val="2"/>
      </rPr>
      <t>'car'</t>
    </r>
    <r>
      <rPr>
        <sz val="12"/>
        <color rgb="FF3B3B3B"/>
        <rFont val="Menlo"/>
        <family val="2"/>
      </rPr>
      <t xml:space="preserve">, </t>
    </r>
    <r>
      <rPr>
        <sz val="12"/>
        <color rgb="FFA31515"/>
        <rFont val="Menlo"/>
        <family val="2"/>
      </rPr>
      <t>'vehicle'</t>
    </r>
    <r>
      <rPr>
        <sz val="12"/>
        <color rgb="FF3B3B3B"/>
        <rFont val="Menlo"/>
        <family val="2"/>
      </rPr>
      <t xml:space="preserve">, </t>
    </r>
    <r>
      <rPr>
        <sz val="12"/>
        <color rgb="FFA31515"/>
        <rFont val="Menlo"/>
        <family val="2"/>
      </rPr>
      <t>'bicycle'</t>
    </r>
    <r>
      <rPr>
        <sz val="12"/>
        <color rgb="FF3B3B3B"/>
        <rFont val="Menlo"/>
        <family val="2"/>
      </rPr>
      <t xml:space="preserve">, </t>
    </r>
    <r>
      <rPr>
        <sz val="12"/>
        <color rgb="FFA31515"/>
        <rFont val="Menlo"/>
        <family val="2"/>
      </rPr>
      <t>'non-motorized'</t>
    </r>
    <r>
      <rPr>
        <sz val="12"/>
        <color rgb="FF3B3B3B"/>
        <rFont val="Menlo"/>
        <family val="2"/>
      </rPr>
      <t xml:space="preserve">, </t>
    </r>
    <r>
      <rPr>
        <sz val="12"/>
        <color rgb="FFA31515"/>
        <rFont val="Menlo"/>
        <family val="2"/>
      </rPr>
      <t>'aviation'</t>
    </r>
    <r>
      <rPr>
        <sz val="12"/>
        <color rgb="FF3B3B3B"/>
        <rFont val="Menlo"/>
        <family val="2"/>
      </rPr>
      <t>]</t>
    </r>
  </si>
  <si>
    <r>
      <t>terrestrial_and_aquatic_biodiversity_conservation</t>
    </r>
    <r>
      <rPr>
        <sz val="12"/>
        <color rgb="FF3B3B3B"/>
        <rFont val="Menlo"/>
        <family val="2"/>
      </rPr>
      <t xml:space="preserve"> </t>
    </r>
    <r>
      <rPr>
        <sz val="12"/>
        <color rgb="FF000000"/>
        <rFont val="Menlo"/>
        <family val="2"/>
      </rPr>
      <t>=</t>
    </r>
    <r>
      <rPr>
        <sz val="12"/>
        <color rgb="FF3B3B3B"/>
        <rFont val="Menlo"/>
        <family val="2"/>
      </rPr>
      <t xml:space="preserve"> [</t>
    </r>
    <r>
      <rPr>
        <sz val="12"/>
        <color rgb="FFA31515"/>
        <rFont val="Menlo"/>
        <family val="2"/>
      </rPr>
      <t>'terrestrial'</t>
    </r>
    <r>
      <rPr>
        <sz val="12"/>
        <color rgb="FF3B3B3B"/>
        <rFont val="Menlo"/>
        <family val="2"/>
      </rPr>
      <t xml:space="preserve">, </t>
    </r>
    <r>
      <rPr>
        <sz val="12"/>
        <color rgb="FFA31515"/>
        <rFont val="Menlo"/>
        <family val="2"/>
      </rPr>
      <t>'aquatic'</t>
    </r>
    <r>
      <rPr>
        <sz val="12"/>
        <color rgb="FF3B3B3B"/>
        <rFont val="Menlo"/>
        <family val="2"/>
      </rPr>
      <t xml:space="preserve">, </t>
    </r>
    <r>
      <rPr>
        <sz val="12"/>
        <color rgb="FFA31515"/>
        <rFont val="Menlo"/>
        <family val="2"/>
      </rPr>
      <t>'biodiversity'</t>
    </r>
    <r>
      <rPr>
        <sz val="12"/>
        <color rgb="FF3B3B3B"/>
        <rFont val="Menlo"/>
        <family val="2"/>
      </rPr>
      <t xml:space="preserve">, </t>
    </r>
    <r>
      <rPr>
        <sz val="12"/>
        <color rgb="FFA31515"/>
        <rFont val="Menlo"/>
        <family val="2"/>
      </rPr>
      <t>'conservation'</t>
    </r>
    <r>
      <rPr>
        <sz val="12"/>
        <color rgb="FF3B3B3B"/>
        <rFont val="Menlo"/>
        <family val="2"/>
      </rPr>
      <t>]</t>
    </r>
  </si>
  <si>
    <r>
      <t>environmentally_sustainable_management_of_living_natural_resources_and_land_use</t>
    </r>
    <r>
      <rPr>
        <sz val="12"/>
        <color rgb="FF3B3B3B"/>
        <rFont val="Menlo"/>
        <family val="2"/>
      </rPr>
      <t xml:space="preserve"> </t>
    </r>
    <r>
      <rPr>
        <sz val="12"/>
        <color rgb="FF000000"/>
        <rFont val="Menlo"/>
        <family val="2"/>
      </rPr>
      <t>=</t>
    </r>
    <r>
      <rPr>
        <sz val="12"/>
        <color rgb="FF3B3B3B"/>
        <rFont val="Menlo"/>
        <family val="2"/>
      </rPr>
      <t xml:space="preserve"> [</t>
    </r>
    <r>
      <rPr>
        <sz val="12"/>
        <color rgb="FFA31515"/>
        <rFont val="Menlo"/>
        <family val="2"/>
      </rPr>
      <t>'land'</t>
    </r>
    <r>
      <rPr>
        <sz val="12"/>
        <color rgb="FF3B3B3B"/>
        <rFont val="Menlo"/>
        <family val="2"/>
      </rPr>
      <t xml:space="preserve">, </t>
    </r>
    <r>
      <rPr>
        <sz val="12"/>
        <color rgb="FFA31515"/>
        <rFont val="Menlo"/>
        <family val="2"/>
      </rPr>
      <t>'agriculture'</t>
    </r>
    <r>
      <rPr>
        <sz val="12"/>
        <color rgb="FF3B3B3B"/>
        <rFont val="Menlo"/>
        <family val="2"/>
      </rPr>
      <t xml:space="preserve">, </t>
    </r>
    <r>
      <rPr>
        <sz val="12"/>
        <color rgb="FFA31515"/>
        <rFont val="Menlo"/>
        <family val="2"/>
      </rPr>
      <t>'forestry'</t>
    </r>
    <r>
      <rPr>
        <sz val="12"/>
        <color rgb="FF3B3B3B"/>
        <rFont val="Menlo"/>
        <family val="2"/>
      </rPr>
      <t xml:space="preserve">, </t>
    </r>
    <r>
      <rPr>
        <sz val="12"/>
        <color rgb="FFA31515"/>
        <rFont val="Menlo"/>
        <family val="2"/>
      </rPr>
      <t>'fisheries'</t>
    </r>
    <r>
      <rPr>
        <sz val="12"/>
        <color rgb="FF3B3B3B"/>
        <rFont val="Menlo"/>
        <family val="2"/>
      </rPr>
      <t xml:space="preserve">, </t>
    </r>
    <r>
      <rPr>
        <sz val="12"/>
        <color rgb="FFA31515"/>
        <rFont val="Menlo"/>
        <family val="2"/>
      </rPr>
      <t>'food'</t>
    </r>
    <r>
      <rPr>
        <sz val="12"/>
        <color rgb="FF3B3B3B"/>
        <rFont val="Menlo"/>
        <family val="2"/>
      </rPr>
      <t>]</t>
    </r>
  </si>
  <si>
    <r>
      <t>pollution_prevention_and_control</t>
    </r>
    <r>
      <rPr>
        <sz val="12"/>
        <color rgb="FF3B3B3B"/>
        <rFont val="Menlo"/>
        <family val="2"/>
      </rPr>
      <t xml:space="preserve"> </t>
    </r>
    <r>
      <rPr>
        <sz val="12"/>
        <color rgb="FF000000"/>
        <rFont val="Menlo"/>
        <family val="2"/>
      </rPr>
      <t>=</t>
    </r>
    <r>
      <rPr>
        <sz val="12"/>
        <color rgb="FF3B3B3B"/>
        <rFont val="Menlo"/>
        <family val="2"/>
      </rPr>
      <t xml:space="preserve"> [</t>
    </r>
    <r>
      <rPr>
        <sz val="12"/>
        <color rgb="FFA31515"/>
        <rFont val="Menlo"/>
        <family val="2"/>
      </rPr>
      <t>'pollution'</t>
    </r>
    <r>
      <rPr>
        <sz val="12"/>
        <color rgb="FF3B3B3B"/>
        <rFont val="Menlo"/>
        <family val="2"/>
      </rPr>
      <t xml:space="preserve">, </t>
    </r>
    <r>
      <rPr>
        <sz val="12"/>
        <color rgb="FFA31515"/>
        <rFont val="Menlo"/>
        <family val="2"/>
      </rPr>
      <t>'waste'</t>
    </r>
    <r>
      <rPr>
        <sz val="12"/>
        <color rgb="FF3B3B3B"/>
        <rFont val="Menlo"/>
        <family val="2"/>
      </rPr>
      <t>]</t>
    </r>
  </si>
  <si>
    <r>
      <t>energy_efficiency</t>
    </r>
    <r>
      <rPr>
        <sz val="12"/>
        <color rgb="FF3B3B3B"/>
        <rFont val="Menlo"/>
        <family val="2"/>
      </rPr>
      <t xml:space="preserve"> </t>
    </r>
    <r>
      <rPr>
        <sz val="12"/>
        <color rgb="FF000000"/>
        <rFont val="Menlo"/>
        <family val="2"/>
      </rPr>
      <t>=</t>
    </r>
    <r>
      <rPr>
        <sz val="12"/>
        <color rgb="FF3B3B3B"/>
        <rFont val="Menlo"/>
        <family val="2"/>
      </rPr>
      <t xml:space="preserve"> [</t>
    </r>
    <r>
      <rPr>
        <sz val="12"/>
        <color rgb="FFA31515"/>
        <rFont val="Menlo"/>
        <family val="2"/>
      </rPr>
      <t>'efficiency'</t>
    </r>
    <r>
      <rPr>
        <sz val="12"/>
        <color rgb="FF3B3B3B"/>
        <rFont val="Menlo"/>
        <family val="2"/>
      </rPr>
      <t xml:space="preserve">, </t>
    </r>
    <r>
      <rPr>
        <sz val="12"/>
        <color rgb="FFA31515"/>
        <rFont val="Menlo"/>
        <family val="2"/>
      </rPr>
      <t>'retrofit'</t>
    </r>
    <r>
      <rPr>
        <sz val="12"/>
        <color rgb="FF3B3B3B"/>
        <rFont val="Menlo"/>
        <family val="2"/>
      </rPr>
      <t>]</t>
    </r>
  </si>
  <si>
    <r>
      <t>renewable_energy</t>
    </r>
    <r>
      <rPr>
        <sz val="12"/>
        <color rgb="FF3B3B3B"/>
        <rFont val="Menlo"/>
        <family val="2"/>
      </rPr>
      <t xml:space="preserve"> </t>
    </r>
    <r>
      <rPr>
        <sz val="12"/>
        <color rgb="FF000000"/>
        <rFont val="Menlo"/>
        <family val="2"/>
      </rPr>
      <t>=</t>
    </r>
    <r>
      <rPr>
        <sz val="12"/>
        <color rgb="FF3B3B3B"/>
        <rFont val="Menlo"/>
        <family val="2"/>
      </rPr>
      <t xml:space="preserve"> [</t>
    </r>
    <r>
      <rPr>
        <sz val="12"/>
        <color rgb="FFA31515"/>
        <rFont val="Menlo"/>
        <family val="2"/>
      </rPr>
      <t>'renewable'</t>
    </r>
    <r>
      <rPr>
        <sz val="12"/>
        <color rgb="FF3B3B3B"/>
        <rFont val="Menlo"/>
        <family val="2"/>
      </rPr>
      <t xml:space="preserve">, </t>
    </r>
    <r>
      <rPr>
        <sz val="12"/>
        <color rgb="FFA31515"/>
        <rFont val="Menlo"/>
        <family val="2"/>
      </rPr>
      <t>'solar'</t>
    </r>
    <r>
      <rPr>
        <sz val="12"/>
        <color rgb="FF3B3B3B"/>
        <rFont val="Menlo"/>
        <family val="2"/>
      </rPr>
      <t xml:space="preserve">, </t>
    </r>
    <r>
      <rPr>
        <sz val="12"/>
        <color rgb="FFA31515"/>
        <rFont val="Menlo"/>
        <family val="2"/>
      </rPr>
      <t>'wind'</t>
    </r>
    <r>
      <rPr>
        <sz val="12"/>
        <color rgb="FF3B3B3B"/>
        <rFont val="Menlo"/>
        <family val="2"/>
      </rPr>
      <t xml:space="preserve">, </t>
    </r>
    <r>
      <rPr>
        <sz val="12"/>
        <color rgb="FFA31515"/>
        <rFont val="Menlo"/>
        <family val="2"/>
      </rPr>
      <t>'bioenergy'</t>
    </r>
    <r>
      <rPr>
        <sz val="12"/>
        <color rgb="FF3B3B3B"/>
        <rFont val="Menlo"/>
        <family val="2"/>
      </rPr>
      <t xml:space="preserve">, </t>
    </r>
    <r>
      <rPr>
        <sz val="12"/>
        <color rgb="FFA31515"/>
        <rFont val="Menlo"/>
        <family val="2"/>
      </rPr>
      <t>'biofuel'</t>
    </r>
    <r>
      <rPr>
        <sz val="12"/>
        <color rgb="FF3B3B3B"/>
        <rFont val="Menlo"/>
        <family val="2"/>
      </rPr>
      <t xml:space="preserve">, </t>
    </r>
    <r>
      <rPr>
        <sz val="12"/>
        <color rgb="FFA31515"/>
        <rFont val="Menlo"/>
        <family val="2"/>
      </rPr>
      <t>'biomass'</t>
    </r>
    <r>
      <rPr>
        <sz val="12"/>
        <color rgb="FF3B3B3B"/>
        <rFont val="Menlo"/>
        <family val="2"/>
      </rPr>
      <t xml:space="preserve">, </t>
    </r>
    <r>
      <rPr>
        <sz val="12"/>
        <color rgb="FFA31515"/>
        <rFont val="Menlo"/>
        <family val="2"/>
      </rPr>
      <t>'hydropower'</t>
    </r>
    <r>
      <rPr>
        <sz val="12"/>
        <color rgb="FF3B3B3B"/>
        <rFont val="Menlo"/>
        <family val="2"/>
      </rPr>
      <t xml:space="preserve">, </t>
    </r>
    <r>
      <rPr>
        <sz val="12"/>
        <color rgb="FFA31515"/>
        <rFont val="Menlo"/>
        <family val="2"/>
      </rPr>
      <t>'hydrogen'</t>
    </r>
    <r>
      <rPr>
        <sz val="12"/>
        <color rgb="FF3B3B3B"/>
        <rFont val="Menlo"/>
        <family val="2"/>
      </rPr>
      <t xml:space="preserve">, </t>
    </r>
    <r>
      <rPr>
        <sz val="12"/>
        <color rgb="FFA31515"/>
        <rFont val="Menlo"/>
        <family val="2"/>
      </rPr>
      <t>'power'</t>
    </r>
    <r>
      <rPr>
        <sz val="12"/>
        <color rgb="FF3B3B3B"/>
        <rFont val="Menlo"/>
        <family val="2"/>
      </rPr>
      <t xml:space="preserve">, </t>
    </r>
    <r>
      <rPr>
        <sz val="12"/>
        <color rgb="FFA31515"/>
        <rFont val="Menlo"/>
        <family val="2"/>
      </rPr>
      <t>'grid'</t>
    </r>
    <r>
      <rPr>
        <sz val="12"/>
        <color rgb="FF3B3B3B"/>
        <rFont val="Menlo"/>
        <family val="2"/>
      </rPr>
      <t xml:space="preserve">, </t>
    </r>
    <r>
      <rPr>
        <sz val="12"/>
        <color rgb="FFA31515"/>
        <rFont val="Menlo"/>
        <family val="2"/>
      </rPr>
      <t>'transmission'</t>
    </r>
    <r>
      <rPr>
        <sz val="12"/>
        <color rgb="FF3B3B3B"/>
        <rFont val="Menlo"/>
        <family val="2"/>
      </rPr>
      <t xml:space="preserve">, </t>
    </r>
    <r>
      <rPr>
        <sz val="12"/>
        <color rgb="FFA31515"/>
        <rFont val="Menlo"/>
        <family val="2"/>
      </rPr>
      <t>'generation', 'waste-to-energy', 'geothermal', 'storage'</t>
    </r>
    <r>
      <rPr>
        <sz val="12"/>
        <color rgb="FF3B3B3B"/>
        <rFont val="Menlo"/>
        <family val="2"/>
      </rPr>
      <t>]</t>
    </r>
  </si>
  <si>
    <t>stop time</t>
  </si>
  <si>
    <t>start time</t>
  </si>
  <si>
    <t>in case of more than one sitting</t>
  </si>
  <si>
    <t>check results</t>
  </si>
  <si>
    <t xml:space="preserve">fill in results </t>
  </si>
  <si>
    <t>Akshay</t>
  </si>
  <si>
    <t>Janvi</t>
  </si>
  <si>
    <t>Kat</t>
  </si>
  <si>
    <t>Alloc data table</t>
  </si>
  <si>
    <t>ES 100%</t>
  </si>
  <si>
    <t>ES partial - 2</t>
  </si>
  <si>
    <t>ES partial - 3</t>
  </si>
  <si>
    <t>ES partial - 4</t>
  </si>
  <si>
    <t>ES 0%</t>
  </si>
  <si>
    <t>ES partial - 9</t>
  </si>
  <si>
    <t>ES partial - 6</t>
  </si>
  <si>
    <t>manual baseline aligns with pdf</t>
  </si>
  <si>
    <t>EN</t>
  </si>
  <si>
    <t>ES</t>
  </si>
  <si>
    <t>were in train popn so removed from eval</t>
  </si>
  <si>
    <t>Class yes count no</t>
  </si>
  <si>
    <t>Framework,_Green_Bond_Protisa_Peru</t>
  </si>
  <si>
    <t>Marco_de_la_Primera_Emision</t>
  </si>
  <si>
    <t>Run</t>
  </si>
  <si>
    <t>RE UOP median</t>
  </si>
  <si>
    <t>RE UOP count</t>
  </si>
  <si>
    <t>EE UOP median</t>
  </si>
  <si>
    <t>EE UOP count</t>
  </si>
  <si>
    <t>all ex RE count</t>
  </si>
  <si>
    <t>all ex RE median</t>
  </si>
  <si>
    <t>R1</t>
  </si>
  <si>
    <t>R2</t>
  </si>
  <si>
    <t>R3</t>
  </si>
  <si>
    <t>R4</t>
  </si>
  <si>
    <t>R5</t>
  </si>
  <si>
    <t>RE tbl median</t>
  </si>
  <si>
    <t>RE tbl count</t>
  </si>
  <si>
    <t>CT UOP median</t>
  </si>
  <si>
    <t>CT UOP count</t>
  </si>
  <si>
    <t>no</t>
  </si>
  <si>
    <t>3</t>
  </si>
  <si>
    <t>UOP page idx</t>
  </si>
  <si>
    <t>cateogry table</t>
  </si>
  <si>
    <t>4-7</t>
  </si>
  <si>
    <t>yes</t>
  </si>
  <si>
    <t>3-4</t>
  </si>
  <si>
    <t>1-4</t>
  </si>
  <si>
    <t>7-10</t>
  </si>
  <si>
    <t>ppl tbl</t>
  </si>
  <si>
    <t>ppl uop</t>
  </si>
  <si>
    <t>same</t>
  </si>
  <si>
    <t>not same</t>
  </si>
  <si>
    <t>3-5</t>
  </si>
  <si>
    <t>3-11</t>
  </si>
  <si>
    <t>5-9</t>
  </si>
  <si>
    <t>4-6</t>
  </si>
  <si>
    <t>1</t>
  </si>
  <si>
    <t>6-8</t>
  </si>
  <si>
    <t>PT</t>
  </si>
  <si>
    <t>5-11</t>
  </si>
  <si>
    <t>na</t>
  </si>
  <si>
    <t>used for training</t>
  </si>
  <si>
    <t>used for training (failed to excute)</t>
  </si>
  <si>
    <t>duplicate at pdf level</t>
  </si>
  <si>
    <t>ICMA wrdg alignment</t>
  </si>
  <si>
    <t>NA</t>
  </si>
  <si>
    <t>7-9</t>
  </si>
  <si>
    <t>8-13</t>
  </si>
  <si>
    <t>14</t>
  </si>
  <si>
    <t>duplicate</t>
  </si>
  <si>
    <t>Mixed</t>
  </si>
  <si>
    <t>20</t>
  </si>
  <si>
    <t>7</t>
  </si>
  <si>
    <t>rslt_class_lbl</t>
  </si>
  <si>
    <t>rslt_num_cat_diffs</t>
  </si>
  <si>
    <t>FALSE - tbl not detected</t>
  </si>
  <si>
    <t>-2 - context</t>
  </si>
  <si>
    <t>FALSE - context</t>
  </si>
  <si>
    <t>TRUE</t>
  </si>
  <si>
    <t>7 - TH too high - context</t>
  </si>
  <si>
    <t>0</t>
  </si>
  <si>
    <t>-2 - context - ppl lets in 2 social cats</t>
  </si>
  <si>
    <t>1 - context / similarity results are mixed / custom detection needed on rpt as Cats shown in boxes</t>
  </si>
  <si>
    <t>2 - TH too high - context</t>
  </si>
  <si>
    <t>1 - table row assumption not met and then context</t>
  </si>
  <si>
    <t>FALSE - ppl needs correcting to re-set ES tbl indicators between pdf runs
2nd run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</si>
</sst>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7" formatCode="0.0000"/>
  </numFmts>
  <fonts count="36" x14ac:knownFonts="1">
    <font>
      <sz val="12"/>
      <color theme="1"/>
      <name val="Aptos Narrow"/>
      <family val="2"/>
      <scheme val="minor"/>
    </font>
    <font>
      <sz val="12"/>
      <color indexed="8"/>
      <name val="Aptos Narrow"/>
      <family val="2"/>
    </font>
    <font>
      <sz val="12"/>
      <color indexed="25"/>
      <name val="Aptos Narrow"/>
      <family val="2"/>
    </font>
    <font>
      <sz val="12"/>
      <color indexed="56"/>
      <name val="Aptos Narrow"/>
      <family val="2"/>
    </font>
    <font>
      <sz val="12"/>
      <color indexed="25"/>
      <name val="Aptos Narrow"/>
      <family val="2"/>
    </font>
    <font>
      <b/>
      <sz val="15"/>
      <color indexed="56"/>
      <name val="Aptos Narrow"/>
      <family val="2"/>
    </font>
    <font>
      <b/>
      <sz val="13"/>
      <color indexed="56"/>
      <name val="Aptos Narrow"/>
      <family val="2"/>
    </font>
    <font>
      <b/>
      <sz val="11"/>
      <color indexed="56"/>
      <name val="Aptos Narrow"/>
      <family val="2"/>
    </font>
    <font>
      <u/>
      <sz val="12"/>
      <color indexed="49"/>
      <name val="Aptos Narrow"/>
      <family val="2"/>
    </font>
    <font>
      <sz val="12"/>
      <color indexed="52"/>
      <name val="Aptos Narrow"/>
      <family val="2"/>
    </font>
    <font>
      <sz val="18"/>
      <color indexed="56"/>
      <name val="Aptos Display"/>
      <family val="2"/>
      <charset val="1"/>
    </font>
    <font>
      <sz val="8"/>
      <name val="Aptos Narrow"/>
      <family val="2"/>
    </font>
    <font>
      <sz val="12"/>
      <color theme="1"/>
      <name val="Aptos Narrow"/>
      <family val="2"/>
      <scheme val="minor"/>
    </font>
    <font>
      <sz val="12"/>
      <color theme="0"/>
      <name val="Aptos Narrow"/>
      <family val="2"/>
      <scheme val="minor"/>
    </font>
    <font>
      <sz val="12"/>
      <color rgb="FF9C0006"/>
      <name val="Aptos Narrow"/>
      <family val="2"/>
      <scheme val="minor"/>
    </font>
    <font>
      <b/>
      <sz val="12"/>
      <color indexed="52"/>
      <name val="Aptos Narrow"/>
      <family val="2"/>
      <scheme val="minor"/>
    </font>
    <font>
      <b/>
      <sz val="12"/>
      <color theme="0"/>
      <name val="Aptos Narrow"/>
      <family val="2"/>
      <scheme val="minor"/>
    </font>
    <font>
      <i/>
      <sz val="12"/>
      <color rgb="FF7F7F7F"/>
      <name val="Aptos Narrow"/>
      <family val="2"/>
      <scheme val="minor"/>
    </font>
    <font>
      <sz val="12"/>
      <color rgb="FF006100"/>
      <name val="Aptos Narrow"/>
      <family val="2"/>
      <scheme val="minor"/>
    </font>
    <font>
      <b/>
      <sz val="11"/>
      <color indexed="56"/>
      <name val="Aptos Narrow"/>
      <family val="2"/>
      <scheme val="minor"/>
    </font>
    <font>
      <sz val="12"/>
      <color rgb="FF3F3F76"/>
      <name val="Aptos Narrow"/>
      <family val="2"/>
      <scheme val="minor"/>
    </font>
    <font>
      <sz val="12"/>
      <color rgb="FF9C5700"/>
      <name val="Aptos Narrow"/>
      <family val="2"/>
      <scheme val="minor"/>
    </font>
    <font>
      <b/>
      <sz val="12"/>
      <color rgb="FF3F3F3F"/>
      <name val="Aptos Narrow"/>
      <family val="2"/>
      <scheme val="minor"/>
    </font>
    <font>
      <b/>
      <sz val="12"/>
      <color theme="1"/>
      <name val="Aptos Narrow"/>
      <family val="2"/>
      <scheme val="minor"/>
    </font>
    <font>
      <sz val="12"/>
      <color rgb="FFFF0000"/>
      <name val="Aptos Narrow"/>
      <family val="2"/>
      <scheme val="minor"/>
    </font>
    <font>
      <b/>
      <sz val="12"/>
      <color theme="1"/>
      <name val="Aptos Narrow"/>
      <scheme val="minor"/>
    </font>
    <font>
      <sz val="12"/>
      <color theme="8"/>
      <name val="Aptos Narrow"/>
      <family val="2"/>
      <scheme val="minor"/>
    </font>
    <font>
      <strike/>
      <sz val="12"/>
      <color theme="1"/>
      <name val="Aptos Narrow"/>
      <family val="2"/>
      <scheme val="minor"/>
    </font>
    <font>
      <sz val="12"/>
      <color theme="1"/>
      <name val="Aptos Narrow"/>
      <scheme val="minor"/>
    </font>
    <font>
      <sz val="12"/>
      <color theme="4" tint="-0.249977111117893"/>
      <name val="Aptos Narrow"/>
      <family val="2"/>
      <scheme val="minor"/>
    </font>
    <font>
      <sz val="12"/>
      <color rgb="FF001080"/>
      <name val="Menlo"/>
      <family val="2"/>
    </font>
    <font>
      <sz val="12"/>
      <color rgb="FF3B3B3B"/>
      <name val="Menlo"/>
      <family val="2"/>
    </font>
    <font>
      <sz val="12"/>
      <color rgb="FF000000"/>
      <name val="Menlo"/>
      <family val="2"/>
    </font>
    <font>
      <sz val="12"/>
      <color rgb="FFA31515"/>
      <name val="Menlo"/>
      <family val="2"/>
    </font>
    <font>
      <sz val="10"/>
      <color theme="1"/>
      <name val="Aptos Narrow"/>
      <family val="2"/>
      <scheme val="minor"/>
    </font>
    <font>
      <sz val="10"/>
      <color rgb="FF000000"/>
      <name val="Tahoma"/>
      <family val="2"/>
    </font>
  </fonts>
  <fills count="35">
    <fill>
      <patternFill patternType="none"/>
    </fill>
    <fill>
      <patternFill patternType="gray125"/>
    </fill>
    <fill>
      <patternFill patternType="solid">
        <fgColor indexed="27"/>
      </patternFill>
    </fill>
    <fill>
      <patternFill patternType="solid">
        <fgColor indexed="22"/>
      </patternFill>
    </fill>
    <fill>
      <patternFill patternType="solid">
        <fgColor indexed="42"/>
      </patternFill>
    </fill>
    <fill>
      <patternFill patternType="solid">
        <fgColor indexed="45"/>
      </patternFill>
    </fill>
    <fill>
      <patternFill patternType="solid">
        <fgColor indexed="49"/>
      </patternFill>
    </fill>
    <fill>
      <patternFill patternType="solid">
        <fgColor indexed="57"/>
      </patternFill>
    </fill>
    <fill>
      <patternFill patternType="solid">
        <fgColor indexed="48"/>
      </patternFill>
    </fill>
    <fill>
      <patternFill patternType="solid">
        <fgColor indexed="25"/>
      </patternFill>
    </fill>
    <fill>
      <patternFill patternType="solid">
        <fgColor indexed="11"/>
      </patternFill>
    </fill>
    <fill>
      <patternFill patternType="solid">
        <fgColor indexed="21"/>
      </patternFill>
    </fill>
    <fill>
      <patternFill patternType="solid">
        <fgColor indexed="53"/>
      </patternFill>
    </fill>
    <fill>
      <patternFill patternType="solid">
        <fgColor indexed="45"/>
        <bgColor indexed="64"/>
      </patternFill>
    </fill>
    <fill>
      <patternFill patternType="solid">
        <fgColor indexed="27"/>
        <bgColor indexed="64"/>
      </patternFill>
    </fill>
    <fill>
      <patternFill patternType="solid">
        <fgColor indexed="13"/>
        <bgColor indexed="64"/>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7"/>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
      <patternFill patternType="solid">
        <fgColor theme="6" tint="0.59999389629810485"/>
        <bgColor indexed="64"/>
      </patternFill>
    </fill>
    <fill>
      <patternFill patternType="solid">
        <fgColor theme="7"/>
        <bgColor indexed="64"/>
      </patternFill>
    </fill>
    <fill>
      <patternFill patternType="solid">
        <fgColor theme="8" tint="0.5999938962981048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6" tint="0.79998168889431442"/>
        <bgColor indexed="64"/>
      </patternFill>
    </fill>
  </fills>
  <borders count="22">
    <border>
      <left/>
      <right/>
      <top/>
      <bottom/>
      <diagonal/>
    </border>
    <border>
      <left/>
      <right/>
      <top/>
      <bottom style="thick">
        <color indexed="21"/>
      </bottom>
      <diagonal/>
    </border>
    <border>
      <left/>
      <right/>
      <top/>
      <bottom style="thick">
        <color indexed="49"/>
      </bottom>
      <diagonal/>
    </border>
    <border>
      <left/>
      <right/>
      <top/>
      <bottom style="double">
        <color indexed="52"/>
      </bottom>
      <diagonal/>
    </border>
    <border>
      <left/>
      <right/>
      <top style="thin">
        <color indexed="21"/>
      </top>
      <bottom style="double">
        <color indexed="2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indexed="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left>
      <right style="thin">
        <color theme="4"/>
      </right>
      <top style="thin">
        <color theme="4"/>
      </top>
      <bottom style="thin">
        <color theme="4"/>
      </bottom>
      <diagonal/>
    </border>
  </borders>
  <cellStyleXfs count="45">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2"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3" borderId="0" applyNumberFormat="0" applyBorder="0" applyAlignment="0" applyProtection="0"/>
    <xf numFmtId="0" fontId="12" fillId="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3"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7" borderId="0" applyNumberFormat="0" applyBorder="0" applyAlignment="0" applyProtection="0"/>
    <xf numFmtId="0" fontId="14" fillId="5" borderId="0" applyNumberFormat="0" applyBorder="0" applyAlignment="0" applyProtection="0"/>
    <xf numFmtId="0" fontId="15" fillId="3" borderId="5" applyNumberFormat="0" applyAlignment="0" applyProtection="0"/>
    <xf numFmtId="0" fontId="16" fillId="25" borderId="6" applyNumberFormat="0" applyAlignment="0" applyProtection="0"/>
    <xf numFmtId="43" fontId="1" fillId="0" borderId="0" applyFont="0" applyFill="0" applyBorder="0" applyAlignment="0" applyProtection="0"/>
    <xf numFmtId="0" fontId="17" fillId="0" borderId="0" applyNumberFormat="0" applyFill="0" applyBorder="0" applyAlignment="0" applyProtection="0"/>
    <xf numFmtId="0" fontId="18" fillId="4" borderId="0" applyNumberFormat="0" applyBorder="0" applyAlignment="0" applyProtection="0"/>
    <xf numFmtId="0" fontId="5" fillId="0" borderId="1" applyNumberFormat="0" applyFill="0" applyAlignment="0" applyProtection="0"/>
    <xf numFmtId="0" fontId="6" fillId="0" borderId="2" applyNumberFormat="0" applyFill="0" applyAlignment="0" applyProtection="0"/>
    <xf numFmtId="0" fontId="19" fillId="0" borderId="7" applyNumberFormat="0" applyFill="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20" fillId="3" borderId="5" applyNumberFormat="0" applyAlignment="0" applyProtection="0"/>
    <xf numFmtId="0" fontId="9" fillId="0" borderId="3" applyNumberFormat="0" applyFill="0" applyAlignment="0" applyProtection="0"/>
    <xf numFmtId="0" fontId="21" fillId="26" borderId="0" applyNumberFormat="0" applyBorder="0" applyAlignment="0" applyProtection="0"/>
    <xf numFmtId="0" fontId="1" fillId="27" borderId="8" applyNumberFormat="0" applyFont="0" applyAlignment="0" applyProtection="0"/>
    <xf numFmtId="0" fontId="22" fillId="3" borderId="9" applyNumberFormat="0" applyAlignment="0" applyProtection="0"/>
    <xf numFmtId="0" fontId="10" fillId="0" borderId="0" applyNumberFormat="0" applyFill="0" applyBorder="0" applyAlignment="0" applyProtection="0"/>
    <xf numFmtId="0" fontId="23" fillId="0" borderId="4" applyNumberFormat="0" applyFill="0" applyAlignment="0" applyProtection="0"/>
    <xf numFmtId="0" fontId="24" fillId="0" borderId="0" applyNumberFormat="0" applyFill="0" applyBorder="0" applyAlignment="0" applyProtection="0"/>
    <xf numFmtId="43" fontId="12" fillId="0" borderId="0" applyFont="0" applyFill="0" applyBorder="0" applyAlignment="0" applyProtection="0"/>
  </cellStyleXfs>
  <cellXfs count="79">
    <xf numFmtId="0" fontId="0" fillId="0" borderId="0" xfId="0"/>
    <xf numFmtId="22" fontId="0" fillId="0" borderId="0" xfId="0" applyNumberFormat="1"/>
    <xf numFmtId="47" fontId="0" fillId="0" borderId="0" xfId="0" applyNumberFormat="1"/>
    <xf numFmtId="0" fontId="0" fillId="0" borderId="0" xfId="0" quotePrefix="1"/>
    <xf numFmtId="11" fontId="0" fillId="0" borderId="0" xfId="0" applyNumberFormat="1"/>
    <xf numFmtId="0" fontId="0" fillId="0" borderId="0" xfId="0" applyAlignment="1">
      <alignment wrapText="1"/>
    </xf>
    <xf numFmtId="0" fontId="2" fillId="0" borderId="0" xfId="0" applyFont="1"/>
    <xf numFmtId="0" fontId="8" fillId="0" borderId="0" xfId="35"/>
    <xf numFmtId="0" fontId="8" fillId="0" borderId="0" xfId="35" applyAlignment="1"/>
    <xf numFmtId="0" fontId="0" fillId="13" borderId="0" xfId="0" applyFill="1"/>
    <xf numFmtId="0" fontId="2" fillId="13" borderId="0" xfId="0" applyFont="1" applyFill="1"/>
    <xf numFmtId="22" fontId="0" fillId="13" borderId="0" xfId="0" applyNumberFormat="1" applyFill="1"/>
    <xf numFmtId="0" fontId="0" fillId="13" borderId="0" xfId="0" quotePrefix="1" applyFill="1"/>
    <xf numFmtId="11" fontId="0" fillId="13" borderId="0" xfId="0" applyNumberFormat="1" applyFill="1"/>
    <xf numFmtId="0" fontId="0" fillId="14" borderId="0" xfId="0" applyFill="1"/>
    <xf numFmtId="22" fontId="0" fillId="14" borderId="0" xfId="0" applyNumberFormat="1" applyFill="1"/>
    <xf numFmtId="0" fontId="0" fillId="14" borderId="0" xfId="0" quotePrefix="1" applyFill="1"/>
    <xf numFmtId="0" fontId="3" fillId="14" borderId="0" xfId="0" applyFont="1" applyFill="1"/>
    <xf numFmtId="0" fontId="4" fillId="13" borderId="0" xfId="0" applyFont="1" applyFill="1"/>
    <xf numFmtId="0" fontId="3" fillId="15" borderId="0" xfId="0" applyFont="1" applyFill="1"/>
    <xf numFmtId="0" fontId="0" fillId="15" borderId="0" xfId="0" applyFill="1"/>
    <xf numFmtId="49" fontId="8" fillId="0" borderId="0" xfId="35" applyNumberFormat="1"/>
    <xf numFmtId="49" fontId="0" fillId="13" borderId="0" xfId="0" applyNumberFormat="1" applyFill="1"/>
    <xf numFmtId="49" fontId="0" fillId="0" borderId="0" xfId="0" applyNumberFormat="1"/>
    <xf numFmtId="49" fontId="0" fillId="14" borderId="0" xfId="0" applyNumberFormat="1" applyFill="1"/>
    <xf numFmtId="0" fontId="0" fillId="0" borderId="0" xfId="0" pivotButton="1"/>
    <xf numFmtId="0" fontId="0" fillId="0" borderId="0" xfId="0" applyAlignment="1">
      <alignment horizontal="left"/>
    </xf>
    <xf numFmtId="43" fontId="12" fillId="0" borderId="0" xfId="28" applyFont="1"/>
    <xf numFmtId="0" fontId="25" fillId="0" borderId="0" xfId="0" applyFont="1"/>
    <xf numFmtId="0" fontId="26" fillId="0" borderId="0" xfId="0" applyFont="1"/>
    <xf numFmtId="0" fontId="27" fillId="0" borderId="0" xfId="0" applyFont="1"/>
    <xf numFmtId="0" fontId="24" fillId="0" borderId="0" xfId="0" applyFont="1"/>
    <xf numFmtId="0" fontId="0" fillId="28" borderId="0" xfId="0" applyFill="1"/>
    <xf numFmtId="0" fontId="25" fillId="28" borderId="0" xfId="0" applyFont="1" applyFill="1"/>
    <xf numFmtId="0" fontId="8" fillId="14" borderId="0" xfId="35" applyFill="1"/>
    <xf numFmtId="0" fontId="0" fillId="29" borderId="0" xfId="0" applyFill="1"/>
    <xf numFmtId="49" fontId="28" fillId="0" borderId="0" xfId="0" applyNumberFormat="1" applyFont="1"/>
    <xf numFmtId="0" fontId="25" fillId="30" borderId="0" xfId="0" applyFont="1" applyFill="1"/>
    <xf numFmtId="0" fontId="25" fillId="29" borderId="0" xfId="0" applyFont="1" applyFill="1"/>
    <xf numFmtId="0" fontId="0" fillId="0" borderId="10" xfId="0" pivotButton="1" applyBorder="1"/>
    <xf numFmtId="0" fontId="0" fillId="0" borderId="11" xfId="0" applyBorder="1"/>
    <xf numFmtId="0" fontId="0" fillId="0" borderId="12" xfId="0" applyBorder="1"/>
    <xf numFmtId="0" fontId="0" fillId="0" borderId="10" xfId="0" applyBorder="1"/>
    <xf numFmtId="3" fontId="0" fillId="0" borderId="12" xfId="0" applyNumberFormat="1" applyBorder="1"/>
    <xf numFmtId="0" fontId="0" fillId="0" borderId="13" xfId="0" applyBorder="1"/>
    <xf numFmtId="0" fontId="0" fillId="0" borderId="14" xfId="0" applyBorder="1"/>
    <xf numFmtId="3" fontId="0" fillId="0" borderId="15" xfId="0" applyNumberFormat="1" applyBorder="1"/>
    <xf numFmtId="0" fontId="0" fillId="0" borderId="16" xfId="0" applyBorder="1"/>
    <xf numFmtId="0" fontId="0" fillId="0" borderId="17" xfId="0" applyBorder="1"/>
    <xf numFmtId="3" fontId="0" fillId="0" borderId="18" xfId="0" applyNumberFormat="1" applyBorder="1"/>
    <xf numFmtId="0" fontId="0" fillId="0" borderId="18" xfId="0" pivotButton="1" applyBorder="1"/>
    <xf numFmtId="0" fontId="0" fillId="0" borderId="18" xfId="0" applyBorder="1"/>
    <xf numFmtId="0" fontId="16" fillId="31" borderId="19" xfId="0" applyFont="1" applyFill="1" applyBorder="1"/>
    <xf numFmtId="0" fontId="0" fillId="0" borderId="19" xfId="0" applyBorder="1"/>
    <xf numFmtId="0" fontId="0" fillId="32" borderId="19" xfId="0" applyFill="1" applyBorder="1"/>
    <xf numFmtId="0" fontId="16" fillId="31" borderId="20" xfId="0" applyFont="1" applyFill="1" applyBorder="1"/>
    <xf numFmtId="0" fontId="0" fillId="32" borderId="20" xfId="0" applyFill="1" applyBorder="1"/>
    <xf numFmtId="0" fontId="0" fillId="0" borderId="20" xfId="0" applyBorder="1"/>
    <xf numFmtId="0" fontId="0" fillId="0" borderId="0" xfId="0" applyAlignment="1">
      <alignment horizontal="center" vertical="center" wrapText="1"/>
    </xf>
    <xf numFmtId="0" fontId="28" fillId="0" borderId="0" xfId="0" applyFont="1"/>
    <xf numFmtId="0" fontId="29" fillId="0" borderId="0" xfId="0" applyFont="1"/>
    <xf numFmtId="0" fontId="29" fillId="0" borderId="0" xfId="0" applyFont="1" applyAlignment="1">
      <alignment horizontal="right"/>
    </xf>
    <xf numFmtId="0" fontId="0" fillId="0" borderId="21" xfId="0" applyBorder="1"/>
    <xf numFmtId="164" fontId="0" fillId="0" borderId="0" xfId="44" applyNumberFormat="1" applyFont="1" applyFill="1"/>
    <xf numFmtId="0" fontId="0" fillId="0" borderId="21" xfId="0" applyBorder="1" applyAlignment="1">
      <alignment wrapText="1"/>
    </xf>
    <xf numFmtId="0" fontId="25" fillId="0" borderId="0" xfId="0" applyFont="1" applyAlignment="1">
      <alignment wrapText="1"/>
    </xf>
    <xf numFmtId="0" fontId="30" fillId="0" borderId="0" xfId="0" applyFont="1"/>
    <xf numFmtId="20" fontId="0" fillId="0" borderId="21" xfId="0" applyNumberFormat="1" applyBorder="1"/>
    <xf numFmtId="0" fontId="0" fillId="34" borderId="0" xfId="0" applyFill="1"/>
    <xf numFmtId="0" fontId="0" fillId="13" borderId="19" xfId="0" applyFill="1" applyBorder="1"/>
    <xf numFmtId="0" fontId="0" fillId="14" borderId="19" xfId="0" applyFill="1" applyBorder="1"/>
    <xf numFmtId="0" fontId="0" fillId="28" borderId="19" xfId="0" applyFill="1" applyBorder="1"/>
    <xf numFmtId="0" fontId="0" fillId="29" borderId="19" xfId="0" applyFill="1" applyBorder="1"/>
    <xf numFmtId="0" fontId="0" fillId="33" borderId="0" xfId="0" applyFill="1" applyAlignment="1">
      <alignment horizontal="center" vertical="center" wrapText="1"/>
    </xf>
    <xf numFmtId="0" fontId="34" fillId="0" borderId="0" xfId="0" applyFont="1" applyAlignment="1">
      <alignment horizontal="center" vertical="center" wrapText="1"/>
    </xf>
    <xf numFmtId="0" fontId="0" fillId="0" borderId="0" xfId="0" applyAlignment="1">
      <alignment horizontal="center"/>
    </xf>
    <xf numFmtId="167" fontId="0" fillId="34" borderId="0" xfId="0" applyNumberFormat="1" applyFill="1"/>
    <xf numFmtId="49" fontId="0" fillId="0" borderId="0" xfId="0" quotePrefix="1" applyNumberFormat="1"/>
    <xf numFmtId="0" fontId="0" fillId="0" borderId="0" xfId="0" applyAlignment="1"/>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44" xr:uid="{1E3C0328-344A-0943-B640-8D3FF590C796}"/>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20">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29" formatCode="mm:ss.0"/>
    </dxf>
    <dxf>
      <numFmt numFmtId="27" formatCode="dd/mm/yyyy\ hh:mm"/>
    </dxf>
    <dxf>
      <numFmt numFmtId="27" formatCode="dd/mm/yyyy\ hh:mm"/>
    </dxf>
    <dxf>
      <numFmt numFmtId="30" formatCode="@"/>
    </dxf>
    <dxf>
      <numFmt numFmtId="30" formatCode="@"/>
    </dxf>
    <dxf>
      <numFmt numFmtId="30" formatCode="@"/>
    </dxf>
    <dxf>
      <numFmt numFmtId="30" formatCode="@"/>
    </dxf>
    <dxf>
      <numFmt numFmtId="30" formatCode="@"/>
    </dxf>
    <dxf>
      <numFmt numFmtId="29" formatCode="mm:ss.0"/>
    </dxf>
    <dxf>
      <numFmt numFmtId="27" formatCode="dd/mm/yyyy\ hh:mm"/>
    </dxf>
    <dxf>
      <numFmt numFmtId="27" formatCode="dd/mm/yyyy\ hh:mm"/>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3</xdr:col>
      <xdr:colOff>812800</xdr:colOff>
      <xdr:row>0</xdr:row>
      <xdr:rowOff>0</xdr:rowOff>
    </xdr:from>
    <xdr:to>
      <xdr:col>5</xdr:col>
      <xdr:colOff>863600</xdr:colOff>
      <xdr:row>10</xdr:row>
      <xdr:rowOff>152400</xdr:rowOff>
    </xdr:to>
    <mc:AlternateContent xmlns:mc="http://schemas.openxmlformats.org/markup-compatibility/2006" xmlns:sle15="http://schemas.microsoft.com/office/drawing/2012/slicer">
      <mc:Choice Requires="sle15">
        <xdr:graphicFrame macro="">
          <xdr:nvGraphicFramePr>
            <xdr:cNvPr id="2" name="eval_pop">
              <a:extLst>
                <a:ext uri="{FF2B5EF4-FFF2-40B4-BE49-F238E27FC236}">
                  <a16:creationId xmlns:a16="http://schemas.microsoft.com/office/drawing/2014/main" id="{C74FFF3D-61A6-AC38-C8B7-1C75F2C0BFE5}"/>
                </a:ext>
              </a:extLst>
            </xdr:cNvPr>
            <xdr:cNvGraphicFramePr/>
          </xdr:nvGraphicFramePr>
          <xdr:xfrm>
            <a:off x="0" y="0"/>
            <a:ext cx="0" cy="0"/>
          </xdr:xfrm>
          <a:graphic>
            <a:graphicData uri="http://schemas.microsoft.com/office/drawing/2010/slicer">
              <sle:slicer xmlns:sle="http://schemas.microsoft.com/office/drawing/2010/slicer" name="eval_pop"/>
            </a:graphicData>
          </a:graphic>
        </xdr:graphicFrame>
      </mc:Choice>
      <mc:Fallback xmlns="">
        <xdr:sp macro="" textlink="">
          <xdr:nvSpPr>
            <xdr:cNvPr id="0" name=""/>
            <xdr:cNvSpPr>
              <a:spLocks noTextEdit="1"/>
            </xdr:cNvSpPr>
          </xdr:nvSpPr>
          <xdr:spPr>
            <a:xfrm>
              <a:off x="5524500" y="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25400</xdr:colOff>
      <xdr:row>0</xdr:row>
      <xdr:rowOff>0</xdr:rowOff>
    </xdr:from>
    <xdr:to>
      <xdr:col>7</xdr:col>
      <xdr:colOff>749300</xdr:colOff>
      <xdr:row>10</xdr:row>
      <xdr:rowOff>177800</xdr:rowOff>
    </xdr:to>
    <mc:AlternateContent xmlns:mc="http://schemas.openxmlformats.org/markup-compatibility/2006" xmlns:sle15="http://schemas.microsoft.com/office/drawing/2012/slicer">
      <mc:Choice Requires="sle15">
        <xdr:graphicFrame macro="">
          <xdr:nvGraphicFramePr>
            <xdr:cNvPr id="3" name="out_of_scope">
              <a:extLst>
                <a:ext uri="{FF2B5EF4-FFF2-40B4-BE49-F238E27FC236}">
                  <a16:creationId xmlns:a16="http://schemas.microsoft.com/office/drawing/2014/main" id="{E76D5627-803C-D8F1-4CB3-AD5CE3CF7BAB}"/>
                </a:ext>
              </a:extLst>
            </xdr:cNvPr>
            <xdr:cNvGraphicFramePr/>
          </xdr:nvGraphicFramePr>
          <xdr:xfrm>
            <a:off x="0" y="0"/>
            <a:ext cx="0" cy="0"/>
          </xdr:xfrm>
          <a:graphic>
            <a:graphicData uri="http://schemas.microsoft.com/office/drawing/2010/slicer">
              <sle:slicer xmlns:sle="http://schemas.microsoft.com/office/drawing/2010/slicer" name="out_of_scope"/>
            </a:graphicData>
          </a:graphic>
        </xdr:graphicFrame>
      </mc:Choice>
      <mc:Fallback xmlns="">
        <xdr:sp macro="" textlink="">
          <xdr:nvSpPr>
            <xdr:cNvPr id="0" name=""/>
            <xdr:cNvSpPr>
              <a:spLocks noTextEdit="1"/>
            </xdr:cNvSpPr>
          </xdr:nvSpPr>
          <xdr:spPr>
            <a:xfrm>
              <a:off x="7950200" y="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254000</xdr:colOff>
      <xdr:row>0</xdr:row>
      <xdr:rowOff>0</xdr:rowOff>
    </xdr:from>
    <xdr:to>
      <xdr:col>12</xdr:col>
      <xdr:colOff>431800</xdr:colOff>
      <xdr:row>12</xdr:row>
      <xdr:rowOff>180972</xdr:rowOff>
    </xdr:to>
    <mc:AlternateContent xmlns:mc="http://schemas.openxmlformats.org/markup-compatibility/2006" xmlns:sle15="http://schemas.microsoft.com/office/drawing/2012/slicer">
      <mc:Choice Requires="sle15">
        <xdr:graphicFrame macro="">
          <xdr:nvGraphicFramePr>
            <xdr:cNvPr id="4" name="PDF name">
              <a:extLst>
                <a:ext uri="{FF2B5EF4-FFF2-40B4-BE49-F238E27FC236}">
                  <a16:creationId xmlns:a16="http://schemas.microsoft.com/office/drawing/2014/main" id="{7FFCB0CB-1BD0-3C52-BE40-D8F0E291F7A7}"/>
                </a:ext>
              </a:extLst>
            </xdr:cNvPr>
            <xdr:cNvGraphicFramePr/>
          </xdr:nvGraphicFramePr>
          <xdr:xfrm>
            <a:off x="0" y="0"/>
            <a:ext cx="0" cy="0"/>
          </xdr:xfrm>
          <a:graphic>
            <a:graphicData uri="http://schemas.microsoft.com/office/drawing/2010/slicer">
              <sle:slicer xmlns:sle="http://schemas.microsoft.com/office/drawing/2010/slicer" name="PDF name"/>
            </a:graphicData>
          </a:graphic>
        </xdr:graphicFrame>
      </mc:Choice>
      <mc:Fallback xmlns="">
        <xdr:sp macro="" textlink="">
          <xdr:nvSpPr>
            <xdr:cNvPr id="0" name=""/>
            <xdr:cNvSpPr>
              <a:spLocks noTextEdit="1"/>
            </xdr:cNvSpPr>
          </xdr:nvSpPr>
          <xdr:spPr>
            <a:xfrm>
              <a:off x="14020800" y="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25400</xdr:colOff>
      <xdr:row>0</xdr:row>
      <xdr:rowOff>0</xdr:rowOff>
    </xdr:from>
    <xdr:to>
      <xdr:col>2</xdr:col>
      <xdr:colOff>850900</xdr:colOff>
      <xdr:row>10</xdr:row>
      <xdr:rowOff>12700</xdr:rowOff>
    </xdr:to>
    <mc:AlternateContent xmlns:mc="http://schemas.openxmlformats.org/markup-compatibility/2006" xmlns:sle15="http://schemas.microsoft.com/office/drawing/2012/slicer">
      <mc:Choice Requires="sle15">
        <xdr:graphicFrame macro="">
          <xdr:nvGraphicFramePr>
            <xdr:cNvPr id="5" name="is_in_allocs">
              <a:extLst>
                <a:ext uri="{FF2B5EF4-FFF2-40B4-BE49-F238E27FC236}">
                  <a16:creationId xmlns:a16="http://schemas.microsoft.com/office/drawing/2014/main" id="{CDCEA610-B5FD-A350-02B1-9868449AE604}"/>
                </a:ext>
              </a:extLst>
            </xdr:cNvPr>
            <xdr:cNvGraphicFramePr/>
          </xdr:nvGraphicFramePr>
          <xdr:xfrm>
            <a:off x="0" y="0"/>
            <a:ext cx="0" cy="0"/>
          </xdr:xfrm>
          <a:graphic>
            <a:graphicData uri="http://schemas.microsoft.com/office/drawing/2010/slicer">
              <sle:slicer xmlns:sle="http://schemas.microsoft.com/office/drawing/2010/slicer" name="is_in_allocs"/>
            </a:graphicData>
          </a:graphic>
        </xdr:graphicFrame>
      </mc:Choice>
      <mc:Fallback xmlns="">
        <xdr:sp macro="" textlink="">
          <xdr:nvSpPr>
            <xdr:cNvPr id="0" name=""/>
            <xdr:cNvSpPr>
              <a:spLocks noTextEdit="1"/>
            </xdr:cNvSpPr>
          </xdr:nvSpPr>
          <xdr:spPr>
            <a:xfrm>
              <a:off x="2603500" y="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Elisabeth Watson" id="{3F374D89-5C3C-7E4A-B567-C4354A881813}" userId="1b8e355cbcce9a8c" providerId="Windows Live"/>
  <person displayName="Manek, Janvi (Corp FIN, IND)" id="{2B7FBC34-97F8-4740-9AF1-EAB30549931C}" userId="S::E955767@NAEAST.AD.JPMORGANCHASE.com::b1aa94d0-f8cf-43ef-88e3-b03f7e19352d" providerId="AD"/>
  <person displayName="Kam, Katherine" id="{3BB317D7-67EE-1549-9082-675539A31924}" userId="S::N804346@NAEAST.AD.JPMORGANCHASE.com::96524dce-956d-4f85-8f5d-b65859cc10ff" providerId="AD"/>
  <person displayName="Kamath, Akshay (Corp FIN, IND)" id="{CB5ACE96-A5B0-7D4D-970B-938D06F8D252}" userId="S::R658678@ASIAPAC.AD.JPMORGANCHASE.com::406e0fed-d342-4438-a46e-24ed4f0cf5f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sabeth Watson" refreshedDate="46230.783263773148" createdVersion="1" refreshedVersion="4" recordCount="2278" upgradeOnRefresh="1" xr:uid="{C70A677D-3A84-204E-A70A-96C05BB96194}">
  <cacheSource type="worksheet">
    <worksheetSource ref="A2:AC2280" sheet="allocationsJune7"/>
  </cacheSource>
  <cacheFields count="26">
    <cacheField name="is_in_allocs" numFmtId="0">
      <sharedItems/>
    </cacheField>
    <cacheField name="pipeline_devlt" numFmtId="0">
      <sharedItems count="3">
        <b v="0"/>
        <e v="#N/A"/>
        <b v="1"/>
      </sharedItems>
    </cacheField>
    <cacheField name="is_green" numFmtId="0">
      <sharedItems count="3">
        <b v="1"/>
        <e v="#N/A"/>
        <b v="0"/>
      </sharedItems>
    </cacheField>
    <cacheField name="eval_pop" numFmtId="0">
      <sharedItems count="4">
        <b v="0"/>
        <s v="TRUE - Wave 2"/>
        <s v="TRUE - Wave 1"/>
        <e v="#N/A"/>
      </sharedItems>
    </cacheField>
    <cacheField name="testing_refine_pop" numFmtId="0">
      <sharedItems count="2">
        <b v="0"/>
        <e v="#N/A"/>
      </sharedItems>
    </cacheField>
    <cacheField name="out_of_scope" numFmtId="0">
      <sharedItems count="4">
        <s v="TRUE - No Docs"/>
        <b v="0"/>
        <e v="#N/A"/>
        <b v="1"/>
      </sharedItems>
    </cacheField>
    <cacheField name="ISIN" numFmtId="0">
      <sharedItems containsMixedTypes="1" containsNumber="1" containsInteger="1" minValue="0" maxValue="0" count="62">
        <s v="COB07CB00587"/>
        <s v="MX90GC040000"/>
        <s v="BRNEOEDBS047"/>
        <s v="COB07CB00603"/>
        <s v="COB07CB00611"/>
        <s v="USP14486AM92"/>
        <s v="BRATAMDBS010"/>
        <s v="MX95FE040186"/>
        <s v="MX95FE0401J4"/>
        <s v="USP14623AC98"/>
        <e v="#N/A"/>
        <s v="PEP11100M336"/>
        <s v="XS2045838039"/>
        <s v="BRSAQIDBS008"/>
        <n v="0"/>
        <s v="USP58072AL66"/>
        <s v="PEP50420M017"/>
        <s v="BRNITADBS003"/>
        <s v="MX90GC040018"/>
        <s v="CL0002435833"/>
        <s v="US05674XAA90"/>
        <s v="BRTRPLDBS0D1"/>
        <s v="CL0002521988"/>
        <s v="BRTRPLDBS071"/>
        <s v="BRTRPLDBS089"/>
        <s v="BRECOACRA1I9"/>
        <s v="BRTRPLDBS0E9"/>
        <s v="31572UAF3"/>
        <s v="ARAESA560032"/>
        <s v="ARCPMA560017"/>
        <s v="ARCPMA560025"/>
        <s v="CL0002564384"/>
        <s v="BRGAFLCRA0Z3"/>
        <s v="BRIGSNDBS044"/>
        <s v="BRPASNDBS018"/>
        <s v="US90363PAA49"/>
        <s v="USL5828LAB55"/>
        <s v="USA35155AB50"/>
        <s v="BRAPCSCRI8Y6"/>
        <s v="BRHITCDBS001"/>
        <s v="BRSUCUDBS001"/>
        <s v="BRERENDBS073"/>
        <s v="BRITMGDBS028"/>
        <s v="BRCGEPDBS000"/>
        <s v="BRESVHDBS002"/>
        <s v="MX91AG050018"/>
        <s v="COB01CB00135"/>
        <s v="BR07S4CTF001"/>
        <s v="BRJTEEDBS010"/>
        <s v="BRTAEEDBS0G5"/>
        <s v="BRTAEEDBS0H3"/>
        <s v="BRTAEEDBS0I1"/>
        <s v="BRTAEEDBS0M3"/>
        <s v="ARPLAZ560060"/>
        <s v="BRGAFLCRI009"/>
        <s v="BRAPCSCRI606"/>
        <s v="BRTRPLDBS0G4"/>
        <s v="USL79090AC78"/>
        <s v="BRESB1DBS004"/>
        <s v="MX95FE0401P1"/>
        <s v="US00105DAG07"/>
        <s v="US191241AJ70"/>
      </sharedItems>
    </cacheField>
    <cacheField name="FIGI" numFmtId="0">
      <sharedItems containsMixedTypes="1" containsNumber="1" containsInteger="1" minValue="0" maxValue="0"/>
    </cacheField>
    <cacheField name="Ticker" numFmtId="0">
      <sharedItems containsMixedTypes="1" containsNumber="1" containsInteger="1" minValue="0" maxValue="0" count="31">
        <n v="0"/>
        <s v="90_GCDMXCB_16V"/>
        <e v="#N/A"/>
        <s v="PR_PL_MLP"/>
        <s v="PR_PL_BICE"/>
        <s v="90_GCDMXCB_17X"/>
        <s v="CTEE29"/>
        <s v="CIFI_GB"/>
        <s v="CTEE17"/>
        <s v="CTEE18"/>
        <s v="CTEEA0"/>
        <s v="OMC10"/>
        <s v="OMC20"/>
        <s v="CHPT11"/>
        <s v="CHSU11"/>
        <s v="CRI_ATHON1"/>
        <s v="PCD"/>
        <s v="PR_PL_ATHON"/>
        <s v="CAF GB Program"/>
        <s v="ITGE13"/>
        <s v="CGEP12"/>
        <s v="WREL#1"/>
        <s v="BTGP Green"/>
        <s v="AGUA 17-2X"/>
        <s v="CBI_Chile"/>
        <s v="PZC6O"/>
        <s v="RAILBZ 5 1/4"/>
        <s v="ISA GB2020"/>
        <s v="KOF"/>
        <s v="PR_PL_DAVIVIEND"/>
        <s v="PR_PL_ERGONPERU"/>
      </sharedItems>
    </cacheField>
    <cacheField name="bond_handle" numFmtId="0">
      <sharedItems/>
    </cacheField>
    <cacheField name="bond_name" numFmtId="0">
      <sharedItems/>
    </cacheField>
    <cacheField name="nomenclature" numFmtId="0">
      <sharedItems count="4">
        <s v="Climate Bonds Initiative Project Classification"/>
        <s v="ICMA Green Bonds Principles Project Categories"/>
        <s v="EU Taxonomy Green Bonds Standard"/>
        <s v="ISO"/>
      </sharedItems>
    </cacheField>
    <cacheField name="category" numFmtId="0">
      <sharedItems count="18">
        <s v="Energy"/>
        <s v="Renewable energy"/>
        <s v="Water"/>
        <s v="Water and wastewater"/>
        <s v="Energy efficiency"/>
        <s v="Transport"/>
        <s v="Clean transportation"/>
        <s v="Buildings"/>
        <s v="Green buildings"/>
        <s v="Other"/>
        <s v="Land-use"/>
        <s v="Environmental management"/>
        <s v="Pollution"/>
        <s v="ICT"/>
        <s v="Social"/>
        <s v="Waste"/>
        <s v="Eco-efficient economy"/>
        <s v="Climate change adaptation"/>
      </sharedItems>
    </cacheField>
    <cacheField name="subcategory" numFmtId="0">
      <sharedItems/>
    </cacheField>
    <cacheField name="project" numFmtId="0">
      <sharedItems/>
    </cacheField>
    <cacheField name="location" numFmtId="0">
      <sharedItems/>
    </cacheField>
    <cacheField name="date_allocation" numFmtId="0">
      <sharedItems containsSemiMixedTypes="0" containsNonDate="0" containsDate="1" containsString="0" minDate="2014-04-22T00:00:00" maxDate="2022-01-01T00:00:00"/>
    </cacheField>
    <cacheField name="date_disbursement" numFmtId="0">
      <sharedItems containsNonDate="0" containsDate="1" containsString="0" containsBlank="1" minDate="2015-09-01T00:00:00" maxDate="2022-01-01T00:00:00"/>
    </cacheField>
    <cacheField name="allocation_currency" numFmtId="0">
      <sharedItems/>
    </cacheField>
    <cacheField name="allocated_allocation_currency" numFmtId="0">
      <sharedItems containsSemiMixedTypes="0" containsString="0" containsNumber="1" minValue="-144000000000" maxValue="299997669786"/>
    </cacheField>
    <cacheField name="disbursed_allocation_currency" numFmtId="0">
      <sharedItems containsString="0" containsBlank="1" containsNumber="1" minValue="-144000000000" maxValue="299997669786"/>
    </cacheField>
    <cacheField name="bond_currency" numFmtId="0">
      <sharedItems/>
    </cacheField>
    <cacheField name="disbursed_bond_currency" numFmtId="0">
      <sharedItems containsString="0" containsBlank="1" containsNumber="1" minValue="-144000000000" maxValue="299997669786"/>
    </cacheField>
    <cacheField name="disbursed_usd" numFmtId="0">
      <sharedItems containsString="0" containsBlank="1" containsNumber="1" containsInteger="1" minValue="-50139624" maxValue="350000000"/>
    </cacheField>
    <cacheField name="refinancing" numFmtId="0">
      <sharedItems/>
    </cacheField>
    <cacheField name="cofinancing_percentage" numFmtId="0">
      <sharedItems containsString="0" containsBlank="1" containsNumber="1" minValue="0.0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78">
  <r>
    <b v="1"/>
    <x v="0"/>
    <x v="0"/>
    <x v="0"/>
    <x v="0"/>
    <x v="0"/>
    <x v="0"/>
    <n v="0"/>
    <x v="0"/>
    <s v="1fd5c178da6148569a42c52f45981714"/>
    <s v="Bancolombia Bono Verde 1"/>
    <x v="0"/>
    <x v="0"/>
    <s v="Hydro"/>
    <s v="GB 1 Proyecto 1"/>
    <s v="Colombia"/>
    <d v="2016-12-05T00:00:00"/>
    <d v="2016-12-05T00:00:00"/>
    <s v="COP"/>
    <n v="5271430000"/>
    <n v="5271430000"/>
    <s v="COP"/>
    <n v="5271430000"/>
    <n v="1722104"/>
    <b v="1"/>
    <n v="0.92"/>
  </r>
  <r>
    <b v="1"/>
    <x v="0"/>
    <x v="0"/>
    <x v="0"/>
    <x v="0"/>
    <x v="0"/>
    <x v="0"/>
    <n v="0"/>
    <x v="0"/>
    <s v="1fd5c178da6148569a42c52f45981714"/>
    <s v="Bancolombia Bono Verde 1"/>
    <x v="1"/>
    <x v="1"/>
    <s v="Generation"/>
    <s v="GB 1 Proyecto 1"/>
    <s v="Colombia"/>
    <d v="2016-12-05T00:00:00"/>
    <d v="2016-12-05T00:00:00"/>
    <s v="COP"/>
    <n v="5271430000"/>
    <n v="5271430000"/>
    <s v="COP"/>
    <n v="5271430000"/>
    <n v="1722104"/>
    <b v="1"/>
    <n v="0.92"/>
  </r>
  <r>
    <b v="1"/>
    <x v="0"/>
    <x v="0"/>
    <x v="0"/>
    <x v="0"/>
    <x v="0"/>
    <x v="0"/>
    <n v="0"/>
    <x v="0"/>
    <s v="1fd5c178da6148569a42c52f45981714"/>
    <s v="Bancolombia Bono Verde 1"/>
    <x v="0"/>
    <x v="0"/>
    <s v="Hydro"/>
    <s v="GB 1 Proyecto 2"/>
    <s v="Colombia"/>
    <d v="2016-12-05T00:00:00"/>
    <d v="2016-12-05T00:00:00"/>
    <s v="COP"/>
    <n v="2488157000"/>
    <n v="2488157000"/>
    <s v="COP"/>
    <n v="2488157000"/>
    <n v="812847"/>
    <b v="1"/>
    <n v="0.92"/>
  </r>
  <r>
    <b v="1"/>
    <x v="0"/>
    <x v="0"/>
    <x v="0"/>
    <x v="0"/>
    <x v="0"/>
    <x v="0"/>
    <n v="0"/>
    <x v="0"/>
    <s v="1fd5c178da6148569a42c52f45981714"/>
    <s v="Bancolombia Bono Verde 1"/>
    <x v="1"/>
    <x v="1"/>
    <s v="Generation"/>
    <s v="GB 1 Proyecto 2"/>
    <s v="Colombia"/>
    <d v="2016-12-05T00:00:00"/>
    <d v="2016-12-05T00:00:00"/>
    <s v="COP"/>
    <n v="2488157000"/>
    <n v="2488157000"/>
    <s v="COP"/>
    <n v="2488157000"/>
    <n v="812847"/>
    <b v="1"/>
    <n v="0.92"/>
  </r>
  <r>
    <b v="1"/>
    <x v="0"/>
    <x v="0"/>
    <x v="0"/>
    <x v="0"/>
    <x v="0"/>
    <x v="0"/>
    <n v="0"/>
    <x v="0"/>
    <s v="1fd5c178da6148569a42c52f45981714"/>
    <s v="Bancolombia Bono Verde 1"/>
    <x v="0"/>
    <x v="0"/>
    <s v="Hydro"/>
    <s v="GB 1 Proyecto 4"/>
    <s v="Colombia"/>
    <d v="2016-12-05T00:00:00"/>
    <d v="2016-12-05T00:00:00"/>
    <s v="COP"/>
    <n v="79175253000"/>
    <n v="79175253000"/>
    <s v="COP"/>
    <n v="79175253000"/>
    <n v="25865474"/>
    <b v="1"/>
    <n v="0.92"/>
  </r>
  <r>
    <b v="1"/>
    <x v="0"/>
    <x v="0"/>
    <x v="0"/>
    <x v="0"/>
    <x v="0"/>
    <x v="0"/>
    <n v="0"/>
    <x v="0"/>
    <s v="1fd5c178da6148569a42c52f45981714"/>
    <s v="Bancolombia Bono Verde 1"/>
    <x v="1"/>
    <x v="1"/>
    <s v="Generation"/>
    <s v="GB 1 Proyecto 4"/>
    <s v="Colombia"/>
    <d v="2016-12-05T00:00:00"/>
    <d v="2016-12-05T00:00:00"/>
    <s v="COP"/>
    <n v="79175253000"/>
    <n v="79175253000"/>
    <s v="COP"/>
    <n v="79175253000"/>
    <n v="25865474"/>
    <b v="1"/>
    <n v="0.92"/>
  </r>
  <r>
    <b v="1"/>
    <x v="0"/>
    <x v="0"/>
    <x v="0"/>
    <x v="0"/>
    <x v="0"/>
    <x v="0"/>
    <n v="0"/>
    <x v="0"/>
    <s v="1fd5c178da6148569a42c52f45981714"/>
    <s v="Bancolombia Bono Verde 1"/>
    <x v="0"/>
    <x v="0"/>
    <s v="Hydro"/>
    <s v="GB 1 Proyecto 7"/>
    <s v="Colombia"/>
    <d v="2016-12-05T00:00:00"/>
    <d v="2016-12-05T00:00:00"/>
    <s v="COP"/>
    <n v="85156698000"/>
    <n v="85156698000"/>
    <s v="COP"/>
    <n v="85156698000"/>
    <n v="27819531"/>
    <b v="1"/>
    <n v="0.92"/>
  </r>
  <r>
    <b v="1"/>
    <x v="0"/>
    <x v="0"/>
    <x v="0"/>
    <x v="0"/>
    <x v="0"/>
    <x v="0"/>
    <n v="0"/>
    <x v="0"/>
    <s v="1fd5c178da6148569a42c52f45981714"/>
    <s v="Bancolombia Bono Verde 1"/>
    <x v="1"/>
    <x v="1"/>
    <s v="Generation"/>
    <s v="GB 1 Proyecto 7"/>
    <s v="Colombia"/>
    <d v="2016-12-05T00:00:00"/>
    <d v="2016-12-05T00:00:00"/>
    <s v="COP"/>
    <n v="85156698000"/>
    <n v="85156698000"/>
    <s v="COP"/>
    <n v="85156698000"/>
    <n v="27819531"/>
    <b v="1"/>
    <n v="0.92"/>
  </r>
  <r>
    <b v="1"/>
    <x v="0"/>
    <x v="0"/>
    <x v="0"/>
    <x v="0"/>
    <x v="0"/>
    <x v="0"/>
    <n v="0"/>
    <x v="0"/>
    <s v="1fd5c178da6148569a42c52f45981714"/>
    <s v="Bancolombia Bono Verde 1"/>
    <x v="0"/>
    <x v="0"/>
    <s v="Hydro"/>
    <s v="GB 1 Proyecto 8"/>
    <s v="Colombia"/>
    <d v="2016-12-05T00:00:00"/>
    <d v="2016-12-05T00:00:00"/>
    <s v="COP"/>
    <n v="21379716000"/>
    <n v="21379716000"/>
    <s v="COP"/>
    <n v="21379716000"/>
    <n v="6984461"/>
    <b v="1"/>
    <n v="0.92"/>
  </r>
  <r>
    <b v="1"/>
    <x v="0"/>
    <x v="0"/>
    <x v="0"/>
    <x v="0"/>
    <x v="0"/>
    <x v="0"/>
    <n v="0"/>
    <x v="0"/>
    <s v="1fd5c178da6148569a42c52f45981714"/>
    <s v="Bancolombia Bono Verde 1"/>
    <x v="1"/>
    <x v="1"/>
    <s v="Generation"/>
    <s v="GB 1 Proyecto 8"/>
    <s v="Colombia"/>
    <d v="2016-12-05T00:00:00"/>
    <d v="2016-12-05T00:00:00"/>
    <s v="COP"/>
    <n v="21379716000"/>
    <n v="21379716000"/>
    <s v="COP"/>
    <n v="21379716000"/>
    <n v="6984461"/>
    <b v="1"/>
    <n v="0.92"/>
  </r>
  <r>
    <b v="1"/>
    <x v="0"/>
    <x v="0"/>
    <x v="0"/>
    <x v="0"/>
    <x v="0"/>
    <x v="1"/>
    <s v="BBG00FWZHJQ5"/>
    <x v="1"/>
    <s v="fe8a86a4318f49fb850f1dfa256f263b"/>
    <s v="GCDMXCB 16V"/>
    <x v="0"/>
    <x v="2"/>
    <s v="Flood defence"/>
    <s v="Construcci√≥n de la planta de bombeo y laguna de regulaci√≥n en la U.H. Vicente Guerrero - 16"/>
    <s v="Mexico"/>
    <d v="2016-12-31T00:00:00"/>
    <d v="2016-12-31T00:00:00"/>
    <s v="MXN"/>
    <n v="156000000"/>
    <n v="136861823"/>
    <s v="MXN"/>
    <n v="136861823"/>
    <n v="7236160"/>
    <b v="0"/>
    <n v="0.24"/>
  </r>
  <r>
    <b v="1"/>
    <x v="0"/>
    <x v="0"/>
    <x v="0"/>
    <x v="0"/>
    <x v="0"/>
    <x v="1"/>
    <s v="BBG00FWZHJQ5"/>
    <x v="1"/>
    <s v="fe8a86a4318f49fb850f1dfa256f263b"/>
    <s v="GCDMXCB 16V"/>
    <x v="1"/>
    <x v="3"/>
    <s v="Flooding mitigation"/>
    <s v="Construcci√≥n de la planta de bombeo y laguna de regulaci√≥n en la U.H. Vicente Guerrero - 16"/>
    <s v="Mexico"/>
    <d v="2016-12-31T00:00:00"/>
    <d v="2016-12-31T00:00:00"/>
    <s v="MXN"/>
    <n v="156000000"/>
    <n v="136861823"/>
    <s v="MXN"/>
    <n v="136861823"/>
    <n v="7236160"/>
    <b v="0"/>
    <n v="0.24"/>
  </r>
  <r>
    <b v="1"/>
    <x v="0"/>
    <x v="0"/>
    <x v="0"/>
    <x v="0"/>
    <x v="0"/>
    <x v="1"/>
    <s v="BBG00FWZHJQ5"/>
    <x v="1"/>
    <s v="fe8a86a4318f49fb850f1dfa256f263b"/>
    <s v="GCDMXCB 16V"/>
    <x v="0"/>
    <x v="2"/>
    <s v="Treatment"/>
    <s v="Construcci√≥n de la Planta Potabilizadora Selene - 16"/>
    <s v="Mexico"/>
    <d v="2016-12-31T00:00:00"/>
    <d v="2016-12-31T00:00:00"/>
    <s v="MXN"/>
    <n v="107699998"/>
    <n v="92711165"/>
    <s v="MXN"/>
    <n v="92711165"/>
    <n v="4901826"/>
    <b v="0"/>
    <n v="0.45"/>
  </r>
  <r>
    <b v="1"/>
    <x v="0"/>
    <x v="0"/>
    <x v="0"/>
    <x v="0"/>
    <x v="0"/>
    <x v="1"/>
    <s v="BBG00FWZHJQ5"/>
    <x v="1"/>
    <s v="fe8a86a4318f49fb850f1dfa256f263b"/>
    <s v="GCDMXCB 16V"/>
    <x v="1"/>
    <x v="3"/>
    <s v="Infrastructure"/>
    <s v="Construcci√≥n de la Planta Potabilizadora Selene - 16"/>
    <s v="Mexico"/>
    <d v="2016-12-31T00:00:00"/>
    <d v="2016-12-31T00:00:00"/>
    <s v="MXN"/>
    <n v="107699998"/>
    <n v="92711165"/>
    <s v="MXN"/>
    <n v="92711165"/>
    <n v="4901826"/>
    <b v="0"/>
    <n v="0.45"/>
  </r>
  <r>
    <b v="1"/>
    <x v="0"/>
    <x v="0"/>
    <x v="0"/>
    <x v="0"/>
    <x v="0"/>
    <x v="1"/>
    <s v="BBG00FWZHJQ5"/>
    <x v="1"/>
    <s v="fe8a86a4318f49fb850f1dfa256f263b"/>
    <s v="GCDMXCB 16V"/>
    <x v="0"/>
    <x v="2"/>
    <s v="Storage"/>
    <s v="Reposici√≥n de 8 Pozos de Agua Potable - 16"/>
    <s v="Mexico"/>
    <d v="2016-12-31T00:00:00"/>
    <d v="2016-12-31T00:00:00"/>
    <s v="MXN"/>
    <n v="60080000"/>
    <n v="45415990"/>
    <s v="MXN"/>
    <n v="45415990"/>
    <n v="2401235"/>
    <b v="0"/>
    <n v="0.18"/>
  </r>
  <r>
    <b v="1"/>
    <x v="0"/>
    <x v="0"/>
    <x v="0"/>
    <x v="0"/>
    <x v="0"/>
    <x v="1"/>
    <s v="BBG00FWZHJQ5"/>
    <x v="1"/>
    <s v="fe8a86a4318f49fb850f1dfa256f263b"/>
    <s v="GCDMXCB 16V"/>
    <x v="1"/>
    <x v="3"/>
    <s v="Infrastructure"/>
    <s v="Reposici√≥n de 8 Pozos de Agua Potable - 16"/>
    <s v="Mexico"/>
    <d v="2016-12-31T00:00:00"/>
    <d v="2016-12-31T00:00:00"/>
    <s v="MXN"/>
    <n v="60080000"/>
    <n v="45415990"/>
    <s v="MXN"/>
    <n v="45415990"/>
    <n v="2401235"/>
    <b v="0"/>
    <n v="0.18"/>
  </r>
  <r>
    <b v="1"/>
    <x v="0"/>
    <x v="0"/>
    <x v="0"/>
    <x v="0"/>
    <x v="0"/>
    <x v="1"/>
    <s v="BBG00FWZHJQ5"/>
    <x v="1"/>
    <s v="fe8a86a4318f49fb850f1dfa256f263b"/>
    <s v="GCDMXCB 16V"/>
    <x v="0"/>
    <x v="2"/>
    <s v="Distribution"/>
    <s v="Construcci√≥n del C√°rcamo de bombeo el Molino"/>
    <s v="Mexico"/>
    <d v="2016-12-31T00:00:00"/>
    <d v="2016-12-31T00:00:00"/>
    <s v="MXN"/>
    <n v="32068924"/>
    <n v="8818972"/>
    <s v="MXN"/>
    <n v="8818972"/>
    <n v="466277"/>
    <b v="0"/>
    <n v="0.42"/>
  </r>
  <r>
    <b v="1"/>
    <x v="0"/>
    <x v="0"/>
    <x v="0"/>
    <x v="0"/>
    <x v="0"/>
    <x v="1"/>
    <s v="BBG00FWZHJQ5"/>
    <x v="1"/>
    <s v="fe8a86a4318f49fb850f1dfa256f263b"/>
    <s v="GCDMXCB 16V"/>
    <x v="1"/>
    <x v="3"/>
    <s v="Urban drainage"/>
    <s v="Construcci√≥n del C√°rcamo de bombeo el Molino"/>
    <s v="Mexico"/>
    <d v="2016-12-31T00:00:00"/>
    <d v="2016-12-31T00:00:00"/>
    <s v="MXN"/>
    <n v="32068924"/>
    <n v="8818972"/>
    <s v="MXN"/>
    <n v="8818972"/>
    <n v="466277"/>
    <b v="0"/>
    <n v="0.42"/>
  </r>
  <r>
    <b v="1"/>
    <x v="0"/>
    <x v="0"/>
    <x v="0"/>
    <x v="0"/>
    <x v="0"/>
    <x v="1"/>
    <s v="BBG00FWZHJQ5"/>
    <x v="1"/>
    <s v="fe8a86a4318f49fb850f1dfa256f263b"/>
    <s v="GCDMXCB 16V"/>
    <x v="0"/>
    <x v="2"/>
    <s v="Treatment"/>
    <s v="Planta Potabilizadora Rio Hondo - 16"/>
    <s v="Mexico"/>
    <d v="2016-12-31T00:00:00"/>
    <d v="2016-12-31T00:00:00"/>
    <s v="MXN"/>
    <n v="30000000"/>
    <n v="28170777"/>
    <s v="MXN"/>
    <n v="28170777"/>
    <n v="1489446"/>
    <b v="0"/>
    <n v="0.35"/>
  </r>
  <r>
    <b v="1"/>
    <x v="0"/>
    <x v="0"/>
    <x v="0"/>
    <x v="0"/>
    <x v="0"/>
    <x v="1"/>
    <s v="BBG00FWZHJQ5"/>
    <x v="1"/>
    <s v="fe8a86a4318f49fb850f1dfa256f263b"/>
    <s v="GCDMXCB 16V"/>
    <x v="1"/>
    <x v="3"/>
    <s v="Infrastructure"/>
    <s v="Planta Potabilizadora Rio Hondo - 16"/>
    <s v="Mexico"/>
    <d v="2016-12-31T00:00:00"/>
    <d v="2016-12-31T00:00:00"/>
    <s v="MXN"/>
    <n v="30000000"/>
    <n v="28170777"/>
    <s v="MXN"/>
    <n v="28170777"/>
    <n v="1489446"/>
    <b v="0"/>
    <n v="0.35"/>
  </r>
  <r>
    <b v="1"/>
    <x v="0"/>
    <x v="0"/>
    <x v="0"/>
    <x v="0"/>
    <x v="0"/>
    <x v="1"/>
    <s v="BBG00FWZHJQ5"/>
    <x v="1"/>
    <s v="fe8a86a4318f49fb850f1dfa256f263b"/>
    <s v="GCDMXCB 16V"/>
    <x v="0"/>
    <x v="2"/>
    <s v="Flood defence"/>
    <s v="Colector de agua Azcapotzalco-La Villa"/>
    <s v="Mexico"/>
    <d v="2016-12-31T00:00:00"/>
    <d v="2016-12-31T00:00:00"/>
    <s v="MXN"/>
    <n v="21000000"/>
    <n v="610359"/>
    <s v="MXN"/>
    <n v="610359"/>
    <n v="32271"/>
    <b v="0"/>
    <n v="0.21"/>
  </r>
  <r>
    <b v="1"/>
    <x v="0"/>
    <x v="0"/>
    <x v="0"/>
    <x v="0"/>
    <x v="0"/>
    <x v="1"/>
    <s v="BBG00FWZHJQ5"/>
    <x v="1"/>
    <s v="fe8a86a4318f49fb850f1dfa256f263b"/>
    <s v="GCDMXCB 16V"/>
    <x v="1"/>
    <x v="3"/>
    <s v="Flooding mitigation"/>
    <s v="Colector de agua Azcapotzalco-La Villa"/>
    <s v="Mexico"/>
    <d v="2016-12-31T00:00:00"/>
    <d v="2016-12-31T00:00:00"/>
    <s v="MXN"/>
    <n v="21000000"/>
    <n v="610359"/>
    <s v="MXN"/>
    <n v="610359"/>
    <n v="32271"/>
    <b v="0"/>
    <n v="0.21"/>
  </r>
  <r>
    <b v="1"/>
    <x v="0"/>
    <x v="0"/>
    <x v="0"/>
    <x v="0"/>
    <x v="0"/>
    <x v="1"/>
    <s v="BBG00FWZHJQ5"/>
    <x v="1"/>
    <s v="fe8a86a4318f49fb850f1dfa256f263b"/>
    <s v="GCDMXCB 16V"/>
    <x v="0"/>
    <x v="2"/>
    <s v="Distribution"/>
    <s v="Planta de Bombeo Municipio Libre"/>
    <s v="Mexico"/>
    <d v="2016-12-31T00:00:00"/>
    <d v="2016-12-31T00:00:00"/>
    <s v="MXN"/>
    <n v="20000000"/>
    <n v="19965051"/>
    <s v="MXN"/>
    <n v="19965051"/>
    <n v="1055592"/>
    <b v="0"/>
    <n v="0.34"/>
  </r>
  <r>
    <b v="1"/>
    <x v="0"/>
    <x v="0"/>
    <x v="0"/>
    <x v="0"/>
    <x v="0"/>
    <x v="1"/>
    <s v="BBG00FWZHJQ5"/>
    <x v="1"/>
    <s v="fe8a86a4318f49fb850f1dfa256f263b"/>
    <s v="GCDMXCB 16V"/>
    <x v="1"/>
    <x v="3"/>
    <s v="Urban drainage"/>
    <s v="Planta de Bombeo Municipio Libre"/>
    <s v="Mexico"/>
    <d v="2016-12-31T00:00:00"/>
    <d v="2016-12-31T00:00:00"/>
    <s v="MXN"/>
    <n v="20000000"/>
    <n v="19965051"/>
    <s v="MXN"/>
    <n v="19965051"/>
    <n v="1055592"/>
    <b v="0"/>
    <n v="0.34"/>
  </r>
  <r>
    <b v="1"/>
    <x v="0"/>
    <x v="0"/>
    <x v="0"/>
    <x v="0"/>
    <x v="0"/>
    <x v="1"/>
    <s v="BBG00FWZHJQ5"/>
    <x v="1"/>
    <s v="fe8a86a4318f49fb850f1dfa256f263b"/>
    <s v="GCDMXCB 16V"/>
    <x v="0"/>
    <x v="2"/>
    <s v="Flood defence"/>
    <s v="Colector de agua Electricistas"/>
    <s v="Mexico"/>
    <d v="2016-12-31T00:00:00"/>
    <d v="2016-12-31T00:00:00"/>
    <s v="MXN"/>
    <n v="17971011"/>
    <n v="2791677"/>
    <s v="MXN"/>
    <n v="2791677"/>
    <n v="147602"/>
    <b v="0"/>
    <n v="0.44"/>
  </r>
  <r>
    <b v="1"/>
    <x v="0"/>
    <x v="0"/>
    <x v="0"/>
    <x v="0"/>
    <x v="0"/>
    <x v="1"/>
    <s v="BBG00FWZHJQ5"/>
    <x v="1"/>
    <s v="fe8a86a4318f49fb850f1dfa256f263b"/>
    <s v="GCDMXCB 16V"/>
    <x v="1"/>
    <x v="3"/>
    <s v="Flooding mitigation"/>
    <s v="Colector de agua Electricistas"/>
    <s v="Mexico"/>
    <d v="2016-12-31T00:00:00"/>
    <d v="2016-12-31T00:00:00"/>
    <s v="MXN"/>
    <n v="17971011"/>
    <n v="2791677"/>
    <s v="MXN"/>
    <n v="2791677"/>
    <n v="147602"/>
    <b v="0"/>
    <n v="0.44"/>
  </r>
  <r>
    <b v="1"/>
    <x v="0"/>
    <x v="0"/>
    <x v="0"/>
    <x v="0"/>
    <x v="0"/>
    <x v="1"/>
    <s v="BBG00FWZHJQ5"/>
    <x v="1"/>
    <s v="fe8a86a4318f49fb850f1dfa256f263b"/>
    <s v="GCDMXCB 16V"/>
    <x v="0"/>
    <x v="2"/>
    <s v="Flood defence"/>
    <s v="Colector de agua Poniente 112"/>
    <s v="Mexico"/>
    <d v="2016-12-31T00:00:00"/>
    <d v="2016-12-31T00:00:00"/>
    <s v="MXN"/>
    <n v="13500000"/>
    <n v="7487784"/>
    <s v="MXN"/>
    <n v="7487784"/>
    <n v="395894"/>
    <b v="0"/>
    <n v="0.13"/>
  </r>
  <r>
    <b v="1"/>
    <x v="0"/>
    <x v="0"/>
    <x v="0"/>
    <x v="0"/>
    <x v="0"/>
    <x v="1"/>
    <s v="BBG00FWZHJQ5"/>
    <x v="1"/>
    <s v="fe8a86a4318f49fb850f1dfa256f263b"/>
    <s v="GCDMXCB 16V"/>
    <x v="1"/>
    <x v="3"/>
    <s v="Flooding mitigation"/>
    <s v="Colector de agua Poniente 112"/>
    <s v="Mexico"/>
    <d v="2016-12-31T00:00:00"/>
    <d v="2016-12-31T00:00:00"/>
    <s v="MXN"/>
    <n v="13500000"/>
    <n v="7487784"/>
    <s v="MXN"/>
    <n v="7487784"/>
    <n v="395894"/>
    <b v="0"/>
    <n v="0.13"/>
  </r>
  <r>
    <b v="1"/>
    <x v="0"/>
    <x v="0"/>
    <x v="0"/>
    <x v="0"/>
    <x v="0"/>
    <x v="1"/>
    <s v="BBG00FWZHJQ5"/>
    <x v="1"/>
    <s v="fe8a86a4318f49fb850f1dfa256f263b"/>
    <s v="GCDMXCB 16V"/>
    <x v="0"/>
    <x v="2"/>
    <s v="Treatment"/>
    <s v="L√≠nea de agua potable Artesanias -Tanque de agua Fovissste"/>
    <s v="Mexico"/>
    <d v="2016-12-31T00:00:00"/>
    <d v="2016-12-31T00:00:00"/>
    <s v="MXN"/>
    <n v="6350000"/>
    <n v="3222523"/>
    <s v="MXN"/>
    <n v="3222523"/>
    <n v="170381"/>
    <b v="0"/>
    <n v="0.26"/>
  </r>
  <r>
    <b v="1"/>
    <x v="0"/>
    <x v="0"/>
    <x v="0"/>
    <x v="0"/>
    <x v="0"/>
    <x v="1"/>
    <s v="BBG00FWZHJQ5"/>
    <x v="1"/>
    <s v="fe8a86a4318f49fb850f1dfa256f263b"/>
    <s v="GCDMXCB 16V"/>
    <x v="1"/>
    <x v="3"/>
    <s v="Infrastructure"/>
    <s v="L√≠nea de agua potable Artesanias -Tanque de agua Fovissste"/>
    <s v="Mexico"/>
    <d v="2016-12-31T00:00:00"/>
    <d v="2016-12-31T00:00:00"/>
    <s v="MXN"/>
    <n v="6350000"/>
    <n v="3222523"/>
    <s v="MXN"/>
    <n v="3222523"/>
    <n v="170381"/>
    <b v="0"/>
    <n v="0.26"/>
  </r>
  <r>
    <b v="1"/>
    <x v="0"/>
    <x v="0"/>
    <x v="0"/>
    <x v="0"/>
    <x v="0"/>
    <x v="1"/>
    <s v="BBG00FWZHJQ5"/>
    <x v="1"/>
    <s v="fe8a86a4318f49fb850f1dfa256f263b"/>
    <s v="GCDMXCB 16V"/>
    <x v="0"/>
    <x v="2"/>
    <s v="Distribution"/>
    <s v="Drenaje Av. De la Industria"/>
    <s v="Mexico"/>
    <d v="2016-12-31T00:00:00"/>
    <d v="2016-12-31T00:00:00"/>
    <s v="MXN"/>
    <n v="5200000"/>
    <n v="5106348"/>
    <s v="MXN"/>
    <n v="5106348"/>
    <n v="269983"/>
    <b v="0"/>
    <n v="0.46"/>
  </r>
  <r>
    <b v="1"/>
    <x v="0"/>
    <x v="0"/>
    <x v="0"/>
    <x v="0"/>
    <x v="0"/>
    <x v="1"/>
    <s v="BBG00FWZHJQ5"/>
    <x v="1"/>
    <s v="fe8a86a4318f49fb850f1dfa256f263b"/>
    <s v="GCDMXCB 16V"/>
    <x v="1"/>
    <x v="3"/>
    <s v="Urban drainage"/>
    <s v="Drenaje Av. De la Industria"/>
    <s v="Mexico"/>
    <d v="2016-12-31T00:00:00"/>
    <d v="2016-12-31T00:00:00"/>
    <s v="MXN"/>
    <n v="5200000"/>
    <n v="5106348"/>
    <s v="MXN"/>
    <n v="5106348"/>
    <n v="269983"/>
    <b v="0"/>
    <n v="0.46"/>
  </r>
  <r>
    <b v="1"/>
    <x v="0"/>
    <x v="0"/>
    <x v="0"/>
    <x v="0"/>
    <x v="0"/>
    <x v="1"/>
    <s v="BBG00FWZHJQ5"/>
    <x v="1"/>
    <s v="fe8a86a4318f49fb850f1dfa256f263b"/>
    <s v="GCDMXCB 16V"/>
    <x v="0"/>
    <x v="2"/>
    <s v="Flood defence"/>
    <s v="Colector de agua Violeta"/>
    <s v="Mexico"/>
    <d v="2016-12-31T00:00:00"/>
    <d v="2016-12-31T00:00:00"/>
    <s v="MXN"/>
    <n v="4176119"/>
    <n v="4086116"/>
    <s v="MXN"/>
    <n v="4086116"/>
    <n v="216041"/>
    <b v="0"/>
    <n v="0.15"/>
  </r>
  <r>
    <b v="1"/>
    <x v="0"/>
    <x v="0"/>
    <x v="0"/>
    <x v="0"/>
    <x v="0"/>
    <x v="1"/>
    <s v="BBG00FWZHJQ5"/>
    <x v="1"/>
    <s v="fe8a86a4318f49fb850f1dfa256f263b"/>
    <s v="GCDMXCB 16V"/>
    <x v="1"/>
    <x v="3"/>
    <s v="Flooding mitigation"/>
    <s v="Colector de agua Violeta"/>
    <s v="Mexico"/>
    <d v="2016-12-31T00:00:00"/>
    <d v="2016-12-31T00:00:00"/>
    <s v="MXN"/>
    <n v="4176119"/>
    <n v="4086116"/>
    <s v="MXN"/>
    <n v="4086116"/>
    <n v="216041"/>
    <b v="0"/>
    <n v="0.15"/>
  </r>
  <r>
    <b v="1"/>
    <x v="0"/>
    <x v="0"/>
    <x v="0"/>
    <x v="0"/>
    <x v="0"/>
    <x v="1"/>
    <s v="BBG00FWZHJQ5"/>
    <x v="1"/>
    <s v="fe8a86a4318f49fb850f1dfa256f263b"/>
    <s v="GCDMXCB 16V"/>
    <x v="0"/>
    <x v="0"/>
    <s v="Grid"/>
    <s v="Mejora y mantenimiento del alumbrado p√∫blico - 16"/>
    <s v="Mexico"/>
    <d v="2016-12-31T00:00:00"/>
    <d v="2016-12-31T00:00:00"/>
    <s v="MXN"/>
    <n v="65022222"/>
    <n v="65022222"/>
    <s v="MXN"/>
    <n v="65022222"/>
    <n v="3437856"/>
    <b v="0"/>
    <n v="0.03"/>
  </r>
  <r>
    <b v="1"/>
    <x v="0"/>
    <x v="0"/>
    <x v="0"/>
    <x v="0"/>
    <x v="0"/>
    <x v="1"/>
    <s v="BBG00FWZHJQ5"/>
    <x v="1"/>
    <s v="fe8a86a4318f49fb850f1dfa256f263b"/>
    <s v="GCDMXCB 16V"/>
    <x v="1"/>
    <x v="4"/>
    <s v="Smart grids"/>
    <s v="Mejora y mantenimiento del alumbrado p√∫blico - 16"/>
    <s v="Mexico"/>
    <d v="2016-12-31T00:00:00"/>
    <d v="2016-12-31T00:00:00"/>
    <s v="MXN"/>
    <n v="65022222"/>
    <n v="65022222"/>
    <s v="MXN"/>
    <n v="65022222"/>
    <n v="3437856"/>
    <b v="0"/>
    <n v="0.03"/>
  </r>
  <r>
    <b v="1"/>
    <x v="0"/>
    <x v="0"/>
    <x v="0"/>
    <x v="0"/>
    <x v="0"/>
    <x v="1"/>
    <s v="BBG00FWZHJQ5"/>
    <x v="1"/>
    <s v="fe8a86a4318f49fb850f1dfa256f263b"/>
    <s v="GCDMXCB 16V"/>
    <x v="0"/>
    <x v="5"/>
    <s v="Rail"/>
    <s v="Mejora del STC - 16"/>
    <s v="Mexico"/>
    <d v="2016-12-31T00:00:00"/>
    <d v="2016-12-31T00:00:00"/>
    <s v="MXN"/>
    <n v="186825339"/>
    <n v="158786066"/>
    <s v="MXN"/>
    <n v="158786066"/>
    <n v="8395339"/>
    <b v="0"/>
    <n v="0.18"/>
  </r>
  <r>
    <b v="1"/>
    <x v="0"/>
    <x v="0"/>
    <x v="0"/>
    <x v="0"/>
    <x v="0"/>
    <x v="1"/>
    <s v="BBG00FWZHJQ5"/>
    <x v="1"/>
    <s v="fe8a86a4318f49fb850f1dfa256f263b"/>
    <s v="GCDMXCB 16V"/>
    <x v="1"/>
    <x v="6"/>
    <s v="Rail"/>
    <s v="Mejora del STC - 16"/>
    <s v="Mexico"/>
    <d v="2016-12-31T00:00:00"/>
    <d v="2016-12-31T00:00:00"/>
    <s v="MXN"/>
    <n v="186825339"/>
    <n v="158786066"/>
    <s v="MXN"/>
    <n v="158786066"/>
    <n v="8395339"/>
    <b v="0"/>
    <n v="0.18"/>
  </r>
  <r>
    <b v="1"/>
    <x v="0"/>
    <x v="0"/>
    <x v="0"/>
    <x v="0"/>
    <x v="0"/>
    <x v="1"/>
    <s v="BBG00FWZHJQ5"/>
    <x v="1"/>
    <s v="fe8a86a4318f49fb850f1dfa256f263b"/>
    <s v="GCDMXCB 16V"/>
    <x v="0"/>
    <x v="5"/>
    <s v="Low Carbon Buses"/>
    <s v="Metrob√∫s L√≠nea 5 - 16"/>
    <s v="Mexico"/>
    <d v="2016-12-31T00:00:00"/>
    <d v="2016-12-31T00:00:00"/>
    <s v="MXN"/>
    <n v="328125000"/>
    <n v="328125000"/>
    <s v="MXN"/>
    <n v="328125000"/>
    <n v="17348630"/>
    <b v="1"/>
    <m/>
  </r>
  <r>
    <b v="1"/>
    <x v="0"/>
    <x v="0"/>
    <x v="0"/>
    <x v="0"/>
    <x v="0"/>
    <x v="1"/>
    <s v="BBG00FWZHJQ5"/>
    <x v="1"/>
    <s v="fe8a86a4318f49fb850f1dfa256f263b"/>
    <s v="GCDMXCB 16V"/>
    <x v="1"/>
    <x v="6"/>
    <s v="Vehicle infrastructure"/>
    <s v="Metrob√∫s L√≠nea 5 - 16"/>
    <s v="Mexico"/>
    <d v="2016-12-31T00:00:00"/>
    <d v="2016-12-31T00:00:00"/>
    <s v="MXN"/>
    <n v="328125000"/>
    <n v="328125000"/>
    <s v="MXN"/>
    <n v="328125000"/>
    <n v="17348630"/>
    <b v="1"/>
    <m/>
  </r>
  <r>
    <b v="1"/>
    <x v="0"/>
    <x v="0"/>
    <x v="0"/>
    <x v="0"/>
    <x v="0"/>
    <x v="1"/>
    <s v="BBG00FWZHJQ5"/>
    <x v="1"/>
    <s v="fe8a86a4318f49fb850f1dfa256f263b"/>
    <s v="GCDMXCB 16V"/>
    <x v="0"/>
    <x v="5"/>
    <s v="Rail"/>
    <s v="Adquisici√≥n de 4 trenes Tren Ligero CDMX - 16"/>
    <s v="Mexico"/>
    <d v="2016-12-31T00:00:00"/>
    <d v="2016-12-31T00:00:00"/>
    <s v="MXN"/>
    <n v="113173653"/>
    <n v="92818127"/>
    <s v="MXN"/>
    <n v="92818127"/>
    <n v="4907481"/>
    <b v="1"/>
    <m/>
  </r>
  <r>
    <b v="1"/>
    <x v="0"/>
    <x v="0"/>
    <x v="0"/>
    <x v="0"/>
    <x v="0"/>
    <x v="1"/>
    <s v="BBG00FWZHJQ5"/>
    <x v="1"/>
    <s v="fe8a86a4318f49fb850f1dfa256f263b"/>
    <s v="GCDMXCB 16V"/>
    <x v="1"/>
    <x v="6"/>
    <s v="Rail"/>
    <s v="Adquisici√≥n de 4 trenes Tren Ligero CDMX - 16"/>
    <s v="Mexico"/>
    <d v="2016-12-31T00:00:00"/>
    <d v="2016-12-31T00:00:00"/>
    <s v="MXN"/>
    <n v="113173653"/>
    <n v="92818127"/>
    <s v="MXN"/>
    <n v="92818127"/>
    <n v="4907481"/>
    <b v="1"/>
    <m/>
  </r>
  <r>
    <b v="1"/>
    <x v="0"/>
    <x v="0"/>
    <x v="0"/>
    <x v="0"/>
    <x v="0"/>
    <x v="0"/>
    <n v="0"/>
    <x v="0"/>
    <s v="1fd5c178da6148569a42c52f45981714"/>
    <s v="Bancolombia Bono Verde 1"/>
    <x v="0"/>
    <x v="7"/>
    <s v="Commercial"/>
    <s v="GB 1 Proyecto 3"/>
    <s v="Colombia"/>
    <d v="2016-12-05T00:00:00"/>
    <d v="2016-12-05T00:00:00"/>
    <s v="COP"/>
    <n v="78711188000"/>
    <n v="78711188000"/>
    <s v="COP"/>
    <n v="78711188000"/>
    <n v="25713871"/>
    <b v="0"/>
    <n v="0.92"/>
  </r>
  <r>
    <b v="1"/>
    <x v="0"/>
    <x v="0"/>
    <x v="0"/>
    <x v="0"/>
    <x v="0"/>
    <x v="0"/>
    <n v="0"/>
    <x v="0"/>
    <s v="1fd5c178da6148569a42c52f45981714"/>
    <s v="Bancolombia Bono Verde 1"/>
    <x v="1"/>
    <x v="8"/>
    <s v="Commercial"/>
    <s v="GB 1 Proyecto 3"/>
    <s v="Colombia"/>
    <d v="2016-12-05T00:00:00"/>
    <d v="2016-12-05T00:00:00"/>
    <s v="COP"/>
    <n v="78711188000"/>
    <n v="78711188000"/>
    <s v="COP"/>
    <n v="78711188000"/>
    <n v="25713871"/>
    <b v="0"/>
    <n v="0.92"/>
  </r>
  <r>
    <b v="1"/>
    <x v="0"/>
    <x v="0"/>
    <x v="0"/>
    <x v="0"/>
    <x v="0"/>
    <x v="0"/>
    <n v="0"/>
    <x v="0"/>
    <s v="1fd5c178da6148569a42c52f45981714"/>
    <s v="Bancolombia Bono Verde 1"/>
    <x v="0"/>
    <x v="7"/>
    <s v="Commercial"/>
    <s v="GB 1 Proyecto 9"/>
    <s v="Colombia"/>
    <d v="2016-12-05T00:00:00"/>
    <d v="2016-12-05T00:00:00"/>
    <s v="COP"/>
    <n v="21195408000"/>
    <n v="21195408000"/>
    <s v="COP"/>
    <n v="21195408000"/>
    <n v="6924250"/>
    <b v="0"/>
    <n v="0.92"/>
  </r>
  <r>
    <b v="1"/>
    <x v="0"/>
    <x v="0"/>
    <x v="0"/>
    <x v="0"/>
    <x v="0"/>
    <x v="0"/>
    <n v="0"/>
    <x v="0"/>
    <s v="1fd5c178da6148569a42c52f45981714"/>
    <s v="Bancolombia Bono Verde 1"/>
    <x v="1"/>
    <x v="8"/>
    <s v="Commercial"/>
    <s v="GB 1 Proyecto 9"/>
    <s v="Colombia"/>
    <d v="2016-12-05T00:00:00"/>
    <d v="2016-12-05T00:00:00"/>
    <s v="COP"/>
    <n v="21195408000"/>
    <n v="21195408000"/>
    <s v="COP"/>
    <n v="21195408000"/>
    <n v="6924250"/>
    <b v="0"/>
    <n v="0.92"/>
  </r>
  <r>
    <b v="1"/>
    <x v="0"/>
    <x v="0"/>
    <x v="1"/>
    <x v="0"/>
    <x v="1"/>
    <x v="2"/>
    <s v="BBG00PQCN094"/>
    <x v="0"/>
    <s v="19a9b617aa704f8285094522d06a5367"/>
    <s v="Neoenergia - 6¬™ emiss√£o de deb√™ntures"/>
    <x v="0"/>
    <x v="0"/>
    <s v="Hydro"/>
    <s v="Baixo Igua√ßu"/>
    <s v="Brazil"/>
    <d v="2019-07-23T00:00:00"/>
    <d v="2020-03-30T00:00:00"/>
    <s v="BRL"/>
    <n v="400000000"/>
    <n v="400000000"/>
    <s v="BRL"/>
    <n v="400000000"/>
    <n v="77016385"/>
    <b v="1"/>
    <n v="0.17"/>
  </r>
  <r>
    <b v="1"/>
    <x v="0"/>
    <x v="0"/>
    <x v="1"/>
    <x v="0"/>
    <x v="1"/>
    <x v="2"/>
    <s v="BBG00PQCN094"/>
    <x v="0"/>
    <s v="19a9b617aa704f8285094522d06a5367"/>
    <s v="Neoenergia - 6¬™ emiss√£o de deb√™ntures"/>
    <x v="1"/>
    <x v="9"/>
    <s v="Unspecified"/>
    <s v="Baixo Igua√ßu"/>
    <s v="Brazil"/>
    <d v="2019-07-23T00:00:00"/>
    <d v="2020-03-30T00:00:00"/>
    <s v="BRL"/>
    <n v="400000000"/>
    <n v="400000000"/>
    <s v="BRL"/>
    <n v="400000000"/>
    <n v="77016385"/>
    <b v="1"/>
    <n v="0.17"/>
  </r>
  <r>
    <b v="1"/>
    <x v="0"/>
    <x v="0"/>
    <x v="0"/>
    <x v="0"/>
    <x v="0"/>
    <x v="0"/>
    <n v="0"/>
    <x v="0"/>
    <s v="1fd5c178da6148569a42c52f45981714"/>
    <s v="Bancolombia Bono Verde 1"/>
    <x v="0"/>
    <x v="7"/>
    <s v="Commercial"/>
    <s v="GB 1 Proyecto 11"/>
    <s v="Colombia"/>
    <d v="2016-12-05T00:00:00"/>
    <d v="2016-12-05T00:00:00"/>
    <s v="COP"/>
    <n v="31793112000"/>
    <n v="31793112000"/>
    <s v="COP"/>
    <n v="31793112000"/>
    <n v="10386376"/>
    <b v="0"/>
    <n v="0.92"/>
  </r>
  <r>
    <b v="1"/>
    <x v="0"/>
    <x v="0"/>
    <x v="0"/>
    <x v="0"/>
    <x v="0"/>
    <x v="0"/>
    <n v="0"/>
    <x v="0"/>
    <s v="1fd5c178da6148569a42c52f45981714"/>
    <s v="Bancolombia Bono Verde 1"/>
    <x v="1"/>
    <x v="8"/>
    <s v="Commercial"/>
    <s v="GB 1 Proyecto 11"/>
    <s v="Colombia"/>
    <d v="2016-12-05T00:00:00"/>
    <d v="2016-12-05T00:00:00"/>
    <s v="COP"/>
    <n v="31793112000"/>
    <n v="31793112000"/>
    <s v="COP"/>
    <n v="31793112000"/>
    <n v="10386376"/>
    <b v="0"/>
    <n v="0.92"/>
  </r>
  <r>
    <b v="1"/>
    <x v="0"/>
    <x v="0"/>
    <x v="1"/>
    <x v="0"/>
    <x v="1"/>
    <x v="2"/>
    <s v="BBG00PQCN094"/>
    <x v="0"/>
    <s v="19a9b617aa704f8285094522d06a5367"/>
    <s v="Neoenergia - 6¬™ emiss√£o de deb√™ntures"/>
    <x v="0"/>
    <x v="0"/>
    <s v="Wind"/>
    <s v="Chafariz 1"/>
    <s v="Brazil"/>
    <d v="2019-07-23T00:00:00"/>
    <d v="2020-03-30T00:00:00"/>
    <s v="BRL"/>
    <n v="15500000"/>
    <n v="15500000"/>
    <s v="BRL"/>
    <n v="15500000"/>
    <n v="2984385"/>
    <b v="1"/>
    <n v="0.1"/>
  </r>
  <r>
    <b v="1"/>
    <x v="0"/>
    <x v="0"/>
    <x v="1"/>
    <x v="0"/>
    <x v="1"/>
    <x v="2"/>
    <s v="BBG00PQCN094"/>
    <x v="0"/>
    <s v="19a9b617aa704f8285094522d06a5367"/>
    <s v="Neoenergia - 6¬™ emiss√£o de deb√™ntures"/>
    <x v="1"/>
    <x v="1"/>
    <s v="Generation"/>
    <s v="Chafariz 1"/>
    <s v="Brazil"/>
    <d v="2019-07-23T00:00:00"/>
    <d v="2020-03-30T00:00:00"/>
    <s v="BRL"/>
    <n v="15500000"/>
    <n v="15500000"/>
    <s v="BRL"/>
    <n v="15500000"/>
    <n v="2984385"/>
    <b v="1"/>
    <n v="0.1"/>
  </r>
  <r>
    <b v="1"/>
    <x v="0"/>
    <x v="0"/>
    <x v="0"/>
    <x v="0"/>
    <x v="0"/>
    <x v="0"/>
    <n v="0"/>
    <x v="0"/>
    <s v="1fd5c178da6148569a42c52f45981714"/>
    <s v="Bancolombia Bono Verde 1"/>
    <x v="0"/>
    <x v="7"/>
    <s v="Commercial"/>
    <s v="GB 1 Proyecto 12"/>
    <s v="Colombia"/>
    <d v="2016-12-05T00:00:00"/>
    <d v="2016-12-05T00:00:00"/>
    <s v="COP"/>
    <n v="24829038000"/>
    <n v="24829038000"/>
    <s v="COP"/>
    <n v="24829038000"/>
    <n v="8111308"/>
    <b v="0"/>
    <n v="0.92"/>
  </r>
  <r>
    <b v="1"/>
    <x v="0"/>
    <x v="0"/>
    <x v="0"/>
    <x v="0"/>
    <x v="0"/>
    <x v="0"/>
    <n v="0"/>
    <x v="0"/>
    <s v="1fd5c178da6148569a42c52f45981714"/>
    <s v="Bancolombia Bono Verde 1"/>
    <x v="1"/>
    <x v="8"/>
    <s v="Commercial"/>
    <s v="GB 1 Proyecto 12"/>
    <s v="Colombia"/>
    <d v="2016-12-05T00:00:00"/>
    <d v="2016-12-05T00:00:00"/>
    <s v="COP"/>
    <n v="24829038000"/>
    <n v="24829038000"/>
    <s v="COP"/>
    <n v="24829038000"/>
    <n v="8111308"/>
    <b v="0"/>
    <n v="0.92"/>
  </r>
  <r>
    <b v="1"/>
    <x v="0"/>
    <x v="0"/>
    <x v="0"/>
    <x v="0"/>
    <x v="0"/>
    <x v="3"/>
    <n v="0"/>
    <x v="0"/>
    <s v="6f46459260bb4254a71f833639627109"/>
    <s v="Bancolombia Bono Verde 2"/>
    <x v="0"/>
    <x v="0"/>
    <s v="Hydro"/>
    <s v="GB 2 Proyecto 1"/>
    <s v="Colombia"/>
    <d v="2018-07-18T00:00:00"/>
    <d v="2018-07-18T00:00:00"/>
    <s v="COP"/>
    <n v="86848745982"/>
    <n v="86848745982"/>
    <s v="COP"/>
    <n v="86848745982"/>
    <n v="30173835"/>
    <b v="1"/>
    <n v="0.98"/>
  </r>
  <r>
    <b v="1"/>
    <x v="0"/>
    <x v="0"/>
    <x v="0"/>
    <x v="0"/>
    <x v="0"/>
    <x v="3"/>
    <n v="0"/>
    <x v="0"/>
    <s v="6f46459260bb4254a71f833639627109"/>
    <s v="Bancolombia Bono Verde 2"/>
    <x v="1"/>
    <x v="1"/>
    <s v="Generation"/>
    <s v="GB 2 Proyecto 1"/>
    <s v="Colombia"/>
    <d v="2018-07-18T00:00:00"/>
    <d v="2018-07-18T00:00:00"/>
    <s v="COP"/>
    <n v="86848745982"/>
    <n v="86848745982"/>
    <s v="COP"/>
    <n v="86848745982"/>
    <n v="30173835"/>
    <b v="1"/>
    <n v="0.98"/>
  </r>
  <r>
    <b v="1"/>
    <x v="0"/>
    <x v="0"/>
    <x v="0"/>
    <x v="0"/>
    <x v="0"/>
    <x v="3"/>
    <n v="0"/>
    <x v="0"/>
    <s v="6f46459260bb4254a71f833639627109"/>
    <s v="Bancolombia Bono Verde 2"/>
    <x v="0"/>
    <x v="0"/>
    <s v="Hydro"/>
    <s v="GB 2 Proyecto 2"/>
    <s v="Colombia"/>
    <d v="2018-07-18T00:00:00"/>
    <d v="2018-07-18T00:00:00"/>
    <s v="COP"/>
    <n v="86323785852"/>
    <n v="86323785852"/>
    <s v="COP"/>
    <n v="86323785852"/>
    <n v="29991448"/>
    <b v="1"/>
    <n v="0.98"/>
  </r>
  <r>
    <b v="1"/>
    <x v="0"/>
    <x v="0"/>
    <x v="0"/>
    <x v="0"/>
    <x v="0"/>
    <x v="3"/>
    <n v="0"/>
    <x v="0"/>
    <s v="6f46459260bb4254a71f833639627109"/>
    <s v="Bancolombia Bono Verde 2"/>
    <x v="1"/>
    <x v="1"/>
    <s v="Appliances"/>
    <s v="GB 2 Proyecto 2"/>
    <s v="Colombia"/>
    <d v="2018-07-18T00:00:00"/>
    <d v="2018-07-18T00:00:00"/>
    <s v="COP"/>
    <n v="86323785852"/>
    <n v="86323785852"/>
    <s v="COP"/>
    <n v="86323785852"/>
    <n v="29991448"/>
    <b v="1"/>
    <n v="0.98"/>
  </r>
  <r>
    <b v="1"/>
    <x v="0"/>
    <x v="0"/>
    <x v="0"/>
    <x v="0"/>
    <x v="0"/>
    <x v="3"/>
    <n v="0"/>
    <x v="0"/>
    <s v="6f46459260bb4254a71f833639627109"/>
    <s v="Bancolombia Bono Verde 2"/>
    <x v="0"/>
    <x v="0"/>
    <s v="Storage"/>
    <s v="GB 2 Proyecto 3"/>
    <s v="Colombia"/>
    <d v="2018-07-18T00:00:00"/>
    <d v="2018-07-18T00:00:00"/>
    <s v="COP"/>
    <n v="33178172623"/>
    <n v="33178172623"/>
    <s v="COP"/>
    <n v="33178172623"/>
    <n v="11527083"/>
    <b v="1"/>
    <n v="0.98"/>
  </r>
  <r>
    <b v="1"/>
    <x v="0"/>
    <x v="0"/>
    <x v="1"/>
    <x v="0"/>
    <x v="1"/>
    <x v="2"/>
    <s v="BBG00PQCN094"/>
    <x v="0"/>
    <s v="19a9b617aa704f8285094522d06a5367"/>
    <s v="Neoenergia - 6¬™ emiss√£o de deb√™ntures"/>
    <x v="0"/>
    <x v="0"/>
    <s v="Wind"/>
    <s v="Chafariz 2"/>
    <s v="Brazil"/>
    <d v="2019-07-23T00:00:00"/>
    <d v="2020-03-30T00:00:00"/>
    <s v="BRL"/>
    <n v="15500000"/>
    <n v="15500000"/>
    <s v="BRL"/>
    <n v="15500000"/>
    <n v="2984385"/>
    <b v="1"/>
    <n v="0.1"/>
  </r>
  <r>
    <b v="1"/>
    <x v="0"/>
    <x v="0"/>
    <x v="1"/>
    <x v="0"/>
    <x v="1"/>
    <x v="2"/>
    <s v="BBG00PQCN094"/>
    <x v="0"/>
    <s v="19a9b617aa704f8285094522d06a5367"/>
    <s v="Neoenergia - 6¬™ emiss√£o de deb√™ntures"/>
    <x v="1"/>
    <x v="1"/>
    <s v="Generation"/>
    <s v="Chafariz 2"/>
    <s v="Brazil"/>
    <d v="2019-07-23T00:00:00"/>
    <d v="2020-03-30T00:00:00"/>
    <s v="BRL"/>
    <n v="15500000"/>
    <n v="15500000"/>
    <s v="BRL"/>
    <n v="15500000"/>
    <n v="2984385"/>
    <b v="1"/>
    <n v="0.1"/>
  </r>
  <r>
    <b v="1"/>
    <x v="0"/>
    <x v="0"/>
    <x v="0"/>
    <x v="0"/>
    <x v="0"/>
    <x v="3"/>
    <n v="0"/>
    <x v="0"/>
    <s v="6f46459260bb4254a71f833639627109"/>
    <s v="Bancolombia Bono Verde 2"/>
    <x v="1"/>
    <x v="4"/>
    <s v="District heating"/>
    <s v="GB 2 Proyecto 3"/>
    <s v="Colombia"/>
    <d v="2018-07-18T00:00:00"/>
    <d v="2018-07-18T00:00:00"/>
    <s v="COP"/>
    <n v="33178172623"/>
    <n v="33178172623"/>
    <s v="COP"/>
    <n v="33178172623"/>
    <n v="11527083"/>
    <b v="1"/>
    <n v="0.98"/>
  </r>
  <r>
    <b v="1"/>
    <x v="0"/>
    <x v="0"/>
    <x v="0"/>
    <x v="0"/>
    <x v="0"/>
    <x v="3"/>
    <n v="0"/>
    <x v="0"/>
    <s v="6f46459260bb4254a71f833639627109"/>
    <s v="Bancolombia Bono Verde 2"/>
    <x v="0"/>
    <x v="0"/>
    <s v="Bioenergy"/>
    <s v="GB 2 Proyecto 4"/>
    <s v="Colombia"/>
    <d v="2018-07-18T00:00:00"/>
    <d v="2018-07-18T00:00:00"/>
    <s v="COP"/>
    <n v="3415400123"/>
    <n v="3415400123"/>
    <s v="COP"/>
    <n v="3415400123"/>
    <n v="1186611"/>
    <b v="1"/>
    <n v="0.98"/>
  </r>
  <r>
    <b v="1"/>
    <x v="0"/>
    <x v="0"/>
    <x v="0"/>
    <x v="0"/>
    <x v="0"/>
    <x v="3"/>
    <n v="0"/>
    <x v="0"/>
    <s v="6f46459260bb4254a71f833639627109"/>
    <s v="Bancolombia Bono Verde 2"/>
    <x v="1"/>
    <x v="1"/>
    <s v="Generation"/>
    <s v="GB 2 Proyecto 4"/>
    <s v="Colombia"/>
    <d v="2018-07-18T00:00:00"/>
    <d v="2018-07-18T00:00:00"/>
    <s v="COP"/>
    <n v="3415400123"/>
    <n v="3415400123"/>
    <s v="COP"/>
    <n v="3415400123"/>
    <n v="1186611"/>
    <b v="1"/>
    <n v="0.98"/>
  </r>
  <r>
    <b v="1"/>
    <x v="0"/>
    <x v="0"/>
    <x v="1"/>
    <x v="0"/>
    <x v="1"/>
    <x v="2"/>
    <s v="BBG00PQCN094"/>
    <x v="0"/>
    <s v="19a9b617aa704f8285094522d06a5367"/>
    <s v="Neoenergia - 6¬™ emiss√£o de deb√™ntures"/>
    <x v="0"/>
    <x v="0"/>
    <s v="Wind"/>
    <s v="Chafariz 3"/>
    <s v="Brazil"/>
    <d v="2019-07-23T00:00:00"/>
    <d v="2020-03-30T00:00:00"/>
    <s v="BRL"/>
    <n v="6200000"/>
    <n v="6200000"/>
    <s v="BRL"/>
    <n v="6200000"/>
    <n v="1193754"/>
    <b v="1"/>
    <n v="0.04"/>
  </r>
  <r>
    <b v="1"/>
    <x v="0"/>
    <x v="0"/>
    <x v="1"/>
    <x v="0"/>
    <x v="1"/>
    <x v="2"/>
    <s v="BBG00PQCN094"/>
    <x v="0"/>
    <s v="19a9b617aa704f8285094522d06a5367"/>
    <s v="Neoenergia - 6¬™ emiss√£o de deb√™ntures"/>
    <x v="1"/>
    <x v="1"/>
    <s v="Generation"/>
    <s v="Chafariz 3"/>
    <s v="Brazil"/>
    <d v="2019-07-23T00:00:00"/>
    <d v="2020-03-30T00:00:00"/>
    <s v="BRL"/>
    <n v="6200000"/>
    <n v="6200000"/>
    <s v="BRL"/>
    <n v="6200000"/>
    <n v="1193754"/>
    <b v="1"/>
    <n v="0.04"/>
  </r>
  <r>
    <b v="1"/>
    <x v="0"/>
    <x v="0"/>
    <x v="0"/>
    <x v="0"/>
    <x v="0"/>
    <x v="3"/>
    <n v="0"/>
    <x v="0"/>
    <s v="6f46459260bb4254a71f833639627109"/>
    <s v="Bancolombia Bono Verde 2"/>
    <x v="0"/>
    <x v="7"/>
    <s v="Residential"/>
    <s v="GB 2 Proyecto 14"/>
    <s v="Colombia"/>
    <d v="2018-07-18T00:00:00"/>
    <d v="2018-07-18T00:00:00"/>
    <s v="COP"/>
    <n v="41643485785"/>
    <n v="41643485785"/>
    <s v="COP"/>
    <n v="41643485785"/>
    <n v="14468184"/>
    <b v="1"/>
    <n v="0.98"/>
  </r>
  <r>
    <b v="1"/>
    <x v="0"/>
    <x v="0"/>
    <x v="0"/>
    <x v="0"/>
    <x v="0"/>
    <x v="3"/>
    <n v="0"/>
    <x v="0"/>
    <s v="6f46459260bb4254a71f833639627109"/>
    <s v="Bancolombia Bono Verde 2"/>
    <x v="1"/>
    <x v="8"/>
    <s v="Residential"/>
    <s v="GB 2 Proyecto 14"/>
    <s v="Colombia"/>
    <d v="2018-07-18T00:00:00"/>
    <d v="2018-07-18T00:00:00"/>
    <s v="COP"/>
    <n v="41643485785"/>
    <n v="41643485785"/>
    <s v="COP"/>
    <n v="41643485785"/>
    <n v="14468184"/>
    <b v="1"/>
    <n v="0.98"/>
  </r>
  <r>
    <b v="1"/>
    <x v="0"/>
    <x v="0"/>
    <x v="0"/>
    <x v="0"/>
    <x v="0"/>
    <x v="3"/>
    <n v="0"/>
    <x v="0"/>
    <s v="6f46459260bb4254a71f833639627109"/>
    <s v="Bancolombia Bono Verde 2"/>
    <x v="0"/>
    <x v="7"/>
    <s v="Residential"/>
    <s v="GB 2 Proyecto 15"/>
    <s v="Colombia"/>
    <d v="2018-07-18T00:00:00"/>
    <d v="2018-07-18T00:00:00"/>
    <s v="COP"/>
    <n v="19315551438"/>
    <n v="19315551438"/>
    <s v="COP"/>
    <n v="19315551438"/>
    <n v="6710796"/>
    <b v="1"/>
    <n v="0.98"/>
  </r>
  <r>
    <b v="1"/>
    <x v="0"/>
    <x v="0"/>
    <x v="0"/>
    <x v="0"/>
    <x v="0"/>
    <x v="3"/>
    <n v="0"/>
    <x v="0"/>
    <s v="6f46459260bb4254a71f833639627109"/>
    <s v="Bancolombia Bono Verde 2"/>
    <x v="1"/>
    <x v="8"/>
    <s v="Residential"/>
    <s v="GB 2 Proyecto 15"/>
    <s v="Colombia"/>
    <d v="2018-07-18T00:00:00"/>
    <d v="2018-07-18T00:00:00"/>
    <s v="COP"/>
    <n v="19315551438"/>
    <n v="19315551438"/>
    <s v="COP"/>
    <n v="19315551438"/>
    <n v="6710796"/>
    <b v="1"/>
    <n v="0.98"/>
  </r>
  <r>
    <b v="1"/>
    <x v="0"/>
    <x v="0"/>
    <x v="0"/>
    <x v="0"/>
    <x v="0"/>
    <x v="3"/>
    <n v="0"/>
    <x v="0"/>
    <s v="6f46459260bb4254a71f833639627109"/>
    <s v="Bancolombia Bono Verde 2"/>
    <x v="0"/>
    <x v="7"/>
    <s v="Residential"/>
    <s v="GB 2 Proyecto 16"/>
    <s v="Colombia"/>
    <d v="2018-07-18T00:00:00"/>
    <d v="2018-07-18T00:00:00"/>
    <s v="COP"/>
    <n v="29274858197"/>
    <n v="29274858197"/>
    <s v="COP"/>
    <n v="29274858197"/>
    <n v="10170956"/>
    <b v="1"/>
    <n v="0.98"/>
  </r>
  <r>
    <b v="1"/>
    <x v="0"/>
    <x v="0"/>
    <x v="0"/>
    <x v="0"/>
    <x v="0"/>
    <x v="3"/>
    <n v="0"/>
    <x v="0"/>
    <s v="6f46459260bb4254a71f833639627109"/>
    <s v="Bancolombia Bono Verde 2"/>
    <x v="1"/>
    <x v="8"/>
    <s v="Residential"/>
    <s v="GB 2 Proyecto 16"/>
    <s v="Colombia"/>
    <d v="2018-07-18T00:00:00"/>
    <d v="2018-07-18T00:00:00"/>
    <s v="COP"/>
    <n v="29274858197"/>
    <n v="29274858197"/>
    <s v="COP"/>
    <n v="29274858197"/>
    <n v="10170956"/>
    <b v="1"/>
    <n v="0.98"/>
  </r>
  <r>
    <b v="1"/>
    <x v="0"/>
    <x v="0"/>
    <x v="0"/>
    <x v="0"/>
    <x v="0"/>
    <x v="4"/>
    <n v="0"/>
    <x v="0"/>
    <s v="33ceef813ef14aac8ab44dc3a53606d8"/>
    <s v="Bancolombia Bono Sostenible"/>
    <x v="0"/>
    <x v="7"/>
    <s v="Residential"/>
    <s v="SB Proyecto 2"/>
    <s v="Colombia"/>
    <d v="2019-07-19T00:00:00"/>
    <d v="2019-07-19T00:00:00"/>
    <s v="COP"/>
    <n v="30000000000"/>
    <n v="30000000000"/>
    <s v="COP"/>
    <n v="30000000000"/>
    <n v="9425041"/>
    <b v="1"/>
    <n v="0.97"/>
  </r>
  <r>
    <b v="1"/>
    <x v="0"/>
    <x v="0"/>
    <x v="0"/>
    <x v="0"/>
    <x v="0"/>
    <x v="4"/>
    <n v="0"/>
    <x v="0"/>
    <s v="33ceef813ef14aac8ab44dc3a53606d8"/>
    <s v="Bancolombia Bono Sostenible"/>
    <x v="1"/>
    <x v="8"/>
    <s v="Residential"/>
    <s v="SB Proyecto 2"/>
    <s v="Colombia"/>
    <d v="2019-07-19T00:00:00"/>
    <d v="2019-07-19T00:00:00"/>
    <s v="COP"/>
    <n v="30000000000"/>
    <n v="30000000000"/>
    <s v="COP"/>
    <n v="30000000000"/>
    <n v="9425041"/>
    <b v="1"/>
    <n v="0.97"/>
  </r>
  <r>
    <b v="1"/>
    <x v="0"/>
    <x v="0"/>
    <x v="0"/>
    <x v="0"/>
    <x v="0"/>
    <x v="4"/>
    <n v="0"/>
    <x v="0"/>
    <s v="33ceef813ef14aac8ab44dc3a53606d8"/>
    <s v="Bancolombia Bono Sostenible"/>
    <x v="0"/>
    <x v="7"/>
    <s v="Residential"/>
    <s v="SB Proyecto 5"/>
    <s v="Colombia"/>
    <d v="2019-07-19T00:00:00"/>
    <d v="2019-07-19T00:00:00"/>
    <s v="COP"/>
    <n v="17400000000"/>
    <n v="17400000000"/>
    <s v="COP"/>
    <n v="17400000000"/>
    <n v="5466524"/>
    <b v="1"/>
    <n v="0.97"/>
  </r>
  <r>
    <b v="1"/>
    <x v="0"/>
    <x v="0"/>
    <x v="0"/>
    <x v="0"/>
    <x v="0"/>
    <x v="4"/>
    <n v="0"/>
    <x v="0"/>
    <s v="33ceef813ef14aac8ab44dc3a53606d8"/>
    <s v="Bancolombia Bono Sostenible"/>
    <x v="1"/>
    <x v="8"/>
    <s v="Residential"/>
    <s v="SB Proyecto 5"/>
    <s v="Colombia"/>
    <d v="2019-07-19T00:00:00"/>
    <d v="2019-07-19T00:00:00"/>
    <s v="COP"/>
    <n v="17400000000"/>
    <n v="17400000000"/>
    <s v="COP"/>
    <n v="17400000000"/>
    <n v="5466524"/>
    <b v="1"/>
    <n v="0.97"/>
  </r>
  <r>
    <b v="1"/>
    <x v="0"/>
    <x v="0"/>
    <x v="0"/>
    <x v="0"/>
    <x v="0"/>
    <x v="4"/>
    <n v="0"/>
    <x v="0"/>
    <s v="33ceef813ef14aac8ab44dc3a53606d8"/>
    <s v="Bancolombia Bono Sostenible"/>
    <x v="0"/>
    <x v="7"/>
    <s v="Residential"/>
    <s v="SB Proyecto 6"/>
    <s v="Colombia"/>
    <d v="2019-07-19T00:00:00"/>
    <d v="2019-07-19T00:00:00"/>
    <s v="COP"/>
    <n v="30000000000"/>
    <n v="30000000000"/>
    <s v="COP"/>
    <n v="30000000000"/>
    <n v="9425041"/>
    <b v="1"/>
    <n v="0.97"/>
  </r>
  <r>
    <b v="1"/>
    <x v="0"/>
    <x v="0"/>
    <x v="0"/>
    <x v="0"/>
    <x v="0"/>
    <x v="4"/>
    <n v="0"/>
    <x v="0"/>
    <s v="33ceef813ef14aac8ab44dc3a53606d8"/>
    <s v="Bancolombia Bono Sostenible"/>
    <x v="1"/>
    <x v="8"/>
    <s v="Residential"/>
    <s v="SB Proyecto 6"/>
    <s v="Colombia"/>
    <d v="2019-07-19T00:00:00"/>
    <d v="2019-07-19T00:00:00"/>
    <s v="COP"/>
    <n v="30000000000"/>
    <n v="30000000000"/>
    <s v="COP"/>
    <n v="30000000000"/>
    <n v="9425041"/>
    <b v="1"/>
    <n v="0.97"/>
  </r>
  <r>
    <b v="1"/>
    <x v="0"/>
    <x v="0"/>
    <x v="0"/>
    <x v="0"/>
    <x v="0"/>
    <x v="4"/>
    <n v="0"/>
    <x v="0"/>
    <s v="33ceef813ef14aac8ab44dc3a53606d8"/>
    <s v="Bancolombia Bono Sostenible"/>
    <x v="0"/>
    <x v="7"/>
    <s v="Commercial"/>
    <s v="SB Proyecto 7"/>
    <s v="Colombia"/>
    <d v="2019-07-19T00:00:00"/>
    <d v="2019-07-19T00:00:00"/>
    <s v="COP"/>
    <n v="30000000000"/>
    <n v="30000000000"/>
    <s v="COP"/>
    <n v="30000000000"/>
    <n v="9425041"/>
    <b v="1"/>
    <n v="0.97"/>
  </r>
  <r>
    <b v="1"/>
    <x v="0"/>
    <x v="0"/>
    <x v="0"/>
    <x v="0"/>
    <x v="0"/>
    <x v="4"/>
    <n v="0"/>
    <x v="0"/>
    <s v="33ceef813ef14aac8ab44dc3a53606d8"/>
    <s v="Bancolombia Bono Sostenible"/>
    <x v="1"/>
    <x v="8"/>
    <s v="Commercial"/>
    <s v="SB Proyecto 7"/>
    <s v="Colombia"/>
    <d v="2019-07-19T00:00:00"/>
    <d v="2019-07-19T00:00:00"/>
    <s v="COP"/>
    <n v="30000000000"/>
    <n v="30000000000"/>
    <s v="COP"/>
    <n v="30000000000"/>
    <n v="9425041"/>
    <b v="1"/>
    <n v="0.97"/>
  </r>
  <r>
    <b v="1"/>
    <x v="0"/>
    <x v="0"/>
    <x v="0"/>
    <x v="0"/>
    <x v="0"/>
    <x v="4"/>
    <n v="0"/>
    <x v="0"/>
    <s v="33ceef813ef14aac8ab44dc3a53606d8"/>
    <s v="Bancolombia Bono Sostenible"/>
    <x v="0"/>
    <x v="7"/>
    <s v="Commercial"/>
    <s v="SB Proyecto 8"/>
    <s v="Colombia"/>
    <d v="2019-07-19T00:00:00"/>
    <d v="2019-07-19T00:00:00"/>
    <s v="COP"/>
    <n v="23145000000"/>
    <n v="23145000000"/>
    <s v="COP"/>
    <n v="23145000000"/>
    <n v="7271419"/>
    <b v="1"/>
    <n v="0.97"/>
  </r>
  <r>
    <b v="1"/>
    <x v="0"/>
    <x v="0"/>
    <x v="0"/>
    <x v="0"/>
    <x v="0"/>
    <x v="4"/>
    <n v="0"/>
    <x v="0"/>
    <s v="33ceef813ef14aac8ab44dc3a53606d8"/>
    <s v="Bancolombia Bono Sostenible"/>
    <x v="1"/>
    <x v="8"/>
    <s v="Commercial"/>
    <s v="SB Proyecto 8"/>
    <s v="Colombia"/>
    <d v="2019-07-19T00:00:00"/>
    <d v="2019-07-19T00:00:00"/>
    <s v="COP"/>
    <n v="23145000000"/>
    <n v="23145000000"/>
    <s v="COP"/>
    <n v="23145000000"/>
    <n v="7271419"/>
    <b v="1"/>
    <n v="0.97"/>
  </r>
  <r>
    <b v="1"/>
    <x v="0"/>
    <x v="0"/>
    <x v="0"/>
    <x v="0"/>
    <x v="0"/>
    <x v="4"/>
    <n v="0"/>
    <x v="0"/>
    <s v="33ceef813ef14aac8ab44dc3a53606d8"/>
    <s v="Bancolombia Bono Sostenible"/>
    <x v="0"/>
    <x v="7"/>
    <s v="Residential"/>
    <s v="SB Proyecto 9"/>
    <s v="Colombia"/>
    <d v="2019-07-19T00:00:00"/>
    <d v="2019-07-19T00:00:00"/>
    <s v="COP"/>
    <n v="19090000000"/>
    <n v="19090000000"/>
    <s v="COP"/>
    <n v="19090000000"/>
    <n v="5997468"/>
    <b v="1"/>
    <n v="0.97"/>
  </r>
  <r>
    <b v="1"/>
    <x v="0"/>
    <x v="0"/>
    <x v="0"/>
    <x v="0"/>
    <x v="0"/>
    <x v="4"/>
    <n v="0"/>
    <x v="0"/>
    <s v="33ceef813ef14aac8ab44dc3a53606d8"/>
    <s v="Bancolombia Bono Sostenible"/>
    <x v="1"/>
    <x v="8"/>
    <s v="Residential"/>
    <s v="SB Proyecto 9"/>
    <s v="Colombia"/>
    <d v="2019-07-19T00:00:00"/>
    <d v="2019-07-19T00:00:00"/>
    <s v="COP"/>
    <n v="19090000000"/>
    <n v="19090000000"/>
    <s v="COP"/>
    <n v="19090000000"/>
    <n v="5997468"/>
    <b v="1"/>
    <n v="0.97"/>
  </r>
  <r>
    <b v="1"/>
    <x v="0"/>
    <x v="0"/>
    <x v="0"/>
    <x v="0"/>
    <x v="0"/>
    <x v="4"/>
    <n v="0"/>
    <x v="0"/>
    <s v="33ceef813ef14aac8ab44dc3a53606d8"/>
    <s v="Bancolombia Bono Sostenible"/>
    <x v="0"/>
    <x v="7"/>
    <s v="Residential"/>
    <s v="SB Proyecto 10"/>
    <s v="Colombia"/>
    <d v="2019-07-19T00:00:00"/>
    <d v="2019-07-19T00:00:00"/>
    <s v="COP"/>
    <n v="30000000000"/>
    <n v="30000000000"/>
    <s v="COP"/>
    <n v="30000000000"/>
    <n v="9425041"/>
    <b v="1"/>
    <n v="0.97"/>
  </r>
  <r>
    <b v="1"/>
    <x v="0"/>
    <x v="0"/>
    <x v="0"/>
    <x v="0"/>
    <x v="0"/>
    <x v="4"/>
    <n v="0"/>
    <x v="0"/>
    <s v="33ceef813ef14aac8ab44dc3a53606d8"/>
    <s v="Bancolombia Bono Sostenible"/>
    <x v="1"/>
    <x v="8"/>
    <s v="Residential"/>
    <s v="SB Proyecto 10"/>
    <s v="Colombia"/>
    <d v="2019-07-19T00:00:00"/>
    <d v="2019-07-19T00:00:00"/>
    <s v="COP"/>
    <n v="30000000000"/>
    <n v="30000000000"/>
    <s v="COP"/>
    <n v="30000000000"/>
    <n v="9425041"/>
    <b v="1"/>
    <n v="0.97"/>
  </r>
  <r>
    <b v="1"/>
    <x v="0"/>
    <x v="0"/>
    <x v="0"/>
    <x v="0"/>
    <x v="0"/>
    <x v="4"/>
    <n v="0"/>
    <x v="0"/>
    <s v="33ceef813ef14aac8ab44dc3a53606d8"/>
    <s v="Bancolombia Bono Sostenible"/>
    <x v="0"/>
    <x v="7"/>
    <s v="Residential"/>
    <s v="SB Proyecto 11"/>
    <s v="Colombia"/>
    <d v="2019-07-19T00:00:00"/>
    <d v="2019-07-19T00:00:00"/>
    <s v="COP"/>
    <n v="30000000000"/>
    <n v="30000000000"/>
    <s v="COP"/>
    <n v="30000000000"/>
    <n v="9425041"/>
    <b v="1"/>
    <n v="0.97"/>
  </r>
  <r>
    <b v="1"/>
    <x v="0"/>
    <x v="0"/>
    <x v="0"/>
    <x v="0"/>
    <x v="0"/>
    <x v="4"/>
    <n v="0"/>
    <x v="0"/>
    <s v="33ceef813ef14aac8ab44dc3a53606d8"/>
    <s v="Bancolombia Bono Sostenible"/>
    <x v="1"/>
    <x v="8"/>
    <s v="Residential"/>
    <s v="SB Proyecto 11"/>
    <s v="Colombia"/>
    <d v="2019-07-19T00:00:00"/>
    <d v="2019-07-19T00:00:00"/>
    <s v="COP"/>
    <n v="30000000000"/>
    <n v="30000000000"/>
    <s v="COP"/>
    <n v="30000000000"/>
    <n v="9425041"/>
    <b v="1"/>
    <n v="0.97"/>
  </r>
  <r>
    <b v="1"/>
    <x v="0"/>
    <x v="0"/>
    <x v="0"/>
    <x v="0"/>
    <x v="0"/>
    <x v="4"/>
    <n v="0"/>
    <x v="0"/>
    <s v="33ceef813ef14aac8ab44dc3a53606d8"/>
    <s v="Bancolombia Bono Sostenible"/>
    <x v="0"/>
    <x v="7"/>
    <s v="Commercial"/>
    <s v="SB Proyecto 12"/>
    <s v="Colombia"/>
    <d v="2019-07-19T00:00:00"/>
    <d v="2019-07-19T00:00:00"/>
    <s v="COP"/>
    <n v="20000000000"/>
    <n v="20000000000"/>
    <s v="COP"/>
    <n v="20000000000"/>
    <n v="6283361"/>
    <b v="1"/>
    <n v="0.97"/>
  </r>
  <r>
    <b v="1"/>
    <x v="0"/>
    <x v="0"/>
    <x v="0"/>
    <x v="0"/>
    <x v="0"/>
    <x v="4"/>
    <n v="0"/>
    <x v="0"/>
    <s v="33ceef813ef14aac8ab44dc3a53606d8"/>
    <s v="Bancolombia Bono Sostenible"/>
    <x v="1"/>
    <x v="8"/>
    <s v="Commercial"/>
    <s v="SB Proyecto 12"/>
    <s v="Colombia"/>
    <d v="2019-07-19T00:00:00"/>
    <d v="2019-07-19T00:00:00"/>
    <s v="COP"/>
    <n v="20000000000"/>
    <n v="20000000000"/>
    <s v="COP"/>
    <n v="20000000000"/>
    <n v="6283361"/>
    <b v="1"/>
    <n v="0.97"/>
  </r>
  <r>
    <b v="1"/>
    <x v="0"/>
    <x v="0"/>
    <x v="0"/>
    <x v="0"/>
    <x v="0"/>
    <x v="4"/>
    <n v="0"/>
    <x v="0"/>
    <s v="33ceef813ef14aac8ab44dc3a53606d8"/>
    <s v="Bancolombia Bono Sostenible"/>
    <x v="0"/>
    <x v="7"/>
    <s v="Commercial"/>
    <s v="SB Proyecto 13"/>
    <s v="Colombia"/>
    <d v="2019-07-19T00:00:00"/>
    <d v="2019-07-19T00:00:00"/>
    <s v="COP"/>
    <n v="20000000000"/>
    <n v="20000000000"/>
    <s v="COP"/>
    <n v="20000000000"/>
    <n v="6283361"/>
    <b v="1"/>
    <n v="0.97"/>
  </r>
  <r>
    <b v="1"/>
    <x v="0"/>
    <x v="0"/>
    <x v="0"/>
    <x v="0"/>
    <x v="0"/>
    <x v="4"/>
    <n v="0"/>
    <x v="0"/>
    <s v="33ceef813ef14aac8ab44dc3a53606d8"/>
    <s v="Bancolombia Bono Sostenible"/>
    <x v="1"/>
    <x v="8"/>
    <s v="Commercial"/>
    <s v="SB Proyecto 13"/>
    <s v="Colombia"/>
    <d v="2019-07-19T00:00:00"/>
    <d v="2019-07-19T00:00:00"/>
    <s v="COP"/>
    <n v="20000000000"/>
    <n v="20000000000"/>
    <s v="COP"/>
    <n v="20000000000"/>
    <n v="6283361"/>
    <b v="1"/>
    <n v="0.97"/>
  </r>
  <r>
    <b v="1"/>
    <x v="0"/>
    <x v="0"/>
    <x v="0"/>
    <x v="0"/>
    <x v="0"/>
    <x v="4"/>
    <n v="0"/>
    <x v="0"/>
    <s v="33ceef813ef14aac8ab44dc3a53606d8"/>
    <s v="Bancolombia Bono Sostenible"/>
    <x v="0"/>
    <x v="7"/>
    <s v="Commercial"/>
    <s v="SB Proyecto 14"/>
    <s v="Colombia"/>
    <d v="2019-07-19T00:00:00"/>
    <d v="2019-07-19T00:00:00"/>
    <s v="COP"/>
    <n v="20000000000"/>
    <n v="20000000000"/>
    <s v="COP"/>
    <n v="20000000000"/>
    <n v="6283361"/>
    <b v="1"/>
    <n v="0.97"/>
  </r>
  <r>
    <b v="1"/>
    <x v="0"/>
    <x v="0"/>
    <x v="0"/>
    <x v="0"/>
    <x v="0"/>
    <x v="4"/>
    <n v="0"/>
    <x v="0"/>
    <s v="33ceef813ef14aac8ab44dc3a53606d8"/>
    <s v="Bancolombia Bono Sostenible"/>
    <x v="1"/>
    <x v="8"/>
    <s v="Commercial"/>
    <s v="SB Proyecto 14"/>
    <s v="Colombia"/>
    <d v="2019-07-19T00:00:00"/>
    <d v="2019-07-19T00:00:00"/>
    <s v="COP"/>
    <n v="20000000000"/>
    <n v="20000000000"/>
    <s v="COP"/>
    <n v="20000000000"/>
    <n v="6283361"/>
    <b v="1"/>
    <n v="0.97"/>
  </r>
  <r>
    <b v="1"/>
    <x v="0"/>
    <x v="0"/>
    <x v="0"/>
    <x v="0"/>
    <x v="0"/>
    <x v="4"/>
    <n v="0"/>
    <x v="0"/>
    <s v="33ceef813ef14aac8ab44dc3a53606d8"/>
    <s v="Bancolombia Bono Sostenible"/>
    <x v="0"/>
    <x v="7"/>
    <s v="Commercial"/>
    <s v="SB Proyecto 15"/>
    <s v="Colombia"/>
    <d v="2019-07-19T00:00:00"/>
    <d v="2019-07-19T00:00:00"/>
    <s v="COP"/>
    <n v="30000000000"/>
    <n v="30000000000"/>
    <s v="COP"/>
    <n v="30000000000"/>
    <n v="9425041"/>
    <b v="1"/>
    <n v="0.97"/>
  </r>
  <r>
    <b v="1"/>
    <x v="0"/>
    <x v="0"/>
    <x v="0"/>
    <x v="0"/>
    <x v="0"/>
    <x v="4"/>
    <n v="0"/>
    <x v="0"/>
    <s v="33ceef813ef14aac8ab44dc3a53606d8"/>
    <s v="Bancolombia Bono Sostenible"/>
    <x v="1"/>
    <x v="8"/>
    <s v="Commercial"/>
    <s v="SB Proyecto 15"/>
    <s v="Colombia"/>
    <d v="2019-07-19T00:00:00"/>
    <d v="2019-07-19T00:00:00"/>
    <s v="COP"/>
    <n v="30000000000"/>
    <n v="30000000000"/>
    <s v="COP"/>
    <n v="30000000000"/>
    <n v="9425041"/>
    <b v="1"/>
    <n v="0.97"/>
  </r>
  <r>
    <b v="1"/>
    <x v="0"/>
    <x v="0"/>
    <x v="0"/>
    <x v="0"/>
    <x v="0"/>
    <x v="4"/>
    <n v="0"/>
    <x v="0"/>
    <s v="33ceef813ef14aac8ab44dc3a53606d8"/>
    <s v="Bancolombia Bono Sostenible"/>
    <x v="0"/>
    <x v="7"/>
    <s v="Residential"/>
    <s v="SB Proyecto 27"/>
    <s v="Colombia"/>
    <d v="2019-07-19T00:00:00"/>
    <d v="2019-07-19T00:00:00"/>
    <s v="COP"/>
    <n v="13269000000"/>
    <n v="13269000000"/>
    <s v="COP"/>
    <n v="13269000000"/>
    <n v="4168696"/>
    <b v="0"/>
    <m/>
  </r>
  <r>
    <b v="1"/>
    <x v="0"/>
    <x v="0"/>
    <x v="0"/>
    <x v="0"/>
    <x v="0"/>
    <x v="4"/>
    <n v="0"/>
    <x v="0"/>
    <s v="33ceef813ef14aac8ab44dc3a53606d8"/>
    <s v="Bancolombia Bono Sostenible"/>
    <x v="1"/>
    <x v="8"/>
    <s v="Residential"/>
    <s v="SB Proyecto 27"/>
    <s v="Colombia"/>
    <d v="2019-07-19T00:00:00"/>
    <d v="2019-07-19T00:00:00"/>
    <s v="COP"/>
    <n v="13269000000"/>
    <n v="13269000000"/>
    <s v="COP"/>
    <n v="13269000000"/>
    <n v="4168696"/>
    <b v="0"/>
    <m/>
  </r>
  <r>
    <b v="1"/>
    <x v="0"/>
    <x v="0"/>
    <x v="0"/>
    <x v="0"/>
    <x v="0"/>
    <x v="4"/>
    <n v="0"/>
    <x v="0"/>
    <s v="33ceef813ef14aac8ab44dc3a53606d8"/>
    <s v="Bancolombia Bono Sostenible"/>
    <x v="0"/>
    <x v="7"/>
    <s v="Commercial"/>
    <s v="SB Proyecto 28"/>
    <s v="Colombia"/>
    <d v="2019-07-19T00:00:00"/>
    <d v="2019-07-19T00:00:00"/>
    <s v="COP"/>
    <n v="35000000000"/>
    <n v="35000000000"/>
    <s v="COP"/>
    <n v="35000000000"/>
    <n v="10995881"/>
    <b v="0"/>
    <m/>
  </r>
  <r>
    <b v="1"/>
    <x v="0"/>
    <x v="0"/>
    <x v="0"/>
    <x v="0"/>
    <x v="0"/>
    <x v="4"/>
    <n v="0"/>
    <x v="0"/>
    <s v="33ceef813ef14aac8ab44dc3a53606d8"/>
    <s v="Bancolombia Bono Sostenible"/>
    <x v="1"/>
    <x v="8"/>
    <s v="Commercial"/>
    <s v="SB Proyecto 28"/>
    <s v="Colombia"/>
    <d v="2019-07-19T00:00:00"/>
    <d v="2019-07-19T00:00:00"/>
    <s v="COP"/>
    <n v="35000000000"/>
    <n v="35000000000"/>
    <s v="COP"/>
    <n v="35000000000"/>
    <n v="10995881"/>
    <b v="0"/>
    <m/>
  </r>
  <r>
    <b v="1"/>
    <x v="0"/>
    <x v="0"/>
    <x v="0"/>
    <x v="0"/>
    <x v="0"/>
    <x v="4"/>
    <n v="0"/>
    <x v="0"/>
    <s v="33ceef813ef14aac8ab44dc3a53606d8"/>
    <s v="Bancolombia Bono Sostenible"/>
    <x v="0"/>
    <x v="7"/>
    <s v="Commercial"/>
    <s v="SB Proyecto 29"/>
    <s v="Colombia"/>
    <d v="2019-07-19T00:00:00"/>
    <d v="2019-07-19T00:00:00"/>
    <s v="COP"/>
    <n v="20000000000"/>
    <n v="20000000000"/>
    <s v="COP"/>
    <n v="20000000000"/>
    <n v="6283361"/>
    <b v="0"/>
    <m/>
  </r>
  <r>
    <b v="1"/>
    <x v="0"/>
    <x v="0"/>
    <x v="0"/>
    <x v="0"/>
    <x v="0"/>
    <x v="4"/>
    <n v="0"/>
    <x v="0"/>
    <s v="33ceef813ef14aac8ab44dc3a53606d8"/>
    <s v="Bancolombia Bono Sostenible"/>
    <x v="1"/>
    <x v="8"/>
    <s v="Commercial"/>
    <s v="SB Proyecto 29"/>
    <s v="Colombia"/>
    <d v="2019-07-19T00:00:00"/>
    <d v="2019-07-19T00:00:00"/>
    <s v="COP"/>
    <n v="20000000000"/>
    <n v="20000000000"/>
    <s v="COP"/>
    <n v="20000000000"/>
    <n v="6283361"/>
    <b v="0"/>
    <m/>
  </r>
  <r>
    <b v="1"/>
    <x v="0"/>
    <x v="0"/>
    <x v="2"/>
    <x v="0"/>
    <x v="1"/>
    <x v="5"/>
    <s v="BBG00GM45ZM4"/>
    <x v="0"/>
    <s v="d926bd6190f14503bf5981ccf4d7c715"/>
    <s v="BNDES Green Bond 2017"/>
    <x v="0"/>
    <x v="0"/>
    <s v="Wind"/>
    <s v="UEE Atlantic 2"/>
    <s v="Brazil"/>
    <d v="2018-04-30T00:00:00"/>
    <d v="2017-05-10T00:00:00"/>
    <s v="BRL"/>
    <n v="487465891"/>
    <n v="487465891"/>
    <s v="USD"/>
    <n v="153016885"/>
    <n v="153016885"/>
    <b v="1"/>
    <n v="0.61"/>
  </r>
  <r>
    <b v="1"/>
    <x v="0"/>
    <x v="0"/>
    <x v="2"/>
    <x v="0"/>
    <x v="1"/>
    <x v="5"/>
    <s v="BBG00GM45ZM4"/>
    <x v="0"/>
    <s v="d926bd6190f14503bf5981ccf4d7c715"/>
    <s v="BNDES Green Bond 2017"/>
    <x v="1"/>
    <x v="1"/>
    <s v="Generation"/>
    <s v="UEE Atlantic 2"/>
    <s v="Brazil"/>
    <d v="2018-04-30T00:00:00"/>
    <d v="2017-05-10T00:00:00"/>
    <s v="BRL"/>
    <n v="487465891"/>
    <n v="487465891"/>
    <s v="USD"/>
    <n v="153016885"/>
    <n v="153016885"/>
    <b v="1"/>
    <n v="0.61"/>
  </r>
  <r>
    <b v="1"/>
    <x v="0"/>
    <x v="0"/>
    <x v="2"/>
    <x v="0"/>
    <x v="1"/>
    <x v="5"/>
    <s v="BBG00GM45ZM4"/>
    <x v="0"/>
    <s v="d926bd6190f14503bf5981ccf4d7c715"/>
    <s v="BNDES Green Bond 2017"/>
    <x v="2"/>
    <x v="9"/>
    <s v="Unspecified"/>
    <s v="UEE Atlantic 2"/>
    <s v="Brazil"/>
    <d v="2018-04-30T00:00:00"/>
    <d v="2017-05-10T00:00:00"/>
    <s v="BRL"/>
    <n v="487465891"/>
    <n v="487465891"/>
    <s v="USD"/>
    <n v="153016885"/>
    <n v="153016885"/>
    <b v="1"/>
    <n v="0.61"/>
  </r>
  <r>
    <b v="1"/>
    <x v="0"/>
    <x v="0"/>
    <x v="2"/>
    <x v="0"/>
    <x v="1"/>
    <x v="5"/>
    <s v="BBG00GM45ZM4"/>
    <x v="0"/>
    <s v="d926bd6190f14503bf5981ccf4d7c715"/>
    <s v="BNDES Green Bond 2017"/>
    <x v="3"/>
    <x v="9"/>
    <s v="Unspecified"/>
    <s v="UEE Atlantic 2"/>
    <s v="Brazil"/>
    <d v="2018-04-30T00:00:00"/>
    <d v="2017-05-10T00:00:00"/>
    <s v="BRL"/>
    <n v="487465891"/>
    <n v="487465891"/>
    <s v="USD"/>
    <n v="153016885"/>
    <n v="153016885"/>
    <b v="1"/>
    <n v="0.61"/>
  </r>
  <r>
    <b v="1"/>
    <x v="0"/>
    <x v="0"/>
    <x v="2"/>
    <x v="0"/>
    <x v="1"/>
    <x v="5"/>
    <s v="BBG00GM45ZM4"/>
    <x v="0"/>
    <s v="d926bd6190f14503bf5981ccf4d7c715"/>
    <s v="BNDES Green Bond 2017"/>
    <x v="0"/>
    <x v="0"/>
    <s v="Wind"/>
    <s v="UEE Calango 6"/>
    <s v="Brazil"/>
    <d v="2018-04-30T00:00:00"/>
    <d v="2017-05-09T00:00:00"/>
    <s v="BRL"/>
    <n v="256023174"/>
    <n v="256023174"/>
    <s v="USD"/>
    <n v="80366379"/>
    <n v="80366379"/>
    <b v="1"/>
    <n v="0.49"/>
  </r>
  <r>
    <b v="1"/>
    <x v="0"/>
    <x v="0"/>
    <x v="2"/>
    <x v="0"/>
    <x v="1"/>
    <x v="5"/>
    <s v="BBG00GM45ZM4"/>
    <x v="0"/>
    <s v="d926bd6190f14503bf5981ccf4d7c715"/>
    <s v="BNDES Green Bond 2017"/>
    <x v="1"/>
    <x v="1"/>
    <s v="Generation"/>
    <s v="UEE Calango 6"/>
    <s v="Brazil"/>
    <d v="2018-04-30T00:00:00"/>
    <d v="2017-05-09T00:00:00"/>
    <s v="BRL"/>
    <n v="256023174"/>
    <n v="256023174"/>
    <s v="USD"/>
    <n v="80366379"/>
    <n v="80366379"/>
    <b v="1"/>
    <n v="0.49"/>
  </r>
  <r>
    <b v="1"/>
    <x v="0"/>
    <x v="0"/>
    <x v="0"/>
    <x v="0"/>
    <x v="0"/>
    <x v="6"/>
    <s v="BBG00QJ63P18"/>
    <x v="0"/>
    <s v="19e36a4428614da782362502bd1291a3"/>
    <s v="Attend Ambiental 2026"/>
    <x v="0"/>
    <x v="2"/>
    <s v="Treatment"/>
    <s v="Linhas de tratamento Attend Ambiental"/>
    <s v="Brazil"/>
    <d v="2019-10-09T00:00:00"/>
    <d v="2019-10-09T00:00:00"/>
    <s v="BRL"/>
    <n v="55000000"/>
    <n v="55000000"/>
    <s v="BRL"/>
    <n v="55000000"/>
    <n v="13687380"/>
    <b v="1"/>
    <n v="0.8"/>
  </r>
  <r>
    <b v="1"/>
    <x v="0"/>
    <x v="0"/>
    <x v="0"/>
    <x v="0"/>
    <x v="0"/>
    <x v="6"/>
    <s v="BBG00QJ63P18"/>
    <x v="0"/>
    <s v="19e36a4428614da782362502bd1291a3"/>
    <s v="Attend Ambiental 2026"/>
    <x v="1"/>
    <x v="3"/>
    <s v="Wastewater treatment"/>
    <s v="Linhas de tratamento Attend Ambiental"/>
    <s v="Brazil"/>
    <d v="2019-10-09T00:00:00"/>
    <d v="2019-10-09T00:00:00"/>
    <s v="BRL"/>
    <n v="55000000"/>
    <n v="55000000"/>
    <s v="BRL"/>
    <n v="55000000"/>
    <n v="13687380"/>
    <b v="1"/>
    <n v="0.8"/>
  </r>
  <r>
    <b v="1"/>
    <x v="0"/>
    <x v="0"/>
    <x v="2"/>
    <x v="0"/>
    <x v="1"/>
    <x v="5"/>
    <s v="BBG00GM45ZM4"/>
    <x v="0"/>
    <s v="d926bd6190f14503bf5981ccf4d7c715"/>
    <s v="BNDES Green Bond 2017"/>
    <x v="2"/>
    <x v="9"/>
    <s v="Unspecified"/>
    <s v="UEE Calango 6"/>
    <s v="Brazil"/>
    <d v="2018-04-30T00:00:00"/>
    <d v="2017-05-09T00:00:00"/>
    <s v="BRL"/>
    <n v="256023174"/>
    <n v="256023174"/>
    <s v="USD"/>
    <n v="80366379"/>
    <n v="80366379"/>
    <b v="1"/>
    <n v="0.49"/>
  </r>
  <r>
    <b v="1"/>
    <x v="0"/>
    <x v="0"/>
    <x v="2"/>
    <x v="0"/>
    <x v="1"/>
    <x v="5"/>
    <s v="BBG00GM45ZM4"/>
    <x v="0"/>
    <s v="d926bd6190f14503bf5981ccf4d7c715"/>
    <s v="BNDES Green Bond 2017"/>
    <x v="3"/>
    <x v="9"/>
    <s v="Unspecified"/>
    <s v="UEE Calango 6"/>
    <s v="Brazil"/>
    <d v="2018-04-30T00:00:00"/>
    <d v="2017-05-09T00:00:00"/>
    <s v="BRL"/>
    <n v="256023174"/>
    <n v="256023174"/>
    <s v="USD"/>
    <n v="80366379"/>
    <n v="80366379"/>
    <b v="1"/>
    <n v="0.49"/>
  </r>
  <r>
    <b v="1"/>
    <x v="0"/>
    <x v="0"/>
    <x v="1"/>
    <x v="0"/>
    <x v="1"/>
    <x v="2"/>
    <s v="BBG00PQCN094"/>
    <x v="0"/>
    <s v="19a9b617aa704f8285094522d06a5367"/>
    <s v="Neoenergia - 6¬™ emiss√£o de deb√™ntures"/>
    <x v="0"/>
    <x v="0"/>
    <s v="Wind"/>
    <s v="Chafariz 4"/>
    <s v="Brazil"/>
    <d v="2019-07-23T00:00:00"/>
    <d v="2020-03-30T00:00:00"/>
    <s v="BRL"/>
    <n v="20700000"/>
    <n v="15400000"/>
    <s v="BRL"/>
    <n v="15400000"/>
    <n v="2965131"/>
    <b v="1"/>
    <n v="0.13"/>
  </r>
  <r>
    <b v="1"/>
    <x v="0"/>
    <x v="0"/>
    <x v="1"/>
    <x v="0"/>
    <x v="1"/>
    <x v="2"/>
    <s v="BBG00PQCN094"/>
    <x v="0"/>
    <s v="19a9b617aa704f8285094522d06a5367"/>
    <s v="Neoenergia - 6¬™ emiss√£o de deb√™ntures"/>
    <x v="1"/>
    <x v="1"/>
    <s v="Generation"/>
    <s v="Chafariz 4"/>
    <s v="Brazil"/>
    <d v="2019-07-23T00:00:00"/>
    <d v="2020-03-30T00:00:00"/>
    <s v="BRL"/>
    <n v="20700000"/>
    <n v="15400000"/>
    <s v="BRL"/>
    <n v="15400000"/>
    <n v="2965131"/>
    <b v="1"/>
    <n v="0.13"/>
  </r>
  <r>
    <b v="1"/>
    <x v="0"/>
    <x v="0"/>
    <x v="1"/>
    <x v="0"/>
    <x v="1"/>
    <x v="2"/>
    <s v="BBG00PQCN094"/>
    <x v="0"/>
    <s v="19a9b617aa704f8285094522d06a5367"/>
    <s v="Neoenergia - 6¬™ emiss√£o de deb√™ntures"/>
    <x v="0"/>
    <x v="0"/>
    <s v="Wind"/>
    <s v="Chafariz 5"/>
    <s v="Brazil"/>
    <d v="2019-07-23T00:00:00"/>
    <d v="2020-03-30T00:00:00"/>
    <s v="BRL"/>
    <n v="20700000"/>
    <n v="16600000"/>
    <s v="BRL"/>
    <n v="16600000"/>
    <n v="3196180"/>
    <b v="1"/>
    <n v="0.13"/>
  </r>
  <r>
    <b v="1"/>
    <x v="0"/>
    <x v="0"/>
    <x v="1"/>
    <x v="0"/>
    <x v="1"/>
    <x v="2"/>
    <s v="BBG00PQCN094"/>
    <x v="0"/>
    <s v="19a9b617aa704f8285094522d06a5367"/>
    <s v="Neoenergia - 6¬™ emiss√£o de deb√™ntures"/>
    <x v="1"/>
    <x v="1"/>
    <s v="Generation"/>
    <s v="Chafariz 5"/>
    <s v="Brazil"/>
    <d v="2019-07-23T00:00:00"/>
    <d v="2020-03-30T00:00:00"/>
    <s v="BRL"/>
    <n v="20700000"/>
    <n v="16600000"/>
    <s v="BRL"/>
    <n v="16600000"/>
    <n v="3196180"/>
    <b v="1"/>
    <n v="0.13"/>
  </r>
  <r>
    <b v="1"/>
    <x v="0"/>
    <x v="0"/>
    <x v="1"/>
    <x v="0"/>
    <x v="1"/>
    <x v="2"/>
    <s v="BBG00PQCN094"/>
    <x v="0"/>
    <s v="19a9b617aa704f8285094522d06a5367"/>
    <s v="Neoenergia - 6¬™ emiss√£o de deb√™ntures"/>
    <x v="0"/>
    <x v="0"/>
    <s v="Wind"/>
    <s v="Chafariz 6"/>
    <s v="Brazil"/>
    <d v="2019-07-23T00:00:00"/>
    <d v="2020-03-30T00:00:00"/>
    <s v="BRL"/>
    <n v="13000000"/>
    <n v="13000000"/>
    <s v="BRL"/>
    <n v="13000000"/>
    <n v="2503033"/>
    <b v="1"/>
    <n v="0.09"/>
  </r>
  <r>
    <b v="1"/>
    <x v="0"/>
    <x v="0"/>
    <x v="1"/>
    <x v="0"/>
    <x v="1"/>
    <x v="2"/>
    <s v="BBG00PQCN094"/>
    <x v="0"/>
    <s v="19a9b617aa704f8285094522d06a5367"/>
    <s v="Neoenergia - 6¬™ emiss√£o de deb√™ntures"/>
    <x v="1"/>
    <x v="1"/>
    <s v="Generation"/>
    <s v="Chafariz 6"/>
    <s v="Brazil"/>
    <d v="2019-07-23T00:00:00"/>
    <d v="2020-03-30T00:00:00"/>
    <s v="BRL"/>
    <n v="13000000"/>
    <n v="13000000"/>
    <s v="BRL"/>
    <n v="13000000"/>
    <n v="2503033"/>
    <b v="1"/>
    <n v="0.09"/>
  </r>
  <r>
    <b v="1"/>
    <x v="0"/>
    <x v="0"/>
    <x v="2"/>
    <x v="0"/>
    <x v="1"/>
    <x v="5"/>
    <s v="BBG00GM45ZM4"/>
    <x v="0"/>
    <s v="d926bd6190f14503bf5981ccf4d7c715"/>
    <s v="BNDES Green Bond 2017"/>
    <x v="0"/>
    <x v="0"/>
    <s v="Wind"/>
    <s v="UEE Brazil Energy"/>
    <s v="Brazil"/>
    <d v="2018-04-30T00:00:00"/>
    <d v="2017-05-11T00:00:00"/>
    <s v="BRL"/>
    <n v="391625072"/>
    <n v="391625072"/>
    <s v="USD"/>
    <n v="122932188"/>
    <n v="122932188"/>
    <b v="1"/>
    <n v="0.45"/>
  </r>
  <r>
    <b v="1"/>
    <x v="0"/>
    <x v="0"/>
    <x v="2"/>
    <x v="0"/>
    <x v="1"/>
    <x v="5"/>
    <s v="BBG00GM45ZM4"/>
    <x v="0"/>
    <s v="d926bd6190f14503bf5981ccf4d7c715"/>
    <s v="BNDES Green Bond 2017"/>
    <x v="1"/>
    <x v="1"/>
    <s v="Generation"/>
    <s v="UEE Brazil Energy"/>
    <s v="Brazil"/>
    <d v="2018-04-30T00:00:00"/>
    <d v="2017-05-11T00:00:00"/>
    <s v="BRL"/>
    <n v="391625072"/>
    <n v="391625072"/>
    <s v="USD"/>
    <n v="122932188"/>
    <n v="122932188"/>
    <b v="1"/>
    <n v="0.45"/>
  </r>
  <r>
    <b v="1"/>
    <x v="0"/>
    <x v="0"/>
    <x v="2"/>
    <x v="0"/>
    <x v="1"/>
    <x v="5"/>
    <s v="BBG00GM45ZM4"/>
    <x v="0"/>
    <s v="d926bd6190f14503bf5981ccf4d7c715"/>
    <s v="BNDES Green Bond 2017"/>
    <x v="2"/>
    <x v="9"/>
    <s v="Unspecified"/>
    <s v="UEE Brazil Energy"/>
    <s v="Brazil"/>
    <d v="2018-04-30T00:00:00"/>
    <d v="2017-05-11T00:00:00"/>
    <s v="BRL"/>
    <n v="391625072"/>
    <n v="391625072"/>
    <s v="USD"/>
    <n v="122932188"/>
    <n v="122932188"/>
    <b v="1"/>
    <n v="0.45"/>
  </r>
  <r>
    <b v="1"/>
    <x v="0"/>
    <x v="0"/>
    <x v="2"/>
    <x v="0"/>
    <x v="1"/>
    <x v="5"/>
    <s v="BBG00GM45ZM4"/>
    <x v="0"/>
    <s v="d926bd6190f14503bf5981ccf4d7c715"/>
    <s v="BNDES Green Bond 2017"/>
    <x v="3"/>
    <x v="9"/>
    <s v="Unspecified"/>
    <s v="UEE Brazil Energy"/>
    <s v="Brazil"/>
    <d v="2018-04-30T00:00:00"/>
    <d v="2017-05-11T00:00:00"/>
    <s v="BRL"/>
    <n v="391625072"/>
    <n v="391625072"/>
    <s v="USD"/>
    <n v="122932188"/>
    <n v="122932188"/>
    <b v="1"/>
    <n v="0.45"/>
  </r>
  <r>
    <b v="1"/>
    <x v="0"/>
    <x v="0"/>
    <x v="2"/>
    <x v="0"/>
    <x v="1"/>
    <x v="5"/>
    <s v="BBG00GM45ZM4"/>
    <x v="0"/>
    <s v="d926bd6190f14503bf5981ccf4d7c715"/>
    <s v="BNDES Green Bond 2017"/>
    <x v="0"/>
    <x v="0"/>
    <s v="Wind"/>
    <s v="UEE Contour Picos 2"/>
    <s v="Brazil"/>
    <d v="2018-04-30T00:00:00"/>
    <d v="2017-05-12T00:00:00"/>
    <s v="BRL"/>
    <n v="571079500"/>
    <n v="571079500"/>
    <s v="USD"/>
    <n v="179263427"/>
    <n v="179263427"/>
    <b v="1"/>
    <n v="0.62"/>
  </r>
  <r>
    <b v="1"/>
    <x v="0"/>
    <x v="0"/>
    <x v="2"/>
    <x v="0"/>
    <x v="1"/>
    <x v="5"/>
    <s v="BBG00GM45ZM4"/>
    <x v="0"/>
    <s v="d926bd6190f14503bf5981ccf4d7c715"/>
    <s v="BNDES Green Bond 2017"/>
    <x v="1"/>
    <x v="1"/>
    <s v="Generation"/>
    <s v="UEE Contour Picos 2"/>
    <s v="Brazil"/>
    <d v="2018-04-30T00:00:00"/>
    <d v="2017-05-12T00:00:00"/>
    <s v="BRL"/>
    <n v="571079500"/>
    <n v="571079500"/>
    <s v="USD"/>
    <n v="179263427"/>
    <n v="179263427"/>
    <b v="1"/>
    <n v="0.62"/>
  </r>
  <r>
    <b v="1"/>
    <x v="0"/>
    <x v="0"/>
    <x v="2"/>
    <x v="0"/>
    <x v="1"/>
    <x v="5"/>
    <s v="BBG00GM45ZM4"/>
    <x v="0"/>
    <s v="d926bd6190f14503bf5981ccf4d7c715"/>
    <s v="BNDES Green Bond 2017"/>
    <x v="2"/>
    <x v="9"/>
    <s v="Unspecified"/>
    <s v="UEE Contour Picos 2"/>
    <s v="Brazil"/>
    <d v="2018-04-30T00:00:00"/>
    <d v="2017-05-12T00:00:00"/>
    <s v="BRL"/>
    <n v="571079500"/>
    <n v="571079500"/>
    <s v="USD"/>
    <n v="179263427"/>
    <n v="179263427"/>
    <b v="1"/>
    <n v="0.62"/>
  </r>
  <r>
    <b v="1"/>
    <x v="0"/>
    <x v="0"/>
    <x v="2"/>
    <x v="0"/>
    <x v="1"/>
    <x v="5"/>
    <s v="BBG00GM45ZM4"/>
    <x v="0"/>
    <s v="d926bd6190f14503bf5981ccf4d7c715"/>
    <s v="BNDES Green Bond 2017"/>
    <x v="3"/>
    <x v="9"/>
    <s v="Unspecified"/>
    <s v="UEE Contour Picos 2"/>
    <s v="Brazil"/>
    <d v="2018-04-30T00:00:00"/>
    <d v="2017-05-12T00:00:00"/>
    <s v="BRL"/>
    <n v="571079500"/>
    <n v="571079500"/>
    <s v="USD"/>
    <n v="179263427"/>
    <n v="179263427"/>
    <b v="1"/>
    <n v="0.62"/>
  </r>
  <r>
    <b v="1"/>
    <x v="0"/>
    <x v="0"/>
    <x v="2"/>
    <x v="0"/>
    <x v="1"/>
    <x v="5"/>
    <s v="BBG00GM45ZM4"/>
    <x v="0"/>
    <s v="d926bd6190f14503bf5981ccf4d7c715"/>
    <s v="BNDES Green Bond 2017"/>
    <x v="0"/>
    <x v="0"/>
    <s v="Wind"/>
    <s v="UEE Rio Energy I"/>
    <s v="Brazil"/>
    <d v="2018-04-30T00:00:00"/>
    <d v="2017-05-13T00:00:00"/>
    <s v="BRL"/>
    <n v="650772000"/>
    <n v="650772000"/>
    <s v="USD"/>
    <n v="204279122"/>
    <n v="204279122"/>
    <b v="1"/>
    <n v="0.6"/>
  </r>
  <r>
    <b v="1"/>
    <x v="0"/>
    <x v="0"/>
    <x v="2"/>
    <x v="0"/>
    <x v="1"/>
    <x v="5"/>
    <s v="BBG00GM45ZM4"/>
    <x v="0"/>
    <s v="d926bd6190f14503bf5981ccf4d7c715"/>
    <s v="BNDES Green Bond 2017"/>
    <x v="1"/>
    <x v="1"/>
    <s v="Generation"/>
    <s v="UEE Rio Energy I"/>
    <s v="Brazil"/>
    <d v="2018-04-30T00:00:00"/>
    <d v="2017-05-13T00:00:00"/>
    <s v="BRL"/>
    <n v="650772000"/>
    <n v="650772000"/>
    <s v="USD"/>
    <n v="204279122"/>
    <n v="204279122"/>
    <b v="1"/>
    <n v="0.6"/>
  </r>
  <r>
    <b v="1"/>
    <x v="0"/>
    <x v="0"/>
    <x v="2"/>
    <x v="0"/>
    <x v="1"/>
    <x v="5"/>
    <s v="BBG00GM45ZM4"/>
    <x v="0"/>
    <s v="d926bd6190f14503bf5981ccf4d7c715"/>
    <s v="BNDES Green Bond 2017"/>
    <x v="2"/>
    <x v="9"/>
    <s v="Unspecified"/>
    <s v="UEE Rio Energy I"/>
    <s v="Brazil"/>
    <d v="2018-04-30T00:00:00"/>
    <d v="2017-05-13T00:00:00"/>
    <s v="BRL"/>
    <n v="650772000"/>
    <n v="650772000"/>
    <s v="USD"/>
    <n v="204279122"/>
    <n v="204279122"/>
    <b v="1"/>
    <n v="0.6"/>
  </r>
  <r>
    <b v="1"/>
    <x v="0"/>
    <x v="0"/>
    <x v="2"/>
    <x v="0"/>
    <x v="1"/>
    <x v="5"/>
    <s v="BBG00GM45ZM4"/>
    <x v="0"/>
    <s v="d926bd6190f14503bf5981ccf4d7c715"/>
    <s v="BNDES Green Bond 2017"/>
    <x v="3"/>
    <x v="9"/>
    <s v="Unspecified"/>
    <s v="UEE Rio Energy I"/>
    <s v="Brazil"/>
    <d v="2018-04-30T00:00:00"/>
    <d v="2017-05-13T00:00:00"/>
    <s v="BRL"/>
    <n v="650772000"/>
    <n v="650772000"/>
    <s v="USD"/>
    <n v="204279122"/>
    <n v="204279122"/>
    <b v="1"/>
    <n v="0.6"/>
  </r>
  <r>
    <b v="1"/>
    <x v="0"/>
    <x v="0"/>
    <x v="2"/>
    <x v="0"/>
    <x v="1"/>
    <x v="7"/>
    <n v="0"/>
    <x v="0"/>
    <s v="3138cc32cdef45918af3cade062653bd"/>
    <s v="FEFA 18V"/>
    <x v="0"/>
    <x v="10"/>
    <s v="Agriculture"/>
    <s v="Protected Agriculture"/>
    <s v="Mexico"/>
    <d v="2018-10-23T00:00:00"/>
    <d v="2019-01-31T00:00:00"/>
    <s v="MXN"/>
    <n v="1311000000"/>
    <n v="1311000000"/>
    <s v="MXN"/>
    <n v="1311000000"/>
    <n v="67507723"/>
    <b v="1"/>
    <n v="0.8"/>
  </r>
  <r>
    <b v="1"/>
    <x v="0"/>
    <x v="0"/>
    <x v="2"/>
    <x v="0"/>
    <x v="1"/>
    <x v="7"/>
    <n v="0"/>
    <x v="0"/>
    <s v="3138cc32cdef45918af3cade062653bd"/>
    <s v="FEFA 18V"/>
    <x v="1"/>
    <x v="11"/>
    <s v="Agriculture"/>
    <s v="Protected Agriculture"/>
    <s v="Mexico"/>
    <d v="2018-10-23T00:00:00"/>
    <d v="2019-01-31T00:00:00"/>
    <s v="MXN"/>
    <n v="1311000000"/>
    <n v="1311000000"/>
    <s v="MXN"/>
    <n v="1311000000"/>
    <n v="67507723"/>
    <b v="1"/>
    <n v="0.8"/>
  </r>
  <r>
    <b v="1"/>
    <x v="0"/>
    <x v="0"/>
    <x v="2"/>
    <x v="0"/>
    <x v="1"/>
    <x v="7"/>
    <n v="0"/>
    <x v="0"/>
    <s v="3138cc32cdef45918af3cade062653bd"/>
    <s v="FEFA 18V"/>
    <x v="0"/>
    <x v="10"/>
    <s v="Agriculture"/>
    <s v="Localized irrigation"/>
    <s v="Mexico"/>
    <d v="2018-10-23T00:00:00"/>
    <d v="2019-01-31T00:00:00"/>
    <s v="MXN"/>
    <n v="744000000"/>
    <n v="744000000"/>
    <s v="MXN"/>
    <n v="744000000"/>
    <n v="38311019"/>
    <b v="1"/>
    <n v="0.8"/>
  </r>
  <r>
    <b v="1"/>
    <x v="0"/>
    <x v="0"/>
    <x v="2"/>
    <x v="0"/>
    <x v="1"/>
    <x v="7"/>
    <n v="0"/>
    <x v="0"/>
    <s v="3138cc32cdef45918af3cade062653bd"/>
    <s v="FEFA 18V"/>
    <x v="1"/>
    <x v="11"/>
    <s v="Agriculture"/>
    <s v="Localized irrigation"/>
    <s v="Mexico"/>
    <d v="2018-10-23T00:00:00"/>
    <d v="2019-01-31T00:00:00"/>
    <s v="MXN"/>
    <n v="744000000"/>
    <n v="744000000"/>
    <s v="MXN"/>
    <n v="744000000"/>
    <n v="38311019"/>
    <b v="1"/>
    <n v="0.8"/>
  </r>
  <r>
    <b v="1"/>
    <x v="0"/>
    <x v="0"/>
    <x v="2"/>
    <x v="0"/>
    <x v="1"/>
    <x v="7"/>
    <n v="0"/>
    <x v="0"/>
    <s v="3138cc32cdef45918af3cade062653bd"/>
    <s v="FEFA 18V"/>
    <x v="0"/>
    <x v="10"/>
    <s v="Agriculture"/>
    <s v="Sprinkler irrigation"/>
    <s v="Mexico"/>
    <d v="2018-10-23T00:00:00"/>
    <d v="2019-01-31T00:00:00"/>
    <s v="MXN"/>
    <n v="448000000"/>
    <n v="448000000"/>
    <s v="MXN"/>
    <n v="448000000"/>
    <n v="23069001"/>
    <b v="1"/>
    <n v="0.8"/>
  </r>
  <r>
    <b v="1"/>
    <x v="0"/>
    <x v="0"/>
    <x v="2"/>
    <x v="0"/>
    <x v="1"/>
    <x v="7"/>
    <n v="0"/>
    <x v="0"/>
    <s v="3138cc32cdef45918af3cade062653bd"/>
    <s v="FEFA 18V"/>
    <x v="1"/>
    <x v="11"/>
    <s v="Agriculture"/>
    <s v="Sprinkler irrigation"/>
    <s v="Mexico"/>
    <d v="2018-10-23T00:00:00"/>
    <d v="2019-01-31T00:00:00"/>
    <s v="MXN"/>
    <n v="448000000"/>
    <n v="448000000"/>
    <s v="MXN"/>
    <n v="448000000"/>
    <n v="23069001"/>
    <b v="1"/>
    <n v="0.8"/>
  </r>
  <r>
    <b v="1"/>
    <x v="0"/>
    <x v="0"/>
    <x v="2"/>
    <x v="0"/>
    <x v="1"/>
    <x v="8"/>
    <n v="0"/>
    <x v="0"/>
    <s v="3b70961fc8884f169dc04b9d539085f2"/>
    <s v="FEFA 19V"/>
    <x v="0"/>
    <x v="10"/>
    <s v="Agriculture"/>
    <s v="Protected agriculture FEFA 19V"/>
    <s v="Mexico"/>
    <d v="2019-11-22T00:00:00"/>
    <d v="2020-11-22T00:00:00"/>
    <s v="MXN"/>
    <n v="529700000"/>
    <n v="529700000"/>
    <s v="MXN"/>
    <n v="529700000"/>
    <n v="27318205"/>
    <b v="1"/>
    <n v="0.8"/>
  </r>
  <r>
    <b v="1"/>
    <x v="0"/>
    <x v="0"/>
    <x v="2"/>
    <x v="0"/>
    <x v="1"/>
    <x v="8"/>
    <n v="0"/>
    <x v="0"/>
    <s v="3b70961fc8884f169dc04b9d539085f2"/>
    <s v="FEFA 19V"/>
    <x v="1"/>
    <x v="11"/>
    <s v="Agriculture"/>
    <s v="Protected agriculture FEFA 19V"/>
    <s v="Mexico"/>
    <d v="2019-11-22T00:00:00"/>
    <d v="2020-11-22T00:00:00"/>
    <s v="MXN"/>
    <n v="529700000"/>
    <n v="529700000"/>
    <s v="MXN"/>
    <n v="529700000"/>
    <n v="27318205"/>
    <b v="1"/>
    <n v="0.8"/>
  </r>
  <r>
    <b v="1"/>
    <x v="0"/>
    <x v="0"/>
    <x v="2"/>
    <x v="0"/>
    <x v="1"/>
    <x v="8"/>
    <n v="0"/>
    <x v="0"/>
    <s v="3b70961fc8884f169dc04b9d539085f2"/>
    <s v="FEFA 19V"/>
    <x v="0"/>
    <x v="10"/>
    <s v="Commercial Forestry"/>
    <s v="Forestry FEFA 19V"/>
    <s v="Mexico"/>
    <d v="2019-11-22T00:00:00"/>
    <d v="2020-11-22T00:00:00"/>
    <s v="MXN"/>
    <n v="242500000"/>
    <n v="242500000"/>
    <s v="MXN"/>
    <n v="242500000"/>
    <n v="12506446"/>
    <b v="1"/>
    <n v="0.8"/>
  </r>
  <r>
    <b v="1"/>
    <x v="0"/>
    <x v="0"/>
    <x v="2"/>
    <x v="0"/>
    <x v="1"/>
    <x v="8"/>
    <n v="0"/>
    <x v="0"/>
    <s v="3b70961fc8884f169dc04b9d539085f2"/>
    <s v="FEFA 19V"/>
    <x v="1"/>
    <x v="11"/>
    <s v="Forestry"/>
    <s v="Forestry FEFA 19V"/>
    <s v="Mexico"/>
    <d v="2019-11-22T00:00:00"/>
    <d v="2020-11-22T00:00:00"/>
    <s v="MXN"/>
    <n v="242500000"/>
    <n v="242500000"/>
    <s v="MXN"/>
    <n v="242500000"/>
    <n v="12506446"/>
    <b v="1"/>
    <n v="0.8"/>
  </r>
  <r>
    <b v="1"/>
    <x v="0"/>
    <x v="0"/>
    <x v="2"/>
    <x v="0"/>
    <x v="1"/>
    <x v="8"/>
    <n v="0"/>
    <x v="0"/>
    <s v="3b70961fc8884f169dc04b9d539085f2"/>
    <s v="FEFA 19V"/>
    <x v="0"/>
    <x v="10"/>
    <s v="Agriculture"/>
    <s v="Localized irrigation FEFA19V"/>
    <s v="Mexico"/>
    <d v="2019-11-22T00:00:00"/>
    <d v="2020-11-22T00:00:00"/>
    <s v="MXN"/>
    <n v="287000000"/>
    <n v="287000000"/>
    <s v="MXN"/>
    <n v="287000000"/>
    <n v="14801444"/>
    <b v="1"/>
    <n v="0.8"/>
  </r>
  <r>
    <b v="1"/>
    <x v="0"/>
    <x v="0"/>
    <x v="2"/>
    <x v="0"/>
    <x v="1"/>
    <x v="8"/>
    <n v="0"/>
    <x v="0"/>
    <s v="3b70961fc8884f169dc04b9d539085f2"/>
    <s v="FEFA 19V"/>
    <x v="1"/>
    <x v="11"/>
    <s v="Agriculture"/>
    <s v="Localized irrigation FEFA19V"/>
    <s v="Mexico"/>
    <d v="2019-11-22T00:00:00"/>
    <d v="2020-11-22T00:00:00"/>
    <s v="MXN"/>
    <n v="287000000"/>
    <n v="287000000"/>
    <s v="MXN"/>
    <n v="287000000"/>
    <n v="14801444"/>
    <b v="1"/>
    <n v="0.8"/>
  </r>
  <r>
    <b v="1"/>
    <x v="0"/>
    <x v="0"/>
    <x v="2"/>
    <x v="0"/>
    <x v="1"/>
    <x v="8"/>
    <n v="0"/>
    <x v="0"/>
    <s v="3b70961fc8884f169dc04b9d539085f2"/>
    <s v="FEFA 19V"/>
    <x v="0"/>
    <x v="10"/>
    <s v="Agriculture"/>
    <s v="Sprinkler irrigation FEFA 19V"/>
    <s v="Mexico"/>
    <d v="2019-11-22T00:00:00"/>
    <d v="2020-11-22T00:00:00"/>
    <s v="MXN"/>
    <n v="144400000"/>
    <n v="144400000"/>
    <s v="MXN"/>
    <n v="144400000"/>
    <n v="7447137"/>
    <b v="1"/>
    <n v="0.8"/>
  </r>
  <r>
    <b v="1"/>
    <x v="0"/>
    <x v="0"/>
    <x v="2"/>
    <x v="0"/>
    <x v="1"/>
    <x v="8"/>
    <n v="0"/>
    <x v="0"/>
    <s v="3b70961fc8884f169dc04b9d539085f2"/>
    <s v="FEFA 19V"/>
    <x v="1"/>
    <x v="11"/>
    <s v="Agriculture"/>
    <s v="Sprinkler irrigation FEFA 19V"/>
    <s v="Mexico"/>
    <d v="2019-11-22T00:00:00"/>
    <d v="2020-11-22T00:00:00"/>
    <s v="MXN"/>
    <n v="144400000"/>
    <n v="144400000"/>
    <s v="MXN"/>
    <n v="144400000"/>
    <n v="7447137"/>
    <b v="1"/>
    <n v="0.8"/>
  </r>
  <r>
    <b v="1"/>
    <x v="0"/>
    <x v="0"/>
    <x v="1"/>
    <x v="0"/>
    <x v="1"/>
    <x v="2"/>
    <s v="BBG00PQCN094"/>
    <x v="0"/>
    <s v="19a9b617aa704f8285094522d06a5367"/>
    <s v="Neoenergia - 6¬™ emiss√£o de deb√™ntures"/>
    <x v="0"/>
    <x v="0"/>
    <s v="Wind"/>
    <s v="Chafariz 7"/>
    <s v="Brazil"/>
    <d v="2019-07-23T00:00:00"/>
    <d v="2020-03-30T00:00:00"/>
    <s v="BRL"/>
    <n v="12600000"/>
    <n v="12600000"/>
    <s v="BRL"/>
    <n v="12600000"/>
    <n v="2426016"/>
    <b v="1"/>
    <n v="0.08"/>
  </r>
  <r>
    <b v="1"/>
    <x v="0"/>
    <x v="0"/>
    <x v="1"/>
    <x v="0"/>
    <x v="1"/>
    <x v="2"/>
    <s v="BBG00PQCN094"/>
    <x v="0"/>
    <s v="19a9b617aa704f8285094522d06a5367"/>
    <s v="Neoenergia - 6¬™ emiss√£o de deb√™ntures"/>
    <x v="1"/>
    <x v="1"/>
    <s v="Generation"/>
    <s v="Chafariz 7"/>
    <s v="Brazil"/>
    <d v="2019-07-23T00:00:00"/>
    <d v="2020-03-30T00:00:00"/>
    <s v="BRL"/>
    <n v="12600000"/>
    <n v="12600000"/>
    <s v="BRL"/>
    <n v="12600000"/>
    <n v="2426016"/>
    <b v="1"/>
    <n v="0.08"/>
  </r>
  <r>
    <b v="1"/>
    <x v="0"/>
    <x v="0"/>
    <x v="0"/>
    <x v="0"/>
    <x v="0"/>
    <x v="9"/>
    <n v="0"/>
    <x v="0"/>
    <s v="0f91b88562524743ad5ecf105cddab89"/>
    <s v="Banco Nacional de Costa Rica 2021"/>
    <x v="0"/>
    <x v="0"/>
    <s v="Transmission"/>
    <s v="Subestacion Coronado"/>
    <s v="Costa Rica"/>
    <d v="2019-12-30T00:00:00"/>
    <d v="2019-12-30T00:00:00"/>
    <s v="USD"/>
    <n v="4883113.12"/>
    <n v="4883113.12"/>
    <s v="USD"/>
    <n v="4883113.12"/>
    <n v="4883113"/>
    <b v="0"/>
    <n v="0.5"/>
  </r>
  <r>
    <b v="1"/>
    <x v="0"/>
    <x v="0"/>
    <x v="0"/>
    <x v="0"/>
    <x v="0"/>
    <x v="9"/>
    <n v="0"/>
    <x v="0"/>
    <s v="0f91b88562524743ad5ecf105cddab89"/>
    <s v="Banco Nacional de Costa Rica 2021"/>
    <x v="1"/>
    <x v="1"/>
    <s v="Transmission"/>
    <s v="Subestacion Coronado"/>
    <s v="Costa Rica"/>
    <d v="2019-12-30T00:00:00"/>
    <d v="2019-12-30T00:00:00"/>
    <s v="USD"/>
    <n v="4883113.12"/>
    <n v="4883113.12"/>
    <s v="USD"/>
    <n v="4883113.12"/>
    <n v="4883113"/>
    <b v="0"/>
    <n v="0.5"/>
  </r>
  <r>
    <b v="1"/>
    <x v="0"/>
    <x v="0"/>
    <x v="0"/>
    <x v="0"/>
    <x v="0"/>
    <x v="9"/>
    <n v="0"/>
    <x v="0"/>
    <s v="0f91b88562524743ad5ecf105cddab89"/>
    <s v="Banco Nacional de Costa Rica 2021"/>
    <x v="0"/>
    <x v="0"/>
    <s v="Hydro"/>
    <s v="Balsa Inferior"/>
    <s v="Costa Rica"/>
    <d v="2019-12-30T00:00:00"/>
    <d v="2019-12-30T00:00:00"/>
    <s v="USD"/>
    <n v="25135478.809999999"/>
    <n v="25135478.809999999"/>
    <s v="USD"/>
    <n v="25135478.809999999"/>
    <n v="25135478"/>
    <b v="0"/>
    <n v="0.6"/>
  </r>
  <r>
    <b v="1"/>
    <x v="0"/>
    <x v="0"/>
    <x v="0"/>
    <x v="0"/>
    <x v="0"/>
    <x v="9"/>
    <n v="0"/>
    <x v="0"/>
    <s v="0f91b88562524743ad5ecf105cddab89"/>
    <s v="Banco Nacional de Costa Rica 2021"/>
    <x v="1"/>
    <x v="1"/>
    <s v="Generation"/>
    <s v="Balsa Inferior"/>
    <s v="Costa Rica"/>
    <d v="2019-12-30T00:00:00"/>
    <d v="2019-12-30T00:00:00"/>
    <s v="USD"/>
    <n v="25135478.809999999"/>
    <n v="25135478.809999999"/>
    <s v="USD"/>
    <n v="25135478.809999999"/>
    <n v="25135478"/>
    <b v="0"/>
    <n v="0.6"/>
  </r>
  <r>
    <b v="1"/>
    <x v="0"/>
    <x v="0"/>
    <x v="0"/>
    <x v="0"/>
    <x v="0"/>
    <x v="9"/>
    <n v="0"/>
    <x v="0"/>
    <s v="0f91b88562524743ad5ecf105cddab89"/>
    <s v="Banco Nacional de Costa Rica 2021"/>
    <x v="0"/>
    <x v="0"/>
    <s v="Hydro"/>
    <s v="Ventanas"/>
    <s v="Costa Rica"/>
    <d v="2019-12-30T00:00:00"/>
    <d v="2019-12-30T00:00:00"/>
    <s v="USD"/>
    <n v="7704959.2999999998"/>
    <n v="7704959.2999999998"/>
    <s v="USD"/>
    <n v="7704959.2999999998"/>
    <n v="7704959"/>
    <b v="0"/>
    <n v="0.4"/>
  </r>
  <r>
    <b v="1"/>
    <x v="0"/>
    <x v="0"/>
    <x v="0"/>
    <x v="0"/>
    <x v="0"/>
    <x v="9"/>
    <n v="0"/>
    <x v="0"/>
    <s v="0f91b88562524743ad5ecf105cddab89"/>
    <s v="Banco Nacional de Costa Rica 2021"/>
    <x v="1"/>
    <x v="1"/>
    <s v="Generation"/>
    <s v="Ventanas"/>
    <s v="Costa Rica"/>
    <d v="2019-12-30T00:00:00"/>
    <d v="2019-12-30T00:00:00"/>
    <s v="USD"/>
    <n v="7704959.2999999998"/>
    <n v="7704959.2999999998"/>
    <s v="USD"/>
    <n v="7704959.2999999998"/>
    <n v="7704959"/>
    <b v="0"/>
    <n v="0.4"/>
  </r>
  <r>
    <b v="1"/>
    <x v="0"/>
    <x v="0"/>
    <x v="0"/>
    <x v="0"/>
    <x v="0"/>
    <x v="9"/>
    <n v="0"/>
    <x v="0"/>
    <s v="0f91b88562524743ad5ecf105cddab89"/>
    <s v="Banco Nacional de Costa Rica 2021"/>
    <x v="0"/>
    <x v="0"/>
    <s v="Hydro"/>
    <s v="San Lorenzo"/>
    <s v="Costa Rica"/>
    <d v="2019-12-30T00:00:00"/>
    <d v="2019-12-30T00:00:00"/>
    <s v="USD"/>
    <n v="20176348.390000001"/>
    <n v="20176348.390000001"/>
    <s v="USD"/>
    <n v="20176348.390000001"/>
    <n v="20176348"/>
    <b v="0"/>
    <n v="0.3"/>
  </r>
  <r>
    <b v="1"/>
    <x v="0"/>
    <x v="0"/>
    <x v="0"/>
    <x v="0"/>
    <x v="0"/>
    <x v="9"/>
    <n v="0"/>
    <x v="0"/>
    <s v="0f91b88562524743ad5ecf105cddab89"/>
    <s v="Banco Nacional de Costa Rica 2021"/>
    <x v="1"/>
    <x v="1"/>
    <s v="Generation"/>
    <s v="San Lorenzo"/>
    <s v="Costa Rica"/>
    <d v="2019-12-30T00:00:00"/>
    <d v="2019-12-30T00:00:00"/>
    <s v="USD"/>
    <n v="20176348.390000001"/>
    <n v="20176348.390000001"/>
    <s v="USD"/>
    <n v="20176348.390000001"/>
    <n v="20176348"/>
    <b v="0"/>
    <n v="0.3"/>
  </r>
  <r>
    <b v="1"/>
    <x v="0"/>
    <x v="0"/>
    <x v="0"/>
    <x v="0"/>
    <x v="0"/>
    <x v="9"/>
    <n v="0"/>
    <x v="0"/>
    <s v="0f91b88562524743ad5ecf105cddab89"/>
    <s v="Banco Nacional de Costa Rica 2021"/>
    <x v="0"/>
    <x v="0"/>
    <s v="Hydro"/>
    <s v="Los Negros II"/>
    <s v="Costa Rica"/>
    <d v="2019-12-30T00:00:00"/>
    <d v="2019-12-30T00:00:00"/>
    <s v="USD"/>
    <n v="43741535.009999998"/>
    <n v="43741535.009999998"/>
    <s v="USD"/>
    <n v="43741535.009999998"/>
    <n v="43741535"/>
    <b v="0"/>
    <n v="0.1"/>
  </r>
  <r>
    <b v="1"/>
    <x v="0"/>
    <x v="0"/>
    <x v="0"/>
    <x v="0"/>
    <x v="0"/>
    <x v="9"/>
    <n v="0"/>
    <x v="0"/>
    <s v="0f91b88562524743ad5ecf105cddab89"/>
    <s v="Banco Nacional de Costa Rica 2021"/>
    <x v="1"/>
    <x v="1"/>
    <s v="Generation"/>
    <s v="Los Negros II"/>
    <s v="Costa Rica"/>
    <d v="2019-12-30T00:00:00"/>
    <d v="2019-12-30T00:00:00"/>
    <s v="USD"/>
    <n v="43741535.009999998"/>
    <n v="43741535.009999998"/>
    <s v="USD"/>
    <n v="43741535.009999998"/>
    <n v="43741535"/>
    <b v="0"/>
    <n v="0.1"/>
  </r>
  <r>
    <b v="1"/>
    <x v="0"/>
    <x v="0"/>
    <x v="0"/>
    <x v="0"/>
    <x v="0"/>
    <x v="9"/>
    <n v="0"/>
    <x v="0"/>
    <s v="0f91b88562524743ad5ecf105cddab89"/>
    <s v="Banco Nacional de Costa Rica 2021"/>
    <x v="0"/>
    <x v="0"/>
    <s v="Hydro"/>
    <s v="Toro 3"/>
    <s v="Costa Rica"/>
    <d v="2019-12-30T00:00:00"/>
    <d v="2019-12-30T00:00:00"/>
    <s v="USD"/>
    <n v="94864266.329999998"/>
    <n v="94864266.329999998"/>
    <s v="USD"/>
    <n v="94864266.329999998"/>
    <n v="94864266"/>
    <b v="0"/>
    <n v="0.9"/>
  </r>
  <r>
    <b v="1"/>
    <x v="0"/>
    <x v="0"/>
    <x v="0"/>
    <x v="0"/>
    <x v="0"/>
    <x v="9"/>
    <n v="0"/>
    <x v="0"/>
    <s v="0f91b88562524743ad5ecf105cddab89"/>
    <s v="Banco Nacional de Costa Rica 2021"/>
    <x v="1"/>
    <x v="1"/>
    <s v="Generation"/>
    <s v="Toro 3"/>
    <s v="Costa Rica"/>
    <d v="2019-12-30T00:00:00"/>
    <d v="2019-12-30T00:00:00"/>
    <s v="USD"/>
    <n v="94864266.329999998"/>
    <n v="94864266.329999998"/>
    <s v="USD"/>
    <n v="94864266.329999998"/>
    <n v="94864266"/>
    <b v="0"/>
    <n v="0.9"/>
  </r>
  <r>
    <b v="1"/>
    <x v="0"/>
    <x v="0"/>
    <x v="0"/>
    <x v="0"/>
    <x v="0"/>
    <x v="9"/>
    <n v="0"/>
    <x v="0"/>
    <s v="0f91b88562524743ad5ecf105cddab89"/>
    <s v="Banco Nacional de Costa Rica 2021"/>
    <x v="0"/>
    <x v="0"/>
    <s v="Hydro"/>
    <s v="Sigifredo y San Lorenzo"/>
    <s v="Costa Rica"/>
    <d v="2019-12-30T00:00:00"/>
    <d v="2019-12-30T00:00:00"/>
    <s v="USD"/>
    <n v="19762133.899999999"/>
    <n v="19762133.899999999"/>
    <s v="USD"/>
    <n v="19762133.899999999"/>
    <n v="19762133"/>
    <b v="0"/>
    <n v="0.5"/>
  </r>
  <r>
    <b v="1"/>
    <x v="0"/>
    <x v="0"/>
    <x v="0"/>
    <x v="0"/>
    <x v="0"/>
    <x v="9"/>
    <n v="0"/>
    <x v="0"/>
    <s v="0f91b88562524743ad5ecf105cddab89"/>
    <s v="Banco Nacional de Costa Rica 2021"/>
    <x v="1"/>
    <x v="1"/>
    <s v="Generation"/>
    <s v="Sigifredo y San Lorenzo"/>
    <s v="Costa Rica"/>
    <d v="2019-12-30T00:00:00"/>
    <d v="2019-12-30T00:00:00"/>
    <s v="USD"/>
    <n v="19762133.899999999"/>
    <n v="19762133.899999999"/>
    <s v="USD"/>
    <n v="19762133.899999999"/>
    <n v="19762133"/>
    <b v="0"/>
    <n v="0.5"/>
  </r>
  <r>
    <b v="1"/>
    <x v="0"/>
    <x v="0"/>
    <x v="0"/>
    <x v="0"/>
    <x v="0"/>
    <x v="9"/>
    <n v="0"/>
    <x v="0"/>
    <s v="0f91b88562524743ad5ecf105cddab89"/>
    <s v="Banco Nacional de Costa Rica 2021"/>
    <x v="0"/>
    <x v="0"/>
    <s v="Hydro"/>
    <s v="Bijagua"/>
    <s v="Costa Rica"/>
    <d v="2019-12-30T00:00:00"/>
    <d v="2019-12-30T00:00:00"/>
    <s v="USD"/>
    <n v="24198616.57"/>
    <n v="24198616.57"/>
    <s v="USD"/>
    <n v="24198616.57"/>
    <n v="24198616"/>
    <b v="0"/>
    <n v="0.8"/>
  </r>
  <r>
    <b v="1"/>
    <x v="0"/>
    <x v="0"/>
    <x v="0"/>
    <x v="0"/>
    <x v="0"/>
    <x v="9"/>
    <n v="0"/>
    <x v="0"/>
    <s v="0f91b88562524743ad5ecf105cddab89"/>
    <s v="Banco Nacional de Costa Rica 2021"/>
    <x v="1"/>
    <x v="1"/>
    <s v="Generation"/>
    <s v="Bijagua"/>
    <s v="Costa Rica"/>
    <d v="2019-12-30T00:00:00"/>
    <d v="2019-12-30T00:00:00"/>
    <s v="USD"/>
    <n v="24198616.57"/>
    <n v="24198616.57"/>
    <s v="USD"/>
    <n v="24198616.57"/>
    <n v="24198616"/>
    <b v="0"/>
    <n v="0.8"/>
  </r>
  <r>
    <b v="1"/>
    <x v="0"/>
    <x v="0"/>
    <x v="0"/>
    <x v="0"/>
    <x v="0"/>
    <x v="9"/>
    <n v="0"/>
    <x v="0"/>
    <s v="0f91b88562524743ad5ecf105cddab89"/>
    <s v="Banco Nacional de Costa Rica 2021"/>
    <x v="0"/>
    <x v="0"/>
    <s v="Hydro"/>
    <s v="La Esperanza"/>
    <s v="Costa Rica"/>
    <d v="2019-12-30T00:00:00"/>
    <d v="2019-12-30T00:00:00"/>
    <s v="USD"/>
    <n v="12543058.08"/>
    <n v="12543058.08"/>
    <s v="USD"/>
    <n v="12543058.08"/>
    <n v="12543058"/>
    <b v="0"/>
    <n v="0.65"/>
  </r>
  <r>
    <b v="1"/>
    <x v="0"/>
    <x v="0"/>
    <x v="0"/>
    <x v="0"/>
    <x v="0"/>
    <x v="9"/>
    <n v="0"/>
    <x v="0"/>
    <s v="0f91b88562524743ad5ecf105cddab89"/>
    <s v="Banco Nacional de Costa Rica 2021"/>
    <x v="1"/>
    <x v="1"/>
    <s v="Generation"/>
    <s v="La Esperanza"/>
    <s v="Costa Rica"/>
    <d v="2019-12-30T00:00:00"/>
    <d v="2019-12-30T00:00:00"/>
    <s v="USD"/>
    <n v="12543058.08"/>
    <n v="12543058.08"/>
    <s v="USD"/>
    <n v="12543058.08"/>
    <n v="12543058"/>
    <b v="0"/>
    <n v="0.65"/>
  </r>
  <r>
    <b v="1"/>
    <x v="0"/>
    <x v="0"/>
    <x v="0"/>
    <x v="0"/>
    <x v="0"/>
    <x v="9"/>
    <n v="0"/>
    <x v="0"/>
    <s v="0f91b88562524743ad5ecf105cddab89"/>
    <s v="Banco Nacional de Costa Rica 2021"/>
    <x v="0"/>
    <x v="0"/>
    <s v="Hydro"/>
    <s v="Muelle Pital"/>
    <s v="Costa Rica"/>
    <d v="2019-12-30T00:00:00"/>
    <d v="2019-12-30T00:00:00"/>
    <s v="USD"/>
    <n v="10850264.289999999"/>
    <n v="10850264.289999999"/>
    <s v="USD"/>
    <n v="10850264.289999999"/>
    <n v="10850264"/>
    <b v="0"/>
    <n v="0.9"/>
  </r>
  <r>
    <b v="1"/>
    <x v="0"/>
    <x v="0"/>
    <x v="0"/>
    <x v="0"/>
    <x v="0"/>
    <x v="9"/>
    <n v="0"/>
    <x v="0"/>
    <s v="0f91b88562524743ad5ecf105cddab89"/>
    <s v="Banco Nacional de Costa Rica 2021"/>
    <x v="1"/>
    <x v="1"/>
    <s v="Generation"/>
    <s v="Muelle Pital"/>
    <s v="Costa Rica"/>
    <d v="2019-12-30T00:00:00"/>
    <d v="2019-12-30T00:00:00"/>
    <s v="USD"/>
    <n v="10850264.289999999"/>
    <n v="10850264.289999999"/>
    <s v="USD"/>
    <n v="10850264.289999999"/>
    <n v="10850264"/>
    <b v="0"/>
    <n v="0.9"/>
  </r>
  <r>
    <b v="1"/>
    <x v="0"/>
    <x v="0"/>
    <x v="0"/>
    <x v="0"/>
    <x v="0"/>
    <x v="9"/>
    <n v="0"/>
    <x v="0"/>
    <s v="0f91b88562524743ad5ecf105cddab89"/>
    <s v="Banco Nacional de Costa Rica 2021"/>
    <x v="0"/>
    <x v="0"/>
    <s v="Hydro"/>
    <s v="Tacares"/>
    <s v="Costa Rica"/>
    <d v="2019-12-30T00:00:00"/>
    <d v="2019-12-30T00:00:00"/>
    <s v="USD"/>
    <n v="8463064.9100000001"/>
    <n v="8463064.9100000001"/>
    <s v="USD"/>
    <n v="8463064.9100000001"/>
    <n v="8463064"/>
    <b v="0"/>
    <n v="0.5"/>
  </r>
  <r>
    <b v="1"/>
    <x v="0"/>
    <x v="0"/>
    <x v="0"/>
    <x v="0"/>
    <x v="0"/>
    <x v="9"/>
    <n v="0"/>
    <x v="0"/>
    <s v="0f91b88562524743ad5ecf105cddab89"/>
    <s v="Banco Nacional de Costa Rica 2021"/>
    <x v="1"/>
    <x v="1"/>
    <s v="Generation"/>
    <s v="Tacares"/>
    <s v="Costa Rica"/>
    <d v="2019-12-30T00:00:00"/>
    <d v="2019-12-30T00:00:00"/>
    <s v="USD"/>
    <n v="8463064.9100000001"/>
    <n v="8463064.9100000001"/>
    <s v="USD"/>
    <n v="8463064.9100000001"/>
    <n v="8463064"/>
    <b v="0"/>
    <n v="0.5"/>
  </r>
  <r>
    <b v="1"/>
    <x v="0"/>
    <x v="0"/>
    <x v="0"/>
    <x v="0"/>
    <x v="0"/>
    <x v="9"/>
    <n v="0"/>
    <x v="0"/>
    <s v="0f91b88562524743ad5ecf105cddab89"/>
    <s v="Banco Nacional de Costa Rica 2021"/>
    <x v="0"/>
    <x v="0"/>
    <s v="Hydro"/>
    <s v="Platanar"/>
    <s v="Costa Rica"/>
    <d v="2019-12-30T00:00:00"/>
    <d v="2019-12-30T00:00:00"/>
    <s v="USD"/>
    <n v="38928251.920000002"/>
    <n v="38928251.920000002"/>
    <s v="USD"/>
    <n v="38928251.920000002"/>
    <n v="38928251"/>
    <b v="0"/>
    <n v="0.4"/>
  </r>
  <r>
    <b v="1"/>
    <x v="0"/>
    <x v="0"/>
    <x v="0"/>
    <x v="0"/>
    <x v="0"/>
    <x v="9"/>
    <n v="0"/>
    <x v="0"/>
    <s v="0f91b88562524743ad5ecf105cddab89"/>
    <s v="Banco Nacional de Costa Rica 2021"/>
    <x v="1"/>
    <x v="1"/>
    <s v="Generation"/>
    <s v="Platanar"/>
    <s v="Costa Rica"/>
    <d v="2019-12-30T00:00:00"/>
    <d v="2019-12-30T00:00:00"/>
    <s v="USD"/>
    <n v="38928251.920000002"/>
    <n v="38928251.920000002"/>
    <s v="USD"/>
    <n v="38928251.920000002"/>
    <n v="38928251"/>
    <b v="0"/>
    <n v="0.4"/>
  </r>
  <r>
    <b v="1"/>
    <x v="0"/>
    <x v="0"/>
    <x v="0"/>
    <x v="0"/>
    <x v="0"/>
    <x v="9"/>
    <n v="0"/>
    <x v="0"/>
    <s v="0f91b88562524743ad5ecf105cddab89"/>
    <s v="Banco Nacional de Costa Rica 2021"/>
    <x v="0"/>
    <x v="0"/>
    <s v="Wind"/>
    <s v="Los Santos"/>
    <s v="Costa Rica"/>
    <d v="2019-12-30T00:00:00"/>
    <d v="2019-12-30T00:00:00"/>
    <s v="USD"/>
    <n v="5558893.71"/>
    <n v="5558893.71"/>
    <s v="USD"/>
    <n v="5558893.71"/>
    <n v="5558893"/>
    <b v="0"/>
    <n v="0.5"/>
  </r>
  <r>
    <b v="1"/>
    <x v="0"/>
    <x v="0"/>
    <x v="0"/>
    <x v="0"/>
    <x v="0"/>
    <x v="9"/>
    <n v="0"/>
    <x v="0"/>
    <s v="0f91b88562524743ad5ecf105cddab89"/>
    <s v="Banco Nacional de Costa Rica 2021"/>
    <x v="1"/>
    <x v="1"/>
    <s v="Generation"/>
    <s v="Los Santos"/>
    <s v="Costa Rica"/>
    <d v="2019-12-30T00:00:00"/>
    <d v="2019-12-30T00:00:00"/>
    <s v="USD"/>
    <n v="5558893.71"/>
    <n v="5558893.71"/>
    <s v="USD"/>
    <n v="5558893.71"/>
    <n v="5558893"/>
    <b v="0"/>
    <n v="0.5"/>
  </r>
  <r>
    <b v="1"/>
    <x v="0"/>
    <x v="0"/>
    <x v="0"/>
    <x v="0"/>
    <x v="0"/>
    <x v="9"/>
    <n v="0"/>
    <x v="0"/>
    <s v="0f91b88562524743ad5ecf105cddab89"/>
    <s v="Banco Nacional de Costa Rica 2021"/>
    <x v="0"/>
    <x v="0"/>
    <s v="Wind"/>
    <s v="Mogote"/>
    <s v="Costa Rica"/>
    <d v="2019-12-30T00:00:00"/>
    <d v="2019-12-30T00:00:00"/>
    <s v="USD"/>
    <n v="30625562.5"/>
    <n v="30625562.5"/>
    <s v="USD"/>
    <n v="30625562.5"/>
    <n v="30625562"/>
    <b v="0"/>
    <n v="0.8"/>
  </r>
  <r>
    <b v="1"/>
    <x v="0"/>
    <x v="0"/>
    <x v="0"/>
    <x v="0"/>
    <x v="0"/>
    <x v="9"/>
    <n v="0"/>
    <x v="0"/>
    <s v="0f91b88562524743ad5ecf105cddab89"/>
    <s v="Banco Nacional de Costa Rica 2021"/>
    <x v="1"/>
    <x v="1"/>
    <s v="Generation"/>
    <s v="Mogote"/>
    <s v="Costa Rica"/>
    <d v="2019-12-30T00:00:00"/>
    <d v="2019-12-30T00:00:00"/>
    <s v="USD"/>
    <n v="30625562.5"/>
    <n v="30625562.5"/>
    <s v="USD"/>
    <n v="30625562.5"/>
    <n v="30625562"/>
    <b v="0"/>
    <n v="0.8"/>
  </r>
  <r>
    <b v="1"/>
    <x v="0"/>
    <x v="0"/>
    <x v="2"/>
    <x v="0"/>
    <x v="1"/>
    <x v="5"/>
    <s v="BBG00GM45ZM4"/>
    <x v="0"/>
    <s v="d926bd6190f14503bf5981ccf4d7c715"/>
    <s v="BNDES Green Bond 2017"/>
    <x v="0"/>
    <x v="0"/>
    <s v="Wind"/>
    <s v="UEE Santa Vit√≥ria do Palmar"/>
    <s v="Brazil"/>
    <d v="2018-04-30T00:00:00"/>
    <d v="2017-05-14T00:00:00"/>
    <s v="BRL"/>
    <n v="420491626"/>
    <n v="420491626"/>
    <s v="USD"/>
    <n v="131993479"/>
    <n v="131993479"/>
    <b v="0"/>
    <n v="0.49"/>
  </r>
  <r>
    <b v="1"/>
    <x v="0"/>
    <x v="0"/>
    <x v="2"/>
    <x v="0"/>
    <x v="1"/>
    <x v="5"/>
    <s v="BBG00GM45ZM4"/>
    <x v="0"/>
    <s v="d926bd6190f14503bf5981ccf4d7c715"/>
    <s v="BNDES Green Bond 2017"/>
    <x v="1"/>
    <x v="1"/>
    <s v="Generation"/>
    <s v="UEE Santa Vit√≥ria do Palmar"/>
    <s v="Brazil"/>
    <d v="2018-04-30T00:00:00"/>
    <d v="2017-05-14T00:00:00"/>
    <s v="BRL"/>
    <n v="420491626"/>
    <n v="420491626"/>
    <s v="USD"/>
    <n v="131993479"/>
    <n v="131993479"/>
    <b v="0"/>
    <n v="0.49"/>
  </r>
  <r>
    <b v="1"/>
    <x v="0"/>
    <x v="0"/>
    <x v="2"/>
    <x v="0"/>
    <x v="1"/>
    <x v="5"/>
    <s v="BBG00GM45ZM4"/>
    <x v="0"/>
    <s v="d926bd6190f14503bf5981ccf4d7c715"/>
    <s v="BNDES Green Bond 2017"/>
    <x v="2"/>
    <x v="9"/>
    <s v="Unspecified"/>
    <s v="UEE Santa Vit√≥ria do Palmar"/>
    <s v="Brazil"/>
    <d v="2018-04-30T00:00:00"/>
    <d v="2017-05-14T00:00:00"/>
    <s v="BRL"/>
    <n v="420491626"/>
    <n v="420491626"/>
    <s v="USD"/>
    <n v="131993479"/>
    <n v="131993479"/>
    <b v="0"/>
    <n v="0.49"/>
  </r>
  <r>
    <b v="1"/>
    <x v="0"/>
    <x v="0"/>
    <x v="2"/>
    <x v="0"/>
    <x v="1"/>
    <x v="5"/>
    <s v="BBG00GM45ZM4"/>
    <x v="0"/>
    <s v="d926bd6190f14503bf5981ccf4d7c715"/>
    <s v="BNDES Green Bond 2017"/>
    <x v="3"/>
    <x v="9"/>
    <s v="Unspecified"/>
    <s v="UEE Santa Vit√≥ria do Palmar"/>
    <s v="Brazil"/>
    <d v="2018-04-30T00:00:00"/>
    <d v="2017-05-14T00:00:00"/>
    <s v="BRL"/>
    <n v="420491626"/>
    <n v="420491626"/>
    <s v="USD"/>
    <n v="131993479"/>
    <n v="131993479"/>
    <b v="0"/>
    <n v="0.49"/>
  </r>
  <r>
    <b v="1"/>
    <x v="0"/>
    <x v="0"/>
    <x v="2"/>
    <x v="0"/>
    <x v="1"/>
    <x v="5"/>
    <s v="BBG00GM45ZM4"/>
    <x v="0"/>
    <s v="d926bd6190f14503bf5981ccf4d7c715"/>
    <s v="BNDES Green Bond 2017"/>
    <x v="0"/>
    <x v="0"/>
    <s v="Wind"/>
    <s v="UEE Servtec 2"/>
    <s v="Brazil"/>
    <d v="2018-04-30T00:00:00"/>
    <d v="2017-05-16T00:00:00"/>
    <s v="BRL"/>
    <n v="95000000"/>
    <n v="95000000"/>
    <s v="USD"/>
    <n v="29820762"/>
    <n v="29820762"/>
    <b v="1"/>
    <n v="0.42"/>
  </r>
  <r>
    <b v="1"/>
    <x v="0"/>
    <x v="0"/>
    <x v="2"/>
    <x v="0"/>
    <x v="1"/>
    <x v="5"/>
    <s v="BBG00GM45ZM4"/>
    <x v="0"/>
    <s v="d926bd6190f14503bf5981ccf4d7c715"/>
    <s v="BNDES Green Bond 2017"/>
    <x v="1"/>
    <x v="1"/>
    <s v="Generation"/>
    <s v="UEE Servtec 2"/>
    <s v="Brazil"/>
    <d v="2018-04-30T00:00:00"/>
    <d v="2017-05-16T00:00:00"/>
    <s v="BRL"/>
    <n v="95000000"/>
    <n v="95000000"/>
    <s v="USD"/>
    <n v="29820762"/>
    <n v="29820762"/>
    <b v="1"/>
    <n v="0.42"/>
  </r>
  <r>
    <b v="1"/>
    <x v="0"/>
    <x v="0"/>
    <x v="2"/>
    <x v="0"/>
    <x v="1"/>
    <x v="5"/>
    <s v="BBG00GM45ZM4"/>
    <x v="0"/>
    <s v="d926bd6190f14503bf5981ccf4d7c715"/>
    <s v="BNDES Green Bond 2017"/>
    <x v="2"/>
    <x v="9"/>
    <s v="Unspecified"/>
    <s v="UEE Servtec 2"/>
    <s v="Brazil"/>
    <d v="2018-04-30T00:00:00"/>
    <d v="2017-05-16T00:00:00"/>
    <s v="BRL"/>
    <n v="95000000"/>
    <n v="95000000"/>
    <s v="USD"/>
    <n v="29820762"/>
    <n v="29820762"/>
    <b v="1"/>
    <n v="0.42"/>
  </r>
  <r>
    <b v="1"/>
    <x v="0"/>
    <x v="0"/>
    <x v="2"/>
    <x v="0"/>
    <x v="1"/>
    <x v="5"/>
    <s v="BBG00GM45ZM4"/>
    <x v="0"/>
    <s v="d926bd6190f14503bf5981ccf4d7c715"/>
    <s v="BNDES Green Bond 2017"/>
    <x v="3"/>
    <x v="9"/>
    <s v="Unspecified"/>
    <s v="UEE Servtec 2"/>
    <s v="Brazil"/>
    <d v="2018-04-30T00:00:00"/>
    <d v="2017-05-16T00:00:00"/>
    <s v="BRL"/>
    <n v="95000000"/>
    <n v="95000000"/>
    <s v="USD"/>
    <n v="29820762"/>
    <n v="29820762"/>
    <b v="1"/>
    <n v="0.42"/>
  </r>
  <r>
    <b v="1"/>
    <x v="0"/>
    <x v="0"/>
    <x v="2"/>
    <x v="0"/>
    <x v="1"/>
    <x v="5"/>
    <s v="BBG00GM45ZM4"/>
    <x v="0"/>
    <s v="d926bd6190f14503bf5981ccf4d7c715"/>
    <s v="BNDES Green Bond 2017"/>
    <x v="0"/>
    <x v="0"/>
    <s v="Wind"/>
    <s v="UEE S√£o Clemente"/>
    <s v="Brazil"/>
    <d v="2018-04-30T00:00:00"/>
    <d v="2017-05-15T00:00:00"/>
    <s v="BRL"/>
    <n v="656046750"/>
    <n v="656046750"/>
    <s v="USD"/>
    <n v="205934881"/>
    <n v="205934881"/>
    <b v="1"/>
    <n v="0.55000000000000004"/>
  </r>
  <r>
    <b v="1"/>
    <x v="0"/>
    <x v="0"/>
    <x v="2"/>
    <x v="0"/>
    <x v="1"/>
    <x v="5"/>
    <s v="BBG00GM45ZM4"/>
    <x v="0"/>
    <s v="d926bd6190f14503bf5981ccf4d7c715"/>
    <s v="BNDES Green Bond 2017"/>
    <x v="1"/>
    <x v="1"/>
    <s v="Generation"/>
    <s v="UEE S√£o Clemente"/>
    <s v="Brazil"/>
    <d v="2018-04-30T00:00:00"/>
    <d v="2017-05-15T00:00:00"/>
    <s v="BRL"/>
    <n v="656046750"/>
    <n v="656046750"/>
    <s v="USD"/>
    <n v="205934881"/>
    <n v="205934881"/>
    <b v="1"/>
    <n v="0.55000000000000004"/>
  </r>
  <r>
    <b v="1"/>
    <x v="0"/>
    <x v="0"/>
    <x v="1"/>
    <x v="0"/>
    <x v="1"/>
    <x v="2"/>
    <s v="BBG00PQCN094"/>
    <x v="0"/>
    <s v="19a9b617aa704f8285094522d06a5367"/>
    <s v="Neoenergia - 6¬™ emiss√£o de deb√™ntures"/>
    <x v="0"/>
    <x v="0"/>
    <s v="Wind"/>
    <s v="Canoas 2"/>
    <s v="Brazil"/>
    <d v="2019-07-23T00:00:00"/>
    <d v="2020-03-30T00:00:00"/>
    <s v="BRL"/>
    <n v="15500000"/>
    <n v="15500000"/>
    <s v="BRL"/>
    <n v="15500000"/>
    <n v="2984385"/>
    <b v="1"/>
    <n v="0.1"/>
  </r>
  <r>
    <b v="1"/>
    <x v="0"/>
    <x v="0"/>
    <x v="1"/>
    <x v="0"/>
    <x v="1"/>
    <x v="2"/>
    <s v="BBG00PQCN094"/>
    <x v="0"/>
    <s v="19a9b617aa704f8285094522d06a5367"/>
    <s v="Neoenergia - 6¬™ emiss√£o de deb√™ntures"/>
    <x v="1"/>
    <x v="1"/>
    <s v="Generation"/>
    <s v="Canoas 2"/>
    <s v="Brazil"/>
    <d v="2019-07-23T00:00:00"/>
    <d v="2020-03-30T00:00:00"/>
    <s v="BRL"/>
    <n v="15500000"/>
    <n v="15500000"/>
    <s v="BRL"/>
    <n v="15500000"/>
    <n v="2984385"/>
    <b v="1"/>
    <n v="0.1"/>
  </r>
  <r>
    <b v="1"/>
    <x v="0"/>
    <x v="0"/>
    <x v="1"/>
    <x v="0"/>
    <x v="1"/>
    <x v="2"/>
    <s v="BBG00PQCN094"/>
    <x v="0"/>
    <s v="19a9b617aa704f8285094522d06a5367"/>
    <s v="Neoenergia - 6¬™ emiss√£o de deb√™ntures"/>
    <x v="0"/>
    <x v="0"/>
    <s v="Wind"/>
    <s v="Canoas 3"/>
    <s v="Brazil"/>
    <d v="2019-07-23T00:00:00"/>
    <d v="2020-03-30T00:00:00"/>
    <s v="BRL"/>
    <n v="20700000"/>
    <n v="17000000"/>
    <s v="BRL"/>
    <n v="17000000"/>
    <n v="3273196"/>
    <b v="1"/>
    <n v="0.13"/>
  </r>
  <r>
    <b v="1"/>
    <x v="0"/>
    <x v="0"/>
    <x v="1"/>
    <x v="0"/>
    <x v="1"/>
    <x v="2"/>
    <s v="BBG00PQCN094"/>
    <x v="0"/>
    <s v="19a9b617aa704f8285094522d06a5367"/>
    <s v="Neoenergia - 6¬™ emiss√£o de deb√™ntures"/>
    <x v="1"/>
    <x v="1"/>
    <s v="Generation"/>
    <s v="Canoas 3"/>
    <s v="Brazil"/>
    <d v="2019-07-23T00:00:00"/>
    <d v="2020-03-30T00:00:00"/>
    <s v="BRL"/>
    <n v="20700000"/>
    <n v="17000000"/>
    <s v="BRL"/>
    <n v="17000000"/>
    <n v="3273196"/>
    <b v="1"/>
    <n v="0.13"/>
  </r>
  <r>
    <b v="1"/>
    <x v="0"/>
    <x v="0"/>
    <x v="0"/>
    <x v="0"/>
    <x v="0"/>
    <x v="9"/>
    <n v="0"/>
    <x v="0"/>
    <s v="0f91b88562524743ad5ecf105cddab89"/>
    <s v="Banco Nacional de Costa Rica 2021"/>
    <x v="0"/>
    <x v="0"/>
    <s v="Wind"/>
    <s v="Chiripa"/>
    <s v="Costa Rica"/>
    <d v="2019-12-30T00:00:00"/>
    <d v="2019-12-30T00:00:00"/>
    <s v="USD"/>
    <n v="6746501.5499999998"/>
    <n v="6746501.5499999998"/>
    <s v="USD"/>
    <n v="6746501.5499999998"/>
    <n v="6746501"/>
    <b v="0"/>
    <n v="0.65"/>
  </r>
  <r>
    <b v="1"/>
    <x v="0"/>
    <x v="0"/>
    <x v="0"/>
    <x v="0"/>
    <x v="0"/>
    <x v="9"/>
    <n v="0"/>
    <x v="0"/>
    <s v="0f91b88562524743ad5ecf105cddab89"/>
    <s v="Banco Nacional de Costa Rica 2021"/>
    <x v="1"/>
    <x v="1"/>
    <s v="Generation"/>
    <s v="Chiripa"/>
    <s v="Costa Rica"/>
    <d v="2019-12-30T00:00:00"/>
    <d v="2019-12-30T00:00:00"/>
    <s v="USD"/>
    <n v="6746501.5499999998"/>
    <n v="6746501.5499999998"/>
    <s v="USD"/>
    <n v="6746501.5499999998"/>
    <n v="6746501"/>
    <b v="0"/>
    <n v="0.65"/>
  </r>
  <r>
    <b v="1"/>
    <x v="0"/>
    <x v="0"/>
    <x v="0"/>
    <x v="0"/>
    <x v="0"/>
    <x v="9"/>
    <n v="0"/>
    <x v="0"/>
    <s v="0f91b88562524743ad5ecf105cddab89"/>
    <s v="Banco Nacional de Costa Rica 2021"/>
    <x v="0"/>
    <x v="0"/>
    <s v="Wind"/>
    <s v="Eolico Tilawind Park"/>
    <s v="Costa Rica"/>
    <d v="2019-12-30T00:00:00"/>
    <d v="2019-12-30T00:00:00"/>
    <s v="USD"/>
    <n v="26075240.469999999"/>
    <n v="26075240.469999999"/>
    <s v="USD"/>
    <n v="26075240.469999999"/>
    <n v="26075240"/>
    <b v="0"/>
    <n v="0.9"/>
  </r>
  <r>
    <b v="1"/>
    <x v="0"/>
    <x v="0"/>
    <x v="0"/>
    <x v="0"/>
    <x v="0"/>
    <x v="9"/>
    <n v="0"/>
    <x v="0"/>
    <s v="0f91b88562524743ad5ecf105cddab89"/>
    <s v="Banco Nacional de Costa Rica 2021"/>
    <x v="1"/>
    <x v="1"/>
    <s v="Generation"/>
    <s v="Eolico Tilawind Park"/>
    <s v="Costa Rica"/>
    <d v="2019-12-30T00:00:00"/>
    <d v="2019-12-30T00:00:00"/>
    <s v="USD"/>
    <n v="26075240.469999999"/>
    <n v="26075240.469999999"/>
    <s v="USD"/>
    <n v="26075240.469999999"/>
    <n v="26075240"/>
    <b v="0"/>
    <n v="0.9"/>
  </r>
  <r>
    <b v="1"/>
    <x v="0"/>
    <x v="0"/>
    <x v="0"/>
    <x v="0"/>
    <x v="0"/>
    <x v="9"/>
    <n v="0"/>
    <x v="0"/>
    <s v="0f91b88562524743ad5ecf105cddab89"/>
    <s v="Banco Nacional de Costa Rica 2021"/>
    <x v="0"/>
    <x v="0"/>
    <s v="Wind"/>
    <s v="Cacao"/>
    <s v="Costa Rica"/>
    <d v="2019-12-30T00:00:00"/>
    <d v="2019-12-30T00:00:00"/>
    <s v="USD"/>
    <n v="37631713.549999997"/>
    <n v="37631713.549999997"/>
    <s v="USD"/>
    <n v="37631713.549999997"/>
    <n v="37631713"/>
    <b v="0"/>
    <n v="0.5"/>
  </r>
  <r>
    <b v="1"/>
    <x v="0"/>
    <x v="0"/>
    <x v="0"/>
    <x v="0"/>
    <x v="0"/>
    <x v="9"/>
    <n v="0"/>
    <x v="0"/>
    <s v="0f91b88562524743ad5ecf105cddab89"/>
    <s v="Banco Nacional de Costa Rica 2021"/>
    <x v="1"/>
    <x v="1"/>
    <s v="Generation"/>
    <s v="Cacao"/>
    <s v="Costa Rica"/>
    <d v="2019-12-30T00:00:00"/>
    <d v="2019-12-30T00:00:00"/>
    <s v="USD"/>
    <n v="37631713.549999997"/>
    <n v="37631713.549999997"/>
    <s v="USD"/>
    <n v="37631713.549999997"/>
    <n v="37631713"/>
    <b v="0"/>
    <n v="0.5"/>
  </r>
  <r>
    <b v="1"/>
    <x v="0"/>
    <x v="0"/>
    <x v="0"/>
    <x v="0"/>
    <x v="0"/>
    <x v="9"/>
    <n v="0"/>
    <x v="0"/>
    <s v="0f91b88562524743ad5ecf105cddab89"/>
    <s v="Banco Nacional de Costa Rica 2021"/>
    <x v="0"/>
    <x v="0"/>
    <s v="Wind"/>
    <s v="Chiripa 2"/>
    <s v="Costa Rica"/>
    <d v="2019-12-30T00:00:00"/>
    <d v="2019-12-30T00:00:00"/>
    <s v="USD"/>
    <n v="81048214.200000003"/>
    <n v="81048214.200000003"/>
    <s v="USD"/>
    <n v="81048214.200000003"/>
    <n v="81048214"/>
    <b v="0"/>
    <n v="0.4"/>
  </r>
  <r>
    <b v="1"/>
    <x v="0"/>
    <x v="0"/>
    <x v="0"/>
    <x v="0"/>
    <x v="0"/>
    <x v="9"/>
    <n v="0"/>
    <x v="0"/>
    <s v="0f91b88562524743ad5ecf105cddab89"/>
    <s v="Banco Nacional de Costa Rica 2021"/>
    <x v="1"/>
    <x v="1"/>
    <s v="Generation"/>
    <s v="Chiripa 2"/>
    <s v="Costa Rica"/>
    <d v="2019-12-30T00:00:00"/>
    <d v="2019-12-30T00:00:00"/>
    <s v="USD"/>
    <n v="81048214.200000003"/>
    <n v="81048214.200000003"/>
    <s v="USD"/>
    <n v="81048214.200000003"/>
    <n v="81048214"/>
    <b v="0"/>
    <n v="0.4"/>
  </r>
  <r>
    <e v="#N/A"/>
    <x v="1"/>
    <x v="1"/>
    <x v="3"/>
    <x v="1"/>
    <x v="2"/>
    <x v="10"/>
    <e v="#N/A"/>
    <x v="2"/>
    <s v="a036428305c44970a478ea6648e9e9bb"/>
    <s v="CRA SOLINFTEC II"/>
    <x v="0"/>
    <x v="10"/>
    <s v="Agriculture"/>
    <s v="Solinfitec II"/>
    <s v="Brazil"/>
    <d v="2021-04-19T00:00:00"/>
    <d v="2021-04-19T00:00:00"/>
    <s v="BRL"/>
    <n v="150000000"/>
    <n v="150000000"/>
    <s v="BRL"/>
    <n v="150000000"/>
    <n v="27048129"/>
    <b v="0"/>
    <n v="1"/>
  </r>
  <r>
    <e v="#N/A"/>
    <x v="1"/>
    <x v="1"/>
    <x v="3"/>
    <x v="1"/>
    <x v="2"/>
    <x v="10"/>
    <e v="#N/A"/>
    <x v="2"/>
    <s v="a036428305c44970a478ea6648e9e9bb"/>
    <s v="CRA SOLINFTEC II"/>
    <x v="1"/>
    <x v="11"/>
    <s v="Agriculture"/>
    <s v="Solinfitec II"/>
    <s v="Brazil"/>
    <d v="2021-04-19T00:00:00"/>
    <d v="2021-04-19T00:00:00"/>
    <s v="BRL"/>
    <n v="150000000"/>
    <n v="150000000"/>
    <s v="BRL"/>
    <n v="150000000"/>
    <n v="27048129"/>
    <b v="0"/>
    <n v="1"/>
  </r>
  <r>
    <e v="#N/A"/>
    <x v="1"/>
    <x v="1"/>
    <x v="3"/>
    <x v="1"/>
    <x v="2"/>
    <x v="10"/>
    <e v="#N/A"/>
    <x v="2"/>
    <s v="1792bc496a08430098ec7886e2e7ea0f"/>
    <s v="FSBIOENERGIA"/>
    <x v="0"/>
    <x v="0"/>
    <s v="Bioenergy"/>
    <s v="FS BIOENERGIA"/>
    <s v="Brazil"/>
    <d v="2020-02-12T00:00:00"/>
    <d v="2020-02-12T00:00:00"/>
    <s v="BRL"/>
    <n v="210267000"/>
    <n v="210267000"/>
    <s v="BRL"/>
    <n v="210267000"/>
    <n v="39152293"/>
    <b v="0"/>
    <n v="1"/>
  </r>
  <r>
    <e v="#N/A"/>
    <x v="1"/>
    <x v="1"/>
    <x v="3"/>
    <x v="1"/>
    <x v="2"/>
    <x v="10"/>
    <e v="#N/A"/>
    <x v="2"/>
    <s v="1792bc496a08430098ec7886e2e7ea0f"/>
    <s v="FSBIOENERGIA"/>
    <x v="1"/>
    <x v="4"/>
    <s v="Products"/>
    <s v="FS BIOENERGIA"/>
    <s v="Brazil"/>
    <d v="2020-02-12T00:00:00"/>
    <d v="2020-02-12T00:00:00"/>
    <s v="BRL"/>
    <n v="210267000"/>
    <n v="210267000"/>
    <s v="BRL"/>
    <n v="210267000"/>
    <n v="39152293"/>
    <b v="0"/>
    <n v="1"/>
  </r>
  <r>
    <b v="1"/>
    <x v="0"/>
    <x v="0"/>
    <x v="2"/>
    <x v="0"/>
    <x v="1"/>
    <x v="11"/>
    <s v="BBG00P0Y6CR7"/>
    <x v="0"/>
    <s v="039a805a3e354fb9abc557d41eaf0c0a"/>
    <s v="Bono Verde COFIDE"/>
    <x v="0"/>
    <x v="0"/>
    <s v="Hydro"/>
    <s v="Central Hidroel√©ctrica RenovAndes H1"/>
    <s v="Peru"/>
    <d v="2017-03-30T00:00:00"/>
    <d v="2019-04-26T00:00:00"/>
    <s v="PEN"/>
    <n v="100000000"/>
    <n v="100000000"/>
    <s v="PEN"/>
    <n v="100000000"/>
    <n v="30000000"/>
    <b v="1"/>
    <n v="0.4"/>
  </r>
  <r>
    <b v="1"/>
    <x v="0"/>
    <x v="0"/>
    <x v="2"/>
    <x v="0"/>
    <x v="1"/>
    <x v="11"/>
    <s v="BBG00P0Y6CR7"/>
    <x v="0"/>
    <s v="039a805a3e354fb9abc557d41eaf0c0a"/>
    <s v="Bono Verde COFIDE"/>
    <x v="1"/>
    <x v="1"/>
    <s v="Generation"/>
    <s v="Central Hidroel√©ctrica RenovAndes H1"/>
    <s v="Peru"/>
    <d v="2017-03-30T00:00:00"/>
    <d v="2019-04-26T00:00:00"/>
    <s v="PEN"/>
    <n v="100000000"/>
    <n v="100000000"/>
    <s v="PEN"/>
    <n v="100000000"/>
    <n v="30000000"/>
    <b v="1"/>
    <n v="0.4"/>
  </r>
  <r>
    <b v="1"/>
    <x v="0"/>
    <x v="0"/>
    <x v="2"/>
    <x v="0"/>
    <x v="1"/>
    <x v="12"/>
    <s v="BBG00QQGQVT0"/>
    <x v="0"/>
    <s v="abe9dd05116c4c77b3bb4fae4ba7fa01"/>
    <s v="CABEI¬¥s 2019 Green Bond"/>
    <x v="0"/>
    <x v="0"/>
    <s v="Wind"/>
    <s v="E√≥lico Cerro de Hula"/>
    <s v="Honduras"/>
    <d v="2019-11-01T00:00:00"/>
    <d v="2020-06-01T00:00:00"/>
    <s v="USD"/>
    <n v="31351256"/>
    <n v="31351256"/>
    <s v="USD"/>
    <n v="31351256"/>
    <n v="31351256"/>
    <b v="1"/>
    <n v="0.52"/>
  </r>
  <r>
    <b v="1"/>
    <x v="0"/>
    <x v="0"/>
    <x v="2"/>
    <x v="0"/>
    <x v="1"/>
    <x v="12"/>
    <s v="BBG00QQGQVT0"/>
    <x v="0"/>
    <s v="abe9dd05116c4c77b3bb4fae4ba7fa01"/>
    <s v="CABEI¬¥s 2019 Green Bond"/>
    <x v="1"/>
    <x v="1"/>
    <s v="Generation"/>
    <s v="E√≥lico Cerro de Hula"/>
    <s v="Honduras"/>
    <d v="2019-11-01T00:00:00"/>
    <d v="2020-06-01T00:00:00"/>
    <s v="USD"/>
    <n v="31351256"/>
    <n v="31351256"/>
    <s v="USD"/>
    <n v="31351256"/>
    <n v="31351256"/>
    <b v="1"/>
    <n v="0.52"/>
  </r>
  <r>
    <b v="1"/>
    <x v="0"/>
    <x v="0"/>
    <x v="2"/>
    <x v="0"/>
    <x v="1"/>
    <x v="12"/>
    <s v="BBG00QQGQVT0"/>
    <x v="0"/>
    <s v="abe9dd05116c4c77b3bb4fae4ba7fa01"/>
    <s v="CABEI¬¥s 2019 Green Bond"/>
    <x v="0"/>
    <x v="0"/>
    <s v="Wind"/>
    <s v="Ampliaci√≥n de 24 MW del e√≥lico Cerro de Hula"/>
    <s v="Honduras"/>
    <d v="2019-11-02T00:00:00"/>
    <d v="2020-06-01T00:00:00"/>
    <s v="USD"/>
    <n v="15566263.92"/>
    <n v="15566264"/>
    <s v="USD"/>
    <n v="15566264"/>
    <n v="15566264"/>
    <b v="1"/>
    <n v="0.65"/>
  </r>
  <r>
    <b v="1"/>
    <x v="0"/>
    <x v="0"/>
    <x v="2"/>
    <x v="0"/>
    <x v="1"/>
    <x v="12"/>
    <s v="BBG00QQGQVT0"/>
    <x v="0"/>
    <s v="abe9dd05116c4c77b3bb4fae4ba7fa01"/>
    <s v="CABEI¬¥s 2019 Green Bond"/>
    <x v="1"/>
    <x v="1"/>
    <s v="Generation"/>
    <s v="Ampliaci√≥n de 24 MW del e√≥lico Cerro de Hula"/>
    <s v="Honduras"/>
    <d v="2019-11-02T00:00:00"/>
    <d v="2020-06-01T00:00:00"/>
    <s v="USD"/>
    <n v="15566263.92"/>
    <n v="15566264"/>
    <s v="USD"/>
    <n v="15566264"/>
    <n v="15566264"/>
    <b v="1"/>
    <n v="0.65"/>
  </r>
  <r>
    <b v="1"/>
    <x v="0"/>
    <x v="0"/>
    <x v="2"/>
    <x v="0"/>
    <x v="1"/>
    <x v="12"/>
    <s v="BBG00QQGQVT0"/>
    <x v="0"/>
    <s v="abe9dd05116c4c77b3bb4fae4ba7fa01"/>
    <s v="CABEI¬¥s 2019 Green Bond"/>
    <x v="0"/>
    <x v="0"/>
    <s v="Hydro"/>
    <s v="Hidroel√©ctrico Ojo de Agua"/>
    <s v="Honduras"/>
    <d v="2019-11-03T00:00:00"/>
    <d v="2020-06-01T00:00:00"/>
    <s v="USD"/>
    <n v="17584107"/>
    <n v="17584107"/>
    <s v="USD"/>
    <n v="17584107"/>
    <n v="17584107"/>
    <b v="1"/>
    <n v="0.53"/>
  </r>
  <r>
    <b v="1"/>
    <x v="0"/>
    <x v="0"/>
    <x v="2"/>
    <x v="0"/>
    <x v="1"/>
    <x v="12"/>
    <s v="BBG00QQGQVT0"/>
    <x v="0"/>
    <s v="abe9dd05116c4c77b3bb4fae4ba7fa01"/>
    <s v="CABEI¬¥s 2019 Green Bond"/>
    <x v="1"/>
    <x v="1"/>
    <s v="Generation"/>
    <s v="Hidroel√©ctrico Ojo de Agua"/>
    <s v="Honduras"/>
    <d v="2019-11-03T00:00:00"/>
    <d v="2020-06-01T00:00:00"/>
    <s v="USD"/>
    <n v="17584107"/>
    <n v="17584107"/>
    <s v="USD"/>
    <n v="17584107"/>
    <n v="17584107"/>
    <b v="1"/>
    <n v="0.53"/>
  </r>
  <r>
    <b v="1"/>
    <x v="0"/>
    <x v="0"/>
    <x v="2"/>
    <x v="0"/>
    <x v="1"/>
    <x v="12"/>
    <s v="BBG00QQGQVT0"/>
    <x v="0"/>
    <s v="abe9dd05116c4c77b3bb4fae4ba7fa01"/>
    <s v="CABEI¬¥s 2019 Green Bond"/>
    <x v="0"/>
    <x v="0"/>
    <s v="Wind"/>
    <s v="E√≥lico Amayo Fase I"/>
    <s v="Nicaragua"/>
    <d v="2019-11-04T00:00:00"/>
    <d v="2020-06-01T00:00:00"/>
    <s v="USD"/>
    <n v="25559634.34"/>
    <n v="25559634"/>
    <s v="USD"/>
    <n v="25559634"/>
    <n v="25559634"/>
    <b v="1"/>
    <n v="0.36"/>
  </r>
  <r>
    <b v="1"/>
    <x v="0"/>
    <x v="0"/>
    <x v="2"/>
    <x v="0"/>
    <x v="1"/>
    <x v="12"/>
    <s v="BBG00QQGQVT0"/>
    <x v="0"/>
    <s v="abe9dd05116c4c77b3bb4fae4ba7fa01"/>
    <s v="CABEI¬¥s 2019 Green Bond"/>
    <x v="1"/>
    <x v="1"/>
    <s v="Generation"/>
    <s v="E√≥lico Amayo Fase I"/>
    <s v="Nicaragua"/>
    <d v="2019-11-04T00:00:00"/>
    <d v="2020-06-01T00:00:00"/>
    <s v="USD"/>
    <n v="25559634.34"/>
    <n v="25559634"/>
    <s v="USD"/>
    <n v="25559634"/>
    <n v="25559634"/>
    <b v="1"/>
    <n v="0.36"/>
  </r>
  <r>
    <b v="1"/>
    <x v="0"/>
    <x v="0"/>
    <x v="2"/>
    <x v="0"/>
    <x v="1"/>
    <x v="12"/>
    <s v="BBG00QQGQVT0"/>
    <x v="0"/>
    <s v="abe9dd05116c4c77b3bb4fae4ba7fa01"/>
    <s v="CABEI¬¥s 2019 Green Bond"/>
    <x v="0"/>
    <x v="0"/>
    <s v="Hydro"/>
    <s v="Construcci√≥n de la Central Hidroel√©ctrica Larreynaga"/>
    <s v="Nicaragua"/>
    <d v="2019-11-05T00:00:00"/>
    <d v="2020-06-01T00:00:00"/>
    <s v="USD"/>
    <n v="30160104.18"/>
    <n v="30160104"/>
    <s v="USD"/>
    <n v="30160104"/>
    <n v="30160104"/>
    <b v="1"/>
    <n v="0.82"/>
  </r>
  <r>
    <b v="1"/>
    <x v="0"/>
    <x v="0"/>
    <x v="2"/>
    <x v="0"/>
    <x v="1"/>
    <x v="12"/>
    <s v="BBG00QQGQVT0"/>
    <x v="0"/>
    <s v="abe9dd05116c4c77b3bb4fae4ba7fa01"/>
    <s v="CABEI¬¥s 2019 Green Bond"/>
    <x v="1"/>
    <x v="1"/>
    <s v="Generation"/>
    <s v="Construcci√≥n de la Central Hidroel√©ctrica Larreynaga"/>
    <s v="Nicaragua"/>
    <d v="2019-11-05T00:00:00"/>
    <d v="2020-06-01T00:00:00"/>
    <s v="USD"/>
    <n v="30160104.18"/>
    <n v="30160104"/>
    <s v="USD"/>
    <n v="30160104"/>
    <n v="30160104"/>
    <b v="1"/>
    <n v="0.82"/>
  </r>
  <r>
    <b v="1"/>
    <x v="0"/>
    <x v="0"/>
    <x v="2"/>
    <x v="0"/>
    <x v="1"/>
    <x v="5"/>
    <s v="BBG00GM45ZM4"/>
    <x v="0"/>
    <s v="d926bd6190f14503bf5981ccf4d7c715"/>
    <s v="BNDES Green Bond 2017"/>
    <x v="2"/>
    <x v="9"/>
    <s v="Unspecified"/>
    <s v="UEE S√£o Clemente"/>
    <s v="Brazil"/>
    <d v="2018-04-30T00:00:00"/>
    <d v="2017-05-15T00:00:00"/>
    <s v="BRL"/>
    <n v="656046750"/>
    <n v="656046750"/>
    <s v="USD"/>
    <n v="205934881"/>
    <n v="205934881"/>
    <b v="1"/>
    <n v="0.55000000000000004"/>
  </r>
  <r>
    <b v="1"/>
    <x v="0"/>
    <x v="0"/>
    <x v="2"/>
    <x v="0"/>
    <x v="1"/>
    <x v="5"/>
    <s v="BBG00GM45ZM4"/>
    <x v="0"/>
    <s v="d926bd6190f14503bf5981ccf4d7c715"/>
    <s v="BNDES Green Bond 2017"/>
    <x v="3"/>
    <x v="9"/>
    <s v="Unspecified"/>
    <s v="UEE S√£o Clemente"/>
    <s v="Brazil"/>
    <d v="2018-04-30T00:00:00"/>
    <d v="2017-05-15T00:00:00"/>
    <s v="BRL"/>
    <n v="656046750"/>
    <n v="656046750"/>
    <s v="USD"/>
    <n v="205934881"/>
    <n v="205934881"/>
    <b v="1"/>
    <n v="0.55000000000000004"/>
  </r>
  <r>
    <b v="1"/>
    <x v="0"/>
    <x v="0"/>
    <x v="1"/>
    <x v="0"/>
    <x v="1"/>
    <x v="13"/>
    <s v="BBG00Q6C9BH7"/>
    <x v="0"/>
    <s v="69a374327ec74ed980c676a9cc7a693a"/>
    <s v="Sabar√° Green Bond"/>
    <x v="0"/>
    <x v="2"/>
    <s v="Treatment"/>
    <s v="Factory Sodium Chloride"/>
    <s v="Brazil"/>
    <d v="2019-09-05T00:00:00"/>
    <d v="2019-08-31T00:00:00"/>
    <s v="BRL"/>
    <n v="20000000"/>
    <n v="20000000"/>
    <s v="BRL"/>
    <n v="20000000"/>
    <n v="4895000"/>
    <b v="1"/>
    <n v="0.92"/>
  </r>
  <r>
    <b v="1"/>
    <x v="0"/>
    <x v="0"/>
    <x v="1"/>
    <x v="0"/>
    <x v="1"/>
    <x v="13"/>
    <s v="BBG00Q6C9BH7"/>
    <x v="0"/>
    <s v="69a374327ec74ed980c676a9cc7a693a"/>
    <s v="Sabar√° Green Bond"/>
    <x v="1"/>
    <x v="12"/>
    <s v="Greenhouse gas control"/>
    <s v="Factory Sodium Chloride"/>
    <s v="Brazil"/>
    <d v="2019-09-05T00:00:00"/>
    <d v="2019-08-31T00:00:00"/>
    <s v="BRL"/>
    <n v="20000000"/>
    <n v="20000000"/>
    <s v="BRL"/>
    <n v="20000000"/>
    <n v="4895000"/>
    <b v="1"/>
    <n v="0.92"/>
  </r>
  <r>
    <b v="1"/>
    <x v="0"/>
    <x v="0"/>
    <x v="2"/>
    <x v="0"/>
    <x v="1"/>
    <x v="8"/>
    <n v="0"/>
    <x v="0"/>
    <s v="3b70961fc8884f169dc04b9d539085f2"/>
    <s v="FEFA 19V"/>
    <x v="0"/>
    <x v="0"/>
    <s v="Solar"/>
    <s v="Solar photovoltaic systems FEFA 19V"/>
    <s v="Mexico"/>
    <d v="2019-11-22T00:00:00"/>
    <d v="2020-11-22T00:00:00"/>
    <s v="MXN"/>
    <n v="334300000"/>
    <n v="334300000"/>
    <s v="MXN"/>
    <n v="334300000"/>
    <n v="17240845"/>
    <b v="1"/>
    <n v="0.8"/>
  </r>
  <r>
    <b v="1"/>
    <x v="0"/>
    <x v="0"/>
    <x v="2"/>
    <x v="0"/>
    <x v="1"/>
    <x v="8"/>
    <n v="0"/>
    <x v="0"/>
    <s v="3b70961fc8884f169dc04b9d539085f2"/>
    <s v="FEFA 19V"/>
    <x v="1"/>
    <x v="1"/>
    <s v="Generation"/>
    <s v="Solar photovoltaic systems FEFA 19V"/>
    <s v="Mexico"/>
    <d v="2019-11-22T00:00:00"/>
    <d v="2020-11-22T00:00:00"/>
    <s v="MXN"/>
    <n v="334300000"/>
    <n v="334300000"/>
    <s v="MXN"/>
    <n v="334300000"/>
    <n v="17240845"/>
    <b v="1"/>
    <n v="0.8"/>
  </r>
  <r>
    <b v="1"/>
    <x v="0"/>
    <x v="0"/>
    <x v="0"/>
    <x v="0"/>
    <x v="0"/>
    <x v="14"/>
    <n v="0"/>
    <x v="3"/>
    <s v="abd0c7b98f1b493c9940586652a55745"/>
    <s v="Mesa La Paz Green Bond"/>
    <x v="0"/>
    <x v="0"/>
    <s v="Wind"/>
    <s v="Mesa La Paz"/>
    <s v="Mexico"/>
    <d v="2019-05-31T00:00:00"/>
    <d v="2019-05-31T00:00:00"/>
    <s v="USD"/>
    <n v="8990334"/>
    <n v="8990334"/>
    <s v="USD"/>
    <n v="8990334"/>
    <n v="8990334"/>
    <b v="0"/>
    <n v="0.75"/>
  </r>
  <r>
    <b v="1"/>
    <x v="0"/>
    <x v="0"/>
    <x v="0"/>
    <x v="0"/>
    <x v="0"/>
    <x v="14"/>
    <n v="0"/>
    <x v="3"/>
    <s v="abd0c7b98f1b493c9940586652a55745"/>
    <s v="Mesa La Paz Green Bond"/>
    <x v="0"/>
    <x v="0"/>
    <s v="Wind"/>
    <s v="Mesa La Paz"/>
    <s v="Mexico"/>
    <d v="2019-02-28T00:00:00"/>
    <d v="2019-02-28T00:00:00"/>
    <s v="USD"/>
    <n v="56964986"/>
    <n v="56964986"/>
    <s v="USD"/>
    <n v="56964986"/>
    <n v="56964986"/>
    <b v="0"/>
    <n v="0.75"/>
  </r>
  <r>
    <b v="1"/>
    <x v="0"/>
    <x v="0"/>
    <x v="0"/>
    <x v="0"/>
    <x v="0"/>
    <x v="14"/>
    <n v="0"/>
    <x v="3"/>
    <s v="abd0c7b98f1b493c9940586652a55745"/>
    <s v="Mesa La Paz Green Bond"/>
    <x v="0"/>
    <x v="0"/>
    <s v="Wind"/>
    <s v="Mesa La Paz"/>
    <s v="Mexico"/>
    <d v="2018-11-30T00:00:00"/>
    <d v="2018-11-30T00:00:00"/>
    <s v="USD"/>
    <n v="89965788"/>
    <n v="89965788"/>
    <s v="USD"/>
    <n v="89965788"/>
    <n v="89965788"/>
    <b v="0"/>
    <n v="0.75"/>
  </r>
  <r>
    <b v="1"/>
    <x v="0"/>
    <x v="0"/>
    <x v="0"/>
    <x v="0"/>
    <x v="0"/>
    <x v="14"/>
    <n v="0"/>
    <x v="3"/>
    <s v="abd0c7b98f1b493c9940586652a55745"/>
    <s v="Mesa La Paz Green Bond"/>
    <x v="0"/>
    <x v="0"/>
    <s v="Wind"/>
    <s v="Mesa La Paz"/>
    <s v="Mexico"/>
    <d v="2018-08-31T00:00:00"/>
    <d v="2018-08-31T00:00:00"/>
    <s v="USD"/>
    <n v="86742146"/>
    <n v="86742146"/>
    <s v="USD"/>
    <n v="86742146"/>
    <n v="86742146"/>
    <b v="0"/>
    <n v="0.75"/>
  </r>
  <r>
    <b v="1"/>
    <x v="0"/>
    <x v="0"/>
    <x v="0"/>
    <x v="0"/>
    <x v="0"/>
    <x v="14"/>
    <n v="0"/>
    <x v="3"/>
    <s v="abd0c7b98f1b493c9940586652a55745"/>
    <s v="Mesa La Paz Green Bond"/>
    <x v="0"/>
    <x v="0"/>
    <s v="Wind"/>
    <s v="Mesa La Paz"/>
    <s v="Mexico"/>
    <d v="2018-05-21T00:00:00"/>
    <d v="2018-05-21T00:00:00"/>
    <s v="USD"/>
    <n v="61486747"/>
    <n v="61486747"/>
    <s v="USD"/>
    <n v="61486747"/>
    <n v="61486747"/>
    <b v="0"/>
    <n v="0.75"/>
  </r>
  <r>
    <b v="1"/>
    <x v="0"/>
    <x v="0"/>
    <x v="0"/>
    <x v="0"/>
    <x v="0"/>
    <x v="14"/>
    <n v="0"/>
    <x v="3"/>
    <s v="abd0c7b98f1b493c9940586652a55745"/>
    <s v="Mesa La Paz Green Bond"/>
    <x v="1"/>
    <x v="1"/>
    <s v="Generation"/>
    <s v="Mesa La Paz"/>
    <s v="Mexico"/>
    <d v="2019-05-31T00:00:00"/>
    <d v="2019-05-31T00:00:00"/>
    <s v="USD"/>
    <n v="8990334"/>
    <n v="8990334"/>
    <s v="USD"/>
    <n v="8990334"/>
    <n v="8990334"/>
    <b v="0"/>
    <n v="0.75"/>
  </r>
  <r>
    <b v="1"/>
    <x v="0"/>
    <x v="0"/>
    <x v="0"/>
    <x v="0"/>
    <x v="0"/>
    <x v="14"/>
    <n v="0"/>
    <x v="3"/>
    <s v="abd0c7b98f1b493c9940586652a55745"/>
    <s v="Mesa La Paz Green Bond"/>
    <x v="1"/>
    <x v="1"/>
    <s v="Generation"/>
    <s v="Mesa La Paz"/>
    <s v="Mexico"/>
    <d v="2019-02-28T00:00:00"/>
    <d v="2019-02-28T00:00:00"/>
    <s v="USD"/>
    <n v="56964986"/>
    <n v="56964986"/>
    <s v="USD"/>
    <n v="56964986"/>
    <n v="56964986"/>
    <b v="0"/>
    <n v="0.75"/>
  </r>
  <r>
    <b v="1"/>
    <x v="0"/>
    <x v="0"/>
    <x v="0"/>
    <x v="0"/>
    <x v="0"/>
    <x v="14"/>
    <n v="0"/>
    <x v="3"/>
    <s v="abd0c7b98f1b493c9940586652a55745"/>
    <s v="Mesa La Paz Green Bond"/>
    <x v="1"/>
    <x v="1"/>
    <s v="Generation"/>
    <s v="Mesa La Paz"/>
    <s v="Mexico"/>
    <d v="2018-11-30T00:00:00"/>
    <d v="2018-11-30T00:00:00"/>
    <s v="USD"/>
    <n v="89965788"/>
    <n v="89965788"/>
    <s v="USD"/>
    <n v="89965788"/>
    <n v="89965788"/>
    <b v="0"/>
    <n v="0.75"/>
  </r>
  <r>
    <b v="1"/>
    <x v="0"/>
    <x v="0"/>
    <x v="0"/>
    <x v="0"/>
    <x v="0"/>
    <x v="14"/>
    <n v="0"/>
    <x v="3"/>
    <s v="abd0c7b98f1b493c9940586652a55745"/>
    <s v="Mesa La Paz Green Bond"/>
    <x v="1"/>
    <x v="1"/>
    <s v="Generation"/>
    <s v="Mesa La Paz"/>
    <s v="Mexico"/>
    <d v="2018-08-31T00:00:00"/>
    <d v="2018-08-31T00:00:00"/>
    <s v="USD"/>
    <n v="86742146"/>
    <n v="86742146"/>
    <s v="USD"/>
    <n v="86742146"/>
    <n v="86742146"/>
    <b v="0"/>
    <n v="0.75"/>
  </r>
  <r>
    <b v="1"/>
    <x v="0"/>
    <x v="0"/>
    <x v="0"/>
    <x v="0"/>
    <x v="0"/>
    <x v="14"/>
    <n v="0"/>
    <x v="3"/>
    <s v="abd0c7b98f1b493c9940586652a55745"/>
    <s v="Mesa La Paz Green Bond"/>
    <x v="1"/>
    <x v="1"/>
    <s v="Generation"/>
    <s v="Mesa La Paz"/>
    <s v="Mexico"/>
    <d v="2018-05-21T00:00:00"/>
    <d v="2018-05-21T00:00:00"/>
    <s v="USD"/>
    <n v="61486747"/>
    <n v="61486747"/>
    <s v="USD"/>
    <n v="61486747"/>
    <n v="61486747"/>
    <b v="0"/>
    <n v="0.75"/>
  </r>
  <r>
    <b v="1"/>
    <x v="0"/>
    <x v="0"/>
    <x v="0"/>
    <x v="0"/>
    <x v="0"/>
    <x v="14"/>
    <n v="0"/>
    <x v="3"/>
    <s v="abd0c7b98f1b493c9940586652a55745"/>
    <s v="Mesa La Paz Green Bond"/>
    <x v="2"/>
    <x v="9"/>
    <s v="Unspecified"/>
    <s v="Mesa La Paz"/>
    <s v="Mexico"/>
    <d v="2019-05-31T00:00:00"/>
    <d v="2019-05-31T00:00:00"/>
    <s v="USD"/>
    <n v="8990334"/>
    <n v="8990334"/>
    <s v="USD"/>
    <n v="8990334"/>
    <n v="8990334"/>
    <b v="0"/>
    <n v="0.75"/>
  </r>
  <r>
    <b v="1"/>
    <x v="0"/>
    <x v="0"/>
    <x v="0"/>
    <x v="0"/>
    <x v="0"/>
    <x v="14"/>
    <n v="0"/>
    <x v="3"/>
    <s v="abd0c7b98f1b493c9940586652a55745"/>
    <s v="Mesa La Paz Green Bond"/>
    <x v="2"/>
    <x v="9"/>
    <s v="Unspecified"/>
    <s v="Mesa La Paz"/>
    <s v="Mexico"/>
    <d v="2019-02-28T00:00:00"/>
    <d v="2019-02-28T00:00:00"/>
    <s v="USD"/>
    <n v="56964986"/>
    <n v="56964986"/>
    <s v="USD"/>
    <n v="56964986"/>
    <n v="56964986"/>
    <b v="0"/>
    <n v="0.75"/>
  </r>
  <r>
    <b v="1"/>
    <x v="0"/>
    <x v="0"/>
    <x v="0"/>
    <x v="0"/>
    <x v="0"/>
    <x v="14"/>
    <n v="0"/>
    <x v="3"/>
    <s v="abd0c7b98f1b493c9940586652a55745"/>
    <s v="Mesa La Paz Green Bond"/>
    <x v="2"/>
    <x v="9"/>
    <s v="Unspecified"/>
    <s v="Mesa La Paz"/>
    <s v="Mexico"/>
    <d v="2018-11-30T00:00:00"/>
    <d v="2018-11-30T00:00:00"/>
    <s v="USD"/>
    <n v="89965788"/>
    <n v="89965788"/>
    <s v="USD"/>
    <n v="89965788"/>
    <n v="89965788"/>
    <b v="0"/>
    <n v="0.75"/>
  </r>
  <r>
    <b v="1"/>
    <x v="0"/>
    <x v="0"/>
    <x v="0"/>
    <x v="0"/>
    <x v="0"/>
    <x v="14"/>
    <n v="0"/>
    <x v="3"/>
    <s v="abd0c7b98f1b493c9940586652a55745"/>
    <s v="Mesa La Paz Green Bond"/>
    <x v="2"/>
    <x v="9"/>
    <s v="Unspecified"/>
    <s v="Mesa La Paz"/>
    <s v="Mexico"/>
    <d v="2018-08-31T00:00:00"/>
    <d v="2018-08-31T00:00:00"/>
    <s v="USD"/>
    <n v="86742146"/>
    <n v="86742146"/>
    <s v="USD"/>
    <n v="86742146"/>
    <n v="86742146"/>
    <b v="0"/>
    <n v="0.75"/>
  </r>
  <r>
    <b v="1"/>
    <x v="0"/>
    <x v="0"/>
    <x v="0"/>
    <x v="0"/>
    <x v="0"/>
    <x v="14"/>
    <n v="0"/>
    <x v="3"/>
    <s v="abd0c7b98f1b493c9940586652a55745"/>
    <s v="Mesa La Paz Green Bond"/>
    <x v="2"/>
    <x v="9"/>
    <s v="Unspecified"/>
    <s v="Mesa La Paz"/>
    <s v="Mexico"/>
    <d v="2018-05-21T00:00:00"/>
    <d v="2018-05-21T00:00:00"/>
    <s v="USD"/>
    <n v="61486747"/>
    <n v="61486747"/>
    <s v="USD"/>
    <n v="61486747"/>
    <n v="61486747"/>
    <b v="0"/>
    <n v="0.75"/>
  </r>
  <r>
    <b v="1"/>
    <x v="0"/>
    <x v="0"/>
    <x v="0"/>
    <x v="0"/>
    <x v="0"/>
    <x v="14"/>
    <n v="0"/>
    <x v="3"/>
    <s v="abd0c7b98f1b493c9940586652a55745"/>
    <s v="Mesa La Paz Green Bond"/>
    <x v="3"/>
    <x v="9"/>
    <s v="Unspecified"/>
    <s v="Mesa La Paz"/>
    <s v="Mexico"/>
    <d v="2019-05-31T00:00:00"/>
    <d v="2019-05-31T00:00:00"/>
    <s v="USD"/>
    <n v="8990334"/>
    <n v="8990334"/>
    <s v="USD"/>
    <n v="8990334"/>
    <n v="8990334"/>
    <b v="0"/>
    <n v="0.75"/>
  </r>
  <r>
    <b v="1"/>
    <x v="0"/>
    <x v="0"/>
    <x v="0"/>
    <x v="0"/>
    <x v="0"/>
    <x v="14"/>
    <n v="0"/>
    <x v="3"/>
    <s v="abd0c7b98f1b493c9940586652a55745"/>
    <s v="Mesa La Paz Green Bond"/>
    <x v="3"/>
    <x v="9"/>
    <s v="Unspecified"/>
    <s v="Mesa La Paz"/>
    <s v="Mexico"/>
    <d v="2019-02-28T00:00:00"/>
    <d v="2019-02-28T00:00:00"/>
    <s v="USD"/>
    <n v="56964986"/>
    <n v="56964986"/>
    <s v="USD"/>
    <n v="56964986"/>
    <n v="56964986"/>
    <b v="0"/>
    <n v="0.75"/>
  </r>
  <r>
    <b v="1"/>
    <x v="0"/>
    <x v="0"/>
    <x v="0"/>
    <x v="0"/>
    <x v="0"/>
    <x v="14"/>
    <n v="0"/>
    <x v="3"/>
    <s v="abd0c7b98f1b493c9940586652a55745"/>
    <s v="Mesa La Paz Green Bond"/>
    <x v="3"/>
    <x v="9"/>
    <s v="Unspecified"/>
    <s v="Mesa La Paz"/>
    <s v="Mexico"/>
    <d v="2018-11-30T00:00:00"/>
    <d v="2018-11-30T00:00:00"/>
    <s v="USD"/>
    <n v="89965788"/>
    <n v="89965788"/>
    <s v="USD"/>
    <n v="89965788"/>
    <n v="89965788"/>
    <b v="0"/>
    <n v="0.75"/>
  </r>
  <r>
    <b v="1"/>
    <x v="0"/>
    <x v="0"/>
    <x v="0"/>
    <x v="0"/>
    <x v="0"/>
    <x v="14"/>
    <n v="0"/>
    <x v="3"/>
    <s v="abd0c7b98f1b493c9940586652a55745"/>
    <s v="Mesa La Paz Green Bond"/>
    <x v="3"/>
    <x v="9"/>
    <s v="Unspecified"/>
    <s v="Mesa La Paz"/>
    <s v="Mexico"/>
    <d v="2018-08-31T00:00:00"/>
    <d v="2018-08-31T00:00:00"/>
    <s v="USD"/>
    <n v="86742146"/>
    <n v="86742146"/>
    <s v="USD"/>
    <n v="86742146"/>
    <n v="86742146"/>
    <b v="0"/>
    <n v="0.75"/>
  </r>
  <r>
    <b v="1"/>
    <x v="0"/>
    <x v="0"/>
    <x v="0"/>
    <x v="0"/>
    <x v="0"/>
    <x v="14"/>
    <n v="0"/>
    <x v="3"/>
    <s v="abd0c7b98f1b493c9940586652a55745"/>
    <s v="Mesa La Paz Green Bond"/>
    <x v="3"/>
    <x v="9"/>
    <s v="Unspecified"/>
    <s v="Mesa La Paz"/>
    <s v="Mexico"/>
    <d v="2018-05-21T00:00:00"/>
    <d v="2018-05-21T00:00:00"/>
    <s v="USD"/>
    <n v="61486747"/>
    <n v="61486747"/>
    <s v="USD"/>
    <n v="61486747"/>
    <n v="61486747"/>
    <b v="0"/>
    <n v="0.75"/>
  </r>
  <r>
    <b v="1"/>
    <x v="0"/>
    <x v="0"/>
    <x v="1"/>
    <x v="0"/>
    <x v="1"/>
    <x v="2"/>
    <s v="BBG00PQCN094"/>
    <x v="0"/>
    <s v="19a9b617aa704f8285094522d06a5367"/>
    <s v="Neoenergia - 6¬™ emiss√£o de deb√™ntures"/>
    <x v="0"/>
    <x v="0"/>
    <s v="Wind"/>
    <s v="Canoas 4"/>
    <s v="Brazil"/>
    <d v="2019-07-23T00:00:00"/>
    <d v="2020-03-30T00:00:00"/>
    <s v="BRL"/>
    <n v="15500000"/>
    <n v="15500000"/>
    <s v="BRL"/>
    <n v="15500000"/>
    <n v="2984385"/>
    <b v="1"/>
    <n v="0.1"/>
  </r>
  <r>
    <b v="1"/>
    <x v="0"/>
    <x v="0"/>
    <x v="1"/>
    <x v="0"/>
    <x v="1"/>
    <x v="2"/>
    <s v="BBG00PQCN094"/>
    <x v="0"/>
    <s v="19a9b617aa704f8285094522d06a5367"/>
    <s v="Neoenergia - 6¬™ emiss√£o de deb√™ntures"/>
    <x v="1"/>
    <x v="1"/>
    <s v="Generation"/>
    <s v="Canoas 4"/>
    <s v="Brazil"/>
    <d v="2019-07-23T00:00:00"/>
    <d v="2020-03-30T00:00:00"/>
    <s v="BRL"/>
    <n v="15500000"/>
    <n v="15500000"/>
    <s v="BRL"/>
    <n v="15500000"/>
    <n v="2984385"/>
    <b v="1"/>
    <n v="0.1"/>
  </r>
  <r>
    <b v="1"/>
    <x v="0"/>
    <x v="0"/>
    <x v="1"/>
    <x v="0"/>
    <x v="1"/>
    <x v="2"/>
    <s v="BBG00PQCN094"/>
    <x v="0"/>
    <s v="19a9b617aa704f8285094522d06a5367"/>
    <s v="Neoenergia - 6¬™ emiss√£o de deb√™ntures"/>
    <x v="0"/>
    <x v="0"/>
    <s v="Wind"/>
    <s v="Lagoa 3"/>
    <s v="Brazil"/>
    <d v="2019-07-23T00:00:00"/>
    <d v="2020-03-30T00:00:00"/>
    <s v="BRL"/>
    <n v="15500000"/>
    <n v="15500000"/>
    <s v="BRL"/>
    <n v="15500000"/>
    <n v="2984385"/>
    <b v="1"/>
    <n v="0.1"/>
  </r>
  <r>
    <b v="1"/>
    <x v="0"/>
    <x v="0"/>
    <x v="1"/>
    <x v="0"/>
    <x v="1"/>
    <x v="2"/>
    <s v="BBG00PQCN094"/>
    <x v="0"/>
    <s v="19a9b617aa704f8285094522d06a5367"/>
    <s v="Neoenergia - 6¬™ emiss√£o de deb√™ntures"/>
    <x v="1"/>
    <x v="1"/>
    <s v="Generation"/>
    <s v="Lagoa 3"/>
    <s v="Brazil"/>
    <d v="2019-07-23T00:00:00"/>
    <d v="2020-03-30T00:00:00"/>
    <s v="BRL"/>
    <n v="15500000"/>
    <n v="15500000"/>
    <s v="BRL"/>
    <n v="15500000"/>
    <n v="2984385"/>
    <b v="1"/>
    <n v="0.1"/>
  </r>
  <r>
    <b v="1"/>
    <x v="0"/>
    <x v="0"/>
    <x v="0"/>
    <x v="0"/>
    <x v="0"/>
    <x v="4"/>
    <n v="0"/>
    <x v="0"/>
    <s v="33ceef813ef14aac8ab44dc3a53606d8"/>
    <s v="Bancolombia Bono Sostenible"/>
    <x v="0"/>
    <x v="7"/>
    <s v="Commercial"/>
    <s v="SB Proyecto 30"/>
    <s v="Colombia"/>
    <d v="2019-07-19T00:00:00"/>
    <d v="2019-07-19T00:00:00"/>
    <s v="COP"/>
    <n v="92000000000"/>
    <n v="92000000000"/>
    <s v="COP"/>
    <n v="92000000000"/>
    <n v="28903459"/>
    <b v="0"/>
    <m/>
  </r>
  <r>
    <b v="1"/>
    <x v="0"/>
    <x v="0"/>
    <x v="0"/>
    <x v="0"/>
    <x v="0"/>
    <x v="4"/>
    <n v="0"/>
    <x v="0"/>
    <s v="33ceef813ef14aac8ab44dc3a53606d8"/>
    <s v="Bancolombia Bono Sostenible"/>
    <x v="1"/>
    <x v="8"/>
    <s v="Commercial"/>
    <s v="SB Proyecto 30"/>
    <s v="Colombia"/>
    <d v="2019-07-19T00:00:00"/>
    <d v="2019-07-19T00:00:00"/>
    <s v="COP"/>
    <n v="92000000000"/>
    <n v="92000000000"/>
    <s v="COP"/>
    <n v="92000000000"/>
    <n v="28903459"/>
    <b v="0"/>
    <m/>
  </r>
  <r>
    <b v="1"/>
    <x v="0"/>
    <x v="0"/>
    <x v="0"/>
    <x v="0"/>
    <x v="0"/>
    <x v="4"/>
    <n v="0"/>
    <x v="0"/>
    <s v="33ceef813ef14aac8ab44dc3a53606d8"/>
    <s v="Bancolombia Bono Sostenible"/>
    <x v="0"/>
    <x v="9"/>
    <s v="Unspecified"/>
    <s v="SB Proyecto 16"/>
    <s v="Colombia"/>
    <d v="2019-07-19T00:00:00"/>
    <d v="2019-07-19T00:00:00"/>
    <s v="COP"/>
    <n v="14000000000"/>
    <n v="14000000000"/>
    <s v="COP"/>
    <n v="14000000000"/>
    <n v="4398353"/>
    <b v="1"/>
    <n v="0.97"/>
  </r>
  <r>
    <b v="1"/>
    <x v="0"/>
    <x v="0"/>
    <x v="0"/>
    <x v="0"/>
    <x v="0"/>
    <x v="4"/>
    <n v="0"/>
    <x v="0"/>
    <s v="33ceef813ef14aac8ab44dc3a53606d8"/>
    <s v="Bancolombia Bono Sostenible"/>
    <x v="1"/>
    <x v="4"/>
    <s v="Appliances"/>
    <s v="SB Proyecto 16"/>
    <s v="Colombia"/>
    <d v="2019-07-19T00:00:00"/>
    <d v="2019-07-19T00:00:00"/>
    <s v="COP"/>
    <n v="14000000000"/>
    <n v="14000000000"/>
    <s v="COP"/>
    <n v="14000000000"/>
    <n v="4398353"/>
    <b v="1"/>
    <n v="0.97"/>
  </r>
  <r>
    <b v="1"/>
    <x v="0"/>
    <x v="0"/>
    <x v="1"/>
    <x v="0"/>
    <x v="1"/>
    <x v="2"/>
    <s v="BBG00PQCN094"/>
    <x v="0"/>
    <s v="19a9b617aa704f8285094522d06a5367"/>
    <s v="Neoenergia - 6¬™ emiss√£o de deb√™ntures"/>
    <x v="0"/>
    <x v="0"/>
    <s v="Wind"/>
    <s v="Lagoa 4"/>
    <s v="Brazil"/>
    <d v="2019-07-23T00:00:00"/>
    <d v="2020-03-30T00:00:00"/>
    <s v="BRL"/>
    <n v="8300000"/>
    <n v="8300000"/>
    <s v="BRL"/>
    <n v="8300000"/>
    <n v="1598090"/>
    <b v="1"/>
    <n v="0.09"/>
  </r>
  <r>
    <b v="1"/>
    <x v="0"/>
    <x v="0"/>
    <x v="1"/>
    <x v="0"/>
    <x v="1"/>
    <x v="2"/>
    <s v="BBG00PQCN094"/>
    <x v="0"/>
    <s v="19a9b617aa704f8285094522d06a5367"/>
    <s v="Neoenergia - 6¬™ emiss√£o de deb√™ntures"/>
    <x v="1"/>
    <x v="1"/>
    <s v="Generation"/>
    <s v="Lagoa 4"/>
    <s v="Brazil"/>
    <d v="2019-07-23T00:00:00"/>
    <d v="2020-03-30T00:00:00"/>
    <s v="BRL"/>
    <n v="8300000"/>
    <n v="8300000"/>
    <s v="BRL"/>
    <n v="8300000"/>
    <n v="1598090"/>
    <b v="1"/>
    <n v="0.09"/>
  </r>
  <r>
    <b v="1"/>
    <x v="0"/>
    <x v="0"/>
    <x v="1"/>
    <x v="0"/>
    <x v="1"/>
    <x v="2"/>
    <s v="BBG00PQCN094"/>
    <x v="0"/>
    <s v="19a9b617aa704f8285094522d06a5367"/>
    <s v="Neoenergia - 6¬™ emiss√£o de deb√™ntures"/>
    <x v="0"/>
    <x v="0"/>
    <s v="Wind"/>
    <s v="Ventos do Arapu√° 1"/>
    <s v="Brazil"/>
    <d v="2019-07-23T00:00:00"/>
    <d v="2020-03-30T00:00:00"/>
    <s v="BRL"/>
    <n v="14500000"/>
    <n v="14500000"/>
    <s v="BRL"/>
    <n v="14500000"/>
    <n v="2791844"/>
    <b v="1"/>
    <n v="0.13"/>
  </r>
  <r>
    <b v="1"/>
    <x v="0"/>
    <x v="0"/>
    <x v="1"/>
    <x v="0"/>
    <x v="1"/>
    <x v="2"/>
    <s v="BBG00PQCN094"/>
    <x v="0"/>
    <s v="19a9b617aa704f8285094522d06a5367"/>
    <s v="Neoenergia - 6¬™ emiss√£o de deb√™ntures"/>
    <x v="1"/>
    <x v="1"/>
    <s v="Generation"/>
    <s v="Ventos do Arapu√° 1"/>
    <s v="Brazil"/>
    <d v="2019-07-23T00:00:00"/>
    <d v="2020-03-30T00:00:00"/>
    <s v="BRL"/>
    <n v="14500000"/>
    <n v="14500000"/>
    <s v="BRL"/>
    <n v="14500000"/>
    <n v="2791844"/>
    <b v="1"/>
    <n v="0.13"/>
  </r>
  <r>
    <b v="1"/>
    <x v="0"/>
    <x v="0"/>
    <x v="0"/>
    <x v="0"/>
    <x v="0"/>
    <x v="4"/>
    <n v="0"/>
    <x v="0"/>
    <s v="33ceef813ef14aac8ab44dc3a53606d8"/>
    <s v="Bancolombia Bono Sostenible"/>
    <x v="0"/>
    <x v="9"/>
    <s v="Unspecified"/>
    <s v="SB Proyecto 17"/>
    <s v="Colombia"/>
    <d v="2019-07-19T00:00:00"/>
    <d v="2019-07-19T00:00:00"/>
    <s v="COP"/>
    <n v="10000000000"/>
    <n v="10000000000"/>
    <s v="COP"/>
    <n v="10000000000"/>
    <n v="3141680"/>
    <b v="1"/>
    <n v="0.97"/>
  </r>
  <r>
    <b v="1"/>
    <x v="0"/>
    <x v="0"/>
    <x v="0"/>
    <x v="0"/>
    <x v="0"/>
    <x v="4"/>
    <n v="0"/>
    <x v="0"/>
    <s v="33ceef813ef14aac8ab44dc3a53606d8"/>
    <s v="Bancolombia Bono Sostenible"/>
    <x v="1"/>
    <x v="4"/>
    <s v="Appliances"/>
    <s v="SB Proyecto 17"/>
    <s v="Colombia"/>
    <d v="2019-07-19T00:00:00"/>
    <d v="2019-07-19T00:00:00"/>
    <s v="COP"/>
    <n v="10000000000"/>
    <n v="10000000000"/>
    <s v="COP"/>
    <n v="10000000000"/>
    <n v="3141680"/>
    <b v="1"/>
    <n v="0.97"/>
  </r>
  <r>
    <b v="1"/>
    <x v="0"/>
    <x v="0"/>
    <x v="0"/>
    <x v="0"/>
    <x v="0"/>
    <x v="4"/>
    <n v="0"/>
    <x v="0"/>
    <s v="33ceef813ef14aac8ab44dc3a53606d8"/>
    <s v="Bancolombia Bono Sostenible"/>
    <x v="2"/>
    <x v="9"/>
    <s v="Unspecified"/>
    <s v="SB Proyecto 31"/>
    <s v="Colombia"/>
    <d v="2019-07-19T00:00:00"/>
    <d v="2019-07-19T00:00:00"/>
    <s v="COP"/>
    <n v="173096000000"/>
    <n v="173096000000"/>
    <s v="COP"/>
    <n v="173096000000"/>
    <n v="54381230"/>
    <b v="0"/>
    <n v="0.97"/>
  </r>
  <r>
    <b v="1"/>
    <x v="0"/>
    <x v="0"/>
    <x v="0"/>
    <x v="0"/>
    <x v="0"/>
    <x v="4"/>
    <n v="0"/>
    <x v="0"/>
    <s v="33ceef813ef14aac8ab44dc3a53606d8"/>
    <s v="Bancolombia Bono Sostenible"/>
    <x v="3"/>
    <x v="9"/>
    <s v="Unspecified"/>
    <s v="SB Proyecto 31"/>
    <s v="Colombia"/>
    <d v="2019-07-19T00:00:00"/>
    <d v="2019-07-19T00:00:00"/>
    <s v="COP"/>
    <n v="173096000000"/>
    <n v="173096000000"/>
    <s v="COP"/>
    <n v="173096000000"/>
    <n v="54381230"/>
    <b v="0"/>
    <n v="0.97"/>
  </r>
  <r>
    <b v="1"/>
    <x v="0"/>
    <x v="0"/>
    <x v="1"/>
    <x v="0"/>
    <x v="1"/>
    <x v="2"/>
    <s v="BBG00PQCN094"/>
    <x v="0"/>
    <s v="19a9b617aa704f8285094522d06a5367"/>
    <s v="Neoenergia - 6¬™ emiss√£o de deb√™ntures"/>
    <x v="0"/>
    <x v="0"/>
    <s v="Wind"/>
    <s v="Ventos do Arapu√° 2"/>
    <s v="Brazil"/>
    <d v="2019-07-23T00:00:00"/>
    <d v="2020-03-30T00:00:00"/>
    <s v="BRL"/>
    <n v="20700000"/>
    <n v="16200000"/>
    <s v="BRL"/>
    <n v="16200000"/>
    <n v="3119164"/>
    <b v="1"/>
    <n v="0.13"/>
  </r>
  <r>
    <b v="1"/>
    <x v="0"/>
    <x v="0"/>
    <x v="1"/>
    <x v="0"/>
    <x v="1"/>
    <x v="2"/>
    <s v="BBG00PQCN094"/>
    <x v="0"/>
    <s v="19a9b617aa704f8285094522d06a5367"/>
    <s v="Neoenergia - 6¬™ emiss√£o de deb√™ntures"/>
    <x v="1"/>
    <x v="1"/>
    <s v="Generation"/>
    <s v="Ventos do Arapu√° 2"/>
    <s v="Brazil"/>
    <d v="2019-07-23T00:00:00"/>
    <d v="2020-03-30T00:00:00"/>
    <s v="BRL"/>
    <n v="20700000"/>
    <n v="16200000"/>
    <s v="BRL"/>
    <n v="16200000"/>
    <n v="3119164"/>
    <b v="1"/>
    <n v="0.13"/>
  </r>
  <r>
    <e v="#N/A"/>
    <x v="1"/>
    <x v="1"/>
    <x v="3"/>
    <x v="1"/>
    <x v="2"/>
    <x v="10"/>
    <e v="#N/A"/>
    <x v="2"/>
    <s v="e13fb411d38e445aa8115a546717c6ce"/>
    <s v="Green Bond CMPC 2019"/>
    <x v="0"/>
    <x v="7"/>
    <s v="Products &amp; Systems for Efficiency"/>
    <s v="Corporate Building"/>
    <s v="Chile"/>
    <d v="2019-05-17T00:00:00"/>
    <d v="2018-12-31T00:00:00"/>
    <s v="USD"/>
    <n v="11397764"/>
    <n v="11397764"/>
    <s v="CLF"/>
    <n v="411"/>
    <n v="11397764"/>
    <b v="0"/>
    <n v="1"/>
  </r>
  <r>
    <e v="#N/A"/>
    <x v="1"/>
    <x v="1"/>
    <x v="3"/>
    <x v="1"/>
    <x v="2"/>
    <x v="10"/>
    <e v="#N/A"/>
    <x v="2"/>
    <s v="e13fb411d38e445aa8115a546717c6ce"/>
    <s v="Green Bond CMPC 2019"/>
    <x v="0"/>
    <x v="7"/>
    <s v="Products &amp; Systems for Efficiency"/>
    <s v="Corporate Building"/>
    <s v="Chile"/>
    <d v="2019-05-17T00:00:00"/>
    <d v="2019-12-31T00:00:00"/>
    <s v="USD"/>
    <n v="843200"/>
    <n v="843200"/>
    <s v="CLF"/>
    <n v="30"/>
    <n v="843200"/>
    <b v="0"/>
    <n v="1"/>
  </r>
  <r>
    <e v="#N/A"/>
    <x v="1"/>
    <x v="1"/>
    <x v="3"/>
    <x v="1"/>
    <x v="2"/>
    <x v="10"/>
    <e v="#N/A"/>
    <x v="2"/>
    <s v="e13fb411d38e445aa8115a546717c6ce"/>
    <s v="Green Bond CMPC 2019"/>
    <x v="1"/>
    <x v="8"/>
    <s v="Commercial"/>
    <s v="Corporate Building"/>
    <s v="Chile"/>
    <d v="2019-05-17T00:00:00"/>
    <d v="2018-12-31T00:00:00"/>
    <s v="USD"/>
    <n v="11397764"/>
    <n v="11397764"/>
    <s v="CLF"/>
    <n v="411"/>
    <n v="11397764"/>
    <b v="0"/>
    <n v="1"/>
  </r>
  <r>
    <e v="#N/A"/>
    <x v="1"/>
    <x v="1"/>
    <x v="3"/>
    <x v="1"/>
    <x v="2"/>
    <x v="10"/>
    <e v="#N/A"/>
    <x v="2"/>
    <s v="e13fb411d38e445aa8115a546717c6ce"/>
    <s v="Green Bond CMPC 2019"/>
    <x v="1"/>
    <x v="8"/>
    <s v="Commercial"/>
    <s v="Corporate Building"/>
    <s v="Chile"/>
    <d v="2019-05-17T00:00:00"/>
    <d v="2019-12-31T00:00:00"/>
    <s v="USD"/>
    <n v="843200"/>
    <n v="843200"/>
    <s v="CLF"/>
    <n v="30"/>
    <n v="843200"/>
    <b v="0"/>
    <n v="1"/>
  </r>
  <r>
    <e v="#N/A"/>
    <x v="1"/>
    <x v="1"/>
    <x v="3"/>
    <x v="1"/>
    <x v="2"/>
    <x v="10"/>
    <e v="#N/A"/>
    <x v="2"/>
    <s v="e13fb411d38e445aa8115a546717c6ce"/>
    <s v="Green Bond CMPC 2019"/>
    <x v="2"/>
    <x v="9"/>
    <s v="Unspecified"/>
    <s v="Corporate Building"/>
    <s v="Chile"/>
    <d v="2019-05-17T00:00:00"/>
    <d v="2018-12-31T00:00:00"/>
    <s v="USD"/>
    <n v="11397764"/>
    <n v="11397764"/>
    <s v="CLF"/>
    <n v="411"/>
    <n v="11397764"/>
    <b v="0"/>
    <n v="1"/>
  </r>
  <r>
    <e v="#N/A"/>
    <x v="1"/>
    <x v="1"/>
    <x v="3"/>
    <x v="1"/>
    <x v="2"/>
    <x v="10"/>
    <e v="#N/A"/>
    <x v="2"/>
    <s v="e13fb411d38e445aa8115a546717c6ce"/>
    <s v="Green Bond CMPC 2019"/>
    <x v="2"/>
    <x v="9"/>
    <s v="Unspecified"/>
    <s v="Corporate Building"/>
    <s v="Chile"/>
    <d v="2019-05-17T00:00:00"/>
    <d v="2019-12-31T00:00:00"/>
    <s v="USD"/>
    <n v="843200"/>
    <n v="843200"/>
    <s v="CLF"/>
    <n v="30"/>
    <n v="843200"/>
    <b v="0"/>
    <n v="1"/>
  </r>
  <r>
    <e v="#N/A"/>
    <x v="1"/>
    <x v="1"/>
    <x v="3"/>
    <x v="1"/>
    <x v="2"/>
    <x v="10"/>
    <e v="#N/A"/>
    <x v="2"/>
    <s v="e13fb411d38e445aa8115a546717c6ce"/>
    <s v="Green Bond CMPC 2019"/>
    <x v="3"/>
    <x v="9"/>
    <s v="Unspecified"/>
    <s v="Corporate Building"/>
    <s v="Chile"/>
    <d v="2019-05-17T00:00:00"/>
    <d v="2018-12-31T00:00:00"/>
    <s v="USD"/>
    <n v="11397764"/>
    <n v="11397764"/>
    <s v="CLF"/>
    <n v="411"/>
    <n v="11397764"/>
    <b v="0"/>
    <n v="1"/>
  </r>
  <r>
    <e v="#N/A"/>
    <x v="1"/>
    <x v="1"/>
    <x v="3"/>
    <x v="1"/>
    <x v="2"/>
    <x v="10"/>
    <e v="#N/A"/>
    <x v="2"/>
    <s v="e13fb411d38e445aa8115a546717c6ce"/>
    <s v="Green Bond CMPC 2019"/>
    <x v="3"/>
    <x v="9"/>
    <s v="Unspecified"/>
    <s v="Corporate Building"/>
    <s v="Chile"/>
    <d v="2019-05-17T00:00:00"/>
    <d v="2019-12-31T00:00:00"/>
    <s v="USD"/>
    <n v="843200"/>
    <n v="843200"/>
    <s v="CLF"/>
    <n v="30"/>
    <n v="843200"/>
    <b v="0"/>
    <n v="1"/>
  </r>
  <r>
    <b v="1"/>
    <x v="0"/>
    <x v="0"/>
    <x v="2"/>
    <x v="0"/>
    <x v="1"/>
    <x v="15"/>
    <s v="BBG00GCM8LR8"/>
    <x v="0"/>
    <s v="9e3d5a4bf8ef4c9bb3306040e0cd6790"/>
    <s v="Green Bond CMPC 2017"/>
    <x v="1"/>
    <x v="4"/>
    <s v="Products"/>
    <s v="Transport of wood for pulping by barge to the Guaiba mill"/>
    <s v="Brazil"/>
    <d v="2017-04-04T00:00:00"/>
    <d v="2016-12-31T00:00:00"/>
    <s v="USD"/>
    <n v="8780938"/>
    <n v="8780938"/>
    <s v="USD"/>
    <n v="8780938"/>
    <n v="8780938"/>
    <b v="0"/>
    <n v="1"/>
  </r>
  <r>
    <b v="1"/>
    <x v="0"/>
    <x v="0"/>
    <x v="2"/>
    <x v="0"/>
    <x v="1"/>
    <x v="15"/>
    <s v="BBG00GCM8LR8"/>
    <x v="0"/>
    <s v="9e3d5a4bf8ef4c9bb3306040e0cd6790"/>
    <s v="Green Bond CMPC 2017"/>
    <x v="2"/>
    <x v="9"/>
    <s v="Unspecified"/>
    <s v="Transport of wood for pulping by barge to the Guaiba mill"/>
    <s v="Brazil"/>
    <d v="2017-04-04T00:00:00"/>
    <d v="2016-12-31T00:00:00"/>
    <s v="USD"/>
    <n v="8780938"/>
    <n v="8780938"/>
    <s v="USD"/>
    <n v="8780938"/>
    <n v="8780938"/>
    <b v="0"/>
    <n v="1"/>
  </r>
  <r>
    <b v="1"/>
    <x v="0"/>
    <x v="0"/>
    <x v="2"/>
    <x v="0"/>
    <x v="1"/>
    <x v="15"/>
    <s v="BBG00GCM8LR8"/>
    <x v="0"/>
    <s v="9e3d5a4bf8ef4c9bb3306040e0cd6790"/>
    <s v="Green Bond CMPC 2017"/>
    <x v="3"/>
    <x v="9"/>
    <s v="Unspecified"/>
    <s v="Transport of wood for pulping by barge to the Guaiba mill"/>
    <s v="Brazil"/>
    <d v="2017-04-04T00:00:00"/>
    <d v="2016-12-31T00:00:00"/>
    <s v="USD"/>
    <n v="8780938"/>
    <n v="8780938"/>
    <s v="USD"/>
    <n v="8780938"/>
    <n v="8780938"/>
    <b v="0"/>
    <n v="1"/>
  </r>
  <r>
    <b v="1"/>
    <x v="0"/>
    <x v="0"/>
    <x v="2"/>
    <x v="0"/>
    <x v="1"/>
    <x v="16"/>
    <s v="BBG00MCDMXF6"/>
    <x v="0"/>
    <s v="19c1f11e1a3f444cae63d334393894ed"/>
    <s v="Green Bond Protisa Per√∫, CMPC"/>
    <x v="0"/>
    <x v="2"/>
    <s v="Treatment"/>
    <s v="Ca√±ete Waste Water Treatment Plant"/>
    <s v="Peru"/>
    <d v="2018-10-01T00:00:00"/>
    <d v="2016-12-31T00:00:00"/>
    <s v="USD"/>
    <n v="2396472"/>
    <n v="2396472"/>
    <s v="PEN"/>
    <n v="7812498"/>
    <n v="2396472"/>
    <b v="1"/>
    <n v="1"/>
  </r>
  <r>
    <b v="1"/>
    <x v="0"/>
    <x v="0"/>
    <x v="2"/>
    <x v="0"/>
    <x v="1"/>
    <x v="16"/>
    <s v="BBG00MCDMXF6"/>
    <x v="0"/>
    <s v="19c1f11e1a3f444cae63d334393894ed"/>
    <s v="Green Bond Protisa Per√∫, CMPC"/>
    <x v="1"/>
    <x v="3"/>
    <s v="Wastewater treatment"/>
    <s v="Ca√±ete Waste Water Treatment Plant"/>
    <s v="Peru"/>
    <d v="2018-10-01T00:00:00"/>
    <d v="2016-12-31T00:00:00"/>
    <s v="USD"/>
    <n v="2396472"/>
    <n v="2396472"/>
    <s v="PEN"/>
    <n v="7812498"/>
    <n v="2396472"/>
    <b v="1"/>
    <n v="1"/>
  </r>
  <r>
    <b v="1"/>
    <x v="0"/>
    <x v="0"/>
    <x v="2"/>
    <x v="0"/>
    <x v="1"/>
    <x v="16"/>
    <s v="BBG00MCDMXF6"/>
    <x v="0"/>
    <s v="19c1f11e1a3f444cae63d334393894ed"/>
    <s v="Green Bond Protisa Per√∫, CMPC"/>
    <x v="2"/>
    <x v="9"/>
    <s v="Unspecified"/>
    <s v="Ca√±ete Waste Water Treatment Plant"/>
    <s v="Peru"/>
    <d v="2018-10-01T00:00:00"/>
    <d v="2016-12-31T00:00:00"/>
    <s v="USD"/>
    <n v="2396472"/>
    <n v="2396472"/>
    <s v="PEN"/>
    <n v="7812498"/>
    <n v="2396472"/>
    <b v="1"/>
    <n v="1"/>
  </r>
  <r>
    <b v="1"/>
    <x v="0"/>
    <x v="0"/>
    <x v="2"/>
    <x v="0"/>
    <x v="1"/>
    <x v="16"/>
    <s v="BBG00MCDMXF6"/>
    <x v="0"/>
    <s v="19c1f11e1a3f444cae63d334393894ed"/>
    <s v="Green Bond Protisa Per√∫, CMPC"/>
    <x v="3"/>
    <x v="9"/>
    <s v="Unspecified"/>
    <s v="Ca√±ete Waste Water Treatment Plant"/>
    <s v="Peru"/>
    <d v="2018-10-01T00:00:00"/>
    <d v="2016-12-31T00:00:00"/>
    <s v="USD"/>
    <n v="2396472"/>
    <n v="2396472"/>
    <s v="PEN"/>
    <n v="7812498"/>
    <n v="2396472"/>
    <b v="1"/>
    <n v="1"/>
  </r>
  <r>
    <b v="1"/>
    <x v="0"/>
    <x v="0"/>
    <x v="2"/>
    <x v="0"/>
    <x v="1"/>
    <x v="16"/>
    <s v="BBG00MCDMXF6"/>
    <x v="0"/>
    <s v="19c1f11e1a3f444cae63d334393894ed"/>
    <s v="Green Bond Protisa Per√∫, CMPC"/>
    <x v="0"/>
    <x v="13"/>
    <s v="Power Management"/>
    <s v="Ca√±ete Paper Machine"/>
    <s v="Peru"/>
    <d v="2018-10-01T00:00:00"/>
    <d v="2016-12-31T00:00:00"/>
    <s v="USD"/>
    <n v="26361196"/>
    <n v="26361196"/>
    <s v="PEN"/>
    <n v="85937498"/>
    <n v="26361196"/>
    <b v="1"/>
    <n v="1"/>
  </r>
  <r>
    <b v="1"/>
    <x v="0"/>
    <x v="0"/>
    <x v="2"/>
    <x v="0"/>
    <x v="1"/>
    <x v="16"/>
    <s v="BBG00MCDMXF6"/>
    <x v="0"/>
    <s v="19c1f11e1a3f444cae63d334393894ed"/>
    <s v="Green Bond Protisa Per√∫, CMPC"/>
    <x v="1"/>
    <x v="4"/>
    <s v="Appliances"/>
    <s v="Ca√±ete Paper Machine"/>
    <s v="Peru"/>
    <d v="2018-10-01T00:00:00"/>
    <d v="2016-12-31T00:00:00"/>
    <s v="USD"/>
    <n v="26361196"/>
    <n v="26361196"/>
    <s v="PEN"/>
    <n v="85937498"/>
    <n v="26361196"/>
    <b v="1"/>
    <n v="1"/>
  </r>
  <r>
    <b v="1"/>
    <x v="0"/>
    <x v="0"/>
    <x v="2"/>
    <x v="0"/>
    <x v="1"/>
    <x v="16"/>
    <s v="BBG00MCDMXF6"/>
    <x v="0"/>
    <s v="19c1f11e1a3f444cae63d334393894ed"/>
    <s v="Green Bond Protisa Per√∫, CMPC"/>
    <x v="2"/>
    <x v="9"/>
    <s v="Unspecified"/>
    <s v="Ca√±ete Paper Machine"/>
    <s v="Peru"/>
    <d v="2018-10-01T00:00:00"/>
    <d v="2016-12-31T00:00:00"/>
    <s v="USD"/>
    <n v="26361196"/>
    <n v="26361196"/>
    <s v="PEN"/>
    <n v="85937498"/>
    <n v="26361196"/>
    <b v="1"/>
    <n v="1"/>
  </r>
  <r>
    <b v="1"/>
    <x v="0"/>
    <x v="0"/>
    <x v="1"/>
    <x v="0"/>
    <x v="1"/>
    <x v="2"/>
    <s v="BBG00PQCN094"/>
    <x v="0"/>
    <s v="19a9b617aa704f8285094522d06a5367"/>
    <s v="Neoenergia - 6¬™ emiss√£o de deb√™ntures"/>
    <x v="0"/>
    <x v="0"/>
    <s v="Wind"/>
    <s v="Ventos do Arapu√° 3"/>
    <s v="Brazil"/>
    <d v="2019-07-23T00:00:00"/>
    <d v="2020-03-30T00:00:00"/>
    <s v="BRL"/>
    <n v="6200000"/>
    <n v="5700000"/>
    <s v="BRL"/>
    <n v="5700000"/>
    <n v="1097483"/>
    <b v="1"/>
    <n v="0.1"/>
  </r>
  <r>
    <b v="1"/>
    <x v="0"/>
    <x v="0"/>
    <x v="1"/>
    <x v="0"/>
    <x v="1"/>
    <x v="2"/>
    <s v="BBG00PQCN094"/>
    <x v="0"/>
    <s v="19a9b617aa704f8285094522d06a5367"/>
    <s v="Neoenergia - 6¬™ emiss√£o de deb√™ntures"/>
    <x v="1"/>
    <x v="1"/>
    <s v="Generation"/>
    <s v="Ventos do Arapu√° 3"/>
    <s v="Brazil"/>
    <d v="2019-07-23T00:00:00"/>
    <d v="2020-03-30T00:00:00"/>
    <s v="BRL"/>
    <n v="6200000"/>
    <n v="5700000"/>
    <s v="BRL"/>
    <n v="5700000"/>
    <n v="1097483"/>
    <b v="1"/>
    <n v="0.1"/>
  </r>
  <r>
    <b v="1"/>
    <x v="0"/>
    <x v="0"/>
    <x v="1"/>
    <x v="0"/>
    <x v="1"/>
    <x v="2"/>
    <s v="BBG00PQCN094"/>
    <x v="0"/>
    <s v="19a9b617aa704f8285094522d06a5367"/>
    <s v="Neoenergia - 6¬™ emiss√£o de deb√™ntures"/>
    <x v="0"/>
    <x v="0"/>
    <s v="Transmission"/>
    <s v="EKTT 1"/>
    <s v="Brazil"/>
    <d v="2019-07-23T00:00:00"/>
    <d v="2020-03-30T00:00:00"/>
    <s v="BRL"/>
    <n v="70400000"/>
    <n v="70400000"/>
    <s v="BRL"/>
    <n v="70400000"/>
    <n v="13554884"/>
    <b v="1"/>
    <n v="0.06"/>
  </r>
  <r>
    <b v="1"/>
    <x v="0"/>
    <x v="0"/>
    <x v="1"/>
    <x v="0"/>
    <x v="1"/>
    <x v="2"/>
    <s v="BBG00PQCN094"/>
    <x v="0"/>
    <s v="19a9b617aa704f8285094522d06a5367"/>
    <s v="Neoenergia - 6¬™ emiss√£o de deb√™ntures"/>
    <x v="1"/>
    <x v="1"/>
    <s v="Transmission"/>
    <s v="EKTT 1"/>
    <s v="Brazil"/>
    <d v="2019-07-23T00:00:00"/>
    <d v="2020-03-30T00:00:00"/>
    <s v="BRL"/>
    <n v="70400000"/>
    <n v="70400000"/>
    <s v="BRL"/>
    <n v="70400000"/>
    <n v="13554884"/>
    <b v="1"/>
    <n v="0.06"/>
  </r>
  <r>
    <b v="1"/>
    <x v="0"/>
    <x v="0"/>
    <x v="1"/>
    <x v="0"/>
    <x v="1"/>
    <x v="2"/>
    <s v="BBG00PQCN094"/>
    <x v="0"/>
    <s v="19a9b617aa704f8285094522d06a5367"/>
    <s v="Neoenergia - 6¬™ emiss√£o de deb√™ntures"/>
    <x v="0"/>
    <x v="0"/>
    <s v="Transmission"/>
    <s v="EKTT 2"/>
    <s v="Brazil"/>
    <d v="2019-07-23T00:00:00"/>
    <d v="2020-03-30T00:00:00"/>
    <s v="BRL"/>
    <n v="36200000"/>
    <n v="36200000"/>
    <s v="BRL"/>
    <n v="36200000"/>
    <n v="6969983"/>
    <b v="1"/>
    <n v="7.0000000000000007E-2"/>
  </r>
  <r>
    <b v="1"/>
    <x v="0"/>
    <x v="0"/>
    <x v="1"/>
    <x v="0"/>
    <x v="1"/>
    <x v="2"/>
    <s v="BBG00PQCN094"/>
    <x v="0"/>
    <s v="19a9b617aa704f8285094522d06a5367"/>
    <s v="Neoenergia - 6¬™ emiss√£o de deb√™ntures"/>
    <x v="1"/>
    <x v="1"/>
    <s v="Transmission"/>
    <s v="EKTT 2"/>
    <s v="Brazil"/>
    <d v="2019-07-23T00:00:00"/>
    <d v="2020-03-30T00:00:00"/>
    <s v="BRL"/>
    <n v="36200000"/>
    <n v="36200000"/>
    <s v="BRL"/>
    <n v="36200000"/>
    <n v="6969983"/>
    <b v="1"/>
    <n v="7.0000000000000007E-2"/>
  </r>
  <r>
    <b v="1"/>
    <x v="0"/>
    <x v="0"/>
    <x v="2"/>
    <x v="0"/>
    <x v="1"/>
    <x v="15"/>
    <s v="BBG00GCM8LR8"/>
    <x v="0"/>
    <s v="9e3d5a4bf8ef4c9bb3306040e0cd6790"/>
    <s v="Green Bond CMPC 2017"/>
    <x v="0"/>
    <x v="10"/>
    <s v="Commercial Forestry"/>
    <s v="Development of Eucalyptus hybrids and genetic improvements strategy for better yields in Radiate Pine and Eucalyptus Nitiens"/>
    <s v="Chile"/>
    <d v="2017-04-04T00:00:00"/>
    <d v="2018-12-31T00:00:00"/>
    <s v="USD"/>
    <n v="1549647"/>
    <n v="1549647"/>
    <s v="USD"/>
    <n v="1549647"/>
    <n v="1549647"/>
    <b v="0"/>
    <n v="1"/>
  </r>
  <r>
    <b v="1"/>
    <x v="0"/>
    <x v="0"/>
    <x v="2"/>
    <x v="0"/>
    <x v="1"/>
    <x v="15"/>
    <s v="BBG00GCM8LR8"/>
    <x v="0"/>
    <s v="9e3d5a4bf8ef4c9bb3306040e0cd6790"/>
    <s v="Green Bond CMPC 2017"/>
    <x v="0"/>
    <x v="10"/>
    <s v="Commercial Forestry"/>
    <s v="Development of Eucalyptus hybrids and genetic improvements strategy for better yields in Radiate Pine and Eucalyptus Nitiens"/>
    <s v="Chile"/>
    <d v="2017-04-04T00:00:00"/>
    <d v="2016-12-31T00:00:00"/>
    <s v="USD"/>
    <n v="3955503"/>
    <n v="3955503"/>
    <s v="USD"/>
    <n v="3955503"/>
    <n v="3955503"/>
    <b v="0"/>
    <n v="1"/>
  </r>
  <r>
    <b v="1"/>
    <x v="0"/>
    <x v="0"/>
    <x v="2"/>
    <x v="0"/>
    <x v="1"/>
    <x v="15"/>
    <s v="BBG00GCM8LR8"/>
    <x v="0"/>
    <s v="9e3d5a4bf8ef4c9bb3306040e0cd6790"/>
    <s v="Green Bond CMPC 2017"/>
    <x v="1"/>
    <x v="11"/>
    <s v="Forestry"/>
    <s v="Development of Eucalyptus hybrids and genetic improvements strategy for better yields in Radiate Pine and Eucalyptus Nitiens"/>
    <s v="Chile"/>
    <d v="2017-04-04T00:00:00"/>
    <d v="2018-12-31T00:00:00"/>
    <s v="USD"/>
    <n v="1549647"/>
    <n v="1549647"/>
    <s v="USD"/>
    <n v="1549647"/>
    <n v="1549647"/>
    <b v="0"/>
    <n v="1"/>
  </r>
  <r>
    <b v="1"/>
    <x v="0"/>
    <x v="0"/>
    <x v="2"/>
    <x v="0"/>
    <x v="1"/>
    <x v="15"/>
    <s v="BBG00GCM8LR8"/>
    <x v="0"/>
    <s v="9e3d5a4bf8ef4c9bb3306040e0cd6790"/>
    <s v="Green Bond CMPC 2017"/>
    <x v="1"/>
    <x v="11"/>
    <s v="Forestry"/>
    <s v="Development of Eucalyptus hybrids and genetic improvements strategy for better yields in Radiate Pine and Eucalyptus Nitiens"/>
    <s v="Chile"/>
    <d v="2017-04-04T00:00:00"/>
    <d v="2016-12-31T00:00:00"/>
    <s v="USD"/>
    <n v="3955503"/>
    <n v="3955503"/>
    <s v="USD"/>
    <n v="3955503"/>
    <n v="3955503"/>
    <b v="0"/>
    <n v="1"/>
  </r>
  <r>
    <b v="1"/>
    <x v="0"/>
    <x v="0"/>
    <x v="2"/>
    <x v="0"/>
    <x v="1"/>
    <x v="15"/>
    <s v="BBG00GCM8LR8"/>
    <x v="0"/>
    <s v="9e3d5a4bf8ef4c9bb3306040e0cd6790"/>
    <s v="Green Bond CMPC 2017"/>
    <x v="2"/>
    <x v="9"/>
    <s v="Unspecified"/>
    <s v="Development of Eucalyptus hybrids and genetic improvements strategy for better yields in Radiate Pine and Eucalyptus Nitiens"/>
    <s v="Chile"/>
    <d v="2017-04-04T00:00:00"/>
    <d v="2018-12-31T00:00:00"/>
    <s v="USD"/>
    <n v="1549647"/>
    <n v="1549647"/>
    <s v="USD"/>
    <n v="1549647"/>
    <n v="1549647"/>
    <b v="0"/>
    <n v="1"/>
  </r>
  <r>
    <b v="1"/>
    <x v="0"/>
    <x v="0"/>
    <x v="2"/>
    <x v="0"/>
    <x v="1"/>
    <x v="15"/>
    <s v="BBG00GCM8LR8"/>
    <x v="0"/>
    <s v="9e3d5a4bf8ef4c9bb3306040e0cd6790"/>
    <s v="Green Bond CMPC 2017"/>
    <x v="2"/>
    <x v="9"/>
    <s v="Unspecified"/>
    <s v="Development of Eucalyptus hybrids and genetic improvements strategy for better yields in Radiate Pine and Eucalyptus Nitiens"/>
    <s v="Chile"/>
    <d v="2017-04-04T00:00:00"/>
    <d v="2016-12-31T00:00:00"/>
    <s v="USD"/>
    <n v="3955503"/>
    <n v="3955503"/>
    <s v="USD"/>
    <n v="3955503"/>
    <n v="3955503"/>
    <b v="0"/>
    <n v="1"/>
  </r>
  <r>
    <b v="1"/>
    <x v="0"/>
    <x v="0"/>
    <x v="2"/>
    <x v="0"/>
    <x v="1"/>
    <x v="15"/>
    <s v="BBG00GCM8LR8"/>
    <x v="0"/>
    <s v="9e3d5a4bf8ef4c9bb3306040e0cd6790"/>
    <s v="Green Bond CMPC 2017"/>
    <x v="3"/>
    <x v="9"/>
    <s v="Unspecified"/>
    <s v="Development of Eucalyptus hybrids and genetic improvements strategy for better yields in Radiate Pine and Eucalyptus Nitiens"/>
    <s v="Chile"/>
    <d v="2017-04-04T00:00:00"/>
    <d v="2018-12-31T00:00:00"/>
    <s v="USD"/>
    <n v="1549647"/>
    <n v="1549647"/>
    <s v="USD"/>
    <n v="1549647"/>
    <n v="1549647"/>
    <b v="0"/>
    <n v="1"/>
  </r>
  <r>
    <b v="1"/>
    <x v="0"/>
    <x v="0"/>
    <x v="2"/>
    <x v="0"/>
    <x v="1"/>
    <x v="15"/>
    <s v="BBG00GCM8LR8"/>
    <x v="0"/>
    <s v="9e3d5a4bf8ef4c9bb3306040e0cd6790"/>
    <s v="Green Bond CMPC 2017"/>
    <x v="3"/>
    <x v="9"/>
    <s v="Unspecified"/>
    <s v="Development of Eucalyptus hybrids and genetic improvements strategy for better yields in Radiate Pine and Eucalyptus Nitiens"/>
    <s v="Chile"/>
    <d v="2017-04-04T00:00:00"/>
    <d v="2016-12-31T00:00:00"/>
    <s v="USD"/>
    <n v="3955503"/>
    <n v="3955503"/>
    <s v="USD"/>
    <n v="3955503"/>
    <n v="3955503"/>
    <b v="0"/>
    <n v="1"/>
  </r>
  <r>
    <e v="#N/A"/>
    <x v="1"/>
    <x v="1"/>
    <x v="3"/>
    <x v="1"/>
    <x v="2"/>
    <x v="10"/>
    <e v="#N/A"/>
    <x v="2"/>
    <s v="e13fb411d38e445aa8115a546717c6ce"/>
    <s v="Green Bond CMPC 2019"/>
    <x v="0"/>
    <x v="13"/>
    <s v="Power Management"/>
    <s v="Modernization of Steam System"/>
    <s v="Chile"/>
    <d v="2019-05-17T00:00:00"/>
    <d v="2018-12-31T00:00:00"/>
    <s v="USD"/>
    <n v="4052828"/>
    <n v="4052828"/>
    <s v="CLF"/>
    <n v="146"/>
    <n v="4052828"/>
    <b v="0"/>
    <n v="1"/>
  </r>
  <r>
    <e v="#N/A"/>
    <x v="1"/>
    <x v="1"/>
    <x v="3"/>
    <x v="1"/>
    <x v="2"/>
    <x v="10"/>
    <e v="#N/A"/>
    <x v="2"/>
    <s v="e13fb411d38e445aa8115a546717c6ce"/>
    <s v="Green Bond CMPC 2019"/>
    <x v="0"/>
    <x v="13"/>
    <s v="Power Management"/>
    <s v="Modernization of Steam System"/>
    <s v="Chile"/>
    <d v="2019-05-17T00:00:00"/>
    <d v="2019-12-31T00:00:00"/>
    <s v="USD"/>
    <n v="1362421"/>
    <n v="1362421"/>
    <s v="CLF"/>
    <n v="49"/>
    <n v="1362421"/>
    <b v="0"/>
    <n v="1"/>
  </r>
  <r>
    <e v="#N/A"/>
    <x v="1"/>
    <x v="1"/>
    <x v="3"/>
    <x v="1"/>
    <x v="2"/>
    <x v="10"/>
    <e v="#N/A"/>
    <x v="2"/>
    <s v="e13fb411d38e445aa8115a546717c6ce"/>
    <s v="Green Bond CMPC 2019"/>
    <x v="1"/>
    <x v="12"/>
    <s v="Greenhouse gas control"/>
    <s v="Modernization of Steam System"/>
    <s v="Chile"/>
    <d v="2019-05-17T00:00:00"/>
    <d v="2018-12-31T00:00:00"/>
    <s v="USD"/>
    <n v="4052828"/>
    <n v="4052828"/>
    <s v="CLF"/>
    <n v="146"/>
    <n v="4052828"/>
    <b v="0"/>
    <n v="1"/>
  </r>
  <r>
    <e v="#N/A"/>
    <x v="1"/>
    <x v="1"/>
    <x v="3"/>
    <x v="1"/>
    <x v="2"/>
    <x v="10"/>
    <e v="#N/A"/>
    <x v="2"/>
    <s v="e13fb411d38e445aa8115a546717c6ce"/>
    <s v="Green Bond CMPC 2019"/>
    <x v="1"/>
    <x v="12"/>
    <s v="Greenhouse gas control"/>
    <s v="Modernization of Steam System"/>
    <s v="Chile"/>
    <d v="2019-05-17T00:00:00"/>
    <d v="2019-12-31T00:00:00"/>
    <s v="USD"/>
    <n v="1362421"/>
    <n v="1362421"/>
    <s v="CLF"/>
    <n v="49"/>
    <n v="1362421"/>
    <b v="0"/>
    <n v="1"/>
  </r>
  <r>
    <b v="1"/>
    <x v="0"/>
    <x v="0"/>
    <x v="1"/>
    <x v="0"/>
    <x v="1"/>
    <x v="2"/>
    <s v="BBG00PQCN094"/>
    <x v="0"/>
    <s v="19a9b617aa704f8285094522d06a5367"/>
    <s v="Neoenergia - 6¬™ emiss√£o de deb√™ntures"/>
    <x v="0"/>
    <x v="0"/>
    <s v="Transmission"/>
    <s v="EKTT 3"/>
    <s v="Brazil"/>
    <d v="2019-07-23T00:00:00"/>
    <d v="2020-03-30T00:00:00"/>
    <s v="BRL"/>
    <n v="62100000"/>
    <n v="35000000"/>
    <s v="BRL"/>
    <n v="35000000"/>
    <n v="6738934"/>
    <b v="1"/>
    <n v="0.06"/>
  </r>
  <r>
    <b v="1"/>
    <x v="0"/>
    <x v="0"/>
    <x v="1"/>
    <x v="0"/>
    <x v="1"/>
    <x v="2"/>
    <s v="BBG00PQCN094"/>
    <x v="0"/>
    <s v="19a9b617aa704f8285094522d06a5367"/>
    <s v="Neoenergia - 6¬™ emiss√£o de deb√™ntures"/>
    <x v="1"/>
    <x v="1"/>
    <s v="Transmission"/>
    <s v="EKTT 3"/>
    <s v="Brazil"/>
    <d v="2019-07-23T00:00:00"/>
    <d v="2020-03-30T00:00:00"/>
    <s v="BRL"/>
    <n v="62100000"/>
    <n v="35000000"/>
    <s v="BRL"/>
    <n v="35000000"/>
    <n v="6738934"/>
    <b v="1"/>
    <n v="0.06"/>
  </r>
  <r>
    <b v="1"/>
    <x v="0"/>
    <x v="0"/>
    <x v="1"/>
    <x v="0"/>
    <x v="1"/>
    <x v="2"/>
    <s v="BBG00PQCN094"/>
    <x v="0"/>
    <s v="19a9b617aa704f8285094522d06a5367"/>
    <s v="Neoenergia - 6¬™ emiss√£o de deb√™ntures"/>
    <x v="0"/>
    <x v="0"/>
    <s v="Transmission"/>
    <s v="EKTT 4"/>
    <s v="Brazil"/>
    <d v="2019-07-23T00:00:00"/>
    <d v="2020-03-30T00:00:00"/>
    <s v="BRL"/>
    <n v="36200000"/>
    <n v="23100000"/>
    <s v="BRL"/>
    <n v="23100000"/>
    <n v="4447696"/>
    <b v="1"/>
    <n v="0.06"/>
  </r>
  <r>
    <b v="1"/>
    <x v="0"/>
    <x v="0"/>
    <x v="1"/>
    <x v="0"/>
    <x v="1"/>
    <x v="2"/>
    <s v="BBG00PQCN094"/>
    <x v="0"/>
    <s v="19a9b617aa704f8285094522d06a5367"/>
    <s v="Neoenergia - 6¬™ emiss√£o de deb√™ntures"/>
    <x v="1"/>
    <x v="1"/>
    <s v="Transmission"/>
    <s v="EKTT 4"/>
    <s v="Brazil"/>
    <d v="2019-07-23T00:00:00"/>
    <d v="2020-03-30T00:00:00"/>
    <s v="BRL"/>
    <n v="36200000"/>
    <n v="23100000"/>
    <s v="BRL"/>
    <n v="23100000"/>
    <n v="4447696"/>
    <b v="1"/>
    <n v="0.06"/>
  </r>
  <r>
    <b v="1"/>
    <x v="0"/>
    <x v="0"/>
    <x v="1"/>
    <x v="0"/>
    <x v="1"/>
    <x v="2"/>
    <s v="BBG00PQCN094"/>
    <x v="0"/>
    <s v="19a9b617aa704f8285094522d06a5367"/>
    <s v="Neoenergia - 6¬™ emiss√£o de deb√™ntures"/>
    <x v="0"/>
    <x v="0"/>
    <s v="Transmission"/>
    <s v="EKTT 5"/>
    <s v="Brazil"/>
    <d v="2019-07-23T00:00:00"/>
    <d v="2020-03-30T00:00:00"/>
    <s v="BRL"/>
    <n v="67300000"/>
    <n v="55200000"/>
    <s v="BRL"/>
    <n v="55200000"/>
    <n v="10628261"/>
    <b v="1"/>
    <n v="0.06"/>
  </r>
  <r>
    <b v="1"/>
    <x v="0"/>
    <x v="0"/>
    <x v="1"/>
    <x v="0"/>
    <x v="1"/>
    <x v="2"/>
    <s v="BBG00PQCN094"/>
    <x v="0"/>
    <s v="19a9b617aa704f8285094522d06a5367"/>
    <s v="Neoenergia - 6¬™ emiss√£o de deb√™ntures"/>
    <x v="1"/>
    <x v="1"/>
    <s v="Transmission"/>
    <s v="EKTT 5"/>
    <s v="Brazil"/>
    <d v="2019-07-23T00:00:00"/>
    <d v="2020-03-30T00:00:00"/>
    <s v="BRL"/>
    <n v="67300000"/>
    <n v="55200000"/>
    <s v="BRL"/>
    <n v="55200000"/>
    <n v="10628261"/>
    <b v="1"/>
    <n v="0.06"/>
  </r>
  <r>
    <b v="1"/>
    <x v="0"/>
    <x v="0"/>
    <x v="1"/>
    <x v="0"/>
    <x v="1"/>
    <x v="2"/>
    <s v="BBG00PQCN094"/>
    <x v="0"/>
    <s v="19a9b617aa704f8285094522d06a5367"/>
    <s v="Neoenergia - 6¬™ emiss√£o de deb√™ntures"/>
    <x v="0"/>
    <x v="0"/>
    <s v="Transmission"/>
    <s v="EKTT 11"/>
    <s v="Brazil"/>
    <d v="2019-07-23T00:00:00"/>
    <d v="2020-03-30T00:00:00"/>
    <s v="BRL"/>
    <n v="113900000"/>
    <n v="76600000"/>
    <s v="BRL"/>
    <n v="76600000"/>
    <n v="14748638"/>
    <b v="1"/>
    <n v="0.06"/>
  </r>
  <r>
    <b v="1"/>
    <x v="0"/>
    <x v="0"/>
    <x v="1"/>
    <x v="0"/>
    <x v="1"/>
    <x v="2"/>
    <s v="BBG00PQCN094"/>
    <x v="0"/>
    <s v="19a9b617aa704f8285094522d06a5367"/>
    <s v="Neoenergia - 6¬™ emiss√£o de deb√™ntures"/>
    <x v="1"/>
    <x v="1"/>
    <s v="Transmission"/>
    <s v="EKTT 11"/>
    <s v="Brazil"/>
    <d v="2019-07-23T00:00:00"/>
    <d v="2020-03-30T00:00:00"/>
    <s v="BRL"/>
    <n v="113900000"/>
    <n v="76600000"/>
    <s v="BRL"/>
    <n v="76600000"/>
    <n v="14748638"/>
    <b v="1"/>
    <n v="0.06"/>
  </r>
  <r>
    <b v="1"/>
    <x v="0"/>
    <x v="0"/>
    <x v="2"/>
    <x v="0"/>
    <x v="1"/>
    <x v="12"/>
    <s v="BBG00QQGQVT0"/>
    <x v="0"/>
    <s v="abe9dd05116c4c77b3bb4fae4ba7fa01"/>
    <s v="CABEI¬¥s 2019 Green Bond"/>
    <x v="0"/>
    <x v="0"/>
    <s v="Wind"/>
    <s v="E√≥lico Penonom√© II"/>
    <s v="Panama"/>
    <d v="2019-11-06T00:00:00"/>
    <d v="2020-06-01T00:00:00"/>
    <s v="USD"/>
    <n v="24363000"/>
    <n v="24363000"/>
    <s v="USD"/>
    <n v="24363000"/>
    <n v="24363000"/>
    <b v="1"/>
    <n v="0.81"/>
  </r>
  <r>
    <b v="1"/>
    <x v="0"/>
    <x v="0"/>
    <x v="2"/>
    <x v="0"/>
    <x v="1"/>
    <x v="12"/>
    <s v="BBG00QQGQVT0"/>
    <x v="0"/>
    <s v="abe9dd05116c4c77b3bb4fae4ba7fa01"/>
    <s v="CABEI¬¥s 2019 Green Bond"/>
    <x v="1"/>
    <x v="1"/>
    <s v="Generation"/>
    <s v="E√≥lico Penonom√© II"/>
    <s v="Panama"/>
    <d v="2019-11-06T00:00:00"/>
    <d v="2020-06-01T00:00:00"/>
    <s v="USD"/>
    <n v="24363000"/>
    <n v="24363000"/>
    <s v="USD"/>
    <n v="24363000"/>
    <n v="24363000"/>
    <b v="1"/>
    <n v="0.81"/>
  </r>
  <r>
    <b v="1"/>
    <x v="0"/>
    <x v="0"/>
    <x v="2"/>
    <x v="0"/>
    <x v="1"/>
    <x v="12"/>
    <s v="BBG00QQGQVT0"/>
    <x v="0"/>
    <s v="abe9dd05116c4c77b3bb4fae4ba7fa01"/>
    <s v="CABEI¬¥s 2019 Green Bond"/>
    <x v="0"/>
    <x v="2"/>
    <s v="Treatment"/>
    <s v="Programa de Gesti√≥n Integrada de Recursos H√≠dricos"/>
    <s v="Costa Rica"/>
    <d v="2019-11-07T00:00:00"/>
    <d v="2020-06-01T00:00:00"/>
    <s v="USD"/>
    <n v="25243410.280000001"/>
    <n v="25243410"/>
    <s v="USD"/>
    <n v="25243410"/>
    <n v="25243410"/>
    <b v="1"/>
    <n v="0.71"/>
  </r>
  <r>
    <b v="1"/>
    <x v="0"/>
    <x v="0"/>
    <x v="2"/>
    <x v="0"/>
    <x v="1"/>
    <x v="12"/>
    <s v="BBG00QQGQVT0"/>
    <x v="0"/>
    <s v="abe9dd05116c4c77b3bb4fae4ba7fa01"/>
    <s v="CABEI¬¥s 2019 Green Bond"/>
    <x v="1"/>
    <x v="3"/>
    <s v="Wastewater treatment"/>
    <s v="Programa de Gesti√≥n Integrada de Recursos H√≠dricos"/>
    <s v="Costa Rica"/>
    <d v="2019-11-07T00:00:00"/>
    <d v="2020-06-01T00:00:00"/>
    <s v="USD"/>
    <n v="25243410.280000001"/>
    <n v="25243410"/>
    <s v="USD"/>
    <n v="25243410"/>
    <n v="25243410"/>
    <b v="1"/>
    <n v="0.71"/>
  </r>
  <r>
    <b v="1"/>
    <x v="0"/>
    <x v="0"/>
    <x v="2"/>
    <x v="0"/>
    <x v="1"/>
    <x v="12"/>
    <s v="BBG00QQGQVT0"/>
    <x v="0"/>
    <s v="abe9dd05116c4c77b3bb4fae4ba7fa01"/>
    <s v="CABEI¬¥s 2019 Green Bond"/>
    <x v="0"/>
    <x v="2"/>
    <s v="Distribution"/>
    <s v="Programa de Abastecimiento del √Årea Metropolitana de San Jos√©, Acueductos Urbanos y Alcantarillado Sanitario de Puerto Viejo de Lim√≥n"/>
    <s v="Costa Rica"/>
    <d v="2019-11-08T00:00:00"/>
    <d v="2020-06-01T00:00:00"/>
    <s v="USD"/>
    <n v="64927192.920000002"/>
    <n v="48392193"/>
    <s v="USD"/>
    <n v="48392193"/>
    <n v="48392193"/>
    <b v="1"/>
    <n v="0.47"/>
  </r>
  <r>
    <b v="1"/>
    <x v="0"/>
    <x v="0"/>
    <x v="2"/>
    <x v="0"/>
    <x v="1"/>
    <x v="12"/>
    <s v="BBG00QQGQVT0"/>
    <x v="0"/>
    <s v="abe9dd05116c4c77b3bb4fae4ba7fa01"/>
    <s v="CABEI¬¥s 2019 Green Bond"/>
    <x v="1"/>
    <x v="3"/>
    <s v="Infrastructure"/>
    <s v="Programa de Abastecimiento del √Årea Metropolitana de San Jos√©, Acueductos Urbanos y Alcantarillado Sanitario de Puerto Viejo de Lim√≥n"/>
    <s v="Costa Rica"/>
    <d v="2019-11-08T00:00:00"/>
    <d v="2020-06-01T00:00:00"/>
    <s v="USD"/>
    <n v="64927192.920000002"/>
    <n v="48392193"/>
    <s v="USD"/>
    <n v="48392193"/>
    <n v="48392193"/>
    <b v="1"/>
    <n v="0.47"/>
  </r>
  <r>
    <b v="1"/>
    <x v="0"/>
    <x v="0"/>
    <x v="2"/>
    <x v="0"/>
    <x v="1"/>
    <x v="12"/>
    <s v="BBG00QQGQVT0"/>
    <x v="0"/>
    <s v="abe9dd05116c4c77b3bb4fae4ba7fa01"/>
    <s v="CABEI¬¥s 2019 Green Bond"/>
    <x v="0"/>
    <x v="2"/>
    <s v="Treatment"/>
    <s v="Rehabilitaci√≥n de la Planta Potabilizadora de Las Pavas"/>
    <s v="El Salvador"/>
    <d v="2019-11-09T00:00:00"/>
    <d v="2020-12-01T00:00:00"/>
    <s v="USD"/>
    <n v="16982500"/>
    <n v="2980662"/>
    <s v="USD"/>
    <n v="2980662"/>
    <n v="2980662"/>
    <b v="0"/>
    <n v="1"/>
  </r>
  <r>
    <b v="1"/>
    <x v="0"/>
    <x v="0"/>
    <x v="2"/>
    <x v="0"/>
    <x v="1"/>
    <x v="12"/>
    <s v="BBG00QQGQVT0"/>
    <x v="0"/>
    <s v="abe9dd05116c4c77b3bb4fae4ba7fa01"/>
    <s v="CABEI¬¥s 2019 Green Bond"/>
    <x v="1"/>
    <x v="3"/>
    <s v="Wastewater treatment"/>
    <s v="Rehabilitaci√≥n de la Planta Potabilizadora de Las Pavas"/>
    <s v="El Salvador"/>
    <d v="2019-11-09T00:00:00"/>
    <d v="2020-12-01T00:00:00"/>
    <s v="USD"/>
    <n v="16982500"/>
    <n v="2980662"/>
    <s v="USD"/>
    <n v="2980662"/>
    <n v="2980662"/>
    <b v="0"/>
    <n v="1"/>
  </r>
  <r>
    <b v="1"/>
    <x v="0"/>
    <x v="0"/>
    <x v="2"/>
    <x v="0"/>
    <x v="1"/>
    <x v="12"/>
    <s v="BBG00QQGQVT0"/>
    <x v="0"/>
    <s v="abe9dd05116c4c77b3bb4fae4ba7fa01"/>
    <s v="CABEI¬¥s 2019 Green Bond"/>
    <x v="0"/>
    <x v="2"/>
    <s v="Treatment"/>
    <s v="Mejoramiento y Ampliaci√≥n de los Sistemas de Abastecimiento de Agua Potable y Saneamiento en 19 Ciudades."/>
    <s v="Nicaragua"/>
    <d v="2019-11-11T00:00:00"/>
    <d v="2020-12-01T00:00:00"/>
    <s v="USD"/>
    <n v="93397828.319999993"/>
    <n v="88229458"/>
    <s v="USD"/>
    <n v="88229458"/>
    <n v="88229458"/>
    <b v="1"/>
    <n v="0.8"/>
  </r>
  <r>
    <b v="1"/>
    <x v="0"/>
    <x v="0"/>
    <x v="2"/>
    <x v="0"/>
    <x v="1"/>
    <x v="12"/>
    <s v="BBG00QQGQVT0"/>
    <x v="0"/>
    <s v="abe9dd05116c4c77b3bb4fae4ba7fa01"/>
    <s v="CABEI¬¥s 2019 Green Bond"/>
    <x v="1"/>
    <x v="3"/>
    <s v="Infrastructure"/>
    <s v="Mejoramiento y Ampliaci√≥n de los Sistemas de Abastecimiento de Agua Potable y Saneamiento en 19 Ciudades."/>
    <s v="Nicaragua"/>
    <d v="2019-11-11T00:00:00"/>
    <d v="2020-12-01T00:00:00"/>
    <s v="USD"/>
    <n v="93397828.319999993"/>
    <n v="88229458"/>
    <s v="USD"/>
    <n v="88229458"/>
    <n v="88229458"/>
    <b v="1"/>
    <n v="0.8"/>
  </r>
  <r>
    <b v="1"/>
    <x v="0"/>
    <x v="0"/>
    <x v="2"/>
    <x v="0"/>
    <x v="1"/>
    <x v="12"/>
    <s v="BBG00QQGQVT0"/>
    <x v="0"/>
    <s v="abe9dd05116c4c77b3bb4fae4ba7fa01"/>
    <s v="CABEI¬¥s 2019 Green Bond"/>
    <x v="0"/>
    <x v="2"/>
    <s v="Treatment"/>
    <s v="Programa de Sostenibilidad del Sector Agua y Saneamiento Rural"/>
    <s v="Nicaragua"/>
    <d v="2019-11-13T00:00:00"/>
    <d v="2020-12-01T00:00:00"/>
    <s v="USD"/>
    <n v="28282708.370000001"/>
    <n v="6618913"/>
    <s v="USD"/>
    <n v="6618913"/>
    <n v="6618913"/>
    <b v="1"/>
    <n v="0.18"/>
  </r>
  <r>
    <b v="1"/>
    <x v="0"/>
    <x v="0"/>
    <x v="2"/>
    <x v="0"/>
    <x v="1"/>
    <x v="12"/>
    <s v="BBG00QQGQVT0"/>
    <x v="0"/>
    <s v="abe9dd05116c4c77b3bb4fae4ba7fa01"/>
    <s v="CABEI¬¥s 2019 Green Bond"/>
    <x v="1"/>
    <x v="3"/>
    <s v="Wastewater treatment"/>
    <s v="Programa de Sostenibilidad del Sector Agua y Saneamiento Rural"/>
    <s v="Nicaragua"/>
    <d v="2019-11-13T00:00:00"/>
    <d v="2020-12-01T00:00:00"/>
    <s v="USD"/>
    <n v="28282708.370000001"/>
    <n v="6618913"/>
    <s v="USD"/>
    <n v="6618913"/>
    <n v="6618913"/>
    <b v="1"/>
    <n v="0.18"/>
  </r>
  <r>
    <b v="1"/>
    <x v="0"/>
    <x v="0"/>
    <x v="2"/>
    <x v="0"/>
    <x v="1"/>
    <x v="12"/>
    <s v="BBG00QQGQVT0"/>
    <x v="0"/>
    <s v="abe9dd05116c4c77b3bb4fae4ba7fa01"/>
    <s v="CABEI¬¥s 2019 Green Bond"/>
    <x v="0"/>
    <x v="2"/>
    <s v="Treatment"/>
    <s v="Programa Sectorial de Agua y Saneamiento"/>
    <s v="Honduras"/>
    <d v="2019-11-15T00:00:00"/>
    <d v="2020-06-01T00:00:00"/>
    <s v="USD"/>
    <n v="1581994.59"/>
    <n v="1581994"/>
    <s v="USD"/>
    <n v="1581994"/>
    <n v="1581994"/>
    <b v="1"/>
    <n v="0.03"/>
  </r>
  <r>
    <b v="1"/>
    <x v="0"/>
    <x v="0"/>
    <x v="2"/>
    <x v="0"/>
    <x v="1"/>
    <x v="12"/>
    <s v="BBG00QQGQVT0"/>
    <x v="0"/>
    <s v="abe9dd05116c4c77b3bb4fae4ba7fa01"/>
    <s v="CABEI¬¥s 2019 Green Bond"/>
    <x v="1"/>
    <x v="3"/>
    <s v="Wastewater treatment"/>
    <s v="Programa Sectorial de Agua y Saneamiento"/>
    <s v="Honduras"/>
    <d v="2019-11-15T00:00:00"/>
    <d v="2020-06-01T00:00:00"/>
    <s v="USD"/>
    <n v="1581994.59"/>
    <n v="1581994"/>
    <s v="USD"/>
    <n v="1581994"/>
    <n v="1581994"/>
    <b v="1"/>
    <n v="0.03"/>
  </r>
  <r>
    <b v="1"/>
    <x v="0"/>
    <x v="0"/>
    <x v="2"/>
    <x v="0"/>
    <x v="1"/>
    <x v="14"/>
    <n v="0"/>
    <x v="4"/>
    <s v="bfc6f6927d0842d4b44fe9c260c3a4fa"/>
    <s v="Bono sostenible BICE"/>
    <x v="0"/>
    <x v="14"/>
    <s v="General"/>
    <s v="Social projects"/>
    <s v="Argentina"/>
    <d v="2020-07-30T00:00:00"/>
    <d v="2019-12-31T00:00:00"/>
    <s v="USD"/>
    <n v="23078012"/>
    <n v="23078012"/>
    <s v="USD"/>
    <n v="23078012"/>
    <n v="23078012"/>
    <b v="1"/>
    <n v="1"/>
  </r>
  <r>
    <b v="1"/>
    <x v="0"/>
    <x v="0"/>
    <x v="2"/>
    <x v="0"/>
    <x v="1"/>
    <x v="14"/>
    <n v="0"/>
    <x v="4"/>
    <s v="bfc6f6927d0842d4b44fe9c260c3a4fa"/>
    <s v="Bono sostenible BICE"/>
    <x v="1"/>
    <x v="14"/>
    <s v="General"/>
    <s v="Social projects"/>
    <s v="Argentina"/>
    <d v="2020-07-30T00:00:00"/>
    <d v="2019-12-31T00:00:00"/>
    <s v="USD"/>
    <n v="23078012"/>
    <n v="23078012"/>
    <s v="USD"/>
    <n v="23078012"/>
    <n v="23078012"/>
    <b v="1"/>
    <n v="1"/>
  </r>
  <r>
    <b v="1"/>
    <x v="0"/>
    <x v="0"/>
    <x v="1"/>
    <x v="0"/>
    <x v="1"/>
    <x v="2"/>
    <s v="BBG00PQCN094"/>
    <x v="0"/>
    <s v="19a9b617aa704f8285094522d06a5367"/>
    <s v="Neoenergia - 6¬™ emiss√£o de deb√™ntures"/>
    <x v="0"/>
    <x v="0"/>
    <s v="Transmission"/>
    <s v="EKTT 12-A"/>
    <s v="Brazil"/>
    <d v="2019-07-23T00:00:00"/>
    <d v="2020-03-30T00:00:00"/>
    <s v="BRL"/>
    <n v="106700000"/>
    <n v="106600000"/>
    <s v="BRL"/>
    <n v="106600000"/>
    <n v="20524867"/>
    <b v="1"/>
    <n v="0.19"/>
  </r>
  <r>
    <b v="1"/>
    <x v="0"/>
    <x v="0"/>
    <x v="1"/>
    <x v="0"/>
    <x v="1"/>
    <x v="2"/>
    <s v="BBG00PQCN094"/>
    <x v="0"/>
    <s v="19a9b617aa704f8285094522d06a5367"/>
    <s v="Neoenergia - 6¬™ emiss√£o de deb√™ntures"/>
    <x v="1"/>
    <x v="1"/>
    <s v="Transmission"/>
    <s v="EKTT 12-A"/>
    <s v="Brazil"/>
    <d v="2019-07-23T00:00:00"/>
    <d v="2020-03-30T00:00:00"/>
    <s v="BRL"/>
    <n v="106700000"/>
    <n v="106600000"/>
    <s v="BRL"/>
    <n v="106600000"/>
    <n v="20524867"/>
    <b v="1"/>
    <n v="0.19"/>
  </r>
  <r>
    <e v="#N/A"/>
    <x v="1"/>
    <x v="1"/>
    <x v="3"/>
    <x v="1"/>
    <x v="2"/>
    <x v="10"/>
    <e v="#N/A"/>
    <x v="2"/>
    <s v="e13fb411d38e445aa8115a546717c6ce"/>
    <s v="Green Bond CMPC 2019"/>
    <x v="2"/>
    <x v="9"/>
    <s v="Unspecified"/>
    <s v="Modernization of Steam System"/>
    <s v="Chile"/>
    <d v="2019-05-17T00:00:00"/>
    <d v="2018-12-31T00:00:00"/>
    <s v="USD"/>
    <n v="4052828"/>
    <n v="4052828"/>
    <s v="CLF"/>
    <n v="146"/>
    <n v="4052828"/>
    <b v="0"/>
    <n v="1"/>
  </r>
  <r>
    <e v="#N/A"/>
    <x v="1"/>
    <x v="1"/>
    <x v="3"/>
    <x v="1"/>
    <x v="2"/>
    <x v="10"/>
    <e v="#N/A"/>
    <x v="2"/>
    <s v="e13fb411d38e445aa8115a546717c6ce"/>
    <s v="Green Bond CMPC 2019"/>
    <x v="2"/>
    <x v="9"/>
    <s v="Unspecified"/>
    <s v="Modernization of Steam System"/>
    <s v="Chile"/>
    <d v="2019-05-17T00:00:00"/>
    <d v="2019-12-31T00:00:00"/>
    <s v="USD"/>
    <n v="1362421"/>
    <n v="1362421"/>
    <s v="CLF"/>
    <n v="49"/>
    <n v="1362421"/>
    <b v="0"/>
    <n v="1"/>
  </r>
  <r>
    <e v="#N/A"/>
    <x v="1"/>
    <x v="1"/>
    <x v="3"/>
    <x v="1"/>
    <x v="2"/>
    <x v="10"/>
    <e v="#N/A"/>
    <x v="2"/>
    <s v="e13fb411d38e445aa8115a546717c6ce"/>
    <s v="Green Bond CMPC 2019"/>
    <x v="3"/>
    <x v="9"/>
    <s v="Unspecified"/>
    <s v="Modernization of Steam System"/>
    <s v="Chile"/>
    <d v="2019-05-17T00:00:00"/>
    <d v="2018-12-31T00:00:00"/>
    <s v="USD"/>
    <n v="4052828"/>
    <n v="4052828"/>
    <s v="CLF"/>
    <n v="146"/>
    <n v="4052828"/>
    <b v="0"/>
    <n v="1"/>
  </r>
  <r>
    <e v="#N/A"/>
    <x v="1"/>
    <x v="1"/>
    <x v="3"/>
    <x v="1"/>
    <x v="2"/>
    <x v="10"/>
    <e v="#N/A"/>
    <x v="2"/>
    <s v="e13fb411d38e445aa8115a546717c6ce"/>
    <s v="Green Bond CMPC 2019"/>
    <x v="3"/>
    <x v="9"/>
    <s v="Unspecified"/>
    <s v="Modernization of Steam System"/>
    <s v="Chile"/>
    <d v="2019-05-17T00:00:00"/>
    <d v="2019-12-31T00:00:00"/>
    <s v="USD"/>
    <n v="1362421"/>
    <n v="1362421"/>
    <s v="CLF"/>
    <n v="49"/>
    <n v="1362421"/>
    <b v="0"/>
    <n v="1"/>
  </r>
  <r>
    <b v="1"/>
    <x v="0"/>
    <x v="0"/>
    <x v="2"/>
    <x v="0"/>
    <x v="1"/>
    <x v="15"/>
    <s v="BBG00GCM8LR8"/>
    <x v="0"/>
    <s v="9e3d5a4bf8ef4c9bb3306040e0cd6790"/>
    <s v="Green Bond CMPC 2017"/>
    <x v="0"/>
    <x v="10"/>
    <s v="Commercial Forestry"/>
    <s v="Sustainable Forestry"/>
    <s v="Chile"/>
    <d v="2017-04-04T00:00:00"/>
    <d v="2018-12-31T00:00:00"/>
    <s v="USD"/>
    <n v="71602906"/>
    <n v="71602906"/>
    <s v="USD"/>
    <n v="71602906"/>
    <n v="71602906"/>
    <b v="0"/>
    <n v="1"/>
  </r>
  <r>
    <b v="1"/>
    <x v="0"/>
    <x v="0"/>
    <x v="2"/>
    <x v="0"/>
    <x v="1"/>
    <x v="15"/>
    <s v="BBG00GCM8LR8"/>
    <x v="0"/>
    <s v="9e3d5a4bf8ef4c9bb3306040e0cd6790"/>
    <s v="Green Bond CMPC 2017"/>
    <x v="0"/>
    <x v="10"/>
    <s v="Commercial Forestry"/>
    <s v="Sustainable Forestry"/>
    <s v="Chile"/>
    <d v="2017-04-04T00:00:00"/>
    <d v="2016-12-31T00:00:00"/>
    <s v="USD"/>
    <n v="185459222"/>
    <n v="185459222"/>
    <s v="USD"/>
    <n v="185459222"/>
    <n v="185459222"/>
    <b v="0"/>
    <n v="1"/>
  </r>
  <r>
    <b v="1"/>
    <x v="0"/>
    <x v="0"/>
    <x v="2"/>
    <x v="0"/>
    <x v="1"/>
    <x v="15"/>
    <s v="BBG00GCM8LR8"/>
    <x v="0"/>
    <s v="9e3d5a4bf8ef4c9bb3306040e0cd6790"/>
    <s v="Green Bond CMPC 2017"/>
    <x v="1"/>
    <x v="11"/>
    <s v="Reforestation"/>
    <s v="Sustainable Forestry"/>
    <s v="Chile"/>
    <d v="2017-04-04T00:00:00"/>
    <d v="2018-12-31T00:00:00"/>
    <s v="USD"/>
    <n v="71602906"/>
    <n v="71602906"/>
    <s v="USD"/>
    <n v="71602906"/>
    <n v="71602906"/>
    <b v="0"/>
    <n v="1"/>
  </r>
  <r>
    <b v="1"/>
    <x v="0"/>
    <x v="0"/>
    <x v="2"/>
    <x v="0"/>
    <x v="1"/>
    <x v="15"/>
    <s v="BBG00GCM8LR8"/>
    <x v="0"/>
    <s v="9e3d5a4bf8ef4c9bb3306040e0cd6790"/>
    <s v="Green Bond CMPC 2017"/>
    <x v="1"/>
    <x v="11"/>
    <s v="Reforestation"/>
    <s v="Sustainable Forestry"/>
    <s v="Chile"/>
    <d v="2017-04-04T00:00:00"/>
    <d v="2016-12-31T00:00:00"/>
    <s v="USD"/>
    <n v="185459222"/>
    <n v="185459222"/>
    <s v="USD"/>
    <n v="185459222"/>
    <n v="185459222"/>
    <b v="0"/>
    <n v="1"/>
  </r>
  <r>
    <b v="1"/>
    <x v="0"/>
    <x v="0"/>
    <x v="2"/>
    <x v="0"/>
    <x v="1"/>
    <x v="15"/>
    <s v="BBG00GCM8LR8"/>
    <x v="0"/>
    <s v="9e3d5a4bf8ef4c9bb3306040e0cd6790"/>
    <s v="Green Bond CMPC 2017"/>
    <x v="2"/>
    <x v="9"/>
    <s v="Unspecified"/>
    <s v="Sustainable Forestry"/>
    <s v="Chile"/>
    <d v="2017-04-04T00:00:00"/>
    <d v="2018-12-31T00:00:00"/>
    <s v="USD"/>
    <n v="71602906"/>
    <n v="71602906"/>
    <s v="USD"/>
    <n v="71602906"/>
    <n v="71602906"/>
    <b v="0"/>
    <n v="1"/>
  </r>
  <r>
    <b v="1"/>
    <x v="0"/>
    <x v="0"/>
    <x v="2"/>
    <x v="0"/>
    <x v="1"/>
    <x v="15"/>
    <s v="BBG00GCM8LR8"/>
    <x v="0"/>
    <s v="9e3d5a4bf8ef4c9bb3306040e0cd6790"/>
    <s v="Green Bond CMPC 2017"/>
    <x v="2"/>
    <x v="9"/>
    <s v="Unspecified"/>
    <s v="Sustainable Forestry"/>
    <s v="Chile"/>
    <d v="2017-04-04T00:00:00"/>
    <d v="2016-12-31T00:00:00"/>
    <s v="USD"/>
    <n v="185459222"/>
    <n v="185459222"/>
    <s v="USD"/>
    <n v="185459222"/>
    <n v="185459222"/>
    <b v="0"/>
    <n v="1"/>
  </r>
  <r>
    <b v="1"/>
    <x v="0"/>
    <x v="0"/>
    <x v="2"/>
    <x v="0"/>
    <x v="1"/>
    <x v="15"/>
    <s v="BBG00GCM8LR8"/>
    <x v="0"/>
    <s v="9e3d5a4bf8ef4c9bb3306040e0cd6790"/>
    <s v="Green Bond CMPC 2017"/>
    <x v="3"/>
    <x v="9"/>
    <s v="Unspecified"/>
    <s v="Sustainable Forestry"/>
    <s v="Chile"/>
    <d v="2017-04-04T00:00:00"/>
    <d v="2018-12-31T00:00:00"/>
    <s v="USD"/>
    <n v="71602906"/>
    <n v="71602906"/>
    <s v="USD"/>
    <n v="71602906"/>
    <n v="71602906"/>
    <b v="0"/>
    <n v="1"/>
  </r>
  <r>
    <b v="1"/>
    <x v="0"/>
    <x v="0"/>
    <x v="2"/>
    <x v="0"/>
    <x v="1"/>
    <x v="15"/>
    <s v="BBG00GCM8LR8"/>
    <x v="0"/>
    <s v="9e3d5a4bf8ef4c9bb3306040e0cd6790"/>
    <s v="Green Bond CMPC 2017"/>
    <x v="3"/>
    <x v="9"/>
    <s v="Unspecified"/>
    <s v="Sustainable Forestry"/>
    <s v="Chile"/>
    <d v="2017-04-04T00:00:00"/>
    <d v="2016-12-31T00:00:00"/>
    <s v="USD"/>
    <n v="185459222"/>
    <n v="185459222"/>
    <s v="USD"/>
    <n v="185459222"/>
    <n v="185459222"/>
    <b v="0"/>
    <n v="1"/>
  </r>
  <r>
    <e v="#N/A"/>
    <x v="1"/>
    <x v="1"/>
    <x v="3"/>
    <x v="1"/>
    <x v="2"/>
    <x v="10"/>
    <e v="#N/A"/>
    <x v="2"/>
    <s v="e13fb411d38e445aa8115a546717c6ce"/>
    <s v="Green Bond CMPC 2019"/>
    <x v="0"/>
    <x v="15"/>
    <s v="Reuse"/>
    <s v="Retail Paper Bags Project"/>
    <s v="Chile"/>
    <d v="2019-05-17T00:00:00"/>
    <d v="2018-12-31T00:00:00"/>
    <s v="USD"/>
    <n v="167523"/>
    <n v="167523"/>
    <s v="CLF"/>
    <n v="6"/>
    <n v="167523"/>
    <b v="0"/>
    <n v="1"/>
  </r>
  <r>
    <e v="#N/A"/>
    <x v="1"/>
    <x v="1"/>
    <x v="3"/>
    <x v="1"/>
    <x v="2"/>
    <x v="10"/>
    <e v="#N/A"/>
    <x v="2"/>
    <s v="e13fb411d38e445aa8115a546717c6ce"/>
    <s v="Green Bond CMPC 2019"/>
    <x v="0"/>
    <x v="15"/>
    <s v="Reuse"/>
    <s v="Retail Paper Bags Project"/>
    <s v="Chile"/>
    <d v="2019-05-17T00:00:00"/>
    <d v="2019-12-31T00:00:00"/>
    <s v="USD"/>
    <n v="1030267"/>
    <n v="1030267"/>
    <s v="CLF"/>
    <n v="37"/>
    <n v="1030267"/>
    <b v="0"/>
    <n v="1"/>
  </r>
  <r>
    <e v="#N/A"/>
    <x v="1"/>
    <x v="1"/>
    <x v="3"/>
    <x v="1"/>
    <x v="2"/>
    <x v="10"/>
    <e v="#N/A"/>
    <x v="2"/>
    <s v="e13fb411d38e445aa8115a546717c6ce"/>
    <s v="Green Bond CMPC 2019"/>
    <x v="0"/>
    <x v="15"/>
    <s v="Reuse"/>
    <s v="Retail Paper Bags Project"/>
    <s v="Chile"/>
    <d v="2019-05-17T00:00:00"/>
    <d v="2020-12-31T00:00:00"/>
    <s v="USD"/>
    <n v="108255"/>
    <n v="108255"/>
    <s v="CLF"/>
    <n v="4"/>
    <n v="108255"/>
    <b v="0"/>
    <n v="1"/>
  </r>
  <r>
    <e v="#N/A"/>
    <x v="1"/>
    <x v="1"/>
    <x v="3"/>
    <x v="1"/>
    <x v="2"/>
    <x v="10"/>
    <e v="#N/A"/>
    <x v="2"/>
    <s v="e13fb411d38e445aa8115a546717c6ce"/>
    <s v="Green Bond CMPC 2019"/>
    <x v="1"/>
    <x v="12"/>
    <s v="Waste recycling"/>
    <s v="Retail Paper Bags Project"/>
    <s v="Chile"/>
    <d v="2019-05-17T00:00:00"/>
    <d v="2018-12-31T00:00:00"/>
    <s v="USD"/>
    <n v="167523"/>
    <n v="167523"/>
    <s v="CLF"/>
    <n v="6"/>
    <n v="167523"/>
    <b v="0"/>
    <n v="1"/>
  </r>
  <r>
    <e v="#N/A"/>
    <x v="1"/>
    <x v="1"/>
    <x v="3"/>
    <x v="1"/>
    <x v="2"/>
    <x v="10"/>
    <e v="#N/A"/>
    <x v="2"/>
    <s v="e13fb411d38e445aa8115a546717c6ce"/>
    <s v="Green Bond CMPC 2019"/>
    <x v="1"/>
    <x v="12"/>
    <s v="Waste recycling"/>
    <s v="Retail Paper Bags Project"/>
    <s v="Chile"/>
    <d v="2019-05-17T00:00:00"/>
    <d v="2019-12-31T00:00:00"/>
    <s v="USD"/>
    <n v="1030267"/>
    <n v="1030267"/>
    <s v="CLF"/>
    <n v="37"/>
    <n v="1030267"/>
    <b v="0"/>
    <n v="1"/>
  </r>
  <r>
    <e v="#N/A"/>
    <x v="1"/>
    <x v="1"/>
    <x v="3"/>
    <x v="1"/>
    <x v="2"/>
    <x v="10"/>
    <e v="#N/A"/>
    <x v="2"/>
    <s v="e13fb411d38e445aa8115a546717c6ce"/>
    <s v="Green Bond CMPC 2019"/>
    <x v="1"/>
    <x v="12"/>
    <s v="Waste recycling"/>
    <s v="Retail Paper Bags Project"/>
    <s v="Chile"/>
    <d v="2019-05-17T00:00:00"/>
    <d v="2020-12-31T00:00:00"/>
    <s v="USD"/>
    <n v="108255"/>
    <n v="108255"/>
    <s v="CLF"/>
    <n v="4"/>
    <n v="108255"/>
    <b v="0"/>
    <n v="1"/>
  </r>
  <r>
    <e v="#N/A"/>
    <x v="1"/>
    <x v="1"/>
    <x v="3"/>
    <x v="1"/>
    <x v="2"/>
    <x v="10"/>
    <e v="#N/A"/>
    <x v="2"/>
    <s v="e13fb411d38e445aa8115a546717c6ce"/>
    <s v="Green Bond CMPC 2019"/>
    <x v="2"/>
    <x v="9"/>
    <s v="Unspecified"/>
    <s v="Retail Paper Bags Project"/>
    <s v="Chile"/>
    <d v="2019-05-17T00:00:00"/>
    <d v="2018-12-31T00:00:00"/>
    <s v="USD"/>
    <n v="167523"/>
    <n v="167523"/>
    <s v="CLF"/>
    <n v="6"/>
    <n v="167523"/>
    <b v="0"/>
    <n v="1"/>
  </r>
  <r>
    <e v="#N/A"/>
    <x v="1"/>
    <x v="1"/>
    <x v="3"/>
    <x v="1"/>
    <x v="2"/>
    <x v="10"/>
    <e v="#N/A"/>
    <x v="2"/>
    <s v="e13fb411d38e445aa8115a546717c6ce"/>
    <s v="Green Bond CMPC 2019"/>
    <x v="2"/>
    <x v="9"/>
    <s v="Unspecified"/>
    <s v="Retail Paper Bags Project"/>
    <s v="Chile"/>
    <d v="2019-05-17T00:00:00"/>
    <d v="2019-12-31T00:00:00"/>
    <s v="USD"/>
    <n v="1030267"/>
    <n v="1030267"/>
    <s v="CLF"/>
    <n v="37"/>
    <n v="1030267"/>
    <b v="0"/>
    <n v="1"/>
  </r>
  <r>
    <e v="#N/A"/>
    <x v="1"/>
    <x v="1"/>
    <x v="3"/>
    <x v="1"/>
    <x v="2"/>
    <x v="10"/>
    <e v="#N/A"/>
    <x v="2"/>
    <s v="e13fb411d38e445aa8115a546717c6ce"/>
    <s v="Green Bond CMPC 2019"/>
    <x v="2"/>
    <x v="9"/>
    <s v="Unspecified"/>
    <s v="Retail Paper Bags Project"/>
    <s v="Chile"/>
    <d v="2019-05-17T00:00:00"/>
    <d v="2020-12-31T00:00:00"/>
    <s v="USD"/>
    <n v="108255"/>
    <n v="108255"/>
    <s v="CLF"/>
    <n v="4"/>
    <n v="108255"/>
    <b v="0"/>
    <n v="1"/>
  </r>
  <r>
    <e v="#N/A"/>
    <x v="1"/>
    <x v="1"/>
    <x v="3"/>
    <x v="1"/>
    <x v="2"/>
    <x v="10"/>
    <e v="#N/A"/>
    <x v="2"/>
    <s v="e13fb411d38e445aa8115a546717c6ce"/>
    <s v="Green Bond CMPC 2019"/>
    <x v="3"/>
    <x v="9"/>
    <s v="Unspecified"/>
    <s v="Retail Paper Bags Project"/>
    <s v="Chile"/>
    <d v="2019-05-17T00:00:00"/>
    <d v="2018-12-31T00:00:00"/>
    <s v="USD"/>
    <n v="167523"/>
    <n v="167523"/>
    <s v="CLF"/>
    <n v="6"/>
    <n v="167523"/>
    <b v="0"/>
    <n v="1"/>
  </r>
  <r>
    <e v="#N/A"/>
    <x v="1"/>
    <x v="1"/>
    <x v="3"/>
    <x v="1"/>
    <x v="2"/>
    <x v="10"/>
    <e v="#N/A"/>
    <x v="2"/>
    <s v="e13fb411d38e445aa8115a546717c6ce"/>
    <s v="Green Bond CMPC 2019"/>
    <x v="3"/>
    <x v="9"/>
    <s v="Unspecified"/>
    <s v="Retail Paper Bags Project"/>
    <s v="Chile"/>
    <d v="2019-05-17T00:00:00"/>
    <d v="2019-12-31T00:00:00"/>
    <s v="USD"/>
    <n v="1030267"/>
    <n v="1030267"/>
    <s v="CLF"/>
    <n v="37"/>
    <n v="1030267"/>
    <b v="0"/>
    <n v="1"/>
  </r>
  <r>
    <e v="#N/A"/>
    <x v="1"/>
    <x v="1"/>
    <x v="3"/>
    <x v="1"/>
    <x v="2"/>
    <x v="10"/>
    <e v="#N/A"/>
    <x v="2"/>
    <s v="e13fb411d38e445aa8115a546717c6ce"/>
    <s v="Green Bond CMPC 2019"/>
    <x v="3"/>
    <x v="9"/>
    <s v="Unspecified"/>
    <s v="Retail Paper Bags Project"/>
    <s v="Chile"/>
    <d v="2019-05-17T00:00:00"/>
    <d v="2020-12-31T00:00:00"/>
    <s v="USD"/>
    <n v="108255"/>
    <n v="108255"/>
    <s v="CLF"/>
    <n v="4"/>
    <n v="108255"/>
    <b v="0"/>
    <n v="1"/>
  </r>
  <r>
    <b v="1"/>
    <x v="0"/>
    <x v="0"/>
    <x v="2"/>
    <x v="0"/>
    <x v="1"/>
    <x v="15"/>
    <s v="BBG00GCM8LR8"/>
    <x v="0"/>
    <s v="9e3d5a4bf8ef4c9bb3306040e0cd6790"/>
    <s v="Green Bond CMPC 2017"/>
    <x v="0"/>
    <x v="10"/>
    <s v="Commercial Forestry"/>
    <s v="Process of planting/replanting in Guaiba and Losango"/>
    <s v="Brazil"/>
    <d v="2017-04-04T00:00:00"/>
    <d v="2018-12-31T00:00:00"/>
    <s v="USD"/>
    <n v="55626577"/>
    <n v="55626577"/>
    <s v="USD"/>
    <n v="55626577"/>
    <n v="55626577"/>
    <b v="0"/>
    <n v="1"/>
  </r>
  <r>
    <b v="1"/>
    <x v="0"/>
    <x v="0"/>
    <x v="2"/>
    <x v="0"/>
    <x v="1"/>
    <x v="15"/>
    <s v="BBG00GCM8LR8"/>
    <x v="0"/>
    <s v="9e3d5a4bf8ef4c9bb3306040e0cd6790"/>
    <s v="Green Bond CMPC 2017"/>
    <x v="0"/>
    <x v="10"/>
    <s v="Commercial Forestry"/>
    <s v="Process of planting/replanting in Guaiba and Losango"/>
    <s v="Brazil"/>
    <d v="2017-04-04T00:00:00"/>
    <d v="2016-12-31T00:00:00"/>
    <s v="USD"/>
    <n v="124688404"/>
    <n v="124688404"/>
    <s v="USD"/>
    <n v="124688404"/>
    <n v="124688404"/>
    <b v="0"/>
    <n v="1"/>
  </r>
  <r>
    <b v="1"/>
    <x v="0"/>
    <x v="0"/>
    <x v="2"/>
    <x v="0"/>
    <x v="1"/>
    <x v="15"/>
    <s v="BBG00GCM8LR8"/>
    <x v="0"/>
    <s v="9e3d5a4bf8ef4c9bb3306040e0cd6790"/>
    <s v="Green Bond CMPC 2017"/>
    <x v="1"/>
    <x v="11"/>
    <s v="Reforestation"/>
    <s v="Process of planting/replanting in Guaiba and Losango"/>
    <s v="Brazil"/>
    <d v="2017-04-04T00:00:00"/>
    <d v="2018-12-31T00:00:00"/>
    <s v="USD"/>
    <n v="55626577"/>
    <n v="55626577"/>
    <s v="USD"/>
    <n v="55626577"/>
    <n v="55626577"/>
    <b v="0"/>
    <n v="1"/>
  </r>
  <r>
    <b v="1"/>
    <x v="0"/>
    <x v="0"/>
    <x v="2"/>
    <x v="0"/>
    <x v="1"/>
    <x v="15"/>
    <s v="BBG00GCM8LR8"/>
    <x v="0"/>
    <s v="9e3d5a4bf8ef4c9bb3306040e0cd6790"/>
    <s v="Green Bond CMPC 2017"/>
    <x v="1"/>
    <x v="11"/>
    <s v="Reforestation"/>
    <s v="Process of planting/replanting in Guaiba and Losango"/>
    <s v="Brazil"/>
    <d v="2017-04-04T00:00:00"/>
    <d v="2016-12-31T00:00:00"/>
    <s v="USD"/>
    <n v="124688404"/>
    <n v="124688404"/>
    <s v="USD"/>
    <n v="124688404"/>
    <n v="124688404"/>
    <b v="0"/>
    <n v="1"/>
  </r>
  <r>
    <b v="1"/>
    <x v="0"/>
    <x v="0"/>
    <x v="2"/>
    <x v="0"/>
    <x v="1"/>
    <x v="15"/>
    <s v="BBG00GCM8LR8"/>
    <x v="0"/>
    <s v="9e3d5a4bf8ef4c9bb3306040e0cd6790"/>
    <s v="Green Bond CMPC 2017"/>
    <x v="2"/>
    <x v="9"/>
    <s v="Unspecified"/>
    <s v="Process of planting/replanting in Guaiba and Losango"/>
    <s v="Brazil"/>
    <d v="2017-04-04T00:00:00"/>
    <d v="2018-12-31T00:00:00"/>
    <s v="USD"/>
    <n v="55626577"/>
    <n v="55626577"/>
    <s v="USD"/>
    <n v="55626577"/>
    <n v="55626577"/>
    <b v="0"/>
    <n v="1"/>
  </r>
  <r>
    <b v="1"/>
    <x v="0"/>
    <x v="0"/>
    <x v="2"/>
    <x v="0"/>
    <x v="1"/>
    <x v="15"/>
    <s v="BBG00GCM8LR8"/>
    <x v="0"/>
    <s v="9e3d5a4bf8ef4c9bb3306040e0cd6790"/>
    <s v="Green Bond CMPC 2017"/>
    <x v="2"/>
    <x v="9"/>
    <s v="Unspecified"/>
    <s v="Process of planting/replanting in Guaiba and Losango"/>
    <s v="Brazil"/>
    <d v="2017-04-04T00:00:00"/>
    <d v="2016-12-31T00:00:00"/>
    <s v="USD"/>
    <n v="124688404"/>
    <n v="124688404"/>
    <s v="USD"/>
    <n v="124688404"/>
    <n v="124688404"/>
    <b v="0"/>
    <n v="1"/>
  </r>
  <r>
    <b v="1"/>
    <x v="0"/>
    <x v="0"/>
    <x v="2"/>
    <x v="0"/>
    <x v="1"/>
    <x v="15"/>
    <s v="BBG00GCM8LR8"/>
    <x v="0"/>
    <s v="9e3d5a4bf8ef4c9bb3306040e0cd6790"/>
    <s v="Green Bond CMPC 2017"/>
    <x v="3"/>
    <x v="9"/>
    <s v="Unspecified"/>
    <s v="Process of planting/replanting in Guaiba and Losango"/>
    <s v="Brazil"/>
    <d v="2017-04-04T00:00:00"/>
    <d v="2018-12-31T00:00:00"/>
    <s v="USD"/>
    <n v="55626577"/>
    <n v="55626577"/>
    <s v="USD"/>
    <n v="55626577"/>
    <n v="55626577"/>
    <b v="0"/>
    <n v="1"/>
  </r>
  <r>
    <b v="1"/>
    <x v="0"/>
    <x v="0"/>
    <x v="2"/>
    <x v="0"/>
    <x v="1"/>
    <x v="15"/>
    <s v="BBG00GCM8LR8"/>
    <x v="0"/>
    <s v="9e3d5a4bf8ef4c9bb3306040e0cd6790"/>
    <s v="Green Bond CMPC 2017"/>
    <x v="3"/>
    <x v="9"/>
    <s v="Unspecified"/>
    <s v="Process of planting/replanting in Guaiba and Losango"/>
    <s v="Brazil"/>
    <d v="2017-04-04T00:00:00"/>
    <d v="2016-12-31T00:00:00"/>
    <s v="USD"/>
    <n v="124688404"/>
    <n v="124688404"/>
    <s v="USD"/>
    <n v="124688404"/>
    <n v="124688404"/>
    <b v="0"/>
    <n v="1"/>
  </r>
  <r>
    <b v="1"/>
    <x v="0"/>
    <x v="0"/>
    <x v="2"/>
    <x v="0"/>
    <x v="1"/>
    <x v="15"/>
    <s v="BBG00GCM8LR8"/>
    <x v="0"/>
    <s v="9e3d5a4bf8ef4c9bb3306040e0cd6790"/>
    <s v="Green Bond CMPC 2017"/>
    <x v="0"/>
    <x v="5"/>
    <s v="Water-borne"/>
    <s v="Transport of wood for pulping by barge to the Guaiba mill"/>
    <s v="Brazil"/>
    <d v="2017-04-04T00:00:00"/>
    <d v="2016-12-31T00:00:00"/>
    <s v="USD"/>
    <n v="8780938"/>
    <n v="8780938"/>
    <s v="USD"/>
    <n v="8780938"/>
    <n v="8780938"/>
    <b v="0"/>
    <n v="1"/>
  </r>
  <r>
    <b v="1"/>
    <x v="0"/>
    <x v="0"/>
    <x v="2"/>
    <x v="0"/>
    <x v="1"/>
    <x v="16"/>
    <s v="BBG00MCDMXF6"/>
    <x v="0"/>
    <s v="19c1f11e1a3f444cae63d334393894ed"/>
    <s v="Green Bond Protisa Per√∫, CMPC"/>
    <x v="3"/>
    <x v="9"/>
    <s v="Unspecified"/>
    <s v="Ca√±ete Paper Machine"/>
    <s v="Peru"/>
    <d v="2018-10-01T00:00:00"/>
    <d v="2016-12-31T00:00:00"/>
    <s v="USD"/>
    <n v="26361196"/>
    <n v="26361196"/>
    <s v="PEN"/>
    <n v="85937498"/>
    <n v="26361196"/>
    <b v="1"/>
    <n v="1"/>
  </r>
  <r>
    <b v="1"/>
    <x v="0"/>
    <x v="0"/>
    <x v="2"/>
    <x v="0"/>
    <x v="1"/>
    <x v="16"/>
    <s v="BBG00MCDMXF6"/>
    <x v="0"/>
    <s v="19c1f11e1a3f444cae63d334393894ed"/>
    <s v="Green Bond Protisa Per√∫, CMPC"/>
    <x v="0"/>
    <x v="2"/>
    <s v="Treatment"/>
    <s v="Ca√±ete Clarified Water Recirculation"/>
    <s v="Peru"/>
    <d v="2018-10-01T00:00:00"/>
    <d v="2016-12-31T00:00:00"/>
    <s v="USD"/>
    <n v="319529"/>
    <n v="319529"/>
    <s v="PEN"/>
    <n v="1041664"/>
    <n v="319529"/>
    <b v="1"/>
    <n v="1"/>
  </r>
  <r>
    <b v="1"/>
    <x v="0"/>
    <x v="0"/>
    <x v="2"/>
    <x v="0"/>
    <x v="1"/>
    <x v="16"/>
    <s v="BBG00MCDMXF6"/>
    <x v="0"/>
    <s v="19c1f11e1a3f444cae63d334393894ed"/>
    <s v="Green Bond Protisa Per√∫, CMPC"/>
    <x v="1"/>
    <x v="3"/>
    <s v="Wastewater treatment"/>
    <s v="Ca√±ete Clarified Water Recirculation"/>
    <s v="Peru"/>
    <d v="2018-10-01T00:00:00"/>
    <d v="2016-12-31T00:00:00"/>
    <s v="USD"/>
    <n v="319529"/>
    <n v="319529"/>
    <s v="PEN"/>
    <n v="1041664"/>
    <n v="319529"/>
    <b v="1"/>
    <n v="1"/>
  </r>
  <r>
    <b v="1"/>
    <x v="0"/>
    <x v="0"/>
    <x v="2"/>
    <x v="0"/>
    <x v="1"/>
    <x v="16"/>
    <s v="BBG00MCDMXF6"/>
    <x v="0"/>
    <s v="19c1f11e1a3f444cae63d334393894ed"/>
    <s v="Green Bond Protisa Per√∫, CMPC"/>
    <x v="2"/>
    <x v="9"/>
    <s v="Unspecified"/>
    <s v="Ca√±ete Clarified Water Recirculation"/>
    <s v="Peru"/>
    <d v="2018-10-01T00:00:00"/>
    <d v="2016-12-31T00:00:00"/>
    <s v="USD"/>
    <n v="319529"/>
    <n v="319529"/>
    <s v="PEN"/>
    <n v="1041664"/>
    <n v="319529"/>
    <b v="1"/>
    <n v="1"/>
  </r>
  <r>
    <b v="1"/>
    <x v="0"/>
    <x v="0"/>
    <x v="2"/>
    <x v="0"/>
    <x v="1"/>
    <x v="16"/>
    <s v="BBG00MCDMXF6"/>
    <x v="0"/>
    <s v="19c1f11e1a3f444cae63d334393894ed"/>
    <s v="Green Bond Protisa Per√∫, CMPC"/>
    <x v="3"/>
    <x v="9"/>
    <s v="Unspecified"/>
    <s v="Ca√±ete Clarified Water Recirculation"/>
    <s v="Peru"/>
    <d v="2018-10-01T00:00:00"/>
    <d v="2016-12-31T00:00:00"/>
    <s v="USD"/>
    <n v="319529"/>
    <n v="319529"/>
    <s v="PEN"/>
    <n v="1041664"/>
    <n v="319529"/>
    <b v="1"/>
    <n v="1"/>
  </r>
  <r>
    <b v="1"/>
    <x v="0"/>
    <x v="0"/>
    <x v="2"/>
    <x v="0"/>
    <x v="1"/>
    <x v="16"/>
    <s v="BBG00MCDMXF6"/>
    <x v="0"/>
    <s v="19c1f11e1a3f444cae63d334393894ed"/>
    <s v="Green Bond Protisa Per√∫, CMPC"/>
    <x v="0"/>
    <x v="2"/>
    <s v="Treatment"/>
    <s v="Santa Anita PP2 Water Treatment System"/>
    <s v="Peru"/>
    <d v="2018-10-01T00:00:00"/>
    <d v="2016-12-31T00:00:00"/>
    <s v="USD"/>
    <n v="1597648"/>
    <n v="1597648"/>
    <s v="PEN"/>
    <n v="5208332"/>
    <n v="1597648"/>
    <b v="1"/>
    <n v="1"/>
  </r>
  <r>
    <b v="1"/>
    <x v="0"/>
    <x v="0"/>
    <x v="2"/>
    <x v="0"/>
    <x v="1"/>
    <x v="16"/>
    <s v="BBG00MCDMXF6"/>
    <x v="0"/>
    <s v="19c1f11e1a3f444cae63d334393894ed"/>
    <s v="Green Bond Protisa Per√∫, CMPC"/>
    <x v="1"/>
    <x v="3"/>
    <s v="Wastewater treatment"/>
    <s v="Santa Anita PP2 Water Treatment System"/>
    <s v="Peru"/>
    <d v="2018-10-01T00:00:00"/>
    <d v="2016-12-31T00:00:00"/>
    <s v="USD"/>
    <n v="1597648"/>
    <n v="1597648"/>
    <s v="PEN"/>
    <n v="5208332"/>
    <n v="1597648"/>
    <b v="1"/>
    <n v="1"/>
  </r>
  <r>
    <b v="1"/>
    <x v="0"/>
    <x v="0"/>
    <x v="2"/>
    <x v="0"/>
    <x v="1"/>
    <x v="16"/>
    <s v="BBG00MCDMXF6"/>
    <x v="0"/>
    <s v="19c1f11e1a3f444cae63d334393894ed"/>
    <s v="Green Bond Protisa Per√∫, CMPC"/>
    <x v="2"/>
    <x v="9"/>
    <s v="Unspecified"/>
    <s v="Santa Anita PP2 Water Treatment System"/>
    <s v="Peru"/>
    <d v="2018-10-01T00:00:00"/>
    <d v="2016-12-31T00:00:00"/>
    <s v="USD"/>
    <n v="1597648"/>
    <n v="1597648"/>
    <s v="PEN"/>
    <n v="5208332"/>
    <n v="1597648"/>
    <b v="1"/>
    <n v="1"/>
  </r>
  <r>
    <b v="1"/>
    <x v="0"/>
    <x v="0"/>
    <x v="2"/>
    <x v="0"/>
    <x v="1"/>
    <x v="16"/>
    <s v="BBG00MCDMXF6"/>
    <x v="0"/>
    <s v="19c1f11e1a3f444cae63d334393894ed"/>
    <s v="Green Bond Protisa Per√∫, CMPC"/>
    <x v="3"/>
    <x v="9"/>
    <s v="Unspecified"/>
    <s v="Santa Anita PP2 Water Treatment System"/>
    <s v="Peru"/>
    <d v="2018-10-01T00:00:00"/>
    <d v="2016-12-31T00:00:00"/>
    <s v="USD"/>
    <n v="1597648"/>
    <n v="1597648"/>
    <s v="PEN"/>
    <n v="5208332"/>
    <n v="1597648"/>
    <b v="1"/>
    <n v="1"/>
  </r>
  <r>
    <b v="1"/>
    <x v="0"/>
    <x v="0"/>
    <x v="1"/>
    <x v="0"/>
    <x v="1"/>
    <x v="2"/>
    <s v="BBG00PQCN094"/>
    <x v="0"/>
    <s v="19a9b617aa704f8285094522d06a5367"/>
    <s v="Neoenergia - 6¬™ emiss√£o de deb√™ntures"/>
    <x v="0"/>
    <x v="0"/>
    <s v="Transmission"/>
    <s v="EKTT 13-A"/>
    <s v="Brazil"/>
    <d v="2019-07-23T00:00:00"/>
    <d v="2020-03-30T00:00:00"/>
    <s v="BRL"/>
    <n v="77700000"/>
    <n v="77700000"/>
    <s v="BRL"/>
    <n v="77700000"/>
    <n v="14960433"/>
    <b v="1"/>
    <n v="0.9"/>
  </r>
  <r>
    <b v="1"/>
    <x v="0"/>
    <x v="0"/>
    <x v="1"/>
    <x v="0"/>
    <x v="1"/>
    <x v="2"/>
    <s v="BBG00PQCN094"/>
    <x v="0"/>
    <s v="19a9b617aa704f8285094522d06a5367"/>
    <s v="Neoenergia - 6¬™ emiss√£o de deb√™ntures"/>
    <x v="1"/>
    <x v="1"/>
    <s v="Transmission"/>
    <s v="EKTT 13-A"/>
    <s v="Brazil"/>
    <d v="2019-07-23T00:00:00"/>
    <d v="2020-03-30T00:00:00"/>
    <s v="BRL"/>
    <n v="77700000"/>
    <n v="77700000"/>
    <s v="BRL"/>
    <n v="77700000"/>
    <n v="14960433"/>
    <b v="1"/>
    <n v="0.9"/>
  </r>
  <r>
    <b v="1"/>
    <x v="0"/>
    <x v="0"/>
    <x v="1"/>
    <x v="0"/>
    <x v="1"/>
    <x v="2"/>
    <s v="BBG00PQCN094"/>
    <x v="0"/>
    <s v="19a9b617aa704f8285094522d06a5367"/>
    <s v="Neoenergia - 6¬™ emiss√£o de deb√™ntures"/>
    <x v="0"/>
    <x v="0"/>
    <s v="Transmission"/>
    <s v="EKTT 14-A"/>
    <s v="Brazil"/>
    <d v="2019-07-23T00:00:00"/>
    <d v="2020-03-30T00:00:00"/>
    <s v="BRL"/>
    <n v="75600000"/>
    <n v="75600000"/>
    <s v="BRL"/>
    <n v="75600000"/>
    <n v="14556097"/>
    <b v="1"/>
    <n v="0.8"/>
  </r>
  <r>
    <b v="1"/>
    <x v="0"/>
    <x v="0"/>
    <x v="1"/>
    <x v="0"/>
    <x v="1"/>
    <x v="2"/>
    <s v="BBG00PQCN094"/>
    <x v="0"/>
    <s v="19a9b617aa704f8285094522d06a5367"/>
    <s v="Neoenergia - 6¬™ emiss√£o de deb√™ntures"/>
    <x v="1"/>
    <x v="1"/>
    <s v="Transmission"/>
    <s v="EKTT 14-A"/>
    <s v="Brazil"/>
    <d v="2019-07-23T00:00:00"/>
    <d v="2020-03-30T00:00:00"/>
    <s v="BRL"/>
    <n v="75600000"/>
    <n v="75600000"/>
    <s v="BRL"/>
    <n v="75600000"/>
    <n v="14556097"/>
    <b v="1"/>
    <n v="0.8"/>
  </r>
  <r>
    <b v="1"/>
    <x v="0"/>
    <x v="0"/>
    <x v="1"/>
    <x v="0"/>
    <x v="1"/>
    <x v="2"/>
    <s v="BBG00PQCN094"/>
    <x v="0"/>
    <s v="19a9b617aa704f8285094522d06a5367"/>
    <s v="Neoenergia - 6¬™ emiss√£o de deb√™ntures"/>
    <x v="0"/>
    <x v="0"/>
    <s v="Transmission"/>
    <s v="EKTT 15-A"/>
    <s v="Brazil"/>
    <d v="2019-07-23T00:00:00"/>
    <d v="2020-03-30T00:00:00"/>
    <s v="BRL"/>
    <n v="26900000"/>
    <n v="26900000"/>
    <s v="BRL"/>
    <n v="26900000"/>
    <n v="5179352"/>
    <b v="1"/>
    <n v="0.33"/>
  </r>
  <r>
    <b v="1"/>
    <x v="0"/>
    <x v="0"/>
    <x v="1"/>
    <x v="0"/>
    <x v="1"/>
    <x v="2"/>
    <s v="BBG00PQCN094"/>
    <x v="0"/>
    <s v="19a9b617aa704f8285094522d06a5367"/>
    <s v="Neoenergia - 6¬™ emiss√£o de deb√™ntures"/>
    <x v="1"/>
    <x v="1"/>
    <s v="Transmission"/>
    <s v="EKTT 15-A"/>
    <s v="Brazil"/>
    <d v="2019-07-23T00:00:00"/>
    <d v="2020-03-30T00:00:00"/>
    <s v="BRL"/>
    <n v="26900000"/>
    <n v="26900000"/>
    <s v="BRL"/>
    <n v="26900000"/>
    <n v="5179352"/>
    <b v="1"/>
    <n v="0.33"/>
  </r>
  <r>
    <b v="1"/>
    <x v="0"/>
    <x v="0"/>
    <x v="1"/>
    <x v="0"/>
    <x v="1"/>
    <x v="17"/>
    <s v="BBG00SJ4XZ50"/>
    <x v="0"/>
    <s v="8b6c8d33bb7747b3b7811d6ebf1edd18"/>
    <s v="Neoenergia Itabapoana - 1¬™ Emiss√£o de Deb√™ntures"/>
    <x v="0"/>
    <x v="0"/>
    <s v="Transmission"/>
    <s v="EKTT 4 (Itabapoana)"/>
    <s v="Brazil"/>
    <d v="2020-12-31T00:00:00"/>
    <d v="2020-12-31T00:00:00"/>
    <s v="BRL"/>
    <n v="44700000"/>
    <n v="44700000"/>
    <s v="BRL"/>
    <n v="44700000"/>
    <n v="10178190"/>
    <b v="1"/>
    <n v="0.48"/>
  </r>
  <r>
    <b v="1"/>
    <x v="0"/>
    <x v="0"/>
    <x v="1"/>
    <x v="0"/>
    <x v="1"/>
    <x v="17"/>
    <s v="BBG00SJ4XZ50"/>
    <x v="0"/>
    <s v="8b6c8d33bb7747b3b7811d6ebf1edd18"/>
    <s v="Neoenergia Itabapoana - 1¬™ Emiss√£o de Deb√™ntures"/>
    <x v="0"/>
    <x v="0"/>
    <s v="Transmission"/>
    <s v="EKTT 4 (Itabapoana)"/>
    <s v="Brazil"/>
    <d v="2020-02-14T00:00:00"/>
    <d v="2020-02-14T00:00:00"/>
    <s v="BRL"/>
    <n v="16000000"/>
    <n v="16000000"/>
    <s v="BRL"/>
    <n v="16000000"/>
    <n v="3643200"/>
    <b v="1"/>
    <n v="0.48"/>
  </r>
  <r>
    <b v="1"/>
    <x v="0"/>
    <x v="0"/>
    <x v="1"/>
    <x v="0"/>
    <x v="1"/>
    <x v="17"/>
    <s v="BBG00SJ4XZ50"/>
    <x v="0"/>
    <s v="8b6c8d33bb7747b3b7811d6ebf1edd18"/>
    <s v="Neoenergia Itabapoana - 1¬™ Emiss√£o de Deb√™ntures"/>
    <x v="1"/>
    <x v="1"/>
    <s v="Transmission"/>
    <s v="EKTT 4 (Itabapoana)"/>
    <s v="Brazil"/>
    <d v="2020-12-31T00:00:00"/>
    <d v="2020-12-31T00:00:00"/>
    <s v="BRL"/>
    <n v="44700000"/>
    <n v="44700000"/>
    <s v="BRL"/>
    <n v="44700000"/>
    <n v="10178190"/>
    <b v="1"/>
    <n v="0.48"/>
  </r>
  <r>
    <b v="1"/>
    <x v="0"/>
    <x v="0"/>
    <x v="1"/>
    <x v="0"/>
    <x v="1"/>
    <x v="17"/>
    <s v="BBG00SJ4XZ50"/>
    <x v="0"/>
    <s v="8b6c8d33bb7747b3b7811d6ebf1edd18"/>
    <s v="Neoenergia Itabapoana - 1¬™ Emiss√£o de Deb√™ntures"/>
    <x v="1"/>
    <x v="1"/>
    <s v="Transmission"/>
    <s v="EKTT 4 (Itabapoana)"/>
    <s v="Brazil"/>
    <d v="2020-02-14T00:00:00"/>
    <d v="2020-02-14T00:00:00"/>
    <s v="BRL"/>
    <n v="16000000"/>
    <n v="16000000"/>
    <s v="BRL"/>
    <n v="16000000"/>
    <n v="3643200"/>
    <b v="1"/>
    <n v="0.48"/>
  </r>
  <r>
    <b v="1"/>
    <x v="0"/>
    <x v="2"/>
    <x v="0"/>
    <x v="0"/>
    <x v="3"/>
    <x v="18"/>
    <s v="BBG00HSGX4Z3"/>
    <x v="5"/>
    <s v="cffe109b8d59400dbf3b62d9e36c0d76"/>
    <s v="GCDMXCB 17X"/>
    <x v="0"/>
    <x v="2"/>
    <s v="Flood defence"/>
    <s v="Colector Emilio Carranza, en la Delegaci√≥n Iztapalapa"/>
    <s v="Mexico"/>
    <d v="2017-12-31T00:00:00"/>
    <d v="2017-12-31T00:00:00"/>
    <s v="MXN"/>
    <n v="13200000"/>
    <n v="10457618"/>
    <s v="MXN"/>
    <n v="10457618"/>
    <n v="543273"/>
    <b v="0"/>
    <n v="0.53"/>
  </r>
  <r>
    <b v="1"/>
    <x v="0"/>
    <x v="2"/>
    <x v="0"/>
    <x v="0"/>
    <x v="3"/>
    <x v="18"/>
    <s v="BBG00HSGX4Z3"/>
    <x v="5"/>
    <s v="cffe109b8d59400dbf3b62d9e36c0d76"/>
    <s v="GCDMXCB 17X"/>
    <x v="1"/>
    <x v="3"/>
    <s v="Flooding mitigation"/>
    <s v="Colector Emilio Carranza, en la Delegaci√≥n Iztapalapa"/>
    <s v="Mexico"/>
    <d v="2017-12-31T00:00:00"/>
    <d v="2017-12-31T00:00:00"/>
    <s v="MXN"/>
    <n v="13200000"/>
    <n v="10457618"/>
    <s v="MXN"/>
    <n v="10457618"/>
    <n v="543273"/>
    <b v="0"/>
    <n v="0.53"/>
  </r>
  <r>
    <b v="1"/>
    <x v="0"/>
    <x v="2"/>
    <x v="0"/>
    <x v="0"/>
    <x v="3"/>
    <x v="18"/>
    <s v="BBG00HSGX4Z3"/>
    <x v="5"/>
    <s v="cffe109b8d59400dbf3b62d9e36c0d76"/>
    <s v="GCDMXCB 17X"/>
    <x v="0"/>
    <x v="2"/>
    <s v="Flood defence"/>
    <s v="Colector de alivio, Pueblo de Santiago Zapotitl√°n, en la Delegaci√≥n Tl√°huac"/>
    <s v="Mexico"/>
    <d v="2017-12-31T00:00:00"/>
    <d v="2017-12-31T00:00:00"/>
    <s v="MXN"/>
    <n v="3000000"/>
    <n v="2645243"/>
    <s v="MXN"/>
    <n v="2645243"/>
    <n v="137420"/>
    <b v="0"/>
    <n v="0.59"/>
  </r>
  <r>
    <b v="1"/>
    <x v="0"/>
    <x v="2"/>
    <x v="0"/>
    <x v="0"/>
    <x v="3"/>
    <x v="18"/>
    <s v="BBG00HSGX4Z3"/>
    <x v="5"/>
    <s v="cffe109b8d59400dbf3b62d9e36c0d76"/>
    <s v="GCDMXCB 17X"/>
    <x v="1"/>
    <x v="3"/>
    <s v="Flooding mitigation"/>
    <s v="Colector de alivio, Pueblo de Santiago Zapotitl√°n, en la Delegaci√≥n Tl√°huac"/>
    <s v="Mexico"/>
    <d v="2017-12-31T00:00:00"/>
    <d v="2017-12-31T00:00:00"/>
    <s v="MXN"/>
    <n v="3000000"/>
    <n v="2645243"/>
    <s v="MXN"/>
    <n v="2645243"/>
    <n v="137420"/>
    <b v="0"/>
    <n v="0.59"/>
  </r>
  <r>
    <b v="1"/>
    <x v="0"/>
    <x v="0"/>
    <x v="2"/>
    <x v="0"/>
    <x v="1"/>
    <x v="19"/>
    <n v="0"/>
    <x v="0"/>
    <s v="4e17f0d80ab34899bc0d289e2bbfe144"/>
    <s v="BAGUA-AC"/>
    <x v="0"/>
    <x v="2"/>
    <s v="Treatment"/>
    <s v="Planta Tratamiento Agua Potable Chamisero (Canal Batuco) - 2018"/>
    <s v="Chile"/>
    <d v="2018-12-31T00:00:00"/>
    <d v="2018-12-31T00:00:00"/>
    <s v="CLP"/>
    <n v="9537286278"/>
    <n v="9537286278"/>
    <s v="CLF"/>
    <n v="345983"/>
    <n v="13709104"/>
    <b v="1"/>
    <n v="0.53"/>
  </r>
  <r>
    <b v="1"/>
    <x v="0"/>
    <x v="0"/>
    <x v="2"/>
    <x v="0"/>
    <x v="1"/>
    <x v="19"/>
    <n v="0"/>
    <x v="0"/>
    <s v="4e17f0d80ab34899bc0d289e2bbfe144"/>
    <s v="BAGUA-AC"/>
    <x v="1"/>
    <x v="3"/>
    <s v="Infrastructure"/>
    <s v="Planta Tratamiento Agua Potable Chamisero (Canal Batuco) - 2018"/>
    <s v="Chile"/>
    <d v="2018-12-31T00:00:00"/>
    <d v="2018-12-31T00:00:00"/>
    <s v="CLP"/>
    <n v="9537286278"/>
    <n v="9537286278"/>
    <s v="CLF"/>
    <n v="345983"/>
    <n v="13709104"/>
    <b v="1"/>
    <n v="0.53"/>
  </r>
  <r>
    <b v="1"/>
    <x v="0"/>
    <x v="0"/>
    <x v="2"/>
    <x v="0"/>
    <x v="1"/>
    <x v="19"/>
    <n v="0"/>
    <x v="0"/>
    <s v="4e17f0d80ab34899bc0d289e2bbfe144"/>
    <s v="BAGUA-AC"/>
    <x v="0"/>
    <x v="2"/>
    <s v="Storage"/>
    <s v="Obras Emergencia Eventos De Turbiedad - 2018"/>
    <s v="Chile"/>
    <d v="2018-12-31T00:00:00"/>
    <d v="2018-12-31T00:00:00"/>
    <s v="CLP"/>
    <n v="10311559976"/>
    <n v="10311559976"/>
    <s v="CLF"/>
    <n v="374071"/>
    <n v="14822062"/>
    <b v="1"/>
    <n v="0.91"/>
  </r>
  <r>
    <b v="1"/>
    <x v="0"/>
    <x v="0"/>
    <x v="2"/>
    <x v="0"/>
    <x v="1"/>
    <x v="19"/>
    <n v="0"/>
    <x v="0"/>
    <s v="4e17f0d80ab34899bc0d289e2bbfe144"/>
    <s v="BAGUA-AC"/>
    <x v="1"/>
    <x v="3"/>
    <s v="Infrastructure"/>
    <s v="Obras Emergencia Eventos De Turbiedad - 2018"/>
    <s v="Chile"/>
    <d v="2018-12-31T00:00:00"/>
    <d v="2018-12-31T00:00:00"/>
    <s v="CLP"/>
    <n v="10311559976"/>
    <n v="10311559976"/>
    <s v="CLF"/>
    <n v="374071"/>
    <n v="14822062"/>
    <b v="1"/>
    <n v="0.91"/>
  </r>
  <r>
    <b v="1"/>
    <x v="0"/>
    <x v="0"/>
    <x v="2"/>
    <x v="0"/>
    <x v="1"/>
    <x v="19"/>
    <n v="0"/>
    <x v="0"/>
    <s v="4e17f0d80ab34899bc0d289e2bbfe144"/>
    <s v="BAGUA-AC"/>
    <x v="0"/>
    <x v="2"/>
    <s v="Storage"/>
    <s v="Estanque Pirque - 2018"/>
    <s v="Chile"/>
    <d v="2018-12-31T00:00:00"/>
    <d v="2018-12-31T00:00:00"/>
    <s v="CLP"/>
    <n v="10244333941"/>
    <n v="10244333941"/>
    <s v="CLF"/>
    <n v="371632"/>
    <n v="14725429"/>
    <b v="1"/>
    <n v="0.13"/>
  </r>
  <r>
    <b v="1"/>
    <x v="0"/>
    <x v="0"/>
    <x v="2"/>
    <x v="0"/>
    <x v="1"/>
    <x v="19"/>
    <n v="0"/>
    <x v="0"/>
    <s v="4e17f0d80ab34899bc0d289e2bbfe144"/>
    <s v="BAGUA-AC"/>
    <x v="1"/>
    <x v="3"/>
    <s v="Infrastructure"/>
    <s v="Estanque Pirque - 2018"/>
    <s v="Chile"/>
    <d v="2018-12-31T00:00:00"/>
    <d v="2018-12-31T00:00:00"/>
    <s v="CLP"/>
    <n v="10244333941"/>
    <n v="10244333941"/>
    <s v="CLF"/>
    <n v="371632"/>
    <n v="14725429"/>
    <b v="1"/>
    <n v="0.13"/>
  </r>
  <r>
    <b v="1"/>
    <x v="0"/>
    <x v="0"/>
    <x v="2"/>
    <x v="0"/>
    <x v="1"/>
    <x v="19"/>
    <n v="0"/>
    <x v="0"/>
    <s v="4e17f0d80ab34899bc0d289e2bbfe144"/>
    <s v="BAGUA-AC"/>
    <x v="0"/>
    <x v="2"/>
    <s v="Treatment"/>
    <s v="Ampliaci√≥n Planta De Tratamiento Aguas Servidas Curacavi"/>
    <s v="Chile"/>
    <d v="2018-12-31T00:00:00"/>
    <d v="2018-12-31T00:00:00"/>
    <s v="CLP"/>
    <n v="1981245132"/>
    <n v="1981245132"/>
    <s v="CLF"/>
    <n v="71873"/>
    <n v="2847885"/>
    <b v="1"/>
    <n v="0.89"/>
  </r>
  <r>
    <b v="1"/>
    <x v="0"/>
    <x v="0"/>
    <x v="2"/>
    <x v="0"/>
    <x v="1"/>
    <x v="19"/>
    <n v="0"/>
    <x v="0"/>
    <s v="4e17f0d80ab34899bc0d289e2bbfe144"/>
    <s v="BAGUA-AC"/>
    <x v="1"/>
    <x v="3"/>
    <s v="Wastewater treatment"/>
    <s v="Ampliaci√≥n Planta De Tratamiento Aguas Servidas Curacavi"/>
    <s v="Chile"/>
    <d v="2018-12-31T00:00:00"/>
    <d v="2018-12-31T00:00:00"/>
    <s v="CLP"/>
    <n v="1981245132"/>
    <n v="1981245132"/>
    <s v="CLF"/>
    <n v="71873"/>
    <n v="2847885"/>
    <b v="1"/>
    <n v="0.89"/>
  </r>
  <r>
    <b v="1"/>
    <x v="0"/>
    <x v="2"/>
    <x v="0"/>
    <x v="0"/>
    <x v="3"/>
    <x v="18"/>
    <s v="BBG00HSGX4Z3"/>
    <x v="5"/>
    <s v="cffe109b8d59400dbf3b62d9e36c0d76"/>
    <s v="GCDMXCB 17X"/>
    <x v="0"/>
    <x v="2"/>
    <s v="Treatment"/>
    <s v="Planta potabilizadora Acueducto Sierra Santa Catarina, en la Delegaci√≥n Iztapalapa"/>
    <s v="Mexico"/>
    <d v="2017-12-31T00:00:00"/>
    <d v="2017-12-31T00:00:00"/>
    <s v="MXN"/>
    <n v="26000000"/>
    <n v="9783887"/>
    <s v="MXN"/>
    <n v="9783887"/>
    <n v="508273"/>
    <b v="0"/>
    <n v="0.28000000000000003"/>
  </r>
  <r>
    <b v="1"/>
    <x v="0"/>
    <x v="2"/>
    <x v="0"/>
    <x v="0"/>
    <x v="3"/>
    <x v="18"/>
    <s v="BBG00HSGX4Z3"/>
    <x v="5"/>
    <s v="cffe109b8d59400dbf3b62d9e36c0d76"/>
    <s v="GCDMXCB 17X"/>
    <x v="1"/>
    <x v="3"/>
    <s v="Urban drainage"/>
    <s v="Planta potabilizadora Acueducto Sierra Santa Catarina, en la Delegaci√≥n Iztapalapa"/>
    <s v="Mexico"/>
    <d v="2017-12-31T00:00:00"/>
    <d v="2017-12-31T00:00:00"/>
    <s v="MXN"/>
    <n v="26000000"/>
    <n v="9783887"/>
    <s v="MXN"/>
    <n v="9783887"/>
    <n v="508273"/>
    <b v="0"/>
    <n v="0.28000000000000003"/>
  </r>
  <r>
    <b v="1"/>
    <x v="0"/>
    <x v="2"/>
    <x v="0"/>
    <x v="0"/>
    <x v="3"/>
    <x v="18"/>
    <s v="BBG00HSGX4Z3"/>
    <x v="5"/>
    <s v="cffe109b8d59400dbf3b62d9e36c0d76"/>
    <s v="GCDMXCB 17X"/>
    <x v="0"/>
    <x v="2"/>
    <s v="Flood defence"/>
    <s v="Red secundaria de drenaje en 13 colonias de la Delegaci√≥n Azcapotzalco"/>
    <s v="Mexico"/>
    <d v="2017-12-31T00:00:00"/>
    <d v="2017-12-31T00:00:00"/>
    <s v="MXN"/>
    <n v="20000000"/>
    <n v="19393862"/>
    <s v="MXN"/>
    <n v="19393862"/>
    <n v="1007511"/>
    <b v="0"/>
    <n v="0.8"/>
  </r>
  <r>
    <b v="1"/>
    <x v="0"/>
    <x v="2"/>
    <x v="0"/>
    <x v="0"/>
    <x v="3"/>
    <x v="18"/>
    <s v="BBG00HSGX4Z3"/>
    <x v="5"/>
    <s v="cffe109b8d59400dbf3b62d9e36c0d76"/>
    <s v="GCDMXCB 17X"/>
    <x v="1"/>
    <x v="3"/>
    <s v="Flooding mitigation"/>
    <s v="Red secundaria de drenaje en 13 colonias de la Delegaci√≥n Azcapotzalco"/>
    <s v="Mexico"/>
    <d v="2017-12-31T00:00:00"/>
    <d v="2017-12-31T00:00:00"/>
    <s v="MXN"/>
    <n v="20000000"/>
    <n v="19393862"/>
    <s v="MXN"/>
    <n v="19393862"/>
    <n v="1007511"/>
    <b v="0"/>
    <n v="0.8"/>
  </r>
  <r>
    <b v="1"/>
    <x v="0"/>
    <x v="2"/>
    <x v="0"/>
    <x v="0"/>
    <x v="3"/>
    <x v="18"/>
    <s v="BBG00HSGX4Z3"/>
    <x v="5"/>
    <s v="cffe109b8d59400dbf3b62d9e36c0d76"/>
    <s v="GCDMXCB 17X"/>
    <x v="0"/>
    <x v="2"/>
    <s v="Flood defence"/>
    <s v="Red de drenaje en la Colonia Juan Gonz√°lez Romero, Delegaci√≥n Gustavo A. Madero"/>
    <s v="Mexico"/>
    <d v="2017-12-31T00:00:00"/>
    <d v="2017-12-31T00:00:00"/>
    <s v="MXN"/>
    <n v="10000000"/>
    <n v="2914137"/>
    <s v="MXN"/>
    <n v="2914137"/>
    <n v="151389"/>
    <b v="0"/>
    <n v="0.05"/>
  </r>
  <r>
    <b v="1"/>
    <x v="0"/>
    <x v="2"/>
    <x v="0"/>
    <x v="0"/>
    <x v="3"/>
    <x v="18"/>
    <s v="BBG00HSGX4Z3"/>
    <x v="5"/>
    <s v="cffe109b8d59400dbf3b62d9e36c0d76"/>
    <s v="GCDMXCB 17X"/>
    <x v="1"/>
    <x v="3"/>
    <s v="Flooding mitigation"/>
    <s v="Red de drenaje en la Colonia Juan Gonz√°lez Romero, Delegaci√≥n Gustavo A. Madero"/>
    <s v="Mexico"/>
    <d v="2017-12-31T00:00:00"/>
    <d v="2017-12-31T00:00:00"/>
    <s v="MXN"/>
    <n v="10000000"/>
    <n v="2914137"/>
    <s v="MXN"/>
    <n v="2914137"/>
    <n v="151389"/>
    <b v="0"/>
    <n v="0.05"/>
  </r>
  <r>
    <b v="1"/>
    <x v="0"/>
    <x v="2"/>
    <x v="0"/>
    <x v="0"/>
    <x v="3"/>
    <x v="18"/>
    <s v="BBG00HSGX4Z3"/>
    <x v="5"/>
    <s v="cffe109b8d59400dbf3b62d9e36c0d76"/>
    <s v="GCDMXCB 17X"/>
    <x v="0"/>
    <x v="2"/>
    <s v="Treatment"/>
    <s v="Planta potabilizadora Tecomitl 18, en la Delegaci√≥n Tl√°huac"/>
    <s v="Mexico"/>
    <d v="2017-12-31T00:00:00"/>
    <d v="2017-12-31T00:00:00"/>
    <s v="MXN"/>
    <n v="50000000"/>
    <n v="47245432"/>
    <s v="MXN"/>
    <n v="47245432"/>
    <n v="2454400"/>
    <b v="0"/>
    <n v="0.53"/>
  </r>
  <r>
    <b v="1"/>
    <x v="0"/>
    <x v="2"/>
    <x v="0"/>
    <x v="0"/>
    <x v="3"/>
    <x v="18"/>
    <s v="BBG00HSGX4Z3"/>
    <x v="5"/>
    <s v="cffe109b8d59400dbf3b62d9e36c0d76"/>
    <s v="GCDMXCB 17X"/>
    <x v="1"/>
    <x v="3"/>
    <s v="Urban drainage"/>
    <s v="Planta potabilizadora Tecomitl 18, en la Delegaci√≥n Tl√°huac"/>
    <s v="Mexico"/>
    <d v="2017-12-31T00:00:00"/>
    <d v="2017-12-31T00:00:00"/>
    <s v="MXN"/>
    <n v="50000000"/>
    <n v="47245432"/>
    <s v="MXN"/>
    <n v="47245432"/>
    <n v="2454400"/>
    <b v="0"/>
    <n v="0.53"/>
  </r>
  <r>
    <b v="1"/>
    <x v="0"/>
    <x v="2"/>
    <x v="0"/>
    <x v="0"/>
    <x v="3"/>
    <x v="18"/>
    <s v="BBG00HSGX4Z3"/>
    <x v="5"/>
    <s v="cffe109b8d59400dbf3b62d9e36c0d76"/>
    <s v="GCDMXCB 17X"/>
    <x v="0"/>
    <x v="2"/>
    <s v="Flood defence"/>
    <s v="Red secundaria de drenaje en las colonias: Amado Nervo y Cuajimalpa, en la Delegaci√≥n Cuajimalpa de Morelos"/>
    <s v="Mexico"/>
    <d v="2017-12-31T00:00:00"/>
    <d v="2017-12-31T00:00:00"/>
    <s v="MXN"/>
    <n v="6000000"/>
    <n v="5818966"/>
    <s v="MXN"/>
    <n v="5818966"/>
    <n v="302295"/>
    <b v="0"/>
    <n v="0.61"/>
  </r>
  <r>
    <b v="1"/>
    <x v="0"/>
    <x v="2"/>
    <x v="0"/>
    <x v="0"/>
    <x v="3"/>
    <x v="18"/>
    <s v="BBG00HSGX4Z3"/>
    <x v="5"/>
    <s v="cffe109b8d59400dbf3b62d9e36c0d76"/>
    <s v="GCDMXCB 17X"/>
    <x v="1"/>
    <x v="3"/>
    <s v="Flooding mitigation"/>
    <s v="Red secundaria de drenaje en las colonias: Amado Nervo y Cuajimalpa, en la Delegaci√≥n Cuajimalpa de Morelos"/>
    <s v="Mexico"/>
    <d v="2017-12-31T00:00:00"/>
    <d v="2017-12-31T00:00:00"/>
    <s v="MXN"/>
    <n v="6000000"/>
    <n v="5818966"/>
    <s v="MXN"/>
    <n v="5818966"/>
    <n v="302295"/>
    <b v="0"/>
    <n v="0.61"/>
  </r>
  <r>
    <b v="1"/>
    <x v="0"/>
    <x v="2"/>
    <x v="0"/>
    <x v="0"/>
    <x v="3"/>
    <x v="18"/>
    <s v="BBG00HSGX4Z3"/>
    <x v="5"/>
    <s v="cffe109b8d59400dbf3b62d9e36c0d76"/>
    <s v="GCDMXCB 17X"/>
    <x v="0"/>
    <x v="2"/>
    <s v="Flood defence"/>
    <s v="Pozos en la Delegaci√≥n Iztapalapa"/>
    <s v="Mexico"/>
    <d v="2017-12-31T00:00:00"/>
    <d v="2017-12-31T00:00:00"/>
    <s v="MXN"/>
    <n v="44000000"/>
    <n v="15287212"/>
    <s v="MXN"/>
    <n v="15287212"/>
    <n v="794171"/>
    <b v="0"/>
    <n v="0.12"/>
  </r>
  <r>
    <b v="1"/>
    <x v="0"/>
    <x v="2"/>
    <x v="0"/>
    <x v="0"/>
    <x v="3"/>
    <x v="18"/>
    <s v="BBG00HSGX4Z3"/>
    <x v="5"/>
    <s v="cffe109b8d59400dbf3b62d9e36c0d76"/>
    <s v="GCDMXCB 17X"/>
    <x v="1"/>
    <x v="3"/>
    <s v="Flooding mitigation"/>
    <s v="Pozos en la Delegaci√≥n Iztapalapa"/>
    <s v="Mexico"/>
    <d v="2017-12-31T00:00:00"/>
    <d v="2017-12-31T00:00:00"/>
    <s v="MXN"/>
    <n v="44000000"/>
    <n v="15287212"/>
    <s v="MXN"/>
    <n v="15287212"/>
    <n v="794171"/>
    <b v="0"/>
    <n v="0.12"/>
  </r>
  <r>
    <b v="1"/>
    <x v="0"/>
    <x v="2"/>
    <x v="0"/>
    <x v="0"/>
    <x v="3"/>
    <x v="18"/>
    <s v="BBG00HSGX4Z3"/>
    <x v="5"/>
    <s v="cffe109b8d59400dbf3b62d9e36c0d76"/>
    <s v="GCDMXCB 17X"/>
    <x v="0"/>
    <x v="5"/>
    <s v="Low Carbon Buses"/>
    <s v="Construcci√≥n de la L√≠nea 7 del Metrob√∫s"/>
    <s v="Mexico"/>
    <d v="2017-12-31T00:00:00"/>
    <d v="2017-12-31T00:00:00"/>
    <s v="MXN"/>
    <n v="473979152"/>
    <n v="422773098"/>
    <s v="MXN"/>
    <n v="422773098"/>
    <n v="21963062"/>
    <b v="0"/>
    <n v="0.05"/>
  </r>
  <r>
    <b v="1"/>
    <x v="0"/>
    <x v="2"/>
    <x v="0"/>
    <x v="0"/>
    <x v="3"/>
    <x v="18"/>
    <s v="BBG00HSGX4Z3"/>
    <x v="5"/>
    <s v="cffe109b8d59400dbf3b62d9e36c0d76"/>
    <s v="GCDMXCB 17X"/>
    <x v="1"/>
    <x v="6"/>
    <s v="Vehicle infrastructure"/>
    <s v="Construcci√≥n de la L√≠nea 7 del Metrob√∫s"/>
    <s v="Mexico"/>
    <d v="2017-12-31T00:00:00"/>
    <d v="2017-12-31T00:00:00"/>
    <s v="MXN"/>
    <n v="473979152"/>
    <n v="422773098"/>
    <s v="MXN"/>
    <n v="422773098"/>
    <n v="21963062"/>
    <b v="0"/>
    <n v="0.05"/>
  </r>
  <r>
    <b v="1"/>
    <x v="0"/>
    <x v="2"/>
    <x v="0"/>
    <x v="0"/>
    <x v="3"/>
    <x v="18"/>
    <s v="BBG00HSGX4Z3"/>
    <x v="5"/>
    <s v="cffe109b8d59400dbf3b62d9e36c0d76"/>
    <s v="GCDMXCB 17X"/>
    <x v="0"/>
    <x v="2"/>
    <s v="Treatment"/>
    <s v="Planta de bombeo de agua potable Cherokes"/>
    <s v="Mexico"/>
    <d v="2017-12-31T00:00:00"/>
    <d v="2017-12-31T00:00:00"/>
    <s v="MXN"/>
    <n v="25828533"/>
    <n v="23745227"/>
    <s v="MXN"/>
    <n v="23745227"/>
    <n v="1233565"/>
    <b v="0"/>
    <n v="0.28000000000000003"/>
  </r>
  <r>
    <b v="1"/>
    <x v="0"/>
    <x v="2"/>
    <x v="0"/>
    <x v="0"/>
    <x v="3"/>
    <x v="18"/>
    <s v="BBG00HSGX4Z3"/>
    <x v="5"/>
    <s v="cffe109b8d59400dbf3b62d9e36c0d76"/>
    <s v="GCDMXCB 17X"/>
    <x v="1"/>
    <x v="3"/>
    <s v="Urban drainage"/>
    <s v="Planta de bombeo de agua potable Cherokes"/>
    <s v="Mexico"/>
    <d v="2017-12-31T00:00:00"/>
    <d v="2017-12-31T00:00:00"/>
    <s v="MXN"/>
    <n v="25828533"/>
    <n v="23745227"/>
    <s v="MXN"/>
    <n v="23745227"/>
    <n v="1233565"/>
    <b v="0"/>
    <n v="0.28000000000000003"/>
  </r>
  <r>
    <b v="1"/>
    <x v="0"/>
    <x v="2"/>
    <x v="0"/>
    <x v="0"/>
    <x v="3"/>
    <x v="18"/>
    <s v="BBG00HSGX4Z3"/>
    <x v="5"/>
    <s v="cffe109b8d59400dbf3b62d9e36c0d76"/>
    <s v="GCDMXCB 17X"/>
    <x v="0"/>
    <x v="2"/>
    <s v="Flood defence"/>
    <s v="Reposici√≥n del pozo Iztapalapa No. 6"/>
    <s v="Mexico"/>
    <d v="2017-12-31T00:00:00"/>
    <d v="2017-12-31T00:00:00"/>
    <s v="MXN"/>
    <n v="9350772"/>
    <n v="9012781"/>
    <s v="MXN"/>
    <n v="9012781"/>
    <n v="468214"/>
    <b v="0"/>
    <n v="0.23"/>
  </r>
  <r>
    <b v="1"/>
    <x v="0"/>
    <x v="2"/>
    <x v="0"/>
    <x v="0"/>
    <x v="3"/>
    <x v="18"/>
    <s v="BBG00HSGX4Z3"/>
    <x v="5"/>
    <s v="cffe109b8d59400dbf3b62d9e36c0d76"/>
    <s v="GCDMXCB 17X"/>
    <x v="1"/>
    <x v="3"/>
    <s v="Flooding mitigation"/>
    <s v="Reposici√≥n del pozo Iztapalapa No. 6"/>
    <s v="Mexico"/>
    <d v="2017-12-31T00:00:00"/>
    <d v="2017-12-31T00:00:00"/>
    <s v="MXN"/>
    <n v="9350772"/>
    <n v="9012781"/>
    <s v="MXN"/>
    <n v="9012781"/>
    <n v="468214"/>
    <b v="0"/>
    <n v="0.23"/>
  </r>
  <r>
    <b v="1"/>
    <x v="0"/>
    <x v="2"/>
    <x v="0"/>
    <x v="0"/>
    <x v="3"/>
    <x v="18"/>
    <s v="BBG00HSGX4Z3"/>
    <x v="5"/>
    <s v="cffe109b8d59400dbf3b62d9e36c0d76"/>
    <s v="GCDMXCB 17X"/>
    <x v="0"/>
    <x v="2"/>
    <s v="Treatment"/>
    <s v="Planta Potabilizadora Xotepingo 4.C, Delegaci√≥n Iztapalapa"/>
    <s v="Mexico"/>
    <d v="2017-12-31T00:00:00"/>
    <d v="2017-12-31T00:00:00"/>
    <s v="MXN"/>
    <n v="13508630"/>
    <n v="13508630"/>
    <s v="MXN"/>
    <n v="13508630"/>
    <n v="701773"/>
    <b v="0"/>
    <n v="0.19"/>
  </r>
  <r>
    <b v="1"/>
    <x v="0"/>
    <x v="2"/>
    <x v="0"/>
    <x v="0"/>
    <x v="3"/>
    <x v="18"/>
    <s v="BBG00HSGX4Z3"/>
    <x v="5"/>
    <s v="cffe109b8d59400dbf3b62d9e36c0d76"/>
    <s v="GCDMXCB 17X"/>
    <x v="1"/>
    <x v="3"/>
    <s v="Urban drainage"/>
    <s v="Planta Potabilizadora Xotepingo 4.C, Delegaci√≥n Iztapalapa"/>
    <s v="Mexico"/>
    <d v="2017-12-31T00:00:00"/>
    <d v="2017-12-31T00:00:00"/>
    <s v="MXN"/>
    <n v="13508630"/>
    <n v="13508630"/>
    <s v="MXN"/>
    <n v="13508630"/>
    <n v="701773"/>
    <b v="0"/>
    <n v="0.19"/>
  </r>
  <r>
    <b v="1"/>
    <x v="0"/>
    <x v="2"/>
    <x v="0"/>
    <x v="0"/>
    <x v="3"/>
    <x v="18"/>
    <s v="BBG00HSGX4Z3"/>
    <x v="5"/>
    <s v="cffe109b8d59400dbf3b62d9e36c0d76"/>
    <s v="GCDMXCB 17X"/>
    <x v="0"/>
    <x v="2"/>
    <s v="Treatment"/>
    <s v="Planta potabilizadora La Libertad"/>
    <s v="Mexico"/>
    <d v="2017-12-31T00:00:00"/>
    <d v="2017-12-31T00:00:00"/>
    <s v="MXN"/>
    <n v="17834454"/>
    <n v="17834454"/>
    <s v="MXN"/>
    <n v="17834454"/>
    <n v="926500"/>
    <b v="0"/>
    <n v="0.22"/>
  </r>
  <r>
    <b v="1"/>
    <x v="0"/>
    <x v="2"/>
    <x v="0"/>
    <x v="0"/>
    <x v="3"/>
    <x v="18"/>
    <s v="BBG00HSGX4Z3"/>
    <x v="5"/>
    <s v="cffe109b8d59400dbf3b62d9e36c0d76"/>
    <s v="GCDMXCB 17X"/>
    <x v="1"/>
    <x v="3"/>
    <s v="Urban drainage"/>
    <s v="Planta potabilizadora La Libertad"/>
    <s v="Mexico"/>
    <d v="2017-12-31T00:00:00"/>
    <d v="2017-12-31T00:00:00"/>
    <s v="MXN"/>
    <n v="17834454"/>
    <n v="17834454"/>
    <s v="MXN"/>
    <n v="17834454"/>
    <n v="926500"/>
    <b v="0"/>
    <n v="0.22"/>
  </r>
  <r>
    <b v="1"/>
    <x v="0"/>
    <x v="2"/>
    <x v="0"/>
    <x v="0"/>
    <x v="3"/>
    <x v="18"/>
    <s v="BBG00HSGX4Z3"/>
    <x v="5"/>
    <s v="cffe109b8d59400dbf3b62d9e36c0d76"/>
    <s v="GCDMXCB 17X"/>
    <x v="0"/>
    <x v="2"/>
    <s v="Treatment"/>
    <s v="Planta de bombeo de agua potable Las Pe√±as en la Delegaci√≥n Iztapalapa"/>
    <s v="Mexico"/>
    <d v="2017-12-31T00:00:00"/>
    <d v="2017-12-31T00:00:00"/>
    <s v="MXN"/>
    <n v="14103024"/>
    <n v="14103024"/>
    <s v="MXN"/>
    <n v="14103024"/>
    <n v="732652"/>
    <b v="0"/>
    <n v="0.38"/>
  </r>
  <r>
    <b v="1"/>
    <x v="0"/>
    <x v="2"/>
    <x v="0"/>
    <x v="0"/>
    <x v="3"/>
    <x v="18"/>
    <s v="BBG00HSGX4Z3"/>
    <x v="5"/>
    <s v="cffe109b8d59400dbf3b62d9e36c0d76"/>
    <s v="GCDMXCB 17X"/>
    <x v="1"/>
    <x v="3"/>
    <s v="Urban drainage"/>
    <s v="Planta de bombeo de agua potable Las Pe√±as en la Delegaci√≥n Iztapalapa"/>
    <s v="Mexico"/>
    <d v="2017-12-31T00:00:00"/>
    <d v="2017-12-31T00:00:00"/>
    <s v="MXN"/>
    <n v="14103024"/>
    <n v="14103024"/>
    <s v="MXN"/>
    <n v="14103024"/>
    <n v="732652"/>
    <b v="0"/>
    <n v="0.38"/>
  </r>
  <r>
    <b v="1"/>
    <x v="0"/>
    <x v="2"/>
    <x v="0"/>
    <x v="0"/>
    <x v="3"/>
    <x v="18"/>
    <s v="BBG00HSGX4Z3"/>
    <x v="5"/>
    <s v="cffe109b8d59400dbf3b62d9e36c0d76"/>
    <s v="GCDMXCB 17X"/>
    <x v="0"/>
    <x v="2"/>
    <s v="Flood defence"/>
    <s v="Sustituci√≥n de atarjeas en varias Delegaciones"/>
    <s v="Mexico"/>
    <d v="2017-12-31T00:00:00"/>
    <d v="2017-12-31T00:00:00"/>
    <s v="MXN"/>
    <n v="15876126"/>
    <n v="15876126"/>
    <s v="MXN"/>
    <n v="15876126"/>
    <n v="824765"/>
    <b v="0"/>
    <n v="0.26"/>
  </r>
  <r>
    <b v="1"/>
    <x v="0"/>
    <x v="2"/>
    <x v="0"/>
    <x v="0"/>
    <x v="3"/>
    <x v="18"/>
    <s v="BBG00HSGX4Z3"/>
    <x v="5"/>
    <s v="cffe109b8d59400dbf3b62d9e36c0d76"/>
    <s v="GCDMXCB 17X"/>
    <x v="1"/>
    <x v="3"/>
    <s v="Flooding mitigation"/>
    <s v="Sustituci√≥n de atarjeas en varias Delegaciones"/>
    <s v="Mexico"/>
    <d v="2017-12-31T00:00:00"/>
    <d v="2017-12-31T00:00:00"/>
    <s v="MXN"/>
    <n v="15876126"/>
    <n v="15876126"/>
    <s v="MXN"/>
    <n v="15876126"/>
    <n v="824765"/>
    <b v="0"/>
    <n v="0.26"/>
  </r>
  <r>
    <b v="1"/>
    <x v="0"/>
    <x v="2"/>
    <x v="0"/>
    <x v="0"/>
    <x v="3"/>
    <x v="18"/>
    <s v="BBG00HSGX4Z3"/>
    <x v="5"/>
    <s v="cffe109b8d59400dbf3b62d9e36c0d76"/>
    <s v="GCDMXCB 17X"/>
    <x v="0"/>
    <x v="5"/>
    <s v="Low Carbon Buses"/>
    <s v="Metrob√∫s L√≠nea 5 - 17"/>
    <s v="Mexico"/>
    <d v="2017-12-31T00:00:00"/>
    <d v="2017-12-31T00:00:00"/>
    <s v="MXN"/>
    <n v="255174744"/>
    <n v="389279998"/>
    <s v="MXN"/>
    <n v="389279998"/>
    <n v="20223096"/>
    <b v="1"/>
    <n v="0.24"/>
  </r>
  <r>
    <b v="1"/>
    <x v="0"/>
    <x v="2"/>
    <x v="0"/>
    <x v="0"/>
    <x v="3"/>
    <x v="18"/>
    <s v="BBG00HSGX4Z3"/>
    <x v="5"/>
    <s v="cffe109b8d59400dbf3b62d9e36c0d76"/>
    <s v="GCDMXCB 17X"/>
    <x v="1"/>
    <x v="6"/>
    <s v="Vehicle infrastructure"/>
    <s v="Metrob√∫s L√≠nea 5 - 17"/>
    <s v="Mexico"/>
    <d v="2017-12-31T00:00:00"/>
    <d v="2017-12-31T00:00:00"/>
    <s v="MXN"/>
    <n v="255174744"/>
    <n v="389279998"/>
    <s v="MXN"/>
    <n v="389279998"/>
    <n v="20223096"/>
    <b v="1"/>
    <n v="0.24"/>
  </r>
  <r>
    <b v="1"/>
    <x v="0"/>
    <x v="2"/>
    <x v="0"/>
    <x v="0"/>
    <x v="3"/>
    <x v="18"/>
    <s v="BBG00HSGX4Z3"/>
    <x v="5"/>
    <s v="cffe109b8d59400dbf3b62d9e36c0d76"/>
    <s v="GCDMXCB 17X"/>
    <x v="0"/>
    <x v="5"/>
    <s v="Low Carbon Buses"/>
    <s v="L√≠nea 6 del Metrob√∫s"/>
    <s v="Mexico"/>
    <d v="2017-12-31T00:00:00"/>
    <d v="2017-12-31T00:00:00"/>
    <s v="MXN"/>
    <n v="197397542"/>
    <n v="92454000"/>
    <s v="MXN"/>
    <n v="92454000"/>
    <n v="4802985"/>
    <b v="1"/>
    <n v="0.03"/>
  </r>
  <r>
    <b v="1"/>
    <x v="0"/>
    <x v="2"/>
    <x v="0"/>
    <x v="0"/>
    <x v="3"/>
    <x v="18"/>
    <s v="BBG00HSGX4Z3"/>
    <x v="5"/>
    <s v="cffe109b8d59400dbf3b62d9e36c0d76"/>
    <s v="GCDMXCB 17X"/>
    <x v="1"/>
    <x v="6"/>
    <s v="Vehicle infrastructure"/>
    <s v="L√≠nea 6 del Metrob√∫s"/>
    <s v="Mexico"/>
    <d v="2017-12-31T00:00:00"/>
    <d v="2017-12-31T00:00:00"/>
    <s v="MXN"/>
    <n v="197397542"/>
    <n v="92454000"/>
    <s v="MXN"/>
    <n v="92454000"/>
    <n v="4802985"/>
    <b v="1"/>
    <n v="0.03"/>
  </r>
  <r>
    <b v="1"/>
    <x v="0"/>
    <x v="0"/>
    <x v="1"/>
    <x v="0"/>
    <x v="1"/>
    <x v="20"/>
    <n v="0"/>
    <x v="0"/>
    <s v="ee7a68239dbe4664adad596c19403c93"/>
    <s v="Suzano Papel e Celulose Green Bond 2026"/>
    <x v="0"/>
    <x v="7"/>
    <s v="Products &amp; Systems for Efficiency"/>
    <s v="Debottlenecking and modernization of Imperatriz Unit"/>
    <s v="Brazil"/>
    <d v="2019-12-01T00:00:00"/>
    <d v="2019-12-01T00:00:00"/>
    <s v="BRL"/>
    <n v="9085926"/>
    <n v="9085926"/>
    <s v="USD"/>
    <n v="2804298.15"/>
    <n v="2804298"/>
    <b v="0"/>
    <n v="1"/>
  </r>
  <r>
    <b v="1"/>
    <x v="0"/>
    <x v="0"/>
    <x v="1"/>
    <x v="0"/>
    <x v="1"/>
    <x v="20"/>
    <n v="0"/>
    <x v="0"/>
    <s v="ee7a68239dbe4664adad596c19403c93"/>
    <s v="Suzano Papel e Celulose Green Bond 2026"/>
    <x v="0"/>
    <x v="7"/>
    <s v="Products &amp; Systems for Efficiency"/>
    <s v="Debottlenecking and modernization of Imperatriz Unit"/>
    <s v="Brazil"/>
    <d v="2017-12-01T00:00:00"/>
    <d v="2017-12-01T00:00:00"/>
    <s v="BRL"/>
    <n v="87398704"/>
    <n v="87398704"/>
    <s v="USD"/>
    <n v="27049210.489999998"/>
    <n v="27049210"/>
    <b v="0"/>
    <n v="1"/>
  </r>
  <r>
    <b v="1"/>
    <x v="0"/>
    <x v="0"/>
    <x v="1"/>
    <x v="0"/>
    <x v="1"/>
    <x v="20"/>
    <n v="0"/>
    <x v="0"/>
    <s v="ee7a68239dbe4664adad596c19403c93"/>
    <s v="Suzano Papel e Celulose Green Bond 2026"/>
    <x v="0"/>
    <x v="7"/>
    <s v="Products &amp; Systems for Efficiency"/>
    <s v="Debottlenecking and modernization of Imperatriz Unit"/>
    <s v="Brazil"/>
    <d v="2016-12-01T00:00:00"/>
    <d v="2016-12-01T00:00:00"/>
    <s v="BRL"/>
    <n v="39303000"/>
    <n v="39303000"/>
    <s v="USD"/>
    <n v="12163968.93"/>
    <n v="12163968"/>
    <b v="0"/>
    <n v="1"/>
  </r>
  <r>
    <b v="1"/>
    <x v="0"/>
    <x v="0"/>
    <x v="1"/>
    <x v="0"/>
    <x v="1"/>
    <x v="20"/>
    <n v="0"/>
    <x v="0"/>
    <s v="ee7a68239dbe4664adad596c19403c93"/>
    <s v="Suzano Papel e Celulose Green Bond 2026"/>
    <x v="1"/>
    <x v="16"/>
    <s v="Products"/>
    <s v="Debottlenecking and modernization of Imperatriz Unit"/>
    <s v="Brazil"/>
    <d v="2019-12-01T00:00:00"/>
    <d v="2019-12-01T00:00:00"/>
    <s v="BRL"/>
    <n v="9085926"/>
    <n v="9085926"/>
    <s v="USD"/>
    <n v="2804298.15"/>
    <n v="2804298"/>
    <b v="0"/>
    <n v="1"/>
  </r>
  <r>
    <b v="1"/>
    <x v="0"/>
    <x v="0"/>
    <x v="1"/>
    <x v="0"/>
    <x v="1"/>
    <x v="20"/>
    <n v="0"/>
    <x v="0"/>
    <s v="ee7a68239dbe4664adad596c19403c93"/>
    <s v="Suzano Papel e Celulose Green Bond 2026"/>
    <x v="1"/>
    <x v="16"/>
    <s v="Products"/>
    <s v="Debottlenecking and modernization of Imperatriz Unit"/>
    <s v="Brazil"/>
    <d v="2017-12-01T00:00:00"/>
    <d v="2017-12-01T00:00:00"/>
    <s v="BRL"/>
    <n v="87398704"/>
    <n v="87398704"/>
    <s v="USD"/>
    <n v="27049210.489999998"/>
    <n v="27049210"/>
    <b v="0"/>
    <n v="1"/>
  </r>
  <r>
    <b v="1"/>
    <x v="0"/>
    <x v="0"/>
    <x v="1"/>
    <x v="0"/>
    <x v="1"/>
    <x v="20"/>
    <n v="0"/>
    <x v="0"/>
    <s v="ee7a68239dbe4664adad596c19403c93"/>
    <s v="Suzano Papel e Celulose Green Bond 2026"/>
    <x v="1"/>
    <x v="16"/>
    <s v="Products"/>
    <s v="Debottlenecking and modernization of Imperatriz Unit"/>
    <s v="Brazil"/>
    <d v="2016-12-01T00:00:00"/>
    <d v="2016-12-01T00:00:00"/>
    <s v="BRL"/>
    <n v="39303000"/>
    <n v="39303000"/>
    <s v="USD"/>
    <n v="12163968.93"/>
    <n v="12163968"/>
    <b v="0"/>
    <n v="1"/>
  </r>
  <r>
    <b v="1"/>
    <x v="0"/>
    <x v="0"/>
    <x v="1"/>
    <x v="0"/>
    <x v="1"/>
    <x v="20"/>
    <n v="0"/>
    <x v="0"/>
    <s v="ee7a68239dbe4664adad596c19403c93"/>
    <s v="Suzano Papel e Celulose Green Bond 2026"/>
    <x v="0"/>
    <x v="2"/>
    <s v="Treatment"/>
    <s v="Imperatriz wastewater treatment"/>
    <s v="Brazil"/>
    <d v="2017-03-01T00:00:00"/>
    <d v="2017-03-01T00:00:00"/>
    <s v="BRL"/>
    <n v="7706"/>
    <n v="7706"/>
    <s v="USD"/>
    <n v="2384.9499999999998"/>
    <n v="2384"/>
    <b v="0"/>
    <n v="1"/>
  </r>
  <r>
    <b v="1"/>
    <x v="0"/>
    <x v="0"/>
    <x v="1"/>
    <x v="0"/>
    <x v="1"/>
    <x v="20"/>
    <n v="0"/>
    <x v="0"/>
    <s v="ee7a68239dbe4664adad596c19403c93"/>
    <s v="Suzano Papel e Celulose Green Bond 2026"/>
    <x v="0"/>
    <x v="2"/>
    <s v="Treatment"/>
    <s v="Imperatriz wastewater treatment"/>
    <s v="Brazil"/>
    <d v="2016-12-01T00:00:00"/>
    <d v="2016-12-01T00:00:00"/>
    <s v="BRL"/>
    <n v="2676000"/>
    <n v="2676000"/>
    <s v="USD"/>
    <n v="828200.92"/>
    <n v="828200"/>
    <b v="0"/>
    <n v="1"/>
  </r>
  <r>
    <b v="1"/>
    <x v="0"/>
    <x v="0"/>
    <x v="1"/>
    <x v="0"/>
    <x v="1"/>
    <x v="20"/>
    <n v="0"/>
    <x v="0"/>
    <s v="ee7a68239dbe4664adad596c19403c93"/>
    <s v="Suzano Papel e Celulose Green Bond 2026"/>
    <x v="1"/>
    <x v="3"/>
    <s v="Wastewater treatment"/>
    <s v="Imperatriz wastewater treatment"/>
    <s v="Brazil"/>
    <d v="2017-03-01T00:00:00"/>
    <d v="2017-03-01T00:00:00"/>
    <s v="BRL"/>
    <n v="7706"/>
    <n v="7706"/>
    <s v="USD"/>
    <n v="2384.9499999999998"/>
    <n v="2384"/>
    <b v="0"/>
    <n v="1"/>
  </r>
  <r>
    <b v="1"/>
    <x v="0"/>
    <x v="0"/>
    <x v="1"/>
    <x v="0"/>
    <x v="1"/>
    <x v="20"/>
    <n v="0"/>
    <x v="0"/>
    <s v="ee7a68239dbe4664adad596c19403c93"/>
    <s v="Suzano Papel e Celulose Green Bond 2026"/>
    <x v="1"/>
    <x v="3"/>
    <s v="Wastewater treatment"/>
    <s v="Imperatriz wastewater treatment"/>
    <s v="Brazil"/>
    <d v="2016-12-01T00:00:00"/>
    <d v="2016-12-01T00:00:00"/>
    <s v="BRL"/>
    <n v="2676000"/>
    <n v="2676000"/>
    <s v="USD"/>
    <n v="828200.92"/>
    <n v="828200"/>
    <b v="0"/>
    <n v="1"/>
  </r>
  <r>
    <b v="1"/>
    <x v="0"/>
    <x v="0"/>
    <x v="1"/>
    <x v="0"/>
    <x v="1"/>
    <x v="20"/>
    <n v="0"/>
    <x v="0"/>
    <s v="ee7a68239dbe4664adad596c19403c93"/>
    <s v="Suzano Papel e Celulose Green Bond 2026"/>
    <x v="0"/>
    <x v="2"/>
    <s v="Treatment"/>
    <s v="Mucuri wastewater treatment"/>
    <s v="Brazil"/>
    <d v="2019-12-01T00:00:00"/>
    <d v="2019-12-01T00:00:00"/>
    <s v="BRL"/>
    <n v="1150179"/>
    <n v="1150179"/>
    <s v="USD"/>
    <n v="354993.52"/>
    <n v="354993"/>
    <b v="0"/>
    <n v="1"/>
  </r>
  <r>
    <b v="1"/>
    <x v="0"/>
    <x v="0"/>
    <x v="1"/>
    <x v="0"/>
    <x v="1"/>
    <x v="20"/>
    <n v="0"/>
    <x v="0"/>
    <s v="ee7a68239dbe4664adad596c19403c93"/>
    <s v="Suzano Papel e Celulose Green Bond 2026"/>
    <x v="0"/>
    <x v="2"/>
    <s v="Treatment"/>
    <s v="Mucuri wastewater treatment"/>
    <s v="Brazil"/>
    <d v="2017-03-01T00:00:00"/>
    <d v="2017-03-01T00:00:00"/>
    <s v="BRL"/>
    <n v="43949801"/>
    <n v="43949801"/>
    <s v="USD"/>
    <n v="13602117.24"/>
    <n v="13602117"/>
    <b v="0"/>
    <n v="1"/>
  </r>
  <r>
    <b v="1"/>
    <x v="0"/>
    <x v="0"/>
    <x v="1"/>
    <x v="0"/>
    <x v="1"/>
    <x v="20"/>
    <n v="0"/>
    <x v="0"/>
    <s v="ee7a68239dbe4664adad596c19403c93"/>
    <s v="Suzano Papel e Celulose Green Bond 2026"/>
    <x v="0"/>
    <x v="2"/>
    <s v="Treatment"/>
    <s v="Mucuri wastewater treatment"/>
    <s v="Brazil"/>
    <d v="2016-12-01T00:00:00"/>
    <d v="2016-12-01T00:00:00"/>
    <s v="BRL"/>
    <n v="23383000"/>
    <n v="23383000"/>
    <s v="USD"/>
    <n v="7236854.3200000003"/>
    <n v="7236854"/>
    <b v="0"/>
    <n v="1"/>
  </r>
  <r>
    <b v="1"/>
    <x v="0"/>
    <x v="0"/>
    <x v="1"/>
    <x v="0"/>
    <x v="1"/>
    <x v="20"/>
    <n v="0"/>
    <x v="0"/>
    <s v="ee7a68239dbe4664adad596c19403c93"/>
    <s v="Suzano Papel e Celulose Green Bond 2026"/>
    <x v="0"/>
    <x v="2"/>
    <s v="Treatment"/>
    <s v="Mucuri wastewater treatment"/>
    <s v="Brazil"/>
    <d v="2015-12-01T00:00:00"/>
    <d v="2015-12-01T00:00:00"/>
    <s v="BRL"/>
    <n v="575000"/>
    <n v="575000"/>
    <s v="USD"/>
    <n v="177957.97"/>
    <n v="177957"/>
    <b v="0"/>
    <n v="1"/>
  </r>
  <r>
    <b v="1"/>
    <x v="0"/>
    <x v="0"/>
    <x v="1"/>
    <x v="0"/>
    <x v="1"/>
    <x v="20"/>
    <n v="0"/>
    <x v="0"/>
    <s v="ee7a68239dbe4664adad596c19403c93"/>
    <s v="Suzano Papel e Celulose Green Bond 2026"/>
    <x v="1"/>
    <x v="3"/>
    <s v="Wastewater treatment"/>
    <s v="Mucuri wastewater treatment"/>
    <s v="Brazil"/>
    <d v="2019-12-01T00:00:00"/>
    <d v="2019-12-01T00:00:00"/>
    <s v="BRL"/>
    <n v="1150179"/>
    <n v="1150179"/>
    <s v="USD"/>
    <n v="354993.52"/>
    <n v="354993"/>
    <b v="0"/>
    <n v="1"/>
  </r>
  <r>
    <b v="1"/>
    <x v="0"/>
    <x v="0"/>
    <x v="1"/>
    <x v="0"/>
    <x v="1"/>
    <x v="20"/>
    <n v="0"/>
    <x v="0"/>
    <s v="ee7a68239dbe4664adad596c19403c93"/>
    <s v="Suzano Papel e Celulose Green Bond 2026"/>
    <x v="1"/>
    <x v="3"/>
    <s v="Wastewater treatment"/>
    <s v="Mucuri wastewater treatment"/>
    <s v="Brazil"/>
    <d v="2017-03-01T00:00:00"/>
    <d v="2017-03-01T00:00:00"/>
    <s v="BRL"/>
    <n v="43949801"/>
    <n v="43949801"/>
    <s v="USD"/>
    <n v="13602117.24"/>
    <n v="13602117"/>
    <b v="0"/>
    <n v="1"/>
  </r>
  <r>
    <b v="1"/>
    <x v="0"/>
    <x v="0"/>
    <x v="1"/>
    <x v="0"/>
    <x v="1"/>
    <x v="20"/>
    <n v="0"/>
    <x v="0"/>
    <s v="ee7a68239dbe4664adad596c19403c93"/>
    <s v="Suzano Papel e Celulose Green Bond 2026"/>
    <x v="1"/>
    <x v="3"/>
    <s v="Wastewater treatment"/>
    <s v="Mucuri wastewater treatment"/>
    <s v="Brazil"/>
    <d v="2016-12-01T00:00:00"/>
    <d v="2016-12-01T00:00:00"/>
    <s v="BRL"/>
    <n v="23383000"/>
    <n v="23383000"/>
    <s v="USD"/>
    <n v="7236854.3200000003"/>
    <n v="7236854"/>
    <b v="0"/>
    <n v="1"/>
  </r>
  <r>
    <b v="1"/>
    <x v="0"/>
    <x v="0"/>
    <x v="1"/>
    <x v="0"/>
    <x v="1"/>
    <x v="20"/>
    <n v="0"/>
    <x v="0"/>
    <s v="ee7a68239dbe4664adad596c19403c93"/>
    <s v="Suzano Papel e Celulose Green Bond 2026"/>
    <x v="1"/>
    <x v="3"/>
    <s v="Wastewater treatment"/>
    <s v="Mucuri wastewater treatment"/>
    <s v="Brazil"/>
    <d v="2015-12-01T00:00:00"/>
    <d v="2015-12-01T00:00:00"/>
    <s v="BRL"/>
    <n v="575000"/>
    <n v="575000"/>
    <s v="USD"/>
    <n v="177957.97"/>
    <n v="177957"/>
    <b v="0"/>
    <n v="1"/>
  </r>
  <r>
    <b v="1"/>
    <x v="0"/>
    <x v="0"/>
    <x v="1"/>
    <x v="0"/>
    <x v="1"/>
    <x v="20"/>
    <n v="0"/>
    <x v="0"/>
    <s v="ee7a68239dbe4664adad596c19403c93"/>
    <s v="Suzano Papel e Celulose Green Bond 2026"/>
    <x v="0"/>
    <x v="2"/>
    <s v="Treatment"/>
    <s v="Limeira wastewater treatment"/>
    <s v="Brazil"/>
    <d v="2017-12-01T00:00:00"/>
    <d v="2017-12-01T00:00:00"/>
    <s v="BRL"/>
    <n v="71404"/>
    <n v="71404"/>
    <s v="USD"/>
    <n v="22098.98"/>
    <n v="22098"/>
    <b v="0"/>
    <n v="1"/>
  </r>
  <r>
    <b v="1"/>
    <x v="0"/>
    <x v="0"/>
    <x v="1"/>
    <x v="0"/>
    <x v="1"/>
    <x v="20"/>
    <n v="0"/>
    <x v="0"/>
    <s v="ee7a68239dbe4664adad596c19403c93"/>
    <s v="Suzano Papel e Celulose Green Bond 2026"/>
    <x v="0"/>
    <x v="2"/>
    <s v="Treatment"/>
    <s v="Limeira wastewater treatment"/>
    <s v="Brazil"/>
    <d v="2016-12-01T00:00:00"/>
    <d v="2016-12-01T00:00:00"/>
    <s v="BRL"/>
    <n v="1358000"/>
    <n v="1358000"/>
    <s v="USD"/>
    <n v="420290.3"/>
    <n v="420290"/>
    <b v="0"/>
    <n v="1"/>
  </r>
  <r>
    <b v="1"/>
    <x v="0"/>
    <x v="0"/>
    <x v="1"/>
    <x v="0"/>
    <x v="1"/>
    <x v="20"/>
    <n v="0"/>
    <x v="0"/>
    <s v="ee7a68239dbe4664adad596c19403c93"/>
    <s v="Suzano Papel e Celulose Green Bond 2026"/>
    <x v="1"/>
    <x v="3"/>
    <s v="Wastewater treatment"/>
    <s v="Limeira wastewater treatment"/>
    <s v="Brazil"/>
    <d v="2017-12-01T00:00:00"/>
    <d v="2017-12-01T00:00:00"/>
    <s v="BRL"/>
    <n v="71404"/>
    <n v="71404"/>
    <s v="USD"/>
    <n v="22098.98"/>
    <n v="22098"/>
    <b v="0"/>
    <n v="1"/>
  </r>
  <r>
    <b v="1"/>
    <x v="0"/>
    <x v="0"/>
    <x v="1"/>
    <x v="0"/>
    <x v="1"/>
    <x v="20"/>
    <n v="0"/>
    <x v="0"/>
    <s v="ee7a68239dbe4664adad596c19403c93"/>
    <s v="Suzano Papel e Celulose Green Bond 2026"/>
    <x v="1"/>
    <x v="3"/>
    <s v="Wastewater treatment"/>
    <s v="Limeira wastewater treatment"/>
    <s v="Brazil"/>
    <d v="2016-12-01T00:00:00"/>
    <d v="2016-12-01T00:00:00"/>
    <s v="BRL"/>
    <n v="1358000"/>
    <n v="1358000"/>
    <s v="USD"/>
    <n v="420290.3"/>
    <n v="420290"/>
    <b v="0"/>
    <n v="1"/>
  </r>
  <r>
    <b v="1"/>
    <x v="0"/>
    <x v="0"/>
    <x v="1"/>
    <x v="0"/>
    <x v="1"/>
    <x v="20"/>
    <n v="0"/>
    <x v="0"/>
    <s v="ee7a68239dbe4664adad596c19403c93"/>
    <s v="Suzano Papel e Celulose Green Bond 2026"/>
    <x v="0"/>
    <x v="10"/>
    <s v="Ecosystem Conservation &amp; Restoration"/>
    <s v="Forest recovery"/>
    <s v="Brazil"/>
    <d v="2017-12-01T00:00:00"/>
    <d v="2017-12-01T00:00:00"/>
    <s v="BRL"/>
    <n v="4356311"/>
    <n v="4356311"/>
    <s v="USD"/>
    <n v="1348243.94"/>
    <n v="1348243"/>
    <b v="0"/>
    <n v="1"/>
  </r>
  <r>
    <b v="1"/>
    <x v="0"/>
    <x v="0"/>
    <x v="1"/>
    <x v="0"/>
    <x v="1"/>
    <x v="20"/>
    <n v="0"/>
    <x v="0"/>
    <s v="ee7a68239dbe4664adad596c19403c93"/>
    <s v="Suzano Papel e Celulose Green Bond 2026"/>
    <x v="0"/>
    <x v="10"/>
    <s v="Ecosystem Conservation &amp; Restoration"/>
    <s v="Forest recovery"/>
    <s v="Brazil"/>
    <d v="2016-12-01T00:00:00"/>
    <d v="2016-12-01T00:00:00"/>
    <s v="BRL"/>
    <n v="2660000"/>
    <n v="2660000"/>
    <s v="USD"/>
    <n v="823249.05"/>
    <n v="823249"/>
    <b v="0"/>
    <n v="1"/>
  </r>
  <r>
    <b v="1"/>
    <x v="0"/>
    <x v="0"/>
    <x v="1"/>
    <x v="0"/>
    <x v="1"/>
    <x v="20"/>
    <n v="0"/>
    <x v="0"/>
    <s v="ee7a68239dbe4664adad596c19403c93"/>
    <s v="Suzano Papel e Celulose Green Bond 2026"/>
    <x v="0"/>
    <x v="10"/>
    <s v="Ecosystem Conservation &amp; Restoration"/>
    <s v="Forest recovery"/>
    <s v="Brazil"/>
    <d v="2015-12-01T00:00:00"/>
    <d v="2015-12-01T00:00:00"/>
    <s v="BRL"/>
    <n v="883000"/>
    <n v="883000"/>
    <s v="USD"/>
    <n v="273281.53999999998"/>
    <n v="273281"/>
    <b v="0"/>
    <n v="1"/>
  </r>
  <r>
    <b v="1"/>
    <x v="0"/>
    <x v="0"/>
    <x v="1"/>
    <x v="0"/>
    <x v="1"/>
    <x v="20"/>
    <n v="0"/>
    <x v="0"/>
    <s v="ee7a68239dbe4664adad596c19403c93"/>
    <s v="Suzano Papel e Celulose Green Bond 2026"/>
    <x v="1"/>
    <x v="11"/>
    <s v="Natural landscapes"/>
    <s v="Forest recovery"/>
    <s v="Brazil"/>
    <d v="2017-12-01T00:00:00"/>
    <d v="2017-12-01T00:00:00"/>
    <s v="BRL"/>
    <n v="4356311"/>
    <n v="4356311"/>
    <s v="USD"/>
    <n v="1348243.94"/>
    <n v="1348243"/>
    <b v="0"/>
    <n v="1"/>
  </r>
  <r>
    <b v="1"/>
    <x v="0"/>
    <x v="0"/>
    <x v="1"/>
    <x v="0"/>
    <x v="1"/>
    <x v="20"/>
    <n v="0"/>
    <x v="0"/>
    <s v="ee7a68239dbe4664adad596c19403c93"/>
    <s v="Suzano Papel e Celulose Green Bond 2026"/>
    <x v="1"/>
    <x v="11"/>
    <s v="Natural landscapes"/>
    <s v="Forest recovery"/>
    <s v="Brazil"/>
    <d v="2016-12-01T00:00:00"/>
    <d v="2016-12-01T00:00:00"/>
    <s v="BRL"/>
    <n v="2660000"/>
    <n v="2660000"/>
    <s v="USD"/>
    <n v="823249.05"/>
    <n v="823249"/>
    <b v="0"/>
    <n v="1"/>
  </r>
  <r>
    <b v="1"/>
    <x v="0"/>
    <x v="0"/>
    <x v="1"/>
    <x v="0"/>
    <x v="1"/>
    <x v="20"/>
    <n v="0"/>
    <x v="0"/>
    <s v="ee7a68239dbe4664adad596c19403c93"/>
    <s v="Suzano Papel e Celulose Green Bond 2026"/>
    <x v="1"/>
    <x v="11"/>
    <s v="Natural landscapes"/>
    <s v="Forest recovery"/>
    <s v="Brazil"/>
    <d v="2015-12-01T00:00:00"/>
    <d v="2015-12-01T00:00:00"/>
    <s v="BRL"/>
    <n v="883000"/>
    <n v="883000"/>
    <s v="USD"/>
    <n v="273281.53999999998"/>
    <n v="273281"/>
    <b v="0"/>
    <n v="1"/>
  </r>
  <r>
    <b v="1"/>
    <x v="0"/>
    <x v="0"/>
    <x v="1"/>
    <x v="0"/>
    <x v="1"/>
    <x v="20"/>
    <n v="0"/>
    <x v="0"/>
    <s v="ee7a68239dbe4664adad596c19403c93"/>
    <s v="Suzano Papel e Celulose Green Bond 2026"/>
    <x v="0"/>
    <x v="10"/>
    <s v="Ecosystem Conservation &amp; Restoration"/>
    <s v="Preserving biodiversity"/>
    <s v="Brazil"/>
    <d v="2017-12-01T00:00:00"/>
    <d v="2017-12-01T00:00:00"/>
    <s v="BRL"/>
    <n v="2473285"/>
    <n v="2473285"/>
    <s v="USD"/>
    <n v="765462.23"/>
    <n v="765462"/>
    <b v="0"/>
    <n v="1"/>
  </r>
  <r>
    <b v="1"/>
    <x v="0"/>
    <x v="0"/>
    <x v="1"/>
    <x v="0"/>
    <x v="1"/>
    <x v="20"/>
    <n v="0"/>
    <x v="0"/>
    <s v="ee7a68239dbe4664adad596c19403c93"/>
    <s v="Suzano Papel e Celulose Green Bond 2026"/>
    <x v="0"/>
    <x v="10"/>
    <s v="Ecosystem Conservation &amp; Restoration"/>
    <s v="Preserving biodiversity"/>
    <s v="Brazil"/>
    <d v="2016-12-01T00:00:00"/>
    <d v="2016-12-01T00:00:00"/>
    <s v="BRL"/>
    <n v="4790000"/>
    <n v="4790000"/>
    <s v="USD"/>
    <n v="1482467.27"/>
    <n v="1482467"/>
    <b v="0"/>
    <n v="1"/>
  </r>
  <r>
    <b v="1"/>
    <x v="0"/>
    <x v="0"/>
    <x v="1"/>
    <x v="0"/>
    <x v="1"/>
    <x v="20"/>
    <n v="0"/>
    <x v="0"/>
    <s v="ee7a68239dbe4664adad596c19403c93"/>
    <s v="Suzano Papel e Celulose Green Bond 2026"/>
    <x v="0"/>
    <x v="10"/>
    <s v="Ecosystem Conservation &amp; Restoration"/>
    <s v="Preserving biodiversity"/>
    <s v="Brazil"/>
    <d v="2015-12-01T00:00:00"/>
    <d v="2015-12-01T00:00:00"/>
    <s v="BRL"/>
    <n v="5321000"/>
    <n v="5321000"/>
    <s v="USD"/>
    <n v="1646807.59"/>
    <n v="1646807"/>
    <b v="0"/>
    <n v="1"/>
  </r>
  <r>
    <b v="1"/>
    <x v="0"/>
    <x v="0"/>
    <x v="1"/>
    <x v="0"/>
    <x v="1"/>
    <x v="20"/>
    <n v="0"/>
    <x v="0"/>
    <s v="ee7a68239dbe4664adad596c19403c93"/>
    <s v="Suzano Papel e Celulose Green Bond 2026"/>
    <x v="1"/>
    <x v="11"/>
    <s v="Natural landscapes"/>
    <s v="Preserving biodiversity"/>
    <s v="Brazil"/>
    <d v="2017-12-01T00:00:00"/>
    <d v="2017-12-01T00:00:00"/>
    <s v="BRL"/>
    <n v="2473285"/>
    <n v="2473285"/>
    <s v="USD"/>
    <n v="765462.23"/>
    <n v="765462"/>
    <b v="0"/>
    <n v="1"/>
  </r>
  <r>
    <b v="1"/>
    <x v="0"/>
    <x v="0"/>
    <x v="1"/>
    <x v="0"/>
    <x v="1"/>
    <x v="20"/>
    <n v="0"/>
    <x v="0"/>
    <s v="ee7a68239dbe4664adad596c19403c93"/>
    <s v="Suzano Papel e Celulose Green Bond 2026"/>
    <x v="1"/>
    <x v="11"/>
    <s v="Natural landscapes"/>
    <s v="Preserving biodiversity"/>
    <s v="Brazil"/>
    <d v="2016-12-01T00:00:00"/>
    <d v="2016-12-01T00:00:00"/>
    <s v="BRL"/>
    <n v="4790000"/>
    <n v="4790000"/>
    <s v="USD"/>
    <n v="1482467.27"/>
    <n v="1482467"/>
    <b v="0"/>
    <n v="1"/>
  </r>
  <r>
    <b v="1"/>
    <x v="0"/>
    <x v="0"/>
    <x v="1"/>
    <x v="0"/>
    <x v="1"/>
    <x v="20"/>
    <n v="0"/>
    <x v="0"/>
    <s v="ee7a68239dbe4664adad596c19403c93"/>
    <s v="Suzano Papel e Celulose Green Bond 2026"/>
    <x v="1"/>
    <x v="11"/>
    <s v="Natural landscapes"/>
    <s v="Preserving biodiversity"/>
    <s v="Brazil"/>
    <d v="2015-12-01T00:00:00"/>
    <d v="2015-12-01T00:00:00"/>
    <s v="BRL"/>
    <n v="5321000"/>
    <n v="5321000"/>
    <s v="USD"/>
    <n v="1646807.59"/>
    <n v="1646807"/>
    <b v="0"/>
    <n v="1"/>
  </r>
  <r>
    <b v="1"/>
    <x v="0"/>
    <x v="0"/>
    <x v="1"/>
    <x v="0"/>
    <x v="1"/>
    <x v="20"/>
    <n v="0"/>
    <x v="0"/>
    <s v="ee7a68239dbe4664adad596c19403c93"/>
    <s v="Suzano Papel e Celulose Green Bond 2026"/>
    <x v="0"/>
    <x v="10"/>
    <s v="Commercial Forestry"/>
    <s v="Sustainable forestry (certification)"/>
    <s v="Brazil"/>
    <d v="2019-12-01T00:00:00"/>
    <d v="2019-12-01T00:00:00"/>
    <s v="BRL"/>
    <n v="261762571"/>
    <n v="261762571"/>
    <s v="USD"/>
    <n v="80790916.980000004"/>
    <n v="80790916"/>
    <b v="0"/>
    <n v="1"/>
  </r>
  <r>
    <b v="1"/>
    <x v="0"/>
    <x v="0"/>
    <x v="1"/>
    <x v="0"/>
    <x v="1"/>
    <x v="20"/>
    <n v="0"/>
    <x v="0"/>
    <s v="ee7a68239dbe4664adad596c19403c93"/>
    <s v="Suzano Papel e Celulose Green Bond 2026"/>
    <x v="0"/>
    <x v="10"/>
    <s v="Commercial Forestry"/>
    <s v="Sustainable forestry (certification)"/>
    <s v="Brazil"/>
    <d v="2018-12-01T00:00:00"/>
    <d v="2018-12-01T00:00:00"/>
    <s v="BRL"/>
    <n v="614377034"/>
    <n v="614377034"/>
    <s v="USD"/>
    <n v="194878998.97"/>
    <n v="194878998"/>
    <b v="0"/>
    <n v="1"/>
  </r>
  <r>
    <b v="1"/>
    <x v="0"/>
    <x v="0"/>
    <x v="1"/>
    <x v="0"/>
    <x v="1"/>
    <x v="20"/>
    <n v="0"/>
    <x v="0"/>
    <s v="ee7a68239dbe4664adad596c19403c93"/>
    <s v="Suzano Papel e Celulose Green Bond 2026"/>
    <x v="0"/>
    <x v="10"/>
    <s v="Commercial Forestry"/>
    <s v="Sustainable forestry (certification)"/>
    <s v="Brazil"/>
    <d v="2017-12-01T00:00:00"/>
    <d v="2017-12-01T00:00:00"/>
    <s v="BRL"/>
    <n v="461577788"/>
    <n v="461577788"/>
    <s v="USD"/>
    <n v="142854689.72999999"/>
    <n v="142854689"/>
    <b v="0"/>
    <n v="1"/>
  </r>
  <r>
    <b v="1"/>
    <x v="0"/>
    <x v="0"/>
    <x v="1"/>
    <x v="0"/>
    <x v="1"/>
    <x v="20"/>
    <n v="0"/>
    <x v="0"/>
    <s v="ee7a68239dbe4664adad596c19403c93"/>
    <s v="Suzano Papel e Celulose Green Bond 2026"/>
    <x v="0"/>
    <x v="10"/>
    <s v="Commercial Forestry"/>
    <s v="Sustainable forestry (certification)"/>
    <s v="Brazil"/>
    <d v="2016-12-01T00:00:00"/>
    <d v="2016-12-01T00:00:00"/>
    <s v="BRL"/>
    <n v="340993000"/>
    <n v="340993000"/>
    <s v="USD"/>
    <n v="105534647.64"/>
    <n v="105534647"/>
    <b v="0"/>
    <n v="1"/>
  </r>
  <r>
    <b v="1"/>
    <x v="0"/>
    <x v="0"/>
    <x v="1"/>
    <x v="0"/>
    <x v="1"/>
    <x v="20"/>
    <n v="0"/>
    <x v="0"/>
    <s v="ee7a68239dbe4664adad596c19403c93"/>
    <s v="Suzano Papel e Celulose Green Bond 2026"/>
    <x v="0"/>
    <x v="10"/>
    <s v="Commercial Forestry"/>
    <s v="Sustainable forestry (certification)"/>
    <s v="Brazil"/>
    <d v="2015-12-01T00:00:00"/>
    <d v="2015-12-01T00:00:00"/>
    <s v="BRL"/>
    <n v="362788000"/>
    <n v="362788000"/>
    <s v="USD"/>
    <n v="112280028.47"/>
    <n v="112280028"/>
    <b v="0"/>
    <n v="1"/>
  </r>
  <r>
    <b v="1"/>
    <x v="0"/>
    <x v="0"/>
    <x v="1"/>
    <x v="0"/>
    <x v="1"/>
    <x v="20"/>
    <n v="0"/>
    <x v="0"/>
    <s v="ee7a68239dbe4664adad596c19403c93"/>
    <s v="Suzano Papel e Celulose Green Bond 2026"/>
    <x v="1"/>
    <x v="11"/>
    <s v="Forestry"/>
    <s v="Sustainable forestry (certification)"/>
    <s v="Brazil"/>
    <d v="2019-12-01T00:00:00"/>
    <d v="2019-12-01T00:00:00"/>
    <s v="BRL"/>
    <n v="261762571"/>
    <n v="261762571"/>
    <s v="USD"/>
    <n v="80790916.980000004"/>
    <n v="80790916"/>
    <b v="0"/>
    <n v="1"/>
  </r>
  <r>
    <b v="1"/>
    <x v="0"/>
    <x v="0"/>
    <x v="1"/>
    <x v="0"/>
    <x v="1"/>
    <x v="20"/>
    <n v="0"/>
    <x v="0"/>
    <s v="ee7a68239dbe4664adad596c19403c93"/>
    <s v="Suzano Papel e Celulose Green Bond 2026"/>
    <x v="1"/>
    <x v="11"/>
    <s v="Forestry"/>
    <s v="Sustainable forestry (certification)"/>
    <s v="Brazil"/>
    <d v="2018-12-01T00:00:00"/>
    <d v="2018-12-01T00:00:00"/>
    <s v="BRL"/>
    <n v="614377034"/>
    <n v="614377034"/>
    <s v="USD"/>
    <n v="194878998.97"/>
    <n v="194878998"/>
    <b v="0"/>
    <n v="1"/>
  </r>
  <r>
    <b v="1"/>
    <x v="0"/>
    <x v="0"/>
    <x v="1"/>
    <x v="0"/>
    <x v="1"/>
    <x v="20"/>
    <n v="0"/>
    <x v="0"/>
    <s v="ee7a68239dbe4664adad596c19403c93"/>
    <s v="Suzano Papel e Celulose Green Bond 2026"/>
    <x v="1"/>
    <x v="11"/>
    <s v="Forestry"/>
    <s v="Sustainable forestry (certification)"/>
    <s v="Brazil"/>
    <d v="2017-12-01T00:00:00"/>
    <d v="2017-12-01T00:00:00"/>
    <s v="BRL"/>
    <n v="461577788"/>
    <n v="461577788"/>
    <s v="USD"/>
    <n v="142854689.72999999"/>
    <n v="142854689"/>
    <b v="0"/>
    <n v="1"/>
  </r>
  <r>
    <b v="1"/>
    <x v="0"/>
    <x v="0"/>
    <x v="1"/>
    <x v="0"/>
    <x v="1"/>
    <x v="20"/>
    <n v="0"/>
    <x v="0"/>
    <s v="ee7a68239dbe4664adad596c19403c93"/>
    <s v="Suzano Papel e Celulose Green Bond 2026"/>
    <x v="1"/>
    <x v="11"/>
    <s v="Forestry"/>
    <s v="Sustainable forestry (certification)"/>
    <s v="Brazil"/>
    <d v="2016-12-01T00:00:00"/>
    <d v="2016-12-01T00:00:00"/>
    <s v="BRL"/>
    <n v="340993000"/>
    <n v="340993000"/>
    <s v="USD"/>
    <n v="105534647.64"/>
    <n v="105534647"/>
    <b v="0"/>
    <n v="1"/>
  </r>
  <r>
    <b v="1"/>
    <x v="0"/>
    <x v="0"/>
    <x v="1"/>
    <x v="0"/>
    <x v="1"/>
    <x v="20"/>
    <n v="0"/>
    <x v="0"/>
    <s v="ee7a68239dbe4664adad596c19403c93"/>
    <s v="Suzano Papel e Celulose Green Bond 2026"/>
    <x v="1"/>
    <x v="11"/>
    <s v="Forestry"/>
    <s v="Sustainable forestry (certification)"/>
    <s v="Brazil"/>
    <d v="2015-12-01T00:00:00"/>
    <d v="2015-12-01T00:00:00"/>
    <s v="BRL"/>
    <n v="362788000"/>
    <n v="362788000"/>
    <s v="USD"/>
    <n v="112280028.47"/>
    <n v="112280028"/>
    <b v="0"/>
    <n v="1"/>
  </r>
  <r>
    <b v="1"/>
    <x v="0"/>
    <x v="0"/>
    <x v="1"/>
    <x v="0"/>
    <x v="1"/>
    <x v="20"/>
    <n v="0"/>
    <x v="0"/>
    <s v="ee7a68239dbe4664adad596c19403c93"/>
    <s v="Suzano Papel e Celulose Green Bond 2026"/>
    <x v="0"/>
    <x v="10"/>
    <s v="Commercial Forestry"/>
    <s v="Sustainable forestry (Social and environmental actions)"/>
    <s v="Brazil"/>
    <d v="2017-12-01T00:00:00"/>
    <d v="2017-12-01T00:00:00"/>
    <s v="BRL"/>
    <n v="24340869"/>
    <n v="24340869"/>
    <s v="USD"/>
    <n v="7533307.2300000004"/>
    <n v="7533307"/>
    <b v="0"/>
    <n v="1"/>
  </r>
  <r>
    <b v="1"/>
    <x v="0"/>
    <x v="0"/>
    <x v="1"/>
    <x v="0"/>
    <x v="1"/>
    <x v="20"/>
    <n v="0"/>
    <x v="0"/>
    <s v="ee7a68239dbe4664adad596c19403c93"/>
    <s v="Suzano Papel e Celulose Green Bond 2026"/>
    <x v="1"/>
    <x v="11"/>
    <s v="Forestry"/>
    <s v="Sustainable forestry (Social and environmental actions)"/>
    <s v="Brazil"/>
    <d v="2017-12-01T00:00:00"/>
    <d v="2017-12-01T00:00:00"/>
    <s v="BRL"/>
    <n v="24340869"/>
    <n v="24340869"/>
    <s v="USD"/>
    <n v="7533307.2300000004"/>
    <n v="7533307"/>
    <b v="0"/>
    <n v="1"/>
  </r>
  <r>
    <b v="1"/>
    <x v="0"/>
    <x v="0"/>
    <x v="1"/>
    <x v="0"/>
    <x v="1"/>
    <x v="20"/>
    <n v="0"/>
    <x v="0"/>
    <s v="ee7a68239dbe4664adad596c19403c93"/>
    <s v="Suzano Papel e Celulose Green Bond 2026"/>
    <x v="0"/>
    <x v="10"/>
    <s v="Ecosystem Conservation &amp; Restoration"/>
    <s v="Mucuri river spring conservation"/>
    <s v="Brazil"/>
    <d v="2017-12-01T00:00:00"/>
    <d v="2017-12-01T00:00:00"/>
    <s v="BRL"/>
    <n v="488334"/>
    <n v="488334"/>
    <s v="USD"/>
    <n v="151135.53"/>
    <n v="151135"/>
    <b v="0"/>
    <n v="1"/>
  </r>
  <r>
    <b v="1"/>
    <x v="0"/>
    <x v="0"/>
    <x v="1"/>
    <x v="0"/>
    <x v="1"/>
    <x v="20"/>
    <n v="0"/>
    <x v="0"/>
    <s v="ee7a68239dbe4664adad596c19403c93"/>
    <s v="Suzano Papel e Celulose Green Bond 2026"/>
    <x v="1"/>
    <x v="11"/>
    <s v="Natural landscapes"/>
    <s v="Mucuri river spring conservation"/>
    <s v="Brazil"/>
    <d v="2017-12-01T00:00:00"/>
    <d v="2017-12-01T00:00:00"/>
    <s v="BRL"/>
    <n v="488334"/>
    <n v="488334"/>
    <s v="USD"/>
    <n v="151135.53"/>
    <n v="151135"/>
    <b v="0"/>
    <n v="1"/>
  </r>
  <r>
    <b v="1"/>
    <x v="0"/>
    <x v="0"/>
    <x v="2"/>
    <x v="0"/>
    <x v="1"/>
    <x v="19"/>
    <n v="0"/>
    <x v="0"/>
    <s v="4e17f0d80ab34899bc0d289e2bbfe144"/>
    <s v="BAGUA-AC"/>
    <x v="0"/>
    <x v="2"/>
    <s v="Treatment"/>
    <s v="Ampliaci√≥n Planta Tratamiento Aguas Servidas Talagante II - 2018"/>
    <s v="Chile"/>
    <d v="2018-12-31T00:00:00"/>
    <d v="2018-12-31T00:00:00"/>
    <s v="CLP"/>
    <n v="3480517319"/>
    <n v="3480517319"/>
    <s v="CLF"/>
    <n v="126262"/>
    <n v="5002972"/>
    <b v="1"/>
    <n v="0.52"/>
  </r>
  <r>
    <b v="1"/>
    <x v="0"/>
    <x v="2"/>
    <x v="0"/>
    <x v="0"/>
    <x v="3"/>
    <x v="18"/>
    <s v="BBG00HSGX4Z3"/>
    <x v="5"/>
    <s v="cffe109b8d59400dbf3b62d9e36c0d76"/>
    <s v="GCDMXCB 17X"/>
    <x v="0"/>
    <x v="5"/>
    <s v="Rail"/>
    <s v="Mejora del STC - 17"/>
    <s v="Mexico"/>
    <d v="2017-12-31T00:00:00"/>
    <d v="2017-12-31T00:00:00"/>
    <s v="MXN"/>
    <n v="481403932"/>
    <n v="194639999"/>
    <s v="MXN"/>
    <n v="194639999"/>
    <n v="10111548"/>
    <b v="1"/>
    <n v="0.19"/>
  </r>
  <r>
    <b v="1"/>
    <x v="0"/>
    <x v="2"/>
    <x v="0"/>
    <x v="0"/>
    <x v="3"/>
    <x v="18"/>
    <s v="BBG00HSGX4Z3"/>
    <x v="5"/>
    <s v="cffe109b8d59400dbf3b62d9e36c0d76"/>
    <s v="GCDMXCB 17X"/>
    <x v="1"/>
    <x v="6"/>
    <s v="Rail"/>
    <s v="Mejora del STC - 17"/>
    <s v="Mexico"/>
    <d v="2017-12-31T00:00:00"/>
    <d v="2017-12-31T00:00:00"/>
    <s v="MXN"/>
    <n v="481403932"/>
    <n v="194639999"/>
    <s v="MXN"/>
    <n v="194639999"/>
    <n v="10111548"/>
    <b v="1"/>
    <n v="0.19"/>
  </r>
  <r>
    <b v="1"/>
    <x v="0"/>
    <x v="2"/>
    <x v="0"/>
    <x v="0"/>
    <x v="3"/>
    <x v="18"/>
    <s v="BBG00HSGX4Z3"/>
    <x v="5"/>
    <s v="cffe109b8d59400dbf3b62d9e36c0d76"/>
    <s v="GCDMXCB 17X"/>
    <x v="0"/>
    <x v="2"/>
    <s v="Treatment"/>
    <s v="Actualizaci√≥n Tecnol√≥gica de la planta potabilizadora San Sebasti√°n Tecoloxtitla"/>
    <s v="Mexico"/>
    <d v="2017-12-31T00:00:00"/>
    <d v="2017-12-31T00:00:00"/>
    <s v="MXN"/>
    <n v="24330000"/>
    <n v="24330000"/>
    <s v="MXN"/>
    <n v="24330000"/>
    <n v="1263943"/>
    <b v="1"/>
    <n v="0.41"/>
  </r>
  <r>
    <b v="1"/>
    <x v="0"/>
    <x v="2"/>
    <x v="0"/>
    <x v="0"/>
    <x v="3"/>
    <x v="18"/>
    <s v="BBG00HSGX4Z3"/>
    <x v="5"/>
    <s v="cffe109b8d59400dbf3b62d9e36c0d76"/>
    <s v="GCDMXCB 17X"/>
    <x v="1"/>
    <x v="3"/>
    <s v="Urban drainage"/>
    <s v="Actualizaci√≥n Tecnol√≥gica de la planta potabilizadora San Sebasti√°n Tecoloxtitla"/>
    <s v="Mexico"/>
    <d v="2017-12-31T00:00:00"/>
    <d v="2017-12-31T00:00:00"/>
    <s v="MXN"/>
    <n v="24330000"/>
    <n v="24330000"/>
    <s v="MXN"/>
    <n v="24330000"/>
    <n v="1263943"/>
    <b v="1"/>
    <n v="0.41"/>
  </r>
  <r>
    <b v="1"/>
    <x v="0"/>
    <x v="2"/>
    <x v="0"/>
    <x v="0"/>
    <x v="3"/>
    <x v="18"/>
    <s v="BBG00HSGX4Z3"/>
    <x v="5"/>
    <s v="cffe109b8d59400dbf3b62d9e36c0d76"/>
    <s v="GCDMXCB 17X"/>
    <x v="0"/>
    <x v="2"/>
    <s v="Flood defence"/>
    <s v="Medidores en el DF"/>
    <s v="Mexico"/>
    <d v="2017-12-31T00:00:00"/>
    <d v="2017-12-31T00:00:00"/>
    <s v="MXN"/>
    <n v="36495000"/>
    <n v="36495000"/>
    <s v="MXN"/>
    <n v="36495000"/>
    <n v="1895915"/>
    <b v="1"/>
    <n v="0.13"/>
  </r>
  <r>
    <b v="1"/>
    <x v="0"/>
    <x v="2"/>
    <x v="0"/>
    <x v="0"/>
    <x v="3"/>
    <x v="18"/>
    <s v="BBG00HSGX4Z3"/>
    <x v="5"/>
    <s v="cffe109b8d59400dbf3b62d9e36c0d76"/>
    <s v="GCDMXCB 17X"/>
    <x v="1"/>
    <x v="3"/>
    <s v="Flooding mitigation"/>
    <s v="Medidores en el DF"/>
    <s v="Mexico"/>
    <d v="2017-12-31T00:00:00"/>
    <d v="2017-12-31T00:00:00"/>
    <s v="MXN"/>
    <n v="36495000"/>
    <n v="36495000"/>
    <s v="MXN"/>
    <n v="36495000"/>
    <n v="1895915"/>
    <b v="1"/>
    <n v="0.13"/>
  </r>
  <r>
    <b v="1"/>
    <x v="0"/>
    <x v="2"/>
    <x v="0"/>
    <x v="0"/>
    <x v="3"/>
    <x v="18"/>
    <s v="BBG00HSGX4Z3"/>
    <x v="5"/>
    <s v="cffe109b8d59400dbf3b62d9e36c0d76"/>
    <s v="GCDMXCB 17X"/>
    <x v="0"/>
    <x v="2"/>
    <s v="Flood defence"/>
    <s v="Colector 20 de Noviembre en la Delegaci√≥n Tl√°huac"/>
    <s v="Mexico"/>
    <d v="2017-12-31T00:00:00"/>
    <d v="2017-12-31T00:00:00"/>
    <s v="MXN"/>
    <n v="25546500"/>
    <n v="25546500"/>
    <s v="MXN"/>
    <n v="25546500"/>
    <n v="1327141"/>
    <b v="1"/>
    <n v="0.48"/>
  </r>
  <r>
    <b v="1"/>
    <x v="0"/>
    <x v="2"/>
    <x v="0"/>
    <x v="0"/>
    <x v="3"/>
    <x v="18"/>
    <s v="BBG00HSGX4Z3"/>
    <x v="5"/>
    <s v="cffe109b8d59400dbf3b62d9e36c0d76"/>
    <s v="GCDMXCB 17X"/>
    <x v="1"/>
    <x v="3"/>
    <s v="Flooding mitigation"/>
    <s v="Colector 20 de Noviembre en la Delegaci√≥n Tl√°huac"/>
    <s v="Mexico"/>
    <d v="2017-12-31T00:00:00"/>
    <d v="2017-12-31T00:00:00"/>
    <s v="MXN"/>
    <n v="25546500"/>
    <n v="25546500"/>
    <s v="MXN"/>
    <n v="25546500"/>
    <n v="1327141"/>
    <b v="1"/>
    <n v="0.48"/>
  </r>
  <r>
    <b v="1"/>
    <x v="0"/>
    <x v="2"/>
    <x v="0"/>
    <x v="0"/>
    <x v="3"/>
    <x v="18"/>
    <s v="BBG00HSGX4Z3"/>
    <x v="5"/>
    <s v="cffe109b8d59400dbf3b62d9e36c0d76"/>
    <s v="GCDMXCB 17X"/>
    <x v="0"/>
    <x v="2"/>
    <s v="Flood defence"/>
    <s v="Colector Ameca  en el Pueblo de Tulyehualco"/>
    <s v="Mexico"/>
    <d v="2017-12-31T00:00:00"/>
    <d v="2017-12-31T00:00:00"/>
    <s v="MXN"/>
    <n v="8515500"/>
    <n v="8515500"/>
    <s v="MXN"/>
    <n v="8515500"/>
    <n v="442380"/>
    <b v="1"/>
    <n v="0.24"/>
  </r>
  <r>
    <b v="1"/>
    <x v="0"/>
    <x v="2"/>
    <x v="0"/>
    <x v="0"/>
    <x v="3"/>
    <x v="18"/>
    <s v="BBG00HSGX4Z3"/>
    <x v="5"/>
    <s v="cffe109b8d59400dbf3b62d9e36c0d76"/>
    <s v="GCDMXCB 17X"/>
    <x v="1"/>
    <x v="3"/>
    <s v="Flooding mitigation"/>
    <s v="Colector Ameca  en el Pueblo de Tulyehualco"/>
    <s v="Mexico"/>
    <d v="2017-12-31T00:00:00"/>
    <d v="2017-12-31T00:00:00"/>
    <s v="MXN"/>
    <n v="8515500"/>
    <n v="8515500"/>
    <s v="MXN"/>
    <n v="8515500"/>
    <n v="442380"/>
    <b v="1"/>
    <n v="0.24"/>
  </r>
  <r>
    <b v="1"/>
    <x v="0"/>
    <x v="2"/>
    <x v="0"/>
    <x v="0"/>
    <x v="3"/>
    <x v="18"/>
    <s v="BBG00HSGX4Z3"/>
    <x v="5"/>
    <s v="cffe109b8d59400dbf3b62d9e36c0d76"/>
    <s v="GCDMXCB 17X"/>
    <x v="0"/>
    <x v="2"/>
    <s v="Distribution"/>
    <s v="L√≠nea de conducci√≥n de agua potable  en la Delegaci√≥n Magdalena Contreras"/>
    <s v="Mexico"/>
    <d v="2017-12-31T00:00:00"/>
    <d v="2017-12-31T00:00:00"/>
    <s v="MXN"/>
    <n v="3649500"/>
    <n v="3649500"/>
    <s v="MXN"/>
    <n v="3649500"/>
    <n v="189592"/>
    <b v="1"/>
    <n v="0.04"/>
  </r>
  <r>
    <b v="1"/>
    <x v="0"/>
    <x v="2"/>
    <x v="0"/>
    <x v="0"/>
    <x v="3"/>
    <x v="18"/>
    <s v="BBG00HSGX4Z3"/>
    <x v="5"/>
    <s v="cffe109b8d59400dbf3b62d9e36c0d76"/>
    <s v="GCDMXCB 17X"/>
    <x v="1"/>
    <x v="3"/>
    <s v="Infrastructure"/>
    <s v="L√≠nea de conducci√≥n de agua potable  en la Delegaci√≥n Magdalena Contreras"/>
    <s v="Mexico"/>
    <d v="2017-12-31T00:00:00"/>
    <d v="2017-12-31T00:00:00"/>
    <s v="MXN"/>
    <n v="3649500"/>
    <n v="3649500"/>
    <s v="MXN"/>
    <n v="3649500"/>
    <n v="189592"/>
    <b v="1"/>
    <n v="0.04"/>
  </r>
  <r>
    <b v="1"/>
    <x v="0"/>
    <x v="2"/>
    <x v="0"/>
    <x v="0"/>
    <x v="3"/>
    <x v="18"/>
    <s v="BBG00HSGX4Z3"/>
    <x v="5"/>
    <s v="cffe109b8d59400dbf3b62d9e36c0d76"/>
    <s v="GCDMXCB 17X"/>
    <x v="0"/>
    <x v="2"/>
    <s v="Treatment"/>
    <s v="Rehabilitaci√≥n de tanques de agua potable"/>
    <s v="Mexico"/>
    <d v="2017-12-31T00:00:00"/>
    <d v="2017-12-31T00:00:00"/>
    <s v="MXN"/>
    <n v="2433000"/>
    <n v="2433000"/>
    <s v="MXN"/>
    <n v="2433000"/>
    <n v="126394"/>
    <b v="1"/>
    <n v="0.22"/>
  </r>
  <r>
    <b v="1"/>
    <x v="0"/>
    <x v="2"/>
    <x v="0"/>
    <x v="0"/>
    <x v="3"/>
    <x v="18"/>
    <s v="BBG00HSGX4Z3"/>
    <x v="5"/>
    <s v="cffe109b8d59400dbf3b62d9e36c0d76"/>
    <s v="GCDMXCB 17X"/>
    <x v="1"/>
    <x v="3"/>
    <s v="Urban drainage"/>
    <s v="Rehabilitaci√≥n de tanques de agua potable"/>
    <s v="Mexico"/>
    <d v="2017-12-31T00:00:00"/>
    <d v="2017-12-31T00:00:00"/>
    <s v="MXN"/>
    <n v="2433000"/>
    <n v="2433000"/>
    <s v="MXN"/>
    <n v="2433000"/>
    <n v="126394"/>
    <b v="1"/>
    <n v="0.22"/>
  </r>
  <r>
    <b v="1"/>
    <x v="0"/>
    <x v="0"/>
    <x v="2"/>
    <x v="0"/>
    <x v="1"/>
    <x v="19"/>
    <n v="0"/>
    <x v="0"/>
    <s v="4e17f0d80ab34899bc0d289e2bbfe144"/>
    <s v="BAGUA-AC"/>
    <x v="1"/>
    <x v="3"/>
    <s v="Wastewater treatment"/>
    <s v="Ampliaci√≥n Planta Tratamiento Aguas Servidas Talagante II - 2018"/>
    <s v="Chile"/>
    <d v="2018-12-31T00:00:00"/>
    <d v="2018-12-31T00:00:00"/>
    <s v="CLP"/>
    <n v="3480517319"/>
    <n v="3480517319"/>
    <s v="CLF"/>
    <n v="126262"/>
    <n v="5002972"/>
    <b v="1"/>
    <n v="0.52"/>
  </r>
  <r>
    <b v="1"/>
    <x v="0"/>
    <x v="0"/>
    <x v="2"/>
    <x v="0"/>
    <x v="1"/>
    <x v="19"/>
    <n v="0"/>
    <x v="0"/>
    <s v="4e17f0d80ab34899bc0d289e2bbfe144"/>
    <s v="BAGUA-AC"/>
    <x v="0"/>
    <x v="2"/>
    <s v="Treatment"/>
    <s v="Ampliaci√≥n Tercera Planta De Tratamiento Aguas Servidas - 2018"/>
    <s v="Chile"/>
    <d v="2018-12-31T00:00:00"/>
    <d v="2018-12-31T00:00:00"/>
    <s v="CLP"/>
    <n v="5031390055"/>
    <n v="5031390055"/>
    <s v="CLF"/>
    <n v="182523"/>
    <n v="7232230"/>
    <b v="1"/>
    <n v="0.66"/>
  </r>
  <r>
    <b v="1"/>
    <x v="0"/>
    <x v="2"/>
    <x v="0"/>
    <x v="0"/>
    <x v="3"/>
    <x v="18"/>
    <s v="BBG00HSGX4Z3"/>
    <x v="5"/>
    <s v="cffe109b8d59400dbf3b62d9e36c0d76"/>
    <s v="GCDMXCB 17X"/>
    <x v="0"/>
    <x v="2"/>
    <s v="Flood defence"/>
    <s v="Colectores en Zona Escolara Delegaci√≥n Gustavo A. Madero"/>
    <s v="Mexico"/>
    <d v="2017-12-31T00:00:00"/>
    <d v="2017-12-31T00:00:00"/>
    <s v="MXN"/>
    <n v="9732000"/>
    <n v="9732000"/>
    <s v="MXN"/>
    <n v="9732000"/>
    <n v="505577"/>
    <b v="1"/>
    <n v="0.04"/>
  </r>
  <r>
    <b v="1"/>
    <x v="0"/>
    <x v="2"/>
    <x v="0"/>
    <x v="0"/>
    <x v="3"/>
    <x v="18"/>
    <s v="BBG00HSGX4Z3"/>
    <x v="5"/>
    <s v="cffe109b8d59400dbf3b62d9e36c0d76"/>
    <s v="GCDMXCB 17X"/>
    <x v="1"/>
    <x v="3"/>
    <s v="Flooding mitigation"/>
    <s v="Colectores en Zona Escolara Delegaci√≥n Gustavo A. Madero"/>
    <s v="Mexico"/>
    <d v="2017-12-31T00:00:00"/>
    <d v="2017-12-31T00:00:00"/>
    <s v="MXN"/>
    <n v="9732000"/>
    <n v="9732000"/>
    <s v="MXN"/>
    <n v="9732000"/>
    <n v="505577"/>
    <b v="1"/>
    <n v="0.04"/>
  </r>
  <r>
    <b v="1"/>
    <x v="0"/>
    <x v="2"/>
    <x v="0"/>
    <x v="0"/>
    <x v="3"/>
    <x v="18"/>
    <s v="BBG00HSGX4Z3"/>
    <x v="5"/>
    <s v="cffe109b8d59400dbf3b62d9e36c0d76"/>
    <s v="GCDMXCB 17X"/>
    <x v="0"/>
    <x v="2"/>
    <s v="Flood defence"/>
    <s v="Colector Lomas de la Estancia a la Laguna de regulaci√≥n La Quebradora en la Delegaci√≥n Iztapalapa"/>
    <s v="Mexico"/>
    <d v="2017-12-31T00:00:00"/>
    <d v="2017-12-31T00:00:00"/>
    <s v="MXN"/>
    <n v="8515500"/>
    <n v="8515500"/>
    <s v="MXN"/>
    <n v="8515500"/>
    <n v="442380"/>
    <b v="1"/>
    <n v="0.13"/>
  </r>
  <r>
    <b v="1"/>
    <x v="0"/>
    <x v="2"/>
    <x v="0"/>
    <x v="0"/>
    <x v="3"/>
    <x v="18"/>
    <s v="BBG00HSGX4Z3"/>
    <x v="5"/>
    <s v="cffe109b8d59400dbf3b62d9e36c0d76"/>
    <s v="GCDMXCB 17X"/>
    <x v="1"/>
    <x v="3"/>
    <s v="Flooding mitigation"/>
    <s v="Colector Lomas de la Estancia a la Laguna de regulaci√≥n La Quebradora en la Delegaci√≥n Iztapalapa"/>
    <s v="Mexico"/>
    <d v="2017-12-31T00:00:00"/>
    <d v="2017-12-31T00:00:00"/>
    <s v="MXN"/>
    <n v="8515500"/>
    <n v="8515500"/>
    <s v="MXN"/>
    <n v="8515500"/>
    <n v="442380"/>
    <b v="1"/>
    <n v="0.13"/>
  </r>
  <r>
    <b v="1"/>
    <x v="0"/>
    <x v="2"/>
    <x v="0"/>
    <x v="0"/>
    <x v="3"/>
    <x v="18"/>
    <s v="BBG00HSGX4Z3"/>
    <x v="5"/>
    <s v="cffe109b8d59400dbf3b62d9e36c0d76"/>
    <s v="GCDMXCB 17X"/>
    <x v="0"/>
    <x v="2"/>
    <s v="Flood defence"/>
    <s v="Construcci√≥n de la planta de bombeo y laguna de regulaci√≥n en la U.H. Vicente Guerrero - 17"/>
    <s v="Mexico"/>
    <d v="2017-12-31T00:00:00"/>
    <d v="2017-12-31T00:00:00"/>
    <s v="MXN"/>
    <n v="7299000"/>
    <n v="7299000"/>
    <s v="MXN"/>
    <n v="7299000"/>
    <n v="379183"/>
    <b v="1"/>
    <n v="0.01"/>
  </r>
  <r>
    <b v="1"/>
    <x v="0"/>
    <x v="2"/>
    <x v="0"/>
    <x v="0"/>
    <x v="3"/>
    <x v="18"/>
    <s v="BBG00HSGX4Z3"/>
    <x v="5"/>
    <s v="cffe109b8d59400dbf3b62d9e36c0d76"/>
    <s v="GCDMXCB 17X"/>
    <x v="1"/>
    <x v="3"/>
    <s v="Flooding mitigation"/>
    <s v="Construcci√≥n de la planta de bombeo y laguna de regulaci√≥n en la U.H. Vicente Guerrero - 17"/>
    <s v="Mexico"/>
    <d v="2017-12-31T00:00:00"/>
    <d v="2017-12-31T00:00:00"/>
    <s v="MXN"/>
    <n v="7299000"/>
    <n v="7299000"/>
    <s v="MXN"/>
    <n v="7299000"/>
    <n v="379183"/>
    <b v="1"/>
    <n v="0.01"/>
  </r>
  <r>
    <b v="1"/>
    <x v="0"/>
    <x v="2"/>
    <x v="0"/>
    <x v="0"/>
    <x v="3"/>
    <x v="18"/>
    <s v="BBG00HSGX4Z3"/>
    <x v="5"/>
    <s v="cffe109b8d59400dbf3b62d9e36c0d76"/>
    <s v="GCDMXCB 17X"/>
    <x v="0"/>
    <x v="2"/>
    <s v="Treatment"/>
    <s v="Construcci√≥n de la Planta Potabilizadora Selene - 17"/>
    <s v="Mexico"/>
    <d v="2017-12-31T00:00:00"/>
    <d v="2017-12-31T00:00:00"/>
    <s v="MXN"/>
    <n v="4866000"/>
    <n v="4866000"/>
    <s v="MXN"/>
    <n v="4866000"/>
    <n v="252789"/>
    <b v="1"/>
    <n v="0.02"/>
  </r>
  <r>
    <b v="1"/>
    <x v="0"/>
    <x v="2"/>
    <x v="0"/>
    <x v="0"/>
    <x v="3"/>
    <x v="18"/>
    <s v="BBG00HSGX4Z3"/>
    <x v="5"/>
    <s v="cffe109b8d59400dbf3b62d9e36c0d76"/>
    <s v="GCDMXCB 17X"/>
    <x v="1"/>
    <x v="3"/>
    <s v="Infrastructure"/>
    <s v="Construcci√≥n de la Planta Potabilizadora Selene - 17"/>
    <s v="Mexico"/>
    <d v="2017-12-31T00:00:00"/>
    <d v="2017-12-31T00:00:00"/>
    <s v="MXN"/>
    <n v="4866000"/>
    <n v="4866000"/>
    <s v="MXN"/>
    <n v="4866000"/>
    <n v="252789"/>
    <b v="1"/>
    <n v="0.02"/>
  </r>
  <r>
    <b v="1"/>
    <x v="0"/>
    <x v="2"/>
    <x v="0"/>
    <x v="0"/>
    <x v="3"/>
    <x v="18"/>
    <s v="BBG00HSGX4Z3"/>
    <x v="5"/>
    <s v="cffe109b8d59400dbf3b62d9e36c0d76"/>
    <s v="GCDMXCB 17X"/>
    <x v="0"/>
    <x v="2"/>
    <s v="Storage"/>
    <s v="Reposici√≥n de 8 Pozos de Agua Potable - 17"/>
    <s v="Mexico"/>
    <d v="2017-12-31T00:00:00"/>
    <d v="2017-12-31T00:00:00"/>
    <s v="MXN"/>
    <n v="6082500"/>
    <n v="6082500"/>
    <s v="MXN"/>
    <n v="6082500"/>
    <n v="315986"/>
    <b v="1"/>
    <n v="0.02"/>
  </r>
  <r>
    <b v="1"/>
    <x v="0"/>
    <x v="2"/>
    <x v="0"/>
    <x v="0"/>
    <x v="3"/>
    <x v="18"/>
    <s v="BBG00HSGX4Z3"/>
    <x v="5"/>
    <s v="cffe109b8d59400dbf3b62d9e36c0d76"/>
    <s v="GCDMXCB 17X"/>
    <x v="1"/>
    <x v="3"/>
    <s v="Infrastructure"/>
    <s v="Reposici√≥n de 8 Pozos de Agua Potable - 17"/>
    <s v="Mexico"/>
    <d v="2017-12-31T00:00:00"/>
    <d v="2017-12-31T00:00:00"/>
    <s v="MXN"/>
    <n v="6082500"/>
    <n v="6082500"/>
    <s v="MXN"/>
    <n v="6082500"/>
    <n v="315986"/>
    <b v="1"/>
    <n v="0.02"/>
  </r>
  <r>
    <b v="1"/>
    <x v="0"/>
    <x v="2"/>
    <x v="0"/>
    <x v="0"/>
    <x v="3"/>
    <x v="18"/>
    <s v="BBG00HSGX4Z3"/>
    <x v="5"/>
    <s v="cffe109b8d59400dbf3b62d9e36c0d76"/>
    <s v="GCDMXCB 17X"/>
    <x v="0"/>
    <x v="2"/>
    <s v="Treatment"/>
    <s v="Planta Potabilizadora Rio Hondo - 17"/>
    <s v="Mexico"/>
    <d v="2017-12-31T00:00:00"/>
    <d v="2017-12-31T00:00:00"/>
    <s v="MXN"/>
    <n v="12165000"/>
    <n v="12165000"/>
    <s v="MXN"/>
    <n v="12165000"/>
    <n v="631972"/>
    <b v="1"/>
    <n v="0.14000000000000001"/>
  </r>
  <r>
    <b v="1"/>
    <x v="0"/>
    <x v="2"/>
    <x v="0"/>
    <x v="0"/>
    <x v="3"/>
    <x v="18"/>
    <s v="BBG00HSGX4Z3"/>
    <x v="5"/>
    <s v="cffe109b8d59400dbf3b62d9e36c0d76"/>
    <s v="GCDMXCB 17X"/>
    <x v="1"/>
    <x v="3"/>
    <s v="Infrastructure"/>
    <s v="Planta Potabilizadora Rio Hondo - 17"/>
    <s v="Mexico"/>
    <d v="2017-12-31T00:00:00"/>
    <d v="2017-12-31T00:00:00"/>
    <s v="MXN"/>
    <n v="12165000"/>
    <n v="12165000"/>
    <s v="MXN"/>
    <n v="12165000"/>
    <n v="631972"/>
    <b v="1"/>
    <n v="0.14000000000000001"/>
  </r>
  <r>
    <b v="1"/>
    <x v="0"/>
    <x v="2"/>
    <x v="0"/>
    <x v="0"/>
    <x v="3"/>
    <x v="18"/>
    <s v="BBG00HSGX4Z3"/>
    <x v="5"/>
    <s v="cffe109b8d59400dbf3b62d9e36c0d76"/>
    <s v="GCDMXCB 17X"/>
    <x v="0"/>
    <x v="5"/>
    <s v="Rail"/>
    <s v="Adquisici√≥n de 4 trenes Tren Ligero CDMX - 17"/>
    <s v="Mexico"/>
    <d v="2017-12-31T00:00:00"/>
    <d v="2017-12-31T00:00:00"/>
    <s v="MXN"/>
    <n v="36495000"/>
    <n v="36495000"/>
    <s v="MXN"/>
    <n v="36495000"/>
    <n v="1895915"/>
    <b v="1"/>
    <n v="0.13"/>
  </r>
  <r>
    <b v="1"/>
    <x v="0"/>
    <x v="2"/>
    <x v="0"/>
    <x v="0"/>
    <x v="3"/>
    <x v="18"/>
    <s v="BBG00HSGX4Z3"/>
    <x v="5"/>
    <s v="cffe109b8d59400dbf3b62d9e36c0d76"/>
    <s v="GCDMXCB 17X"/>
    <x v="1"/>
    <x v="6"/>
    <s v="Rail"/>
    <s v="Adquisici√≥n de 4 trenes Tren Ligero CDMX - 17"/>
    <s v="Mexico"/>
    <d v="2017-12-31T00:00:00"/>
    <d v="2017-12-31T00:00:00"/>
    <s v="MXN"/>
    <n v="36495000"/>
    <n v="36495000"/>
    <s v="MXN"/>
    <n v="36495000"/>
    <n v="1895915"/>
    <b v="1"/>
    <n v="0.13"/>
  </r>
  <r>
    <b v="1"/>
    <x v="0"/>
    <x v="2"/>
    <x v="0"/>
    <x v="0"/>
    <x v="3"/>
    <x v="18"/>
    <s v="BBG00HSGX4Z3"/>
    <x v="5"/>
    <s v="cffe109b8d59400dbf3b62d9e36c0d76"/>
    <s v="GCDMXCB 17X"/>
    <x v="0"/>
    <x v="5"/>
    <s v="Rail"/>
    <s v="Mantenimiento a Trenes del STC Metro"/>
    <s v="Mexico"/>
    <d v="2017-12-31T00:00:00"/>
    <d v="2017-12-31T00:00:00"/>
    <s v="MXN"/>
    <n v="145979999"/>
    <n v="145979999"/>
    <s v="MXN"/>
    <n v="145979999"/>
    <n v="7583661"/>
    <b v="1"/>
    <n v="0.81"/>
  </r>
  <r>
    <b v="1"/>
    <x v="0"/>
    <x v="2"/>
    <x v="0"/>
    <x v="0"/>
    <x v="3"/>
    <x v="18"/>
    <s v="BBG00HSGX4Z3"/>
    <x v="5"/>
    <s v="cffe109b8d59400dbf3b62d9e36c0d76"/>
    <s v="GCDMXCB 17X"/>
    <x v="1"/>
    <x v="6"/>
    <s v="Rail"/>
    <s v="Mantenimiento a Trenes del STC Metro"/>
    <s v="Mexico"/>
    <d v="2017-12-31T00:00:00"/>
    <d v="2017-12-31T00:00:00"/>
    <s v="MXN"/>
    <n v="145979999"/>
    <n v="145979999"/>
    <s v="MXN"/>
    <n v="145979999"/>
    <n v="7583661"/>
    <b v="1"/>
    <n v="0.81"/>
  </r>
  <r>
    <b v="1"/>
    <x v="0"/>
    <x v="0"/>
    <x v="2"/>
    <x v="0"/>
    <x v="1"/>
    <x v="19"/>
    <n v="0"/>
    <x v="0"/>
    <s v="4e17f0d80ab34899bc0d289e2bbfe144"/>
    <s v="BAGUA-AC"/>
    <x v="1"/>
    <x v="3"/>
    <s v="Wastewater treatment"/>
    <s v="Ampliaci√≥n Tercera Planta De Tratamiento Aguas Servidas - 2018"/>
    <s v="Chile"/>
    <d v="2018-12-31T00:00:00"/>
    <d v="2018-12-31T00:00:00"/>
    <s v="CLP"/>
    <n v="5031390055"/>
    <n v="5031390055"/>
    <s v="CLF"/>
    <n v="182523"/>
    <n v="7232230"/>
    <b v="1"/>
    <n v="0.66"/>
  </r>
  <r>
    <e v="#N/A"/>
    <x v="1"/>
    <x v="1"/>
    <x v="3"/>
    <x v="1"/>
    <x v="2"/>
    <x v="10"/>
    <e v="#N/A"/>
    <x v="2"/>
    <s v="b1ee5ee2b303417fb77c0c62bf84343a"/>
    <s v="Green Bond ON C1"/>
    <x v="0"/>
    <x v="7"/>
    <s v="Commercial"/>
    <s v="Green Bond ON C1 Plaza Mercado W1"/>
    <s v="Argentina"/>
    <d v="2019-12-11T00:00:00"/>
    <d v="2017-12-13T00:00:00"/>
    <s v="USD"/>
    <n v="3858055"/>
    <n v="3858055"/>
    <s v="USD"/>
    <n v="3858055"/>
    <n v="3858055"/>
    <b v="0"/>
    <n v="0.21"/>
  </r>
  <r>
    <e v="#N/A"/>
    <x v="1"/>
    <x v="1"/>
    <x v="3"/>
    <x v="1"/>
    <x v="2"/>
    <x v="10"/>
    <e v="#N/A"/>
    <x v="2"/>
    <s v="b1ee5ee2b303417fb77c0c62bf84343a"/>
    <s v="Green Bond ON C1"/>
    <x v="1"/>
    <x v="8"/>
    <s v="Commercial"/>
    <s v="Green Bond ON C1 Plaza Mercado W1"/>
    <s v="Argentina"/>
    <d v="2019-12-11T00:00:00"/>
    <d v="2017-12-13T00:00:00"/>
    <s v="USD"/>
    <n v="3858055"/>
    <n v="3858055"/>
    <s v="USD"/>
    <n v="3858055"/>
    <n v="3858055"/>
    <b v="0"/>
    <n v="0.21"/>
  </r>
  <r>
    <e v="#N/A"/>
    <x v="1"/>
    <x v="1"/>
    <x v="3"/>
    <x v="1"/>
    <x v="2"/>
    <x v="10"/>
    <e v="#N/A"/>
    <x v="2"/>
    <s v="b1ee5ee2b303417fb77c0c62bf84343a"/>
    <s v="Green Bond ON C1"/>
    <x v="2"/>
    <x v="9"/>
    <s v="Unspecified"/>
    <s v="Green Bond ON C1 Plaza Mercado W1"/>
    <s v="Argentina"/>
    <d v="2019-12-11T00:00:00"/>
    <d v="2017-12-13T00:00:00"/>
    <s v="USD"/>
    <n v="3858055"/>
    <n v="3858055"/>
    <s v="USD"/>
    <n v="3858055"/>
    <n v="3858055"/>
    <b v="0"/>
    <n v="0.21"/>
  </r>
  <r>
    <e v="#N/A"/>
    <x v="1"/>
    <x v="1"/>
    <x v="3"/>
    <x v="1"/>
    <x v="2"/>
    <x v="10"/>
    <e v="#N/A"/>
    <x v="2"/>
    <s v="b1ee5ee2b303417fb77c0c62bf84343a"/>
    <s v="Green Bond ON C1"/>
    <x v="3"/>
    <x v="9"/>
    <s v="Unspecified"/>
    <s v="Green Bond ON C1 Plaza Mercado W1"/>
    <s v="Argentina"/>
    <d v="2019-12-11T00:00:00"/>
    <d v="2017-12-13T00:00:00"/>
    <s v="USD"/>
    <n v="3858055"/>
    <n v="3858055"/>
    <s v="USD"/>
    <n v="3858055"/>
    <n v="3858055"/>
    <b v="0"/>
    <n v="0.21"/>
  </r>
  <r>
    <b v="1"/>
    <x v="0"/>
    <x v="0"/>
    <x v="0"/>
    <x v="0"/>
    <x v="0"/>
    <x v="4"/>
    <n v="0"/>
    <x v="0"/>
    <s v="33ceef813ef14aac8ab44dc3a53606d8"/>
    <s v="Bancolombia Bono Sostenible"/>
    <x v="0"/>
    <x v="14"/>
    <s v="General"/>
    <s v="SB Proyecto 31"/>
    <s v="Colombia"/>
    <d v="2019-07-19T00:00:00"/>
    <d v="2019-07-19T00:00:00"/>
    <s v="COP"/>
    <n v="173096000000"/>
    <n v="173096000000"/>
    <s v="COP"/>
    <n v="173096000000"/>
    <n v="54381230"/>
    <b v="0"/>
    <n v="0.97"/>
  </r>
  <r>
    <b v="1"/>
    <x v="0"/>
    <x v="0"/>
    <x v="0"/>
    <x v="0"/>
    <x v="0"/>
    <x v="4"/>
    <n v="0"/>
    <x v="0"/>
    <s v="33ceef813ef14aac8ab44dc3a53606d8"/>
    <s v="Bancolombia Bono Sostenible"/>
    <x v="1"/>
    <x v="14"/>
    <s v="General"/>
    <s v="SB Proyecto 31"/>
    <s v="Colombia"/>
    <d v="2019-07-19T00:00:00"/>
    <d v="2019-07-19T00:00:00"/>
    <s v="COP"/>
    <n v="173096000000"/>
    <n v="173096000000"/>
    <s v="COP"/>
    <n v="173096000000"/>
    <n v="54381230"/>
    <b v="0"/>
    <n v="0.97"/>
  </r>
  <r>
    <b v="1"/>
    <x v="0"/>
    <x v="0"/>
    <x v="2"/>
    <x v="0"/>
    <x v="1"/>
    <x v="14"/>
    <n v="0"/>
    <x v="4"/>
    <s v="bfc6f6927d0842d4b44fe9c260c3a4fa"/>
    <s v="Bono sostenible BICE"/>
    <x v="0"/>
    <x v="7"/>
    <s v="Products &amp; Systems for Efficiency"/>
    <s v="Eficiencia Energ√©tica"/>
    <s v="Argentina"/>
    <d v="2020-07-30T00:00:00"/>
    <d v="2019-12-31T00:00:00"/>
    <s v="USD"/>
    <n v="321988"/>
    <n v="321988"/>
    <s v="USD"/>
    <n v="321988"/>
    <n v="321988"/>
    <b v="1"/>
    <n v="1"/>
  </r>
  <r>
    <b v="1"/>
    <x v="0"/>
    <x v="0"/>
    <x v="2"/>
    <x v="0"/>
    <x v="1"/>
    <x v="14"/>
    <n v="0"/>
    <x v="4"/>
    <s v="bfc6f6927d0842d4b44fe9c260c3a4fa"/>
    <s v="Bono sostenible BICE"/>
    <x v="1"/>
    <x v="4"/>
    <s v="Smart grids"/>
    <s v="Eficiencia Energ√©tica"/>
    <s v="Argentina"/>
    <d v="2020-07-30T00:00:00"/>
    <d v="2019-12-31T00:00:00"/>
    <s v="USD"/>
    <n v="321988"/>
    <n v="321988"/>
    <s v="USD"/>
    <n v="321988"/>
    <n v="321988"/>
    <b v="1"/>
    <n v="1"/>
  </r>
  <r>
    <b v="1"/>
    <x v="0"/>
    <x v="0"/>
    <x v="2"/>
    <x v="0"/>
    <x v="1"/>
    <x v="14"/>
    <n v="0"/>
    <x v="4"/>
    <s v="bfc6f6927d0842d4b44fe9c260c3a4fa"/>
    <s v="Bono sostenible BICE"/>
    <x v="0"/>
    <x v="0"/>
    <s v="Wind"/>
    <s v="Energ√≠a Renovable"/>
    <s v="Argentina"/>
    <d v="2020-07-30T00:00:00"/>
    <d v="2020-01-16T00:00:00"/>
    <s v="USD"/>
    <n v="6600000"/>
    <n v="6600000"/>
    <s v="USD"/>
    <n v="6600000"/>
    <n v="6600000"/>
    <b v="1"/>
    <n v="1"/>
  </r>
  <r>
    <b v="1"/>
    <x v="0"/>
    <x v="0"/>
    <x v="2"/>
    <x v="0"/>
    <x v="1"/>
    <x v="14"/>
    <n v="0"/>
    <x v="4"/>
    <s v="bfc6f6927d0842d4b44fe9c260c3a4fa"/>
    <s v="Bono sostenible BICE"/>
    <x v="1"/>
    <x v="1"/>
    <s v="Generation"/>
    <s v="Energ√≠a Renovable"/>
    <s v="Argentina"/>
    <d v="2020-07-30T00:00:00"/>
    <d v="2020-01-16T00:00:00"/>
    <s v="USD"/>
    <n v="6600000"/>
    <n v="6600000"/>
    <s v="USD"/>
    <n v="6600000"/>
    <n v="6600000"/>
    <b v="1"/>
    <n v="1"/>
  </r>
  <r>
    <b v="1"/>
    <x v="0"/>
    <x v="0"/>
    <x v="2"/>
    <x v="0"/>
    <x v="1"/>
    <x v="14"/>
    <n v="0"/>
    <x v="4"/>
    <s v="bfc6f6927d0842d4b44fe9c260c3a4fa"/>
    <s v="Bono sostenible BICE"/>
    <x v="2"/>
    <x v="9"/>
    <s v="Unspecified"/>
    <s v="Energ√≠a Renovable"/>
    <s v="Argentina"/>
    <d v="2020-07-30T00:00:00"/>
    <d v="2020-01-16T00:00:00"/>
    <s v="USD"/>
    <n v="6600000"/>
    <n v="6600000"/>
    <s v="USD"/>
    <n v="6600000"/>
    <n v="6600000"/>
    <b v="1"/>
    <n v="1"/>
  </r>
  <r>
    <b v="1"/>
    <x v="0"/>
    <x v="0"/>
    <x v="2"/>
    <x v="0"/>
    <x v="1"/>
    <x v="14"/>
    <n v="0"/>
    <x v="4"/>
    <s v="bfc6f6927d0842d4b44fe9c260c3a4fa"/>
    <s v="Bono sostenible BICE"/>
    <x v="3"/>
    <x v="9"/>
    <s v="Unspecified"/>
    <s v="Energ√≠a Renovable"/>
    <s v="Argentina"/>
    <d v="2020-07-30T00:00:00"/>
    <d v="2020-01-16T00:00:00"/>
    <s v="USD"/>
    <n v="6600000"/>
    <n v="6600000"/>
    <s v="USD"/>
    <n v="6600000"/>
    <n v="6600000"/>
    <b v="1"/>
    <n v="1"/>
  </r>
  <r>
    <b v="1"/>
    <x v="0"/>
    <x v="0"/>
    <x v="2"/>
    <x v="0"/>
    <x v="1"/>
    <x v="21"/>
    <s v="BBG00YG422X6"/>
    <x v="6"/>
    <s v="5b9bc195be534adaa28f29ea980225c8"/>
    <s v="ISA CTEEP - 9¬™ Emiss√£o (2¬™ Serie)"/>
    <x v="0"/>
    <x v="0"/>
    <s v="Transmission"/>
    <s v="Interliga√ß√£o El√©trica Ita√∫nas S.A. - 9¬∞"/>
    <s v="Brazil"/>
    <d v="2020-12-07T00:00:00"/>
    <d v="2021-12-31T00:00:00"/>
    <s v="BRL"/>
    <n v="39276551"/>
    <n v="39276551"/>
    <s v="BRL"/>
    <n v="39276551"/>
    <n v="7699473"/>
    <b v="0"/>
    <n v="0.13"/>
  </r>
  <r>
    <b v="1"/>
    <x v="0"/>
    <x v="0"/>
    <x v="2"/>
    <x v="0"/>
    <x v="1"/>
    <x v="21"/>
    <s v="BBG00YG422X6"/>
    <x v="6"/>
    <s v="5b9bc195be534adaa28f29ea980225c8"/>
    <s v="ISA CTEEP - 9¬™ Emiss√£o (2¬™ Serie)"/>
    <x v="1"/>
    <x v="1"/>
    <s v="Transmission"/>
    <s v="Interliga√ß√£o El√©trica Ita√∫nas S.A. - 9¬∞"/>
    <s v="Brazil"/>
    <d v="2020-12-07T00:00:00"/>
    <d v="2021-12-31T00:00:00"/>
    <s v="BRL"/>
    <n v="39276551"/>
    <n v="39276551"/>
    <s v="BRL"/>
    <n v="39276551"/>
    <n v="7699473"/>
    <b v="0"/>
    <n v="0.13"/>
  </r>
  <r>
    <b v="1"/>
    <x v="0"/>
    <x v="0"/>
    <x v="2"/>
    <x v="0"/>
    <x v="1"/>
    <x v="21"/>
    <s v="BBG00YG422X6"/>
    <x v="6"/>
    <s v="5b9bc195be534adaa28f29ea980225c8"/>
    <s v="ISA CTEEP - 9¬™ Emiss√£o (2¬™ Serie)"/>
    <x v="0"/>
    <x v="0"/>
    <s v="Transmission"/>
    <s v="Interliga√ß√£o El√©trica Itaquer√™ S.A. - 9¬∞"/>
    <s v="Brazil"/>
    <d v="2020-12-07T00:00:00"/>
    <d v="2021-12-31T00:00:00"/>
    <s v="BRL"/>
    <n v="35955218"/>
    <n v="30921487"/>
    <s v="BRL"/>
    <n v="30921487"/>
    <n v="6061610"/>
    <b v="0"/>
    <n v="0.09"/>
  </r>
  <r>
    <b v="1"/>
    <x v="0"/>
    <x v="0"/>
    <x v="2"/>
    <x v="0"/>
    <x v="1"/>
    <x v="21"/>
    <s v="BBG00YG422X6"/>
    <x v="6"/>
    <s v="5b9bc195be534adaa28f29ea980225c8"/>
    <s v="ISA CTEEP - 9¬™ Emiss√£o (2¬™ Serie)"/>
    <x v="1"/>
    <x v="1"/>
    <s v="Transmission"/>
    <s v="Interliga√ß√£o El√©trica Itaquer√™ S.A. - 9¬∞"/>
    <s v="Brazil"/>
    <d v="2020-12-07T00:00:00"/>
    <d v="2021-12-31T00:00:00"/>
    <s v="BRL"/>
    <n v="35955218"/>
    <n v="30921487"/>
    <s v="BRL"/>
    <n v="30921487"/>
    <n v="6061610"/>
    <b v="0"/>
    <n v="0.09"/>
  </r>
  <r>
    <b v="1"/>
    <x v="0"/>
    <x v="0"/>
    <x v="2"/>
    <x v="0"/>
    <x v="1"/>
    <x v="21"/>
    <s v="BBG00YG422X6"/>
    <x v="6"/>
    <s v="5b9bc195be534adaa28f29ea980225c8"/>
    <s v="ISA CTEEP - 9¬™ Emiss√£o (2¬™ Serie)"/>
    <x v="0"/>
    <x v="0"/>
    <s v="Transmission"/>
    <s v="Interliga√ß√£o El√©trica Itapura S.A. (Lote 25) - 9¬∞"/>
    <s v="Brazil"/>
    <d v="2020-12-07T00:00:00"/>
    <d v="2021-12-31T00:00:00"/>
    <s v="BRL"/>
    <n v="5251275"/>
    <n v="5251275"/>
    <s v="BRL"/>
    <n v="5251275"/>
    <n v="1029420"/>
    <b v="0"/>
    <n v="0.04"/>
  </r>
  <r>
    <b v="1"/>
    <x v="0"/>
    <x v="0"/>
    <x v="2"/>
    <x v="0"/>
    <x v="1"/>
    <x v="21"/>
    <s v="BBG00YG422X6"/>
    <x v="6"/>
    <s v="5b9bc195be534adaa28f29ea980225c8"/>
    <s v="ISA CTEEP - 9¬™ Emiss√£o (2¬™ Serie)"/>
    <x v="1"/>
    <x v="1"/>
    <s v="Transmission"/>
    <s v="Interliga√ß√£o El√©trica Itapura S.A. (Lote 25) - 9¬∞"/>
    <s v="Brazil"/>
    <d v="2020-12-07T00:00:00"/>
    <d v="2021-12-31T00:00:00"/>
    <s v="BRL"/>
    <n v="5251275"/>
    <n v="5251275"/>
    <s v="BRL"/>
    <n v="5251275"/>
    <n v="1029420"/>
    <b v="0"/>
    <n v="0.04"/>
  </r>
  <r>
    <b v="1"/>
    <x v="0"/>
    <x v="0"/>
    <x v="2"/>
    <x v="0"/>
    <x v="1"/>
    <x v="21"/>
    <s v="BBG00YG422X6"/>
    <x v="6"/>
    <s v="5b9bc195be534adaa28f29ea980225c8"/>
    <s v="ISA CTEEP - 9¬™ Emiss√£o (2¬™ Serie)"/>
    <x v="0"/>
    <x v="0"/>
    <s v="Transmission"/>
    <s v="Interliga√ß√£o El√©trica Itapura S.A. (Lote 10) - 9¬∞"/>
    <s v="Brazil"/>
    <d v="2020-12-07T00:00:00"/>
    <d v="2021-12-31T00:00:00"/>
    <s v="BRL"/>
    <n v="21102617"/>
    <n v="21102617"/>
    <s v="BRL"/>
    <n v="21102617"/>
    <n v="4136795"/>
    <b v="0"/>
    <n v="0.09"/>
  </r>
  <r>
    <b v="1"/>
    <x v="0"/>
    <x v="0"/>
    <x v="2"/>
    <x v="0"/>
    <x v="1"/>
    <x v="21"/>
    <s v="BBG00YG422X6"/>
    <x v="6"/>
    <s v="5b9bc195be534adaa28f29ea980225c8"/>
    <s v="ISA CTEEP - 9¬™ Emiss√£o (2¬™ Serie)"/>
    <x v="1"/>
    <x v="1"/>
    <s v="Transmission"/>
    <s v="Interliga√ß√£o El√©trica Itapura S.A. (Lote 10) - 9¬∞"/>
    <s v="Brazil"/>
    <d v="2020-12-07T00:00:00"/>
    <d v="2021-12-31T00:00:00"/>
    <s v="BRL"/>
    <n v="21102617"/>
    <n v="21102617"/>
    <s v="BRL"/>
    <n v="21102617"/>
    <n v="4136795"/>
    <b v="0"/>
    <n v="0.09"/>
  </r>
  <r>
    <b v="1"/>
    <x v="0"/>
    <x v="0"/>
    <x v="2"/>
    <x v="0"/>
    <x v="1"/>
    <x v="21"/>
    <s v="BBG00YG422X6"/>
    <x v="6"/>
    <s v="5b9bc195be534adaa28f29ea980225c8"/>
    <s v="ISA CTEEP - 9¬™ Emiss√£o (2¬™ Serie)"/>
    <x v="0"/>
    <x v="0"/>
    <s v="Transmission"/>
    <s v="Interliga√ß√£o El√©trica Aguape√≠ S.A. - 9¬∞"/>
    <s v="Brazil"/>
    <d v="2020-12-07T00:00:00"/>
    <d v="2021-12-31T00:00:00"/>
    <s v="BRL"/>
    <n v="99582514"/>
    <n v="99582514"/>
    <s v="BRL"/>
    <n v="99582514"/>
    <n v="19521390"/>
    <b v="0"/>
    <n v="0.17"/>
  </r>
  <r>
    <b v="1"/>
    <x v="0"/>
    <x v="0"/>
    <x v="2"/>
    <x v="0"/>
    <x v="1"/>
    <x v="21"/>
    <s v="BBG00YG422X6"/>
    <x v="6"/>
    <s v="5b9bc195be534adaa28f29ea980225c8"/>
    <s v="ISA CTEEP - 9¬™ Emiss√£o (2¬™ Serie)"/>
    <x v="1"/>
    <x v="1"/>
    <s v="Transmission"/>
    <s v="Interliga√ß√£o El√©trica Aguape√≠ S.A. - 9¬∞"/>
    <s v="Brazil"/>
    <d v="2020-12-07T00:00:00"/>
    <d v="2021-12-31T00:00:00"/>
    <s v="BRL"/>
    <n v="99582514"/>
    <n v="99582514"/>
    <s v="BRL"/>
    <n v="99582514"/>
    <n v="19521390"/>
    <b v="0"/>
    <n v="0.17"/>
  </r>
  <r>
    <b v="1"/>
    <x v="0"/>
    <x v="0"/>
    <x v="2"/>
    <x v="0"/>
    <x v="1"/>
    <x v="21"/>
    <s v="BBG00YG422X6"/>
    <x v="6"/>
    <s v="5b9bc195be534adaa28f29ea980225c8"/>
    <s v="ISA CTEEP - 9¬™ Emiss√£o (2¬™ Serie)"/>
    <x v="0"/>
    <x v="0"/>
    <s v="Transmission"/>
    <s v="Interliga√ß√£o El√©trica Aimor√©s S.A. - 9¬∞"/>
    <s v="Brazil"/>
    <d v="2020-12-07T00:00:00"/>
    <d v="2021-12-31T00:00:00"/>
    <s v="BRL"/>
    <n v="18916826"/>
    <n v="18916826"/>
    <s v="BRL"/>
    <n v="18916826"/>
    <n v="3708309"/>
    <b v="0"/>
    <n v="0.06"/>
  </r>
  <r>
    <b v="1"/>
    <x v="0"/>
    <x v="0"/>
    <x v="2"/>
    <x v="0"/>
    <x v="1"/>
    <x v="21"/>
    <s v="BBG00YG422X6"/>
    <x v="6"/>
    <s v="5b9bc195be534adaa28f29ea980225c8"/>
    <s v="ISA CTEEP - 9¬™ Emiss√£o (2¬™ Serie)"/>
    <x v="1"/>
    <x v="1"/>
    <s v="Transmission"/>
    <s v="Interliga√ß√£o El√©trica Aimor√©s S.A. - 9¬∞"/>
    <s v="Brazil"/>
    <d v="2020-12-07T00:00:00"/>
    <d v="2021-12-31T00:00:00"/>
    <s v="BRL"/>
    <n v="18916826"/>
    <n v="18916826"/>
    <s v="BRL"/>
    <n v="18916826"/>
    <n v="3708309"/>
    <b v="0"/>
    <n v="0.06"/>
  </r>
  <r>
    <b v="1"/>
    <x v="0"/>
    <x v="0"/>
    <x v="2"/>
    <x v="0"/>
    <x v="1"/>
    <x v="19"/>
    <n v="0"/>
    <x v="0"/>
    <s v="4e17f0d80ab34899bc0d289e2bbfe144"/>
    <s v="BAGUA-AC"/>
    <x v="0"/>
    <x v="2"/>
    <s v="Treatment"/>
    <s v="Ampliaci√≥n Planta De Tratamiento Aguas Servidas Buin-Maipo - 2018"/>
    <s v="Chile"/>
    <d v="2018-12-31T00:00:00"/>
    <d v="2018-12-31T00:00:00"/>
    <s v="CLP"/>
    <n v="35741549"/>
    <n v="35741549"/>
    <s v="CLF"/>
    <n v="1297"/>
    <n v="51376"/>
    <b v="1"/>
    <n v="0.01"/>
  </r>
  <r>
    <b v="1"/>
    <x v="0"/>
    <x v="0"/>
    <x v="2"/>
    <x v="0"/>
    <x v="1"/>
    <x v="19"/>
    <n v="0"/>
    <x v="0"/>
    <s v="4e17f0d80ab34899bc0d289e2bbfe144"/>
    <s v="BAGUA-AC"/>
    <x v="1"/>
    <x v="3"/>
    <s v="Wastewater treatment"/>
    <s v="Ampliaci√≥n Planta De Tratamiento Aguas Servidas Buin-Maipo - 2018"/>
    <s v="Chile"/>
    <d v="2018-12-31T00:00:00"/>
    <d v="2018-12-31T00:00:00"/>
    <s v="CLP"/>
    <n v="35741549"/>
    <n v="35741549"/>
    <s v="CLF"/>
    <n v="1297"/>
    <n v="51376"/>
    <b v="1"/>
    <n v="0.01"/>
  </r>
  <r>
    <b v="1"/>
    <x v="0"/>
    <x v="0"/>
    <x v="2"/>
    <x v="0"/>
    <x v="1"/>
    <x v="19"/>
    <n v="0"/>
    <x v="0"/>
    <s v="4e17f0d80ab34899bc0d289e2bbfe144"/>
    <s v="BAGUA-AC"/>
    <x v="0"/>
    <x v="2"/>
    <s v="Treatment"/>
    <s v="Ampliaci√≥n Planta De Tratamiento De Aguas Servidas El Monte 2018 - 2018"/>
    <s v="Chile"/>
    <d v="2018-12-31T00:00:00"/>
    <d v="2018-12-31T00:00:00"/>
    <s v="CLP"/>
    <n v="405589296"/>
    <n v="405589296"/>
    <s v="CLF"/>
    <n v="14714"/>
    <n v="583003"/>
    <b v="1"/>
    <n v="0.11"/>
  </r>
  <r>
    <b v="1"/>
    <x v="0"/>
    <x v="0"/>
    <x v="2"/>
    <x v="0"/>
    <x v="1"/>
    <x v="19"/>
    <n v="0"/>
    <x v="0"/>
    <s v="4e17f0d80ab34899bc0d289e2bbfe144"/>
    <s v="BAGUA-AC"/>
    <x v="1"/>
    <x v="3"/>
    <s v="Wastewater treatment"/>
    <s v="Ampliaci√≥n Planta De Tratamiento De Aguas Servidas El Monte 2018 - 2018"/>
    <s v="Chile"/>
    <d v="2018-12-31T00:00:00"/>
    <d v="2018-12-31T00:00:00"/>
    <s v="CLP"/>
    <n v="405589296"/>
    <n v="405589296"/>
    <s v="CLF"/>
    <n v="14714"/>
    <n v="583003"/>
    <b v="1"/>
    <n v="0.11"/>
  </r>
  <r>
    <b v="1"/>
    <x v="2"/>
    <x v="0"/>
    <x v="0"/>
    <x v="0"/>
    <x v="1"/>
    <x v="22"/>
    <n v="0"/>
    <x v="0"/>
    <s v="3e001fbc60b6457dbbb4e67ee69152c0"/>
    <s v="BAGUA-AE"/>
    <x v="0"/>
    <x v="2"/>
    <s v="Treatment"/>
    <s v="Planta Tratamiento Agua Potable Chamisero (Canal Batuco) - 2019"/>
    <s v="Chile"/>
    <d v="2019-12-31T00:00:00"/>
    <d v="2019-12-31T00:00:00"/>
    <s v="CLP"/>
    <n v="1538934285"/>
    <n v="1538934285"/>
    <s v="CLF"/>
    <n v="54360"/>
    <n v="2066738"/>
    <b v="0"/>
    <n v="0.09"/>
  </r>
  <r>
    <b v="1"/>
    <x v="0"/>
    <x v="0"/>
    <x v="2"/>
    <x v="0"/>
    <x v="1"/>
    <x v="14"/>
    <n v="0"/>
    <x v="7"/>
    <s v="c8db70a600e4496aa0bdff98338e72ee"/>
    <s v="CIFI Green Bond Program"/>
    <x v="0"/>
    <x v="0"/>
    <s v="Hydro"/>
    <s v="Mezapa"/>
    <s v="Honduras"/>
    <d v="2019-09-26T00:00:00"/>
    <d v="2017-09-29T00:00:00"/>
    <s v="USD"/>
    <n v="13000000"/>
    <n v="13000000"/>
    <s v="USD"/>
    <n v="13000000"/>
    <n v="13000000"/>
    <b v="1"/>
    <n v="0.6"/>
  </r>
  <r>
    <b v="1"/>
    <x v="0"/>
    <x v="0"/>
    <x v="2"/>
    <x v="0"/>
    <x v="1"/>
    <x v="14"/>
    <n v="0"/>
    <x v="7"/>
    <s v="c8db70a600e4496aa0bdff98338e72ee"/>
    <s v="CIFI Green Bond Program"/>
    <x v="1"/>
    <x v="1"/>
    <s v="Products"/>
    <s v="Mezapa"/>
    <s v="Honduras"/>
    <d v="2019-09-26T00:00:00"/>
    <d v="2017-09-29T00:00:00"/>
    <s v="USD"/>
    <n v="13000000"/>
    <n v="13000000"/>
    <s v="USD"/>
    <n v="13000000"/>
    <n v="13000000"/>
    <b v="1"/>
    <n v="0.6"/>
  </r>
  <r>
    <b v="1"/>
    <x v="0"/>
    <x v="0"/>
    <x v="2"/>
    <x v="0"/>
    <x v="1"/>
    <x v="14"/>
    <n v="0"/>
    <x v="7"/>
    <s v="c8db70a600e4496aa0bdff98338e72ee"/>
    <s v="CIFI Green Bond Program"/>
    <x v="0"/>
    <x v="0"/>
    <s v="Solar"/>
    <s v="San Juan"/>
    <s v="Argentina"/>
    <d v="2019-09-26T00:00:00"/>
    <d v="2018-07-10T00:00:00"/>
    <s v="USD"/>
    <n v="6782527"/>
    <n v="6782527"/>
    <s v="USD"/>
    <n v="6782527"/>
    <n v="6782527"/>
    <b v="1"/>
    <n v="0.27"/>
  </r>
  <r>
    <b v="1"/>
    <x v="0"/>
    <x v="0"/>
    <x v="2"/>
    <x v="0"/>
    <x v="1"/>
    <x v="14"/>
    <n v="0"/>
    <x v="7"/>
    <s v="c8db70a600e4496aa0bdff98338e72ee"/>
    <s v="CIFI Green Bond Program"/>
    <x v="0"/>
    <x v="0"/>
    <s v="Solar"/>
    <s v="San Juan"/>
    <s v="Argentina"/>
    <d v="2019-09-26T00:00:00"/>
    <d v="2019-04-12T00:00:00"/>
    <s v="USD"/>
    <n v="1120661"/>
    <n v="1120661"/>
    <s v="USD"/>
    <n v="1120661"/>
    <n v="1120661"/>
    <b v="1"/>
    <n v="0.27"/>
  </r>
  <r>
    <b v="1"/>
    <x v="0"/>
    <x v="0"/>
    <x v="2"/>
    <x v="0"/>
    <x v="1"/>
    <x v="14"/>
    <n v="0"/>
    <x v="7"/>
    <s v="c8db70a600e4496aa0bdff98338e72ee"/>
    <s v="CIFI Green Bond Program"/>
    <x v="0"/>
    <x v="0"/>
    <s v="Solar"/>
    <s v="San Juan"/>
    <s v="Argentina"/>
    <d v="2019-09-26T00:00:00"/>
    <d v="2018-10-12T00:00:00"/>
    <s v="USD"/>
    <n v="4240259"/>
    <n v="4240259"/>
    <s v="USD"/>
    <n v="4240259"/>
    <n v="4240259"/>
    <b v="1"/>
    <n v="0.27"/>
  </r>
  <r>
    <b v="1"/>
    <x v="0"/>
    <x v="0"/>
    <x v="2"/>
    <x v="0"/>
    <x v="1"/>
    <x v="14"/>
    <n v="0"/>
    <x v="7"/>
    <s v="c8db70a600e4496aa0bdff98338e72ee"/>
    <s v="CIFI Green Bond Program"/>
    <x v="0"/>
    <x v="0"/>
    <s v="Solar"/>
    <s v="San Juan"/>
    <s v="Argentina"/>
    <d v="2019-09-26T00:00:00"/>
    <d v="2018-07-10T00:00:00"/>
    <s v="USD"/>
    <n v="1439570"/>
    <n v="1439570"/>
    <s v="USD"/>
    <n v="1439570"/>
    <n v="1439570"/>
    <b v="1"/>
    <n v="0.27"/>
  </r>
  <r>
    <b v="1"/>
    <x v="0"/>
    <x v="0"/>
    <x v="2"/>
    <x v="0"/>
    <x v="1"/>
    <x v="14"/>
    <n v="0"/>
    <x v="7"/>
    <s v="c8db70a600e4496aa0bdff98338e72ee"/>
    <s v="CIFI Green Bond Program"/>
    <x v="1"/>
    <x v="1"/>
    <s v="Products"/>
    <s v="San Juan"/>
    <s v="Argentina"/>
    <d v="2019-09-26T00:00:00"/>
    <d v="2018-07-10T00:00:00"/>
    <s v="USD"/>
    <n v="6782527"/>
    <n v="6782527"/>
    <s v="USD"/>
    <n v="6782527"/>
    <n v="6782527"/>
    <b v="1"/>
    <n v="0.27"/>
  </r>
  <r>
    <b v="1"/>
    <x v="0"/>
    <x v="0"/>
    <x v="2"/>
    <x v="0"/>
    <x v="1"/>
    <x v="14"/>
    <n v="0"/>
    <x v="7"/>
    <s v="c8db70a600e4496aa0bdff98338e72ee"/>
    <s v="CIFI Green Bond Program"/>
    <x v="1"/>
    <x v="1"/>
    <s v="Products"/>
    <s v="San Juan"/>
    <s v="Argentina"/>
    <d v="2019-09-26T00:00:00"/>
    <d v="2019-04-12T00:00:00"/>
    <s v="USD"/>
    <n v="1120661"/>
    <n v="1120661"/>
    <s v="USD"/>
    <n v="1120661"/>
    <n v="1120661"/>
    <b v="1"/>
    <n v="0.27"/>
  </r>
  <r>
    <b v="1"/>
    <x v="0"/>
    <x v="0"/>
    <x v="2"/>
    <x v="0"/>
    <x v="1"/>
    <x v="14"/>
    <n v="0"/>
    <x v="7"/>
    <s v="c8db70a600e4496aa0bdff98338e72ee"/>
    <s v="CIFI Green Bond Program"/>
    <x v="1"/>
    <x v="1"/>
    <s v="Products"/>
    <s v="San Juan"/>
    <s v="Argentina"/>
    <d v="2019-09-26T00:00:00"/>
    <d v="2018-10-12T00:00:00"/>
    <s v="USD"/>
    <n v="4240259"/>
    <n v="4240259"/>
    <s v="USD"/>
    <n v="4240259"/>
    <n v="4240259"/>
    <b v="1"/>
    <n v="0.27"/>
  </r>
  <r>
    <b v="1"/>
    <x v="0"/>
    <x v="0"/>
    <x v="2"/>
    <x v="0"/>
    <x v="1"/>
    <x v="14"/>
    <n v="0"/>
    <x v="7"/>
    <s v="c8db70a600e4496aa0bdff98338e72ee"/>
    <s v="CIFI Green Bond Program"/>
    <x v="1"/>
    <x v="1"/>
    <s v="Products"/>
    <s v="San Juan"/>
    <s v="Argentina"/>
    <d v="2019-09-26T00:00:00"/>
    <d v="2018-07-10T00:00:00"/>
    <s v="USD"/>
    <n v="1439570"/>
    <n v="1439570"/>
    <s v="USD"/>
    <n v="1439570"/>
    <n v="1439570"/>
    <b v="1"/>
    <n v="0.27"/>
  </r>
  <r>
    <b v="1"/>
    <x v="2"/>
    <x v="0"/>
    <x v="0"/>
    <x v="0"/>
    <x v="1"/>
    <x v="22"/>
    <n v="0"/>
    <x v="0"/>
    <s v="3e001fbc60b6457dbbb4e67ee69152c0"/>
    <s v="BAGUA-AE"/>
    <x v="1"/>
    <x v="3"/>
    <s v="Infrastructure"/>
    <s v="Planta Tratamiento Agua Potable Chamisero (Canal Batuco) - 2019"/>
    <s v="Chile"/>
    <d v="2019-12-31T00:00:00"/>
    <d v="2019-12-31T00:00:00"/>
    <s v="CLP"/>
    <n v="1538934285"/>
    <n v="1538934285"/>
    <s v="CLF"/>
    <n v="54360"/>
    <n v="2066738"/>
    <b v="0"/>
    <n v="0.09"/>
  </r>
  <r>
    <b v="1"/>
    <x v="2"/>
    <x v="0"/>
    <x v="0"/>
    <x v="0"/>
    <x v="1"/>
    <x v="22"/>
    <n v="0"/>
    <x v="0"/>
    <s v="3e001fbc60b6457dbbb4e67ee69152c0"/>
    <s v="BAGUA-AE"/>
    <x v="0"/>
    <x v="2"/>
    <s v="Storage"/>
    <s v="Obras Emergencia Eventos De Turbiedad - 2019"/>
    <s v="Chile"/>
    <d v="2019-12-31T00:00:00"/>
    <d v="2019-12-31T00:00:00"/>
    <s v="CLP"/>
    <n v="180764729"/>
    <n v="180764729"/>
    <s v="CLF"/>
    <n v="6385"/>
    <n v="242761"/>
    <b v="1"/>
    <n v="0.02"/>
  </r>
  <r>
    <b v="1"/>
    <x v="2"/>
    <x v="0"/>
    <x v="0"/>
    <x v="0"/>
    <x v="1"/>
    <x v="22"/>
    <n v="0"/>
    <x v="0"/>
    <s v="3e001fbc60b6457dbbb4e67ee69152c0"/>
    <s v="BAGUA-AE"/>
    <x v="1"/>
    <x v="3"/>
    <s v="Infrastructure"/>
    <s v="Obras Emergencia Eventos De Turbiedad - 2019"/>
    <s v="Chile"/>
    <d v="2019-12-31T00:00:00"/>
    <d v="2019-12-31T00:00:00"/>
    <s v="CLP"/>
    <n v="180764729"/>
    <n v="180764729"/>
    <s v="CLF"/>
    <n v="6385"/>
    <n v="242761"/>
    <b v="1"/>
    <n v="0.02"/>
  </r>
  <r>
    <b v="1"/>
    <x v="2"/>
    <x v="0"/>
    <x v="0"/>
    <x v="0"/>
    <x v="1"/>
    <x v="22"/>
    <n v="0"/>
    <x v="0"/>
    <s v="3e001fbc60b6457dbbb4e67ee69152c0"/>
    <s v="BAGUA-AE"/>
    <x v="0"/>
    <x v="2"/>
    <s v="Storage"/>
    <s v="Estanque Pirque - 2019"/>
    <s v="Chile"/>
    <d v="2019-12-31T00:00:00"/>
    <d v="2019-12-31T00:00:00"/>
    <s v="CLP"/>
    <n v="42141136459"/>
    <n v="42141136459"/>
    <s v="CLF"/>
    <n v="1488563"/>
    <n v="56594151"/>
    <b v="1"/>
    <n v="0.51"/>
  </r>
  <r>
    <b v="1"/>
    <x v="0"/>
    <x v="2"/>
    <x v="0"/>
    <x v="0"/>
    <x v="3"/>
    <x v="18"/>
    <s v="BBG00HSGX4Z3"/>
    <x v="5"/>
    <s v="cffe109b8d59400dbf3b62d9e36c0d76"/>
    <s v="GCDMXCB 17X"/>
    <x v="0"/>
    <x v="0"/>
    <s v="Grid"/>
    <s v="Mejora y mantenimiento del alumbrado p√∫blico - 17"/>
    <s v="Mexico"/>
    <d v="2017-12-31T00:00:00"/>
    <d v="2017-12-31T00:00:00"/>
    <s v="MXN"/>
    <n v="80000000"/>
    <n v="288021499"/>
    <s v="MXN"/>
    <n v="288021499"/>
    <n v="14962717"/>
    <b v="1"/>
    <n v="0.12"/>
  </r>
  <r>
    <b v="1"/>
    <x v="0"/>
    <x v="2"/>
    <x v="0"/>
    <x v="0"/>
    <x v="3"/>
    <x v="18"/>
    <s v="BBG00HSGX4Z3"/>
    <x v="5"/>
    <s v="cffe109b8d59400dbf3b62d9e36c0d76"/>
    <s v="GCDMXCB 17X"/>
    <x v="1"/>
    <x v="4"/>
    <s v="Smart grids"/>
    <s v="Mejora y mantenimiento del alumbrado p√∫blico - 17"/>
    <s v="Mexico"/>
    <d v="2017-12-31T00:00:00"/>
    <d v="2017-12-31T00:00:00"/>
    <s v="MXN"/>
    <n v="80000000"/>
    <n v="288021499"/>
    <s v="MXN"/>
    <n v="288021499"/>
    <n v="14962717"/>
    <b v="1"/>
    <n v="0.12"/>
  </r>
  <r>
    <b v="1"/>
    <x v="2"/>
    <x v="0"/>
    <x v="0"/>
    <x v="0"/>
    <x v="1"/>
    <x v="22"/>
    <n v="0"/>
    <x v="0"/>
    <s v="3e001fbc60b6457dbbb4e67ee69152c0"/>
    <s v="BAGUA-AE"/>
    <x v="1"/>
    <x v="3"/>
    <s v="Infrastructure"/>
    <s v="Estanque Pirque - 2019"/>
    <s v="Chile"/>
    <d v="2019-12-31T00:00:00"/>
    <d v="2019-12-31T00:00:00"/>
    <s v="CLP"/>
    <n v="42141136459"/>
    <n v="42141136459"/>
    <s v="CLF"/>
    <n v="1488563"/>
    <n v="56594151"/>
    <b v="1"/>
    <n v="0.51"/>
  </r>
  <r>
    <b v="1"/>
    <x v="2"/>
    <x v="0"/>
    <x v="0"/>
    <x v="0"/>
    <x v="1"/>
    <x v="22"/>
    <n v="0"/>
    <x v="0"/>
    <s v="3e001fbc60b6457dbbb4e67ee69152c0"/>
    <s v="BAGUA-AE"/>
    <x v="0"/>
    <x v="2"/>
    <s v="Treatment"/>
    <s v="Ampliaci√≥n Planta Tratamiento Aguas Servidas Talagante II - 2019"/>
    <s v="Chile"/>
    <d v="2019-12-31T00:00:00"/>
    <d v="2019-12-31T00:00:00"/>
    <s v="CLP"/>
    <n v="2408835374"/>
    <n v="2408835374"/>
    <s v="CLF"/>
    <n v="85088"/>
    <n v="3234986"/>
    <b v="1"/>
    <n v="0.36"/>
  </r>
  <r>
    <b v="1"/>
    <x v="2"/>
    <x v="0"/>
    <x v="0"/>
    <x v="0"/>
    <x v="1"/>
    <x v="22"/>
    <n v="0"/>
    <x v="0"/>
    <s v="3e001fbc60b6457dbbb4e67ee69152c0"/>
    <s v="BAGUA-AE"/>
    <x v="1"/>
    <x v="3"/>
    <s v="Wastewater treatment"/>
    <s v="Ampliaci√≥n Planta Tratamiento Aguas Servidas Talagante II - 2019"/>
    <s v="Chile"/>
    <d v="2019-12-31T00:00:00"/>
    <d v="2019-12-31T00:00:00"/>
    <s v="CLP"/>
    <n v="2408835374"/>
    <n v="2408835374"/>
    <s v="CLF"/>
    <n v="85088"/>
    <n v="3234986"/>
    <b v="1"/>
    <n v="0.36"/>
  </r>
  <r>
    <b v="1"/>
    <x v="2"/>
    <x v="0"/>
    <x v="0"/>
    <x v="0"/>
    <x v="1"/>
    <x v="22"/>
    <n v="0"/>
    <x v="0"/>
    <s v="3e001fbc60b6457dbbb4e67ee69152c0"/>
    <s v="BAGUA-AE"/>
    <x v="0"/>
    <x v="2"/>
    <s v="Treatment"/>
    <s v="Ampliaci√≥n Tercera Planta De Tratamiento Aguas Servidas - 2019"/>
    <s v="Chile"/>
    <d v="2019-12-31T00:00:00"/>
    <d v="2019-12-31T00:00:00"/>
    <s v="CLP"/>
    <n v="1230293413"/>
    <n v="1230293413"/>
    <s v="CLF"/>
    <n v="43458"/>
    <n v="1652243"/>
    <b v="1"/>
    <n v="0.16"/>
  </r>
  <r>
    <b v="1"/>
    <x v="0"/>
    <x v="2"/>
    <x v="0"/>
    <x v="0"/>
    <x v="3"/>
    <x v="18"/>
    <s v="BBG00HSGX4Z3"/>
    <x v="5"/>
    <s v="cffe109b8d59400dbf3b62d9e36c0d76"/>
    <s v="GCDMXCB 17X"/>
    <x v="2"/>
    <x v="9"/>
    <s v="Unspecified"/>
    <s v="Mejora y mantenimiento del alumbrado p√∫blico - 17"/>
    <s v="Mexico"/>
    <d v="2017-12-31T00:00:00"/>
    <d v="2017-12-31T00:00:00"/>
    <s v="MXN"/>
    <n v="80000000"/>
    <n v="288021499"/>
    <s v="MXN"/>
    <n v="288021499"/>
    <n v="14962717"/>
    <b v="1"/>
    <n v="0.12"/>
  </r>
  <r>
    <b v="1"/>
    <x v="0"/>
    <x v="2"/>
    <x v="0"/>
    <x v="0"/>
    <x v="3"/>
    <x v="18"/>
    <s v="BBG00HSGX4Z3"/>
    <x v="5"/>
    <s v="cffe109b8d59400dbf3b62d9e36c0d76"/>
    <s v="GCDMXCB 17X"/>
    <x v="3"/>
    <x v="9"/>
    <s v="Unspecified"/>
    <s v="Mejora y mantenimiento del alumbrado p√∫blico - 17"/>
    <s v="Mexico"/>
    <d v="2017-12-31T00:00:00"/>
    <d v="2017-12-31T00:00:00"/>
    <s v="MXN"/>
    <n v="80000000"/>
    <n v="288021499"/>
    <s v="MXN"/>
    <n v="288021499"/>
    <n v="14962717"/>
    <b v="1"/>
    <n v="0.12"/>
  </r>
  <r>
    <b v="1"/>
    <x v="0"/>
    <x v="2"/>
    <x v="0"/>
    <x v="0"/>
    <x v="3"/>
    <x v="18"/>
    <s v="BBG00HSGX4Z3"/>
    <x v="5"/>
    <s v="cffe109b8d59400dbf3b62d9e36c0d76"/>
    <s v="GCDMXCB 17X"/>
    <x v="2"/>
    <x v="9"/>
    <s v="Unspecified"/>
    <s v="Proyectos sociales"/>
    <s v="Mexico"/>
    <d v="2017-12-31T00:00:00"/>
    <d v="2017-12-31T00:00:00"/>
    <s v="MXN"/>
    <n v="73100308"/>
    <n v="73100308"/>
    <s v="MXN"/>
    <n v="73100308"/>
    <n v="3797561"/>
    <b v="0"/>
    <n v="1"/>
  </r>
  <r>
    <b v="1"/>
    <x v="0"/>
    <x v="2"/>
    <x v="0"/>
    <x v="0"/>
    <x v="3"/>
    <x v="18"/>
    <s v="BBG00HSGX4Z3"/>
    <x v="5"/>
    <s v="cffe109b8d59400dbf3b62d9e36c0d76"/>
    <s v="GCDMXCB 17X"/>
    <x v="3"/>
    <x v="9"/>
    <s v="Unspecified"/>
    <s v="Proyectos sociales"/>
    <s v="Mexico"/>
    <d v="2017-12-31T00:00:00"/>
    <d v="2017-12-31T00:00:00"/>
    <s v="MXN"/>
    <n v="73100308"/>
    <n v="73100308"/>
    <s v="MXN"/>
    <n v="73100308"/>
    <n v="3797561"/>
    <b v="0"/>
    <n v="1"/>
  </r>
  <r>
    <b v="1"/>
    <x v="0"/>
    <x v="2"/>
    <x v="0"/>
    <x v="0"/>
    <x v="3"/>
    <x v="18"/>
    <s v="BBG00HSGX4Z3"/>
    <x v="5"/>
    <s v="cffe109b8d59400dbf3b62d9e36c0d76"/>
    <s v="GCDMXCB 17X"/>
    <x v="0"/>
    <x v="14"/>
    <s v="General"/>
    <s v="Proyectos sociales"/>
    <s v="Mexico"/>
    <d v="2017-12-31T00:00:00"/>
    <d v="2017-12-31T00:00:00"/>
    <s v="MXN"/>
    <n v="73100308"/>
    <n v="73100308"/>
    <s v="MXN"/>
    <n v="73100308"/>
    <n v="3797561"/>
    <b v="0"/>
    <n v="1"/>
  </r>
  <r>
    <b v="1"/>
    <x v="0"/>
    <x v="2"/>
    <x v="0"/>
    <x v="0"/>
    <x v="3"/>
    <x v="18"/>
    <s v="BBG00HSGX4Z3"/>
    <x v="5"/>
    <s v="cffe109b8d59400dbf3b62d9e36c0d76"/>
    <s v="GCDMXCB 17X"/>
    <x v="1"/>
    <x v="14"/>
    <s v="General"/>
    <s v="Proyectos sociales"/>
    <s v="Mexico"/>
    <d v="2017-12-31T00:00:00"/>
    <d v="2017-12-31T00:00:00"/>
    <s v="MXN"/>
    <n v="73100308"/>
    <n v="73100308"/>
    <s v="MXN"/>
    <n v="73100308"/>
    <n v="3797561"/>
    <b v="0"/>
    <n v="1"/>
  </r>
  <r>
    <e v="#N/A"/>
    <x v="1"/>
    <x v="1"/>
    <x v="3"/>
    <x v="1"/>
    <x v="2"/>
    <x v="10"/>
    <e v="#N/A"/>
    <x v="2"/>
    <s v="b1ee5ee2b303417fb77c0c62bf84343a"/>
    <s v="Green Bond ON C1"/>
    <x v="0"/>
    <x v="7"/>
    <s v="Commercial"/>
    <s v="Green Bond ON C1 Plaza Ciudad (CTC)"/>
    <s v="Argentina"/>
    <d v="2019-12-11T00:00:00"/>
    <d v="2017-12-13T00:00:00"/>
    <s v="USD"/>
    <n v="1247825"/>
    <n v="1247825"/>
    <s v="USD"/>
    <n v="1247825"/>
    <n v="1247825"/>
    <b v="0"/>
    <n v="7.0000000000000007E-2"/>
  </r>
  <r>
    <e v="#N/A"/>
    <x v="1"/>
    <x v="1"/>
    <x v="3"/>
    <x v="1"/>
    <x v="2"/>
    <x v="10"/>
    <e v="#N/A"/>
    <x v="2"/>
    <s v="b1ee5ee2b303417fb77c0c62bf84343a"/>
    <s v="Green Bond ON C1"/>
    <x v="1"/>
    <x v="8"/>
    <s v="Commercial"/>
    <s v="Green Bond ON C1 Plaza Ciudad (CTC)"/>
    <s v="Argentina"/>
    <d v="2019-12-11T00:00:00"/>
    <d v="2017-12-13T00:00:00"/>
    <s v="USD"/>
    <n v="1247825"/>
    <n v="1247825"/>
    <s v="USD"/>
    <n v="1247825"/>
    <n v="1247825"/>
    <b v="0"/>
    <n v="7.0000000000000007E-2"/>
  </r>
  <r>
    <e v="#N/A"/>
    <x v="1"/>
    <x v="1"/>
    <x v="3"/>
    <x v="1"/>
    <x v="2"/>
    <x v="10"/>
    <e v="#N/A"/>
    <x v="2"/>
    <s v="b1ee5ee2b303417fb77c0c62bf84343a"/>
    <s v="Green Bond ON C1"/>
    <x v="2"/>
    <x v="9"/>
    <s v="Unspecified"/>
    <s v="Green Bond ON C1 Plaza Ciudad (CTC)"/>
    <s v="Argentina"/>
    <d v="2019-12-11T00:00:00"/>
    <d v="2017-12-13T00:00:00"/>
    <s v="USD"/>
    <n v="1247825"/>
    <n v="1247825"/>
    <s v="USD"/>
    <n v="1247825"/>
    <n v="1247825"/>
    <b v="0"/>
    <n v="7.0000000000000007E-2"/>
  </r>
  <r>
    <e v="#N/A"/>
    <x v="1"/>
    <x v="1"/>
    <x v="3"/>
    <x v="1"/>
    <x v="2"/>
    <x v="10"/>
    <e v="#N/A"/>
    <x v="2"/>
    <s v="b1ee5ee2b303417fb77c0c62bf84343a"/>
    <s v="Green Bond ON C1"/>
    <x v="3"/>
    <x v="9"/>
    <s v="Unspecified"/>
    <s v="Green Bond ON C1 Plaza Ciudad (CTC)"/>
    <s v="Argentina"/>
    <d v="2019-12-11T00:00:00"/>
    <d v="2017-12-13T00:00:00"/>
    <s v="USD"/>
    <n v="1247825"/>
    <n v="1247825"/>
    <s v="USD"/>
    <n v="1247825"/>
    <n v="1247825"/>
    <b v="0"/>
    <n v="7.0000000000000007E-2"/>
  </r>
  <r>
    <b v="1"/>
    <x v="0"/>
    <x v="0"/>
    <x v="1"/>
    <x v="0"/>
    <x v="1"/>
    <x v="23"/>
    <s v="BBG00KVC0Y18"/>
    <x v="8"/>
    <s v="2713ee8efde4440b875f3a181f33a9f4"/>
    <s v="ISA CTEEP - 7¬™ Emiss√£o"/>
    <x v="0"/>
    <x v="0"/>
    <s v="Transmission"/>
    <s v="Interliga√ß√£o El√©trica Ita√∫nas S.A. - 7¬∞"/>
    <s v="Brazil"/>
    <d v="2018-04-15T00:00:00"/>
    <d v="2019-12-31T00:00:00"/>
    <s v="BRL"/>
    <n v="84919363"/>
    <n v="84919363"/>
    <s v="BRL"/>
    <n v="84919363"/>
    <n v="16342904"/>
    <b v="0"/>
    <n v="0.28000000000000003"/>
  </r>
  <r>
    <b v="1"/>
    <x v="0"/>
    <x v="0"/>
    <x v="1"/>
    <x v="0"/>
    <x v="1"/>
    <x v="23"/>
    <s v="BBG00KVC0Y18"/>
    <x v="8"/>
    <s v="2713ee8efde4440b875f3a181f33a9f4"/>
    <s v="ISA CTEEP - 7¬™ Emiss√£o"/>
    <x v="1"/>
    <x v="1"/>
    <s v="Transmission"/>
    <s v="Interliga√ß√£o El√©trica Ita√∫nas S.A. - 7¬∞"/>
    <s v="Brazil"/>
    <d v="2018-04-15T00:00:00"/>
    <d v="2019-12-31T00:00:00"/>
    <s v="BRL"/>
    <n v="84919363"/>
    <n v="84919363"/>
    <s v="BRL"/>
    <n v="84919363"/>
    <n v="16342904"/>
    <b v="0"/>
    <n v="0.28000000000000003"/>
  </r>
  <r>
    <b v="1"/>
    <x v="0"/>
    <x v="0"/>
    <x v="1"/>
    <x v="0"/>
    <x v="1"/>
    <x v="23"/>
    <s v="BBG00KVC0Y18"/>
    <x v="8"/>
    <s v="2713ee8efde4440b875f3a181f33a9f4"/>
    <s v="ISA CTEEP - 7¬™ Emiss√£o"/>
    <x v="0"/>
    <x v="0"/>
    <s v="Transmission"/>
    <s v="Interliga√ß√£o El√©trica Itaquer√™ S.A. - 7¬∞"/>
    <s v="Brazil"/>
    <d v="2018-04-15T00:00:00"/>
    <d v="2019-12-31T00:00:00"/>
    <s v="BRL"/>
    <n v="65116725"/>
    <n v="65116725"/>
    <s v="BRL"/>
    <n v="65116725"/>
    <n v="12531846"/>
    <b v="0"/>
    <n v="0.16"/>
  </r>
  <r>
    <b v="1"/>
    <x v="0"/>
    <x v="0"/>
    <x v="1"/>
    <x v="0"/>
    <x v="1"/>
    <x v="23"/>
    <s v="BBG00KVC0Y18"/>
    <x v="8"/>
    <s v="2713ee8efde4440b875f3a181f33a9f4"/>
    <s v="ISA CTEEP - 7¬™ Emiss√£o"/>
    <x v="1"/>
    <x v="1"/>
    <s v="Transmission"/>
    <s v="Interliga√ß√£o El√©trica Itaquer√™ S.A. - 7¬∞"/>
    <s v="Brazil"/>
    <d v="2018-04-15T00:00:00"/>
    <d v="2019-12-31T00:00:00"/>
    <s v="BRL"/>
    <n v="65116725"/>
    <n v="65116725"/>
    <s v="BRL"/>
    <n v="65116725"/>
    <n v="12531846"/>
    <b v="0"/>
    <n v="0.16"/>
  </r>
  <r>
    <b v="1"/>
    <x v="0"/>
    <x v="0"/>
    <x v="1"/>
    <x v="0"/>
    <x v="1"/>
    <x v="23"/>
    <s v="BBG00KVC0Y18"/>
    <x v="8"/>
    <s v="2713ee8efde4440b875f3a181f33a9f4"/>
    <s v="ISA CTEEP - 7¬™ Emiss√£o"/>
    <x v="0"/>
    <x v="0"/>
    <s v="Transmission"/>
    <s v="Interliga√ß√£o El√©trica Itapura S.A. (Lote 25) - 7¬∞"/>
    <s v="Brazil"/>
    <d v="2018-04-15T00:00:00"/>
    <d v="2019-12-31T00:00:00"/>
    <s v="BRL"/>
    <n v="19280912"/>
    <n v="19280912"/>
    <s v="BRL"/>
    <n v="19280912"/>
    <n v="3710651"/>
    <b v="0"/>
    <n v="0.15"/>
  </r>
  <r>
    <b v="1"/>
    <x v="0"/>
    <x v="0"/>
    <x v="1"/>
    <x v="0"/>
    <x v="1"/>
    <x v="23"/>
    <s v="BBG00KVC0Y18"/>
    <x v="8"/>
    <s v="2713ee8efde4440b875f3a181f33a9f4"/>
    <s v="ISA CTEEP - 7¬™ Emiss√£o"/>
    <x v="1"/>
    <x v="1"/>
    <s v="Transmission"/>
    <s v="Interliga√ß√£o El√©trica Itapura S.A. (Lote 25) - 7¬∞"/>
    <s v="Brazil"/>
    <d v="2018-04-15T00:00:00"/>
    <d v="2019-12-31T00:00:00"/>
    <s v="BRL"/>
    <n v="19280912"/>
    <n v="19280912"/>
    <s v="BRL"/>
    <n v="19280912"/>
    <n v="3710651"/>
    <b v="0"/>
    <n v="0.15"/>
  </r>
  <r>
    <b v="1"/>
    <x v="0"/>
    <x v="0"/>
    <x v="1"/>
    <x v="0"/>
    <x v="1"/>
    <x v="23"/>
    <s v="BBG00KVC0Y18"/>
    <x v="8"/>
    <s v="2713ee8efde4440b875f3a181f33a9f4"/>
    <s v="ISA CTEEP - 7¬™ Emiss√£o"/>
    <x v="0"/>
    <x v="0"/>
    <s v="Transmission"/>
    <s v="Interliga√ß√£o El√©trica Tibagi S.A. - 7¬∞"/>
    <s v="Brazil"/>
    <d v="2018-04-15T00:00:00"/>
    <d v="2019-12-31T00:00:00"/>
    <s v="BRL"/>
    <n v="21332682"/>
    <n v="21332682"/>
    <s v="BRL"/>
    <n v="21332682"/>
    <n v="4105518"/>
    <b v="0"/>
    <n v="0.16"/>
  </r>
  <r>
    <b v="1"/>
    <x v="0"/>
    <x v="0"/>
    <x v="1"/>
    <x v="0"/>
    <x v="1"/>
    <x v="23"/>
    <s v="BBG00KVC0Y18"/>
    <x v="8"/>
    <s v="2713ee8efde4440b875f3a181f33a9f4"/>
    <s v="ISA CTEEP - 7¬™ Emiss√£o"/>
    <x v="1"/>
    <x v="1"/>
    <s v="Transmission"/>
    <s v="Interliga√ß√£o El√©trica Tibagi S.A. - 7¬∞"/>
    <s v="Brazil"/>
    <d v="2018-04-15T00:00:00"/>
    <d v="2019-12-31T00:00:00"/>
    <s v="BRL"/>
    <n v="21332682"/>
    <n v="21332682"/>
    <s v="BRL"/>
    <n v="21332682"/>
    <n v="4105518"/>
    <b v="0"/>
    <n v="0.16"/>
  </r>
  <r>
    <b v="1"/>
    <x v="0"/>
    <x v="0"/>
    <x v="1"/>
    <x v="0"/>
    <x v="1"/>
    <x v="23"/>
    <s v="BBG00KVC0Y18"/>
    <x v="8"/>
    <s v="2713ee8efde4440b875f3a181f33a9f4"/>
    <s v="ISA CTEEP - 7¬™ Emiss√£o"/>
    <x v="0"/>
    <x v="0"/>
    <s v="Transmission"/>
    <s v="Interliga√ß√£o El√©trica Aguape√≠ S.A. - 7¬∞"/>
    <s v="Brazil"/>
    <d v="2018-04-15T00:00:00"/>
    <d v="2020-12-31T00:00:00"/>
    <s v="BRL"/>
    <n v="125995175"/>
    <n v="125995175"/>
    <s v="BRL"/>
    <n v="125995175"/>
    <n v="24248027"/>
    <b v="0"/>
    <n v="0.21"/>
  </r>
  <r>
    <e v="#N/A"/>
    <x v="1"/>
    <x v="1"/>
    <x v="3"/>
    <x v="1"/>
    <x v="2"/>
    <x v="10"/>
    <e v="#N/A"/>
    <x v="2"/>
    <s v="b1ee5ee2b303417fb77c0c62bf84343a"/>
    <s v="Green Bond ON C1"/>
    <x v="0"/>
    <x v="7"/>
    <s v="Commercial"/>
    <s v="Green Bond ON C1 Plaza Pilar W2"/>
    <s v="Argentina"/>
    <d v="2019-12-11T00:00:00"/>
    <d v="2017-12-13T00:00:00"/>
    <s v="USD"/>
    <n v="7492105"/>
    <n v="7492105"/>
    <s v="USD"/>
    <n v="7492105"/>
    <n v="7492105"/>
    <b v="0"/>
    <n v="0.39"/>
  </r>
  <r>
    <e v="#N/A"/>
    <x v="1"/>
    <x v="1"/>
    <x v="3"/>
    <x v="1"/>
    <x v="2"/>
    <x v="10"/>
    <e v="#N/A"/>
    <x v="2"/>
    <s v="b1ee5ee2b303417fb77c0c62bf84343a"/>
    <s v="Green Bond ON C1"/>
    <x v="1"/>
    <x v="8"/>
    <s v="Commercial"/>
    <s v="Green Bond ON C1 Plaza Pilar W2"/>
    <s v="Argentina"/>
    <d v="2019-12-11T00:00:00"/>
    <d v="2017-12-13T00:00:00"/>
    <s v="USD"/>
    <n v="7492105"/>
    <n v="7492105"/>
    <s v="USD"/>
    <n v="7492105"/>
    <n v="7492105"/>
    <b v="0"/>
    <n v="0.39"/>
  </r>
  <r>
    <e v="#N/A"/>
    <x v="1"/>
    <x v="1"/>
    <x v="3"/>
    <x v="1"/>
    <x v="2"/>
    <x v="10"/>
    <e v="#N/A"/>
    <x v="2"/>
    <s v="b1ee5ee2b303417fb77c0c62bf84343a"/>
    <s v="Green Bond ON C1"/>
    <x v="2"/>
    <x v="9"/>
    <s v="Unspecified"/>
    <s v="Green Bond ON C1 Plaza Pilar W2"/>
    <s v="Argentina"/>
    <d v="2019-12-11T00:00:00"/>
    <d v="2017-12-13T00:00:00"/>
    <s v="USD"/>
    <n v="7492105"/>
    <n v="7492105"/>
    <s v="USD"/>
    <n v="7492105"/>
    <n v="7492105"/>
    <b v="0"/>
    <n v="0.39"/>
  </r>
  <r>
    <e v="#N/A"/>
    <x v="1"/>
    <x v="1"/>
    <x v="3"/>
    <x v="1"/>
    <x v="2"/>
    <x v="10"/>
    <e v="#N/A"/>
    <x v="2"/>
    <s v="b1ee5ee2b303417fb77c0c62bf84343a"/>
    <s v="Green Bond ON C1"/>
    <x v="3"/>
    <x v="9"/>
    <s v="Unspecified"/>
    <s v="Green Bond ON C1 Plaza Pilar W2"/>
    <s v="Argentina"/>
    <d v="2019-12-11T00:00:00"/>
    <d v="2017-12-13T00:00:00"/>
    <s v="USD"/>
    <n v="7492105"/>
    <n v="7492105"/>
    <s v="USD"/>
    <n v="7492105"/>
    <n v="7492105"/>
    <b v="0"/>
    <n v="0.39"/>
  </r>
  <r>
    <e v="#N/A"/>
    <x v="1"/>
    <x v="1"/>
    <x v="3"/>
    <x v="1"/>
    <x v="2"/>
    <x v="10"/>
    <e v="#N/A"/>
    <x v="2"/>
    <s v="b1ee5ee2b303417fb77c0c62bf84343a"/>
    <s v="Green Bond ON C1"/>
    <x v="0"/>
    <x v="7"/>
    <s v="Commercial"/>
    <s v="Green Bond ON C1 Plaza Esteban Echeverr√≠a W1 y W2"/>
    <s v="Argentina"/>
    <d v="2019-12-11T00:00:00"/>
    <d v="2017-12-13T00:00:00"/>
    <s v="USD"/>
    <n v="13029618"/>
    <n v="13029618"/>
    <s v="USD"/>
    <n v="13029618"/>
    <n v="13029618"/>
    <b v="0"/>
    <n v="0.25"/>
  </r>
  <r>
    <e v="#N/A"/>
    <x v="1"/>
    <x v="1"/>
    <x v="3"/>
    <x v="1"/>
    <x v="2"/>
    <x v="10"/>
    <e v="#N/A"/>
    <x v="2"/>
    <s v="b1ee5ee2b303417fb77c0c62bf84343a"/>
    <s v="Green Bond ON C1"/>
    <x v="1"/>
    <x v="8"/>
    <s v="Commercial"/>
    <s v="Green Bond ON C1 Plaza Esteban Echeverr√≠a W1 y W2"/>
    <s v="Argentina"/>
    <d v="2019-12-11T00:00:00"/>
    <d v="2017-12-13T00:00:00"/>
    <s v="USD"/>
    <n v="13029618"/>
    <n v="13029618"/>
    <s v="USD"/>
    <n v="13029618"/>
    <n v="13029618"/>
    <b v="0"/>
    <n v="0.25"/>
  </r>
  <r>
    <e v="#N/A"/>
    <x v="1"/>
    <x v="1"/>
    <x v="3"/>
    <x v="1"/>
    <x v="2"/>
    <x v="10"/>
    <e v="#N/A"/>
    <x v="2"/>
    <s v="b1ee5ee2b303417fb77c0c62bf84343a"/>
    <s v="Green Bond ON C1"/>
    <x v="2"/>
    <x v="9"/>
    <s v="Unspecified"/>
    <s v="Green Bond ON C1 Plaza Esteban Echeverr√≠a W1 y W2"/>
    <s v="Argentina"/>
    <d v="2019-12-11T00:00:00"/>
    <d v="2017-12-13T00:00:00"/>
    <s v="USD"/>
    <n v="13029618"/>
    <n v="13029618"/>
    <s v="USD"/>
    <n v="13029618"/>
    <n v="13029618"/>
    <b v="0"/>
    <n v="0.25"/>
  </r>
  <r>
    <e v="#N/A"/>
    <x v="1"/>
    <x v="1"/>
    <x v="3"/>
    <x v="1"/>
    <x v="2"/>
    <x v="10"/>
    <e v="#N/A"/>
    <x v="2"/>
    <s v="b1ee5ee2b303417fb77c0c62bf84343a"/>
    <s v="Green Bond ON C1"/>
    <x v="3"/>
    <x v="9"/>
    <s v="Unspecified"/>
    <s v="Green Bond ON C1 Plaza Esteban Echeverr√≠a W1 y W2"/>
    <s v="Argentina"/>
    <d v="2019-12-11T00:00:00"/>
    <d v="2017-12-13T00:00:00"/>
    <s v="USD"/>
    <n v="13029618"/>
    <n v="13029618"/>
    <s v="USD"/>
    <n v="13029618"/>
    <n v="13029618"/>
    <b v="0"/>
    <n v="0.25"/>
  </r>
  <r>
    <e v="#N/A"/>
    <x v="1"/>
    <x v="1"/>
    <x v="3"/>
    <x v="1"/>
    <x v="2"/>
    <x v="10"/>
    <e v="#N/A"/>
    <x v="2"/>
    <s v="b1ee5ee2b303417fb77c0c62bf84343a"/>
    <s v="Green Bond ON C1"/>
    <x v="0"/>
    <x v="7"/>
    <s v="Commercial"/>
    <s v="Green Bond ON C1 Plaza Tortugas W2"/>
    <s v="Argentina"/>
    <d v="2019-12-11T00:00:00"/>
    <d v="2017-12-13T00:00:00"/>
    <s v="USD"/>
    <n v="1214296"/>
    <n v="1214296"/>
    <s v="USD"/>
    <n v="1214296"/>
    <n v="1214296"/>
    <b v="0"/>
    <n v="0.05"/>
  </r>
  <r>
    <e v="#N/A"/>
    <x v="1"/>
    <x v="1"/>
    <x v="3"/>
    <x v="1"/>
    <x v="2"/>
    <x v="10"/>
    <e v="#N/A"/>
    <x v="2"/>
    <s v="b1ee5ee2b303417fb77c0c62bf84343a"/>
    <s v="Green Bond ON C1"/>
    <x v="1"/>
    <x v="8"/>
    <s v="Commercial"/>
    <s v="Green Bond ON C1 Plaza Tortugas W2"/>
    <s v="Argentina"/>
    <d v="2019-12-11T00:00:00"/>
    <d v="2017-12-13T00:00:00"/>
    <s v="USD"/>
    <n v="1214296"/>
    <n v="1214296"/>
    <s v="USD"/>
    <n v="1214296"/>
    <n v="1214296"/>
    <b v="0"/>
    <n v="0.05"/>
  </r>
  <r>
    <e v="#N/A"/>
    <x v="1"/>
    <x v="1"/>
    <x v="3"/>
    <x v="1"/>
    <x v="2"/>
    <x v="10"/>
    <e v="#N/A"/>
    <x v="2"/>
    <s v="b1ee5ee2b303417fb77c0c62bf84343a"/>
    <s v="Green Bond ON C1"/>
    <x v="2"/>
    <x v="9"/>
    <s v="Unspecified"/>
    <s v="Green Bond ON C1 Plaza Tortugas W2"/>
    <s v="Argentina"/>
    <d v="2019-12-11T00:00:00"/>
    <d v="2017-12-13T00:00:00"/>
    <s v="USD"/>
    <n v="1214296"/>
    <n v="1214296"/>
    <s v="USD"/>
    <n v="1214296"/>
    <n v="1214296"/>
    <b v="0"/>
    <n v="0.05"/>
  </r>
  <r>
    <e v="#N/A"/>
    <x v="1"/>
    <x v="1"/>
    <x v="3"/>
    <x v="1"/>
    <x v="2"/>
    <x v="10"/>
    <e v="#N/A"/>
    <x v="2"/>
    <s v="b1ee5ee2b303417fb77c0c62bf84343a"/>
    <s v="Green Bond ON C1"/>
    <x v="3"/>
    <x v="9"/>
    <s v="Unspecified"/>
    <s v="Green Bond ON C1 Plaza Tortugas W2"/>
    <s v="Argentina"/>
    <d v="2019-12-11T00:00:00"/>
    <d v="2017-12-13T00:00:00"/>
    <s v="USD"/>
    <n v="1214296"/>
    <n v="1214296"/>
    <s v="USD"/>
    <n v="1214296"/>
    <n v="1214296"/>
    <b v="0"/>
    <n v="0.05"/>
  </r>
  <r>
    <b v="1"/>
    <x v="0"/>
    <x v="0"/>
    <x v="1"/>
    <x v="0"/>
    <x v="1"/>
    <x v="23"/>
    <s v="BBG00KVC0Y18"/>
    <x v="8"/>
    <s v="2713ee8efde4440b875f3a181f33a9f4"/>
    <s v="ISA CTEEP - 7¬™ Emiss√£o"/>
    <x v="1"/>
    <x v="1"/>
    <s v="Transmission"/>
    <s v="Interliga√ß√£o El√©trica Aguape√≠ S.A. - 7¬∞"/>
    <s v="Brazil"/>
    <d v="2018-04-15T00:00:00"/>
    <d v="2020-12-31T00:00:00"/>
    <s v="BRL"/>
    <n v="125995175"/>
    <n v="125995175"/>
    <s v="BRL"/>
    <n v="125995175"/>
    <n v="24248027"/>
    <b v="0"/>
    <n v="0.21"/>
  </r>
  <r>
    <b v="1"/>
    <x v="0"/>
    <x v="0"/>
    <x v="1"/>
    <x v="0"/>
    <x v="1"/>
    <x v="23"/>
    <s v="BBG00KVC0Y18"/>
    <x v="8"/>
    <s v="2713ee8efde4440b875f3a181f33a9f4"/>
    <s v="ISA CTEEP - 7¬™ Emiss√£o"/>
    <x v="0"/>
    <x v="0"/>
    <s v="Transmission"/>
    <s v="Interliga√ß√£o El√©trica Ivai S.A. - 7¬∞"/>
    <s v="Brazil"/>
    <d v="2018-04-15T00:00:00"/>
    <d v="2020-12-31T00:00:00"/>
    <s v="BRL"/>
    <n v="113191521"/>
    <n v="67500000"/>
    <s v="BRL"/>
    <n v="67500000"/>
    <n v="12990512"/>
    <b v="0"/>
    <n v="0.05"/>
  </r>
  <r>
    <b v="1"/>
    <x v="0"/>
    <x v="0"/>
    <x v="1"/>
    <x v="0"/>
    <x v="1"/>
    <x v="23"/>
    <s v="BBG00KVC0Y18"/>
    <x v="8"/>
    <s v="2713ee8efde4440b875f3a181f33a9f4"/>
    <s v="ISA CTEEP - 7¬™ Emiss√£o"/>
    <x v="1"/>
    <x v="1"/>
    <s v="Transmission"/>
    <s v="Interliga√ß√£o El√©trica Ivai S.A. - 7¬∞"/>
    <s v="Brazil"/>
    <d v="2018-04-15T00:00:00"/>
    <d v="2020-12-31T00:00:00"/>
    <s v="BRL"/>
    <n v="113191521"/>
    <n v="67500000"/>
    <s v="BRL"/>
    <n v="67500000"/>
    <n v="12990512"/>
    <b v="0"/>
    <n v="0.05"/>
  </r>
  <r>
    <b v="1"/>
    <x v="0"/>
    <x v="0"/>
    <x v="1"/>
    <x v="0"/>
    <x v="1"/>
    <x v="23"/>
    <s v="BBG00KVC0Y18"/>
    <x v="8"/>
    <s v="2713ee8efde4440b875f3a181f33a9f4"/>
    <s v="ISA CTEEP - 7¬™ Emiss√£o"/>
    <x v="0"/>
    <x v="0"/>
    <s v="Transmission"/>
    <s v="Interliga√ß√£o El√©trica Aimor√©s S.A. - 7¬∞"/>
    <s v="Brazil"/>
    <d v="2018-04-15T00:00:00"/>
    <d v="2020-12-31T00:00:00"/>
    <s v="BRL"/>
    <n v="70191323"/>
    <n v="70191323"/>
    <s v="BRL"/>
    <n v="70191323"/>
    <n v="13508463"/>
    <b v="0"/>
    <n v="0.21"/>
  </r>
  <r>
    <b v="1"/>
    <x v="0"/>
    <x v="0"/>
    <x v="1"/>
    <x v="0"/>
    <x v="1"/>
    <x v="23"/>
    <s v="BBG00KVC0Y18"/>
    <x v="8"/>
    <s v="2713ee8efde4440b875f3a181f33a9f4"/>
    <s v="ISA CTEEP - 7¬™ Emiss√£o"/>
    <x v="1"/>
    <x v="1"/>
    <s v="Transmission"/>
    <s v="Interliga√ß√£o El√©trica Aimor√©s S.A. - 7¬∞"/>
    <s v="Brazil"/>
    <d v="2018-04-15T00:00:00"/>
    <d v="2020-12-31T00:00:00"/>
    <s v="BRL"/>
    <n v="70191323"/>
    <n v="70191323"/>
    <s v="BRL"/>
    <n v="70191323"/>
    <n v="13508463"/>
    <b v="0"/>
    <n v="0.21"/>
  </r>
  <r>
    <b v="1"/>
    <x v="0"/>
    <x v="0"/>
    <x v="1"/>
    <x v="0"/>
    <x v="1"/>
    <x v="23"/>
    <s v="BBG00KVC0Y18"/>
    <x v="8"/>
    <s v="2713ee8efde4440b875f3a181f33a9f4"/>
    <s v="ISA CTEEP - 7¬™ Emiss√£o"/>
    <x v="0"/>
    <x v="0"/>
    <s v="Transmission"/>
    <s v="Interliga√ß√£o El√©trica Paragua√ßu S.A. - 7¬∞"/>
    <s v="Brazil"/>
    <d v="2018-04-15T00:00:00"/>
    <d v="2020-12-31T00:00:00"/>
    <s v="BRL"/>
    <n v="103849342"/>
    <n v="103849342"/>
    <s v="BRL"/>
    <n v="103849342"/>
    <n v="19986017"/>
    <b v="0"/>
    <n v="0.2"/>
  </r>
  <r>
    <b v="1"/>
    <x v="0"/>
    <x v="0"/>
    <x v="1"/>
    <x v="0"/>
    <x v="1"/>
    <x v="23"/>
    <s v="BBG00KVC0Y18"/>
    <x v="8"/>
    <s v="2713ee8efde4440b875f3a181f33a9f4"/>
    <s v="ISA CTEEP - 7¬™ Emiss√£o"/>
    <x v="1"/>
    <x v="1"/>
    <s v="Transmission"/>
    <s v="Interliga√ß√£o El√©trica Paragua√ßu S.A. - 7¬∞"/>
    <s v="Brazil"/>
    <d v="2018-04-15T00:00:00"/>
    <d v="2020-12-31T00:00:00"/>
    <s v="BRL"/>
    <n v="103849342"/>
    <n v="103849342"/>
    <s v="BRL"/>
    <n v="103849342"/>
    <n v="19986017"/>
    <b v="0"/>
    <n v="0.2"/>
  </r>
  <r>
    <b v="1"/>
    <x v="2"/>
    <x v="0"/>
    <x v="0"/>
    <x v="0"/>
    <x v="1"/>
    <x v="22"/>
    <n v="0"/>
    <x v="0"/>
    <s v="3e001fbc60b6457dbbb4e67ee69152c0"/>
    <s v="BAGUA-AE"/>
    <x v="1"/>
    <x v="3"/>
    <s v="Wastewater treatment"/>
    <s v="Ampliaci√≥n Tercera Planta De Tratamiento Aguas Servidas - 2019"/>
    <s v="Chile"/>
    <d v="2019-12-31T00:00:00"/>
    <d v="2019-12-31T00:00:00"/>
    <s v="CLP"/>
    <n v="1230293413"/>
    <n v="1230293413"/>
    <s v="CLF"/>
    <n v="43458"/>
    <n v="1652243"/>
    <b v="1"/>
    <n v="0.16"/>
  </r>
  <r>
    <b v="1"/>
    <x v="2"/>
    <x v="0"/>
    <x v="0"/>
    <x v="0"/>
    <x v="1"/>
    <x v="22"/>
    <n v="0"/>
    <x v="0"/>
    <s v="3e001fbc60b6457dbbb4e67ee69152c0"/>
    <s v="BAGUA-AE"/>
    <x v="0"/>
    <x v="2"/>
    <s v="Treatment"/>
    <s v="Ampliaci√≥n Planta De Tratamiento Aguas Servidas Buin-Maipo - 2019"/>
    <s v="Chile"/>
    <d v="2019-12-31T00:00:00"/>
    <d v="2019-12-31T00:00:00"/>
    <s v="CLP"/>
    <n v="2679123486"/>
    <n v="2679123486"/>
    <s v="CLF"/>
    <n v="94635"/>
    <n v="3597974"/>
    <b v="1"/>
    <n v="0.57999999999999996"/>
  </r>
  <r>
    <b v="1"/>
    <x v="2"/>
    <x v="0"/>
    <x v="0"/>
    <x v="0"/>
    <x v="1"/>
    <x v="22"/>
    <n v="0"/>
    <x v="0"/>
    <s v="3e001fbc60b6457dbbb4e67ee69152c0"/>
    <s v="BAGUA-AE"/>
    <x v="1"/>
    <x v="3"/>
    <s v="Wastewater treatment"/>
    <s v="Ampliaci√≥n Planta De Tratamiento Aguas Servidas Buin-Maipo - 2019"/>
    <s v="Chile"/>
    <d v="2019-12-31T00:00:00"/>
    <d v="2019-12-31T00:00:00"/>
    <s v="CLP"/>
    <n v="2679123486"/>
    <n v="2679123486"/>
    <s v="CLF"/>
    <n v="94635"/>
    <n v="3597974"/>
    <b v="1"/>
    <n v="0.57999999999999996"/>
  </r>
  <r>
    <b v="1"/>
    <x v="2"/>
    <x v="0"/>
    <x v="0"/>
    <x v="0"/>
    <x v="1"/>
    <x v="22"/>
    <n v="0"/>
    <x v="0"/>
    <s v="3e001fbc60b6457dbbb4e67ee69152c0"/>
    <s v="BAGUA-AE"/>
    <x v="0"/>
    <x v="2"/>
    <s v="Treatment"/>
    <s v="Ampliaci√≥n Planta De Tratamiento De Aguas Servidas El Monte 2018 - 2019"/>
    <s v="Chile"/>
    <d v="2019-12-31T00:00:00"/>
    <d v="2019-12-31T00:00:00"/>
    <s v="CLP"/>
    <n v="2673957119"/>
    <n v="2673957119"/>
    <s v="CLF"/>
    <n v="94453"/>
    <n v="3591036"/>
    <b v="1"/>
    <n v="0.74"/>
  </r>
  <r>
    <b v="1"/>
    <x v="2"/>
    <x v="0"/>
    <x v="0"/>
    <x v="0"/>
    <x v="1"/>
    <x v="22"/>
    <n v="0"/>
    <x v="0"/>
    <s v="3e001fbc60b6457dbbb4e67ee69152c0"/>
    <s v="BAGUA-AE"/>
    <x v="1"/>
    <x v="3"/>
    <s v="Wastewater treatment"/>
    <s v="Ampliaci√≥n Planta De Tratamiento De Aguas Servidas El Monte 2018 - 2019"/>
    <s v="Chile"/>
    <d v="2019-12-31T00:00:00"/>
    <d v="2019-12-31T00:00:00"/>
    <s v="CLP"/>
    <n v="2673957119"/>
    <n v="2673957119"/>
    <s v="CLF"/>
    <n v="94453"/>
    <n v="3591036"/>
    <b v="1"/>
    <n v="0.74"/>
  </r>
  <r>
    <b v="1"/>
    <x v="2"/>
    <x v="0"/>
    <x v="0"/>
    <x v="0"/>
    <x v="1"/>
    <x v="22"/>
    <n v="0"/>
    <x v="0"/>
    <s v="3e001fbc60b6457dbbb4e67ee69152c0"/>
    <s v="BAGUA-AE"/>
    <x v="0"/>
    <x v="2"/>
    <s v="Treatment"/>
    <s v="Instalaci√≥n Sistema de Tratamiento de Nitratos Biofactor√≠a La Farfana"/>
    <s v="Chile"/>
    <d v="2019-12-31T00:00:00"/>
    <d v="2019-12-31T00:00:00"/>
    <s v="CLP"/>
    <n v="2602664365"/>
    <n v="2602664365"/>
    <s v="CLF"/>
    <n v="91935"/>
    <n v="3495292"/>
    <b v="0"/>
    <n v="0.22"/>
  </r>
  <r>
    <b v="1"/>
    <x v="2"/>
    <x v="0"/>
    <x v="0"/>
    <x v="0"/>
    <x v="1"/>
    <x v="22"/>
    <n v="0"/>
    <x v="0"/>
    <s v="3e001fbc60b6457dbbb4e67ee69152c0"/>
    <s v="BAGUA-AE"/>
    <x v="1"/>
    <x v="3"/>
    <s v="Wastewater treatment"/>
    <s v="Instalaci√≥n Sistema de Tratamiento de Nitratos Biofactor√≠a La Farfana"/>
    <s v="Chile"/>
    <d v="2019-12-31T00:00:00"/>
    <d v="2019-12-31T00:00:00"/>
    <s v="CLP"/>
    <n v="2602664365"/>
    <n v="2602664365"/>
    <s v="CLF"/>
    <n v="91935"/>
    <n v="3495292"/>
    <b v="0"/>
    <n v="0.22"/>
  </r>
  <r>
    <b v="1"/>
    <x v="2"/>
    <x v="0"/>
    <x v="0"/>
    <x v="0"/>
    <x v="1"/>
    <x v="22"/>
    <n v="0"/>
    <x v="0"/>
    <s v="3e001fbc60b6457dbbb4e67ee69152c0"/>
    <s v="BAGUA-AE"/>
    <x v="0"/>
    <x v="0"/>
    <s v="Bioenergy"/>
    <s v="Cogeneraci√≥n Biofactor√≠a Mapocho-Trebal"/>
    <s v="Chile"/>
    <d v="2019-12-31T00:00:00"/>
    <d v="2019-12-31T00:00:00"/>
    <s v="CLP"/>
    <n v="5235535493"/>
    <n v="5235535493"/>
    <s v="CLF"/>
    <n v="184936"/>
    <n v="7031151"/>
    <b v="0"/>
    <n v="0.81"/>
  </r>
  <r>
    <b v="1"/>
    <x v="2"/>
    <x v="0"/>
    <x v="0"/>
    <x v="0"/>
    <x v="1"/>
    <x v="22"/>
    <n v="0"/>
    <x v="0"/>
    <s v="3e001fbc60b6457dbbb4e67ee69152c0"/>
    <s v="BAGUA-AE"/>
    <x v="1"/>
    <x v="1"/>
    <s v="Generation"/>
    <s v="Cogeneraci√≥n Biofactor√≠a Mapocho-Trebal"/>
    <s v="Chile"/>
    <d v="2019-12-31T00:00:00"/>
    <d v="2019-12-31T00:00:00"/>
    <s v="CLP"/>
    <n v="5235535493"/>
    <n v="5235535493"/>
    <s v="CLF"/>
    <n v="184936"/>
    <n v="7031151"/>
    <b v="0"/>
    <n v="0.81"/>
  </r>
  <r>
    <b v="1"/>
    <x v="0"/>
    <x v="0"/>
    <x v="1"/>
    <x v="0"/>
    <x v="1"/>
    <x v="24"/>
    <s v="BBG00R4VZ614"/>
    <x v="9"/>
    <s v="7764daf78634437c8d58059674d26e96"/>
    <s v="ISA CTEEP - 8¬™ Emiss√£o"/>
    <x v="0"/>
    <x v="0"/>
    <s v="Transmission"/>
    <s v="Interliga√ß√£o El√©trica Ita√∫nas S.A. - 8¬∞"/>
    <s v="Brazil"/>
    <d v="2018-12-15T00:00:00"/>
    <d v="2020-12-31T00:00:00"/>
    <s v="BRL"/>
    <n v="56227650"/>
    <n v="56227650"/>
    <s v="BRL"/>
    <n v="56227650"/>
    <n v="10821125"/>
    <b v="0"/>
    <n v="0.19"/>
  </r>
  <r>
    <b v="1"/>
    <x v="0"/>
    <x v="0"/>
    <x v="1"/>
    <x v="0"/>
    <x v="1"/>
    <x v="24"/>
    <s v="BBG00R4VZ614"/>
    <x v="9"/>
    <s v="7764daf78634437c8d58059674d26e96"/>
    <s v="ISA CTEEP - 8¬™ Emiss√£o"/>
    <x v="1"/>
    <x v="1"/>
    <s v="Transmission"/>
    <s v="Interliga√ß√£o El√©trica Ita√∫nas S.A. - 8¬∞"/>
    <s v="Brazil"/>
    <d v="2018-12-15T00:00:00"/>
    <d v="2020-12-31T00:00:00"/>
    <s v="BRL"/>
    <n v="56227650"/>
    <n v="56227650"/>
    <s v="BRL"/>
    <n v="56227650"/>
    <n v="10821125"/>
    <b v="0"/>
    <n v="0.19"/>
  </r>
  <r>
    <b v="1"/>
    <x v="0"/>
    <x v="0"/>
    <x v="1"/>
    <x v="0"/>
    <x v="1"/>
    <x v="24"/>
    <s v="BBG00R4VZ614"/>
    <x v="9"/>
    <s v="7764daf78634437c8d58059674d26e96"/>
    <s v="ISA CTEEP - 8¬™ Emiss√£o"/>
    <x v="0"/>
    <x v="0"/>
    <s v="Transmission"/>
    <s v="Interliga√ß√£o El√©trica Itaquer√™ S.A. - 8¬∞"/>
    <s v="Brazil"/>
    <d v="2018-12-15T00:00:00"/>
    <d v="2019-12-31T00:00:00"/>
    <s v="BRL"/>
    <n v="110096602"/>
    <n v="110096602"/>
    <s v="BRL"/>
    <n v="110096602"/>
    <n v="21188315"/>
    <b v="0"/>
    <n v="0.28000000000000003"/>
  </r>
  <r>
    <b v="1"/>
    <x v="0"/>
    <x v="0"/>
    <x v="1"/>
    <x v="0"/>
    <x v="1"/>
    <x v="24"/>
    <s v="BBG00R4VZ614"/>
    <x v="9"/>
    <s v="7764daf78634437c8d58059674d26e96"/>
    <s v="ISA CTEEP - 8¬™ Emiss√£o"/>
    <x v="1"/>
    <x v="1"/>
    <s v="Transmission"/>
    <s v="Interliga√ß√£o El√©trica Itaquer√™ S.A. - 8¬∞"/>
    <s v="Brazil"/>
    <d v="2018-12-15T00:00:00"/>
    <d v="2019-12-31T00:00:00"/>
    <s v="BRL"/>
    <n v="110096602"/>
    <n v="110096602"/>
    <s v="BRL"/>
    <n v="110096602"/>
    <n v="21188315"/>
    <b v="0"/>
    <n v="0.28000000000000003"/>
  </r>
  <r>
    <b v="1"/>
    <x v="0"/>
    <x v="0"/>
    <x v="1"/>
    <x v="0"/>
    <x v="1"/>
    <x v="24"/>
    <s v="BBG00R4VZ614"/>
    <x v="9"/>
    <s v="7764daf78634437c8d58059674d26e96"/>
    <s v="ISA CTEEP - 8¬™ Emiss√£o"/>
    <x v="0"/>
    <x v="0"/>
    <s v="Transmission"/>
    <s v="Interliga√ß√£o El√©trica Itapura S.A. (Lote 25) - 8¬∞"/>
    <s v="Brazil"/>
    <d v="2018-12-15T00:00:00"/>
    <d v="2020-12-31T00:00:00"/>
    <s v="BRL"/>
    <n v="35565281.689999998"/>
    <n v="35565281"/>
    <s v="BRL"/>
    <n v="35565281"/>
    <n v="6844610"/>
    <b v="0"/>
    <n v="0.28000000000000003"/>
  </r>
  <r>
    <b v="1"/>
    <x v="0"/>
    <x v="0"/>
    <x v="1"/>
    <x v="0"/>
    <x v="1"/>
    <x v="24"/>
    <s v="BBG00R4VZ614"/>
    <x v="9"/>
    <s v="7764daf78634437c8d58059674d26e96"/>
    <s v="ISA CTEEP - 8¬™ Emiss√£o"/>
    <x v="1"/>
    <x v="1"/>
    <s v="Transmission"/>
    <s v="Interliga√ß√£o El√©trica Itapura S.A. (Lote 25) - 8¬∞"/>
    <s v="Brazil"/>
    <d v="2018-12-15T00:00:00"/>
    <d v="2020-12-31T00:00:00"/>
    <s v="BRL"/>
    <n v="35565281.689999998"/>
    <n v="35565281"/>
    <s v="BRL"/>
    <n v="35565281"/>
    <n v="6844610"/>
    <b v="0"/>
    <n v="0.28000000000000003"/>
  </r>
  <r>
    <b v="1"/>
    <x v="0"/>
    <x v="0"/>
    <x v="1"/>
    <x v="0"/>
    <x v="1"/>
    <x v="24"/>
    <s v="BBG00R4VZ614"/>
    <x v="9"/>
    <s v="7764daf78634437c8d58059674d26e96"/>
    <s v="ISA CTEEP - 8¬™ Emiss√£o"/>
    <x v="0"/>
    <x v="0"/>
    <s v="Transmission"/>
    <s v="Interliga√ß√£o El√©trica Itapura S.A. (Lote 10) - 8¬∞"/>
    <s v="Brazil"/>
    <d v="2018-12-15T00:00:00"/>
    <d v="2020-12-31T00:00:00"/>
    <s v="BRL"/>
    <n v="39244210.649999999"/>
    <n v="39244210"/>
    <s v="BRL"/>
    <n v="39244210"/>
    <n v="7552628"/>
    <b v="0"/>
    <n v="0.17"/>
  </r>
  <r>
    <b v="1"/>
    <x v="0"/>
    <x v="0"/>
    <x v="1"/>
    <x v="0"/>
    <x v="1"/>
    <x v="24"/>
    <s v="BBG00R4VZ614"/>
    <x v="9"/>
    <s v="7764daf78634437c8d58059674d26e96"/>
    <s v="ISA CTEEP - 8¬™ Emiss√£o"/>
    <x v="1"/>
    <x v="1"/>
    <s v="Transmission"/>
    <s v="Interliga√ß√£o El√©trica Itapura S.A. (Lote 10) - 8¬∞"/>
    <s v="Brazil"/>
    <d v="2018-12-15T00:00:00"/>
    <d v="2020-12-31T00:00:00"/>
    <s v="BRL"/>
    <n v="39244210.649999999"/>
    <n v="39244210"/>
    <s v="BRL"/>
    <n v="39244210"/>
    <n v="7552628"/>
    <b v="0"/>
    <n v="0.17"/>
  </r>
  <r>
    <b v="1"/>
    <x v="0"/>
    <x v="0"/>
    <x v="1"/>
    <x v="0"/>
    <x v="1"/>
    <x v="25"/>
    <n v="0"/>
    <x v="0"/>
    <s v="2d02a140e1674840929801f32b91dbf3"/>
    <s v="Suzano CRA Verde 2016"/>
    <x v="0"/>
    <x v="10"/>
    <s v="Commercial Forestry"/>
    <s v="Sustainable forestry (Social and environmental)"/>
    <s v="Brazil"/>
    <d v="2017-12-01T00:00:00"/>
    <d v="2017-12-01T00:00:00"/>
    <s v="BRL"/>
    <n v="297483000"/>
    <n v="297483000"/>
    <s v="BRL"/>
    <n v="297483000"/>
    <n v="116733969"/>
    <b v="1"/>
    <n v="1"/>
  </r>
  <r>
    <b v="1"/>
    <x v="0"/>
    <x v="0"/>
    <x v="1"/>
    <x v="0"/>
    <x v="1"/>
    <x v="25"/>
    <n v="0"/>
    <x v="0"/>
    <s v="2d02a140e1674840929801f32b91dbf3"/>
    <s v="Suzano CRA Verde 2016"/>
    <x v="0"/>
    <x v="10"/>
    <s v="Commercial Forestry"/>
    <s v="Sustainable forestry (Social and environmental)"/>
    <s v="Brazil"/>
    <d v="2016-12-01T00:00:00"/>
    <d v="2016-12-01T00:00:00"/>
    <s v="BRL"/>
    <n v="333434000"/>
    <n v="333434000"/>
    <s v="BRL"/>
    <n v="333434000"/>
    <n v="97893664"/>
    <b v="1"/>
    <n v="1"/>
  </r>
  <r>
    <b v="1"/>
    <x v="0"/>
    <x v="0"/>
    <x v="1"/>
    <x v="0"/>
    <x v="1"/>
    <x v="25"/>
    <n v="0"/>
    <x v="0"/>
    <s v="2d02a140e1674840929801f32b91dbf3"/>
    <s v="Suzano CRA Verde 2016"/>
    <x v="0"/>
    <x v="10"/>
    <s v="Commercial Forestry"/>
    <s v="Sustainable forestry (Social and environmental)"/>
    <s v="Brazil"/>
    <d v="2015-12-01T00:00:00"/>
    <d v="2015-12-01T00:00:00"/>
    <s v="BRL"/>
    <n v="356583000"/>
    <n v="356583000"/>
    <s v="BRL"/>
    <n v="356583000"/>
    <n v="108661455"/>
    <b v="1"/>
    <n v="1"/>
  </r>
  <r>
    <b v="1"/>
    <x v="0"/>
    <x v="0"/>
    <x v="1"/>
    <x v="0"/>
    <x v="1"/>
    <x v="25"/>
    <n v="0"/>
    <x v="0"/>
    <s v="2d02a140e1674840929801f32b91dbf3"/>
    <s v="Suzano CRA Verde 2016"/>
    <x v="1"/>
    <x v="11"/>
    <s v="Forestry"/>
    <s v="Sustainable forestry (Social and environmental)"/>
    <s v="Brazil"/>
    <d v="2017-12-01T00:00:00"/>
    <d v="2017-12-01T00:00:00"/>
    <s v="BRL"/>
    <n v="297483000"/>
    <n v="297483000"/>
    <s v="BRL"/>
    <n v="297483000"/>
    <n v="116733969"/>
    <b v="1"/>
    <n v="1"/>
  </r>
  <r>
    <b v="1"/>
    <x v="0"/>
    <x v="0"/>
    <x v="1"/>
    <x v="0"/>
    <x v="1"/>
    <x v="25"/>
    <n v="0"/>
    <x v="0"/>
    <s v="2d02a140e1674840929801f32b91dbf3"/>
    <s v="Suzano CRA Verde 2016"/>
    <x v="1"/>
    <x v="11"/>
    <s v="Forestry"/>
    <s v="Sustainable forestry (Social and environmental)"/>
    <s v="Brazil"/>
    <d v="2016-12-01T00:00:00"/>
    <d v="2016-12-01T00:00:00"/>
    <s v="BRL"/>
    <n v="333434000"/>
    <n v="333434000"/>
    <s v="BRL"/>
    <n v="333434000"/>
    <n v="97893664"/>
    <b v="1"/>
    <n v="1"/>
  </r>
  <r>
    <b v="1"/>
    <x v="0"/>
    <x v="0"/>
    <x v="1"/>
    <x v="0"/>
    <x v="1"/>
    <x v="25"/>
    <n v="0"/>
    <x v="0"/>
    <s v="2d02a140e1674840929801f32b91dbf3"/>
    <s v="Suzano CRA Verde 2016"/>
    <x v="1"/>
    <x v="11"/>
    <s v="Forestry"/>
    <s v="Sustainable forestry (Social and environmental)"/>
    <s v="Brazil"/>
    <d v="2015-12-01T00:00:00"/>
    <d v="2015-12-01T00:00:00"/>
    <s v="BRL"/>
    <n v="356583000"/>
    <n v="356583000"/>
    <s v="BRL"/>
    <n v="356583000"/>
    <n v="108661455"/>
    <b v="1"/>
    <n v="1"/>
  </r>
  <r>
    <b v="1"/>
    <x v="0"/>
    <x v="0"/>
    <x v="1"/>
    <x v="0"/>
    <x v="1"/>
    <x v="24"/>
    <s v="BBG00R4VZ614"/>
    <x v="9"/>
    <s v="7764daf78634437c8d58059674d26e96"/>
    <s v="ISA CTEEP - 8¬™ Emiss√£o"/>
    <x v="0"/>
    <x v="0"/>
    <s v="Transmission"/>
    <s v="Interliga√ß√£o El√©trica Tibagi S.A. - 8¬∞"/>
    <s v="Brazil"/>
    <d v="2018-12-15T00:00:00"/>
    <d v="2021-02-28T00:00:00"/>
    <s v="BRL"/>
    <n v="81853158"/>
    <n v="81853158"/>
    <s v="BRL"/>
    <n v="81853158"/>
    <n v="14453148"/>
    <b v="0"/>
    <n v="0.61"/>
  </r>
  <r>
    <b v="1"/>
    <x v="0"/>
    <x v="0"/>
    <x v="1"/>
    <x v="0"/>
    <x v="1"/>
    <x v="24"/>
    <s v="BBG00R4VZ614"/>
    <x v="9"/>
    <s v="7764daf78634437c8d58059674d26e96"/>
    <s v="ISA CTEEP - 8¬™ Emiss√£o"/>
    <x v="1"/>
    <x v="1"/>
    <s v="Transmission"/>
    <s v="Interliga√ß√£o El√©trica Tibagi S.A. - 8¬∞"/>
    <s v="Brazil"/>
    <d v="2018-12-15T00:00:00"/>
    <d v="2021-02-28T00:00:00"/>
    <s v="BRL"/>
    <n v="81853158"/>
    <n v="81853158"/>
    <s v="BRL"/>
    <n v="81853158"/>
    <n v="14453148"/>
    <b v="0"/>
    <n v="0.61"/>
  </r>
  <r>
    <b v="1"/>
    <x v="0"/>
    <x v="0"/>
    <x v="1"/>
    <x v="0"/>
    <x v="1"/>
    <x v="24"/>
    <s v="BBG00R4VZ614"/>
    <x v="9"/>
    <s v="7764daf78634437c8d58059674d26e96"/>
    <s v="ISA CTEEP - 8¬™ Emiss√£o"/>
    <x v="0"/>
    <x v="0"/>
    <s v="Transmission"/>
    <s v="Interliga√ß√£o El√©trica Aguape√≠ S.A. - 8¬∞"/>
    <s v="Brazil"/>
    <d v="2018-12-15T00:00:00"/>
    <d v="2020-12-31T00:00:00"/>
    <s v="BRL"/>
    <n v="1570269"/>
    <n v="1570269"/>
    <s v="BRL"/>
    <n v="1570269"/>
    <n v="302201"/>
    <b v="0"/>
    <n v="0.01"/>
  </r>
  <r>
    <b v="1"/>
    <x v="0"/>
    <x v="0"/>
    <x v="1"/>
    <x v="0"/>
    <x v="1"/>
    <x v="24"/>
    <s v="BBG00R4VZ614"/>
    <x v="9"/>
    <s v="7764daf78634437c8d58059674d26e96"/>
    <s v="ISA CTEEP - 8¬™ Emiss√£o"/>
    <x v="1"/>
    <x v="1"/>
    <s v="Transmission"/>
    <s v="Interliga√ß√£o El√©trica Aguape√≠ S.A. - 8¬∞"/>
    <s v="Brazil"/>
    <d v="2018-12-15T00:00:00"/>
    <d v="2020-12-31T00:00:00"/>
    <s v="BRL"/>
    <n v="1570269"/>
    <n v="1570269"/>
    <s v="BRL"/>
    <n v="1570269"/>
    <n v="302201"/>
    <b v="0"/>
    <n v="0.01"/>
  </r>
  <r>
    <b v="1"/>
    <x v="0"/>
    <x v="0"/>
    <x v="1"/>
    <x v="0"/>
    <x v="1"/>
    <x v="24"/>
    <s v="BBG00R4VZ614"/>
    <x v="9"/>
    <s v="7764daf78634437c8d58059674d26e96"/>
    <s v="ISA CTEEP - 8¬™ Emiss√£o"/>
    <x v="0"/>
    <x v="0"/>
    <s v="Transmission"/>
    <s v="Interliga√ß√£o El√©trica Aimor√©s S.A. - 8¬∞"/>
    <s v="Brazil"/>
    <d v="2018-12-15T00:00:00"/>
    <d v="2020-12-31T00:00:00"/>
    <s v="BRL"/>
    <n v="12021913"/>
    <n v="12021913"/>
    <s v="BRL"/>
    <n v="12021913"/>
    <n v="2313642"/>
    <b v="0"/>
    <n v="0.04"/>
  </r>
  <r>
    <b v="1"/>
    <x v="0"/>
    <x v="0"/>
    <x v="1"/>
    <x v="0"/>
    <x v="1"/>
    <x v="24"/>
    <s v="BBG00R4VZ614"/>
    <x v="9"/>
    <s v="7764daf78634437c8d58059674d26e96"/>
    <s v="ISA CTEEP - 8¬™ Emiss√£o"/>
    <x v="1"/>
    <x v="1"/>
    <s v="Transmission"/>
    <s v="Interliga√ß√£o El√©trica Aimor√©s S.A. - 8¬∞"/>
    <s v="Brazil"/>
    <d v="2018-12-15T00:00:00"/>
    <d v="2020-12-31T00:00:00"/>
    <s v="BRL"/>
    <n v="12021913"/>
    <n v="12021913"/>
    <s v="BRL"/>
    <n v="12021913"/>
    <n v="2313642"/>
    <b v="0"/>
    <n v="0.04"/>
  </r>
  <r>
    <b v="1"/>
    <x v="0"/>
    <x v="0"/>
    <x v="1"/>
    <x v="0"/>
    <x v="1"/>
    <x v="24"/>
    <s v="BBG00R4VZ614"/>
    <x v="9"/>
    <s v="7764daf78634437c8d58059674d26e96"/>
    <s v="ISA CTEEP - 8¬™ Emiss√£o"/>
    <x v="0"/>
    <x v="0"/>
    <s v="Transmission"/>
    <s v="Interliga√ß√£o El√©trica Paragua√ßu S.A. - 8¬∞"/>
    <s v="Brazil"/>
    <d v="2018-12-15T00:00:00"/>
    <d v="2020-12-31T00:00:00"/>
    <s v="BRL"/>
    <n v="17916338"/>
    <n v="17916338"/>
    <s v="BRL"/>
    <n v="17916338"/>
    <n v="3448036"/>
    <b v="0"/>
    <n v="0.04"/>
  </r>
  <r>
    <b v="1"/>
    <x v="0"/>
    <x v="0"/>
    <x v="1"/>
    <x v="0"/>
    <x v="1"/>
    <x v="24"/>
    <s v="BBG00R4VZ614"/>
    <x v="9"/>
    <s v="7764daf78634437c8d58059674d26e96"/>
    <s v="ISA CTEEP - 8¬™ Emiss√£o"/>
    <x v="1"/>
    <x v="1"/>
    <s v="Transmission"/>
    <s v="Interliga√ß√£o El√©trica Paragua√ßu S.A. - 8¬∞"/>
    <s v="Brazil"/>
    <d v="2018-12-15T00:00:00"/>
    <d v="2020-12-31T00:00:00"/>
    <s v="BRL"/>
    <n v="17916338"/>
    <n v="17916338"/>
    <s v="BRL"/>
    <n v="17916338"/>
    <n v="3448036"/>
    <b v="0"/>
    <n v="0.04"/>
  </r>
  <r>
    <b v="1"/>
    <x v="0"/>
    <x v="0"/>
    <x v="1"/>
    <x v="0"/>
    <x v="1"/>
    <x v="24"/>
    <s v="BBG00R4VZ614"/>
    <x v="9"/>
    <s v="7764daf78634437c8d58059674d26e96"/>
    <s v="ISA CTEEP - 8¬™ Emiss√£o"/>
    <x v="0"/>
    <x v="0"/>
    <s v="Transmission"/>
    <s v="Interliga√ß√£o El√©trica Bigua√ßu S.A. - 8¬∞"/>
    <s v="Brazil"/>
    <d v="2018-12-15T00:00:00"/>
    <d v="2020-12-31T00:00:00"/>
    <s v="BRL"/>
    <n v="33356821"/>
    <n v="33356821"/>
    <s v="BRL"/>
    <n v="33356821"/>
    <n v="6419588"/>
    <b v="0"/>
    <n v="0.05"/>
  </r>
  <r>
    <b v="1"/>
    <x v="0"/>
    <x v="0"/>
    <x v="1"/>
    <x v="0"/>
    <x v="1"/>
    <x v="24"/>
    <s v="BBG00R4VZ614"/>
    <x v="9"/>
    <s v="7764daf78634437c8d58059674d26e96"/>
    <s v="ISA CTEEP - 8¬™ Emiss√£o"/>
    <x v="1"/>
    <x v="1"/>
    <s v="Transmission"/>
    <s v="Interliga√ß√£o El√©trica Bigua√ßu S.A. - 8¬∞"/>
    <s v="Brazil"/>
    <d v="2018-12-15T00:00:00"/>
    <d v="2020-12-31T00:00:00"/>
    <s v="BRL"/>
    <n v="33356821"/>
    <n v="33356821"/>
    <s v="BRL"/>
    <n v="33356821"/>
    <n v="6419588"/>
    <b v="0"/>
    <n v="0.05"/>
  </r>
  <r>
    <b v="1"/>
    <x v="0"/>
    <x v="0"/>
    <x v="2"/>
    <x v="0"/>
    <x v="1"/>
    <x v="21"/>
    <s v="BBG00YG422X6"/>
    <x v="6"/>
    <s v="5b9bc195be534adaa28f29ea980225c8"/>
    <s v="ISA CTEEP - 9¬™ Emiss√£o (2¬™ Serie)"/>
    <x v="0"/>
    <x v="0"/>
    <s v="Transmission"/>
    <s v="Interliga√ß√£o El√©trica Paragua√ßu S.A. - 9¬∞"/>
    <s v="Brazil"/>
    <d v="2020-12-07T00:00:00"/>
    <d v="2021-12-31T00:00:00"/>
    <s v="BRL"/>
    <n v="35832105"/>
    <n v="35832105"/>
    <s v="BRL"/>
    <n v="35832105"/>
    <n v="7024250"/>
    <b v="0"/>
    <n v="7.0000000000000007E-2"/>
  </r>
  <r>
    <b v="1"/>
    <x v="0"/>
    <x v="0"/>
    <x v="2"/>
    <x v="0"/>
    <x v="1"/>
    <x v="21"/>
    <s v="BBG00YG422X6"/>
    <x v="6"/>
    <s v="5b9bc195be534adaa28f29ea980225c8"/>
    <s v="ISA CTEEP - 9¬™ Emiss√£o (2¬™ Serie)"/>
    <x v="1"/>
    <x v="1"/>
    <s v="Transmission"/>
    <s v="Interliga√ß√£o El√©trica Paragua√ßu S.A. - 9¬∞"/>
    <s v="Brazil"/>
    <d v="2020-12-07T00:00:00"/>
    <d v="2021-12-31T00:00:00"/>
    <s v="BRL"/>
    <n v="35832105"/>
    <n v="35832105"/>
    <s v="BRL"/>
    <n v="35832105"/>
    <n v="7024250"/>
    <b v="0"/>
    <n v="7.0000000000000007E-2"/>
  </r>
  <r>
    <b v="1"/>
    <x v="0"/>
    <x v="0"/>
    <x v="2"/>
    <x v="0"/>
    <x v="1"/>
    <x v="21"/>
    <s v="BBG00YG422X6"/>
    <x v="6"/>
    <s v="5b9bc195be534adaa28f29ea980225c8"/>
    <s v="ISA CTEEP - 9¬™ Emiss√£o (2¬™ Serie)"/>
    <x v="0"/>
    <x v="0"/>
    <s v="Transmission"/>
    <s v="Interliga√ß√£o El√©trica Bigua√ßu S.A. - 9¬∞"/>
    <s v="Brazil"/>
    <d v="2020-12-07T00:00:00"/>
    <d v="2021-12-31T00:00:00"/>
    <s v="BRL"/>
    <n v="113861419"/>
    <n v="113861419"/>
    <s v="BRL"/>
    <n v="113861419"/>
    <n v="22320517"/>
    <b v="0"/>
    <n v="0.18"/>
  </r>
  <r>
    <b v="1"/>
    <x v="0"/>
    <x v="0"/>
    <x v="2"/>
    <x v="0"/>
    <x v="1"/>
    <x v="21"/>
    <s v="BBG00YG422X6"/>
    <x v="6"/>
    <s v="5b9bc195be534adaa28f29ea980225c8"/>
    <s v="ISA CTEEP - 9¬™ Emiss√£o (2¬™ Serie)"/>
    <x v="1"/>
    <x v="1"/>
    <s v="Transmission"/>
    <s v="Interliga√ß√£o El√©trica Bigua√ßu S.A. - 9¬∞"/>
    <s v="Brazil"/>
    <d v="2020-12-07T00:00:00"/>
    <d v="2021-12-31T00:00:00"/>
    <s v="BRL"/>
    <n v="113861419"/>
    <n v="113861419"/>
    <s v="BRL"/>
    <n v="113861419"/>
    <n v="22320517"/>
    <b v="0"/>
    <n v="0.18"/>
  </r>
  <r>
    <b v="1"/>
    <x v="0"/>
    <x v="0"/>
    <x v="2"/>
    <x v="0"/>
    <x v="1"/>
    <x v="21"/>
    <s v="BBG00YG422X6"/>
    <x v="6"/>
    <s v="5b9bc195be534adaa28f29ea980225c8"/>
    <s v="ISA CTEEP - 9¬™ Emiss√£o (2¬™ Serie)"/>
    <x v="0"/>
    <x v="0"/>
    <s v="Transmission"/>
    <s v="Projetos de Refor√ßos - 9¬∞"/>
    <s v="Brazil"/>
    <d v="2020-12-07T00:00:00"/>
    <d v="2021-12-31T00:00:00"/>
    <s v="BRL"/>
    <n v="27800000"/>
    <n v="27800000"/>
    <s v="BRL"/>
    <n v="27800000"/>
    <n v="5449698"/>
    <b v="0"/>
    <n v="0.16"/>
  </r>
  <r>
    <b v="1"/>
    <x v="0"/>
    <x v="0"/>
    <x v="2"/>
    <x v="0"/>
    <x v="1"/>
    <x v="21"/>
    <s v="BBG00YG422X6"/>
    <x v="6"/>
    <s v="5b9bc195be534adaa28f29ea980225c8"/>
    <s v="ISA CTEEP - 9¬™ Emiss√£o (2¬™ Serie)"/>
    <x v="1"/>
    <x v="1"/>
    <s v="Transmission"/>
    <s v="Projetos de Refor√ßos - 9¬∞"/>
    <s v="Brazil"/>
    <d v="2020-12-07T00:00:00"/>
    <d v="2021-12-31T00:00:00"/>
    <s v="BRL"/>
    <n v="27800000"/>
    <n v="27800000"/>
    <s v="BRL"/>
    <n v="27800000"/>
    <n v="5449698"/>
    <b v="0"/>
    <n v="0.16"/>
  </r>
  <r>
    <b v="1"/>
    <x v="0"/>
    <x v="0"/>
    <x v="2"/>
    <x v="0"/>
    <x v="1"/>
    <x v="26"/>
    <s v="BBG00Z71T3Y7"/>
    <x v="10"/>
    <s v="675b2c75c3cf4ef5be3d6cf3421d4300"/>
    <s v="ISA CTEEP - 10¬™ Emiss√£o"/>
    <x v="0"/>
    <x v="0"/>
    <s v="Transmission"/>
    <s v="Interliga√ß√£o El√©trica de Minas Gerais S.A. (Triangulo Mineiro) - 10¬∞"/>
    <s v="Brazil"/>
    <d v="2021-02-10T00:00:00"/>
    <d v="2021-12-31T00:00:00"/>
    <s v="BRL"/>
    <n v="268923564"/>
    <n v="32270828"/>
    <s v="BRL"/>
    <n v="32270828"/>
    <n v="5974088"/>
    <b v="0"/>
    <n v="0.49"/>
  </r>
  <r>
    <b v="1"/>
    <x v="0"/>
    <x v="0"/>
    <x v="2"/>
    <x v="0"/>
    <x v="1"/>
    <x v="26"/>
    <s v="BBG00Z71T3Y7"/>
    <x v="10"/>
    <s v="675b2c75c3cf4ef5be3d6cf3421d4300"/>
    <s v="ISA CTEEP - 10¬™ Emiss√£o"/>
    <x v="1"/>
    <x v="1"/>
    <s v="Transmission"/>
    <s v="Interliga√ß√£o El√©trica de Minas Gerais S.A. (Triangulo Mineiro) - 10¬∞"/>
    <s v="Brazil"/>
    <d v="2021-02-10T00:00:00"/>
    <d v="2021-12-31T00:00:00"/>
    <s v="BRL"/>
    <n v="268923564"/>
    <n v="32270828"/>
    <s v="BRL"/>
    <n v="32270828"/>
    <n v="5974088"/>
    <b v="0"/>
    <n v="0.49"/>
  </r>
  <r>
    <b v="1"/>
    <x v="0"/>
    <x v="0"/>
    <x v="2"/>
    <x v="0"/>
    <x v="1"/>
    <x v="26"/>
    <s v="BBG00Z71T3Y7"/>
    <x v="10"/>
    <s v="675b2c75c3cf4ef5be3d6cf3421d4300"/>
    <s v="ISA CTEEP - 10¬™ Emiss√£o"/>
    <x v="0"/>
    <x v="0"/>
    <s v="Transmission"/>
    <s v="Interliga√ß√£o El√©trica Evrecy S.A. (Minuano) - 10¬∞"/>
    <s v="Brazil"/>
    <d v="2021-02-10T00:00:00"/>
    <d v="2021-12-31T00:00:00"/>
    <s v="BRL"/>
    <n v="325364312"/>
    <n v="35790074"/>
    <s v="BRL"/>
    <n v="35790074"/>
    <n v="6625583"/>
    <b v="0"/>
    <n v="0.48"/>
  </r>
  <r>
    <b v="1"/>
    <x v="0"/>
    <x v="0"/>
    <x v="2"/>
    <x v="0"/>
    <x v="1"/>
    <x v="26"/>
    <s v="BBG00Z71T3Y7"/>
    <x v="10"/>
    <s v="675b2c75c3cf4ef5be3d6cf3421d4300"/>
    <s v="ISA CTEEP - 10¬™ Emiss√£o"/>
    <x v="1"/>
    <x v="1"/>
    <s v="Transmission"/>
    <s v="Interliga√ß√£o El√©trica Evrecy S.A. (Minuano) - 10¬∞"/>
    <s v="Brazil"/>
    <d v="2021-02-10T00:00:00"/>
    <d v="2021-12-31T00:00:00"/>
    <s v="BRL"/>
    <n v="325364312"/>
    <n v="35790074"/>
    <s v="BRL"/>
    <n v="35790074"/>
    <n v="6625583"/>
    <b v="0"/>
    <n v="0.48"/>
  </r>
  <r>
    <b v="1"/>
    <x v="0"/>
    <x v="0"/>
    <x v="1"/>
    <x v="0"/>
    <x v="1"/>
    <x v="27"/>
    <n v="0"/>
    <x v="0"/>
    <s v="44e27f4e41cc40a693f0cb8b082426ca"/>
    <s v="Fibria Green Bond 2027"/>
    <x v="0"/>
    <x v="10"/>
    <s v="Commercial Forestry"/>
    <s v="Forest Maintenance"/>
    <s v="Brazil"/>
    <d v="2019-12-01T00:00:00"/>
    <d v="2019-12-01T00:00:00"/>
    <s v="BRL"/>
    <n v="41100000"/>
    <n v="41100000"/>
    <s v="USD"/>
    <n v="10400000"/>
    <n v="10400000"/>
    <b v="0"/>
    <n v="1"/>
  </r>
  <r>
    <b v="1"/>
    <x v="0"/>
    <x v="0"/>
    <x v="1"/>
    <x v="0"/>
    <x v="1"/>
    <x v="27"/>
    <n v="0"/>
    <x v="0"/>
    <s v="44e27f4e41cc40a693f0cb8b082426ca"/>
    <s v="Fibria Green Bond 2027"/>
    <x v="0"/>
    <x v="10"/>
    <s v="Commercial Forestry"/>
    <s v="Forest Maintenance"/>
    <s v="Brazil"/>
    <d v="2018-12-01T00:00:00"/>
    <d v="2018-12-01T00:00:00"/>
    <s v="BRL"/>
    <n v="60400000"/>
    <n v="60400000"/>
    <s v="USD"/>
    <n v="16500000"/>
    <n v="16500000"/>
    <b v="0"/>
    <n v="1"/>
  </r>
  <r>
    <b v="1"/>
    <x v="0"/>
    <x v="0"/>
    <x v="1"/>
    <x v="0"/>
    <x v="1"/>
    <x v="27"/>
    <n v="0"/>
    <x v="0"/>
    <s v="44e27f4e41cc40a693f0cb8b082426ca"/>
    <s v="Fibria Green Bond 2027"/>
    <x v="0"/>
    <x v="10"/>
    <s v="Commercial Forestry"/>
    <s v="Forest Maintenance"/>
    <s v="Brazil"/>
    <d v="2017-12-01T00:00:00"/>
    <d v="2017-12-01T00:00:00"/>
    <s v="BRL"/>
    <n v="66700000"/>
    <n v="66700000"/>
    <s v="USD"/>
    <n v="21100000"/>
    <n v="21100000"/>
    <b v="0"/>
    <n v="1"/>
  </r>
  <r>
    <b v="1"/>
    <x v="0"/>
    <x v="0"/>
    <x v="1"/>
    <x v="0"/>
    <x v="1"/>
    <x v="27"/>
    <n v="0"/>
    <x v="0"/>
    <s v="44e27f4e41cc40a693f0cb8b082426ca"/>
    <s v="Fibria Green Bond 2027"/>
    <x v="0"/>
    <x v="10"/>
    <s v="Commercial Forestry"/>
    <s v="Forest Maintenance"/>
    <s v="Brazil"/>
    <d v="2016-12-01T00:00:00"/>
    <d v="2016-12-01T00:00:00"/>
    <s v="BRL"/>
    <n v="66300000"/>
    <n v="66300000"/>
    <s v="USD"/>
    <n v="19000000"/>
    <n v="19000000"/>
    <b v="0"/>
    <n v="1"/>
  </r>
  <r>
    <b v="1"/>
    <x v="0"/>
    <x v="0"/>
    <x v="1"/>
    <x v="0"/>
    <x v="1"/>
    <x v="27"/>
    <n v="0"/>
    <x v="0"/>
    <s v="44e27f4e41cc40a693f0cb8b082426ca"/>
    <s v="Fibria Green Bond 2027"/>
    <x v="0"/>
    <x v="10"/>
    <s v="Commercial Forestry"/>
    <s v="Forest Maintenance"/>
    <s v="Brazil"/>
    <d v="2015-12-01T00:00:00"/>
    <d v="2015-12-01T00:00:00"/>
    <s v="BRL"/>
    <n v="35300000"/>
    <n v="35300000"/>
    <s v="USD"/>
    <n v="10600000"/>
    <n v="10600000"/>
    <b v="0"/>
    <n v="1"/>
  </r>
  <r>
    <b v="1"/>
    <x v="0"/>
    <x v="0"/>
    <x v="1"/>
    <x v="0"/>
    <x v="1"/>
    <x v="27"/>
    <n v="0"/>
    <x v="0"/>
    <s v="44e27f4e41cc40a693f0cb8b082426ca"/>
    <s v="Fibria Green Bond 2027"/>
    <x v="1"/>
    <x v="11"/>
    <s v="Forestry"/>
    <s v="Forest Maintenance"/>
    <s v="Brazil"/>
    <d v="2019-12-01T00:00:00"/>
    <d v="2019-12-01T00:00:00"/>
    <s v="BRL"/>
    <n v="41100000"/>
    <n v="41100000"/>
    <s v="USD"/>
    <n v="10400000"/>
    <n v="10400000"/>
    <b v="0"/>
    <n v="1"/>
  </r>
  <r>
    <b v="1"/>
    <x v="0"/>
    <x v="0"/>
    <x v="1"/>
    <x v="0"/>
    <x v="1"/>
    <x v="27"/>
    <n v="0"/>
    <x v="0"/>
    <s v="44e27f4e41cc40a693f0cb8b082426ca"/>
    <s v="Fibria Green Bond 2027"/>
    <x v="1"/>
    <x v="11"/>
    <s v="Forestry"/>
    <s v="Forest Maintenance"/>
    <s v="Brazil"/>
    <d v="2018-12-01T00:00:00"/>
    <d v="2018-12-01T00:00:00"/>
    <s v="BRL"/>
    <n v="60400000"/>
    <n v="60400000"/>
    <s v="USD"/>
    <n v="16500000"/>
    <n v="16500000"/>
    <b v="0"/>
    <n v="1"/>
  </r>
  <r>
    <b v="1"/>
    <x v="0"/>
    <x v="0"/>
    <x v="1"/>
    <x v="0"/>
    <x v="1"/>
    <x v="27"/>
    <n v="0"/>
    <x v="0"/>
    <s v="44e27f4e41cc40a693f0cb8b082426ca"/>
    <s v="Fibria Green Bond 2027"/>
    <x v="1"/>
    <x v="11"/>
    <s v="Forestry"/>
    <s v="Forest Maintenance"/>
    <s v="Brazil"/>
    <d v="2017-12-01T00:00:00"/>
    <d v="2017-12-01T00:00:00"/>
    <s v="BRL"/>
    <n v="66700000"/>
    <n v="66700000"/>
    <s v="USD"/>
    <n v="21100000"/>
    <n v="21100000"/>
    <b v="0"/>
    <n v="1"/>
  </r>
  <r>
    <b v="1"/>
    <x v="0"/>
    <x v="0"/>
    <x v="1"/>
    <x v="0"/>
    <x v="1"/>
    <x v="27"/>
    <n v="0"/>
    <x v="0"/>
    <s v="44e27f4e41cc40a693f0cb8b082426ca"/>
    <s v="Fibria Green Bond 2027"/>
    <x v="1"/>
    <x v="11"/>
    <s v="Forestry"/>
    <s v="Forest Maintenance"/>
    <s v="Brazil"/>
    <d v="2016-12-01T00:00:00"/>
    <d v="2016-12-01T00:00:00"/>
    <s v="BRL"/>
    <n v="66300000"/>
    <n v="66300000"/>
    <s v="USD"/>
    <n v="19000000"/>
    <n v="19000000"/>
    <b v="0"/>
    <n v="1"/>
  </r>
  <r>
    <b v="1"/>
    <x v="0"/>
    <x v="0"/>
    <x v="1"/>
    <x v="0"/>
    <x v="1"/>
    <x v="27"/>
    <n v="0"/>
    <x v="0"/>
    <s v="44e27f4e41cc40a693f0cb8b082426ca"/>
    <s v="Fibria Green Bond 2027"/>
    <x v="1"/>
    <x v="11"/>
    <s v="Forestry"/>
    <s v="Forest Maintenance"/>
    <s v="Brazil"/>
    <d v="2015-12-01T00:00:00"/>
    <d v="2015-12-01T00:00:00"/>
    <s v="BRL"/>
    <n v="35300000"/>
    <n v="35300000"/>
    <s v="USD"/>
    <n v="10600000"/>
    <n v="10600000"/>
    <b v="0"/>
    <n v="1"/>
  </r>
  <r>
    <b v="1"/>
    <x v="0"/>
    <x v="0"/>
    <x v="1"/>
    <x v="0"/>
    <x v="1"/>
    <x v="27"/>
    <n v="0"/>
    <x v="0"/>
    <s v="44e27f4e41cc40a693f0cb8b082426ca"/>
    <s v="Fibria Green Bond 2027"/>
    <x v="0"/>
    <x v="10"/>
    <s v="Commercial Forestry"/>
    <s v="Forest Protection and Management"/>
    <s v="Brazil"/>
    <d v="2019-12-01T00:00:00"/>
    <d v="2019-12-01T00:00:00"/>
    <s v="BRL"/>
    <n v="97100000"/>
    <n v="97100000"/>
    <s v="USD"/>
    <n v="24600000"/>
    <n v="24600000"/>
    <b v="1"/>
    <n v="1"/>
  </r>
  <r>
    <b v="1"/>
    <x v="0"/>
    <x v="0"/>
    <x v="1"/>
    <x v="0"/>
    <x v="1"/>
    <x v="27"/>
    <n v="0"/>
    <x v="0"/>
    <s v="44e27f4e41cc40a693f0cb8b082426ca"/>
    <s v="Fibria Green Bond 2027"/>
    <x v="0"/>
    <x v="10"/>
    <s v="Commercial Forestry"/>
    <s v="Forest Protection and Management"/>
    <s v="Brazil"/>
    <d v="2018-12-01T00:00:00"/>
    <d v="2018-12-01T00:00:00"/>
    <s v="BRL"/>
    <n v="139600000"/>
    <n v="139600000"/>
    <s v="USD"/>
    <n v="38200000"/>
    <n v="38200000"/>
    <b v="1"/>
    <n v="1"/>
  </r>
  <r>
    <b v="1"/>
    <x v="0"/>
    <x v="0"/>
    <x v="1"/>
    <x v="0"/>
    <x v="1"/>
    <x v="27"/>
    <n v="0"/>
    <x v="0"/>
    <s v="44e27f4e41cc40a693f0cb8b082426ca"/>
    <s v="Fibria Green Bond 2027"/>
    <x v="0"/>
    <x v="10"/>
    <s v="Commercial Forestry"/>
    <s v="Forest Protection and Management"/>
    <s v="Brazil"/>
    <d v="2017-12-01T00:00:00"/>
    <d v="2017-12-01T00:00:00"/>
    <s v="BRL"/>
    <n v="134400000"/>
    <n v="134400000"/>
    <s v="USD"/>
    <n v="42100000"/>
    <n v="42100000"/>
    <b v="1"/>
    <n v="1"/>
  </r>
  <r>
    <b v="1"/>
    <x v="0"/>
    <x v="0"/>
    <x v="1"/>
    <x v="0"/>
    <x v="1"/>
    <x v="27"/>
    <n v="0"/>
    <x v="0"/>
    <s v="44e27f4e41cc40a693f0cb8b082426ca"/>
    <s v="Fibria Green Bond 2027"/>
    <x v="0"/>
    <x v="10"/>
    <s v="Commercial Forestry"/>
    <s v="Forest Protection and Management"/>
    <s v="Brazil"/>
    <d v="2016-12-01T00:00:00"/>
    <d v="2016-12-01T00:00:00"/>
    <s v="BRL"/>
    <n v="128300000"/>
    <n v="128300000"/>
    <s v="USD"/>
    <n v="36800000"/>
    <n v="36800000"/>
    <b v="1"/>
    <n v="1"/>
  </r>
  <r>
    <b v="1"/>
    <x v="0"/>
    <x v="0"/>
    <x v="1"/>
    <x v="0"/>
    <x v="1"/>
    <x v="27"/>
    <n v="0"/>
    <x v="0"/>
    <s v="44e27f4e41cc40a693f0cb8b082426ca"/>
    <s v="Fibria Green Bond 2027"/>
    <x v="0"/>
    <x v="10"/>
    <s v="Commercial Forestry"/>
    <s v="Forest Protection and Management"/>
    <s v="Brazil"/>
    <d v="2015-12-01T00:00:00"/>
    <d v="2015-12-01T00:00:00"/>
    <s v="BRL"/>
    <n v="118200000"/>
    <n v="118200000"/>
    <s v="USD"/>
    <n v="35400000"/>
    <n v="35400000"/>
    <b v="1"/>
    <n v="1"/>
  </r>
  <r>
    <b v="1"/>
    <x v="0"/>
    <x v="0"/>
    <x v="1"/>
    <x v="0"/>
    <x v="1"/>
    <x v="27"/>
    <n v="0"/>
    <x v="0"/>
    <s v="44e27f4e41cc40a693f0cb8b082426ca"/>
    <s v="Fibria Green Bond 2027"/>
    <x v="1"/>
    <x v="11"/>
    <s v="Forestry"/>
    <s v="Forest Protection and Management"/>
    <s v="Brazil"/>
    <d v="2019-12-01T00:00:00"/>
    <d v="2019-12-01T00:00:00"/>
    <s v="BRL"/>
    <n v="97100000"/>
    <n v="97100000"/>
    <s v="USD"/>
    <n v="24600000"/>
    <n v="24600000"/>
    <b v="1"/>
    <n v="1"/>
  </r>
  <r>
    <b v="1"/>
    <x v="0"/>
    <x v="0"/>
    <x v="1"/>
    <x v="0"/>
    <x v="1"/>
    <x v="27"/>
    <n v="0"/>
    <x v="0"/>
    <s v="44e27f4e41cc40a693f0cb8b082426ca"/>
    <s v="Fibria Green Bond 2027"/>
    <x v="1"/>
    <x v="11"/>
    <s v="Forestry"/>
    <s v="Forest Protection and Management"/>
    <s v="Brazil"/>
    <d v="2018-12-01T00:00:00"/>
    <d v="2018-12-01T00:00:00"/>
    <s v="BRL"/>
    <n v="139600000"/>
    <n v="139600000"/>
    <s v="USD"/>
    <n v="38200000"/>
    <n v="38200000"/>
    <b v="1"/>
    <n v="1"/>
  </r>
  <r>
    <b v="1"/>
    <x v="0"/>
    <x v="0"/>
    <x v="1"/>
    <x v="0"/>
    <x v="1"/>
    <x v="27"/>
    <n v="0"/>
    <x v="0"/>
    <s v="44e27f4e41cc40a693f0cb8b082426ca"/>
    <s v="Fibria Green Bond 2027"/>
    <x v="1"/>
    <x v="11"/>
    <s v="Forestry"/>
    <s v="Forest Protection and Management"/>
    <s v="Brazil"/>
    <d v="2017-12-01T00:00:00"/>
    <d v="2017-12-01T00:00:00"/>
    <s v="BRL"/>
    <n v="134400000"/>
    <n v="134400000"/>
    <s v="USD"/>
    <n v="42100000"/>
    <n v="42100000"/>
    <b v="1"/>
    <n v="1"/>
  </r>
  <r>
    <b v="1"/>
    <x v="0"/>
    <x v="0"/>
    <x v="1"/>
    <x v="0"/>
    <x v="1"/>
    <x v="27"/>
    <n v="0"/>
    <x v="0"/>
    <s v="44e27f4e41cc40a693f0cb8b082426ca"/>
    <s v="Fibria Green Bond 2027"/>
    <x v="1"/>
    <x v="11"/>
    <s v="Forestry"/>
    <s v="Forest Protection and Management"/>
    <s v="Brazil"/>
    <d v="2016-12-01T00:00:00"/>
    <d v="2016-12-01T00:00:00"/>
    <s v="BRL"/>
    <n v="128300000"/>
    <n v="128300000"/>
    <s v="USD"/>
    <n v="36800000"/>
    <n v="36800000"/>
    <b v="1"/>
    <n v="1"/>
  </r>
  <r>
    <b v="1"/>
    <x v="0"/>
    <x v="0"/>
    <x v="1"/>
    <x v="0"/>
    <x v="1"/>
    <x v="27"/>
    <n v="0"/>
    <x v="0"/>
    <s v="44e27f4e41cc40a693f0cb8b082426ca"/>
    <s v="Fibria Green Bond 2027"/>
    <x v="1"/>
    <x v="11"/>
    <s v="Forestry"/>
    <s v="Forest Protection and Management"/>
    <s v="Brazil"/>
    <d v="2015-12-01T00:00:00"/>
    <d v="2015-12-01T00:00:00"/>
    <s v="BRL"/>
    <n v="118200000"/>
    <n v="118200000"/>
    <s v="USD"/>
    <n v="35400000"/>
    <n v="35400000"/>
    <b v="1"/>
    <n v="1"/>
  </r>
  <r>
    <b v="1"/>
    <x v="0"/>
    <x v="0"/>
    <x v="1"/>
    <x v="0"/>
    <x v="1"/>
    <x v="27"/>
    <n v="0"/>
    <x v="0"/>
    <s v="44e27f4e41cc40a693f0cb8b082426ca"/>
    <s v="Fibria Green Bond 2027"/>
    <x v="0"/>
    <x v="10"/>
    <s v="Commercial Forestry"/>
    <s v="Certified Wood Purchase"/>
    <s v="Brazil"/>
    <d v="2019-12-01T00:00:00"/>
    <d v="2019-12-01T00:00:00"/>
    <s v="BRL"/>
    <n v="185600000"/>
    <n v="185600000"/>
    <s v="USD"/>
    <n v="47000000"/>
    <n v="47000000"/>
    <b v="1"/>
    <n v="1"/>
  </r>
  <r>
    <b v="1"/>
    <x v="0"/>
    <x v="0"/>
    <x v="1"/>
    <x v="0"/>
    <x v="1"/>
    <x v="27"/>
    <n v="0"/>
    <x v="0"/>
    <s v="44e27f4e41cc40a693f0cb8b082426ca"/>
    <s v="Fibria Green Bond 2027"/>
    <x v="0"/>
    <x v="10"/>
    <s v="Commercial Forestry"/>
    <s v="Certified Wood Purchase"/>
    <s v="Brazil"/>
    <d v="2018-12-01T00:00:00"/>
    <d v="2018-12-01T00:00:00"/>
    <s v="BRL"/>
    <n v="199600000"/>
    <n v="199600000"/>
    <s v="USD"/>
    <n v="54600000"/>
    <n v="54600000"/>
    <b v="1"/>
    <n v="1"/>
  </r>
  <r>
    <b v="1"/>
    <x v="0"/>
    <x v="0"/>
    <x v="1"/>
    <x v="0"/>
    <x v="1"/>
    <x v="27"/>
    <n v="0"/>
    <x v="0"/>
    <s v="44e27f4e41cc40a693f0cb8b082426ca"/>
    <s v="Fibria Green Bond 2027"/>
    <x v="0"/>
    <x v="10"/>
    <s v="Commercial Forestry"/>
    <s v="Certified Wood Purchase"/>
    <s v="Brazil"/>
    <d v="2017-12-01T00:00:00"/>
    <d v="2017-12-01T00:00:00"/>
    <s v="BRL"/>
    <n v="100800000"/>
    <n v="100800000"/>
    <s v="USD"/>
    <n v="31600000"/>
    <n v="31600000"/>
    <b v="1"/>
    <n v="1"/>
  </r>
  <r>
    <b v="1"/>
    <x v="0"/>
    <x v="0"/>
    <x v="1"/>
    <x v="0"/>
    <x v="1"/>
    <x v="27"/>
    <n v="0"/>
    <x v="0"/>
    <s v="44e27f4e41cc40a693f0cb8b082426ca"/>
    <s v="Fibria Green Bond 2027"/>
    <x v="0"/>
    <x v="10"/>
    <s v="Commercial Forestry"/>
    <s v="Certified Wood Purchase"/>
    <s v="Brazil"/>
    <d v="2016-12-01T00:00:00"/>
    <d v="2016-12-01T00:00:00"/>
    <s v="BRL"/>
    <n v="288500000"/>
    <n v="288500000"/>
    <s v="USD"/>
    <n v="82800000"/>
    <n v="82800000"/>
    <b v="1"/>
    <n v="1"/>
  </r>
  <r>
    <b v="1"/>
    <x v="0"/>
    <x v="0"/>
    <x v="1"/>
    <x v="0"/>
    <x v="1"/>
    <x v="27"/>
    <n v="0"/>
    <x v="0"/>
    <s v="44e27f4e41cc40a693f0cb8b082426ca"/>
    <s v="Fibria Green Bond 2027"/>
    <x v="0"/>
    <x v="10"/>
    <s v="Commercial Forestry"/>
    <s v="Certified Wood Purchase"/>
    <s v="Brazil"/>
    <d v="2015-12-01T00:00:00"/>
    <d v="2015-12-01T00:00:00"/>
    <s v="BRL"/>
    <n v="235300000"/>
    <n v="235300000"/>
    <s v="USD"/>
    <n v="70500000"/>
    <n v="70500000"/>
    <b v="1"/>
    <n v="1"/>
  </r>
  <r>
    <b v="1"/>
    <x v="0"/>
    <x v="0"/>
    <x v="1"/>
    <x v="0"/>
    <x v="1"/>
    <x v="27"/>
    <n v="0"/>
    <x v="0"/>
    <s v="44e27f4e41cc40a693f0cb8b082426ca"/>
    <s v="Fibria Green Bond 2027"/>
    <x v="1"/>
    <x v="11"/>
    <s v="Forestry"/>
    <s v="Certified Wood Purchase"/>
    <s v="Brazil"/>
    <d v="2019-12-01T00:00:00"/>
    <d v="2019-12-01T00:00:00"/>
    <s v="BRL"/>
    <n v="185600000"/>
    <n v="185600000"/>
    <s v="USD"/>
    <n v="47000000"/>
    <n v="47000000"/>
    <b v="1"/>
    <n v="1"/>
  </r>
  <r>
    <b v="1"/>
    <x v="0"/>
    <x v="0"/>
    <x v="1"/>
    <x v="0"/>
    <x v="1"/>
    <x v="27"/>
    <n v="0"/>
    <x v="0"/>
    <s v="44e27f4e41cc40a693f0cb8b082426ca"/>
    <s v="Fibria Green Bond 2027"/>
    <x v="1"/>
    <x v="11"/>
    <s v="Forestry"/>
    <s v="Certified Wood Purchase"/>
    <s v="Brazil"/>
    <d v="2018-12-01T00:00:00"/>
    <d v="2018-12-01T00:00:00"/>
    <s v="BRL"/>
    <n v="199600000"/>
    <n v="199600000"/>
    <s v="USD"/>
    <n v="54600000"/>
    <n v="54600000"/>
    <b v="1"/>
    <n v="1"/>
  </r>
  <r>
    <b v="1"/>
    <x v="0"/>
    <x v="0"/>
    <x v="1"/>
    <x v="0"/>
    <x v="1"/>
    <x v="27"/>
    <n v="0"/>
    <x v="0"/>
    <s v="44e27f4e41cc40a693f0cb8b082426ca"/>
    <s v="Fibria Green Bond 2027"/>
    <x v="1"/>
    <x v="11"/>
    <s v="Forestry"/>
    <s v="Certified Wood Purchase"/>
    <s v="Brazil"/>
    <d v="2017-12-01T00:00:00"/>
    <d v="2017-12-01T00:00:00"/>
    <s v="BRL"/>
    <n v="100800000"/>
    <n v="100800000"/>
    <s v="USD"/>
    <n v="31600000"/>
    <n v="31600000"/>
    <b v="1"/>
    <n v="1"/>
  </r>
  <r>
    <b v="1"/>
    <x v="0"/>
    <x v="0"/>
    <x v="1"/>
    <x v="0"/>
    <x v="1"/>
    <x v="27"/>
    <n v="0"/>
    <x v="0"/>
    <s v="44e27f4e41cc40a693f0cb8b082426ca"/>
    <s v="Fibria Green Bond 2027"/>
    <x v="1"/>
    <x v="11"/>
    <s v="Forestry"/>
    <s v="Certified Wood Purchase"/>
    <s v="Brazil"/>
    <d v="2016-12-01T00:00:00"/>
    <d v="2016-12-01T00:00:00"/>
    <s v="BRL"/>
    <n v="288500000"/>
    <n v="288500000"/>
    <s v="USD"/>
    <n v="82800000"/>
    <n v="82800000"/>
    <b v="1"/>
    <n v="1"/>
  </r>
  <r>
    <b v="1"/>
    <x v="0"/>
    <x v="0"/>
    <x v="1"/>
    <x v="0"/>
    <x v="1"/>
    <x v="27"/>
    <n v="0"/>
    <x v="0"/>
    <s v="44e27f4e41cc40a693f0cb8b082426ca"/>
    <s v="Fibria Green Bond 2027"/>
    <x v="1"/>
    <x v="11"/>
    <s v="Forestry"/>
    <s v="Certified Wood Purchase"/>
    <s v="Brazil"/>
    <d v="2015-12-01T00:00:00"/>
    <d v="2015-12-01T00:00:00"/>
    <s v="BRL"/>
    <n v="235300000"/>
    <n v="235300000"/>
    <s v="USD"/>
    <n v="70500000"/>
    <n v="70500000"/>
    <b v="1"/>
    <n v="1"/>
  </r>
  <r>
    <b v="1"/>
    <x v="0"/>
    <x v="0"/>
    <x v="1"/>
    <x v="0"/>
    <x v="1"/>
    <x v="27"/>
    <n v="0"/>
    <x v="0"/>
    <s v="44e27f4e41cc40a693f0cb8b082426ca"/>
    <s v="Fibria Green Bond 2027"/>
    <x v="0"/>
    <x v="10"/>
    <s v="Ecosystem Conservation &amp; Restoration"/>
    <s v="Restoration"/>
    <s v="Brazil"/>
    <d v="2019-12-01T00:00:00"/>
    <d v="2019-12-01T00:00:00"/>
    <s v="BRL"/>
    <n v="800000"/>
    <n v="800000"/>
    <s v="USD"/>
    <n v="200000"/>
    <n v="200000"/>
    <b v="1"/>
    <n v="1"/>
  </r>
  <r>
    <b v="1"/>
    <x v="0"/>
    <x v="0"/>
    <x v="1"/>
    <x v="0"/>
    <x v="1"/>
    <x v="27"/>
    <n v="0"/>
    <x v="0"/>
    <s v="44e27f4e41cc40a693f0cb8b082426ca"/>
    <s v="Fibria Green Bond 2027"/>
    <x v="0"/>
    <x v="10"/>
    <s v="Ecosystem Conservation &amp; Restoration"/>
    <s v="Restoration"/>
    <s v="Brazil"/>
    <d v="2018-12-01T00:00:00"/>
    <d v="2018-12-01T00:00:00"/>
    <s v="BRL"/>
    <n v="2400000"/>
    <n v="2400000"/>
    <s v="USD"/>
    <n v="700000"/>
    <n v="700000"/>
    <b v="1"/>
    <n v="1"/>
  </r>
  <r>
    <b v="1"/>
    <x v="0"/>
    <x v="0"/>
    <x v="1"/>
    <x v="0"/>
    <x v="1"/>
    <x v="27"/>
    <n v="0"/>
    <x v="0"/>
    <s v="44e27f4e41cc40a693f0cb8b082426ca"/>
    <s v="Fibria Green Bond 2027"/>
    <x v="0"/>
    <x v="10"/>
    <s v="Ecosystem Conservation &amp; Restoration"/>
    <s v="Restoration"/>
    <s v="Brazil"/>
    <d v="2017-12-01T00:00:00"/>
    <d v="2017-12-01T00:00:00"/>
    <s v="BRL"/>
    <n v="3000000"/>
    <n v="3000000"/>
    <s v="USD"/>
    <n v="900000"/>
    <n v="900000"/>
    <b v="1"/>
    <n v="1"/>
  </r>
  <r>
    <b v="1"/>
    <x v="0"/>
    <x v="0"/>
    <x v="1"/>
    <x v="0"/>
    <x v="1"/>
    <x v="27"/>
    <n v="0"/>
    <x v="0"/>
    <s v="44e27f4e41cc40a693f0cb8b082426ca"/>
    <s v="Fibria Green Bond 2027"/>
    <x v="0"/>
    <x v="10"/>
    <s v="Ecosystem Conservation &amp; Restoration"/>
    <s v="Restoration"/>
    <s v="Brazil"/>
    <d v="2016-12-01T00:00:00"/>
    <d v="2016-12-01T00:00:00"/>
    <s v="BRL"/>
    <n v="4400000"/>
    <n v="4400000"/>
    <s v="USD"/>
    <n v="1300000"/>
    <n v="1300000"/>
    <b v="1"/>
    <n v="1"/>
  </r>
  <r>
    <b v="1"/>
    <x v="0"/>
    <x v="0"/>
    <x v="1"/>
    <x v="0"/>
    <x v="1"/>
    <x v="27"/>
    <n v="0"/>
    <x v="0"/>
    <s v="44e27f4e41cc40a693f0cb8b082426ca"/>
    <s v="Fibria Green Bond 2027"/>
    <x v="0"/>
    <x v="10"/>
    <s v="Ecosystem Conservation &amp; Restoration"/>
    <s v="Restoration"/>
    <s v="Brazil"/>
    <d v="2015-12-01T00:00:00"/>
    <d v="2015-12-01T00:00:00"/>
    <s v="BRL"/>
    <n v="4000000"/>
    <n v="4000000"/>
    <s v="USD"/>
    <n v="1200000"/>
    <n v="1200000"/>
    <b v="1"/>
    <n v="1"/>
  </r>
  <r>
    <b v="1"/>
    <x v="0"/>
    <x v="0"/>
    <x v="1"/>
    <x v="0"/>
    <x v="1"/>
    <x v="27"/>
    <n v="0"/>
    <x v="0"/>
    <s v="44e27f4e41cc40a693f0cb8b082426ca"/>
    <s v="Fibria Green Bond 2027"/>
    <x v="1"/>
    <x v="11"/>
    <s v="Natural landscapes"/>
    <s v="Restoration"/>
    <s v="Brazil"/>
    <d v="2019-12-01T00:00:00"/>
    <d v="2019-12-01T00:00:00"/>
    <s v="BRL"/>
    <n v="800000"/>
    <n v="800000"/>
    <s v="USD"/>
    <n v="200000"/>
    <n v="200000"/>
    <b v="1"/>
    <n v="1"/>
  </r>
  <r>
    <b v="1"/>
    <x v="0"/>
    <x v="0"/>
    <x v="1"/>
    <x v="0"/>
    <x v="1"/>
    <x v="27"/>
    <n v="0"/>
    <x v="0"/>
    <s v="44e27f4e41cc40a693f0cb8b082426ca"/>
    <s v="Fibria Green Bond 2027"/>
    <x v="1"/>
    <x v="11"/>
    <s v="Natural landscapes"/>
    <s v="Restoration"/>
    <s v="Brazil"/>
    <d v="2018-12-01T00:00:00"/>
    <d v="2018-12-01T00:00:00"/>
    <s v="BRL"/>
    <n v="2400000"/>
    <n v="2400000"/>
    <s v="USD"/>
    <n v="700000"/>
    <n v="700000"/>
    <b v="1"/>
    <n v="1"/>
  </r>
  <r>
    <b v="1"/>
    <x v="0"/>
    <x v="0"/>
    <x v="1"/>
    <x v="0"/>
    <x v="1"/>
    <x v="27"/>
    <n v="0"/>
    <x v="0"/>
    <s v="44e27f4e41cc40a693f0cb8b082426ca"/>
    <s v="Fibria Green Bond 2027"/>
    <x v="1"/>
    <x v="11"/>
    <s v="Natural landscapes"/>
    <s v="Restoration"/>
    <s v="Brazil"/>
    <d v="2017-12-01T00:00:00"/>
    <d v="2017-12-01T00:00:00"/>
    <s v="BRL"/>
    <n v="3000000"/>
    <n v="3000000"/>
    <s v="USD"/>
    <n v="900000"/>
    <n v="900000"/>
    <b v="1"/>
    <n v="1"/>
  </r>
  <r>
    <b v="1"/>
    <x v="0"/>
    <x v="0"/>
    <x v="1"/>
    <x v="0"/>
    <x v="1"/>
    <x v="27"/>
    <n v="0"/>
    <x v="0"/>
    <s v="44e27f4e41cc40a693f0cb8b082426ca"/>
    <s v="Fibria Green Bond 2027"/>
    <x v="1"/>
    <x v="11"/>
    <s v="Natural landscapes"/>
    <s v="Restoration"/>
    <s v="Brazil"/>
    <d v="2016-12-01T00:00:00"/>
    <d v="2016-12-01T00:00:00"/>
    <s v="BRL"/>
    <n v="4400000"/>
    <n v="4400000"/>
    <s v="USD"/>
    <n v="1300000"/>
    <n v="1300000"/>
    <b v="1"/>
    <n v="1"/>
  </r>
  <r>
    <b v="1"/>
    <x v="0"/>
    <x v="0"/>
    <x v="1"/>
    <x v="0"/>
    <x v="1"/>
    <x v="27"/>
    <n v="0"/>
    <x v="0"/>
    <s v="44e27f4e41cc40a693f0cb8b082426ca"/>
    <s v="Fibria Green Bond 2027"/>
    <x v="1"/>
    <x v="11"/>
    <s v="Natural landscapes"/>
    <s v="Restoration"/>
    <s v="Brazil"/>
    <d v="2015-12-01T00:00:00"/>
    <d v="2015-12-01T00:00:00"/>
    <s v="BRL"/>
    <n v="4000000"/>
    <n v="4000000"/>
    <s v="USD"/>
    <n v="1200000"/>
    <n v="1200000"/>
    <b v="1"/>
    <n v="1"/>
  </r>
  <r>
    <b v="1"/>
    <x v="0"/>
    <x v="0"/>
    <x v="1"/>
    <x v="0"/>
    <x v="1"/>
    <x v="27"/>
    <n v="0"/>
    <x v="0"/>
    <s v="44e27f4e41cc40a693f0cb8b082426ca"/>
    <s v="Fibria Green Bond 2027"/>
    <x v="0"/>
    <x v="10"/>
    <s v="Ecosystem Conservation &amp; Restoration"/>
    <s v="Conservation of Biodiversity"/>
    <s v="Brazil"/>
    <d v="2019-12-01T00:00:00"/>
    <d v="2019-12-01T00:00:00"/>
    <s v="BRL"/>
    <n v="2200000"/>
    <n v="2200000"/>
    <s v="USD"/>
    <n v="600000"/>
    <n v="600000"/>
    <b v="1"/>
    <n v="1"/>
  </r>
  <r>
    <b v="1"/>
    <x v="0"/>
    <x v="0"/>
    <x v="1"/>
    <x v="0"/>
    <x v="1"/>
    <x v="27"/>
    <n v="0"/>
    <x v="0"/>
    <s v="44e27f4e41cc40a693f0cb8b082426ca"/>
    <s v="Fibria Green Bond 2027"/>
    <x v="0"/>
    <x v="10"/>
    <s v="Ecosystem Conservation &amp; Restoration"/>
    <s v="Conservation of Biodiversity"/>
    <s v="Brazil"/>
    <d v="2018-12-01T00:00:00"/>
    <d v="2018-12-01T00:00:00"/>
    <s v="BRL"/>
    <n v="900000"/>
    <n v="900000"/>
    <s v="USD"/>
    <n v="200000"/>
    <n v="200000"/>
    <b v="1"/>
    <n v="1"/>
  </r>
  <r>
    <b v="1"/>
    <x v="0"/>
    <x v="0"/>
    <x v="1"/>
    <x v="0"/>
    <x v="1"/>
    <x v="27"/>
    <n v="0"/>
    <x v="0"/>
    <s v="44e27f4e41cc40a693f0cb8b082426ca"/>
    <s v="Fibria Green Bond 2027"/>
    <x v="0"/>
    <x v="10"/>
    <s v="Ecosystem Conservation &amp; Restoration"/>
    <s v="Conservation of Biodiversity"/>
    <s v="Brazil"/>
    <d v="2017-12-01T00:00:00"/>
    <d v="2017-12-01T00:00:00"/>
    <s v="BRL"/>
    <n v="1200000"/>
    <n v="1200000"/>
    <s v="USD"/>
    <n v="400000"/>
    <n v="400000"/>
    <b v="1"/>
    <n v="1"/>
  </r>
  <r>
    <b v="1"/>
    <x v="0"/>
    <x v="0"/>
    <x v="1"/>
    <x v="0"/>
    <x v="1"/>
    <x v="27"/>
    <n v="0"/>
    <x v="0"/>
    <s v="44e27f4e41cc40a693f0cb8b082426ca"/>
    <s v="Fibria Green Bond 2027"/>
    <x v="0"/>
    <x v="10"/>
    <s v="Ecosystem Conservation &amp; Restoration"/>
    <s v="Conservation of Biodiversity"/>
    <s v="Brazil"/>
    <d v="2016-12-01T00:00:00"/>
    <d v="2016-12-01T00:00:00"/>
    <s v="BRL"/>
    <n v="700000"/>
    <n v="700000"/>
    <s v="USD"/>
    <n v="200000"/>
    <n v="200000"/>
    <b v="1"/>
    <n v="1"/>
  </r>
  <r>
    <b v="1"/>
    <x v="0"/>
    <x v="0"/>
    <x v="1"/>
    <x v="0"/>
    <x v="1"/>
    <x v="27"/>
    <n v="0"/>
    <x v="0"/>
    <s v="44e27f4e41cc40a693f0cb8b082426ca"/>
    <s v="Fibria Green Bond 2027"/>
    <x v="0"/>
    <x v="10"/>
    <s v="Ecosystem Conservation &amp; Restoration"/>
    <s v="Conservation of Biodiversity"/>
    <s v="Brazil"/>
    <d v="2015-12-01T00:00:00"/>
    <d v="2015-12-01T00:00:00"/>
    <s v="BRL"/>
    <n v="300000"/>
    <n v="300000"/>
    <s v="USD"/>
    <n v="100000"/>
    <n v="100000"/>
    <b v="1"/>
    <n v="1"/>
  </r>
  <r>
    <b v="1"/>
    <x v="0"/>
    <x v="0"/>
    <x v="1"/>
    <x v="0"/>
    <x v="1"/>
    <x v="27"/>
    <n v="0"/>
    <x v="0"/>
    <s v="44e27f4e41cc40a693f0cb8b082426ca"/>
    <s v="Fibria Green Bond 2027"/>
    <x v="1"/>
    <x v="11"/>
    <s v="Natural landscapes"/>
    <s v="Conservation of Biodiversity"/>
    <s v="Brazil"/>
    <d v="2019-12-01T00:00:00"/>
    <d v="2019-12-01T00:00:00"/>
    <s v="BRL"/>
    <n v="2200000"/>
    <n v="2200000"/>
    <s v="USD"/>
    <n v="600000"/>
    <n v="600000"/>
    <b v="1"/>
    <n v="1"/>
  </r>
  <r>
    <b v="1"/>
    <x v="0"/>
    <x v="0"/>
    <x v="1"/>
    <x v="0"/>
    <x v="1"/>
    <x v="27"/>
    <n v="0"/>
    <x v="0"/>
    <s v="44e27f4e41cc40a693f0cb8b082426ca"/>
    <s v="Fibria Green Bond 2027"/>
    <x v="1"/>
    <x v="11"/>
    <s v="Natural landscapes"/>
    <s v="Conservation of Biodiversity"/>
    <s v="Brazil"/>
    <d v="2018-12-01T00:00:00"/>
    <d v="2018-12-01T00:00:00"/>
    <s v="BRL"/>
    <n v="900000"/>
    <n v="900000"/>
    <s v="USD"/>
    <n v="200000"/>
    <n v="200000"/>
    <b v="1"/>
    <n v="1"/>
  </r>
  <r>
    <b v="1"/>
    <x v="0"/>
    <x v="0"/>
    <x v="1"/>
    <x v="0"/>
    <x v="1"/>
    <x v="27"/>
    <n v="0"/>
    <x v="0"/>
    <s v="44e27f4e41cc40a693f0cb8b082426ca"/>
    <s v="Fibria Green Bond 2027"/>
    <x v="1"/>
    <x v="11"/>
    <s v="Natural landscapes"/>
    <s v="Conservation of Biodiversity"/>
    <s v="Brazil"/>
    <d v="2017-12-01T00:00:00"/>
    <d v="2017-12-01T00:00:00"/>
    <s v="BRL"/>
    <n v="1200000"/>
    <n v="1200000"/>
    <s v="USD"/>
    <n v="400000"/>
    <n v="400000"/>
    <b v="1"/>
    <n v="1"/>
  </r>
  <r>
    <b v="1"/>
    <x v="0"/>
    <x v="0"/>
    <x v="1"/>
    <x v="0"/>
    <x v="1"/>
    <x v="27"/>
    <n v="0"/>
    <x v="0"/>
    <s v="44e27f4e41cc40a693f0cb8b082426ca"/>
    <s v="Fibria Green Bond 2027"/>
    <x v="1"/>
    <x v="11"/>
    <s v="Natural landscapes"/>
    <s v="Conservation of Biodiversity"/>
    <s v="Brazil"/>
    <d v="2016-12-01T00:00:00"/>
    <d v="2016-12-01T00:00:00"/>
    <s v="BRL"/>
    <n v="700000"/>
    <n v="700000"/>
    <s v="USD"/>
    <n v="200000"/>
    <n v="200000"/>
    <b v="1"/>
    <n v="1"/>
  </r>
  <r>
    <b v="1"/>
    <x v="0"/>
    <x v="0"/>
    <x v="1"/>
    <x v="0"/>
    <x v="1"/>
    <x v="27"/>
    <n v="0"/>
    <x v="0"/>
    <s v="44e27f4e41cc40a693f0cb8b082426ca"/>
    <s v="Fibria Green Bond 2027"/>
    <x v="1"/>
    <x v="11"/>
    <s v="Natural landscapes"/>
    <s v="Conservation of Biodiversity"/>
    <s v="Brazil"/>
    <d v="2015-12-01T00:00:00"/>
    <d v="2015-12-01T00:00:00"/>
    <s v="BRL"/>
    <n v="300000"/>
    <n v="300000"/>
    <s v="USD"/>
    <n v="100000"/>
    <n v="100000"/>
    <b v="1"/>
    <n v="1"/>
  </r>
  <r>
    <b v="1"/>
    <x v="0"/>
    <x v="0"/>
    <x v="1"/>
    <x v="0"/>
    <x v="1"/>
    <x v="27"/>
    <n v="0"/>
    <x v="0"/>
    <s v="44e27f4e41cc40a693f0cb8b082426ca"/>
    <s v="Fibria Green Bond 2027"/>
    <x v="0"/>
    <x v="15"/>
    <s v="Recycling"/>
    <s v="Waste Management"/>
    <s v="Brazil"/>
    <d v="2019-12-01T00:00:00"/>
    <d v="2019-12-01T00:00:00"/>
    <s v="BRL"/>
    <n v="16900000"/>
    <n v="16900000"/>
    <s v="USD"/>
    <n v="4300000"/>
    <n v="4300000"/>
    <b v="1"/>
    <n v="1"/>
  </r>
  <r>
    <b v="1"/>
    <x v="0"/>
    <x v="0"/>
    <x v="1"/>
    <x v="0"/>
    <x v="1"/>
    <x v="27"/>
    <n v="0"/>
    <x v="0"/>
    <s v="44e27f4e41cc40a693f0cb8b082426ca"/>
    <s v="Fibria Green Bond 2027"/>
    <x v="0"/>
    <x v="15"/>
    <s v="Recycling"/>
    <s v="Waste Management"/>
    <s v="Brazil"/>
    <d v="2018-12-01T00:00:00"/>
    <d v="2018-12-01T00:00:00"/>
    <s v="BRL"/>
    <n v="2900000"/>
    <n v="2900000"/>
    <s v="USD"/>
    <n v="800000"/>
    <n v="800000"/>
    <b v="1"/>
    <n v="1"/>
  </r>
  <r>
    <b v="1"/>
    <x v="0"/>
    <x v="0"/>
    <x v="1"/>
    <x v="0"/>
    <x v="1"/>
    <x v="27"/>
    <n v="0"/>
    <x v="0"/>
    <s v="44e27f4e41cc40a693f0cb8b082426ca"/>
    <s v="Fibria Green Bond 2027"/>
    <x v="0"/>
    <x v="15"/>
    <s v="Recycling"/>
    <s v="Waste Management"/>
    <s v="Brazil"/>
    <d v="2017-12-01T00:00:00"/>
    <d v="2017-12-01T00:00:00"/>
    <s v="BRL"/>
    <n v="46600000"/>
    <n v="46600000"/>
    <s v="USD"/>
    <n v="14600000"/>
    <n v="14600000"/>
    <b v="1"/>
    <n v="1"/>
  </r>
  <r>
    <b v="1"/>
    <x v="0"/>
    <x v="0"/>
    <x v="1"/>
    <x v="0"/>
    <x v="1"/>
    <x v="27"/>
    <n v="0"/>
    <x v="0"/>
    <s v="44e27f4e41cc40a693f0cb8b082426ca"/>
    <s v="Fibria Green Bond 2027"/>
    <x v="0"/>
    <x v="15"/>
    <s v="Recycling"/>
    <s v="Waste Management"/>
    <s v="Brazil"/>
    <d v="2016-12-01T00:00:00"/>
    <d v="2016-12-01T00:00:00"/>
    <s v="BRL"/>
    <n v="4900000"/>
    <n v="4900000"/>
    <s v="USD"/>
    <n v="1400000"/>
    <n v="1400000"/>
    <b v="1"/>
    <n v="1"/>
  </r>
  <r>
    <b v="1"/>
    <x v="0"/>
    <x v="0"/>
    <x v="1"/>
    <x v="0"/>
    <x v="1"/>
    <x v="27"/>
    <n v="0"/>
    <x v="0"/>
    <s v="44e27f4e41cc40a693f0cb8b082426ca"/>
    <s v="Fibria Green Bond 2027"/>
    <x v="1"/>
    <x v="12"/>
    <s v="Waste reduction"/>
    <s v="Waste Management"/>
    <s v="Brazil"/>
    <d v="2019-12-01T00:00:00"/>
    <d v="2019-12-01T00:00:00"/>
    <s v="BRL"/>
    <n v="16900000"/>
    <n v="16900000"/>
    <s v="USD"/>
    <n v="4300000"/>
    <n v="4300000"/>
    <b v="1"/>
    <n v="1"/>
  </r>
  <r>
    <b v="1"/>
    <x v="0"/>
    <x v="0"/>
    <x v="1"/>
    <x v="0"/>
    <x v="1"/>
    <x v="27"/>
    <n v="0"/>
    <x v="0"/>
    <s v="44e27f4e41cc40a693f0cb8b082426ca"/>
    <s v="Fibria Green Bond 2027"/>
    <x v="1"/>
    <x v="12"/>
    <s v="Waste reduction"/>
    <s v="Waste Management"/>
    <s v="Brazil"/>
    <d v="2018-12-01T00:00:00"/>
    <d v="2018-12-01T00:00:00"/>
    <s v="BRL"/>
    <n v="2900000"/>
    <n v="2900000"/>
    <s v="USD"/>
    <n v="800000"/>
    <n v="800000"/>
    <b v="1"/>
    <n v="1"/>
  </r>
  <r>
    <b v="1"/>
    <x v="0"/>
    <x v="0"/>
    <x v="1"/>
    <x v="0"/>
    <x v="1"/>
    <x v="27"/>
    <n v="0"/>
    <x v="0"/>
    <s v="44e27f4e41cc40a693f0cb8b082426ca"/>
    <s v="Fibria Green Bond 2027"/>
    <x v="1"/>
    <x v="12"/>
    <s v="Waste reduction"/>
    <s v="Waste Management"/>
    <s v="Brazil"/>
    <d v="2017-12-01T00:00:00"/>
    <d v="2017-12-01T00:00:00"/>
    <s v="BRL"/>
    <n v="46600000"/>
    <n v="46600000"/>
    <s v="USD"/>
    <n v="14600000"/>
    <n v="14600000"/>
    <b v="1"/>
    <n v="1"/>
  </r>
  <r>
    <b v="1"/>
    <x v="0"/>
    <x v="0"/>
    <x v="1"/>
    <x v="0"/>
    <x v="1"/>
    <x v="27"/>
    <n v="0"/>
    <x v="0"/>
    <s v="44e27f4e41cc40a693f0cb8b082426ca"/>
    <s v="Fibria Green Bond 2027"/>
    <x v="1"/>
    <x v="12"/>
    <s v="Waste reduction"/>
    <s v="Waste Management"/>
    <s v="Brazil"/>
    <d v="2016-12-01T00:00:00"/>
    <d v="2016-12-01T00:00:00"/>
    <s v="BRL"/>
    <n v="4900000"/>
    <n v="4900000"/>
    <s v="USD"/>
    <n v="1400000"/>
    <n v="1400000"/>
    <b v="1"/>
    <n v="1"/>
  </r>
  <r>
    <b v="1"/>
    <x v="0"/>
    <x v="0"/>
    <x v="1"/>
    <x v="0"/>
    <x v="1"/>
    <x v="27"/>
    <n v="0"/>
    <x v="0"/>
    <s v="44e27f4e41cc40a693f0cb8b082426ca"/>
    <s v="Fibria Green Bond 2027"/>
    <x v="0"/>
    <x v="7"/>
    <s v="Products &amp; Systems for Efficiency"/>
    <s v="Sustainable Water Management - Water Usage Efficiency"/>
    <s v="Brazil"/>
    <d v="2019-12-01T00:00:00"/>
    <d v="2019-12-01T00:00:00"/>
    <s v="BRL"/>
    <n v="7800000"/>
    <n v="7800000"/>
    <s v="USD"/>
    <n v="2000000"/>
    <n v="2000000"/>
    <b v="1"/>
    <n v="1"/>
  </r>
  <r>
    <b v="1"/>
    <x v="0"/>
    <x v="0"/>
    <x v="1"/>
    <x v="0"/>
    <x v="1"/>
    <x v="27"/>
    <n v="0"/>
    <x v="0"/>
    <s v="44e27f4e41cc40a693f0cb8b082426ca"/>
    <s v="Fibria Green Bond 2027"/>
    <x v="0"/>
    <x v="7"/>
    <s v="Products &amp; Systems for Efficiency"/>
    <s v="Sustainable Water Management - Water Usage Efficiency"/>
    <s v="Brazil"/>
    <d v="2018-12-01T00:00:00"/>
    <d v="2018-12-01T00:00:00"/>
    <s v="BRL"/>
    <n v="600000"/>
    <n v="600000"/>
    <s v="USD"/>
    <n v="200000"/>
    <n v="200000"/>
    <b v="1"/>
    <n v="1"/>
  </r>
  <r>
    <b v="1"/>
    <x v="0"/>
    <x v="0"/>
    <x v="1"/>
    <x v="0"/>
    <x v="1"/>
    <x v="27"/>
    <n v="0"/>
    <x v="0"/>
    <s v="44e27f4e41cc40a693f0cb8b082426ca"/>
    <s v="Fibria Green Bond 2027"/>
    <x v="0"/>
    <x v="7"/>
    <s v="Products &amp; Systems for Efficiency"/>
    <s v="Sustainable Water Management - Water Usage Efficiency"/>
    <s v="Brazil"/>
    <d v="2017-12-01T00:00:00"/>
    <d v="2017-12-01T00:00:00"/>
    <s v="BRL"/>
    <n v="900000"/>
    <n v="900000"/>
    <s v="USD"/>
    <n v="300000"/>
    <n v="300000"/>
    <b v="1"/>
    <n v="1"/>
  </r>
  <r>
    <b v="1"/>
    <x v="0"/>
    <x v="0"/>
    <x v="1"/>
    <x v="0"/>
    <x v="1"/>
    <x v="27"/>
    <n v="0"/>
    <x v="0"/>
    <s v="44e27f4e41cc40a693f0cb8b082426ca"/>
    <s v="Fibria Green Bond 2027"/>
    <x v="0"/>
    <x v="7"/>
    <s v="Products &amp; Systems for Efficiency"/>
    <s v="Sustainable Water Management - Water Usage Efficiency"/>
    <s v="Brazil"/>
    <d v="2016-12-01T00:00:00"/>
    <d v="2016-12-01T00:00:00"/>
    <s v="BRL"/>
    <n v="900000"/>
    <n v="900000"/>
    <s v="USD"/>
    <n v="300000"/>
    <n v="300000"/>
    <b v="1"/>
    <n v="1"/>
  </r>
  <r>
    <b v="1"/>
    <x v="0"/>
    <x v="0"/>
    <x v="1"/>
    <x v="0"/>
    <x v="1"/>
    <x v="27"/>
    <n v="0"/>
    <x v="0"/>
    <s v="44e27f4e41cc40a693f0cb8b082426ca"/>
    <s v="Fibria Green Bond 2027"/>
    <x v="1"/>
    <x v="4"/>
    <s v="Appliances"/>
    <s v="Sustainable Water Management - Water Usage Efficiency"/>
    <s v="Brazil"/>
    <d v="2019-12-01T00:00:00"/>
    <d v="2019-12-01T00:00:00"/>
    <s v="BRL"/>
    <n v="7800000"/>
    <n v="7800000"/>
    <s v="USD"/>
    <n v="2000000"/>
    <n v="2000000"/>
    <b v="1"/>
    <n v="1"/>
  </r>
  <r>
    <b v="1"/>
    <x v="0"/>
    <x v="0"/>
    <x v="1"/>
    <x v="0"/>
    <x v="1"/>
    <x v="27"/>
    <n v="0"/>
    <x v="0"/>
    <s v="44e27f4e41cc40a693f0cb8b082426ca"/>
    <s v="Fibria Green Bond 2027"/>
    <x v="1"/>
    <x v="4"/>
    <s v="Appliances"/>
    <s v="Sustainable Water Management - Water Usage Efficiency"/>
    <s v="Brazil"/>
    <d v="2018-12-01T00:00:00"/>
    <d v="2018-12-01T00:00:00"/>
    <s v="BRL"/>
    <n v="600000"/>
    <n v="600000"/>
    <s v="USD"/>
    <n v="200000"/>
    <n v="200000"/>
    <b v="1"/>
    <n v="1"/>
  </r>
  <r>
    <b v="1"/>
    <x v="0"/>
    <x v="0"/>
    <x v="1"/>
    <x v="0"/>
    <x v="1"/>
    <x v="27"/>
    <n v="0"/>
    <x v="0"/>
    <s v="44e27f4e41cc40a693f0cb8b082426ca"/>
    <s v="Fibria Green Bond 2027"/>
    <x v="1"/>
    <x v="4"/>
    <s v="Appliances"/>
    <s v="Sustainable Water Management - Water Usage Efficiency"/>
    <s v="Brazil"/>
    <d v="2017-12-01T00:00:00"/>
    <d v="2017-12-01T00:00:00"/>
    <s v="BRL"/>
    <n v="900000"/>
    <n v="900000"/>
    <s v="USD"/>
    <n v="300000"/>
    <n v="300000"/>
    <b v="1"/>
    <n v="1"/>
  </r>
  <r>
    <b v="1"/>
    <x v="0"/>
    <x v="0"/>
    <x v="1"/>
    <x v="0"/>
    <x v="1"/>
    <x v="27"/>
    <n v="0"/>
    <x v="0"/>
    <s v="44e27f4e41cc40a693f0cb8b082426ca"/>
    <s v="Fibria Green Bond 2027"/>
    <x v="1"/>
    <x v="4"/>
    <s v="Appliances"/>
    <s v="Sustainable Water Management - Water Usage Efficiency"/>
    <s v="Brazil"/>
    <d v="2016-12-01T00:00:00"/>
    <d v="2016-12-01T00:00:00"/>
    <s v="BRL"/>
    <n v="900000"/>
    <n v="900000"/>
    <s v="USD"/>
    <n v="300000"/>
    <n v="300000"/>
    <b v="1"/>
    <n v="1"/>
  </r>
  <r>
    <b v="1"/>
    <x v="0"/>
    <x v="0"/>
    <x v="1"/>
    <x v="0"/>
    <x v="1"/>
    <x v="27"/>
    <n v="0"/>
    <x v="0"/>
    <s v="44e27f4e41cc40a693f0cb8b082426ca"/>
    <s v="Fibria Green Bond 2027"/>
    <x v="0"/>
    <x v="0"/>
    <s v="Bioenergy"/>
    <s v="Renewable Energy ‚Äì Generation of Energy from Renewable Sources"/>
    <s v="Brazil"/>
    <d v="2017-12-01T00:00:00"/>
    <d v="2017-12-01T00:00:00"/>
    <s v="BRL"/>
    <n v="100000"/>
    <n v="100000"/>
    <s v="USD"/>
    <n v="33333.33"/>
    <n v="33333"/>
    <b v="1"/>
    <n v="1"/>
  </r>
  <r>
    <b v="1"/>
    <x v="0"/>
    <x v="0"/>
    <x v="1"/>
    <x v="0"/>
    <x v="1"/>
    <x v="27"/>
    <n v="0"/>
    <x v="0"/>
    <s v="44e27f4e41cc40a693f0cb8b082426ca"/>
    <s v="Fibria Green Bond 2027"/>
    <x v="0"/>
    <x v="0"/>
    <s v="Bioenergy"/>
    <s v="Renewable Energy ‚Äì Generation of Energy from Renewable Sources"/>
    <s v="Brazil"/>
    <d v="2016-12-01T00:00:00"/>
    <d v="2016-12-01T00:00:00"/>
    <s v="BRL"/>
    <n v="700000"/>
    <n v="700000"/>
    <s v="USD"/>
    <n v="200000"/>
    <n v="200000"/>
    <b v="1"/>
    <n v="1"/>
  </r>
  <r>
    <b v="1"/>
    <x v="0"/>
    <x v="0"/>
    <x v="1"/>
    <x v="0"/>
    <x v="1"/>
    <x v="27"/>
    <n v="0"/>
    <x v="0"/>
    <s v="44e27f4e41cc40a693f0cb8b082426ca"/>
    <s v="Fibria Green Bond 2027"/>
    <x v="1"/>
    <x v="1"/>
    <s v="Generation"/>
    <s v="Renewable Energy ‚Äì Generation of Energy from Renewable Sources"/>
    <s v="Brazil"/>
    <d v="2017-12-01T00:00:00"/>
    <d v="2017-12-01T00:00:00"/>
    <s v="BRL"/>
    <n v="100000"/>
    <n v="100000"/>
    <s v="USD"/>
    <n v="33333.33"/>
    <n v="33333"/>
    <b v="1"/>
    <n v="1"/>
  </r>
  <r>
    <b v="1"/>
    <x v="0"/>
    <x v="0"/>
    <x v="1"/>
    <x v="0"/>
    <x v="1"/>
    <x v="27"/>
    <n v="0"/>
    <x v="0"/>
    <s v="44e27f4e41cc40a693f0cb8b082426ca"/>
    <s v="Fibria Green Bond 2027"/>
    <x v="1"/>
    <x v="1"/>
    <s v="Generation"/>
    <s v="Renewable Energy ‚Äì Generation of Energy from Renewable Sources"/>
    <s v="Brazil"/>
    <d v="2016-12-01T00:00:00"/>
    <d v="2016-12-01T00:00:00"/>
    <s v="BRL"/>
    <n v="700000"/>
    <n v="700000"/>
    <s v="USD"/>
    <n v="200000"/>
    <n v="200000"/>
    <b v="1"/>
    <n v="1"/>
  </r>
  <r>
    <b v="1"/>
    <x v="0"/>
    <x v="0"/>
    <x v="2"/>
    <x v="0"/>
    <x v="1"/>
    <x v="28"/>
    <n v="0"/>
    <x v="0"/>
    <s v="65809b95fbf34e898b30b546b2d2a6a8"/>
    <s v="AES Argentina Green Bond"/>
    <x v="0"/>
    <x v="0"/>
    <s v="Wind"/>
    <s v="Vientos Neuquinos"/>
    <s v="Argentina"/>
    <d v="2020-03-31T00:00:00"/>
    <d v="2020-03-31T00:00:00"/>
    <s v="USD"/>
    <n v="48000000"/>
    <n v="48000000"/>
    <s v="USD"/>
    <n v="48000000"/>
    <n v="48000000"/>
    <b v="0"/>
    <n v="0.35"/>
  </r>
  <r>
    <b v="1"/>
    <x v="0"/>
    <x v="0"/>
    <x v="2"/>
    <x v="0"/>
    <x v="1"/>
    <x v="28"/>
    <n v="0"/>
    <x v="0"/>
    <s v="65809b95fbf34e898b30b546b2d2a6a8"/>
    <s v="AES Argentina Green Bond"/>
    <x v="1"/>
    <x v="1"/>
    <s v="Generation"/>
    <s v="Vientos Neuquinos"/>
    <s v="Argentina"/>
    <d v="2020-03-31T00:00:00"/>
    <d v="2020-03-31T00:00:00"/>
    <s v="USD"/>
    <n v="48000000"/>
    <n v="48000000"/>
    <s v="USD"/>
    <n v="48000000"/>
    <n v="48000000"/>
    <b v="0"/>
    <n v="0.35"/>
  </r>
  <r>
    <b v="1"/>
    <x v="0"/>
    <x v="0"/>
    <x v="2"/>
    <x v="0"/>
    <x v="1"/>
    <x v="28"/>
    <n v="0"/>
    <x v="0"/>
    <s v="65809b95fbf34e898b30b546b2d2a6a8"/>
    <s v="AES Argentina Green Bond"/>
    <x v="2"/>
    <x v="9"/>
    <s v="Unspecified"/>
    <s v="Vientos Neuquinos"/>
    <s v="Argentina"/>
    <d v="2020-03-31T00:00:00"/>
    <d v="2020-03-31T00:00:00"/>
    <s v="USD"/>
    <n v="48000000"/>
    <n v="48000000"/>
    <s v="USD"/>
    <n v="48000000"/>
    <n v="48000000"/>
    <b v="0"/>
    <n v="0.35"/>
  </r>
  <r>
    <b v="1"/>
    <x v="0"/>
    <x v="0"/>
    <x v="2"/>
    <x v="0"/>
    <x v="1"/>
    <x v="28"/>
    <n v="0"/>
    <x v="0"/>
    <s v="65809b95fbf34e898b30b546b2d2a6a8"/>
    <s v="AES Argentina Green Bond"/>
    <x v="3"/>
    <x v="9"/>
    <s v="Unspecified"/>
    <s v="Vientos Neuquinos"/>
    <s v="Argentina"/>
    <d v="2020-03-31T00:00:00"/>
    <d v="2020-03-31T00:00:00"/>
    <s v="USD"/>
    <n v="48000000"/>
    <n v="48000000"/>
    <s v="USD"/>
    <n v="48000000"/>
    <n v="48000000"/>
    <b v="0"/>
    <n v="0.35"/>
  </r>
  <r>
    <b v="1"/>
    <x v="0"/>
    <x v="0"/>
    <x v="1"/>
    <x v="0"/>
    <x v="1"/>
    <x v="29"/>
    <n v="0"/>
    <x v="11"/>
    <s v="0a375fceacec416eab4e7bd776b260c3"/>
    <s v="Clase I"/>
    <x v="0"/>
    <x v="0"/>
    <s v="Wind"/>
    <s v="Manque 1"/>
    <s v="Argentina"/>
    <d v="2020-09-11T00:00:00"/>
    <d v="2020-09-02T00:00:00"/>
    <s v="ARS"/>
    <n v="1504346043"/>
    <n v="1504346043"/>
    <s v="USD"/>
    <n v="20330374"/>
    <n v="20330374"/>
    <b v="1"/>
    <n v="0.28999999999999998"/>
  </r>
  <r>
    <b v="1"/>
    <x v="0"/>
    <x v="0"/>
    <x v="1"/>
    <x v="0"/>
    <x v="1"/>
    <x v="29"/>
    <n v="0"/>
    <x v="11"/>
    <s v="0a375fceacec416eab4e7bd776b260c3"/>
    <s v="Clase I"/>
    <x v="1"/>
    <x v="1"/>
    <s v="Generation"/>
    <s v="Manque 1"/>
    <s v="Argentina"/>
    <d v="2020-09-11T00:00:00"/>
    <d v="2020-09-02T00:00:00"/>
    <s v="ARS"/>
    <n v="1504346043"/>
    <n v="1504346043"/>
    <s v="USD"/>
    <n v="20330374"/>
    <n v="20330374"/>
    <b v="1"/>
    <n v="0.28999999999999998"/>
  </r>
  <r>
    <b v="1"/>
    <x v="0"/>
    <x v="0"/>
    <x v="1"/>
    <x v="0"/>
    <x v="1"/>
    <x v="29"/>
    <n v="0"/>
    <x v="11"/>
    <s v="0a375fceacec416eab4e7bd776b260c3"/>
    <s v="Clase I"/>
    <x v="0"/>
    <x v="0"/>
    <s v="Wind"/>
    <s v="Los Olivos 1"/>
    <s v="Argentina"/>
    <d v="2020-09-24T00:00:00"/>
    <d v="2020-09-02T00:00:00"/>
    <s v="ARS"/>
    <n v="1075832969"/>
    <n v="1075832969"/>
    <s v="USD"/>
    <n v="14359266"/>
    <n v="14359266"/>
    <b v="1"/>
    <n v="0.5"/>
  </r>
  <r>
    <b v="1"/>
    <x v="0"/>
    <x v="0"/>
    <x v="1"/>
    <x v="0"/>
    <x v="1"/>
    <x v="29"/>
    <n v="0"/>
    <x v="11"/>
    <s v="0a375fceacec416eab4e7bd776b260c3"/>
    <s v="Clase I"/>
    <x v="1"/>
    <x v="1"/>
    <s v="Generation"/>
    <s v="Los Olivos 1"/>
    <s v="Argentina"/>
    <d v="2020-09-24T00:00:00"/>
    <d v="2020-09-02T00:00:00"/>
    <s v="ARS"/>
    <n v="1075832969"/>
    <n v="1075832969"/>
    <s v="USD"/>
    <n v="14359266"/>
    <n v="14359266"/>
    <b v="1"/>
    <n v="0.5"/>
  </r>
  <r>
    <b v="1"/>
    <x v="0"/>
    <x v="0"/>
    <x v="1"/>
    <x v="0"/>
    <x v="1"/>
    <x v="30"/>
    <n v="0"/>
    <x v="12"/>
    <s v="591bdf3d52c84e4b9abd76b03591ae92"/>
    <s v="Clase II"/>
    <x v="0"/>
    <x v="0"/>
    <s v="Wind"/>
    <s v="Manque 2"/>
    <s v="Argentina"/>
    <d v="2020-09-11T00:00:00"/>
    <d v="2020-09-02T00:00:00"/>
    <s v="ARS"/>
    <n v="641785861"/>
    <n v="641785861"/>
    <s v="ARS"/>
    <n v="641785861"/>
    <n v="8673368"/>
    <b v="1"/>
    <n v="0.12"/>
  </r>
  <r>
    <b v="1"/>
    <x v="0"/>
    <x v="0"/>
    <x v="1"/>
    <x v="0"/>
    <x v="1"/>
    <x v="30"/>
    <n v="0"/>
    <x v="12"/>
    <s v="591bdf3d52c84e4b9abd76b03591ae92"/>
    <s v="Clase II"/>
    <x v="1"/>
    <x v="1"/>
    <s v="Generation"/>
    <s v="Manque 2"/>
    <s v="Argentina"/>
    <d v="2020-09-11T00:00:00"/>
    <d v="2020-09-02T00:00:00"/>
    <s v="ARS"/>
    <n v="641785861"/>
    <n v="641785861"/>
    <s v="ARS"/>
    <n v="641785861"/>
    <n v="8673368"/>
    <b v="1"/>
    <n v="0.12"/>
  </r>
  <r>
    <b v="1"/>
    <x v="0"/>
    <x v="0"/>
    <x v="1"/>
    <x v="0"/>
    <x v="1"/>
    <x v="30"/>
    <n v="0"/>
    <x v="12"/>
    <s v="591bdf3d52c84e4b9abd76b03591ae92"/>
    <s v="Clase II"/>
    <x v="0"/>
    <x v="0"/>
    <s v="Wind"/>
    <s v="Los Olivos 2"/>
    <s v="Argentina"/>
    <d v="2020-09-24T00:00:00"/>
    <d v="2020-09-02T00:00:00"/>
    <s v="ARS"/>
    <n v="458973114"/>
    <n v="458973114"/>
    <s v="ARS"/>
    <n v="458973114"/>
    <n v="6202758"/>
    <b v="1"/>
    <n v="0.21"/>
  </r>
  <r>
    <b v="1"/>
    <x v="0"/>
    <x v="0"/>
    <x v="1"/>
    <x v="0"/>
    <x v="1"/>
    <x v="30"/>
    <n v="0"/>
    <x v="12"/>
    <s v="591bdf3d52c84e4b9abd76b03591ae92"/>
    <s v="Clase II"/>
    <x v="1"/>
    <x v="1"/>
    <s v="Generation"/>
    <s v="Los Olivos 2"/>
    <s v="Argentina"/>
    <d v="2020-09-24T00:00:00"/>
    <d v="2020-09-02T00:00:00"/>
    <s v="ARS"/>
    <n v="458973114"/>
    <n v="458973114"/>
    <s v="ARS"/>
    <n v="458973114"/>
    <n v="6202758"/>
    <b v="1"/>
    <n v="0.21"/>
  </r>
  <r>
    <b v="1"/>
    <x v="2"/>
    <x v="0"/>
    <x v="0"/>
    <x v="0"/>
    <x v="1"/>
    <x v="31"/>
    <n v="0"/>
    <x v="0"/>
    <s v="b39685efcca04b61bebbca809d22fe37"/>
    <s v="BSOND-J"/>
    <x v="0"/>
    <x v="13"/>
    <s v="Data hubs"/>
    <s v="Data Center Tier IV KUDOS"/>
    <s v="Chile"/>
    <d v="2019-12-31T00:00:00"/>
    <d v="2019-12-31T00:00:00"/>
    <s v="CLP"/>
    <n v="18899062000"/>
    <n v="18899062000"/>
    <s v="CLF"/>
    <n v="672329"/>
    <n v="25241154"/>
    <b v="1"/>
    <n v="1"/>
  </r>
  <r>
    <b v="1"/>
    <x v="2"/>
    <x v="0"/>
    <x v="0"/>
    <x v="0"/>
    <x v="1"/>
    <x v="31"/>
    <n v="0"/>
    <x v="0"/>
    <s v="b39685efcca04b61bebbca809d22fe37"/>
    <s v="BSOND-J"/>
    <x v="1"/>
    <x v="8"/>
    <s v="Commercial"/>
    <s v="Data Center Tier IV KUDOS"/>
    <s v="Chile"/>
    <d v="2019-12-31T00:00:00"/>
    <d v="2019-12-31T00:00:00"/>
    <s v="CLP"/>
    <n v="18899062000"/>
    <n v="18899062000"/>
    <s v="CLF"/>
    <n v="672329"/>
    <n v="25241154"/>
    <b v="1"/>
    <n v="1"/>
  </r>
  <r>
    <b v="1"/>
    <x v="2"/>
    <x v="0"/>
    <x v="0"/>
    <x v="0"/>
    <x v="1"/>
    <x v="31"/>
    <n v="0"/>
    <x v="0"/>
    <s v="b39685efcca04b61bebbca809d22fe37"/>
    <s v="BSOND-J"/>
    <x v="2"/>
    <x v="9"/>
    <s v="Unspecified"/>
    <s v="Data Center Tier IV KUDOS"/>
    <s v="Chile"/>
    <d v="2019-12-31T00:00:00"/>
    <d v="2019-12-31T00:00:00"/>
    <s v="CLP"/>
    <n v="18899062000"/>
    <n v="18899062000"/>
    <s v="CLF"/>
    <n v="672329"/>
    <n v="25241154"/>
    <b v="1"/>
    <n v="1"/>
  </r>
  <r>
    <b v="1"/>
    <x v="2"/>
    <x v="0"/>
    <x v="0"/>
    <x v="0"/>
    <x v="1"/>
    <x v="31"/>
    <n v="0"/>
    <x v="0"/>
    <s v="b39685efcca04b61bebbca809d22fe37"/>
    <s v="BSOND-J"/>
    <x v="3"/>
    <x v="9"/>
    <s v="Unspecified"/>
    <s v="Data Center Tier IV KUDOS"/>
    <s v="Chile"/>
    <d v="2019-12-31T00:00:00"/>
    <d v="2019-12-31T00:00:00"/>
    <s v="CLP"/>
    <n v="18899062000"/>
    <n v="18899062000"/>
    <s v="CLF"/>
    <n v="672329"/>
    <n v="25241154"/>
    <b v="1"/>
    <n v="1"/>
  </r>
  <r>
    <b v="1"/>
    <x v="0"/>
    <x v="0"/>
    <x v="0"/>
    <x v="0"/>
    <x v="0"/>
    <x v="32"/>
    <n v="0"/>
    <x v="0"/>
    <s v="75ebf4bea1c94bb19c2ffc24f937cac8"/>
    <s v="CRA Tab√¥a Fortalecimento"/>
    <x v="0"/>
    <x v="10"/>
    <s v="Agriculture"/>
    <s v="Assentamento Ibirapitanga"/>
    <s v="Brazil"/>
    <d v="2020-12-10T00:00:00"/>
    <d v="2020-12-10T00:00:00"/>
    <s v="BRL"/>
    <n v="424993"/>
    <n v="424993"/>
    <s v="BRL"/>
    <n v="424993"/>
    <n v="84357"/>
    <b v="1"/>
    <n v="1"/>
  </r>
  <r>
    <b v="1"/>
    <x v="0"/>
    <x v="0"/>
    <x v="0"/>
    <x v="0"/>
    <x v="0"/>
    <x v="32"/>
    <n v="0"/>
    <x v="0"/>
    <s v="75ebf4bea1c94bb19c2ffc24f937cac8"/>
    <s v="CRA Tab√¥a Fortalecimento"/>
    <x v="1"/>
    <x v="11"/>
    <s v="Forestry"/>
    <s v="Assentamento Ibirapitanga"/>
    <s v="Brazil"/>
    <d v="2020-12-10T00:00:00"/>
    <d v="2020-12-10T00:00:00"/>
    <s v="BRL"/>
    <n v="424993"/>
    <n v="424993"/>
    <s v="BRL"/>
    <n v="424993"/>
    <n v="84357"/>
    <b v="1"/>
    <n v="1"/>
  </r>
  <r>
    <b v="1"/>
    <x v="0"/>
    <x v="0"/>
    <x v="0"/>
    <x v="0"/>
    <x v="0"/>
    <x v="32"/>
    <n v="0"/>
    <x v="0"/>
    <s v="75ebf4bea1c94bb19c2ffc24f937cac8"/>
    <s v="CRA Tab√¥a Fortalecimento"/>
    <x v="0"/>
    <x v="10"/>
    <s v="Agriculture"/>
    <s v="Aurelino Leal"/>
    <s v="Brazil"/>
    <d v="2020-12-10T00:00:00"/>
    <d v="2020-12-10T00:00:00"/>
    <s v="BRL"/>
    <n v="72592"/>
    <n v="72592"/>
    <s v="BRL"/>
    <n v="72592"/>
    <n v="14409"/>
    <b v="1"/>
    <n v="1"/>
  </r>
  <r>
    <b v="1"/>
    <x v="0"/>
    <x v="0"/>
    <x v="0"/>
    <x v="0"/>
    <x v="0"/>
    <x v="32"/>
    <n v="0"/>
    <x v="0"/>
    <s v="75ebf4bea1c94bb19c2ffc24f937cac8"/>
    <s v="CRA Tab√¥a Fortalecimento"/>
    <x v="1"/>
    <x v="11"/>
    <s v="Forestry"/>
    <s v="Aurelino Leal"/>
    <s v="Brazil"/>
    <d v="2020-12-10T00:00:00"/>
    <d v="2020-12-10T00:00:00"/>
    <s v="BRL"/>
    <n v="72592"/>
    <n v="72592"/>
    <s v="BRL"/>
    <n v="72592"/>
    <n v="14409"/>
    <b v="1"/>
    <n v="1"/>
  </r>
  <r>
    <b v="1"/>
    <x v="0"/>
    <x v="0"/>
    <x v="0"/>
    <x v="0"/>
    <x v="0"/>
    <x v="32"/>
    <n v="0"/>
    <x v="0"/>
    <s v="75ebf4bea1c94bb19c2ffc24f937cac8"/>
    <s v="CRA Tab√¥a Fortalecimento"/>
    <x v="0"/>
    <x v="10"/>
    <s v="Agriculture"/>
    <s v="Camac√£"/>
    <s v="Brazil"/>
    <d v="2020-12-10T00:00:00"/>
    <d v="2020-12-10T00:00:00"/>
    <s v="BRL"/>
    <n v="101591"/>
    <n v="101591"/>
    <s v="BRL"/>
    <n v="101591"/>
    <n v="20165"/>
    <b v="1"/>
    <n v="1"/>
  </r>
  <r>
    <b v="1"/>
    <x v="0"/>
    <x v="0"/>
    <x v="0"/>
    <x v="0"/>
    <x v="0"/>
    <x v="32"/>
    <n v="0"/>
    <x v="0"/>
    <s v="75ebf4bea1c94bb19c2ffc24f937cac8"/>
    <s v="CRA Tab√¥a Fortalecimento"/>
    <x v="1"/>
    <x v="11"/>
    <s v="Forestry"/>
    <s v="Camac√£"/>
    <s v="Brazil"/>
    <d v="2020-12-10T00:00:00"/>
    <d v="2020-12-10T00:00:00"/>
    <s v="BRL"/>
    <n v="101591"/>
    <n v="101591"/>
    <s v="BRL"/>
    <n v="101591"/>
    <n v="20165"/>
    <b v="1"/>
    <n v="1"/>
  </r>
  <r>
    <b v="1"/>
    <x v="0"/>
    <x v="0"/>
    <x v="0"/>
    <x v="0"/>
    <x v="0"/>
    <x v="32"/>
    <n v="0"/>
    <x v="0"/>
    <s v="75ebf4bea1c94bb19c2ffc24f937cac8"/>
    <s v="CRA Tab√¥a Fortalecimento"/>
    <x v="0"/>
    <x v="10"/>
    <s v="Agriculture"/>
    <s v="Ilheus"/>
    <s v="Brazil"/>
    <d v="2020-12-10T00:00:00"/>
    <d v="2020-12-10T00:00:00"/>
    <s v="BRL"/>
    <n v="204897"/>
    <n v="204897"/>
    <s v="BRL"/>
    <n v="204897"/>
    <n v="40670"/>
    <b v="1"/>
    <n v="1"/>
  </r>
  <r>
    <b v="1"/>
    <x v="0"/>
    <x v="0"/>
    <x v="0"/>
    <x v="0"/>
    <x v="0"/>
    <x v="32"/>
    <n v="0"/>
    <x v="0"/>
    <s v="75ebf4bea1c94bb19c2ffc24f937cac8"/>
    <s v="CRA Tab√¥a Fortalecimento"/>
    <x v="1"/>
    <x v="11"/>
    <s v="Forestry"/>
    <s v="Ilheus"/>
    <s v="Brazil"/>
    <d v="2020-12-10T00:00:00"/>
    <d v="2020-12-10T00:00:00"/>
    <s v="BRL"/>
    <n v="204897"/>
    <n v="204897"/>
    <s v="BRL"/>
    <n v="204897"/>
    <n v="40670"/>
    <b v="1"/>
    <n v="1"/>
  </r>
  <r>
    <b v="1"/>
    <x v="0"/>
    <x v="0"/>
    <x v="0"/>
    <x v="0"/>
    <x v="0"/>
    <x v="32"/>
    <n v="0"/>
    <x v="0"/>
    <s v="75ebf4bea1c94bb19c2ffc24f937cac8"/>
    <s v="CRA Tab√¥a Fortalecimento"/>
    <x v="0"/>
    <x v="10"/>
    <s v="Agriculture"/>
    <s v="Uru√ßuca"/>
    <s v="Brazil"/>
    <d v="2020-12-10T00:00:00"/>
    <d v="2020-12-10T00:00:00"/>
    <s v="BRL"/>
    <n v="110482"/>
    <n v="110482"/>
    <s v="BRL"/>
    <n v="110482"/>
    <n v="21930"/>
    <b v="1"/>
    <n v="1"/>
  </r>
  <r>
    <b v="1"/>
    <x v="0"/>
    <x v="0"/>
    <x v="0"/>
    <x v="0"/>
    <x v="0"/>
    <x v="32"/>
    <n v="0"/>
    <x v="0"/>
    <s v="75ebf4bea1c94bb19c2ffc24f937cac8"/>
    <s v="CRA Tab√¥a Fortalecimento"/>
    <x v="1"/>
    <x v="11"/>
    <s v="Forestry"/>
    <s v="Uru√ßuca"/>
    <s v="Brazil"/>
    <d v="2020-12-10T00:00:00"/>
    <d v="2020-12-10T00:00:00"/>
    <s v="BRL"/>
    <n v="110482"/>
    <n v="110482"/>
    <s v="BRL"/>
    <n v="110482"/>
    <n v="21930"/>
    <b v="1"/>
    <n v="1"/>
  </r>
  <r>
    <b v="1"/>
    <x v="0"/>
    <x v="0"/>
    <x v="0"/>
    <x v="0"/>
    <x v="0"/>
    <x v="32"/>
    <n v="0"/>
    <x v="0"/>
    <s v="75ebf4bea1c94bb19c2ffc24f937cac8"/>
    <s v="CRA Tab√¥a Fortalecimento"/>
    <x v="0"/>
    <x v="10"/>
    <s v="Agriculture"/>
    <s v="Itacar√©"/>
    <s v="Brazil"/>
    <d v="2020-12-10T00:00:00"/>
    <d v="2020-12-10T00:00:00"/>
    <s v="BRL"/>
    <n v="135445"/>
    <n v="135445"/>
    <s v="BRL"/>
    <n v="135445"/>
    <n v="26885"/>
    <b v="1"/>
    <n v="1"/>
  </r>
  <r>
    <b v="1"/>
    <x v="0"/>
    <x v="0"/>
    <x v="0"/>
    <x v="0"/>
    <x v="0"/>
    <x v="32"/>
    <n v="0"/>
    <x v="0"/>
    <s v="75ebf4bea1c94bb19c2ffc24f937cac8"/>
    <s v="CRA Tab√¥a Fortalecimento"/>
    <x v="1"/>
    <x v="11"/>
    <s v="Forestry"/>
    <s v="Itacar√©"/>
    <s v="Brazil"/>
    <d v="2020-12-10T00:00:00"/>
    <d v="2020-12-10T00:00:00"/>
    <s v="BRL"/>
    <n v="135445"/>
    <n v="135445"/>
    <s v="BRL"/>
    <n v="135445"/>
    <n v="26885"/>
    <b v="1"/>
    <n v="1"/>
  </r>
  <r>
    <b v="1"/>
    <x v="0"/>
    <x v="0"/>
    <x v="2"/>
    <x v="0"/>
    <x v="1"/>
    <x v="14"/>
    <n v="0"/>
    <x v="7"/>
    <s v="c8db70a600e4496aa0bdff98338e72ee"/>
    <s v="CIFI Green Bond Program"/>
    <x v="0"/>
    <x v="0"/>
    <s v="Solar"/>
    <s v="Chimbarongo"/>
    <s v="Chile"/>
    <d v="2019-11-27T00:00:00"/>
    <d v="2018-03-23T00:00:00"/>
    <s v="USD"/>
    <n v="1010643"/>
    <n v="1010643"/>
    <s v="USD"/>
    <n v="1010643"/>
    <n v="1010643"/>
    <b v="1"/>
    <n v="0.56999999999999995"/>
  </r>
  <r>
    <b v="1"/>
    <x v="0"/>
    <x v="0"/>
    <x v="2"/>
    <x v="0"/>
    <x v="1"/>
    <x v="14"/>
    <n v="0"/>
    <x v="7"/>
    <s v="c8db70a600e4496aa0bdff98338e72ee"/>
    <s v="CIFI Green Bond Program"/>
    <x v="1"/>
    <x v="1"/>
    <s v="Products"/>
    <s v="Chimbarongo"/>
    <s v="Chile"/>
    <d v="2019-11-27T00:00:00"/>
    <d v="2018-03-23T00:00:00"/>
    <s v="USD"/>
    <n v="1010643"/>
    <n v="1010643"/>
    <s v="USD"/>
    <n v="1010643"/>
    <n v="1010643"/>
    <b v="1"/>
    <n v="0.56999999999999995"/>
  </r>
  <r>
    <b v="1"/>
    <x v="0"/>
    <x v="0"/>
    <x v="2"/>
    <x v="0"/>
    <x v="1"/>
    <x v="14"/>
    <n v="0"/>
    <x v="7"/>
    <s v="c8db70a600e4496aa0bdff98338e72ee"/>
    <s v="CIFI Green Bond Program"/>
    <x v="0"/>
    <x v="0"/>
    <s v="Solar"/>
    <s v="Panquehue"/>
    <s v="Chile"/>
    <d v="2020-02-28T00:00:00"/>
    <d v="2017-10-20T00:00:00"/>
    <s v="USD"/>
    <n v="1320816"/>
    <n v="1320816"/>
    <s v="USD"/>
    <n v="1320816"/>
    <n v="1320816"/>
    <b v="1"/>
    <n v="0.24"/>
  </r>
  <r>
    <b v="1"/>
    <x v="0"/>
    <x v="0"/>
    <x v="2"/>
    <x v="0"/>
    <x v="1"/>
    <x v="14"/>
    <n v="0"/>
    <x v="7"/>
    <s v="c8db70a600e4496aa0bdff98338e72ee"/>
    <s v="CIFI Green Bond Program"/>
    <x v="1"/>
    <x v="1"/>
    <s v="Products"/>
    <s v="Panquehue"/>
    <s v="Chile"/>
    <d v="2020-02-28T00:00:00"/>
    <d v="2017-10-20T00:00:00"/>
    <s v="USD"/>
    <n v="1320816"/>
    <n v="1320816"/>
    <s v="USD"/>
    <n v="1320816"/>
    <n v="1320816"/>
    <b v="1"/>
    <n v="0.24"/>
  </r>
  <r>
    <b v="1"/>
    <x v="0"/>
    <x v="0"/>
    <x v="2"/>
    <x v="0"/>
    <x v="1"/>
    <x v="14"/>
    <n v="0"/>
    <x v="7"/>
    <s v="c8db70a600e4496aa0bdff98338e72ee"/>
    <s v="CIFI Green Bond Program"/>
    <x v="0"/>
    <x v="0"/>
    <s v="Solar"/>
    <s v="El Espinal"/>
    <s v="Panama"/>
    <d v="2019-12-18T00:00:00"/>
    <d v="2018-05-30T00:00:00"/>
    <s v="USD"/>
    <n v="1062286"/>
    <n v="1062286"/>
    <s v="USD"/>
    <n v="1062286"/>
    <n v="1062286"/>
    <b v="1"/>
    <n v="0.26"/>
  </r>
  <r>
    <b v="1"/>
    <x v="0"/>
    <x v="0"/>
    <x v="2"/>
    <x v="0"/>
    <x v="1"/>
    <x v="14"/>
    <n v="0"/>
    <x v="7"/>
    <s v="c8db70a600e4496aa0bdff98338e72ee"/>
    <s v="CIFI Green Bond Program"/>
    <x v="0"/>
    <x v="0"/>
    <s v="Solar"/>
    <s v="El Espinal"/>
    <s v="Panama"/>
    <d v="2019-12-18T00:00:00"/>
    <d v="2018-03-28T00:00:00"/>
    <s v="USD"/>
    <n v="3001894"/>
    <n v="3001894"/>
    <s v="USD"/>
    <n v="3001894"/>
    <n v="3001894"/>
    <b v="1"/>
    <n v="0.26"/>
  </r>
  <r>
    <b v="1"/>
    <x v="0"/>
    <x v="0"/>
    <x v="2"/>
    <x v="0"/>
    <x v="1"/>
    <x v="14"/>
    <n v="0"/>
    <x v="7"/>
    <s v="c8db70a600e4496aa0bdff98338e72ee"/>
    <s v="CIFI Green Bond Program"/>
    <x v="1"/>
    <x v="1"/>
    <s v="Products"/>
    <s v="El Espinal"/>
    <s v="Panama"/>
    <d v="2019-12-18T00:00:00"/>
    <d v="2018-05-30T00:00:00"/>
    <s v="USD"/>
    <n v="1062286"/>
    <n v="1062286"/>
    <s v="USD"/>
    <n v="1062286"/>
    <n v="1062286"/>
    <b v="1"/>
    <n v="0.26"/>
  </r>
  <r>
    <b v="1"/>
    <x v="0"/>
    <x v="0"/>
    <x v="2"/>
    <x v="0"/>
    <x v="1"/>
    <x v="14"/>
    <n v="0"/>
    <x v="7"/>
    <s v="c8db70a600e4496aa0bdff98338e72ee"/>
    <s v="CIFI Green Bond Program"/>
    <x v="1"/>
    <x v="1"/>
    <s v="Products"/>
    <s v="El Espinal"/>
    <s v="Panama"/>
    <d v="2019-12-18T00:00:00"/>
    <d v="2018-03-28T00:00:00"/>
    <s v="USD"/>
    <n v="3001894"/>
    <n v="3001894"/>
    <s v="USD"/>
    <n v="3001894"/>
    <n v="3001894"/>
    <b v="1"/>
    <n v="0.26"/>
  </r>
  <r>
    <b v="1"/>
    <x v="0"/>
    <x v="0"/>
    <x v="2"/>
    <x v="0"/>
    <x v="1"/>
    <x v="14"/>
    <n v="0"/>
    <x v="7"/>
    <s v="c8db70a600e4496aa0bdff98338e72ee"/>
    <s v="CIFI Green Bond Program"/>
    <x v="0"/>
    <x v="0"/>
    <s v="Solar"/>
    <s v="Bosforo"/>
    <s v="El Salvador"/>
    <d v="2020-10-06T00:00:00"/>
    <d v="2019-09-16T00:00:00"/>
    <s v="USD"/>
    <n v="2237288"/>
    <n v="2237288"/>
    <s v="USD"/>
    <n v="2237288"/>
    <n v="2237288"/>
    <b v="1"/>
    <n v="0.09"/>
  </r>
  <r>
    <b v="1"/>
    <x v="0"/>
    <x v="0"/>
    <x v="2"/>
    <x v="0"/>
    <x v="1"/>
    <x v="14"/>
    <n v="0"/>
    <x v="7"/>
    <s v="c8db70a600e4496aa0bdff98338e72ee"/>
    <s v="CIFI Green Bond Program"/>
    <x v="0"/>
    <x v="0"/>
    <s v="Solar"/>
    <s v="Bosforo"/>
    <s v="El Salvador"/>
    <d v="2020-08-26T00:00:00"/>
    <d v="2019-12-09T00:00:00"/>
    <s v="USD"/>
    <n v="1118644"/>
    <n v="1118644"/>
    <s v="USD"/>
    <n v="1118644"/>
    <n v="1118644"/>
    <b v="1"/>
    <n v="0.09"/>
  </r>
  <r>
    <b v="1"/>
    <x v="0"/>
    <x v="0"/>
    <x v="2"/>
    <x v="0"/>
    <x v="1"/>
    <x v="14"/>
    <n v="0"/>
    <x v="7"/>
    <s v="c8db70a600e4496aa0bdff98338e72ee"/>
    <s v="CIFI Green Bond Program"/>
    <x v="0"/>
    <x v="0"/>
    <s v="Solar"/>
    <s v="Bosforo"/>
    <s v="El Salvador"/>
    <d v="2019-12-20T00:00:00"/>
    <d v="2018-11-23T00:00:00"/>
    <s v="USD"/>
    <n v="2500000"/>
    <n v="2500000"/>
    <s v="USD"/>
    <n v="2500000"/>
    <n v="2500000"/>
    <b v="1"/>
    <n v="0.09"/>
  </r>
  <r>
    <b v="1"/>
    <x v="0"/>
    <x v="0"/>
    <x v="2"/>
    <x v="0"/>
    <x v="1"/>
    <x v="14"/>
    <n v="0"/>
    <x v="7"/>
    <s v="c8db70a600e4496aa0bdff98338e72ee"/>
    <s v="CIFI Green Bond Program"/>
    <x v="0"/>
    <x v="0"/>
    <s v="Solar"/>
    <s v="Bosforo"/>
    <s v="El Salvador"/>
    <d v="2019-12-20T00:00:00"/>
    <d v="2018-11-23T00:00:00"/>
    <s v="USD"/>
    <n v="2500000"/>
    <n v="2500000"/>
    <s v="USD"/>
    <n v="2500000"/>
    <n v="2500000"/>
    <b v="1"/>
    <n v="0.09"/>
  </r>
  <r>
    <b v="1"/>
    <x v="0"/>
    <x v="0"/>
    <x v="2"/>
    <x v="0"/>
    <x v="1"/>
    <x v="14"/>
    <n v="0"/>
    <x v="7"/>
    <s v="c8db70a600e4496aa0bdff98338e72ee"/>
    <s v="CIFI Green Bond Program"/>
    <x v="0"/>
    <x v="0"/>
    <s v="Solar"/>
    <s v="Bosforo"/>
    <s v="El Salvador"/>
    <d v="2019-12-20T00:00:00"/>
    <d v="2019-03-25T00:00:00"/>
    <s v="USD"/>
    <n v="1016949"/>
    <n v="1016949"/>
    <s v="USD"/>
    <n v="1016949"/>
    <n v="1016949"/>
    <b v="1"/>
    <n v="0.09"/>
  </r>
  <r>
    <b v="1"/>
    <x v="0"/>
    <x v="0"/>
    <x v="2"/>
    <x v="0"/>
    <x v="1"/>
    <x v="14"/>
    <n v="0"/>
    <x v="7"/>
    <s v="c8db70a600e4496aa0bdff98338e72ee"/>
    <s v="CIFI Green Bond Program"/>
    <x v="0"/>
    <x v="0"/>
    <s v="Solar"/>
    <s v="Bosforo"/>
    <s v="El Salvador"/>
    <d v="2019-12-18T00:00:00"/>
    <d v="2018-12-03T00:00:00"/>
    <s v="USD"/>
    <n v="3115561"/>
    <n v="3115561"/>
    <s v="USD"/>
    <n v="3115561"/>
    <n v="3115561"/>
    <b v="1"/>
    <n v="0.09"/>
  </r>
  <r>
    <b v="1"/>
    <x v="0"/>
    <x v="0"/>
    <x v="2"/>
    <x v="0"/>
    <x v="1"/>
    <x v="14"/>
    <n v="0"/>
    <x v="7"/>
    <s v="c8db70a600e4496aa0bdff98338e72ee"/>
    <s v="CIFI Green Bond Program"/>
    <x v="0"/>
    <x v="0"/>
    <s v="Solar"/>
    <s v="Bosforo"/>
    <s v="El Salvador"/>
    <d v="2019-12-18T00:00:00"/>
    <d v="2018-05-14T00:00:00"/>
    <s v="USD"/>
    <n v="2511558"/>
    <n v="2511558"/>
    <s v="USD"/>
    <n v="2511558"/>
    <n v="2511558"/>
    <b v="1"/>
    <n v="0.09"/>
  </r>
  <r>
    <b v="1"/>
    <x v="0"/>
    <x v="0"/>
    <x v="2"/>
    <x v="0"/>
    <x v="1"/>
    <x v="14"/>
    <n v="0"/>
    <x v="7"/>
    <s v="c8db70a600e4496aa0bdff98338e72ee"/>
    <s v="CIFI Green Bond Program"/>
    <x v="1"/>
    <x v="1"/>
    <s v="Products"/>
    <s v="Bosforo"/>
    <s v="El Salvador"/>
    <d v="2020-10-06T00:00:00"/>
    <d v="2019-09-16T00:00:00"/>
    <s v="USD"/>
    <n v="2237288"/>
    <n v="2237288"/>
    <s v="USD"/>
    <n v="2237288"/>
    <n v="2237288"/>
    <b v="1"/>
    <n v="0.09"/>
  </r>
  <r>
    <b v="1"/>
    <x v="0"/>
    <x v="0"/>
    <x v="2"/>
    <x v="0"/>
    <x v="1"/>
    <x v="14"/>
    <n v="0"/>
    <x v="7"/>
    <s v="c8db70a600e4496aa0bdff98338e72ee"/>
    <s v="CIFI Green Bond Program"/>
    <x v="1"/>
    <x v="1"/>
    <s v="Products"/>
    <s v="Bosforo"/>
    <s v="El Salvador"/>
    <d v="2020-08-26T00:00:00"/>
    <d v="2019-12-09T00:00:00"/>
    <s v="USD"/>
    <n v="1118644"/>
    <n v="1118644"/>
    <s v="USD"/>
    <n v="1118644"/>
    <n v="1118644"/>
    <b v="1"/>
    <n v="0.09"/>
  </r>
  <r>
    <b v="1"/>
    <x v="0"/>
    <x v="0"/>
    <x v="2"/>
    <x v="0"/>
    <x v="1"/>
    <x v="14"/>
    <n v="0"/>
    <x v="7"/>
    <s v="c8db70a600e4496aa0bdff98338e72ee"/>
    <s v="CIFI Green Bond Program"/>
    <x v="1"/>
    <x v="1"/>
    <s v="Products"/>
    <s v="Bosforo"/>
    <s v="El Salvador"/>
    <d v="2019-12-20T00:00:00"/>
    <d v="2018-11-23T00:00:00"/>
    <s v="USD"/>
    <n v="2500000"/>
    <n v="2500000"/>
    <s v="USD"/>
    <n v="2500000"/>
    <n v="2500000"/>
    <b v="1"/>
    <n v="0.09"/>
  </r>
  <r>
    <b v="1"/>
    <x v="0"/>
    <x v="0"/>
    <x v="2"/>
    <x v="0"/>
    <x v="1"/>
    <x v="14"/>
    <n v="0"/>
    <x v="7"/>
    <s v="c8db70a600e4496aa0bdff98338e72ee"/>
    <s v="CIFI Green Bond Program"/>
    <x v="1"/>
    <x v="1"/>
    <s v="Products"/>
    <s v="Bosforo"/>
    <s v="El Salvador"/>
    <d v="2019-12-20T00:00:00"/>
    <d v="2018-11-23T00:00:00"/>
    <s v="USD"/>
    <n v="2500000"/>
    <n v="2500000"/>
    <s v="USD"/>
    <n v="2500000"/>
    <n v="2500000"/>
    <b v="1"/>
    <n v="0.09"/>
  </r>
  <r>
    <b v="1"/>
    <x v="0"/>
    <x v="0"/>
    <x v="2"/>
    <x v="0"/>
    <x v="1"/>
    <x v="14"/>
    <n v="0"/>
    <x v="7"/>
    <s v="c8db70a600e4496aa0bdff98338e72ee"/>
    <s v="CIFI Green Bond Program"/>
    <x v="1"/>
    <x v="1"/>
    <s v="Products"/>
    <s v="Bosforo"/>
    <s v="El Salvador"/>
    <d v="2019-12-20T00:00:00"/>
    <d v="2019-03-25T00:00:00"/>
    <s v="USD"/>
    <n v="1016949"/>
    <n v="1016949"/>
    <s v="USD"/>
    <n v="1016949"/>
    <n v="1016949"/>
    <b v="1"/>
    <n v="0.09"/>
  </r>
  <r>
    <b v="1"/>
    <x v="0"/>
    <x v="0"/>
    <x v="2"/>
    <x v="0"/>
    <x v="1"/>
    <x v="14"/>
    <n v="0"/>
    <x v="7"/>
    <s v="c8db70a600e4496aa0bdff98338e72ee"/>
    <s v="CIFI Green Bond Program"/>
    <x v="1"/>
    <x v="1"/>
    <s v="Products"/>
    <s v="Bosforo"/>
    <s v="El Salvador"/>
    <d v="2019-12-18T00:00:00"/>
    <d v="2018-12-03T00:00:00"/>
    <s v="USD"/>
    <n v="3115561"/>
    <n v="3115561"/>
    <s v="USD"/>
    <n v="3115561"/>
    <n v="3115561"/>
    <b v="1"/>
    <n v="0.09"/>
  </r>
  <r>
    <b v="1"/>
    <x v="0"/>
    <x v="0"/>
    <x v="2"/>
    <x v="0"/>
    <x v="1"/>
    <x v="14"/>
    <n v="0"/>
    <x v="7"/>
    <s v="c8db70a600e4496aa0bdff98338e72ee"/>
    <s v="CIFI Green Bond Program"/>
    <x v="1"/>
    <x v="1"/>
    <s v="Products"/>
    <s v="Bosforo"/>
    <s v="El Salvador"/>
    <d v="2019-12-18T00:00:00"/>
    <d v="2018-05-14T00:00:00"/>
    <s v="USD"/>
    <n v="2511558"/>
    <n v="2511558"/>
    <s v="USD"/>
    <n v="2511558"/>
    <n v="2511558"/>
    <b v="1"/>
    <n v="0.09"/>
  </r>
  <r>
    <b v="1"/>
    <x v="0"/>
    <x v="0"/>
    <x v="2"/>
    <x v="0"/>
    <x v="1"/>
    <x v="14"/>
    <n v="0"/>
    <x v="7"/>
    <s v="c8db70a600e4496aa0bdff98338e72ee"/>
    <s v="CIFI Green Bond Program"/>
    <x v="0"/>
    <x v="0"/>
    <s v="Solar"/>
    <s v="Panasolar"/>
    <s v="Panama"/>
    <d v="2020-10-28T00:00:00"/>
    <d v="2020-09-02T00:00:00"/>
    <s v="USD"/>
    <n v="6607713"/>
    <n v="6607713"/>
    <s v="USD"/>
    <n v="6607713"/>
    <n v="6607713"/>
    <b v="1"/>
    <n v="0.47"/>
  </r>
  <r>
    <b v="1"/>
    <x v="0"/>
    <x v="0"/>
    <x v="2"/>
    <x v="0"/>
    <x v="1"/>
    <x v="14"/>
    <n v="0"/>
    <x v="7"/>
    <s v="c8db70a600e4496aa0bdff98338e72ee"/>
    <s v="CIFI Green Bond Program"/>
    <x v="1"/>
    <x v="1"/>
    <s v="Products"/>
    <s v="Panasolar"/>
    <s v="Panama"/>
    <d v="2020-10-28T00:00:00"/>
    <d v="2020-09-02T00:00:00"/>
    <s v="USD"/>
    <n v="6607713"/>
    <n v="6607713"/>
    <s v="USD"/>
    <n v="6607713"/>
    <n v="6607713"/>
    <b v="1"/>
    <n v="0.47"/>
  </r>
  <r>
    <b v="1"/>
    <x v="0"/>
    <x v="0"/>
    <x v="0"/>
    <x v="0"/>
    <x v="0"/>
    <x v="33"/>
    <s v="BBG00WFC29W9"/>
    <x v="0"/>
    <s v="69021b69981246b2b037aa13c8fabc98"/>
    <s v="T√≠tulo Sustent√°vel Cuiab√°"/>
    <x v="0"/>
    <x v="2"/>
    <s v="Treatment"/>
    <s v="Sistema de Abastecimento de √°gua e Esgotamento Sanit√°rio Cuiab√°"/>
    <s v="Brazil"/>
    <d v="2020-07-15T00:00:00"/>
    <d v="2020-07-31T00:00:00"/>
    <s v="BRL"/>
    <n v="620486000"/>
    <n v="620486000"/>
    <s v="BRL"/>
    <n v="620486000"/>
    <n v="119262306"/>
    <b v="0"/>
    <n v="1"/>
  </r>
  <r>
    <b v="1"/>
    <x v="0"/>
    <x v="0"/>
    <x v="0"/>
    <x v="0"/>
    <x v="0"/>
    <x v="33"/>
    <s v="BBG00WFC29W9"/>
    <x v="0"/>
    <s v="69021b69981246b2b037aa13c8fabc98"/>
    <s v="T√≠tulo Sustent√°vel Cuiab√°"/>
    <x v="1"/>
    <x v="3"/>
    <s v="Wastewater treatment"/>
    <s v="Sistema de Abastecimento de √°gua e Esgotamento Sanit√°rio Cuiab√°"/>
    <s v="Brazil"/>
    <d v="2020-07-15T00:00:00"/>
    <d v="2020-07-31T00:00:00"/>
    <s v="BRL"/>
    <n v="620486000"/>
    <n v="620486000"/>
    <s v="BRL"/>
    <n v="620486000"/>
    <n v="119262306"/>
    <b v="0"/>
    <n v="1"/>
  </r>
  <r>
    <b v="1"/>
    <x v="0"/>
    <x v="0"/>
    <x v="0"/>
    <x v="0"/>
    <x v="0"/>
    <x v="33"/>
    <s v="BBG00WFC29W9"/>
    <x v="0"/>
    <s v="69021b69981246b2b037aa13c8fabc98"/>
    <s v="T√≠tulo Sustent√°vel Cuiab√°"/>
    <x v="2"/>
    <x v="9"/>
    <s v="Unspecified"/>
    <s v="Sistema de Abastecimento de √°gua e Esgotamento Sanit√°rio Cuiab√°"/>
    <s v="Brazil"/>
    <d v="2020-07-15T00:00:00"/>
    <d v="2020-07-31T00:00:00"/>
    <s v="BRL"/>
    <n v="620486000"/>
    <n v="620486000"/>
    <s v="BRL"/>
    <n v="620486000"/>
    <n v="119262306"/>
    <b v="0"/>
    <n v="1"/>
  </r>
  <r>
    <b v="1"/>
    <x v="0"/>
    <x v="0"/>
    <x v="0"/>
    <x v="0"/>
    <x v="0"/>
    <x v="33"/>
    <s v="BBG00WFC29W9"/>
    <x v="0"/>
    <s v="69021b69981246b2b037aa13c8fabc98"/>
    <s v="T√≠tulo Sustent√°vel Cuiab√°"/>
    <x v="3"/>
    <x v="9"/>
    <s v="Unspecified"/>
    <s v="Sistema de Abastecimento de √°gua e Esgotamento Sanit√°rio Cuiab√°"/>
    <s v="Brazil"/>
    <d v="2020-07-15T00:00:00"/>
    <d v="2020-07-31T00:00:00"/>
    <s v="BRL"/>
    <n v="620486000"/>
    <n v="620486000"/>
    <s v="BRL"/>
    <n v="620486000"/>
    <n v="119262306"/>
    <b v="0"/>
    <n v="1"/>
  </r>
  <r>
    <b v="1"/>
    <x v="0"/>
    <x v="0"/>
    <x v="0"/>
    <x v="0"/>
    <x v="0"/>
    <x v="34"/>
    <s v="BBG00WGHMDH3"/>
    <x v="0"/>
    <s v="4de81a22550d465b9b985c699f30e69b"/>
    <s v="T√≠tulo Sustent√°vel Paranagu√°"/>
    <x v="0"/>
    <x v="2"/>
    <s v="Treatment"/>
    <s v="Sistema de Abastecimento de √°gua e Esgotamento Sanit√°rio Paranagu√°"/>
    <s v="Brazil"/>
    <d v="2020-07-15T00:00:00"/>
    <d v="2020-07-31T00:00:00"/>
    <s v="BRL"/>
    <n v="259804000"/>
    <n v="259804000"/>
    <s v="BRL"/>
    <n v="259804000"/>
    <n v="49936379"/>
    <b v="0"/>
    <n v="1"/>
  </r>
  <r>
    <b v="1"/>
    <x v="0"/>
    <x v="0"/>
    <x v="0"/>
    <x v="0"/>
    <x v="0"/>
    <x v="34"/>
    <s v="BBG00WGHMDH3"/>
    <x v="0"/>
    <s v="4de81a22550d465b9b985c699f30e69b"/>
    <s v="T√≠tulo Sustent√°vel Paranagu√°"/>
    <x v="1"/>
    <x v="3"/>
    <s v="Wastewater treatment"/>
    <s v="Sistema de Abastecimento de √°gua e Esgotamento Sanit√°rio Paranagu√°"/>
    <s v="Brazil"/>
    <d v="2020-07-15T00:00:00"/>
    <d v="2020-07-31T00:00:00"/>
    <s v="BRL"/>
    <n v="259804000"/>
    <n v="259804000"/>
    <s v="BRL"/>
    <n v="259804000"/>
    <n v="49936379"/>
    <b v="0"/>
    <n v="1"/>
  </r>
  <r>
    <b v="1"/>
    <x v="0"/>
    <x v="0"/>
    <x v="0"/>
    <x v="0"/>
    <x v="0"/>
    <x v="34"/>
    <s v="BBG00WGHMDH3"/>
    <x v="0"/>
    <s v="4de81a22550d465b9b985c699f30e69b"/>
    <s v="T√≠tulo Sustent√°vel Paranagu√°"/>
    <x v="2"/>
    <x v="9"/>
    <s v="Unspecified"/>
    <s v="Sistema de Abastecimento de √°gua e Esgotamento Sanit√°rio Paranagu√°"/>
    <s v="Brazil"/>
    <d v="2020-07-15T00:00:00"/>
    <d v="2020-07-31T00:00:00"/>
    <s v="BRL"/>
    <n v="259804000"/>
    <n v="259804000"/>
    <s v="BRL"/>
    <n v="259804000"/>
    <n v="49936379"/>
    <b v="0"/>
    <n v="1"/>
  </r>
  <r>
    <b v="1"/>
    <x v="0"/>
    <x v="0"/>
    <x v="0"/>
    <x v="0"/>
    <x v="0"/>
    <x v="34"/>
    <s v="BBG00WGHMDH3"/>
    <x v="0"/>
    <s v="4de81a22550d465b9b985c699f30e69b"/>
    <s v="T√≠tulo Sustent√°vel Paranagu√°"/>
    <x v="3"/>
    <x v="9"/>
    <s v="Unspecified"/>
    <s v="Sistema de Abastecimento de √°gua e Esgotamento Sanit√°rio Paranagu√°"/>
    <s v="Brazil"/>
    <d v="2020-07-15T00:00:00"/>
    <d v="2020-07-31T00:00:00"/>
    <s v="BRL"/>
    <n v="259804000"/>
    <n v="259804000"/>
    <s v="BRL"/>
    <n v="259804000"/>
    <n v="49936379"/>
    <b v="0"/>
    <n v="1"/>
  </r>
  <r>
    <b v="1"/>
    <x v="0"/>
    <x v="0"/>
    <x v="1"/>
    <x v="0"/>
    <x v="1"/>
    <x v="35"/>
    <s v="BBG00YGNGLS3"/>
    <x v="0"/>
    <s v="63eb049b54cf46b8871604a7b6c595b4"/>
    <s v="UEP Penonome II"/>
    <x v="0"/>
    <x v="0"/>
    <s v="Wind"/>
    <s v="UEP Penonom√© II"/>
    <s v="Panama"/>
    <d v="2020-12-18T00:00:00"/>
    <d v="2020-12-18T00:00:00"/>
    <s v="USD"/>
    <n v="262664000"/>
    <n v="262664000"/>
    <s v="USD"/>
    <n v="262664000"/>
    <n v="262664000"/>
    <b v="1"/>
    <n v="1"/>
  </r>
  <r>
    <b v="1"/>
    <x v="0"/>
    <x v="0"/>
    <x v="1"/>
    <x v="0"/>
    <x v="1"/>
    <x v="35"/>
    <s v="BBG00YGNGLS3"/>
    <x v="0"/>
    <s v="63eb049b54cf46b8871604a7b6c595b4"/>
    <s v="UEP Penonome II"/>
    <x v="1"/>
    <x v="1"/>
    <s v="Generation"/>
    <s v="UEP Penonom√© II"/>
    <s v="Panama"/>
    <d v="2020-12-18T00:00:00"/>
    <d v="2020-12-18T00:00:00"/>
    <s v="USD"/>
    <n v="262664000"/>
    <n v="262664000"/>
    <s v="USD"/>
    <n v="262664000"/>
    <n v="262664000"/>
    <b v="1"/>
    <n v="1"/>
  </r>
  <r>
    <b v="1"/>
    <x v="0"/>
    <x v="0"/>
    <x v="2"/>
    <x v="0"/>
    <x v="1"/>
    <x v="36"/>
    <s v="BBG00HPK5N13"/>
    <x v="0"/>
    <s v="7d27df26e2924c4d9fcf8ba0c0d9d684"/>
    <s v="Klabin 2027"/>
    <x v="0"/>
    <x v="10"/>
    <s v="Ecosystem Conservation &amp; Restoration"/>
    <s v="Control of exotic species (PR)"/>
    <s v="Brazil"/>
    <d v="2021-01-01T00:00:00"/>
    <d v="2021-01-01T00:00:00"/>
    <s v="BRL"/>
    <n v="663000"/>
    <n v="663000"/>
    <s v="USD"/>
    <n v="123000"/>
    <n v="123000"/>
    <b v="0"/>
    <n v="1"/>
  </r>
  <r>
    <b v="1"/>
    <x v="0"/>
    <x v="0"/>
    <x v="2"/>
    <x v="0"/>
    <x v="1"/>
    <x v="36"/>
    <s v="BBG00HPK5N13"/>
    <x v="0"/>
    <s v="7d27df26e2924c4d9fcf8ba0c0d9d684"/>
    <s v="Klabin 2027"/>
    <x v="0"/>
    <x v="10"/>
    <s v="Ecosystem Conservation &amp; Restoration"/>
    <s v="Control of exotic species (PR)"/>
    <s v="Brazil"/>
    <d v="2020-07-01T00:00:00"/>
    <d v="2020-07-01T00:00:00"/>
    <s v="BRL"/>
    <n v="631000"/>
    <n v="631000"/>
    <s v="USD"/>
    <n v="116000"/>
    <n v="116000"/>
    <b v="0"/>
    <n v="1"/>
  </r>
  <r>
    <b v="1"/>
    <x v="0"/>
    <x v="0"/>
    <x v="2"/>
    <x v="0"/>
    <x v="1"/>
    <x v="36"/>
    <s v="BBG00HPK5N13"/>
    <x v="0"/>
    <s v="7d27df26e2924c4d9fcf8ba0c0d9d684"/>
    <s v="Klabin 2027"/>
    <x v="0"/>
    <x v="10"/>
    <s v="Ecosystem Conservation &amp; Restoration"/>
    <s v="Control of exotic species (PR)"/>
    <s v="Brazil"/>
    <d v="2020-01-01T00:00:00"/>
    <d v="2020-01-01T00:00:00"/>
    <s v="BRL"/>
    <n v="380000"/>
    <n v="380000"/>
    <s v="USD"/>
    <n v="77000"/>
    <n v="77000"/>
    <b v="0"/>
    <n v="1"/>
  </r>
  <r>
    <b v="1"/>
    <x v="0"/>
    <x v="0"/>
    <x v="2"/>
    <x v="0"/>
    <x v="1"/>
    <x v="36"/>
    <s v="BBG00HPK5N13"/>
    <x v="0"/>
    <s v="7d27df26e2924c4d9fcf8ba0c0d9d684"/>
    <s v="Klabin 2027"/>
    <x v="0"/>
    <x v="10"/>
    <s v="Ecosystem Conservation &amp; Restoration"/>
    <s v="Control of exotic species (PR)"/>
    <s v="Brazil"/>
    <d v="2019-07-01T00:00:00"/>
    <d v="2019-07-01T00:00:00"/>
    <s v="BRL"/>
    <n v="697000"/>
    <n v="697000"/>
    <s v="USD"/>
    <n v="172000"/>
    <n v="172000"/>
    <b v="0"/>
    <n v="1"/>
  </r>
  <r>
    <b v="1"/>
    <x v="0"/>
    <x v="0"/>
    <x v="2"/>
    <x v="0"/>
    <x v="1"/>
    <x v="36"/>
    <s v="BBG00HPK5N13"/>
    <x v="0"/>
    <s v="7d27df26e2924c4d9fcf8ba0c0d9d684"/>
    <s v="Klabin 2027"/>
    <x v="0"/>
    <x v="10"/>
    <s v="Ecosystem Conservation &amp; Restoration"/>
    <s v="Control of exotic species (PR)"/>
    <s v="Brazil"/>
    <d v="2019-01-01T00:00:00"/>
    <d v="2019-01-01T00:00:00"/>
    <s v="BRL"/>
    <n v="455540"/>
    <n v="455540"/>
    <s v="USD"/>
    <n v="118450"/>
    <n v="118450"/>
    <b v="0"/>
    <n v="1"/>
  </r>
  <r>
    <b v="1"/>
    <x v="0"/>
    <x v="0"/>
    <x v="2"/>
    <x v="0"/>
    <x v="1"/>
    <x v="36"/>
    <s v="BBG00HPK5N13"/>
    <x v="0"/>
    <s v="7d27df26e2924c4d9fcf8ba0c0d9d684"/>
    <s v="Klabin 2027"/>
    <x v="0"/>
    <x v="10"/>
    <s v="Ecosystem Conservation &amp; Restoration"/>
    <s v="Control of exotic species (PR)"/>
    <s v="Brazil"/>
    <d v="2018-07-01T00:00:00"/>
    <d v="2018-07-01T00:00:00"/>
    <s v="BRL"/>
    <n v="406600"/>
    <n v="406600"/>
    <s v="USD"/>
    <n v="104780"/>
    <n v="104780"/>
    <b v="0"/>
    <n v="1"/>
  </r>
  <r>
    <b v="1"/>
    <x v="0"/>
    <x v="0"/>
    <x v="2"/>
    <x v="0"/>
    <x v="1"/>
    <x v="36"/>
    <s v="BBG00HPK5N13"/>
    <x v="0"/>
    <s v="7d27df26e2924c4d9fcf8ba0c0d9d684"/>
    <s v="Klabin 2027"/>
    <x v="1"/>
    <x v="11"/>
    <s v="Natural landscapes"/>
    <s v="Control of exotic species (PR)"/>
    <s v="Brazil"/>
    <d v="2021-01-01T00:00:00"/>
    <d v="2021-01-01T00:00:00"/>
    <s v="BRL"/>
    <n v="663000"/>
    <n v="663000"/>
    <s v="USD"/>
    <n v="123000"/>
    <n v="123000"/>
    <b v="0"/>
    <n v="1"/>
  </r>
  <r>
    <b v="1"/>
    <x v="0"/>
    <x v="0"/>
    <x v="2"/>
    <x v="0"/>
    <x v="1"/>
    <x v="36"/>
    <s v="BBG00HPK5N13"/>
    <x v="0"/>
    <s v="7d27df26e2924c4d9fcf8ba0c0d9d684"/>
    <s v="Klabin 2027"/>
    <x v="1"/>
    <x v="11"/>
    <s v="Natural landscapes"/>
    <s v="Control of exotic species (PR)"/>
    <s v="Brazil"/>
    <d v="2020-07-01T00:00:00"/>
    <d v="2020-07-01T00:00:00"/>
    <s v="BRL"/>
    <n v="631000"/>
    <n v="631000"/>
    <s v="USD"/>
    <n v="116000"/>
    <n v="116000"/>
    <b v="0"/>
    <n v="1"/>
  </r>
  <r>
    <b v="1"/>
    <x v="0"/>
    <x v="0"/>
    <x v="2"/>
    <x v="0"/>
    <x v="1"/>
    <x v="36"/>
    <s v="BBG00HPK5N13"/>
    <x v="0"/>
    <s v="7d27df26e2924c4d9fcf8ba0c0d9d684"/>
    <s v="Klabin 2027"/>
    <x v="1"/>
    <x v="11"/>
    <s v="Natural landscapes"/>
    <s v="Control of exotic species (PR)"/>
    <s v="Brazil"/>
    <d v="2020-01-01T00:00:00"/>
    <d v="2020-01-01T00:00:00"/>
    <s v="BRL"/>
    <n v="380000"/>
    <n v="380000"/>
    <s v="USD"/>
    <n v="77000"/>
    <n v="77000"/>
    <b v="0"/>
    <n v="1"/>
  </r>
  <r>
    <b v="1"/>
    <x v="0"/>
    <x v="0"/>
    <x v="2"/>
    <x v="0"/>
    <x v="1"/>
    <x v="36"/>
    <s v="BBG00HPK5N13"/>
    <x v="0"/>
    <s v="7d27df26e2924c4d9fcf8ba0c0d9d684"/>
    <s v="Klabin 2027"/>
    <x v="1"/>
    <x v="11"/>
    <s v="Natural landscapes"/>
    <s v="Control of exotic species (PR)"/>
    <s v="Brazil"/>
    <d v="2019-07-01T00:00:00"/>
    <d v="2019-07-01T00:00:00"/>
    <s v="BRL"/>
    <n v="697000"/>
    <n v="697000"/>
    <s v="USD"/>
    <n v="172000"/>
    <n v="172000"/>
    <b v="0"/>
    <n v="1"/>
  </r>
  <r>
    <b v="1"/>
    <x v="0"/>
    <x v="0"/>
    <x v="2"/>
    <x v="0"/>
    <x v="1"/>
    <x v="36"/>
    <s v="BBG00HPK5N13"/>
    <x v="0"/>
    <s v="7d27df26e2924c4d9fcf8ba0c0d9d684"/>
    <s v="Klabin 2027"/>
    <x v="1"/>
    <x v="11"/>
    <s v="Natural landscapes"/>
    <s v="Control of exotic species (PR)"/>
    <s v="Brazil"/>
    <d v="2019-01-01T00:00:00"/>
    <d v="2019-01-01T00:00:00"/>
    <s v="BRL"/>
    <n v="455540"/>
    <n v="455540"/>
    <s v="USD"/>
    <n v="118450"/>
    <n v="118450"/>
    <b v="0"/>
    <n v="1"/>
  </r>
  <r>
    <b v="1"/>
    <x v="0"/>
    <x v="0"/>
    <x v="2"/>
    <x v="0"/>
    <x v="1"/>
    <x v="36"/>
    <s v="BBG00HPK5N13"/>
    <x v="0"/>
    <s v="7d27df26e2924c4d9fcf8ba0c0d9d684"/>
    <s v="Klabin 2027"/>
    <x v="1"/>
    <x v="11"/>
    <s v="Natural landscapes"/>
    <s v="Control of exotic species (PR)"/>
    <s v="Brazil"/>
    <d v="2018-07-01T00:00:00"/>
    <d v="2018-07-01T00:00:00"/>
    <s v="BRL"/>
    <n v="406600"/>
    <n v="406600"/>
    <s v="USD"/>
    <n v="104780"/>
    <n v="104780"/>
    <b v="0"/>
    <n v="1"/>
  </r>
  <r>
    <b v="1"/>
    <x v="0"/>
    <x v="0"/>
    <x v="2"/>
    <x v="0"/>
    <x v="1"/>
    <x v="36"/>
    <s v="BBG00HPK5N13"/>
    <x v="0"/>
    <s v="7d27df26e2924c4d9fcf8ba0c0d9d684"/>
    <s v="Klabin 2027"/>
    <x v="0"/>
    <x v="10"/>
    <s v="Ecosystem Conservation &amp; Restoration"/>
    <s v="Control of exotic species (SC)"/>
    <s v="Brazil"/>
    <d v="2021-01-01T00:00:00"/>
    <d v="2021-01-01T00:00:00"/>
    <s v="BRL"/>
    <n v="465000"/>
    <n v="465000"/>
    <s v="USD"/>
    <n v="86000"/>
    <n v="86000"/>
    <b v="0"/>
    <n v="1"/>
  </r>
  <r>
    <b v="1"/>
    <x v="0"/>
    <x v="0"/>
    <x v="2"/>
    <x v="0"/>
    <x v="1"/>
    <x v="36"/>
    <s v="BBG00HPK5N13"/>
    <x v="0"/>
    <s v="7d27df26e2924c4d9fcf8ba0c0d9d684"/>
    <s v="Klabin 2027"/>
    <x v="0"/>
    <x v="10"/>
    <s v="Ecosystem Conservation &amp; Restoration"/>
    <s v="Control of exotic species (SC)"/>
    <s v="Brazil"/>
    <d v="2020-07-01T00:00:00"/>
    <d v="2020-07-01T00:00:00"/>
    <s v="BRL"/>
    <n v="448000"/>
    <n v="448000"/>
    <s v="USD"/>
    <n v="82000"/>
    <n v="82000"/>
    <b v="0"/>
    <n v="1"/>
  </r>
  <r>
    <b v="1"/>
    <x v="0"/>
    <x v="0"/>
    <x v="2"/>
    <x v="0"/>
    <x v="1"/>
    <x v="36"/>
    <s v="BBG00HPK5N13"/>
    <x v="0"/>
    <s v="7d27df26e2924c4d9fcf8ba0c0d9d684"/>
    <s v="Klabin 2027"/>
    <x v="0"/>
    <x v="10"/>
    <s v="Ecosystem Conservation &amp; Restoration"/>
    <s v="Control of exotic species (SC)"/>
    <s v="Brazil"/>
    <d v="2019-01-01T00:00:00"/>
    <d v="2019-01-01T00:00:00"/>
    <s v="BRL"/>
    <n v="335630"/>
    <n v="335630"/>
    <s v="USD"/>
    <n v="87270"/>
    <n v="87270"/>
    <b v="0"/>
    <n v="1"/>
  </r>
  <r>
    <b v="1"/>
    <x v="0"/>
    <x v="0"/>
    <x v="2"/>
    <x v="0"/>
    <x v="1"/>
    <x v="36"/>
    <s v="BBG00HPK5N13"/>
    <x v="0"/>
    <s v="7d27df26e2924c4d9fcf8ba0c0d9d684"/>
    <s v="Klabin 2027"/>
    <x v="0"/>
    <x v="10"/>
    <s v="Ecosystem Conservation &amp; Restoration"/>
    <s v="Control of exotic species (SC)"/>
    <s v="Brazil"/>
    <d v="2018-07-01T00:00:00"/>
    <d v="2018-07-01T00:00:00"/>
    <s v="BRL"/>
    <n v="373740"/>
    <n v="373740"/>
    <s v="USD"/>
    <n v="96310"/>
    <n v="96310"/>
    <b v="0"/>
    <n v="1"/>
  </r>
  <r>
    <b v="1"/>
    <x v="0"/>
    <x v="0"/>
    <x v="2"/>
    <x v="0"/>
    <x v="1"/>
    <x v="36"/>
    <s v="BBG00HPK5N13"/>
    <x v="0"/>
    <s v="7d27df26e2924c4d9fcf8ba0c0d9d684"/>
    <s v="Klabin 2027"/>
    <x v="1"/>
    <x v="11"/>
    <s v="Natural landscapes"/>
    <s v="Control of exotic species (SC)"/>
    <s v="Brazil"/>
    <d v="2021-01-01T00:00:00"/>
    <d v="2021-01-01T00:00:00"/>
    <s v="BRL"/>
    <n v="465000"/>
    <n v="465000"/>
    <s v="USD"/>
    <n v="86000"/>
    <n v="86000"/>
    <b v="0"/>
    <n v="1"/>
  </r>
  <r>
    <b v="1"/>
    <x v="0"/>
    <x v="0"/>
    <x v="2"/>
    <x v="0"/>
    <x v="1"/>
    <x v="36"/>
    <s v="BBG00HPK5N13"/>
    <x v="0"/>
    <s v="7d27df26e2924c4d9fcf8ba0c0d9d684"/>
    <s v="Klabin 2027"/>
    <x v="1"/>
    <x v="11"/>
    <s v="Natural landscapes"/>
    <s v="Control of exotic species (SC)"/>
    <s v="Brazil"/>
    <d v="2020-07-01T00:00:00"/>
    <d v="2020-07-01T00:00:00"/>
    <s v="BRL"/>
    <n v="448000"/>
    <n v="448000"/>
    <s v="USD"/>
    <n v="82000"/>
    <n v="82000"/>
    <b v="0"/>
    <n v="1"/>
  </r>
  <r>
    <b v="1"/>
    <x v="0"/>
    <x v="0"/>
    <x v="2"/>
    <x v="0"/>
    <x v="1"/>
    <x v="36"/>
    <s v="BBG00HPK5N13"/>
    <x v="0"/>
    <s v="7d27df26e2924c4d9fcf8ba0c0d9d684"/>
    <s v="Klabin 2027"/>
    <x v="1"/>
    <x v="11"/>
    <s v="Natural landscapes"/>
    <s v="Control of exotic species (SC)"/>
    <s v="Brazil"/>
    <d v="2019-01-01T00:00:00"/>
    <d v="2019-01-01T00:00:00"/>
    <s v="BRL"/>
    <n v="335630"/>
    <n v="335630"/>
    <s v="USD"/>
    <n v="87270"/>
    <n v="87270"/>
    <b v="0"/>
    <n v="1"/>
  </r>
  <r>
    <b v="1"/>
    <x v="0"/>
    <x v="0"/>
    <x v="2"/>
    <x v="0"/>
    <x v="1"/>
    <x v="36"/>
    <s v="BBG00HPK5N13"/>
    <x v="0"/>
    <s v="7d27df26e2924c4d9fcf8ba0c0d9d684"/>
    <s v="Klabin 2027"/>
    <x v="1"/>
    <x v="11"/>
    <s v="Natural landscapes"/>
    <s v="Control of exotic species (SC)"/>
    <s v="Brazil"/>
    <d v="2018-07-01T00:00:00"/>
    <d v="2018-07-01T00:00:00"/>
    <s v="BRL"/>
    <n v="373740"/>
    <n v="373740"/>
    <s v="USD"/>
    <n v="96310"/>
    <n v="96310"/>
    <b v="0"/>
    <n v="1"/>
  </r>
  <r>
    <b v="1"/>
    <x v="0"/>
    <x v="0"/>
    <x v="2"/>
    <x v="0"/>
    <x v="1"/>
    <x v="36"/>
    <s v="BBG00HPK5N13"/>
    <x v="0"/>
    <s v="7d27df26e2924c4d9fcf8ba0c0d9d684"/>
    <s v="Klabin 2027"/>
    <x v="0"/>
    <x v="10"/>
    <s v="Ecosystem Conservation &amp; Restoration"/>
    <s v="Crescer Project"/>
    <s v="Brazil"/>
    <d v="2021-01-01T00:00:00"/>
    <d v="2021-01-01T00:00:00"/>
    <s v="BRL"/>
    <n v="102000"/>
    <n v="102000"/>
    <s v="USD"/>
    <n v="19000"/>
    <n v="19000"/>
    <b v="0"/>
    <n v="1"/>
  </r>
  <r>
    <b v="1"/>
    <x v="0"/>
    <x v="0"/>
    <x v="2"/>
    <x v="0"/>
    <x v="1"/>
    <x v="36"/>
    <s v="BBG00HPK5N13"/>
    <x v="0"/>
    <s v="7d27df26e2924c4d9fcf8ba0c0d9d684"/>
    <s v="Klabin 2027"/>
    <x v="0"/>
    <x v="10"/>
    <s v="Ecosystem Conservation &amp; Restoration"/>
    <s v="Crescer Project"/>
    <s v="Brazil"/>
    <d v="2020-07-01T00:00:00"/>
    <d v="2020-07-01T00:00:00"/>
    <s v="BRL"/>
    <n v="102000"/>
    <n v="102000"/>
    <s v="USD"/>
    <n v="19000"/>
    <n v="19000"/>
    <b v="0"/>
    <n v="1"/>
  </r>
  <r>
    <b v="1"/>
    <x v="0"/>
    <x v="0"/>
    <x v="2"/>
    <x v="0"/>
    <x v="1"/>
    <x v="36"/>
    <s v="BBG00HPK5N13"/>
    <x v="0"/>
    <s v="7d27df26e2924c4d9fcf8ba0c0d9d684"/>
    <s v="Klabin 2027"/>
    <x v="0"/>
    <x v="10"/>
    <s v="Ecosystem Conservation &amp; Restoration"/>
    <s v="Crescer Project"/>
    <s v="Brazil"/>
    <d v="2020-01-01T00:00:00"/>
    <d v="2020-01-01T00:00:00"/>
    <s v="BRL"/>
    <n v="93000"/>
    <n v="93000"/>
    <s v="USD"/>
    <n v="19000"/>
    <n v="19000"/>
    <b v="0"/>
    <n v="1"/>
  </r>
  <r>
    <b v="1"/>
    <x v="0"/>
    <x v="0"/>
    <x v="2"/>
    <x v="0"/>
    <x v="1"/>
    <x v="36"/>
    <s v="BBG00HPK5N13"/>
    <x v="0"/>
    <s v="7d27df26e2924c4d9fcf8ba0c0d9d684"/>
    <s v="Klabin 2027"/>
    <x v="0"/>
    <x v="10"/>
    <s v="Ecosystem Conservation &amp; Restoration"/>
    <s v="Crescer Project"/>
    <s v="Brazil"/>
    <d v="2019-07-01T00:00:00"/>
    <d v="2019-07-01T00:00:00"/>
    <s v="BRL"/>
    <n v="84000"/>
    <n v="84000"/>
    <s v="USD"/>
    <n v="20000"/>
    <n v="20000"/>
    <b v="0"/>
    <n v="1"/>
  </r>
  <r>
    <b v="1"/>
    <x v="0"/>
    <x v="0"/>
    <x v="2"/>
    <x v="0"/>
    <x v="1"/>
    <x v="36"/>
    <s v="BBG00HPK5N13"/>
    <x v="0"/>
    <s v="7d27df26e2924c4d9fcf8ba0c0d9d684"/>
    <s v="Klabin 2027"/>
    <x v="0"/>
    <x v="10"/>
    <s v="Ecosystem Conservation &amp; Restoration"/>
    <s v="Crescer Project"/>
    <s v="Brazil"/>
    <d v="2019-01-01T00:00:00"/>
    <d v="2019-01-01T00:00:00"/>
    <s v="BRL"/>
    <n v="36840"/>
    <n v="36840"/>
    <s v="USD"/>
    <n v="9580"/>
    <n v="9580"/>
    <b v="0"/>
    <n v="1"/>
  </r>
  <r>
    <b v="1"/>
    <x v="0"/>
    <x v="0"/>
    <x v="2"/>
    <x v="0"/>
    <x v="1"/>
    <x v="36"/>
    <s v="BBG00HPK5N13"/>
    <x v="0"/>
    <s v="7d27df26e2924c4d9fcf8ba0c0d9d684"/>
    <s v="Klabin 2027"/>
    <x v="0"/>
    <x v="10"/>
    <s v="Ecosystem Conservation &amp; Restoration"/>
    <s v="Crescer Project"/>
    <s v="Brazil"/>
    <d v="2018-07-01T00:00:00"/>
    <d v="2018-07-01T00:00:00"/>
    <s v="BRL"/>
    <n v="36840"/>
    <n v="36840"/>
    <s v="USD"/>
    <n v="9490"/>
    <n v="9490"/>
    <b v="0"/>
    <n v="1"/>
  </r>
  <r>
    <b v="1"/>
    <x v="0"/>
    <x v="0"/>
    <x v="2"/>
    <x v="0"/>
    <x v="1"/>
    <x v="36"/>
    <s v="BBG00HPK5N13"/>
    <x v="0"/>
    <s v="7d27df26e2924c4d9fcf8ba0c0d9d684"/>
    <s v="Klabin 2027"/>
    <x v="1"/>
    <x v="11"/>
    <s v="Natural landscapes"/>
    <s v="Crescer Project"/>
    <s v="Brazil"/>
    <d v="2021-01-01T00:00:00"/>
    <d v="2021-01-01T00:00:00"/>
    <s v="BRL"/>
    <n v="102000"/>
    <n v="102000"/>
    <s v="USD"/>
    <n v="19000"/>
    <n v="19000"/>
    <b v="0"/>
    <n v="1"/>
  </r>
  <r>
    <b v="1"/>
    <x v="0"/>
    <x v="0"/>
    <x v="2"/>
    <x v="0"/>
    <x v="1"/>
    <x v="36"/>
    <s v="BBG00HPK5N13"/>
    <x v="0"/>
    <s v="7d27df26e2924c4d9fcf8ba0c0d9d684"/>
    <s v="Klabin 2027"/>
    <x v="1"/>
    <x v="11"/>
    <s v="Natural landscapes"/>
    <s v="Crescer Project"/>
    <s v="Brazil"/>
    <d v="2020-07-01T00:00:00"/>
    <d v="2020-07-01T00:00:00"/>
    <s v="BRL"/>
    <n v="102000"/>
    <n v="102000"/>
    <s v="USD"/>
    <n v="19000"/>
    <n v="19000"/>
    <b v="0"/>
    <n v="1"/>
  </r>
  <r>
    <b v="1"/>
    <x v="0"/>
    <x v="0"/>
    <x v="2"/>
    <x v="0"/>
    <x v="1"/>
    <x v="36"/>
    <s v="BBG00HPK5N13"/>
    <x v="0"/>
    <s v="7d27df26e2924c4d9fcf8ba0c0d9d684"/>
    <s v="Klabin 2027"/>
    <x v="1"/>
    <x v="11"/>
    <s v="Natural landscapes"/>
    <s v="Crescer Project"/>
    <s v="Brazil"/>
    <d v="2020-01-01T00:00:00"/>
    <d v="2020-01-01T00:00:00"/>
    <s v="BRL"/>
    <n v="93000"/>
    <n v="93000"/>
    <s v="USD"/>
    <n v="19000"/>
    <n v="19000"/>
    <b v="0"/>
    <n v="1"/>
  </r>
  <r>
    <b v="1"/>
    <x v="0"/>
    <x v="0"/>
    <x v="2"/>
    <x v="0"/>
    <x v="1"/>
    <x v="36"/>
    <s v="BBG00HPK5N13"/>
    <x v="0"/>
    <s v="7d27df26e2924c4d9fcf8ba0c0d9d684"/>
    <s v="Klabin 2027"/>
    <x v="1"/>
    <x v="11"/>
    <s v="Natural landscapes"/>
    <s v="Crescer Project"/>
    <s v="Brazil"/>
    <d v="2019-07-01T00:00:00"/>
    <d v="2019-07-01T00:00:00"/>
    <s v="BRL"/>
    <n v="84000"/>
    <n v="84000"/>
    <s v="USD"/>
    <n v="20000"/>
    <n v="20000"/>
    <b v="0"/>
    <n v="1"/>
  </r>
  <r>
    <b v="1"/>
    <x v="0"/>
    <x v="0"/>
    <x v="2"/>
    <x v="0"/>
    <x v="1"/>
    <x v="36"/>
    <s v="BBG00HPK5N13"/>
    <x v="0"/>
    <s v="7d27df26e2924c4d9fcf8ba0c0d9d684"/>
    <s v="Klabin 2027"/>
    <x v="1"/>
    <x v="11"/>
    <s v="Natural landscapes"/>
    <s v="Crescer Project"/>
    <s v="Brazil"/>
    <d v="2019-01-01T00:00:00"/>
    <d v="2019-01-01T00:00:00"/>
    <s v="BRL"/>
    <n v="36840"/>
    <n v="36840"/>
    <s v="USD"/>
    <n v="9580"/>
    <n v="9580"/>
    <b v="0"/>
    <n v="1"/>
  </r>
  <r>
    <b v="1"/>
    <x v="0"/>
    <x v="0"/>
    <x v="2"/>
    <x v="0"/>
    <x v="1"/>
    <x v="36"/>
    <s v="BBG00HPK5N13"/>
    <x v="0"/>
    <s v="7d27df26e2924c4d9fcf8ba0c0d9d684"/>
    <s v="Klabin 2027"/>
    <x v="1"/>
    <x v="11"/>
    <s v="Natural landscapes"/>
    <s v="Crescer Project"/>
    <s v="Brazil"/>
    <d v="2018-07-01T00:00:00"/>
    <d v="2018-07-01T00:00:00"/>
    <s v="BRL"/>
    <n v="36840"/>
    <n v="36840"/>
    <s v="USD"/>
    <n v="9490"/>
    <n v="9490"/>
    <b v="0"/>
    <n v="1"/>
  </r>
  <r>
    <b v="1"/>
    <x v="0"/>
    <x v="0"/>
    <x v="2"/>
    <x v="0"/>
    <x v="1"/>
    <x v="37"/>
    <s v="BBG00NQJNB18"/>
    <x v="0"/>
    <s v="72b244fd46b444aba44095c0ca650e2f"/>
    <s v="Klabin 2049"/>
    <x v="0"/>
    <x v="2"/>
    <s v="Treatment"/>
    <s v="Deployment of new ETAC"/>
    <s v="Brazil"/>
    <d v="2020-01-01T00:00:00"/>
    <d v="2020-01-01T00:00:00"/>
    <s v="BRL"/>
    <n v="18173000"/>
    <n v="18173000"/>
    <s v="USD"/>
    <n v="3691000"/>
    <n v="3691000"/>
    <b v="0"/>
    <n v="1"/>
  </r>
  <r>
    <b v="1"/>
    <x v="0"/>
    <x v="0"/>
    <x v="2"/>
    <x v="0"/>
    <x v="1"/>
    <x v="37"/>
    <s v="BBG00NQJNB18"/>
    <x v="0"/>
    <s v="72b244fd46b444aba44095c0ca650e2f"/>
    <s v="Klabin 2049"/>
    <x v="0"/>
    <x v="2"/>
    <s v="Treatment"/>
    <s v="Deployment of new ETAC"/>
    <s v="Brazil"/>
    <d v="2019-07-01T00:00:00"/>
    <d v="2019-07-01T00:00:00"/>
    <s v="BRL"/>
    <n v="4450000"/>
    <n v="4450000"/>
    <s v="USD"/>
    <n v="1098000"/>
    <n v="1098000"/>
    <b v="0"/>
    <n v="1"/>
  </r>
  <r>
    <b v="1"/>
    <x v="0"/>
    <x v="0"/>
    <x v="2"/>
    <x v="0"/>
    <x v="1"/>
    <x v="37"/>
    <s v="BBG00NQJNB18"/>
    <x v="0"/>
    <s v="72b244fd46b444aba44095c0ca650e2f"/>
    <s v="Klabin 2049"/>
    <x v="1"/>
    <x v="3"/>
    <s v="Wastewater treatment"/>
    <s v="Deployment of new ETAC"/>
    <s v="Brazil"/>
    <d v="2020-01-01T00:00:00"/>
    <d v="2020-01-01T00:00:00"/>
    <s v="BRL"/>
    <n v="18173000"/>
    <n v="18173000"/>
    <s v="USD"/>
    <n v="3691000"/>
    <n v="3691000"/>
    <b v="0"/>
    <n v="1"/>
  </r>
  <r>
    <b v="1"/>
    <x v="0"/>
    <x v="0"/>
    <x v="2"/>
    <x v="0"/>
    <x v="1"/>
    <x v="37"/>
    <s v="BBG00NQJNB18"/>
    <x v="0"/>
    <s v="72b244fd46b444aba44095c0ca650e2f"/>
    <s v="Klabin 2049"/>
    <x v="1"/>
    <x v="3"/>
    <s v="Wastewater treatment"/>
    <s v="Deployment of new ETAC"/>
    <s v="Brazil"/>
    <d v="2019-07-01T00:00:00"/>
    <d v="2019-07-01T00:00:00"/>
    <s v="BRL"/>
    <n v="4450000"/>
    <n v="4450000"/>
    <s v="USD"/>
    <n v="1098000"/>
    <n v="1098000"/>
    <b v="0"/>
    <n v="1"/>
  </r>
  <r>
    <b v="1"/>
    <x v="0"/>
    <x v="0"/>
    <x v="2"/>
    <x v="0"/>
    <x v="1"/>
    <x v="36"/>
    <s v="BBG00HPK5N13"/>
    <x v="0"/>
    <s v="7d27df26e2924c4d9fcf8ba0c0d9d684"/>
    <s v="Klabin 2027"/>
    <x v="0"/>
    <x v="9"/>
    <s v="Unspecified"/>
    <s v="Design of products adapted to the circular economy"/>
    <s v="Brazil"/>
    <d v="2020-01-01T00:00:00"/>
    <d v="2020-01-01T00:00:00"/>
    <s v="BRL"/>
    <n v="1090000"/>
    <n v="1090000"/>
    <s v="USD"/>
    <n v="221000"/>
    <n v="221000"/>
    <b v="0"/>
    <n v="1"/>
  </r>
  <r>
    <b v="1"/>
    <x v="0"/>
    <x v="0"/>
    <x v="2"/>
    <x v="0"/>
    <x v="1"/>
    <x v="36"/>
    <s v="BBG00HPK5N13"/>
    <x v="0"/>
    <s v="7d27df26e2924c4d9fcf8ba0c0d9d684"/>
    <s v="Klabin 2027"/>
    <x v="0"/>
    <x v="9"/>
    <s v="Unspecified"/>
    <s v="Design of products adapted to the circular economy"/>
    <s v="Brazil"/>
    <d v="2019-07-01T00:00:00"/>
    <d v="2019-07-01T00:00:00"/>
    <s v="BRL"/>
    <n v="7287000"/>
    <n v="7287000"/>
    <s v="USD"/>
    <n v="1797000"/>
    <n v="1797000"/>
    <b v="0"/>
    <n v="1"/>
  </r>
  <r>
    <b v="1"/>
    <x v="0"/>
    <x v="0"/>
    <x v="2"/>
    <x v="0"/>
    <x v="1"/>
    <x v="37"/>
    <s v="BBG00NQJNB18"/>
    <x v="0"/>
    <s v="72b244fd46b444aba44095c0ca650e2f"/>
    <s v="Klabin 2049"/>
    <x v="0"/>
    <x v="9"/>
    <s v="Unspecified"/>
    <s v="Design of products adapted to the circular economy"/>
    <s v="Brazil"/>
    <d v="2021-01-04T00:00:00"/>
    <d v="2021-01-04T00:00:00"/>
    <s v="BRL"/>
    <n v="3850000"/>
    <n v="3850000"/>
    <s v="USD"/>
    <n v="714000"/>
    <n v="714000"/>
    <b v="0"/>
    <n v="1"/>
  </r>
  <r>
    <b v="1"/>
    <x v="0"/>
    <x v="0"/>
    <x v="2"/>
    <x v="0"/>
    <x v="1"/>
    <x v="37"/>
    <s v="BBG00NQJNB18"/>
    <x v="0"/>
    <s v="72b244fd46b444aba44095c0ca650e2f"/>
    <s v="Klabin 2049"/>
    <x v="0"/>
    <x v="9"/>
    <s v="Unspecified"/>
    <s v="Design of products adapted to the circular economy"/>
    <s v="Brazil"/>
    <d v="2020-07-01T00:00:00"/>
    <d v="2020-07-01T00:00:00"/>
    <s v="BRL"/>
    <n v="750000"/>
    <n v="750000"/>
    <s v="USD"/>
    <n v="138000"/>
    <n v="138000"/>
    <b v="0"/>
    <n v="1"/>
  </r>
  <r>
    <b v="1"/>
    <x v="0"/>
    <x v="0"/>
    <x v="1"/>
    <x v="0"/>
    <x v="1"/>
    <x v="38"/>
    <n v="0"/>
    <x v="0"/>
    <s v="5350c0b9a9a4490689021b2d8added30"/>
    <s v="Green CRI √ìrigo"/>
    <x v="0"/>
    <x v="0"/>
    <s v="Solar"/>
    <s v="Usina fotovoltaica Jo√£o Pinheiro"/>
    <s v="Brazil"/>
    <d v="2021-02-01T00:00:00"/>
    <d v="2021-02-01T00:00:00"/>
    <s v="BRL"/>
    <n v="4856000"/>
    <n v="4856000"/>
    <s v="BRL"/>
    <n v="4856000"/>
    <n v="890029"/>
    <b v="1"/>
    <n v="1"/>
  </r>
  <r>
    <b v="1"/>
    <x v="0"/>
    <x v="0"/>
    <x v="1"/>
    <x v="0"/>
    <x v="1"/>
    <x v="38"/>
    <n v="0"/>
    <x v="0"/>
    <s v="5350c0b9a9a4490689021b2d8added30"/>
    <s v="Green CRI √ìrigo"/>
    <x v="1"/>
    <x v="1"/>
    <s v="Generation"/>
    <s v="Usina fotovoltaica Jo√£o Pinheiro"/>
    <s v="Brazil"/>
    <d v="2021-02-01T00:00:00"/>
    <d v="2021-02-01T00:00:00"/>
    <s v="BRL"/>
    <n v="4856000"/>
    <n v="4856000"/>
    <s v="BRL"/>
    <n v="4856000"/>
    <n v="890029"/>
    <b v="1"/>
    <n v="1"/>
  </r>
  <r>
    <b v="1"/>
    <x v="0"/>
    <x v="0"/>
    <x v="1"/>
    <x v="0"/>
    <x v="1"/>
    <x v="38"/>
    <n v="0"/>
    <x v="0"/>
    <s v="5350c0b9a9a4490689021b2d8added30"/>
    <s v="Green CRI √ìrigo"/>
    <x v="0"/>
    <x v="0"/>
    <s v="Solar"/>
    <s v="Usina fotovoltaica Arcos 25"/>
    <s v="Brazil"/>
    <d v="2021-02-01T00:00:00"/>
    <d v="2021-02-01T00:00:00"/>
    <s v="BRL"/>
    <n v="14230000"/>
    <n v="14230000"/>
    <s v="BRL"/>
    <n v="14230000"/>
    <n v="2608137"/>
    <b v="0"/>
    <n v="0.9"/>
  </r>
  <r>
    <b v="1"/>
    <x v="0"/>
    <x v="0"/>
    <x v="1"/>
    <x v="0"/>
    <x v="1"/>
    <x v="38"/>
    <n v="0"/>
    <x v="0"/>
    <s v="5350c0b9a9a4490689021b2d8added30"/>
    <s v="Green CRI √ìrigo"/>
    <x v="1"/>
    <x v="1"/>
    <s v="Generation"/>
    <s v="Usina fotovoltaica Arcos 25"/>
    <s v="Brazil"/>
    <d v="2021-02-01T00:00:00"/>
    <d v="2021-02-01T00:00:00"/>
    <s v="BRL"/>
    <n v="14230000"/>
    <n v="14230000"/>
    <s v="BRL"/>
    <n v="14230000"/>
    <n v="2608137"/>
    <b v="0"/>
    <n v="0.9"/>
  </r>
  <r>
    <b v="1"/>
    <x v="0"/>
    <x v="0"/>
    <x v="0"/>
    <x v="0"/>
    <x v="0"/>
    <x v="39"/>
    <n v="0"/>
    <x v="13"/>
    <s v="2d8de8f14b6641838c8358b9eeb40c28"/>
    <s v="Deb√™ntures 12.431 - Central Hidrel√©trica Palmeiras do Tocantins"/>
    <x v="0"/>
    <x v="0"/>
    <s v="Hydro"/>
    <s v="CGH Palmeiras do Tocantins"/>
    <s v="Brazil"/>
    <d v="2018-06-05T00:00:00"/>
    <d v="2018-07-05T00:00:00"/>
    <s v="BRL"/>
    <n v="16000000"/>
    <n v="16000000"/>
    <s v="BRL"/>
    <n v="16000000"/>
    <n v="4266666"/>
    <b v="0"/>
    <n v="0.7"/>
  </r>
  <r>
    <b v="1"/>
    <x v="0"/>
    <x v="0"/>
    <x v="0"/>
    <x v="0"/>
    <x v="0"/>
    <x v="39"/>
    <n v="0"/>
    <x v="13"/>
    <s v="2d8de8f14b6641838c8358b9eeb40c28"/>
    <s v="Deb√™ntures 12.431 - Central Hidrel√©trica Palmeiras do Tocantins"/>
    <x v="1"/>
    <x v="1"/>
    <s v="Products"/>
    <s v="CGH Palmeiras do Tocantins"/>
    <s v="Brazil"/>
    <d v="2018-06-05T00:00:00"/>
    <d v="2018-07-05T00:00:00"/>
    <s v="BRL"/>
    <n v="16000000"/>
    <n v="16000000"/>
    <s v="BRL"/>
    <n v="16000000"/>
    <n v="4266666"/>
    <b v="0"/>
    <n v="0.7"/>
  </r>
  <r>
    <b v="1"/>
    <x v="0"/>
    <x v="0"/>
    <x v="0"/>
    <x v="0"/>
    <x v="0"/>
    <x v="39"/>
    <n v="0"/>
    <x v="13"/>
    <s v="2d8de8f14b6641838c8358b9eeb40c28"/>
    <s v="Deb√™ntures 12.431 - Central Hidrel√©trica Palmeiras do Tocantins"/>
    <x v="2"/>
    <x v="9"/>
    <s v="Unspecified"/>
    <s v="CGH Palmeiras do Tocantins"/>
    <s v="Brazil"/>
    <d v="2018-06-05T00:00:00"/>
    <d v="2018-07-05T00:00:00"/>
    <s v="BRL"/>
    <n v="16000000"/>
    <n v="16000000"/>
    <s v="BRL"/>
    <n v="16000000"/>
    <n v="4266666"/>
    <b v="0"/>
    <n v="0.7"/>
  </r>
  <r>
    <b v="1"/>
    <x v="0"/>
    <x v="0"/>
    <x v="0"/>
    <x v="0"/>
    <x v="0"/>
    <x v="39"/>
    <n v="0"/>
    <x v="13"/>
    <s v="2d8de8f14b6641838c8358b9eeb40c28"/>
    <s v="Deb√™ntures 12.431 - Central Hidrel√©trica Palmeiras do Tocantins"/>
    <x v="3"/>
    <x v="9"/>
    <s v="Unspecified"/>
    <s v="CGH Palmeiras do Tocantins"/>
    <s v="Brazil"/>
    <d v="2018-06-05T00:00:00"/>
    <d v="2018-07-05T00:00:00"/>
    <s v="BRL"/>
    <n v="16000000"/>
    <n v="16000000"/>
    <s v="BRL"/>
    <n v="16000000"/>
    <n v="4266666"/>
    <b v="0"/>
    <n v="0.7"/>
  </r>
  <r>
    <b v="1"/>
    <x v="0"/>
    <x v="0"/>
    <x v="0"/>
    <x v="0"/>
    <x v="0"/>
    <x v="40"/>
    <n v="0"/>
    <x v="14"/>
    <s v="9b5072c9c8a74de999ff58ac7a32f456"/>
    <s v="Deb√™ntures 12.431 - Central Hidrel√©trica Sucuri"/>
    <x v="0"/>
    <x v="0"/>
    <s v="Hydro"/>
    <s v="CGH Sucuri"/>
    <s v="Brazil"/>
    <d v="2018-06-05T00:00:00"/>
    <d v="2018-07-05T00:00:00"/>
    <s v="BRL"/>
    <n v="14000000"/>
    <n v="14000000"/>
    <s v="BRL"/>
    <n v="14000000"/>
    <n v="3733333"/>
    <b v="0"/>
    <n v="0.7"/>
  </r>
  <r>
    <b v="1"/>
    <x v="0"/>
    <x v="0"/>
    <x v="0"/>
    <x v="0"/>
    <x v="0"/>
    <x v="40"/>
    <n v="0"/>
    <x v="14"/>
    <s v="9b5072c9c8a74de999ff58ac7a32f456"/>
    <s v="Deb√™ntures 12.431 - Central Hidrel√©trica Sucuri"/>
    <x v="1"/>
    <x v="1"/>
    <s v="Products"/>
    <s v="CGH Sucuri"/>
    <s v="Brazil"/>
    <d v="2018-06-05T00:00:00"/>
    <d v="2018-07-05T00:00:00"/>
    <s v="BRL"/>
    <n v="14000000"/>
    <n v="14000000"/>
    <s v="BRL"/>
    <n v="14000000"/>
    <n v="3733333"/>
    <b v="0"/>
    <n v="0.7"/>
  </r>
  <r>
    <b v="1"/>
    <x v="0"/>
    <x v="0"/>
    <x v="0"/>
    <x v="0"/>
    <x v="0"/>
    <x v="40"/>
    <n v="0"/>
    <x v="14"/>
    <s v="9b5072c9c8a74de999ff58ac7a32f456"/>
    <s v="Deb√™ntures 12.431 - Central Hidrel√©trica Sucuri"/>
    <x v="2"/>
    <x v="9"/>
    <s v="Unspecified"/>
    <s v="CGH Sucuri"/>
    <s v="Brazil"/>
    <d v="2018-06-05T00:00:00"/>
    <d v="2018-07-05T00:00:00"/>
    <s v="BRL"/>
    <n v="14000000"/>
    <n v="14000000"/>
    <s v="BRL"/>
    <n v="14000000"/>
    <n v="3733333"/>
    <b v="0"/>
    <n v="0.7"/>
  </r>
  <r>
    <b v="1"/>
    <x v="0"/>
    <x v="0"/>
    <x v="0"/>
    <x v="0"/>
    <x v="0"/>
    <x v="40"/>
    <n v="0"/>
    <x v="14"/>
    <s v="9b5072c9c8a74de999ff58ac7a32f456"/>
    <s v="Deb√™ntures 12.431 - Central Hidrel√©trica Sucuri"/>
    <x v="3"/>
    <x v="9"/>
    <s v="Unspecified"/>
    <s v="CGH Sucuri"/>
    <s v="Brazil"/>
    <d v="2018-06-05T00:00:00"/>
    <d v="2018-07-05T00:00:00"/>
    <s v="BRL"/>
    <n v="14000000"/>
    <n v="14000000"/>
    <s v="BRL"/>
    <n v="14000000"/>
    <n v="3733333"/>
    <b v="0"/>
    <n v="0.7"/>
  </r>
  <r>
    <b v="1"/>
    <x v="0"/>
    <x v="0"/>
    <x v="1"/>
    <x v="0"/>
    <x v="1"/>
    <x v="38"/>
    <n v="0"/>
    <x v="0"/>
    <s v="5350c0b9a9a4490689021b2d8added30"/>
    <s v="Green CRI √ìrigo"/>
    <x v="0"/>
    <x v="0"/>
    <s v="Solar"/>
    <s v="Usina fotovoltaica Frutal"/>
    <s v="Brazil"/>
    <d v="2021-02-01T00:00:00"/>
    <d v="2021-02-01T00:00:00"/>
    <s v="BRL"/>
    <n v="14659000"/>
    <n v="14659000"/>
    <s v="BRL"/>
    <n v="14659000"/>
    <n v="2686767"/>
    <b v="0"/>
    <n v="0.9"/>
  </r>
  <r>
    <b v="1"/>
    <x v="0"/>
    <x v="0"/>
    <x v="1"/>
    <x v="0"/>
    <x v="1"/>
    <x v="38"/>
    <n v="0"/>
    <x v="0"/>
    <s v="5350c0b9a9a4490689021b2d8added30"/>
    <s v="Green CRI √ìrigo"/>
    <x v="1"/>
    <x v="1"/>
    <s v="Generation"/>
    <s v="Usina fotovoltaica Frutal"/>
    <s v="Brazil"/>
    <d v="2021-02-01T00:00:00"/>
    <d v="2021-02-01T00:00:00"/>
    <s v="BRL"/>
    <n v="14659000"/>
    <n v="14659000"/>
    <s v="BRL"/>
    <n v="14659000"/>
    <n v="2686767"/>
    <b v="0"/>
    <n v="0.9"/>
  </r>
  <r>
    <b v="1"/>
    <x v="0"/>
    <x v="0"/>
    <x v="1"/>
    <x v="0"/>
    <x v="1"/>
    <x v="38"/>
    <n v="0"/>
    <x v="0"/>
    <s v="5350c0b9a9a4490689021b2d8added30"/>
    <s v="Green CRI √ìrigo"/>
    <x v="0"/>
    <x v="0"/>
    <s v="Solar"/>
    <s v="Usina fotovoltaica Monte Carmelo I"/>
    <s v="Brazil"/>
    <d v="2021-02-01T00:00:00"/>
    <d v="2021-02-01T00:00:00"/>
    <s v="BRL"/>
    <n v="15132000"/>
    <n v="15132000"/>
    <s v="BRL"/>
    <n v="15132000"/>
    <n v="2775460"/>
    <b v="0"/>
    <n v="0.9"/>
  </r>
  <r>
    <b v="1"/>
    <x v="0"/>
    <x v="0"/>
    <x v="1"/>
    <x v="0"/>
    <x v="1"/>
    <x v="38"/>
    <n v="0"/>
    <x v="0"/>
    <s v="5350c0b9a9a4490689021b2d8added30"/>
    <s v="Green CRI √ìrigo"/>
    <x v="1"/>
    <x v="1"/>
    <s v="Generation"/>
    <s v="Usina fotovoltaica Monte Carmelo I"/>
    <s v="Brazil"/>
    <d v="2021-02-01T00:00:00"/>
    <d v="2021-02-01T00:00:00"/>
    <s v="BRL"/>
    <n v="15132000"/>
    <n v="15132000"/>
    <s v="BRL"/>
    <n v="15132000"/>
    <n v="2775460"/>
    <b v="0"/>
    <n v="0.9"/>
  </r>
  <r>
    <b v="1"/>
    <x v="0"/>
    <x v="0"/>
    <x v="1"/>
    <x v="0"/>
    <x v="1"/>
    <x v="38"/>
    <n v="0"/>
    <x v="0"/>
    <s v="5350c0b9a9a4490689021b2d8added30"/>
    <s v="Green CRI √ìrigo"/>
    <x v="0"/>
    <x v="0"/>
    <s v="Solar"/>
    <s v="Usina fotovoltaica Monte Carmelo II"/>
    <s v="Brazil"/>
    <d v="2021-02-01T00:00:00"/>
    <d v="2021-02-01T00:00:00"/>
    <s v="BRL"/>
    <n v="15187000"/>
    <n v="15187000"/>
    <s v="BRL"/>
    <n v="15187000"/>
    <n v="2783541"/>
    <b v="0"/>
    <n v="0.9"/>
  </r>
  <r>
    <b v="1"/>
    <x v="0"/>
    <x v="0"/>
    <x v="1"/>
    <x v="0"/>
    <x v="1"/>
    <x v="38"/>
    <n v="0"/>
    <x v="0"/>
    <s v="5350c0b9a9a4490689021b2d8added30"/>
    <s v="Green CRI √ìrigo"/>
    <x v="1"/>
    <x v="1"/>
    <s v="Generation"/>
    <s v="Usina fotovoltaica Monte Carmelo II"/>
    <s v="Brazil"/>
    <d v="2021-02-01T00:00:00"/>
    <d v="2021-02-01T00:00:00"/>
    <s v="BRL"/>
    <n v="15187000"/>
    <n v="15187000"/>
    <s v="BRL"/>
    <n v="15187000"/>
    <n v="2783541"/>
    <b v="0"/>
    <n v="0.9"/>
  </r>
  <r>
    <b v="1"/>
    <x v="0"/>
    <x v="0"/>
    <x v="2"/>
    <x v="0"/>
    <x v="1"/>
    <x v="14"/>
    <n v="0"/>
    <x v="15"/>
    <s v="f495dc7708c7482192c314338682e805"/>
    <s v="CRI Athon ESG I"/>
    <x v="0"/>
    <x v="0"/>
    <s v="Solar"/>
    <s v="Campos 100"/>
    <s v="Brazil"/>
    <d v="2021-08-04T00:00:00"/>
    <d v="2021-08-13T00:00:00"/>
    <s v="BRL"/>
    <n v="4910763"/>
    <n v="4587582"/>
    <s v="BRL"/>
    <n v="4587582"/>
    <n v="880787"/>
    <b v="0"/>
    <n v="0.06"/>
  </r>
  <r>
    <b v="1"/>
    <x v="0"/>
    <x v="0"/>
    <x v="2"/>
    <x v="0"/>
    <x v="1"/>
    <x v="14"/>
    <n v="0"/>
    <x v="15"/>
    <s v="f495dc7708c7482192c314338682e805"/>
    <s v="CRI Athon ESG I"/>
    <x v="1"/>
    <x v="1"/>
    <s v="Generation"/>
    <s v="Campos 100"/>
    <s v="Brazil"/>
    <d v="2021-08-04T00:00:00"/>
    <d v="2021-08-13T00:00:00"/>
    <s v="BRL"/>
    <n v="4910763"/>
    <n v="4587582"/>
    <s v="BRL"/>
    <n v="4587582"/>
    <n v="880787"/>
    <b v="0"/>
    <n v="0.06"/>
  </r>
  <r>
    <b v="1"/>
    <x v="0"/>
    <x v="0"/>
    <x v="2"/>
    <x v="0"/>
    <x v="1"/>
    <x v="14"/>
    <n v="0"/>
    <x v="15"/>
    <s v="f495dc7708c7482192c314338682e805"/>
    <s v="CRI Athon ESG I"/>
    <x v="0"/>
    <x v="0"/>
    <s v="Solar"/>
    <s v="Campos 200"/>
    <s v="Brazil"/>
    <d v="2021-08-04T00:00:00"/>
    <d v="2021-08-13T00:00:00"/>
    <s v="BRL"/>
    <n v="4910763"/>
    <n v="4587582"/>
    <s v="BRL"/>
    <n v="4587582"/>
    <n v="880787"/>
    <b v="0"/>
    <n v="0.06"/>
  </r>
  <r>
    <b v="1"/>
    <x v="0"/>
    <x v="0"/>
    <x v="2"/>
    <x v="0"/>
    <x v="1"/>
    <x v="14"/>
    <n v="0"/>
    <x v="15"/>
    <s v="f495dc7708c7482192c314338682e805"/>
    <s v="CRI Athon ESG I"/>
    <x v="1"/>
    <x v="1"/>
    <s v="Generation"/>
    <s v="Campos 200"/>
    <s v="Brazil"/>
    <d v="2021-08-04T00:00:00"/>
    <d v="2021-08-13T00:00:00"/>
    <s v="BRL"/>
    <n v="4910763"/>
    <n v="4587582"/>
    <s v="BRL"/>
    <n v="4587582"/>
    <n v="880787"/>
    <b v="0"/>
    <n v="0.06"/>
  </r>
  <r>
    <b v="1"/>
    <x v="0"/>
    <x v="0"/>
    <x v="2"/>
    <x v="0"/>
    <x v="1"/>
    <x v="14"/>
    <n v="0"/>
    <x v="15"/>
    <s v="f495dc7708c7482192c314338682e805"/>
    <s v="CRI Athon ESG I"/>
    <x v="0"/>
    <x v="0"/>
    <s v="Solar"/>
    <s v="Campos 300"/>
    <s v="Brazil"/>
    <d v="2021-08-04T00:00:00"/>
    <d v="2021-08-13T00:00:00"/>
    <s v="BRL"/>
    <n v="1528475"/>
    <n v="1427885"/>
    <s v="BRL"/>
    <n v="1427885"/>
    <n v="274145"/>
    <b v="0"/>
    <n v="0.02"/>
  </r>
  <r>
    <b v="1"/>
    <x v="0"/>
    <x v="0"/>
    <x v="2"/>
    <x v="0"/>
    <x v="1"/>
    <x v="14"/>
    <n v="0"/>
    <x v="15"/>
    <s v="f495dc7708c7482192c314338682e805"/>
    <s v="CRI Athon ESG I"/>
    <x v="1"/>
    <x v="1"/>
    <s v="Generation"/>
    <s v="Campos 300"/>
    <s v="Brazil"/>
    <d v="2021-08-04T00:00:00"/>
    <d v="2021-08-13T00:00:00"/>
    <s v="BRL"/>
    <n v="1528475"/>
    <n v="1427885"/>
    <s v="BRL"/>
    <n v="1427885"/>
    <n v="274145"/>
    <b v="0"/>
    <n v="0.02"/>
  </r>
  <r>
    <b v="1"/>
    <x v="0"/>
    <x v="0"/>
    <x v="2"/>
    <x v="0"/>
    <x v="1"/>
    <x v="14"/>
    <n v="0"/>
    <x v="15"/>
    <s v="f495dc7708c7482192c314338682e805"/>
    <s v="CRI Athon ESG I"/>
    <x v="0"/>
    <x v="0"/>
    <s v="Solar"/>
    <s v="Quissam√£ 100"/>
    <s v="Brazil"/>
    <d v="2021-08-04T00:00:00"/>
    <d v="2021-08-13T00:00:00"/>
    <s v="BRL"/>
    <n v="3833333"/>
    <n v="3666389"/>
    <s v="BRL"/>
    <n v="3666389"/>
    <n v="703924"/>
    <b v="0"/>
    <n v="0.05"/>
  </r>
  <r>
    <b v="1"/>
    <x v="0"/>
    <x v="0"/>
    <x v="2"/>
    <x v="0"/>
    <x v="1"/>
    <x v="14"/>
    <n v="0"/>
    <x v="15"/>
    <s v="f495dc7708c7482192c314338682e805"/>
    <s v="CRI Athon ESG I"/>
    <x v="1"/>
    <x v="1"/>
    <s v="Generation"/>
    <s v="Quissam√£ 100"/>
    <s v="Brazil"/>
    <d v="2021-08-04T00:00:00"/>
    <d v="2021-08-13T00:00:00"/>
    <s v="BRL"/>
    <n v="3833333"/>
    <n v="3666389"/>
    <s v="BRL"/>
    <n v="3666389"/>
    <n v="703924"/>
    <b v="0"/>
    <n v="0.05"/>
  </r>
  <r>
    <b v="1"/>
    <x v="0"/>
    <x v="0"/>
    <x v="2"/>
    <x v="0"/>
    <x v="1"/>
    <x v="14"/>
    <n v="0"/>
    <x v="15"/>
    <s v="f495dc7708c7482192c314338682e805"/>
    <s v="CRI Athon ESG I"/>
    <x v="0"/>
    <x v="0"/>
    <s v="Solar"/>
    <s v="Quissam√£ 200"/>
    <s v="Brazil"/>
    <d v="2021-08-04T00:00:00"/>
    <d v="2021-08-13T00:00:00"/>
    <s v="BRL"/>
    <n v="7666667"/>
    <n v="7332779"/>
    <s v="BRL"/>
    <n v="7332779"/>
    <n v="1407848"/>
    <b v="0"/>
    <n v="0.09"/>
  </r>
  <r>
    <b v="1"/>
    <x v="0"/>
    <x v="0"/>
    <x v="2"/>
    <x v="0"/>
    <x v="1"/>
    <x v="14"/>
    <n v="0"/>
    <x v="15"/>
    <s v="f495dc7708c7482192c314338682e805"/>
    <s v="CRI Athon ESG I"/>
    <x v="1"/>
    <x v="1"/>
    <s v="Generation"/>
    <s v="Quissam√£ 200"/>
    <s v="Brazil"/>
    <d v="2021-08-04T00:00:00"/>
    <d v="2021-08-13T00:00:00"/>
    <s v="BRL"/>
    <n v="7666667"/>
    <n v="7332779"/>
    <s v="BRL"/>
    <n v="7332779"/>
    <n v="1407848"/>
    <b v="0"/>
    <n v="0.09"/>
  </r>
  <r>
    <b v="1"/>
    <x v="0"/>
    <x v="0"/>
    <x v="2"/>
    <x v="0"/>
    <x v="1"/>
    <x v="14"/>
    <n v="0"/>
    <x v="15"/>
    <s v="f495dc7708c7482192c314338682e805"/>
    <s v="CRI Athon ESG I"/>
    <x v="0"/>
    <x v="0"/>
    <s v="Solar"/>
    <s v="Marab√° 200"/>
    <s v="Brazil"/>
    <d v="2021-08-04T00:00:00"/>
    <d v="2021-08-13T00:00:00"/>
    <s v="BRL"/>
    <n v="24500000"/>
    <n v="17294855"/>
    <s v="BRL"/>
    <n v="17294855"/>
    <n v="3320505"/>
    <b v="0"/>
    <n v="0.22"/>
  </r>
  <r>
    <b v="1"/>
    <x v="0"/>
    <x v="0"/>
    <x v="2"/>
    <x v="0"/>
    <x v="1"/>
    <x v="14"/>
    <n v="0"/>
    <x v="15"/>
    <s v="f495dc7708c7482192c314338682e805"/>
    <s v="CRI Athon ESG I"/>
    <x v="1"/>
    <x v="1"/>
    <s v="Generation"/>
    <s v="Marab√° 200"/>
    <s v="Brazil"/>
    <d v="2021-08-04T00:00:00"/>
    <d v="2021-08-13T00:00:00"/>
    <s v="BRL"/>
    <n v="24500000"/>
    <n v="17294855"/>
    <s v="BRL"/>
    <n v="17294855"/>
    <n v="3320505"/>
    <b v="0"/>
    <n v="0.22"/>
  </r>
  <r>
    <b v="1"/>
    <x v="0"/>
    <x v="0"/>
    <x v="2"/>
    <x v="0"/>
    <x v="1"/>
    <x v="14"/>
    <n v="0"/>
    <x v="15"/>
    <s v="f495dc7708c7482192c314338682e805"/>
    <s v="CRI Athon ESG I"/>
    <x v="0"/>
    <x v="0"/>
    <s v="Solar"/>
    <s v="M√£e do Rio 100"/>
    <s v="Brazil"/>
    <d v="2021-08-04T00:00:00"/>
    <d v="2021-08-13T00:00:00"/>
    <s v="BRL"/>
    <n v="17150000"/>
    <n v="16403107"/>
    <s v="BRL"/>
    <n v="16403107"/>
    <n v="3149295"/>
    <b v="0"/>
    <n v="0.21"/>
  </r>
  <r>
    <b v="1"/>
    <x v="0"/>
    <x v="0"/>
    <x v="2"/>
    <x v="0"/>
    <x v="1"/>
    <x v="14"/>
    <n v="0"/>
    <x v="15"/>
    <s v="f495dc7708c7482192c314338682e805"/>
    <s v="CRI Athon ESG I"/>
    <x v="1"/>
    <x v="1"/>
    <s v="Generation"/>
    <s v="M√£e do Rio 100"/>
    <s v="Brazil"/>
    <d v="2021-08-04T00:00:00"/>
    <d v="2021-08-13T00:00:00"/>
    <s v="BRL"/>
    <n v="17150000"/>
    <n v="16403107"/>
    <s v="BRL"/>
    <n v="16403107"/>
    <n v="3149295"/>
    <b v="0"/>
    <n v="0.21"/>
  </r>
  <r>
    <b v="1"/>
    <x v="0"/>
    <x v="0"/>
    <x v="2"/>
    <x v="0"/>
    <x v="1"/>
    <x v="14"/>
    <n v="0"/>
    <x v="15"/>
    <s v="f495dc7708c7482192c314338682e805"/>
    <s v="CRI Athon ESG I"/>
    <x v="0"/>
    <x v="0"/>
    <s v="Solar"/>
    <s v="Mat√µes 100"/>
    <s v="Brazil"/>
    <d v="2021-08-04T00:00:00"/>
    <d v="2021-08-13T00:00:00"/>
    <s v="BRL"/>
    <n v="18350000"/>
    <n v="23369608"/>
    <s v="BRL"/>
    <n v="23369608"/>
    <n v="4486821"/>
    <b v="0"/>
    <n v="0.28999999999999998"/>
  </r>
  <r>
    <b v="1"/>
    <x v="0"/>
    <x v="0"/>
    <x v="2"/>
    <x v="0"/>
    <x v="1"/>
    <x v="14"/>
    <n v="0"/>
    <x v="15"/>
    <s v="f495dc7708c7482192c314338682e805"/>
    <s v="CRI Athon ESG I"/>
    <x v="1"/>
    <x v="1"/>
    <s v="Generation"/>
    <s v="Mat√µes 100"/>
    <s v="Brazil"/>
    <d v="2021-08-04T00:00:00"/>
    <d v="2021-08-13T00:00:00"/>
    <s v="BRL"/>
    <n v="18350000"/>
    <n v="23369608"/>
    <s v="BRL"/>
    <n v="23369608"/>
    <n v="4486821"/>
    <b v="0"/>
    <n v="0.28999999999999998"/>
  </r>
  <r>
    <e v="#N/A"/>
    <x v="1"/>
    <x v="1"/>
    <x v="3"/>
    <x v="1"/>
    <x v="2"/>
    <x v="10"/>
    <e v="#N/A"/>
    <x v="2"/>
    <s v="ca95780fd934421fa99ce5cb0b1f71d2"/>
    <s v="ISA CTM"/>
    <x v="0"/>
    <x v="0"/>
    <s v="Transmission"/>
    <s v="Trujillo - Cliclayo Transmission Line"/>
    <s v="Peru"/>
    <d v="2019-04-16T00:00:00"/>
    <d v="2019-04-16T00:00:00"/>
    <s v="USD"/>
    <n v="85007236"/>
    <n v="85007236"/>
    <s v="USD"/>
    <n v="85007236"/>
    <n v="85007236"/>
    <b v="1"/>
    <n v="0.69"/>
  </r>
  <r>
    <e v="#N/A"/>
    <x v="1"/>
    <x v="1"/>
    <x v="3"/>
    <x v="1"/>
    <x v="2"/>
    <x v="10"/>
    <e v="#N/A"/>
    <x v="2"/>
    <s v="ca95780fd934421fa99ce5cb0b1f71d2"/>
    <s v="ISA CTM"/>
    <x v="1"/>
    <x v="1"/>
    <s v="Transmission"/>
    <s v="Trujillo - Cliclayo Transmission Line"/>
    <s v="Peru"/>
    <d v="2019-04-16T00:00:00"/>
    <d v="2019-04-16T00:00:00"/>
    <s v="USD"/>
    <n v="85007236"/>
    <n v="85007236"/>
    <s v="USD"/>
    <n v="85007236"/>
    <n v="85007236"/>
    <b v="1"/>
    <n v="0.69"/>
  </r>
  <r>
    <e v="#N/A"/>
    <x v="1"/>
    <x v="1"/>
    <x v="3"/>
    <x v="1"/>
    <x v="2"/>
    <x v="10"/>
    <e v="#N/A"/>
    <x v="2"/>
    <s v="ca95780fd934421fa99ce5cb0b1f71d2"/>
    <s v="ISA CTM"/>
    <x v="0"/>
    <x v="0"/>
    <s v="Transmission"/>
    <s v="Machupicchu-Abancay-Cotaruse Transmission Line"/>
    <s v="Peru"/>
    <d v="2019-04-16T00:00:00"/>
    <d v="2019-04-16T00:00:00"/>
    <s v="USD"/>
    <n v="37349243"/>
    <n v="37349243"/>
    <s v="USD"/>
    <n v="37349243"/>
    <n v="37349243"/>
    <b v="1"/>
    <n v="0.34"/>
  </r>
  <r>
    <e v="#N/A"/>
    <x v="1"/>
    <x v="1"/>
    <x v="3"/>
    <x v="1"/>
    <x v="2"/>
    <x v="10"/>
    <e v="#N/A"/>
    <x v="2"/>
    <s v="ca95780fd934421fa99ce5cb0b1f71d2"/>
    <s v="ISA CTM"/>
    <x v="1"/>
    <x v="1"/>
    <s v="Transmission"/>
    <s v="Machupicchu-Abancay-Cotaruse Transmission Line"/>
    <s v="Peru"/>
    <d v="2019-04-16T00:00:00"/>
    <d v="2019-04-16T00:00:00"/>
    <s v="USD"/>
    <n v="37349243"/>
    <n v="37349243"/>
    <s v="USD"/>
    <n v="37349243"/>
    <n v="37349243"/>
    <b v="1"/>
    <n v="0.34"/>
  </r>
  <r>
    <e v="#N/A"/>
    <x v="1"/>
    <x v="1"/>
    <x v="3"/>
    <x v="1"/>
    <x v="2"/>
    <x v="10"/>
    <e v="#N/A"/>
    <x v="2"/>
    <s v="ca95780fd934421fa99ce5cb0b1f71d2"/>
    <s v="ISA CTM"/>
    <x v="0"/>
    <x v="0"/>
    <s v="Transmission"/>
    <s v="Mantaro-Montalvo Transmission Line"/>
    <s v="Peru"/>
    <d v="2019-04-16T00:00:00"/>
    <d v="2019-04-16T00:00:00"/>
    <s v="USD"/>
    <n v="155991031"/>
    <n v="155991031"/>
    <s v="USD"/>
    <n v="155991031"/>
    <n v="155991031"/>
    <b v="1"/>
    <n v="0.32"/>
  </r>
  <r>
    <e v="#N/A"/>
    <x v="1"/>
    <x v="1"/>
    <x v="3"/>
    <x v="1"/>
    <x v="2"/>
    <x v="10"/>
    <e v="#N/A"/>
    <x v="2"/>
    <s v="ca95780fd934421fa99ce5cb0b1f71d2"/>
    <s v="ISA CTM"/>
    <x v="1"/>
    <x v="1"/>
    <s v="Transmission"/>
    <s v="Mantaro-Montalvo Transmission Line"/>
    <s v="Peru"/>
    <d v="2019-04-16T00:00:00"/>
    <d v="2019-04-16T00:00:00"/>
    <s v="USD"/>
    <n v="155991031"/>
    <n v="155991031"/>
    <s v="USD"/>
    <n v="155991031"/>
    <n v="155991031"/>
    <b v="1"/>
    <n v="0.32"/>
  </r>
  <r>
    <e v="#N/A"/>
    <x v="1"/>
    <x v="1"/>
    <x v="3"/>
    <x v="1"/>
    <x v="2"/>
    <x v="10"/>
    <e v="#N/A"/>
    <x v="2"/>
    <s v="ca95780fd934421fa99ce5cb0b1f71d2"/>
    <s v="ISA CTM"/>
    <x v="0"/>
    <x v="0"/>
    <s v="Transmission"/>
    <s v="Friaspata-Mollepata Transmission Line"/>
    <s v="Peru"/>
    <d v="2019-04-16T00:00:00"/>
    <d v="2019-04-16T00:00:00"/>
    <s v="USD"/>
    <n v="13177725"/>
    <n v="13177725"/>
    <s v="USD"/>
    <n v="13177725"/>
    <n v="13177725"/>
    <b v="1"/>
    <n v="0.36"/>
  </r>
  <r>
    <e v="#N/A"/>
    <x v="1"/>
    <x v="1"/>
    <x v="3"/>
    <x v="1"/>
    <x v="2"/>
    <x v="10"/>
    <e v="#N/A"/>
    <x v="2"/>
    <s v="ca95780fd934421fa99ce5cb0b1f71d2"/>
    <s v="ISA CTM"/>
    <x v="1"/>
    <x v="1"/>
    <s v="Transmission"/>
    <s v="Friaspata-Mollepata Transmission Line"/>
    <s v="Peru"/>
    <d v="2019-04-16T00:00:00"/>
    <d v="2019-04-16T00:00:00"/>
    <s v="USD"/>
    <n v="13177725"/>
    <n v="13177725"/>
    <s v="USD"/>
    <n v="13177725"/>
    <n v="13177725"/>
    <b v="1"/>
    <n v="0.36"/>
  </r>
  <r>
    <e v="#N/A"/>
    <x v="1"/>
    <x v="1"/>
    <x v="3"/>
    <x v="1"/>
    <x v="2"/>
    <x v="10"/>
    <e v="#N/A"/>
    <x v="2"/>
    <s v="ca95780fd934421fa99ce5cb0b1f71d2"/>
    <s v="ISA CTM"/>
    <x v="0"/>
    <x v="0"/>
    <s v="Transmission"/>
    <s v="Nueva Yanango-Nueva Hu√°nuco Interconnection"/>
    <s v="Peru"/>
    <d v="2021-06-02T00:00:00"/>
    <d v="2021-06-02T00:00:00"/>
    <s v="USD"/>
    <n v="116820000"/>
    <n v="116820000"/>
    <s v="USD"/>
    <n v="116820000"/>
    <n v="116820000"/>
    <b v="0"/>
    <n v="0.69"/>
  </r>
  <r>
    <e v="#N/A"/>
    <x v="1"/>
    <x v="1"/>
    <x v="3"/>
    <x v="1"/>
    <x v="2"/>
    <x v="10"/>
    <e v="#N/A"/>
    <x v="2"/>
    <s v="ca95780fd934421fa99ce5cb0b1f71d2"/>
    <s v="ISA CTM"/>
    <x v="0"/>
    <x v="0"/>
    <s v="Transmission"/>
    <s v="Nueva Yanango-Nueva Hu√°nuco Interconnection"/>
    <s v="Peru"/>
    <d v="2020-03-10T00:00:00"/>
    <d v="2020-03-10T00:00:00"/>
    <s v="USD"/>
    <n v="58734285"/>
    <n v="58734285"/>
    <s v="USD"/>
    <n v="58734285"/>
    <n v="58734285"/>
    <b v="0"/>
    <n v="0.69"/>
  </r>
  <r>
    <e v="#N/A"/>
    <x v="1"/>
    <x v="1"/>
    <x v="3"/>
    <x v="1"/>
    <x v="2"/>
    <x v="10"/>
    <e v="#N/A"/>
    <x v="2"/>
    <s v="ca95780fd934421fa99ce5cb0b1f71d2"/>
    <s v="ISA CTM"/>
    <x v="1"/>
    <x v="1"/>
    <s v="Transmission"/>
    <s v="Nueva Yanango-Nueva Hu√°nuco Interconnection"/>
    <s v="Peru"/>
    <d v="2021-06-02T00:00:00"/>
    <d v="2021-06-02T00:00:00"/>
    <s v="USD"/>
    <n v="116820000"/>
    <n v="116820000"/>
    <s v="USD"/>
    <n v="116820000"/>
    <n v="116820000"/>
    <b v="0"/>
    <n v="0.69"/>
  </r>
  <r>
    <e v="#N/A"/>
    <x v="1"/>
    <x v="1"/>
    <x v="3"/>
    <x v="1"/>
    <x v="2"/>
    <x v="10"/>
    <e v="#N/A"/>
    <x v="2"/>
    <s v="ca95780fd934421fa99ce5cb0b1f71d2"/>
    <s v="ISA CTM"/>
    <x v="1"/>
    <x v="1"/>
    <s v="Transmission"/>
    <s v="Nueva Yanango-Nueva Hu√°nuco Interconnection"/>
    <s v="Peru"/>
    <d v="2020-03-10T00:00:00"/>
    <d v="2020-03-10T00:00:00"/>
    <s v="USD"/>
    <n v="58734285"/>
    <n v="58734285"/>
    <s v="USD"/>
    <n v="58734285"/>
    <n v="58734285"/>
    <b v="0"/>
    <n v="0.69"/>
  </r>
  <r>
    <e v="#N/A"/>
    <x v="1"/>
    <x v="1"/>
    <x v="3"/>
    <x v="1"/>
    <x v="2"/>
    <x v="10"/>
    <e v="#N/A"/>
    <x v="2"/>
    <s v="ca95780fd934421fa99ce5cb0b1f71d2"/>
    <s v="ISA CTM"/>
    <x v="0"/>
    <x v="0"/>
    <s v="Transmission"/>
    <s v="Mantaro-Nueva Yanango-Carapongo Interconnection"/>
    <s v="Peru"/>
    <d v="2021-06-02T00:00:00"/>
    <d v="2021-06-02T00:00:00"/>
    <s v="USD"/>
    <n v="116820000"/>
    <n v="116820000"/>
    <s v="USD"/>
    <n v="116820000"/>
    <n v="116820000"/>
    <b v="0"/>
    <n v="0.57999999999999996"/>
  </r>
  <r>
    <e v="#N/A"/>
    <x v="1"/>
    <x v="1"/>
    <x v="3"/>
    <x v="1"/>
    <x v="2"/>
    <x v="10"/>
    <e v="#N/A"/>
    <x v="2"/>
    <s v="ca95780fd934421fa99ce5cb0b1f71d2"/>
    <s v="ISA CTM"/>
    <x v="0"/>
    <x v="0"/>
    <s v="Transmission"/>
    <s v="Mantaro-Nueva Yanango-Carapongo Interconnection"/>
    <s v="Peru"/>
    <d v="2020-03-10T00:00:00"/>
    <d v="2020-03-10T00:00:00"/>
    <s v="USD"/>
    <n v="47538772"/>
    <n v="47538772"/>
    <s v="USD"/>
    <n v="47538772"/>
    <n v="47538772"/>
    <b v="0"/>
    <n v="0.57999999999999996"/>
  </r>
  <r>
    <e v="#N/A"/>
    <x v="1"/>
    <x v="1"/>
    <x v="3"/>
    <x v="1"/>
    <x v="2"/>
    <x v="10"/>
    <e v="#N/A"/>
    <x v="2"/>
    <s v="ca95780fd934421fa99ce5cb0b1f71d2"/>
    <s v="ISA CTM"/>
    <x v="1"/>
    <x v="1"/>
    <s v="Transmission"/>
    <s v="Mantaro-Nueva Yanango-Carapongo Interconnection"/>
    <s v="Peru"/>
    <d v="2021-06-02T00:00:00"/>
    <d v="2021-06-02T00:00:00"/>
    <s v="USD"/>
    <n v="116820000"/>
    <n v="116820000"/>
    <s v="USD"/>
    <n v="116820000"/>
    <n v="116820000"/>
    <b v="0"/>
    <n v="0.57999999999999996"/>
  </r>
  <r>
    <e v="#N/A"/>
    <x v="1"/>
    <x v="1"/>
    <x v="3"/>
    <x v="1"/>
    <x v="2"/>
    <x v="10"/>
    <e v="#N/A"/>
    <x v="2"/>
    <s v="ca95780fd934421fa99ce5cb0b1f71d2"/>
    <s v="ISA CTM"/>
    <x v="1"/>
    <x v="1"/>
    <s v="Transmission"/>
    <s v="Mantaro-Nueva Yanango-Carapongo Interconnection"/>
    <s v="Peru"/>
    <d v="2020-03-10T00:00:00"/>
    <d v="2020-03-10T00:00:00"/>
    <s v="USD"/>
    <n v="47538772"/>
    <n v="47538772"/>
    <s v="USD"/>
    <n v="47538772"/>
    <n v="47538772"/>
    <b v="0"/>
    <n v="0.57999999999999996"/>
  </r>
  <r>
    <b v="1"/>
    <x v="0"/>
    <x v="0"/>
    <x v="2"/>
    <x v="0"/>
    <x v="1"/>
    <x v="14"/>
    <s v="BBG000GZL6P0"/>
    <x v="16"/>
    <s v="5606e307519f4f58abc9d45cb7e36d03"/>
    <s v="Banco Pichincha Green Bond -Issue 1"/>
    <x v="0"/>
    <x v="7"/>
    <s v="Residential"/>
    <s v="Construcci√≥n Sostenible"/>
    <s v="Ecuador"/>
    <d v="2018-12-21T00:00:00"/>
    <d v="2018-12-21T00:00:00"/>
    <s v="USD"/>
    <n v="96325288"/>
    <n v="96325288"/>
    <s v="USD"/>
    <n v="96325288"/>
    <n v="96325288"/>
    <b v="1"/>
    <m/>
  </r>
  <r>
    <b v="1"/>
    <x v="0"/>
    <x v="0"/>
    <x v="2"/>
    <x v="0"/>
    <x v="1"/>
    <x v="14"/>
    <s v="BBG000GZL6P0"/>
    <x v="16"/>
    <s v="5606e307519f4f58abc9d45cb7e36d03"/>
    <s v="Banco Pichincha Green Bond -Issue 1"/>
    <x v="1"/>
    <x v="8"/>
    <s v="Residential"/>
    <s v="Construcci√≥n Sostenible"/>
    <s v="Ecuador"/>
    <d v="2018-12-21T00:00:00"/>
    <d v="2018-12-21T00:00:00"/>
    <s v="USD"/>
    <n v="96325288"/>
    <n v="96325288"/>
    <s v="USD"/>
    <n v="96325288"/>
    <n v="96325288"/>
    <b v="1"/>
    <m/>
  </r>
  <r>
    <b v="1"/>
    <x v="0"/>
    <x v="0"/>
    <x v="2"/>
    <x v="0"/>
    <x v="1"/>
    <x v="14"/>
    <s v="BBG000GZL6P0"/>
    <x v="16"/>
    <s v="5606e307519f4f58abc9d45cb7e36d03"/>
    <s v="Banco Pichincha Green Bond -Issue 1"/>
    <x v="0"/>
    <x v="9"/>
    <s v="Unspecified"/>
    <s v="Eficiencia energ√©tica"/>
    <s v="Ecuador"/>
    <d v="2018-12-20T00:00:00"/>
    <d v="2018-12-20T00:00:00"/>
    <s v="USD"/>
    <n v="48469368"/>
    <n v="48469368"/>
    <s v="USD"/>
    <n v="48469368"/>
    <n v="48469368"/>
    <b v="1"/>
    <m/>
  </r>
  <r>
    <b v="1"/>
    <x v="0"/>
    <x v="0"/>
    <x v="2"/>
    <x v="0"/>
    <x v="1"/>
    <x v="14"/>
    <s v="BBG000GZL6P0"/>
    <x v="16"/>
    <s v="5606e307519f4f58abc9d45cb7e36d03"/>
    <s v="Banco Pichincha Green Bond -Issue 1"/>
    <x v="1"/>
    <x v="4"/>
    <s v="Appliances"/>
    <s v="Eficiencia energ√©tica"/>
    <s v="Ecuador"/>
    <d v="2018-12-20T00:00:00"/>
    <d v="2018-12-20T00:00:00"/>
    <s v="USD"/>
    <n v="48469368"/>
    <n v="48469368"/>
    <s v="USD"/>
    <n v="48469368"/>
    <n v="48469368"/>
    <b v="1"/>
    <m/>
  </r>
  <r>
    <b v="1"/>
    <x v="0"/>
    <x v="0"/>
    <x v="2"/>
    <x v="0"/>
    <x v="1"/>
    <x v="14"/>
    <s v="BBG000GZL6P0"/>
    <x v="16"/>
    <s v="5606e307519f4f58abc9d45cb7e36d03"/>
    <s v="Banco Pichincha Green Bond -Issue 1"/>
    <x v="0"/>
    <x v="10"/>
    <s v="Agriculture"/>
    <s v="Agricultura Sostenible"/>
    <s v="Ecuador"/>
    <d v="2019-01-29T00:00:00"/>
    <d v="2019-01-29T00:00:00"/>
    <s v="USD"/>
    <n v="6323211"/>
    <n v="6323211"/>
    <s v="USD"/>
    <n v="6323211"/>
    <n v="6323211"/>
    <b v="1"/>
    <m/>
  </r>
  <r>
    <b v="1"/>
    <x v="0"/>
    <x v="0"/>
    <x v="2"/>
    <x v="0"/>
    <x v="1"/>
    <x v="14"/>
    <s v="BBG000GZL6P0"/>
    <x v="16"/>
    <s v="5606e307519f4f58abc9d45cb7e36d03"/>
    <s v="Banco Pichincha Green Bond -Issue 1"/>
    <x v="1"/>
    <x v="11"/>
    <s v="Agriculture"/>
    <s v="Agricultura Sostenible"/>
    <s v="Ecuador"/>
    <d v="2019-01-29T00:00:00"/>
    <d v="2019-01-29T00:00:00"/>
    <s v="USD"/>
    <n v="6323211"/>
    <n v="6323211"/>
    <s v="USD"/>
    <n v="6323211"/>
    <n v="6323211"/>
    <b v="1"/>
    <m/>
  </r>
  <r>
    <b v="1"/>
    <x v="0"/>
    <x v="0"/>
    <x v="2"/>
    <x v="0"/>
    <x v="1"/>
    <x v="14"/>
    <s v="BBG000GZL6P0"/>
    <x v="16"/>
    <s v="5606e307519f4f58abc9d45cb7e36d03"/>
    <s v="Banco Pichincha Green Bond -Issue 1"/>
    <x v="0"/>
    <x v="9"/>
    <s v="Unspecified"/>
    <s v="Transporte Sostenible"/>
    <s v="Ecuador"/>
    <d v="2019-01-23T00:00:00"/>
    <d v="2019-01-23T00:00:00"/>
    <s v="USD"/>
    <n v="1989344"/>
    <n v="1989344"/>
    <s v="USD"/>
    <n v="1989344"/>
    <n v="1989344"/>
    <b v="1"/>
    <m/>
  </r>
  <r>
    <b v="1"/>
    <x v="0"/>
    <x v="0"/>
    <x v="2"/>
    <x v="0"/>
    <x v="1"/>
    <x v="14"/>
    <s v="BBG000GZL6P0"/>
    <x v="16"/>
    <s v="5606e307519f4f58abc9d45cb7e36d03"/>
    <s v="Banco Pichincha Green Bond -Issue 1"/>
    <x v="1"/>
    <x v="6"/>
    <s v="Hybrid"/>
    <s v="Transporte Sostenible"/>
    <s v="Ecuador"/>
    <d v="2019-01-23T00:00:00"/>
    <d v="2019-01-23T00:00:00"/>
    <s v="USD"/>
    <n v="1989344"/>
    <n v="1989344"/>
    <s v="USD"/>
    <n v="1989344"/>
    <n v="1989344"/>
    <b v="1"/>
    <m/>
  </r>
  <r>
    <b v="1"/>
    <x v="0"/>
    <x v="0"/>
    <x v="2"/>
    <x v="0"/>
    <x v="1"/>
    <x v="14"/>
    <s v="BBG000GZL6P0"/>
    <x v="16"/>
    <s v="5606e307519f4f58abc9d45cb7e36d03"/>
    <s v="Banco Pichincha Green Bond -Issue 1"/>
    <x v="0"/>
    <x v="15"/>
    <s v="Recycling"/>
    <s v="Gesti√≥n de residuos"/>
    <s v="Ecuador"/>
    <d v="2020-02-17T00:00:00"/>
    <d v="2020-02-17T00:00:00"/>
    <s v="USD"/>
    <n v="100000"/>
    <n v="100000"/>
    <s v="USD"/>
    <n v="100000"/>
    <n v="100000"/>
    <b v="1"/>
    <m/>
  </r>
  <r>
    <b v="1"/>
    <x v="0"/>
    <x v="0"/>
    <x v="2"/>
    <x v="0"/>
    <x v="1"/>
    <x v="14"/>
    <s v="BBG000GZL6P0"/>
    <x v="16"/>
    <s v="5606e307519f4f58abc9d45cb7e36d03"/>
    <s v="Banco Pichincha Green Bond -Issue 1"/>
    <x v="1"/>
    <x v="12"/>
    <s v="Waste reduction"/>
    <s v="Gesti√≥n de residuos"/>
    <s v="Ecuador"/>
    <d v="2020-02-17T00:00:00"/>
    <d v="2020-02-17T00:00:00"/>
    <s v="USD"/>
    <n v="100000"/>
    <n v="100000"/>
    <s v="USD"/>
    <n v="100000"/>
    <n v="100000"/>
    <b v="1"/>
    <m/>
  </r>
  <r>
    <b v="1"/>
    <x v="2"/>
    <x v="0"/>
    <x v="0"/>
    <x v="0"/>
    <x v="1"/>
    <x v="14"/>
    <n v="0"/>
    <x v="17"/>
    <s v="22fbd3d08bab4319a6ba0483c84d2380"/>
    <s v="Athon Gera√ß√£o Distribu√≠da Green Bond"/>
    <x v="0"/>
    <x v="0"/>
    <s v="Solar"/>
    <s v="Marab√° 100"/>
    <s v="Brazil"/>
    <d v="2019-07-19T00:00:00"/>
    <d v="2019-07-19T00:00:00"/>
    <s v="BRL"/>
    <n v="11650000"/>
    <n v="11650000"/>
    <s v="BRL"/>
    <n v="11650000"/>
    <n v="2185741"/>
    <b v="0"/>
    <n v="0.28999999999999998"/>
  </r>
  <r>
    <b v="1"/>
    <x v="2"/>
    <x v="0"/>
    <x v="0"/>
    <x v="0"/>
    <x v="1"/>
    <x v="14"/>
    <n v="0"/>
    <x v="17"/>
    <s v="22fbd3d08bab4319a6ba0483c84d2380"/>
    <s v="Athon Gera√ß√£o Distribu√≠da Green Bond"/>
    <x v="1"/>
    <x v="1"/>
    <s v="Generation"/>
    <s v="Marab√° 100"/>
    <s v="Brazil"/>
    <d v="2019-07-19T00:00:00"/>
    <d v="2019-07-19T00:00:00"/>
    <s v="BRL"/>
    <n v="11650000"/>
    <n v="11650000"/>
    <s v="BRL"/>
    <n v="11650000"/>
    <n v="2185741"/>
    <b v="0"/>
    <n v="0.28999999999999998"/>
  </r>
  <r>
    <b v="1"/>
    <x v="2"/>
    <x v="0"/>
    <x v="0"/>
    <x v="0"/>
    <x v="1"/>
    <x v="14"/>
    <n v="0"/>
    <x v="17"/>
    <s v="22fbd3d08bab4319a6ba0483c84d2380"/>
    <s v="Athon Gera√ß√£o Distribu√≠da Green Bond"/>
    <x v="0"/>
    <x v="0"/>
    <s v="Solar"/>
    <s v="Timon 100"/>
    <s v="Brazil"/>
    <d v="2019-07-19T00:00:00"/>
    <d v="2019-07-19T00:00:00"/>
    <s v="BRL"/>
    <n v="6390000"/>
    <n v="6390000"/>
    <s v="BRL"/>
    <n v="6390000"/>
    <n v="1198874"/>
    <b v="0"/>
    <n v="0.16"/>
  </r>
  <r>
    <b v="1"/>
    <x v="2"/>
    <x v="0"/>
    <x v="0"/>
    <x v="0"/>
    <x v="1"/>
    <x v="14"/>
    <n v="0"/>
    <x v="17"/>
    <s v="22fbd3d08bab4319a6ba0483c84d2380"/>
    <s v="Athon Gera√ß√£o Distribu√≠da Green Bond"/>
    <x v="1"/>
    <x v="1"/>
    <s v="Generation"/>
    <s v="Timon 100"/>
    <s v="Brazil"/>
    <d v="2019-07-19T00:00:00"/>
    <d v="2019-07-19T00:00:00"/>
    <s v="BRL"/>
    <n v="6390000"/>
    <n v="6390000"/>
    <s v="BRL"/>
    <n v="6390000"/>
    <n v="1198874"/>
    <b v="0"/>
    <n v="0.16"/>
  </r>
  <r>
    <b v="1"/>
    <x v="2"/>
    <x v="0"/>
    <x v="0"/>
    <x v="0"/>
    <x v="1"/>
    <x v="14"/>
    <n v="0"/>
    <x v="17"/>
    <s v="22fbd3d08bab4319a6ba0483c84d2380"/>
    <s v="Athon Gera√ß√£o Distribu√≠da Green Bond"/>
    <x v="0"/>
    <x v="0"/>
    <s v="Solar"/>
    <s v="Tr√™s Lagoas 100"/>
    <s v="Brazil"/>
    <d v="2019-07-19T00:00:00"/>
    <d v="2019-07-19T00:00:00"/>
    <s v="BRL"/>
    <n v="4270000"/>
    <n v="4270000"/>
    <s v="BRL"/>
    <n v="4270000"/>
    <n v="801125"/>
    <b v="0"/>
    <n v="0.11"/>
  </r>
  <r>
    <b v="1"/>
    <x v="2"/>
    <x v="0"/>
    <x v="0"/>
    <x v="0"/>
    <x v="1"/>
    <x v="14"/>
    <n v="0"/>
    <x v="17"/>
    <s v="22fbd3d08bab4319a6ba0483c84d2380"/>
    <s v="Athon Gera√ß√£o Distribu√≠da Green Bond"/>
    <x v="1"/>
    <x v="1"/>
    <s v="Generation"/>
    <s v="Tr√™s Lagoas 100"/>
    <s v="Brazil"/>
    <d v="2019-07-19T00:00:00"/>
    <d v="2019-07-19T00:00:00"/>
    <s v="BRL"/>
    <n v="4270000"/>
    <n v="4270000"/>
    <s v="BRL"/>
    <n v="4270000"/>
    <n v="801125"/>
    <b v="0"/>
    <n v="0.11"/>
  </r>
  <r>
    <b v="1"/>
    <x v="2"/>
    <x v="0"/>
    <x v="0"/>
    <x v="0"/>
    <x v="1"/>
    <x v="14"/>
    <n v="0"/>
    <x v="17"/>
    <s v="22fbd3d08bab4319a6ba0483c84d2380"/>
    <s v="Athon Gera√ß√£o Distribu√≠da Green Bond"/>
    <x v="0"/>
    <x v="0"/>
    <s v="Solar"/>
    <s v="Pirapora 100"/>
    <s v="Brazil"/>
    <d v="2019-07-19T00:00:00"/>
    <d v="2019-07-19T00:00:00"/>
    <s v="BRL"/>
    <n v="600000"/>
    <n v="600000"/>
    <s v="BRL"/>
    <n v="600000"/>
    <n v="112570"/>
    <b v="0"/>
    <n v="0.01"/>
  </r>
  <r>
    <b v="1"/>
    <x v="2"/>
    <x v="0"/>
    <x v="0"/>
    <x v="0"/>
    <x v="1"/>
    <x v="14"/>
    <n v="0"/>
    <x v="17"/>
    <s v="22fbd3d08bab4319a6ba0483c84d2380"/>
    <s v="Athon Gera√ß√£o Distribu√≠da Green Bond"/>
    <x v="1"/>
    <x v="1"/>
    <s v="Generation"/>
    <s v="Pirapora 100"/>
    <s v="Brazil"/>
    <d v="2019-07-19T00:00:00"/>
    <d v="2019-07-19T00:00:00"/>
    <s v="BRL"/>
    <n v="600000"/>
    <n v="600000"/>
    <s v="BRL"/>
    <n v="600000"/>
    <n v="112570"/>
    <b v="0"/>
    <n v="0.01"/>
  </r>
  <r>
    <b v="1"/>
    <x v="2"/>
    <x v="0"/>
    <x v="0"/>
    <x v="0"/>
    <x v="1"/>
    <x v="14"/>
    <n v="0"/>
    <x v="17"/>
    <s v="22fbd3d08bab4319a6ba0483c84d2380"/>
    <s v="Athon Gera√ß√£o Distribu√≠da Green Bond"/>
    <x v="0"/>
    <x v="0"/>
    <s v="Solar"/>
    <s v="Bela Vista 100"/>
    <s v="Brazil"/>
    <d v="2019-07-19T00:00:00"/>
    <d v="2019-07-19T00:00:00"/>
    <s v="BRL"/>
    <n v="13070000"/>
    <n v="13070000"/>
    <s v="BRL"/>
    <n v="13070000"/>
    <n v="2452157"/>
    <b v="0"/>
    <n v="0.33"/>
  </r>
  <r>
    <b v="1"/>
    <x v="2"/>
    <x v="0"/>
    <x v="0"/>
    <x v="0"/>
    <x v="1"/>
    <x v="14"/>
    <n v="0"/>
    <x v="17"/>
    <s v="22fbd3d08bab4319a6ba0483c84d2380"/>
    <s v="Athon Gera√ß√£o Distribu√≠da Green Bond"/>
    <x v="1"/>
    <x v="1"/>
    <s v="Generation"/>
    <s v="Bela Vista 100"/>
    <s v="Brazil"/>
    <d v="2019-07-19T00:00:00"/>
    <d v="2019-07-19T00:00:00"/>
    <s v="BRL"/>
    <n v="13070000"/>
    <n v="13070000"/>
    <s v="BRL"/>
    <n v="13070000"/>
    <n v="2452157"/>
    <b v="0"/>
    <n v="0.33"/>
  </r>
  <r>
    <b v="1"/>
    <x v="2"/>
    <x v="0"/>
    <x v="0"/>
    <x v="0"/>
    <x v="1"/>
    <x v="14"/>
    <n v="0"/>
    <x v="17"/>
    <s v="22fbd3d08bab4319a6ba0483c84d2380"/>
    <s v="Athon Gera√ß√£o Distribu√≠da Green Bond"/>
    <x v="0"/>
    <x v="0"/>
    <s v="Solar"/>
    <s v="Buritizeiro 100"/>
    <s v="Brazil"/>
    <d v="2019-07-19T00:00:00"/>
    <d v="2019-07-19T00:00:00"/>
    <s v="BRL"/>
    <n v="4170000"/>
    <n v="4170000"/>
    <s v="BRL"/>
    <n v="4170000"/>
    <n v="782363"/>
    <b v="0"/>
    <n v="0.1"/>
  </r>
  <r>
    <b v="1"/>
    <x v="2"/>
    <x v="0"/>
    <x v="0"/>
    <x v="0"/>
    <x v="1"/>
    <x v="14"/>
    <n v="0"/>
    <x v="17"/>
    <s v="22fbd3d08bab4319a6ba0483c84d2380"/>
    <s v="Athon Gera√ß√£o Distribu√≠da Green Bond"/>
    <x v="1"/>
    <x v="1"/>
    <s v="Generation"/>
    <s v="Buritizeiro 100"/>
    <s v="Brazil"/>
    <d v="2019-07-19T00:00:00"/>
    <d v="2019-07-19T00:00:00"/>
    <s v="BRL"/>
    <n v="4170000"/>
    <n v="4170000"/>
    <s v="BRL"/>
    <n v="4170000"/>
    <n v="782363"/>
    <b v="0"/>
    <n v="0.1"/>
  </r>
  <r>
    <b v="1"/>
    <x v="0"/>
    <x v="0"/>
    <x v="1"/>
    <x v="0"/>
    <x v="1"/>
    <x v="41"/>
    <n v="0"/>
    <x v="0"/>
    <s v="9bd98e9cc0fd42a69775ddbd0c63147a"/>
    <s v="Terceira Emiss√£o De Deb√™ntures Simples Da Eren Dracena Participa√ß√µes S.A."/>
    <x v="0"/>
    <x v="0"/>
    <s v="Solar"/>
    <s v="Usina Solar Fotovoltaica Dracena"/>
    <s v="Brazil"/>
    <d v="2020-02-15T00:00:00"/>
    <d v="2020-02-15T00:00:00"/>
    <s v="BRL"/>
    <n v="215000000"/>
    <n v="215000000"/>
    <s v="BRL"/>
    <n v="215000000"/>
    <n v="50027922"/>
    <b v="0"/>
    <m/>
  </r>
  <r>
    <b v="1"/>
    <x v="0"/>
    <x v="0"/>
    <x v="1"/>
    <x v="0"/>
    <x v="1"/>
    <x v="41"/>
    <n v="0"/>
    <x v="0"/>
    <s v="9bd98e9cc0fd42a69775ddbd0c63147a"/>
    <s v="Terceira Emiss√£o De Deb√™ntures Simples Da Eren Dracena Participa√ß√µes S.A."/>
    <x v="0"/>
    <x v="0"/>
    <s v="Solar"/>
    <s v="Usina Solar Fotovoltaica Dracena"/>
    <s v="Brazil"/>
    <d v="2020-02-15T00:00:00"/>
    <d v="2020-02-15T00:00:00"/>
    <s v="BRL"/>
    <n v="65000000"/>
    <n v="65000000"/>
    <s v="BRL"/>
    <n v="65000000"/>
    <n v="15124720"/>
    <b v="0"/>
    <m/>
  </r>
  <r>
    <b v="1"/>
    <x v="0"/>
    <x v="0"/>
    <x v="1"/>
    <x v="0"/>
    <x v="1"/>
    <x v="41"/>
    <n v="0"/>
    <x v="0"/>
    <s v="9bd98e9cc0fd42a69775ddbd0c63147a"/>
    <s v="Terceira Emiss√£o De Deb√™ntures Simples Da Eren Dracena Participa√ß√µes S.A."/>
    <x v="1"/>
    <x v="1"/>
    <s v="Generation"/>
    <s v="Usina Solar Fotovoltaica Dracena"/>
    <s v="Brazil"/>
    <d v="2020-02-15T00:00:00"/>
    <d v="2020-02-15T00:00:00"/>
    <s v="BRL"/>
    <n v="215000000"/>
    <n v="215000000"/>
    <s v="BRL"/>
    <n v="215000000"/>
    <n v="50027922"/>
    <b v="0"/>
    <m/>
  </r>
  <r>
    <b v="1"/>
    <x v="0"/>
    <x v="0"/>
    <x v="1"/>
    <x v="0"/>
    <x v="1"/>
    <x v="41"/>
    <n v="0"/>
    <x v="0"/>
    <s v="9bd98e9cc0fd42a69775ddbd0c63147a"/>
    <s v="Terceira Emiss√£o De Deb√™ntures Simples Da Eren Dracena Participa√ß√µes S.A."/>
    <x v="1"/>
    <x v="1"/>
    <s v="Generation"/>
    <s v="Usina Solar Fotovoltaica Dracena"/>
    <s v="Brazil"/>
    <d v="2020-02-15T00:00:00"/>
    <d v="2020-02-15T00:00:00"/>
    <s v="BRL"/>
    <n v="65000000"/>
    <n v="65000000"/>
    <s v="BRL"/>
    <n v="65000000"/>
    <n v="15124720"/>
    <b v="0"/>
    <m/>
  </r>
  <r>
    <b v="1"/>
    <x v="0"/>
    <x v="0"/>
    <x v="1"/>
    <x v="0"/>
    <x v="1"/>
    <x v="41"/>
    <n v="0"/>
    <x v="0"/>
    <s v="9bd98e9cc0fd42a69775ddbd0c63147a"/>
    <s v="Terceira Emiss√£o De Deb√™ntures Simples Da Eren Dracena Participa√ß√µes S.A."/>
    <x v="2"/>
    <x v="9"/>
    <s v="Unspecified"/>
    <s v="Usina Solar Fotovoltaica Dracena"/>
    <s v="Brazil"/>
    <d v="2020-02-15T00:00:00"/>
    <d v="2020-02-15T00:00:00"/>
    <s v="BRL"/>
    <n v="215000000"/>
    <n v="215000000"/>
    <s v="BRL"/>
    <n v="215000000"/>
    <n v="50027922"/>
    <b v="0"/>
    <m/>
  </r>
  <r>
    <b v="1"/>
    <x v="0"/>
    <x v="0"/>
    <x v="1"/>
    <x v="0"/>
    <x v="1"/>
    <x v="41"/>
    <n v="0"/>
    <x v="0"/>
    <s v="9bd98e9cc0fd42a69775ddbd0c63147a"/>
    <s v="Terceira Emiss√£o De Deb√™ntures Simples Da Eren Dracena Participa√ß√µes S.A."/>
    <x v="2"/>
    <x v="9"/>
    <s v="Unspecified"/>
    <s v="Usina Solar Fotovoltaica Dracena"/>
    <s v="Brazil"/>
    <d v="2020-02-15T00:00:00"/>
    <d v="2020-02-15T00:00:00"/>
    <s v="BRL"/>
    <n v="65000000"/>
    <n v="65000000"/>
    <s v="BRL"/>
    <n v="65000000"/>
    <n v="15124720"/>
    <b v="0"/>
    <m/>
  </r>
  <r>
    <b v="1"/>
    <x v="0"/>
    <x v="0"/>
    <x v="1"/>
    <x v="0"/>
    <x v="1"/>
    <x v="41"/>
    <n v="0"/>
    <x v="0"/>
    <s v="9bd98e9cc0fd42a69775ddbd0c63147a"/>
    <s v="Terceira Emiss√£o De Deb√™ntures Simples Da Eren Dracena Participa√ß√µes S.A."/>
    <x v="3"/>
    <x v="9"/>
    <s v="Unspecified"/>
    <s v="Usina Solar Fotovoltaica Dracena"/>
    <s v="Brazil"/>
    <d v="2020-02-15T00:00:00"/>
    <d v="2020-02-15T00:00:00"/>
    <s v="BRL"/>
    <n v="215000000"/>
    <n v="215000000"/>
    <s v="BRL"/>
    <n v="215000000"/>
    <n v="50027922"/>
    <b v="0"/>
    <m/>
  </r>
  <r>
    <b v="1"/>
    <x v="0"/>
    <x v="0"/>
    <x v="1"/>
    <x v="0"/>
    <x v="1"/>
    <x v="41"/>
    <n v="0"/>
    <x v="0"/>
    <s v="9bd98e9cc0fd42a69775ddbd0c63147a"/>
    <s v="Terceira Emiss√£o De Deb√™ntures Simples Da Eren Dracena Participa√ß√µes S.A."/>
    <x v="3"/>
    <x v="9"/>
    <s v="Unspecified"/>
    <s v="Usina Solar Fotovoltaica Dracena"/>
    <s v="Brazil"/>
    <d v="2020-02-15T00:00:00"/>
    <d v="2020-02-15T00:00:00"/>
    <s v="BRL"/>
    <n v="65000000"/>
    <n v="65000000"/>
    <s v="BRL"/>
    <n v="65000000"/>
    <n v="15124720"/>
    <b v="0"/>
    <m/>
  </r>
  <r>
    <b v="1"/>
    <x v="0"/>
    <x v="0"/>
    <x v="2"/>
    <x v="0"/>
    <x v="1"/>
    <x v="14"/>
    <n v="0"/>
    <x v="18"/>
    <s v="91d5f951533040578939c60b74089a81"/>
    <s v="Green Bond Program"/>
    <x v="0"/>
    <x v="0"/>
    <s v="Wind"/>
    <s v="Wind Farm Park Artilleros"/>
    <s v="Uruguay"/>
    <d v="2020-12-31T00:00:00"/>
    <d v="2020-12-31T00:00:00"/>
    <s v="USD"/>
    <n v="18600000"/>
    <n v="18600000"/>
    <s v="USD"/>
    <n v="18600000"/>
    <n v="18600000"/>
    <b v="0"/>
    <n v="1"/>
  </r>
  <r>
    <b v="1"/>
    <x v="0"/>
    <x v="0"/>
    <x v="2"/>
    <x v="0"/>
    <x v="1"/>
    <x v="14"/>
    <n v="0"/>
    <x v="18"/>
    <s v="91d5f951533040578939c60b74089a81"/>
    <s v="Green Bond Program"/>
    <x v="1"/>
    <x v="1"/>
    <s v="Generation"/>
    <s v="Wind Farm Park Artilleros"/>
    <s v="Uruguay"/>
    <d v="2020-12-31T00:00:00"/>
    <d v="2020-12-31T00:00:00"/>
    <s v="USD"/>
    <n v="18600000"/>
    <n v="18600000"/>
    <s v="USD"/>
    <n v="18600000"/>
    <n v="18600000"/>
    <b v="0"/>
    <n v="1"/>
  </r>
  <r>
    <b v="1"/>
    <x v="0"/>
    <x v="0"/>
    <x v="2"/>
    <x v="0"/>
    <x v="1"/>
    <x v="14"/>
    <n v="0"/>
    <x v="18"/>
    <s v="91d5f951533040578939c60b74089a81"/>
    <s v="Green Bond Program"/>
    <x v="0"/>
    <x v="0"/>
    <s v="Hydro"/>
    <s v="Small hydro-plants Angel"/>
    <s v="Peru"/>
    <d v="2020-12-31T00:00:00"/>
    <d v="2020-12-31T00:00:00"/>
    <s v="USD"/>
    <n v="25700000"/>
    <n v="25700000"/>
    <s v="USD"/>
    <n v="25700000"/>
    <n v="25700000"/>
    <b v="1"/>
    <n v="1"/>
  </r>
  <r>
    <b v="1"/>
    <x v="0"/>
    <x v="0"/>
    <x v="2"/>
    <x v="0"/>
    <x v="1"/>
    <x v="14"/>
    <n v="0"/>
    <x v="18"/>
    <s v="91d5f951533040578939c60b74089a81"/>
    <s v="Green Bond Program"/>
    <x v="1"/>
    <x v="1"/>
    <s v="Generation"/>
    <s v="Small hydro-plants Angel"/>
    <s v="Peru"/>
    <d v="2020-12-31T00:00:00"/>
    <d v="2020-12-31T00:00:00"/>
    <s v="USD"/>
    <n v="25700000"/>
    <n v="25700000"/>
    <s v="USD"/>
    <n v="25700000"/>
    <n v="25700000"/>
    <b v="1"/>
    <n v="1"/>
  </r>
  <r>
    <b v="1"/>
    <x v="0"/>
    <x v="0"/>
    <x v="2"/>
    <x v="0"/>
    <x v="1"/>
    <x v="14"/>
    <n v="0"/>
    <x v="18"/>
    <s v="91d5f951533040578939c60b74089a81"/>
    <s v="Green Bond Program"/>
    <x v="0"/>
    <x v="0"/>
    <s v="Hydro"/>
    <s v="Hydro-plant Langui"/>
    <s v="Peru"/>
    <d v="2020-12-31T00:00:00"/>
    <d v="2020-12-31T00:00:00"/>
    <s v="USD"/>
    <n v="2200000"/>
    <n v="2200000"/>
    <s v="USD"/>
    <n v="2200000"/>
    <n v="2200000"/>
    <b v="1"/>
    <n v="1"/>
  </r>
  <r>
    <b v="1"/>
    <x v="0"/>
    <x v="0"/>
    <x v="2"/>
    <x v="0"/>
    <x v="1"/>
    <x v="14"/>
    <n v="0"/>
    <x v="18"/>
    <s v="91d5f951533040578939c60b74089a81"/>
    <s v="Green Bond Program"/>
    <x v="1"/>
    <x v="1"/>
    <s v="Generation"/>
    <s v="Hydro-plant Langui"/>
    <s v="Peru"/>
    <d v="2020-12-31T00:00:00"/>
    <d v="2020-12-31T00:00:00"/>
    <s v="USD"/>
    <n v="2200000"/>
    <n v="2200000"/>
    <s v="USD"/>
    <n v="2200000"/>
    <n v="2200000"/>
    <b v="1"/>
    <n v="1"/>
  </r>
  <r>
    <b v="1"/>
    <x v="0"/>
    <x v="0"/>
    <x v="2"/>
    <x v="0"/>
    <x v="1"/>
    <x v="14"/>
    <n v="0"/>
    <x v="18"/>
    <s v="91d5f951533040578939c60b74089a81"/>
    <s v="Green Bond Program"/>
    <x v="0"/>
    <x v="0"/>
    <s v="Transmission"/>
    <s v="Distribution Grid Modernization and Loss Reduction"/>
    <s v="Dominican Republic"/>
    <d v="2020-12-31T00:00:00"/>
    <d v="2020-12-31T00:00:00"/>
    <s v="USD"/>
    <n v="3500000"/>
    <n v="3500000"/>
    <s v="USD"/>
    <n v="3500000"/>
    <n v="3500000"/>
    <b v="0"/>
    <n v="1"/>
  </r>
  <r>
    <b v="1"/>
    <x v="0"/>
    <x v="0"/>
    <x v="2"/>
    <x v="0"/>
    <x v="1"/>
    <x v="14"/>
    <n v="0"/>
    <x v="18"/>
    <s v="91d5f951533040578939c60b74089a81"/>
    <s v="Green Bond Program"/>
    <x v="1"/>
    <x v="1"/>
    <s v="Transmission"/>
    <s v="Distribution Grid Modernization and Loss Reduction"/>
    <s v="Dominican Republic"/>
    <d v="2020-12-31T00:00:00"/>
    <d v="2020-12-31T00:00:00"/>
    <s v="USD"/>
    <n v="3500000"/>
    <n v="3500000"/>
    <s v="USD"/>
    <n v="3500000"/>
    <n v="3500000"/>
    <b v="0"/>
    <n v="1"/>
  </r>
  <r>
    <b v="1"/>
    <x v="0"/>
    <x v="0"/>
    <x v="2"/>
    <x v="0"/>
    <x v="1"/>
    <x v="14"/>
    <n v="0"/>
    <x v="18"/>
    <s v="91d5f951533040578939c60b74089a81"/>
    <s v="Green Bond Program"/>
    <x v="0"/>
    <x v="5"/>
    <s v="Rail"/>
    <s v="Quito Metro Line One"/>
    <s v="Ecuador"/>
    <d v="2020-12-31T00:00:00"/>
    <d v="2020-12-31T00:00:00"/>
    <s v="USD"/>
    <n v="126000000"/>
    <n v="126000000"/>
    <s v="USD"/>
    <n v="126000000"/>
    <n v="126000000"/>
    <b v="1"/>
    <n v="1"/>
  </r>
  <r>
    <b v="1"/>
    <x v="0"/>
    <x v="0"/>
    <x v="1"/>
    <x v="0"/>
    <x v="1"/>
    <x v="42"/>
    <s v="BBG00GY1HY29"/>
    <x v="19"/>
    <s v="1ea3f91d3e7047c6af38408cf446eaae"/>
    <s v="Green Bond Rio Energy Itarema Wind Complex"/>
    <x v="0"/>
    <x v="0"/>
    <s v="Wind"/>
    <s v="Complexo E√≥lico Itarema"/>
    <s v="Brazil"/>
    <d v="2017-05-02T00:00:00"/>
    <d v="2017-06-16T00:00:00"/>
    <s v="BRL"/>
    <n v="111760000"/>
    <n v="111760000"/>
    <s v="BRL"/>
    <n v="111760000"/>
    <n v="35235513"/>
    <b v="0"/>
    <n v="0.1"/>
  </r>
  <r>
    <b v="1"/>
    <x v="0"/>
    <x v="0"/>
    <x v="1"/>
    <x v="0"/>
    <x v="1"/>
    <x v="42"/>
    <s v="BBG00GY1HY29"/>
    <x v="19"/>
    <s v="1ea3f91d3e7047c6af38408cf446eaae"/>
    <s v="Green Bond Rio Energy Itarema Wind Complex"/>
    <x v="1"/>
    <x v="1"/>
    <s v="Generation"/>
    <s v="Complexo E√≥lico Itarema"/>
    <s v="Brazil"/>
    <d v="2017-05-02T00:00:00"/>
    <d v="2017-06-16T00:00:00"/>
    <s v="BRL"/>
    <n v="111760000"/>
    <n v="111760000"/>
    <s v="BRL"/>
    <n v="111760000"/>
    <n v="35235513"/>
    <b v="0"/>
    <n v="0.1"/>
  </r>
  <r>
    <b v="1"/>
    <x v="0"/>
    <x v="0"/>
    <x v="1"/>
    <x v="0"/>
    <x v="1"/>
    <x v="42"/>
    <s v="BBG00GY1HY29"/>
    <x v="19"/>
    <s v="1ea3f91d3e7047c6af38408cf446eaae"/>
    <s v="Green Bond Rio Energy Itarema Wind Complex"/>
    <x v="2"/>
    <x v="9"/>
    <s v="Unspecified"/>
    <s v="Complexo E√≥lico Itarema"/>
    <s v="Brazil"/>
    <d v="2017-05-02T00:00:00"/>
    <d v="2017-06-16T00:00:00"/>
    <s v="BRL"/>
    <n v="111760000"/>
    <n v="111760000"/>
    <s v="BRL"/>
    <n v="111760000"/>
    <n v="35235513"/>
    <b v="0"/>
    <n v="0.1"/>
  </r>
  <r>
    <b v="1"/>
    <x v="0"/>
    <x v="0"/>
    <x v="1"/>
    <x v="0"/>
    <x v="1"/>
    <x v="42"/>
    <s v="BBG00GY1HY29"/>
    <x v="19"/>
    <s v="1ea3f91d3e7047c6af38408cf446eaae"/>
    <s v="Green Bond Rio Energy Itarema Wind Complex"/>
    <x v="3"/>
    <x v="9"/>
    <s v="Unspecified"/>
    <s v="Complexo E√≥lico Itarema"/>
    <s v="Brazil"/>
    <d v="2017-05-02T00:00:00"/>
    <d v="2017-06-16T00:00:00"/>
    <s v="BRL"/>
    <n v="111760000"/>
    <n v="111760000"/>
    <s v="BRL"/>
    <n v="111760000"/>
    <n v="35235513"/>
    <b v="0"/>
    <n v="0.1"/>
  </r>
  <r>
    <b v="1"/>
    <x v="0"/>
    <x v="0"/>
    <x v="2"/>
    <x v="0"/>
    <x v="1"/>
    <x v="14"/>
    <n v="0"/>
    <x v="18"/>
    <s v="91d5f951533040578939c60b74089a81"/>
    <s v="Green Bond Program"/>
    <x v="1"/>
    <x v="6"/>
    <s v="Rail"/>
    <s v="Quito Metro Line One"/>
    <s v="Ecuador"/>
    <d v="2020-12-31T00:00:00"/>
    <d v="2020-12-31T00:00:00"/>
    <s v="USD"/>
    <n v="126000000"/>
    <n v="126000000"/>
    <s v="USD"/>
    <n v="126000000"/>
    <n v="126000000"/>
    <b v="1"/>
    <n v="1"/>
  </r>
  <r>
    <b v="1"/>
    <x v="0"/>
    <x v="0"/>
    <x v="2"/>
    <x v="0"/>
    <x v="1"/>
    <x v="14"/>
    <n v="0"/>
    <x v="18"/>
    <s v="91d5f951533040578939c60b74089a81"/>
    <s v="Green Bond Program"/>
    <x v="0"/>
    <x v="5"/>
    <s v="Rail"/>
    <s v="Lima Metro Line 2"/>
    <s v="Peru"/>
    <d v="2020-12-31T00:00:00"/>
    <d v="2020-12-31T00:00:00"/>
    <s v="USD"/>
    <n v="68000000"/>
    <n v="68000000"/>
    <s v="USD"/>
    <n v="68000000"/>
    <n v="68000000"/>
    <b v="1"/>
    <n v="1"/>
  </r>
  <r>
    <b v="1"/>
    <x v="0"/>
    <x v="0"/>
    <x v="2"/>
    <x v="0"/>
    <x v="1"/>
    <x v="14"/>
    <n v="0"/>
    <x v="18"/>
    <s v="91d5f951533040578939c60b74089a81"/>
    <s v="Green Bond Program"/>
    <x v="1"/>
    <x v="6"/>
    <s v="Rail"/>
    <s v="Lima Metro Line 2"/>
    <s v="Peru"/>
    <d v="2020-12-31T00:00:00"/>
    <d v="2020-12-31T00:00:00"/>
    <s v="USD"/>
    <n v="68000000"/>
    <n v="68000000"/>
    <s v="USD"/>
    <n v="68000000"/>
    <n v="68000000"/>
    <b v="1"/>
    <n v="1"/>
  </r>
  <r>
    <b v="1"/>
    <x v="0"/>
    <x v="0"/>
    <x v="2"/>
    <x v="0"/>
    <x v="1"/>
    <x v="14"/>
    <n v="0"/>
    <x v="18"/>
    <s v="91d5f951533040578939c60b74089a81"/>
    <s v="Green Bond Program"/>
    <x v="0"/>
    <x v="5"/>
    <s v="Rail"/>
    <s v="Sao Paulo Metro Line 17"/>
    <s v="Brazil"/>
    <d v="2020-12-31T00:00:00"/>
    <d v="2020-12-31T00:00:00"/>
    <s v="USD"/>
    <n v="196000000"/>
    <n v="196000000"/>
    <s v="USD"/>
    <n v="196000000"/>
    <n v="196000000"/>
    <b v="0"/>
    <n v="1"/>
  </r>
  <r>
    <b v="1"/>
    <x v="0"/>
    <x v="0"/>
    <x v="1"/>
    <x v="0"/>
    <x v="1"/>
    <x v="43"/>
    <s v="BBG00LZCH1F1"/>
    <x v="20"/>
    <s v="a31693d3e7bf4b0490bc87250076b904"/>
    <s v="Green Bond Rio Energy Serra da Babilonia Wind Complex"/>
    <x v="0"/>
    <x v="0"/>
    <s v="Wind"/>
    <s v="Complexo E√≥lico Serra da Babil√¥nia"/>
    <s v="Brazil"/>
    <d v="2018-08-15T00:00:00"/>
    <d v="2018-08-15T00:00:00"/>
    <s v="BRL"/>
    <n v="127780000"/>
    <n v="127780000"/>
    <s v="BRL"/>
    <n v="127780000"/>
    <n v="32656921"/>
    <b v="0"/>
    <n v="0.09"/>
  </r>
  <r>
    <b v="1"/>
    <x v="0"/>
    <x v="0"/>
    <x v="1"/>
    <x v="0"/>
    <x v="1"/>
    <x v="43"/>
    <s v="BBG00LZCH1F1"/>
    <x v="20"/>
    <s v="a31693d3e7bf4b0490bc87250076b904"/>
    <s v="Green Bond Rio Energy Serra da Babilonia Wind Complex"/>
    <x v="1"/>
    <x v="1"/>
    <s v="Generation"/>
    <s v="Complexo E√≥lico Serra da Babil√¥nia"/>
    <s v="Brazil"/>
    <d v="2018-08-15T00:00:00"/>
    <d v="2018-08-15T00:00:00"/>
    <s v="BRL"/>
    <n v="127780000"/>
    <n v="127780000"/>
    <s v="BRL"/>
    <n v="127780000"/>
    <n v="32656921"/>
    <b v="0"/>
    <n v="0.09"/>
  </r>
  <r>
    <b v="1"/>
    <x v="0"/>
    <x v="0"/>
    <x v="1"/>
    <x v="0"/>
    <x v="1"/>
    <x v="43"/>
    <s v="BBG00LZCH1F1"/>
    <x v="20"/>
    <s v="a31693d3e7bf4b0490bc87250076b904"/>
    <s v="Green Bond Rio Energy Serra da Babilonia Wind Complex"/>
    <x v="2"/>
    <x v="9"/>
    <s v="Unspecified"/>
    <s v="Complexo E√≥lico Serra da Babil√¥nia"/>
    <s v="Brazil"/>
    <d v="2018-08-15T00:00:00"/>
    <d v="2018-08-15T00:00:00"/>
    <s v="BRL"/>
    <n v="127780000"/>
    <n v="127780000"/>
    <s v="BRL"/>
    <n v="127780000"/>
    <n v="32656921"/>
    <b v="0"/>
    <n v="0.09"/>
  </r>
  <r>
    <b v="1"/>
    <x v="0"/>
    <x v="0"/>
    <x v="1"/>
    <x v="0"/>
    <x v="1"/>
    <x v="43"/>
    <s v="BBG00LZCH1F1"/>
    <x v="20"/>
    <s v="a31693d3e7bf4b0490bc87250076b904"/>
    <s v="Green Bond Rio Energy Serra da Babilonia Wind Complex"/>
    <x v="3"/>
    <x v="9"/>
    <s v="Unspecified"/>
    <s v="Complexo E√≥lico Serra da Babil√¥nia"/>
    <s v="Brazil"/>
    <d v="2018-08-15T00:00:00"/>
    <d v="2018-08-15T00:00:00"/>
    <s v="BRL"/>
    <n v="127780000"/>
    <n v="127780000"/>
    <s v="BRL"/>
    <n v="127780000"/>
    <n v="32656921"/>
    <b v="0"/>
    <n v="0.09"/>
  </r>
  <r>
    <b v="1"/>
    <x v="0"/>
    <x v="0"/>
    <x v="2"/>
    <x v="0"/>
    <x v="1"/>
    <x v="14"/>
    <n v="0"/>
    <x v="18"/>
    <s v="91d5f951533040578939c60b74089a81"/>
    <s v="Green Bond Program"/>
    <x v="1"/>
    <x v="6"/>
    <s v="Rail"/>
    <s v="Sao Paulo Metro Line 17"/>
    <s v="Brazil"/>
    <d v="2020-12-31T00:00:00"/>
    <d v="2020-12-31T00:00:00"/>
    <s v="USD"/>
    <n v="196000000"/>
    <n v="196000000"/>
    <s v="USD"/>
    <n v="196000000"/>
    <n v="196000000"/>
    <b v="0"/>
    <n v="1"/>
  </r>
  <r>
    <b v="1"/>
    <x v="0"/>
    <x v="0"/>
    <x v="2"/>
    <x v="0"/>
    <x v="1"/>
    <x v="14"/>
    <n v="0"/>
    <x v="18"/>
    <s v="91d5f951533040578939c60b74089a81"/>
    <s v="Green Bond Program"/>
    <x v="0"/>
    <x v="5"/>
    <s v="Rail"/>
    <s v="Extension of S√£o Paulo Metro Line 2"/>
    <s v="Brazil"/>
    <d v="2020-12-31T00:00:00"/>
    <d v="2020-12-31T00:00:00"/>
    <s v="USD"/>
    <n v="350000000"/>
    <n v="350000000"/>
    <s v="USD"/>
    <n v="350000000"/>
    <n v="350000000"/>
    <b v="0"/>
    <n v="1"/>
  </r>
  <r>
    <b v="1"/>
    <x v="0"/>
    <x v="0"/>
    <x v="2"/>
    <x v="0"/>
    <x v="1"/>
    <x v="14"/>
    <n v="0"/>
    <x v="18"/>
    <s v="91d5f951533040578939c60b74089a81"/>
    <s v="Green Bond Program"/>
    <x v="1"/>
    <x v="6"/>
    <s v="Rail"/>
    <s v="Extension of S√£o Paulo Metro Line 2"/>
    <s v="Brazil"/>
    <d v="2020-12-31T00:00:00"/>
    <d v="2020-12-31T00:00:00"/>
    <s v="USD"/>
    <n v="350000000"/>
    <n v="350000000"/>
    <s v="USD"/>
    <n v="350000000"/>
    <n v="350000000"/>
    <b v="0"/>
    <n v="1"/>
  </r>
  <r>
    <b v="1"/>
    <x v="0"/>
    <x v="0"/>
    <x v="2"/>
    <x v="0"/>
    <x v="1"/>
    <x v="14"/>
    <n v="0"/>
    <x v="18"/>
    <s v="91d5f951533040578939c60b74089a81"/>
    <s v="Green Bond Program"/>
    <x v="0"/>
    <x v="2"/>
    <s v="Treatment"/>
    <s v="Wastewater treatment Plant, Panama City and Panama Bay"/>
    <s v="Panama"/>
    <d v="2020-12-31T00:00:00"/>
    <d v="2020-12-31T00:00:00"/>
    <s v="USD"/>
    <n v="90000000"/>
    <n v="90000000"/>
    <s v="USD"/>
    <n v="90000000"/>
    <n v="90000000"/>
    <b v="1"/>
    <n v="1"/>
  </r>
  <r>
    <b v="1"/>
    <x v="0"/>
    <x v="0"/>
    <x v="2"/>
    <x v="0"/>
    <x v="1"/>
    <x v="14"/>
    <n v="0"/>
    <x v="18"/>
    <s v="91d5f951533040578939c60b74089a81"/>
    <s v="Green Bond Program"/>
    <x v="1"/>
    <x v="3"/>
    <s v="Wastewater treatment"/>
    <s v="Wastewater treatment Plant, Panama City and Panama Bay"/>
    <s v="Panama"/>
    <d v="2020-12-31T00:00:00"/>
    <d v="2020-12-31T00:00:00"/>
    <s v="USD"/>
    <n v="90000000"/>
    <n v="90000000"/>
    <s v="USD"/>
    <n v="90000000"/>
    <n v="90000000"/>
    <b v="1"/>
    <n v="1"/>
  </r>
  <r>
    <b v="1"/>
    <x v="0"/>
    <x v="0"/>
    <x v="2"/>
    <x v="0"/>
    <x v="1"/>
    <x v="14"/>
    <n v="0"/>
    <x v="18"/>
    <s v="91d5f951533040578939c60b74089a81"/>
    <s v="Green Bond Program"/>
    <x v="0"/>
    <x v="2"/>
    <s v="Treatment"/>
    <s v="Wastewater treatment plant in the region of Guangarcucho - Cuenca"/>
    <s v="Ecuador"/>
    <d v="2020-12-31T00:00:00"/>
    <d v="2020-12-31T00:00:00"/>
    <s v="USD"/>
    <n v="17100000"/>
    <n v="17100000"/>
    <s v="USD"/>
    <n v="17100000"/>
    <n v="17100000"/>
    <b v="0"/>
    <n v="1"/>
  </r>
  <r>
    <b v="1"/>
    <x v="0"/>
    <x v="0"/>
    <x v="2"/>
    <x v="0"/>
    <x v="1"/>
    <x v="14"/>
    <n v="0"/>
    <x v="18"/>
    <s v="91d5f951533040578939c60b74089a81"/>
    <s v="Green Bond Program"/>
    <x v="1"/>
    <x v="3"/>
    <s v="Wastewater treatment"/>
    <s v="Wastewater treatment plant in the region of Guangarcucho - Cuenca"/>
    <s v="Ecuador"/>
    <d v="2020-12-31T00:00:00"/>
    <d v="2020-12-31T00:00:00"/>
    <s v="USD"/>
    <n v="17100000"/>
    <n v="17100000"/>
    <s v="USD"/>
    <n v="17100000"/>
    <n v="17100000"/>
    <b v="0"/>
    <n v="1"/>
  </r>
  <r>
    <b v="1"/>
    <x v="0"/>
    <x v="0"/>
    <x v="2"/>
    <x v="0"/>
    <x v="1"/>
    <x v="14"/>
    <n v="0"/>
    <x v="18"/>
    <s v="91d5f951533040578939c60b74089a81"/>
    <s v="Green Bond Program"/>
    <x v="0"/>
    <x v="2"/>
    <s v="Treatment"/>
    <s v="Potable water treatment plant in the regions of La Plata, Berisso y Ensenada"/>
    <s v="Argentina"/>
    <d v="2020-12-31T00:00:00"/>
    <d v="2020-12-31T00:00:00"/>
    <s v="USD"/>
    <n v="80000000"/>
    <n v="80000000"/>
    <s v="USD"/>
    <n v="80000000"/>
    <n v="80000000"/>
    <b v="0"/>
    <n v="1"/>
  </r>
  <r>
    <b v="1"/>
    <x v="0"/>
    <x v="0"/>
    <x v="2"/>
    <x v="0"/>
    <x v="1"/>
    <x v="14"/>
    <n v="0"/>
    <x v="18"/>
    <s v="91d5f951533040578939c60b74089a81"/>
    <s v="Green Bond Program"/>
    <x v="1"/>
    <x v="3"/>
    <s v="Wastewater treatment"/>
    <s v="Potable water treatment plant in the regions of La Plata, Berisso y Ensenada"/>
    <s v="Argentina"/>
    <d v="2020-12-31T00:00:00"/>
    <d v="2020-12-31T00:00:00"/>
    <s v="USD"/>
    <n v="80000000"/>
    <n v="80000000"/>
    <s v="USD"/>
    <n v="80000000"/>
    <n v="80000000"/>
    <b v="0"/>
    <n v="1"/>
  </r>
  <r>
    <b v="1"/>
    <x v="0"/>
    <x v="0"/>
    <x v="2"/>
    <x v="0"/>
    <x v="1"/>
    <x v="14"/>
    <n v="0"/>
    <x v="18"/>
    <s v="91d5f951533040578939c60b74089a81"/>
    <s v="Green Bond Program"/>
    <x v="0"/>
    <x v="2"/>
    <s v="Treatment"/>
    <s v="Program Mais Mogi Ecotiete - Municipality Mogi Das Cruzes - Water Sanitation"/>
    <s v="Brazil"/>
    <d v="2020-12-31T00:00:00"/>
    <d v="2020-12-31T00:00:00"/>
    <s v="USD"/>
    <n v="30000000"/>
    <n v="30000000"/>
    <s v="USD"/>
    <n v="30000000"/>
    <n v="30000000"/>
    <b v="0"/>
    <n v="1"/>
  </r>
  <r>
    <b v="1"/>
    <x v="0"/>
    <x v="0"/>
    <x v="2"/>
    <x v="0"/>
    <x v="1"/>
    <x v="14"/>
    <n v="0"/>
    <x v="18"/>
    <s v="91d5f951533040578939c60b74089a81"/>
    <s v="Green Bond Program"/>
    <x v="1"/>
    <x v="3"/>
    <s v="Wastewater treatment"/>
    <s v="Program Mais Mogi Ecotiete - Municipality Mogi Das Cruzes - Water Sanitation"/>
    <s v="Brazil"/>
    <d v="2020-12-31T00:00:00"/>
    <d v="2020-12-31T00:00:00"/>
    <s v="USD"/>
    <n v="30000000"/>
    <n v="30000000"/>
    <s v="USD"/>
    <n v="30000000"/>
    <n v="30000000"/>
    <b v="0"/>
    <n v="1"/>
  </r>
  <r>
    <b v="1"/>
    <x v="0"/>
    <x v="0"/>
    <x v="2"/>
    <x v="0"/>
    <x v="1"/>
    <x v="14"/>
    <n v="0"/>
    <x v="18"/>
    <s v="91d5f951533040578939c60b74089a81"/>
    <s v="Green Bond Program"/>
    <x v="0"/>
    <x v="2"/>
    <s v="Treatment"/>
    <s v="Mi Agua Program: IV, IV phase 2, V. Multi-stage national program in Bolivia"/>
    <s v="Bolivia"/>
    <d v="2020-12-31T00:00:00"/>
    <d v="2020-12-31T00:00:00"/>
    <s v="USD"/>
    <n v="100000000"/>
    <n v="100000000"/>
    <s v="USD"/>
    <n v="100000000"/>
    <n v="100000000"/>
    <b v="0"/>
    <n v="1"/>
  </r>
  <r>
    <b v="1"/>
    <x v="0"/>
    <x v="0"/>
    <x v="2"/>
    <x v="0"/>
    <x v="1"/>
    <x v="14"/>
    <n v="0"/>
    <x v="18"/>
    <s v="91d5f951533040578939c60b74089a81"/>
    <s v="Green Bond Program"/>
    <x v="1"/>
    <x v="3"/>
    <s v="Infrastructure"/>
    <s v="Mi Agua Program: IV, IV phase 2, V. Multi-stage national program in Bolivia"/>
    <s v="Bolivia"/>
    <d v="2020-12-31T00:00:00"/>
    <d v="2020-12-31T00:00:00"/>
    <s v="USD"/>
    <n v="100000000"/>
    <n v="100000000"/>
    <s v="USD"/>
    <n v="100000000"/>
    <n v="100000000"/>
    <b v="0"/>
    <n v="1"/>
  </r>
  <r>
    <b v="1"/>
    <x v="0"/>
    <x v="0"/>
    <x v="2"/>
    <x v="0"/>
    <x v="1"/>
    <x v="14"/>
    <n v="0"/>
    <x v="18"/>
    <s v="91d5f951533040578939c60b74089a81"/>
    <s v="Green Bond Program"/>
    <x v="0"/>
    <x v="2"/>
    <s v="Treatment"/>
    <s v="Drinking Water Supply and Basic Sanitation Program in Rural and Urban Areas in Buenaventura District"/>
    <s v="Colombia"/>
    <d v="2020-12-31T00:00:00"/>
    <d v="2020-12-31T00:00:00"/>
    <s v="USD"/>
    <n v="60000000"/>
    <n v="60000000"/>
    <s v="USD"/>
    <n v="60000000"/>
    <n v="60000000"/>
    <b v="0"/>
    <n v="1"/>
  </r>
  <r>
    <b v="1"/>
    <x v="0"/>
    <x v="0"/>
    <x v="2"/>
    <x v="0"/>
    <x v="1"/>
    <x v="14"/>
    <n v="0"/>
    <x v="18"/>
    <s v="91d5f951533040578939c60b74089a81"/>
    <s v="Green Bond Program"/>
    <x v="1"/>
    <x v="3"/>
    <s v="Infrastructure"/>
    <s v="Drinking Water Supply and Basic Sanitation Program in Rural and Urban Areas in Buenaventura District"/>
    <s v="Colombia"/>
    <d v="2020-12-31T00:00:00"/>
    <d v="2020-12-31T00:00:00"/>
    <s v="USD"/>
    <n v="60000000"/>
    <n v="60000000"/>
    <s v="USD"/>
    <n v="60000000"/>
    <n v="60000000"/>
    <b v="0"/>
    <n v="1"/>
  </r>
  <r>
    <b v="1"/>
    <x v="0"/>
    <x v="0"/>
    <x v="2"/>
    <x v="0"/>
    <x v="1"/>
    <x v="14"/>
    <n v="0"/>
    <x v="18"/>
    <s v="91d5f951533040578939c60b74089a81"/>
    <s v="Green Bond Program"/>
    <x v="0"/>
    <x v="2"/>
    <s v="Treatment"/>
    <s v="Desenvolvimento Socioambiental de Sobral Program - PRODESOL"/>
    <s v="Brazil"/>
    <d v="2020-12-31T00:00:00"/>
    <d v="2020-12-31T00:00:00"/>
    <s v="USD"/>
    <n v="39000000"/>
    <n v="39000000"/>
    <s v="USD"/>
    <n v="39000000"/>
    <n v="39000000"/>
    <b v="0"/>
    <n v="1"/>
  </r>
  <r>
    <b v="1"/>
    <x v="0"/>
    <x v="0"/>
    <x v="2"/>
    <x v="0"/>
    <x v="1"/>
    <x v="14"/>
    <n v="0"/>
    <x v="18"/>
    <s v="91d5f951533040578939c60b74089a81"/>
    <s v="Green Bond Program"/>
    <x v="1"/>
    <x v="3"/>
    <s v="Infrastructure"/>
    <s v="Desenvolvimento Socioambiental de Sobral Program - PRODESOL"/>
    <s v="Brazil"/>
    <d v="2020-12-31T00:00:00"/>
    <d v="2020-12-31T00:00:00"/>
    <s v="USD"/>
    <n v="39000000"/>
    <n v="39000000"/>
    <s v="USD"/>
    <n v="39000000"/>
    <n v="39000000"/>
    <b v="0"/>
    <n v="1"/>
  </r>
  <r>
    <b v="1"/>
    <x v="0"/>
    <x v="0"/>
    <x v="2"/>
    <x v="0"/>
    <x v="1"/>
    <x v="36"/>
    <s v="BBG00HPK5N13"/>
    <x v="0"/>
    <s v="7d27df26e2924c4d9fcf8ba0c0d9d684"/>
    <s v="Klabin 2027"/>
    <x v="1"/>
    <x v="16"/>
    <s v="Packaging"/>
    <s v="Design of products adapted to the circular economy"/>
    <s v="Brazil"/>
    <d v="2020-01-01T00:00:00"/>
    <d v="2020-01-01T00:00:00"/>
    <s v="BRL"/>
    <n v="1090000"/>
    <n v="1090000"/>
    <s v="USD"/>
    <n v="221000"/>
    <n v="221000"/>
    <b v="0"/>
    <n v="1"/>
  </r>
  <r>
    <b v="1"/>
    <x v="0"/>
    <x v="0"/>
    <x v="2"/>
    <x v="0"/>
    <x v="1"/>
    <x v="36"/>
    <s v="BBG00HPK5N13"/>
    <x v="0"/>
    <s v="7d27df26e2924c4d9fcf8ba0c0d9d684"/>
    <s v="Klabin 2027"/>
    <x v="1"/>
    <x v="16"/>
    <s v="Packaging"/>
    <s v="Design of products adapted to the circular economy"/>
    <s v="Brazil"/>
    <d v="2019-07-01T00:00:00"/>
    <d v="2019-07-01T00:00:00"/>
    <s v="BRL"/>
    <n v="7287000"/>
    <n v="7287000"/>
    <s v="USD"/>
    <n v="1797000"/>
    <n v="1797000"/>
    <b v="0"/>
    <n v="1"/>
  </r>
  <r>
    <b v="1"/>
    <x v="0"/>
    <x v="0"/>
    <x v="2"/>
    <x v="0"/>
    <x v="1"/>
    <x v="37"/>
    <s v="BBG00NQJNB18"/>
    <x v="0"/>
    <s v="72b244fd46b444aba44095c0ca650e2f"/>
    <s v="Klabin 2049"/>
    <x v="1"/>
    <x v="16"/>
    <s v="Packaging"/>
    <s v="Design of products adapted to the circular economy"/>
    <s v="Brazil"/>
    <d v="2021-01-04T00:00:00"/>
    <d v="2021-01-04T00:00:00"/>
    <s v="BRL"/>
    <n v="3850000"/>
    <n v="3850000"/>
    <s v="USD"/>
    <n v="714000"/>
    <n v="714000"/>
    <b v="0"/>
    <n v="1"/>
  </r>
  <r>
    <b v="1"/>
    <x v="0"/>
    <x v="0"/>
    <x v="2"/>
    <x v="0"/>
    <x v="1"/>
    <x v="37"/>
    <s v="BBG00NQJNB18"/>
    <x v="0"/>
    <s v="72b244fd46b444aba44095c0ca650e2f"/>
    <s v="Klabin 2049"/>
    <x v="1"/>
    <x v="16"/>
    <s v="Packaging"/>
    <s v="Design of products adapted to the circular economy"/>
    <s v="Brazil"/>
    <d v="2020-07-01T00:00:00"/>
    <d v="2020-07-01T00:00:00"/>
    <s v="BRL"/>
    <n v="750000"/>
    <n v="750000"/>
    <s v="USD"/>
    <n v="138000"/>
    <n v="138000"/>
    <b v="0"/>
    <n v="1"/>
  </r>
  <r>
    <b v="1"/>
    <x v="0"/>
    <x v="0"/>
    <x v="2"/>
    <x v="0"/>
    <x v="1"/>
    <x v="36"/>
    <s v="BBG00HPK5N13"/>
    <x v="0"/>
    <s v="7d27df26e2924c4d9fcf8ba0c0d9d684"/>
    <s v="Klabin 2027"/>
    <x v="0"/>
    <x v="7"/>
    <s v="Products &amp; Systems for Efficiency"/>
    <s v="Diluted Non-Condensable Gas (DNCG) Treatment System Installation in the Correia Pinto Unit (SC)"/>
    <s v="Brazil"/>
    <d v="2019-01-01T00:00:00"/>
    <d v="2019-01-01T00:00:00"/>
    <s v="BRL"/>
    <n v="5826850"/>
    <n v="5826850"/>
    <s v="USD"/>
    <n v="1515080"/>
    <n v="1515080"/>
    <b v="0"/>
    <n v="1"/>
  </r>
  <r>
    <b v="1"/>
    <x v="0"/>
    <x v="0"/>
    <x v="2"/>
    <x v="0"/>
    <x v="1"/>
    <x v="36"/>
    <s v="BBG00HPK5N13"/>
    <x v="0"/>
    <s v="7d27df26e2924c4d9fcf8ba0c0d9d684"/>
    <s v="Klabin 2027"/>
    <x v="0"/>
    <x v="7"/>
    <s v="Products &amp; Systems for Efficiency"/>
    <s v="Diluted Non-Condensable Gas (DNCG) Treatment System Installation in the Correia Pinto Unit (SC)"/>
    <s v="Brazil"/>
    <d v="2018-07-01T00:00:00"/>
    <d v="2018-07-01T00:00:00"/>
    <s v="BRL"/>
    <n v="9775390"/>
    <n v="9775390"/>
    <s v="USD"/>
    <n v="2519040"/>
    <n v="2519040"/>
    <b v="0"/>
    <n v="1"/>
  </r>
  <r>
    <b v="1"/>
    <x v="0"/>
    <x v="0"/>
    <x v="2"/>
    <x v="0"/>
    <x v="1"/>
    <x v="36"/>
    <s v="BBG00HPK5N13"/>
    <x v="0"/>
    <s v="7d27df26e2924c4d9fcf8ba0c0d9d684"/>
    <s v="Klabin 2027"/>
    <x v="1"/>
    <x v="12"/>
    <s v="Reduction of local emissions"/>
    <s v="Diluted Non-Condensable Gas (DNCG) Treatment System Installation in the Correia Pinto Unit (SC)"/>
    <s v="Brazil"/>
    <d v="2019-01-01T00:00:00"/>
    <d v="2019-01-01T00:00:00"/>
    <s v="BRL"/>
    <n v="5826850"/>
    <n v="5826850"/>
    <s v="USD"/>
    <n v="1515080"/>
    <n v="1515080"/>
    <b v="0"/>
    <n v="1"/>
  </r>
  <r>
    <b v="1"/>
    <x v="0"/>
    <x v="0"/>
    <x v="2"/>
    <x v="0"/>
    <x v="1"/>
    <x v="36"/>
    <s v="BBG00HPK5N13"/>
    <x v="0"/>
    <s v="7d27df26e2924c4d9fcf8ba0c0d9d684"/>
    <s v="Klabin 2027"/>
    <x v="1"/>
    <x v="12"/>
    <s v="Reduction of local emissions"/>
    <s v="Diluted Non-Condensable Gas (DNCG) Treatment System Installation in the Correia Pinto Unit (SC)"/>
    <s v="Brazil"/>
    <d v="2018-07-01T00:00:00"/>
    <d v="2018-07-01T00:00:00"/>
    <s v="BRL"/>
    <n v="9775390"/>
    <n v="9775390"/>
    <s v="USD"/>
    <n v="2519040"/>
    <n v="2519040"/>
    <b v="0"/>
    <n v="1"/>
  </r>
  <r>
    <b v="1"/>
    <x v="0"/>
    <x v="0"/>
    <x v="2"/>
    <x v="0"/>
    <x v="1"/>
    <x v="36"/>
    <s v="BBG00HPK5N13"/>
    <x v="0"/>
    <s v="7d27df26e2924c4d9fcf8ba0c0d9d684"/>
    <s v="Klabin 2027"/>
    <x v="0"/>
    <x v="2"/>
    <s v="Treatment"/>
    <s v="Effluent Treatment"/>
    <s v="Brazil"/>
    <d v="2017-06-01T00:00:00"/>
    <d v="2017-06-01T00:00:00"/>
    <s v="BRL"/>
    <n v="74400"/>
    <n v="74400"/>
    <s v="USD"/>
    <n v="23305"/>
    <n v="23305"/>
    <b v="1"/>
    <n v="1"/>
  </r>
  <r>
    <b v="1"/>
    <x v="0"/>
    <x v="0"/>
    <x v="2"/>
    <x v="0"/>
    <x v="1"/>
    <x v="36"/>
    <s v="BBG00HPK5N13"/>
    <x v="0"/>
    <s v="7d27df26e2924c4d9fcf8ba0c0d9d684"/>
    <s v="Klabin 2027"/>
    <x v="0"/>
    <x v="2"/>
    <s v="Treatment"/>
    <s v="Effluent Treatment"/>
    <s v="Brazil"/>
    <d v="2016-06-01T00:00:00"/>
    <d v="2016-06-01T00:00:00"/>
    <s v="BRL"/>
    <n v="11103450"/>
    <n v="11103450"/>
    <s v="USD"/>
    <n v="3187624"/>
    <n v="3187624"/>
    <b v="1"/>
    <n v="1"/>
  </r>
  <r>
    <b v="1"/>
    <x v="0"/>
    <x v="0"/>
    <x v="2"/>
    <x v="0"/>
    <x v="1"/>
    <x v="36"/>
    <s v="BBG00HPK5N13"/>
    <x v="0"/>
    <s v="7d27df26e2924c4d9fcf8ba0c0d9d684"/>
    <s v="Klabin 2027"/>
    <x v="0"/>
    <x v="2"/>
    <s v="Treatment"/>
    <s v="Effluent Treatment"/>
    <s v="Brazil"/>
    <d v="2015-09-01T00:00:00"/>
    <d v="2015-09-01T00:00:00"/>
    <s v="BRL"/>
    <n v="7652550"/>
    <n v="7652550"/>
    <s v="USD"/>
    <n v="2292075"/>
    <n v="2292075"/>
    <b v="1"/>
    <n v="1"/>
  </r>
  <r>
    <b v="1"/>
    <x v="0"/>
    <x v="0"/>
    <x v="2"/>
    <x v="0"/>
    <x v="1"/>
    <x v="36"/>
    <s v="BBG00HPK5N13"/>
    <x v="0"/>
    <s v="7d27df26e2924c4d9fcf8ba0c0d9d684"/>
    <s v="Klabin 2027"/>
    <x v="1"/>
    <x v="3"/>
    <s v="Wastewater treatment"/>
    <s v="Effluent Treatment"/>
    <s v="Brazil"/>
    <d v="2017-06-01T00:00:00"/>
    <d v="2017-06-01T00:00:00"/>
    <s v="BRL"/>
    <n v="74400"/>
    <n v="74400"/>
    <s v="USD"/>
    <n v="23305"/>
    <n v="23305"/>
    <b v="1"/>
    <n v="1"/>
  </r>
  <r>
    <b v="1"/>
    <x v="0"/>
    <x v="0"/>
    <x v="2"/>
    <x v="0"/>
    <x v="1"/>
    <x v="36"/>
    <s v="BBG00HPK5N13"/>
    <x v="0"/>
    <s v="7d27df26e2924c4d9fcf8ba0c0d9d684"/>
    <s v="Klabin 2027"/>
    <x v="1"/>
    <x v="3"/>
    <s v="Wastewater treatment"/>
    <s v="Effluent Treatment"/>
    <s v="Brazil"/>
    <d v="2016-06-01T00:00:00"/>
    <d v="2016-06-01T00:00:00"/>
    <s v="BRL"/>
    <n v="11103450"/>
    <n v="11103450"/>
    <s v="USD"/>
    <n v="3187624"/>
    <n v="3187624"/>
    <b v="1"/>
    <n v="1"/>
  </r>
  <r>
    <b v="1"/>
    <x v="0"/>
    <x v="0"/>
    <x v="2"/>
    <x v="0"/>
    <x v="1"/>
    <x v="36"/>
    <s v="BBG00HPK5N13"/>
    <x v="0"/>
    <s v="7d27df26e2924c4d9fcf8ba0c0d9d684"/>
    <s v="Klabin 2027"/>
    <x v="1"/>
    <x v="3"/>
    <s v="Wastewater treatment"/>
    <s v="Effluent Treatment"/>
    <s v="Brazil"/>
    <d v="2015-09-01T00:00:00"/>
    <d v="2015-09-01T00:00:00"/>
    <s v="BRL"/>
    <n v="7652550"/>
    <n v="7652550"/>
    <s v="USD"/>
    <n v="2292075"/>
    <n v="2292075"/>
    <b v="1"/>
    <n v="1"/>
  </r>
  <r>
    <b v="1"/>
    <x v="0"/>
    <x v="0"/>
    <x v="2"/>
    <x v="0"/>
    <x v="1"/>
    <x v="36"/>
    <s v="BBG00HPK5N13"/>
    <x v="0"/>
    <s v="7d27df26e2924c4d9fcf8ba0c0d9d684"/>
    <s v="Klabin 2027"/>
    <x v="0"/>
    <x v="10"/>
    <s v="Commercial Forestry"/>
    <s v="Environment projects and certifications"/>
    <s v="Brazil"/>
    <d v="2019-01-01T00:00:00"/>
    <d v="2019-01-01T00:00:00"/>
    <s v="BRL"/>
    <n v="858390"/>
    <n v="858390"/>
    <s v="USD"/>
    <n v="223200"/>
    <n v="223200"/>
    <b v="1"/>
    <n v="1"/>
  </r>
  <r>
    <b v="1"/>
    <x v="0"/>
    <x v="0"/>
    <x v="2"/>
    <x v="0"/>
    <x v="1"/>
    <x v="36"/>
    <s v="BBG00HPK5N13"/>
    <x v="0"/>
    <s v="7d27df26e2924c4d9fcf8ba0c0d9d684"/>
    <s v="Klabin 2027"/>
    <x v="0"/>
    <x v="10"/>
    <s v="Commercial Forestry"/>
    <s v="Environment projects and certifications"/>
    <s v="Brazil"/>
    <d v="2018-07-01T00:00:00"/>
    <d v="2018-07-01T00:00:00"/>
    <s v="BRL"/>
    <n v="954500"/>
    <n v="954500"/>
    <s v="USD"/>
    <n v="245970"/>
    <n v="245970"/>
    <b v="1"/>
    <n v="1"/>
  </r>
  <r>
    <b v="1"/>
    <x v="0"/>
    <x v="0"/>
    <x v="2"/>
    <x v="0"/>
    <x v="1"/>
    <x v="36"/>
    <s v="BBG00HPK5N13"/>
    <x v="0"/>
    <s v="7d27df26e2924c4d9fcf8ba0c0d9d684"/>
    <s v="Klabin 2027"/>
    <x v="0"/>
    <x v="10"/>
    <s v="Commercial Forestry"/>
    <s v="Environment projects and certifications"/>
    <s v="Brazil"/>
    <d v="2018-01-01T00:00:00"/>
    <d v="2018-01-01T00:00:00"/>
    <s v="BRL"/>
    <n v="3193491"/>
    <n v="3193491"/>
    <s v="USD"/>
    <n v="931754"/>
    <n v="931754"/>
    <b v="1"/>
    <n v="1"/>
  </r>
  <r>
    <b v="1"/>
    <x v="0"/>
    <x v="0"/>
    <x v="2"/>
    <x v="0"/>
    <x v="1"/>
    <x v="36"/>
    <s v="BBG00HPK5N13"/>
    <x v="0"/>
    <s v="7d27df26e2924c4d9fcf8ba0c0d9d684"/>
    <s v="Klabin 2027"/>
    <x v="0"/>
    <x v="10"/>
    <s v="Commercial Forestry"/>
    <s v="Environment projects and certifications"/>
    <s v="Brazil"/>
    <d v="2017-06-01T00:00:00"/>
    <d v="2017-06-01T00:00:00"/>
    <s v="BRL"/>
    <n v="6987843"/>
    <n v="6987843"/>
    <s v="USD"/>
    <n v="2188832"/>
    <n v="2188832"/>
    <b v="1"/>
    <n v="1"/>
  </r>
  <r>
    <b v="1"/>
    <x v="0"/>
    <x v="0"/>
    <x v="2"/>
    <x v="0"/>
    <x v="1"/>
    <x v="36"/>
    <s v="BBG00HPK5N13"/>
    <x v="0"/>
    <s v="7d27df26e2924c4d9fcf8ba0c0d9d684"/>
    <s v="Klabin 2027"/>
    <x v="0"/>
    <x v="10"/>
    <s v="Commercial Forestry"/>
    <s v="Environment projects and certifications"/>
    <s v="Brazil"/>
    <d v="2016-06-01T00:00:00"/>
    <d v="2016-06-01T00:00:00"/>
    <s v="BRL"/>
    <n v="2394000"/>
    <n v="2394000"/>
    <s v="USD"/>
    <n v="687280"/>
    <n v="687280"/>
    <b v="1"/>
    <n v="1"/>
  </r>
  <r>
    <b v="1"/>
    <x v="0"/>
    <x v="0"/>
    <x v="2"/>
    <x v="0"/>
    <x v="1"/>
    <x v="36"/>
    <s v="BBG00HPK5N13"/>
    <x v="0"/>
    <s v="7d27df26e2924c4d9fcf8ba0c0d9d684"/>
    <s v="Klabin 2027"/>
    <x v="0"/>
    <x v="10"/>
    <s v="Commercial Forestry"/>
    <s v="Environment projects and certifications"/>
    <s v="Brazil"/>
    <d v="2015-09-01T00:00:00"/>
    <d v="2015-09-01T00:00:00"/>
    <s v="BRL"/>
    <n v="1343000"/>
    <n v="1343000"/>
    <s v="USD"/>
    <n v="402253"/>
    <n v="402253"/>
    <b v="1"/>
    <n v="1"/>
  </r>
  <r>
    <b v="1"/>
    <x v="0"/>
    <x v="0"/>
    <x v="2"/>
    <x v="0"/>
    <x v="1"/>
    <x v="36"/>
    <s v="BBG00HPK5N13"/>
    <x v="0"/>
    <s v="7d27df26e2924c4d9fcf8ba0c0d9d684"/>
    <s v="Klabin 2027"/>
    <x v="1"/>
    <x v="11"/>
    <s v="Forestry"/>
    <s v="Environment projects and certifications"/>
    <s v="Brazil"/>
    <d v="2019-01-01T00:00:00"/>
    <d v="2019-01-01T00:00:00"/>
    <s v="BRL"/>
    <n v="858390"/>
    <n v="858390"/>
    <s v="USD"/>
    <n v="223200"/>
    <n v="223200"/>
    <b v="1"/>
    <n v="1"/>
  </r>
  <r>
    <b v="1"/>
    <x v="0"/>
    <x v="0"/>
    <x v="2"/>
    <x v="0"/>
    <x v="1"/>
    <x v="36"/>
    <s v="BBG00HPK5N13"/>
    <x v="0"/>
    <s v="7d27df26e2924c4d9fcf8ba0c0d9d684"/>
    <s v="Klabin 2027"/>
    <x v="1"/>
    <x v="11"/>
    <s v="Forestry"/>
    <s v="Environment projects and certifications"/>
    <s v="Brazil"/>
    <d v="2018-07-01T00:00:00"/>
    <d v="2018-07-01T00:00:00"/>
    <s v="BRL"/>
    <n v="954500"/>
    <n v="954500"/>
    <s v="USD"/>
    <n v="245970"/>
    <n v="245970"/>
    <b v="1"/>
    <n v="1"/>
  </r>
  <r>
    <b v="1"/>
    <x v="0"/>
    <x v="0"/>
    <x v="2"/>
    <x v="0"/>
    <x v="1"/>
    <x v="36"/>
    <s v="BBG00HPK5N13"/>
    <x v="0"/>
    <s v="7d27df26e2924c4d9fcf8ba0c0d9d684"/>
    <s v="Klabin 2027"/>
    <x v="1"/>
    <x v="11"/>
    <s v="Forestry"/>
    <s v="Environment projects and certifications"/>
    <s v="Brazil"/>
    <d v="2018-01-01T00:00:00"/>
    <d v="2018-01-01T00:00:00"/>
    <s v="BRL"/>
    <n v="3193491"/>
    <n v="3193491"/>
    <s v="USD"/>
    <n v="931754"/>
    <n v="931754"/>
    <b v="1"/>
    <n v="1"/>
  </r>
  <r>
    <b v="1"/>
    <x v="0"/>
    <x v="0"/>
    <x v="2"/>
    <x v="0"/>
    <x v="1"/>
    <x v="36"/>
    <s v="BBG00HPK5N13"/>
    <x v="0"/>
    <s v="7d27df26e2924c4d9fcf8ba0c0d9d684"/>
    <s v="Klabin 2027"/>
    <x v="1"/>
    <x v="11"/>
    <s v="Forestry"/>
    <s v="Environment projects and certifications"/>
    <s v="Brazil"/>
    <d v="2017-06-01T00:00:00"/>
    <d v="2017-06-01T00:00:00"/>
    <s v="BRL"/>
    <n v="6987843"/>
    <n v="6987843"/>
    <s v="USD"/>
    <n v="2188832"/>
    <n v="2188832"/>
    <b v="1"/>
    <n v="1"/>
  </r>
  <r>
    <b v="1"/>
    <x v="0"/>
    <x v="0"/>
    <x v="2"/>
    <x v="0"/>
    <x v="1"/>
    <x v="36"/>
    <s v="BBG00HPK5N13"/>
    <x v="0"/>
    <s v="7d27df26e2924c4d9fcf8ba0c0d9d684"/>
    <s v="Klabin 2027"/>
    <x v="1"/>
    <x v="11"/>
    <s v="Forestry"/>
    <s v="Environment projects and certifications"/>
    <s v="Brazil"/>
    <d v="2016-06-01T00:00:00"/>
    <d v="2016-06-01T00:00:00"/>
    <s v="BRL"/>
    <n v="2394000"/>
    <n v="2394000"/>
    <s v="USD"/>
    <n v="687280"/>
    <n v="687280"/>
    <b v="1"/>
    <n v="1"/>
  </r>
  <r>
    <b v="1"/>
    <x v="0"/>
    <x v="0"/>
    <x v="2"/>
    <x v="0"/>
    <x v="1"/>
    <x v="36"/>
    <s v="BBG00HPK5N13"/>
    <x v="0"/>
    <s v="7d27df26e2924c4d9fcf8ba0c0d9d684"/>
    <s v="Klabin 2027"/>
    <x v="1"/>
    <x v="11"/>
    <s v="Forestry"/>
    <s v="Environment projects and certifications"/>
    <s v="Brazil"/>
    <d v="2015-09-01T00:00:00"/>
    <d v="2015-09-01T00:00:00"/>
    <s v="BRL"/>
    <n v="1343000"/>
    <n v="1343000"/>
    <s v="USD"/>
    <n v="402253"/>
    <n v="402253"/>
    <b v="1"/>
    <n v="1"/>
  </r>
  <r>
    <b v="1"/>
    <x v="0"/>
    <x v="0"/>
    <x v="2"/>
    <x v="0"/>
    <x v="1"/>
    <x v="36"/>
    <s v="BBG00HPK5N13"/>
    <x v="0"/>
    <s v="7d27df26e2924c4d9fcf8ba0c0d9d684"/>
    <s v="Klabin 2027"/>
    <x v="0"/>
    <x v="10"/>
    <s v="Ecosystem Conservation &amp; Restoration"/>
    <s v="Environmental Protector Program"/>
    <s v="Brazil"/>
    <d v="2020-07-01T00:00:00"/>
    <d v="2020-07-01T00:00:00"/>
    <s v="BRL"/>
    <n v="14000"/>
    <n v="14000"/>
    <s v="USD"/>
    <n v="3000"/>
    <n v="3000"/>
    <b v="0"/>
    <n v="1"/>
  </r>
  <r>
    <b v="1"/>
    <x v="0"/>
    <x v="0"/>
    <x v="2"/>
    <x v="0"/>
    <x v="1"/>
    <x v="36"/>
    <s v="BBG00HPK5N13"/>
    <x v="0"/>
    <s v="7d27df26e2924c4d9fcf8ba0c0d9d684"/>
    <s v="Klabin 2027"/>
    <x v="0"/>
    <x v="10"/>
    <s v="Ecosystem Conservation &amp; Restoration"/>
    <s v="Environmental Protector Program"/>
    <s v="Brazil"/>
    <d v="2020-01-01T00:00:00"/>
    <d v="2020-01-01T00:00:00"/>
    <s v="BRL"/>
    <n v="5000"/>
    <n v="5000"/>
    <s v="USD"/>
    <n v="1000"/>
    <n v="1000"/>
    <b v="0"/>
    <n v="1"/>
  </r>
  <r>
    <b v="1"/>
    <x v="0"/>
    <x v="0"/>
    <x v="2"/>
    <x v="0"/>
    <x v="1"/>
    <x v="36"/>
    <s v="BBG00HPK5N13"/>
    <x v="0"/>
    <s v="7d27df26e2924c4d9fcf8ba0c0d9d684"/>
    <s v="Klabin 2027"/>
    <x v="0"/>
    <x v="10"/>
    <s v="Ecosystem Conservation &amp; Restoration"/>
    <s v="Environmental Protector Program"/>
    <s v="Brazil"/>
    <d v="2019-07-01T00:00:00"/>
    <d v="2019-07-01T00:00:00"/>
    <s v="BRL"/>
    <n v="16000"/>
    <n v="16000"/>
    <s v="USD"/>
    <n v="4000"/>
    <n v="4000"/>
    <b v="0"/>
    <n v="1"/>
  </r>
  <r>
    <b v="1"/>
    <x v="0"/>
    <x v="0"/>
    <x v="2"/>
    <x v="0"/>
    <x v="1"/>
    <x v="36"/>
    <s v="BBG00HPK5N13"/>
    <x v="0"/>
    <s v="7d27df26e2924c4d9fcf8ba0c0d9d684"/>
    <s v="Klabin 2027"/>
    <x v="0"/>
    <x v="10"/>
    <s v="Ecosystem Conservation &amp; Restoration"/>
    <s v="Environmental Protector Program"/>
    <s v="Brazil"/>
    <d v="2019-01-01T00:00:00"/>
    <d v="2019-01-01T00:00:00"/>
    <s v="BRL"/>
    <n v="14910"/>
    <n v="14910"/>
    <s v="USD"/>
    <n v="3880"/>
    <n v="3880"/>
    <b v="0"/>
    <n v="1"/>
  </r>
  <r>
    <b v="1"/>
    <x v="0"/>
    <x v="0"/>
    <x v="2"/>
    <x v="0"/>
    <x v="1"/>
    <x v="36"/>
    <s v="BBG00HPK5N13"/>
    <x v="0"/>
    <s v="7d27df26e2924c4d9fcf8ba0c0d9d684"/>
    <s v="Klabin 2027"/>
    <x v="0"/>
    <x v="10"/>
    <s v="Ecosystem Conservation &amp; Restoration"/>
    <s v="Environmental Protector Program"/>
    <s v="Brazil"/>
    <d v="2018-07-01T00:00:00"/>
    <d v="2018-07-01T00:00:00"/>
    <s v="BRL"/>
    <n v="13370"/>
    <n v="13370"/>
    <s v="USD"/>
    <n v="3450"/>
    <n v="3450"/>
    <b v="0"/>
    <n v="1"/>
  </r>
  <r>
    <b v="1"/>
    <x v="0"/>
    <x v="0"/>
    <x v="2"/>
    <x v="0"/>
    <x v="1"/>
    <x v="36"/>
    <s v="BBG00HPK5N13"/>
    <x v="0"/>
    <s v="7d27df26e2924c4d9fcf8ba0c0d9d684"/>
    <s v="Klabin 2027"/>
    <x v="1"/>
    <x v="11"/>
    <s v="Natural landscapes"/>
    <s v="Environmental Protector Program"/>
    <s v="Brazil"/>
    <d v="2020-07-01T00:00:00"/>
    <d v="2020-07-01T00:00:00"/>
    <s v="BRL"/>
    <n v="14000"/>
    <n v="14000"/>
    <s v="USD"/>
    <n v="3000"/>
    <n v="3000"/>
    <b v="0"/>
    <n v="1"/>
  </r>
  <r>
    <b v="1"/>
    <x v="0"/>
    <x v="0"/>
    <x v="2"/>
    <x v="0"/>
    <x v="1"/>
    <x v="36"/>
    <s v="BBG00HPK5N13"/>
    <x v="0"/>
    <s v="7d27df26e2924c4d9fcf8ba0c0d9d684"/>
    <s v="Klabin 2027"/>
    <x v="1"/>
    <x v="11"/>
    <s v="Natural landscapes"/>
    <s v="Environmental Protector Program"/>
    <s v="Brazil"/>
    <d v="2020-01-01T00:00:00"/>
    <d v="2020-01-01T00:00:00"/>
    <s v="BRL"/>
    <n v="5000"/>
    <n v="5000"/>
    <s v="USD"/>
    <n v="1000"/>
    <n v="1000"/>
    <b v="0"/>
    <n v="1"/>
  </r>
  <r>
    <b v="1"/>
    <x v="0"/>
    <x v="0"/>
    <x v="2"/>
    <x v="0"/>
    <x v="1"/>
    <x v="36"/>
    <s v="BBG00HPK5N13"/>
    <x v="0"/>
    <s v="7d27df26e2924c4d9fcf8ba0c0d9d684"/>
    <s v="Klabin 2027"/>
    <x v="1"/>
    <x v="11"/>
    <s v="Natural landscapes"/>
    <s v="Environmental Protector Program"/>
    <s v="Brazil"/>
    <d v="2019-07-01T00:00:00"/>
    <d v="2019-07-01T00:00:00"/>
    <s v="BRL"/>
    <n v="16000"/>
    <n v="16000"/>
    <s v="USD"/>
    <n v="4000"/>
    <n v="4000"/>
    <b v="0"/>
    <n v="1"/>
  </r>
  <r>
    <b v="1"/>
    <x v="0"/>
    <x v="0"/>
    <x v="2"/>
    <x v="0"/>
    <x v="1"/>
    <x v="36"/>
    <s v="BBG00HPK5N13"/>
    <x v="0"/>
    <s v="7d27df26e2924c4d9fcf8ba0c0d9d684"/>
    <s v="Klabin 2027"/>
    <x v="1"/>
    <x v="11"/>
    <s v="Natural landscapes"/>
    <s v="Environmental Protector Program"/>
    <s v="Brazil"/>
    <d v="2019-01-01T00:00:00"/>
    <d v="2019-01-01T00:00:00"/>
    <s v="BRL"/>
    <n v="14910"/>
    <n v="14910"/>
    <s v="USD"/>
    <n v="3880"/>
    <n v="3880"/>
    <b v="0"/>
    <n v="1"/>
  </r>
  <r>
    <b v="1"/>
    <x v="0"/>
    <x v="0"/>
    <x v="2"/>
    <x v="0"/>
    <x v="1"/>
    <x v="36"/>
    <s v="BBG00HPK5N13"/>
    <x v="0"/>
    <s v="7d27df26e2924c4d9fcf8ba0c0d9d684"/>
    <s v="Klabin 2027"/>
    <x v="1"/>
    <x v="11"/>
    <s v="Natural landscapes"/>
    <s v="Environmental Protector Program"/>
    <s v="Brazil"/>
    <d v="2018-07-01T00:00:00"/>
    <d v="2018-07-01T00:00:00"/>
    <s v="BRL"/>
    <n v="13370"/>
    <n v="13370"/>
    <s v="USD"/>
    <n v="3450"/>
    <n v="3450"/>
    <b v="0"/>
    <n v="1"/>
  </r>
  <r>
    <b v="1"/>
    <x v="0"/>
    <x v="0"/>
    <x v="2"/>
    <x v="0"/>
    <x v="1"/>
    <x v="36"/>
    <s v="BBG00HPK5N13"/>
    <x v="0"/>
    <s v="7d27df26e2924c4d9fcf8ba0c0d9d684"/>
    <s v="Klabin 2027"/>
    <x v="0"/>
    <x v="10"/>
    <s v="Ecosystem Conservation &amp; Restoration"/>
    <s v="Fauna and Flora Monitoring"/>
    <s v="Brazil"/>
    <d v="2017-06-01T00:00:00"/>
    <d v="2017-06-01T00:00:00"/>
    <s v="BRL"/>
    <n v="615000"/>
    <n v="615000"/>
    <s v="USD"/>
    <n v="192639"/>
    <n v="192639"/>
    <b v="1"/>
    <n v="1"/>
  </r>
  <r>
    <b v="1"/>
    <x v="0"/>
    <x v="0"/>
    <x v="2"/>
    <x v="0"/>
    <x v="1"/>
    <x v="36"/>
    <s v="BBG00HPK5N13"/>
    <x v="0"/>
    <s v="7d27df26e2924c4d9fcf8ba0c0d9d684"/>
    <s v="Klabin 2027"/>
    <x v="0"/>
    <x v="10"/>
    <s v="Ecosystem Conservation &amp; Restoration"/>
    <s v="Fauna and Flora Monitoring"/>
    <s v="Brazil"/>
    <d v="2016-06-01T00:00:00"/>
    <d v="2016-06-01T00:00:00"/>
    <s v="BRL"/>
    <n v="582000"/>
    <n v="582000"/>
    <s v="USD"/>
    <n v="167083"/>
    <n v="167083"/>
    <b v="1"/>
    <n v="1"/>
  </r>
  <r>
    <b v="1"/>
    <x v="0"/>
    <x v="0"/>
    <x v="2"/>
    <x v="0"/>
    <x v="1"/>
    <x v="36"/>
    <s v="BBG00HPK5N13"/>
    <x v="0"/>
    <s v="7d27df26e2924c4d9fcf8ba0c0d9d684"/>
    <s v="Klabin 2027"/>
    <x v="0"/>
    <x v="10"/>
    <s v="Ecosystem Conservation &amp; Restoration"/>
    <s v="Fauna and Flora Monitoring"/>
    <s v="Brazil"/>
    <d v="2015-09-01T00:00:00"/>
    <d v="2015-09-01T00:00:00"/>
    <s v="BRL"/>
    <n v="400000"/>
    <n v="400000"/>
    <s v="USD"/>
    <n v="119808"/>
    <n v="119808"/>
    <b v="1"/>
    <n v="1"/>
  </r>
  <r>
    <b v="1"/>
    <x v="0"/>
    <x v="0"/>
    <x v="2"/>
    <x v="0"/>
    <x v="1"/>
    <x v="36"/>
    <s v="BBG00HPK5N13"/>
    <x v="0"/>
    <s v="7d27df26e2924c4d9fcf8ba0c0d9d684"/>
    <s v="Klabin 2027"/>
    <x v="1"/>
    <x v="11"/>
    <s v="Natural landscapes"/>
    <s v="Fauna and Flora Monitoring"/>
    <s v="Brazil"/>
    <d v="2017-06-01T00:00:00"/>
    <d v="2017-06-01T00:00:00"/>
    <s v="BRL"/>
    <n v="615000"/>
    <n v="615000"/>
    <s v="USD"/>
    <n v="192639"/>
    <n v="192639"/>
    <b v="1"/>
    <n v="1"/>
  </r>
  <r>
    <b v="1"/>
    <x v="0"/>
    <x v="0"/>
    <x v="2"/>
    <x v="0"/>
    <x v="1"/>
    <x v="36"/>
    <s v="BBG00HPK5N13"/>
    <x v="0"/>
    <s v="7d27df26e2924c4d9fcf8ba0c0d9d684"/>
    <s v="Klabin 2027"/>
    <x v="1"/>
    <x v="11"/>
    <s v="Natural landscapes"/>
    <s v="Fauna and Flora Monitoring"/>
    <s v="Brazil"/>
    <d v="2016-06-01T00:00:00"/>
    <d v="2016-06-01T00:00:00"/>
    <s v="BRL"/>
    <n v="582000"/>
    <n v="582000"/>
    <s v="USD"/>
    <n v="167083"/>
    <n v="167083"/>
    <b v="1"/>
    <n v="1"/>
  </r>
  <r>
    <b v="1"/>
    <x v="0"/>
    <x v="0"/>
    <x v="2"/>
    <x v="0"/>
    <x v="1"/>
    <x v="36"/>
    <s v="BBG00HPK5N13"/>
    <x v="0"/>
    <s v="7d27df26e2924c4d9fcf8ba0c0d9d684"/>
    <s v="Klabin 2027"/>
    <x v="1"/>
    <x v="11"/>
    <s v="Natural landscapes"/>
    <s v="Fauna and Flora Monitoring"/>
    <s v="Brazil"/>
    <d v="2015-09-01T00:00:00"/>
    <d v="2015-09-01T00:00:00"/>
    <s v="BRL"/>
    <n v="400000"/>
    <n v="400000"/>
    <s v="USD"/>
    <n v="119808"/>
    <n v="119808"/>
    <b v="1"/>
    <n v="1"/>
  </r>
  <r>
    <b v="1"/>
    <x v="0"/>
    <x v="0"/>
    <x v="2"/>
    <x v="0"/>
    <x v="1"/>
    <x v="36"/>
    <s v="BBG00HPK5N13"/>
    <x v="0"/>
    <s v="7d27df26e2924c4d9fcf8ba0c0d9d684"/>
    <s v="Klabin 2027"/>
    <x v="0"/>
    <x v="9"/>
    <s v="Unspecified"/>
    <s v="Fire prevention measures"/>
    <s v="Brazil"/>
    <d v="2021-01-01T00:00:00"/>
    <d v="2021-01-01T00:00:00"/>
    <s v="BRL"/>
    <n v="9875000"/>
    <n v="9875000"/>
    <s v="USD"/>
    <n v="1832000"/>
    <n v="1832000"/>
    <b v="0"/>
    <n v="1"/>
  </r>
  <r>
    <b v="1"/>
    <x v="0"/>
    <x v="0"/>
    <x v="2"/>
    <x v="0"/>
    <x v="1"/>
    <x v="36"/>
    <s v="BBG00HPK5N13"/>
    <x v="0"/>
    <s v="7d27df26e2924c4d9fcf8ba0c0d9d684"/>
    <s v="Klabin 2027"/>
    <x v="0"/>
    <x v="9"/>
    <s v="Unspecified"/>
    <s v="Fire prevention measures"/>
    <s v="Brazil"/>
    <d v="2020-07-01T00:00:00"/>
    <d v="2020-07-01T00:00:00"/>
    <s v="BRL"/>
    <n v="8248000"/>
    <n v="8248000"/>
    <s v="USD"/>
    <n v="1517000"/>
    <n v="1517000"/>
    <b v="0"/>
    <n v="1"/>
  </r>
  <r>
    <b v="1"/>
    <x v="0"/>
    <x v="0"/>
    <x v="2"/>
    <x v="0"/>
    <x v="1"/>
    <x v="36"/>
    <s v="BBG00HPK5N13"/>
    <x v="0"/>
    <s v="7d27df26e2924c4d9fcf8ba0c0d9d684"/>
    <s v="Klabin 2027"/>
    <x v="0"/>
    <x v="9"/>
    <s v="Unspecified"/>
    <s v="Fire prevention measures"/>
    <s v="Brazil"/>
    <d v="2020-01-01T00:00:00"/>
    <d v="2020-01-01T00:00:00"/>
    <s v="BRL"/>
    <n v="6829000"/>
    <n v="6829000"/>
    <s v="USD"/>
    <n v="1387000"/>
    <n v="1387000"/>
    <b v="0"/>
    <n v="1"/>
  </r>
  <r>
    <b v="1"/>
    <x v="0"/>
    <x v="0"/>
    <x v="2"/>
    <x v="0"/>
    <x v="1"/>
    <x v="36"/>
    <s v="BBG00HPK5N13"/>
    <x v="0"/>
    <s v="7d27df26e2924c4d9fcf8ba0c0d9d684"/>
    <s v="Klabin 2027"/>
    <x v="0"/>
    <x v="9"/>
    <s v="Unspecified"/>
    <s v="Fire prevention measures"/>
    <s v="Brazil"/>
    <d v="2019-07-01T00:00:00"/>
    <d v="2019-07-01T00:00:00"/>
    <s v="BRL"/>
    <n v="6237000"/>
    <n v="6237000"/>
    <s v="USD"/>
    <n v="1538000"/>
    <n v="1538000"/>
    <b v="0"/>
    <n v="1"/>
  </r>
  <r>
    <b v="1"/>
    <x v="0"/>
    <x v="0"/>
    <x v="2"/>
    <x v="0"/>
    <x v="1"/>
    <x v="36"/>
    <s v="BBG00HPK5N13"/>
    <x v="0"/>
    <s v="7d27df26e2924c4d9fcf8ba0c0d9d684"/>
    <s v="Klabin 2027"/>
    <x v="1"/>
    <x v="17"/>
    <s v="Early warning systems"/>
    <s v="Fire prevention measures"/>
    <s v="Brazil"/>
    <d v="2021-01-01T00:00:00"/>
    <d v="2021-01-01T00:00:00"/>
    <s v="BRL"/>
    <n v="9875000"/>
    <n v="9875000"/>
    <s v="USD"/>
    <n v="1832000"/>
    <n v="1832000"/>
    <b v="0"/>
    <n v="1"/>
  </r>
  <r>
    <b v="1"/>
    <x v="0"/>
    <x v="0"/>
    <x v="2"/>
    <x v="0"/>
    <x v="1"/>
    <x v="36"/>
    <s v="BBG00HPK5N13"/>
    <x v="0"/>
    <s v="7d27df26e2924c4d9fcf8ba0c0d9d684"/>
    <s v="Klabin 2027"/>
    <x v="1"/>
    <x v="17"/>
    <s v="Early warning systems"/>
    <s v="Fire prevention measures"/>
    <s v="Brazil"/>
    <d v="2020-07-01T00:00:00"/>
    <d v="2020-07-01T00:00:00"/>
    <s v="BRL"/>
    <n v="8248000"/>
    <n v="8248000"/>
    <s v="USD"/>
    <n v="1517000"/>
    <n v="1517000"/>
    <b v="0"/>
    <n v="1"/>
  </r>
  <r>
    <b v="1"/>
    <x v="0"/>
    <x v="0"/>
    <x v="2"/>
    <x v="0"/>
    <x v="1"/>
    <x v="36"/>
    <s v="BBG00HPK5N13"/>
    <x v="0"/>
    <s v="7d27df26e2924c4d9fcf8ba0c0d9d684"/>
    <s v="Klabin 2027"/>
    <x v="1"/>
    <x v="17"/>
    <s v="Early warning systems"/>
    <s v="Fire prevention measures"/>
    <s v="Brazil"/>
    <d v="2020-01-01T00:00:00"/>
    <d v="2020-01-01T00:00:00"/>
    <s v="BRL"/>
    <n v="6829000"/>
    <n v="6829000"/>
    <s v="USD"/>
    <n v="1387000"/>
    <n v="1387000"/>
    <b v="0"/>
    <n v="1"/>
  </r>
  <r>
    <b v="1"/>
    <x v="0"/>
    <x v="0"/>
    <x v="2"/>
    <x v="0"/>
    <x v="1"/>
    <x v="36"/>
    <s v="BBG00HPK5N13"/>
    <x v="0"/>
    <s v="7d27df26e2924c4d9fcf8ba0c0d9d684"/>
    <s v="Klabin 2027"/>
    <x v="1"/>
    <x v="17"/>
    <s v="Early warning systems"/>
    <s v="Fire prevention measures"/>
    <s v="Brazil"/>
    <d v="2019-07-01T00:00:00"/>
    <d v="2019-07-01T00:00:00"/>
    <s v="BRL"/>
    <n v="6237000"/>
    <n v="6237000"/>
    <s v="USD"/>
    <n v="1538000"/>
    <n v="1538000"/>
    <b v="0"/>
    <n v="1"/>
  </r>
  <r>
    <b v="1"/>
    <x v="0"/>
    <x v="0"/>
    <x v="2"/>
    <x v="0"/>
    <x v="1"/>
    <x v="36"/>
    <s v="BBG00HPK5N13"/>
    <x v="0"/>
    <s v="7d27df26e2924c4d9fcf8ba0c0d9d684"/>
    <s v="Klabin 2027"/>
    <x v="0"/>
    <x v="10"/>
    <s v="Ecosystem Conservation &amp; Restoration"/>
    <s v="For√ßa Verde Mirim Program"/>
    <s v="Brazil"/>
    <d v="2019-01-01T00:00:00"/>
    <d v="2019-01-01T00:00:00"/>
    <s v="BRL"/>
    <n v="6670"/>
    <n v="6670"/>
    <s v="USD"/>
    <n v="1740"/>
    <n v="1740"/>
    <b v="0"/>
    <n v="1"/>
  </r>
  <r>
    <b v="1"/>
    <x v="0"/>
    <x v="0"/>
    <x v="2"/>
    <x v="0"/>
    <x v="1"/>
    <x v="36"/>
    <s v="BBG00HPK5N13"/>
    <x v="0"/>
    <s v="7d27df26e2924c4d9fcf8ba0c0d9d684"/>
    <s v="Klabin 2027"/>
    <x v="0"/>
    <x v="10"/>
    <s v="Ecosystem Conservation &amp; Restoration"/>
    <s v="For√ßa Verde Mirim Program"/>
    <s v="Brazil"/>
    <d v="2018-07-01T00:00:00"/>
    <d v="2018-07-01T00:00:00"/>
    <s v="BRL"/>
    <n v="9800"/>
    <n v="9800"/>
    <s v="USD"/>
    <n v="2530"/>
    <n v="2530"/>
    <b v="0"/>
    <n v="1"/>
  </r>
  <r>
    <b v="1"/>
    <x v="0"/>
    <x v="0"/>
    <x v="2"/>
    <x v="0"/>
    <x v="1"/>
    <x v="36"/>
    <s v="BBG00HPK5N13"/>
    <x v="0"/>
    <s v="7d27df26e2924c4d9fcf8ba0c0d9d684"/>
    <s v="Klabin 2027"/>
    <x v="1"/>
    <x v="11"/>
    <s v="Natural landscapes"/>
    <s v="For√ßa Verde Mirim Program"/>
    <s v="Brazil"/>
    <d v="2019-01-01T00:00:00"/>
    <d v="2019-01-01T00:00:00"/>
    <s v="BRL"/>
    <n v="6670"/>
    <n v="6670"/>
    <s v="USD"/>
    <n v="1740"/>
    <n v="1740"/>
    <b v="0"/>
    <n v="1"/>
  </r>
  <r>
    <b v="1"/>
    <x v="0"/>
    <x v="0"/>
    <x v="2"/>
    <x v="0"/>
    <x v="1"/>
    <x v="36"/>
    <s v="BBG00HPK5N13"/>
    <x v="0"/>
    <s v="7d27df26e2924c4d9fcf8ba0c0d9d684"/>
    <s v="Klabin 2027"/>
    <x v="1"/>
    <x v="11"/>
    <s v="Natural landscapes"/>
    <s v="For√ßa Verde Mirim Program"/>
    <s v="Brazil"/>
    <d v="2018-07-01T00:00:00"/>
    <d v="2018-07-01T00:00:00"/>
    <s v="BRL"/>
    <n v="9800"/>
    <n v="9800"/>
    <s v="USD"/>
    <n v="2530"/>
    <n v="2530"/>
    <b v="0"/>
    <n v="1"/>
  </r>
  <r>
    <b v="1"/>
    <x v="0"/>
    <x v="0"/>
    <x v="2"/>
    <x v="0"/>
    <x v="1"/>
    <x v="36"/>
    <s v="BBG00HPK5N13"/>
    <x v="0"/>
    <s v="7d27df26e2924c4d9fcf8ba0c0d9d684"/>
    <s v="Klabin 2027"/>
    <x v="0"/>
    <x v="10"/>
    <s v="Commercial Forestry"/>
    <s v="Forest Certification"/>
    <s v="Brazil"/>
    <d v="2021-01-01T00:00:00"/>
    <d v="2021-01-01T00:00:00"/>
    <s v="BRL"/>
    <n v="36000"/>
    <n v="36000"/>
    <s v="USD"/>
    <n v="7000"/>
    <n v="7000"/>
    <b v="0"/>
    <n v="1"/>
  </r>
  <r>
    <b v="1"/>
    <x v="0"/>
    <x v="0"/>
    <x v="2"/>
    <x v="0"/>
    <x v="1"/>
    <x v="36"/>
    <s v="BBG00HPK5N13"/>
    <x v="0"/>
    <s v="7d27df26e2924c4d9fcf8ba0c0d9d684"/>
    <s v="Klabin 2027"/>
    <x v="0"/>
    <x v="10"/>
    <s v="Commercial Forestry"/>
    <s v="Forest Certification"/>
    <s v="Brazil"/>
    <d v="2020-07-01T00:00:00"/>
    <d v="2020-07-01T00:00:00"/>
    <s v="BRL"/>
    <n v="76000"/>
    <n v="76000"/>
    <s v="USD"/>
    <n v="14000"/>
    <n v="14000"/>
    <b v="0"/>
    <n v="1"/>
  </r>
  <r>
    <b v="1"/>
    <x v="0"/>
    <x v="0"/>
    <x v="2"/>
    <x v="0"/>
    <x v="1"/>
    <x v="36"/>
    <s v="BBG00HPK5N13"/>
    <x v="0"/>
    <s v="7d27df26e2924c4d9fcf8ba0c0d9d684"/>
    <s v="Klabin 2027"/>
    <x v="0"/>
    <x v="10"/>
    <s v="Commercial Forestry"/>
    <s v="Forest Certification"/>
    <s v="Brazil"/>
    <d v="2019-07-01T00:00:00"/>
    <d v="2019-07-01T00:00:00"/>
    <s v="BRL"/>
    <n v="121000"/>
    <n v="121000"/>
    <s v="USD"/>
    <n v="30000"/>
    <n v="30000"/>
    <b v="0"/>
    <n v="1"/>
  </r>
  <r>
    <b v="1"/>
    <x v="0"/>
    <x v="0"/>
    <x v="2"/>
    <x v="0"/>
    <x v="1"/>
    <x v="36"/>
    <s v="BBG00HPK5N13"/>
    <x v="0"/>
    <s v="7d27df26e2924c4d9fcf8ba0c0d9d684"/>
    <s v="Klabin 2027"/>
    <x v="1"/>
    <x v="11"/>
    <s v="Forestry"/>
    <s v="Forest Certification"/>
    <s v="Brazil"/>
    <d v="2021-01-01T00:00:00"/>
    <d v="2021-01-01T00:00:00"/>
    <s v="BRL"/>
    <n v="36000"/>
    <n v="36000"/>
    <s v="USD"/>
    <n v="7000"/>
    <n v="7000"/>
    <b v="0"/>
    <n v="1"/>
  </r>
  <r>
    <b v="1"/>
    <x v="0"/>
    <x v="0"/>
    <x v="2"/>
    <x v="0"/>
    <x v="1"/>
    <x v="36"/>
    <s v="BBG00HPK5N13"/>
    <x v="0"/>
    <s v="7d27df26e2924c4d9fcf8ba0c0d9d684"/>
    <s v="Klabin 2027"/>
    <x v="1"/>
    <x v="11"/>
    <s v="Forestry"/>
    <s v="Forest Certification"/>
    <s v="Brazil"/>
    <d v="2020-07-01T00:00:00"/>
    <d v="2020-07-01T00:00:00"/>
    <s v="BRL"/>
    <n v="76000"/>
    <n v="76000"/>
    <s v="USD"/>
    <n v="14000"/>
    <n v="14000"/>
    <b v="0"/>
    <n v="1"/>
  </r>
  <r>
    <b v="1"/>
    <x v="0"/>
    <x v="0"/>
    <x v="2"/>
    <x v="0"/>
    <x v="1"/>
    <x v="36"/>
    <s v="BBG00HPK5N13"/>
    <x v="0"/>
    <s v="7d27df26e2924c4d9fcf8ba0c0d9d684"/>
    <s v="Klabin 2027"/>
    <x v="1"/>
    <x v="11"/>
    <s v="Forestry"/>
    <s v="Forest Certification"/>
    <s v="Brazil"/>
    <d v="2019-07-01T00:00:00"/>
    <d v="2019-07-01T00:00:00"/>
    <s v="BRL"/>
    <n v="121000"/>
    <n v="121000"/>
    <s v="USD"/>
    <n v="30000"/>
    <n v="30000"/>
    <b v="0"/>
    <n v="1"/>
  </r>
  <r>
    <b v="1"/>
    <x v="0"/>
    <x v="0"/>
    <x v="2"/>
    <x v="0"/>
    <x v="1"/>
    <x v="36"/>
    <s v="BBG00HPK5N13"/>
    <x v="0"/>
    <s v="7d27df26e2924c4d9fcf8ba0c0d9d684"/>
    <s v="Klabin 2027"/>
    <x v="0"/>
    <x v="10"/>
    <s v="Commercial Forestry"/>
    <s v="Forestry"/>
    <s v="Brazil"/>
    <d v="2021-01-01T00:00:00"/>
    <d v="2021-01-01T00:00:00"/>
    <s v="BRL"/>
    <n v="8083000"/>
    <n v="8083000"/>
    <s v="USD"/>
    <n v="1500000"/>
    <n v="1500000"/>
    <b v="1"/>
    <n v="1"/>
  </r>
  <r>
    <b v="1"/>
    <x v="0"/>
    <x v="0"/>
    <x v="2"/>
    <x v="0"/>
    <x v="1"/>
    <x v="36"/>
    <s v="BBG00HPK5N13"/>
    <x v="0"/>
    <s v="7d27df26e2924c4d9fcf8ba0c0d9d684"/>
    <s v="Klabin 2027"/>
    <x v="0"/>
    <x v="10"/>
    <s v="Commercial Forestry"/>
    <s v="Forestry"/>
    <s v="Brazil"/>
    <d v="2020-07-01T00:00:00"/>
    <d v="2020-07-01T00:00:00"/>
    <s v="BRL"/>
    <n v="8895000"/>
    <n v="8895000"/>
    <s v="USD"/>
    <n v="1636"/>
    <n v="1636"/>
    <b v="1"/>
    <n v="1"/>
  </r>
  <r>
    <b v="1"/>
    <x v="0"/>
    <x v="0"/>
    <x v="2"/>
    <x v="0"/>
    <x v="1"/>
    <x v="36"/>
    <s v="BBG00HPK5N13"/>
    <x v="0"/>
    <s v="7d27df26e2924c4d9fcf8ba0c0d9d684"/>
    <s v="Klabin 2027"/>
    <x v="0"/>
    <x v="10"/>
    <s v="Commercial Forestry"/>
    <s v="Forestry"/>
    <s v="Brazil"/>
    <d v="2020-01-01T00:00:00"/>
    <d v="2020-01-01T00:00:00"/>
    <s v="BRL"/>
    <n v="5250000"/>
    <n v="5250000"/>
    <s v="USD"/>
    <n v="1066000"/>
    <n v="1066000"/>
    <b v="1"/>
    <n v="1"/>
  </r>
  <r>
    <b v="1"/>
    <x v="0"/>
    <x v="0"/>
    <x v="2"/>
    <x v="0"/>
    <x v="1"/>
    <x v="36"/>
    <s v="BBG00HPK5N13"/>
    <x v="0"/>
    <s v="7d27df26e2924c4d9fcf8ba0c0d9d684"/>
    <s v="Klabin 2027"/>
    <x v="0"/>
    <x v="10"/>
    <s v="Commercial Forestry"/>
    <s v="Forestry"/>
    <s v="Brazil"/>
    <d v="2019-07-01T00:00:00"/>
    <d v="2019-07-01T00:00:00"/>
    <s v="BRL"/>
    <n v="5522000"/>
    <n v="5522000"/>
    <s v="USD"/>
    <n v="1362000"/>
    <n v="1362000"/>
    <b v="1"/>
    <n v="1"/>
  </r>
  <r>
    <b v="1"/>
    <x v="0"/>
    <x v="0"/>
    <x v="2"/>
    <x v="0"/>
    <x v="1"/>
    <x v="36"/>
    <s v="BBG00HPK5N13"/>
    <x v="0"/>
    <s v="7d27df26e2924c4d9fcf8ba0c0d9d684"/>
    <s v="Klabin 2027"/>
    <x v="0"/>
    <x v="10"/>
    <s v="Commercial Forestry"/>
    <s v="Forestry"/>
    <s v="Brazil"/>
    <d v="2018-01-01T00:00:00"/>
    <d v="2018-01-01T00:00:00"/>
    <s v="BRL"/>
    <n v="47660000"/>
    <n v="47660000"/>
    <s v="USD"/>
    <n v="13905585"/>
    <n v="13905585"/>
    <b v="1"/>
    <n v="1"/>
  </r>
  <r>
    <b v="1"/>
    <x v="0"/>
    <x v="0"/>
    <x v="2"/>
    <x v="0"/>
    <x v="1"/>
    <x v="36"/>
    <s v="BBG00HPK5N13"/>
    <x v="0"/>
    <s v="7d27df26e2924c4d9fcf8ba0c0d9d684"/>
    <s v="Klabin 2027"/>
    <x v="0"/>
    <x v="10"/>
    <s v="Commercial Forestry"/>
    <s v="Forestry"/>
    <s v="Brazil"/>
    <d v="2017-06-01T00:00:00"/>
    <d v="2017-06-01T00:00:00"/>
    <s v="BRL"/>
    <n v="107510000"/>
    <n v="107510000"/>
    <s v="USD"/>
    <n v="33675803"/>
    <n v="33675803"/>
    <b v="1"/>
    <n v="1"/>
  </r>
  <r>
    <b v="1"/>
    <x v="0"/>
    <x v="0"/>
    <x v="2"/>
    <x v="0"/>
    <x v="1"/>
    <x v="36"/>
    <s v="BBG00HPK5N13"/>
    <x v="0"/>
    <s v="7d27df26e2924c4d9fcf8ba0c0d9d684"/>
    <s v="Klabin 2027"/>
    <x v="0"/>
    <x v="10"/>
    <s v="Commercial Forestry"/>
    <s v="Forestry"/>
    <s v="Brazil"/>
    <d v="2016-06-01T00:00:00"/>
    <d v="2016-06-01T00:00:00"/>
    <s v="BRL"/>
    <n v="14661000"/>
    <n v="14661000"/>
    <s v="USD"/>
    <n v="4208940"/>
    <n v="4208940"/>
    <b v="1"/>
    <n v="1"/>
  </r>
  <r>
    <b v="1"/>
    <x v="0"/>
    <x v="0"/>
    <x v="2"/>
    <x v="0"/>
    <x v="1"/>
    <x v="36"/>
    <s v="BBG00HPK5N13"/>
    <x v="0"/>
    <s v="7d27df26e2924c4d9fcf8ba0c0d9d684"/>
    <s v="Klabin 2027"/>
    <x v="0"/>
    <x v="10"/>
    <s v="Commercial Forestry"/>
    <s v="Forestry"/>
    <s v="Brazil"/>
    <d v="2015-09-01T00:00:00"/>
    <d v="2015-09-01T00:00:00"/>
    <s v="BRL"/>
    <n v="4005000"/>
    <n v="4005000"/>
    <s v="USD"/>
    <n v="1199569"/>
    <n v="1199569"/>
    <b v="1"/>
    <n v="1"/>
  </r>
  <r>
    <b v="1"/>
    <x v="0"/>
    <x v="0"/>
    <x v="2"/>
    <x v="0"/>
    <x v="1"/>
    <x v="36"/>
    <s v="BBG00HPK5N13"/>
    <x v="0"/>
    <s v="7d27df26e2924c4d9fcf8ba0c0d9d684"/>
    <s v="Klabin 2027"/>
    <x v="1"/>
    <x v="11"/>
    <s v="Forestry"/>
    <s v="Forestry"/>
    <s v="Brazil"/>
    <d v="2021-01-01T00:00:00"/>
    <d v="2021-01-01T00:00:00"/>
    <s v="BRL"/>
    <n v="8083000"/>
    <n v="8083000"/>
    <s v="USD"/>
    <n v="1500000"/>
    <n v="1500000"/>
    <b v="1"/>
    <n v="1"/>
  </r>
  <r>
    <b v="1"/>
    <x v="0"/>
    <x v="0"/>
    <x v="2"/>
    <x v="0"/>
    <x v="1"/>
    <x v="36"/>
    <s v="BBG00HPK5N13"/>
    <x v="0"/>
    <s v="7d27df26e2924c4d9fcf8ba0c0d9d684"/>
    <s v="Klabin 2027"/>
    <x v="1"/>
    <x v="11"/>
    <s v="Forestry"/>
    <s v="Forestry"/>
    <s v="Brazil"/>
    <d v="2020-07-01T00:00:00"/>
    <d v="2020-07-01T00:00:00"/>
    <s v="BRL"/>
    <n v="8895000"/>
    <n v="8895000"/>
    <s v="USD"/>
    <n v="1636"/>
    <n v="1636"/>
    <b v="1"/>
    <n v="1"/>
  </r>
  <r>
    <b v="1"/>
    <x v="0"/>
    <x v="0"/>
    <x v="2"/>
    <x v="0"/>
    <x v="1"/>
    <x v="36"/>
    <s v="BBG00HPK5N13"/>
    <x v="0"/>
    <s v="7d27df26e2924c4d9fcf8ba0c0d9d684"/>
    <s v="Klabin 2027"/>
    <x v="1"/>
    <x v="11"/>
    <s v="Forestry"/>
    <s v="Forestry"/>
    <s v="Brazil"/>
    <d v="2020-01-01T00:00:00"/>
    <d v="2020-01-01T00:00:00"/>
    <s v="BRL"/>
    <n v="5250000"/>
    <n v="5250000"/>
    <s v="USD"/>
    <n v="1066000"/>
    <n v="1066000"/>
    <b v="1"/>
    <n v="1"/>
  </r>
  <r>
    <b v="1"/>
    <x v="0"/>
    <x v="0"/>
    <x v="2"/>
    <x v="0"/>
    <x v="1"/>
    <x v="36"/>
    <s v="BBG00HPK5N13"/>
    <x v="0"/>
    <s v="7d27df26e2924c4d9fcf8ba0c0d9d684"/>
    <s v="Klabin 2027"/>
    <x v="1"/>
    <x v="11"/>
    <s v="Forestry"/>
    <s v="Forestry"/>
    <s v="Brazil"/>
    <d v="2019-07-01T00:00:00"/>
    <d v="2019-07-01T00:00:00"/>
    <s v="BRL"/>
    <n v="5522000"/>
    <n v="5522000"/>
    <s v="USD"/>
    <n v="1362000"/>
    <n v="1362000"/>
    <b v="1"/>
    <n v="1"/>
  </r>
  <r>
    <b v="1"/>
    <x v="0"/>
    <x v="0"/>
    <x v="2"/>
    <x v="0"/>
    <x v="1"/>
    <x v="36"/>
    <s v="BBG00HPK5N13"/>
    <x v="0"/>
    <s v="7d27df26e2924c4d9fcf8ba0c0d9d684"/>
    <s v="Klabin 2027"/>
    <x v="1"/>
    <x v="11"/>
    <s v="Forestry"/>
    <s v="Forestry"/>
    <s v="Brazil"/>
    <d v="2018-01-01T00:00:00"/>
    <d v="2018-01-01T00:00:00"/>
    <s v="BRL"/>
    <n v="47660000"/>
    <n v="47660000"/>
    <s v="USD"/>
    <n v="13905585"/>
    <n v="13905585"/>
    <b v="1"/>
    <n v="1"/>
  </r>
  <r>
    <b v="1"/>
    <x v="0"/>
    <x v="0"/>
    <x v="2"/>
    <x v="0"/>
    <x v="1"/>
    <x v="36"/>
    <s v="BBG00HPK5N13"/>
    <x v="0"/>
    <s v="7d27df26e2924c4d9fcf8ba0c0d9d684"/>
    <s v="Klabin 2027"/>
    <x v="1"/>
    <x v="11"/>
    <s v="Forestry"/>
    <s v="Forestry"/>
    <s v="Brazil"/>
    <d v="2017-06-01T00:00:00"/>
    <d v="2017-06-01T00:00:00"/>
    <s v="BRL"/>
    <n v="107510000"/>
    <n v="107510000"/>
    <s v="USD"/>
    <n v="33675803"/>
    <n v="33675803"/>
    <b v="1"/>
    <n v="1"/>
  </r>
  <r>
    <b v="1"/>
    <x v="0"/>
    <x v="0"/>
    <x v="2"/>
    <x v="0"/>
    <x v="1"/>
    <x v="36"/>
    <s v="BBG00HPK5N13"/>
    <x v="0"/>
    <s v="7d27df26e2924c4d9fcf8ba0c0d9d684"/>
    <s v="Klabin 2027"/>
    <x v="1"/>
    <x v="11"/>
    <s v="Forestry"/>
    <s v="Forestry"/>
    <s v="Brazil"/>
    <d v="2016-06-01T00:00:00"/>
    <d v="2016-06-01T00:00:00"/>
    <s v="BRL"/>
    <n v="14661000"/>
    <n v="14661000"/>
    <s v="USD"/>
    <n v="4208940"/>
    <n v="4208940"/>
    <b v="1"/>
    <n v="1"/>
  </r>
  <r>
    <b v="1"/>
    <x v="0"/>
    <x v="0"/>
    <x v="2"/>
    <x v="0"/>
    <x v="1"/>
    <x v="36"/>
    <s v="BBG00HPK5N13"/>
    <x v="0"/>
    <s v="7d27df26e2924c4d9fcf8ba0c0d9d684"/>
    <s v="Klabin 2027"/>
    <x v="1"/>
    <x v="11"/>
    <s v="Forestry"/>
    <s v="Forestry"/>
    <s v="Brazil"/>
    <d v="2015-09-01T00:00:00"/>
    <d v="2015-09-01T00:00:00"/>
    <s v="BRL"/>
    <n v="4005000"/>
    <n v="4005000"/>
    <s v="USD"/>
    <n v="1199569"/>
    <n v="1199569"/>
    <b v="1"/>
    <n v="1"/>
  </r>
  <r>
    <b v="1"/>
    <x v="0"/>
    <x v="0"/>
    <x v="2"/>
    <x v="0"/>
    <x v="1"/>
    <x v="14"/>
    <n v="0"/>
    <x v="21"/>
    <s v="857a2aaaa36240d4ac4b2f568bca4a42"/>
    <s v="Williams Renewable Energy Limited"/>
    <x v="0"/>
    <x v="0"/>
    <s v="Solar"/>
    <s v="Williams Renewable Energy"/>
    <s v="Barbados"/>
    <d v="2018-06-30T00:00:00"/>
    <d v="2018-06-30T00:00:00"/>
    <s v="BBD"/>
    <n v="23500000"/>
    <n v="23500000"/>
    <s v="BBD"/>
    <n v="23500000"/>
    <n v="23500000"/>
    <b v="0"/>
    <n v="1"/>
  </r>
  <r>
    <b v="1"/>
    <x v="0"/>
    <x v="0"/>
    <x v="2"/>
    <x v="0"/>
    <x v="1"/>
    <x v="14"/>
    <n v="0"/>
    <x v="21"/>
    <s v="857a2aaaa36240d4ac4b2f568bca4a42"/>
    <s v="Williams Renewable Energy Limited"/>
    <x v="1"/>
    <x v="1"/>
    <s v="Generation"/>
    <s v="Williams Renewable Energy"/>
    <s v="Barbados"/>
    <d v="2018-06-30T00:00:00"/>
    <d v="2018-06-30T00:00:00"/>
    <s v="BBD"/>
    <n v="23500000"/>
    <n v="23500000"/>
    <s v="BBD"/>
    <n v="23500000"/>
    <n v="23500000"/>
    <b v="0"/>
    <n v="1"/>
  </r>
  <r>
    <b v="1"/>
    <x v="0"/>
    <x v="0"/>
    <x v="2"/>
    <x v="0"/>
    <x v="1"/>
    <x v="14"/>
    <n v="0"/>
    <x v="21"/>
    <s v="857a2aaaa36240d4ac4b2f568bca4a42"/>
    <s v="Williams Renewable Energy Limited"/>
    <x v="2"/>
    <x v="9"/>
    <s v="Unspecified"/>
    <s v="Williams Renewable Energy"/>
    <s v="Barbados"/>
    <d v="2018-06-30T00:00:00"/>
    <d v="2018-06-30T00:00:00"/>
    <s v="BBD"/>
    <n v="23500000"/>
    <n v="23500000"/>
    <s v="BBD"/>
    <n v="23500000"/>
    <n v="23500000"/>
    <b v="0"/>
    <n v="1"/>
  </r>
  <r>
    <b v="1"/>
    <x v="0"/>
    <x v="0"/>
    <x v="2"/>
    <x v="0"/>
    <x v="1"/>
    <x v="14"/>
    <n v="0"/>
    <x v="21"/>
    <s v="857a2aaaa36240d4ac4b2f568bca4a42"/>
    <s v="Williams Renewable Energy Limited"/>
    <x v="3"/>
    <x v="9"/>
    <s v="Unspecified"/>
    <s v="Williams Renewable Energy"/>
    <s v="Barbados"/>
    <d v="2018-06-30T00:00:00"/>
    <d v="2018-06-30T00:00:00"/>
    <s v="BBD"/>
    <n v="23500000"/>
    <n v="23500000"/>
    <s v="BBD"/>
    <n v="23500000"/>
    <n v="23500000"/>
    <b v="0"/>
    <n v="1"/>
  </r>
  <r>
    <b v="1"/>
    <x v="0"/>
    <x v="0"/>
    <x v="2"/>
    <x v="0"/>
    <x v="1"/>
    <x v="14"/>
    <n v="0"/>
    <x v="22"/>
    <s v="8e6d700046f54858af9428fd50d0f6ee"/>
    <s v="Green Financial Instruments"/>
    <x v="0"/>
    <x v="0"/>
    <s v="Bioenergy"/>
    <s v="Renewable Energy - Biofuel"/>
    <s v="Brazil"/>
    <d v="2021-11-30T00:00:00"/>
    <d v="2021-11-30T00:00:00"/>
    <s v="BRL"/>
    <n v="857321755"/>
    <n v="857321755"/>
    <s v="USD"/>
    <n v="153093171"/>
    <n v="153093171"/>
    <b v="1"/>
    <n v="1"/>
  </r>
  <r>
    <b v="1"/>
    <x v="0"/>
    <x v="0"/>
    <x v="2"/>
    <x v="0"/>
    <x v="1"/>
    <x v="14"/>
    <n v="0"/>
    <x v="22"/>
    <s v="8e6d700046f54858af9428fd50d0f6ee"/>
    <s v="Green Financial Instruments"/>
    <x v="1"/>
    <x v="1"/>
    <s v="Generation"/>
    <s v="Renewable Energy - Biofuel"/>
    <s v="Brazil"/>
    <d v="2021-11-30T00:00:00"/>
    <d v="2021-11-30T00:00:00"/>
    <s v="BRL"/>
    <n v="857321755"/>
    <n v="857321755"/>
    <s v="USD"/>
    <n v="153093171"/>
    <n v="153093171"/>
    <b v="1"/>
    <n v="1"/>
  </r>
  <r>
    <b v="1"/>
    <x v="0"/>
    <x v="0"/>
    <x v="2"/>
    <x v="0"/>
    <x v="1"/>
    <x v="14"/>
    <n v="0"/>
    <x v="22"/>
    <s v="8e6d700046f54858af9428fd50d0f6ee"/>
    <s v="Green Financial Instruments"/>
    <x v="0"/>
    <x v="0"/>
    <s v="Wind"/>
    <s v="Renewable Energy - Wind/Solar Energy"/>
    <s v="Brazil"/>
    <d v="2021-11-30T00:00:00"/>
    <d v="2021-11-30T00:00:00"/>
    <s v="BRL"/>
    <n v="455956224"/>
    <n v="455956224"/>
    <s v="USD"/>
    <n v="81420754"/>
    <n v="81420754"/>
    <b v="1"/>
    <n v="1"/>
  </r>
  <r>
    <b v="1"/>
    <x v="0"/>
    <x v="0"/>
    <x v="2"/>
    <x v="0"/>
    <x v="1"/>
    <x v="14"/>
    <n v="0"/>
    <x v="22"/>
    <s v="8e6d700046f54858af9428fd50d0f6ee"/>
    <s v="Green Financial Instruments"/>
    <x v="1"/>
    <x v="1"/>
    <s v="Generation"/>
    <s v="Renewable Energy - Wind/Solar Energy"/>
    <s v="Brazil"/>
    <d v="2021-11-30T00:00:00"/>
    <d v="2021-11-30T00:00:00"/>
    <s v="BRL"/>
    <n v="455956224"/>
    <n v="455956224"/>
    <s v="USD"/>
    <n v="81420754"/>
    <n v="81420754"/>
    <b v="1"/>
    <n v="1"/>
  </r>
  <r>
    <b v="1"/>
    <x v="0"/>
    <x v="0"/>
    <x v="2"/>
    <x v="0"/>
    <x v="1"/>
    <x v="14"/>
    <n v="0"/>
    <x v="22"/>
    <s v="8e6d700046f54858af9428fd50d0f6ee"/>
    <s v="Green Financial Instruments"/>
    <x v="0"/>
    <x v="2"/>
    <s v="Treatment"/>
    <s v="Sustainable Water and Wastewater Management"/>
    <s v="Brazil"/>
    <d v="2021-11-30T00:00:00"/>
    <d v="2021-11-30T00:00:00"/>
    <s v="BRL"/>
    <n v="836341305"/>
    <n v="836341305"/>
    <s v="USD"/>
    <n v="149346662"/>
    <n v="149346662"/>
    <b v="1"/>
    <n v="1"/>
  </r>
  <r>
    <b v="1"/>
    <x v="0"/>
    <x v="0"/>
    <x v="2"/>
    <x v="0"/>
    <x v="1"/>
    <x v="14"/>
    <n v="0"/>
    <x v="22"/>
    <s v="8e6d700046f54858af9428fd50d0f6ee"/>
    <s v="Green Financial Instruments"/>
    <x v="1"/>
    <x v="3"/>
    <s v="Infrastructure"/>
    <s v="Sustainable Water and Wastewater Management"/>
    <s v="Brazil"/>
    <d v="2021-11-30T00:00:00"/>
    <d v="2021-11-30T00:00:00"/>
    <s v="BRL"/>
    <n v="836341305"/>
    <n v="836341305"/>
    <s v="USD"/>
    <n v="149346662"/>
    <n v="149346662"/>
    <b v="1"/>
    <n v="1"/>
  </r>
  <r>
    <b v="1"/>
    <x v="0"/>
    <x v="0"/>
    <x v="1"/>
    <x v="0"/>
    <x v="1"/>
    <x v="44"/>
    <n v="0"/>
    <x v="0"/>
    <s v="8c79d4f9366a4162a9629192e2530d2d"/>
    <s v="E√≥lica Serra das Vacas Holding II S.A."/>
    <x v="0"/>
    <x v="0"/>
    <s v="Wind"/>
    <s v="E√≥lica Serra das Vacas - Phase II"/>
    <s v="Brazil"/>
    <d v="2017-06-15T00:00:00"/>
    <d v="2017-12-11T00:00:00"/>
    <s v="BRL"/>
    <n v="48000000"/>
    <n v="48000000"/>
    <s v="BRL"/>
    <n v="48000000"/>
    <n v="14620773"/>
    <b v="1"/>
    <n v="0.15"/>
  </r>
  <r>
    <b v="1"/>
    <x v="0"/>
    <x v="0"/>
    <x v="1"/>
    <x v="0"/>
    <x v="1"/>
    <x v="44"/>
    <n v="0"/>
    <x v="0"/>
    <s v="8c79d4f9366a4162a9629192e2530d2d"/>
    <s v="E√≥lica Serra das Vacas Holding II S.A."/>
    <x v="1"/>
    <x v="1"/>
    <s v="Products"/>
    <s v="E√≥lica Serra das Vacas - Phase II"/>
    <s v="Brazil"/>
    <d v="2017-06-15T00:00:00"/>
    <d v="2017-12-11T00:00:00"/>
    <s v="BRL"/>
    <n v="48000000"/>
    <n v="48000000"/>
    <s v="BRL"/>
    <n v="48000000"/>
    <n v="14620773"/>
    <b v="1"/>
    <n v="0.15"/>
  </r>
  <r>
    <b v="1"/>
    <x v="0"/>
    <x v="0"/>
    <x v="1"/>
    <x v="0"/>
    <x v="1"/>
    <x v="44"/>
    <n v="0"/>
    <x v="0"/>
    <s v="8c79d4f9366a4162a9629192e2530d2d"/>
    <s v="E√≥lica Serra das Vacas Holding II S.A."/>
    <x v="2"/>
    <x v="9"/>
    <s v="Unspecified"/>
    <s v="E√≥lica Serra das Vacas - Phase II"/>
    <s v="Brazil"/>
    <d v="2017-06-15T00:00:00"/>
    <d v="2017-12-11T00:00:00"/>
    <s v="BRL"/>
    <n v="48000000"/>
    <n v="48000000"/>
    <s v="BRL"/>
    <n v="48000000"/>
    <n v="14620773"/>
    <b v="1"/>
    <n v="0.15"/>
  </r>
  <r>
    <b v="1"/>
    <x v="0"/>
    <x v="0"/>
    <x v="1"/>
    <x v="0"/>
    <x v="1"/>
    <x v="44"/>
    <n v="0"/>
    <x v="0"/>
    <s v="8c79d4f9366a4162a9629192e2530d2d"/>
    <s v="E√≥lica Serra das Vacas Holding II S.A."/>
    <x v="3"/>
    <x v="9"/>
    <s v="Unspecified"/>
    <s v="E√≥lica Serra das Vacas - Phase II"/>
    <s v="Brazil"/>
    <d v="2017-06-15T00:00:00"/>
    <d v="2017-12-11T00:00:00"/>
    <s v="BRL"/>
    <n v="48000000"/>
    <n v="48000000"/>
    <s v="BRL"/>
    <n v="48000000"/>
    <n v="14620773"/>
    <b v="1"/>
    <n v="0.15"/>
  </r>
  <r>
    <b v="1"/>
    <x v="0"/>
    <x v="0"/>
    <x v="2"/>
    <x v="0"/>
    <x v="1"/>
    <x v="45"/>
    <s v="BBG00H2F8GK0"/>
    <x v="23"/>
    <s v="6699aa37a3de4631b0742dedc052011e"/>
    <s v="AGUA 17-2x"/>
    <x v="0"/>
    <x v="2"/>
    <s v="Treatment"/>
    <s v="Drinking Water Solutions"/>
    <s v="Mexico"/>
    <d v="2020-12-31T00:00:00"/>
    <d v="2020-12-31T00:00:00"/>
    <s v="MXN"/>
    <n v="55203452"/>
    <n v="55203452"/>
    <s v="MXN"/>
    <n v="55203452"/>
    <n v="2769145"/>
    <b v="1"/>
    <n v="1"/>
  </r>
  <r>
    <b v="1"/>
    <x v="0"/>
    <x v="0"/>
    <x v="2"/>
    <x v="0"/>
    <x v="1"/>
    <x v="45"/>
    <s v="BBG00H2F8GK0"/>
    <x v="23"/>
    <s v="6699aa37a3de4631b0742dedc052011e"/>
    <s v="AGUA 17-2x"/>
    <x v="0"/>
    <x v="2"/>
    <s v="Treatment"/>
    <s v="Drinking Water Solutions"/>
    <s v="Mexico"/>
    <d v="2019-12-31T00:00:00"/>
    <d v="2019-12-31T00:00:00"/>
    <s v="MXN"/>
    <n v="209620252"/>
    <n v="209620252"/>
    <s v="MXN"/>
    <n v="209620252"/>
    <n v="11107062"/>
    <b v="1"/>
    <n v="1"/>
  </r>
  <r>
    <b v="1"/>
    <x v="0"/>
    <x v="0"/>
    <x v="2"/>
    <x v="0"/>
    <x v="1"/>
    <x v="45"/>
    <s v="BBG00H2F8GK0"/>
    <x v="23"/>
    <s v="6699aa37a3de4631b0742dedc052011e"/>
    <s v="AGUA 17-2x"/>
    <x v="0"/>
    <x v="2"/>
    <s v="Treatment"/>
    <s v="Drinking Water Solutions"/>
    <s v="Mexico"/>
    <d v="2018-12-31T00:00:00"/>
    <d v="2018-12-31T00:00:00"/>
    <s v="MXN"/>
    <n v="52934156"/>
    <n v="52934156"/>
    <s v="MXN"/>
    <n v="52934156"/>
    <n v="2692946"/>
    <b v="1"/>
    <n v="1"/>
  </r>
  <r>
    <b v="1"/>
    <x v="0"/>
    <x v="0"/>
    <x v="2"/>
    <x v="0"/>
    <x v="1"/>
    <x v="45"/>
    <s v="BBG00H2F8GK0"/>
    <x v="23"/>
    <s v="6699aa37a3de4631b0742dedc052011e"/>
    <s v="AGUA 17-2x"/>
    <x v="0"/>
    <x v="2"/>
    <s v="Treatment"/>
    <s v="Drinking Water Solutions"/>
    <s v="Mexico"/>
    <d v="2017-12-31T00:00:00"/>
    <d v="2017-12-31T00:00:00"/>
    <s v="MXN"/>
    <n v="275000000"/>
    <n v="275000000"/>
    <s v="MXN"/>
    <n v="275000000"/>
    <n v="14130463"/>
    <b v="1"/>
    <n v="1"/>
  </r>
  <r>
    <b v="1"/>
    <x v="0"/>
    <x v="0"/>
    <x v="2"/>
    <x v="0"/>
    <x v="1"/>
    <x v="45"/>
    <s v="BBG00H2F8GK0"/>
    <x v="23"/>
    <s v="6699aa37a3de4631b0742dedc052011e"/>
    <s v="AGUA 17-2x"/>
    <x v="1"/>
    <x v="3"/>
    <s v="Wastewater treatment"/>
    <s v="Drinking Water Solutions"/>
    <s v="Mexico"/>
    <d v="2020-12-31T00:00:00"/>
    <d v="2020-12-31T00:00:00"/>
    <s v="MXN"/>
    <n v="55203452"/>
    <n v="55203452"/>
    <s v="MXN"/>
    <n v="55203452"/>
    <n v="2769145"/>
    <b v="1"/>
    <n v="1"/>
  </r>
  <r>
    <b v="1"/>
    <x v="0"/>
    <x v="0"/>
    <x v="2"/>
    <x v="0"/>
    <x v="1"/>
    <x v="45"/>
    <s v="BBG00H2F8GK0"/>
    <x v="23"/>
    <s v="6699aa37a3de4631b0742dedc052011e"/>
    <s v="AGUA 17-2x"/>
    <x v="1"/>
    <x v="3"/>
    <s v="Wastewater treatment"/>
    <s v="Drinking Water Solutions"/>
    <s v="Mexico"/>
    <d v="2019-12-31T00:00:00"/>
    <d v="2019-12-31T00:00:00"/>
    <s v="MXN"/>
    <n v="209620252"/>
    <n v="209620252"/>
    <s v="MXN"/>
    <n v="209620252"/>
    <n v="11107062"/>
    <b v="1"/>
    <n v="1"/>
  </r>
  <r>
    <b v="1"/>
    <x v="0"/>
    <x v="0"/>
    <x v="2"/>
    <x v="0"/>
    <x v="1"/>
    <x v="45"/>
    <s v="BBG00H2F8GK0"/>
    <x v="23"/>
    <s v="6699aa37a3de4631b0742dedc052011e"/>
    <s v="AGUA 17-2x"/>
    <x v="1"/>
    <x v="3"/>
    <s v="Wastewater treatment"/>
    <s v="Drinking Water Solutions"/>
    <s v="Mexico"/>
    <d v="2018-12-31T00:00:00"/>
    <d v="2018-12-31T00:00:00"/>
    <s v="MXN"/>
    <n v="52934156"/>
    <n v="52934156"/>
    <s v="MXN"/>
    <n v="52934156"/>
    <n v="2692946"/>
    <b v="1"/>
    <n v="1"/>
  </r>
  <r>
    <b v="1"/>
    <x v="0"/>
    <x v="0"/>
    <x v="2"/>
    <x v="0"/>
    <x v="1"/>
    <x v="45"/>
    <s v="BBG00H2F8GK0"/>
    <x v="23"/>
    <s v="6699aa37a3de4631b0742dedc052011e"/>
    <s v="AGUA 17-2x"/>
    <x v="1"/>
    <x v="3"/>
    <s v="Wastewater treatment"/>
    <s v="Drinking Water Solutions"/>
    <s v="Mexico"/>
    <d v="2017-12-31T00:00:00"/>
    <d v="2017-12-31T00:00:00"/>
    <s v="MXN"/>
    <n v="275000000"/>
    <n v="275000000"/>
    <s v="MXN"/>
    <n v="275000000"/>
    <n v="14130463"/>
    <b v="1"/>
    <n v="1"/>
  </r>
  <r>
    <b v="1"/>
    <x v="0"/>
    <x v="0"/>
    <x v="2"/>
    <x v="0"/>
    <x v="1"/>
    <x v="45"/>
    <s v="BBG00H2F8GK0"/>
    <x v="23"/>
    <s v="6699aa37a3de4631b0742dedc052011e"/>
    <s v="AGUA 17-2x"/>
    <x v="0"/>
    <x v="2"/>
    <s v="Treatment"/>
    <s v="Water and Wastewater Treatment"/>
    <s v="Mexico"/>
    <d v="2020-12-31T00:00:00"/>
    <d v="2020-12-31T00:00:00"/>
    <s v="MXN"/>
    <n v="230357064"/>
    <n v="230357064"/>
    <s v="MXN"/>
    <n v="230357064"/>
    <n v="11555292"/>
    <b v="1"/>
    <n v="1"/>
  </r>
  <r>
    <b v="1"/>
    <x v="0"/>
    <x v="0"/>
    <x v="2"/>
    <x v="0"/>
    <x v="1"/>
    <x v="45"/>
    <s v="BBG00H2F8GK0"/>
    <x v="23"/>
    <s v="6699aa37a3de4631b0742dedc052011e"/>
    <s v="AGUA 17-2x"/>
    <x v="0"/>
    <x v="2"/>
    <s v="Treatment"/>
    <s v="Water and Wastewater Treatment"/>
    <s v="Mexico"/>
    <d v="2019-12-31T00:00:00"/>
    <d v="2019-12-31T00:00:00"/>
    <s v="MXN"/>
    <n v="173699645"/>
    <n v="173699645"/>
    <s v="MXN"/>
    <n v="173699645"/>
    <n v="9203752"/>
    <b v="1"/>
    <n v="1"/>
  </r>
  <r>
    <b v="1"/>
    <x v="0"/>
    <x v="0"/>
    <x v="2"/>
    <x v="0"/>
    <x v="1"/>
    <x v="45"/>
    <s v="BBG00H2F8GK0"/>
    <x v="23"/>
    <s v="6699aa37a3de4631b0742dedc052011e"/>
    <s v="AGUA 17-2x"/>
    <x v="0"/>
    <x v="2"/>
    <s v="Treatment"/>
    <s v="Water and Wastewater Treatment"/>
    <s v="Mexico"/>
    <d v="2018-12-31T00:00:00"/>
    <d v="2018-12-31T00:00:00"/>
    <s v="MXN"/>
    <n v="64637818"/>
    <n v="64637818"/>
    <s v="MXN"/>
    <n v="64637818"/>
    <n v="3288352"/>
    <b v="1"/>
    <n v="1"/>
  </r>
  <r>
    <b v="1"/>
    <x v="0"/>
    <x v="0"/>
    <x v="2"/>
    <x v="0"/>
    <x v="1"/>
    <x v="45"/>
    <s v="BBG00H2F8GK0"/>
    <x v="23"/>
    <s v="6699aa37a3de4631b0742dedc052011e"/>
    <s v="AGUA 17-2x"/>
    <x v="0"/>
    <x v="2"/>
    <s v="Treatment"/>
    <s v="Water and Wastewater Treatment"/>
    <s v="Mexico"/>
    <d v="2017-12-31T00:00:00"/>
    <d v="2017-12-31T00:00:00"/>
    <s v="MXN"/>
    <n v="1562309772"/>
    <n v="1562309772"/>
    <s v="MXN"/>
    <n v="1562309772"/>
    <n v="80276945"/>
    <b v="1"/>
    <n v="1"/>
  </r>
  <r>
    <b v="1"/>
    <x v="0"/>
    <x v="0"/>
    <x v="2"/>
    <x v="0"/>
    <x v="1"/>
    <x v="45"/>
    <s v="BBG00H2F8GK0"/>
    <x v="23"/>
    <s v="6699aa37a3de4631b0742dedc052011e"/>
    <s v="AGUA 17-2x"/>
    <x v="1"/>
    <x v="3"/>
    <s v="Wastewater treatment"/>
    <s v="Water and Wastewater Treatment"/>
    <s v="Mexico"/>
    <d v="2020-12-31T00:00:00"/>
    <d v="2020-12-31T00:00:00"/>
    <s v="MXN"/>
    <n v="230357064"/>
    <n v="230357064"/>
    <s v="MXN"/>
    <n v="230357064"/>
    <n v="11555292"/>
    <b v="1"/>
    <n v="1"/>
  </r>
  <r>
    <b v="1"/>
    <x v="0"/>
    <x v="0"/>
    <x v="2"/>
    <x v="0"/>
    <x v="1"/>
    <x v="45"/>
    <s v="BBG00H2F8GK0"/>
    <x v="23"/>
    <s v="6699aa37a3de4631b0742dedc052011e"/>
    <s v="AGUA 17-2x"/>
    <x v="1"/>
    <x v="3"/>
    <s v="Wastewater treatment"/>
    <s v="Water and Wastewater Treatment"/>
    <s v="Mexico"/>
    <d v="2019-12-31T00:00:00"/>
    <d v="2019-12-31T00:00:00"/>
    <s v="MXN"/>
    <n v="173699645"/>
    <n v="173699645"/>
    <s v="MXN"/>
    <n v="173699645"/>
    <n v="9203752"/>
    <b v="1"/>
    <n v="1"/>
  </r>
  <r>
    <b v="1"/>
    <x v="0"/>
    <x v="0"/>
    <x v="2"/>
    <x v="0"/>
    <x v="1"/>
    <x v="45"/>
    <s v="BBG00H2F8GK0"/>
    <x v="23"/>
    <s v="6699aa37a3de4631b0742dedc052011e"/>
    <s v="AGUA 17-2x"/>
    <x v="1"/>
    <x v="3"/>
    <s v="Wastewater treatment"/>
    <s v="Water and Wastewater Treatment"/>
    <s v="Mexico"/>
    <d v="2018-12-31T00:00:00"/>
    <d v="2018-12-31T00:00:00"/>
    <s v="MXN"/>
    <n v="64637818"/>
    <n v="64637818"/>
    <s v="MXN"/>
    <n v="64637818"/>
    <n v="3288352"/>
    <b v="1"/>
    <n v="1"/>
  </r>
  <r>
    <b v="1"/>
    <x v="0"/>
    <x v="0"/>
    <x v="2"/>
    <x v="0"/>
    <x v="1"/>
    <x v="45"/>
    <s v="BBG00H2F8GK0"/>
    <x v="23"/>
    <s v="6699aa37a3de4631b0742dedc052011e"/>
    <s v="AGUA 17-2x"/>
    <x v="1"/>
    <x v="3"/>
    <s v="Wastewater treatment"/>
    <s v="Water and Wastewater Treatment"/>
    <s v="Mexico"/>
    <d v="2017-12-31T00:00:00"/>
    <d v="2017-12-31T00:00:00"/>
    <s v="MXN"/>
    <n v="1562309772"/>
    <n v="1562309772"/>
    <s v="MXN"/>
    <n v="1562309772"/>
    <n v="80276945"/>
    <b v="1"/>
    <n v="1"/>
  </r>
  <r>
    <b v="1"/>
    <x v="0"/>
    <x v="0"/>
    <x v="0"/>
    <x v="0"/>
    <x v="0"/>
    <x v="14"/>
    <n v="0"/>
    <x v="24"/>
    <s v="fd47a3cbf44c4c7bb9c69c5ad3fcc8e0"/>
    <s v="CBI Certified Portfolio"/>
    <x v="0"/>
    <x v="5"/>
    <s v="Public"/>
    <s v="Line 3 of Metro"/>
    <s v="Chile"/>
    <d v="2020-12-31T00:00:00"/>
    <d v="2020-12-31T00:00:00"/>
    <s v="USD"/>
    <n v="900000"/>
    <n v="900000"/>
    <s v="USD"/>
    <n v="900000"/>
    <n v="900000"/>
    <b v="1"/>
    <n v="1"/>
  </r>
  <r>
    <b v="1"/>
    <x v="0"/>
    <x v="0"/>
    <x v="0"/>
    <x v="0"/>
    <x v="0"/>
    <x v="14"/>
    <n v="0"/>
    <x v="24"/>
    <s v="fd47a3cbf44c4c7bb9c69c5ad3fcc8e0"/>
    <s v="CBI Certified Portfolio"/>
    <x v="0"/>
    <x v="5"/>
    <s v="Public"/>
    <s v="Line 3 of Metro"/>
    <s v="Chile"/>
    <d v="2019-12-31T00:00:00"/>
    <d v="2019-12-31T00:00:00"/>
    <s v="USD"/>
    <n v="123800000"/>
    <n v="124700000"/>
    <s v="USD"/>
    <n v="124700000"/>
    <n v="124700000"/>
    <b v="1"/>
    <n v="1"/>
  </r>
  <r>
    <b v="1"/>
    <x v="0"/>
    <x v="0"/>
    <x v="0"/>
    <x v="0"/>
    <x v="0"/>
    <x v="14"/>
    <n v="0"/>
    <x v="24"/>
    <s v="fd47a3cbf44c4c7bb9c69c5ad3fcc8e0"/>
    <s v="CBI Certified Portfolio"/>
    <x v="0"/>
    <x v="5"/>
    <s v="Public"/>
    <s v="Line 3 of Metro"/>
    <s v="Chile"/>
    <d v="2018-12-31T00:00:00"/>
    <d v="2018-12-31T00:00:00"/>
    <s v="USD"/>
    <n v="236700000"/>
    <n v="236700000"/>
    <s v="USD"/>
    <n v="236700000"/>
    <n v="236700000"/>
    <b v="1"/>
    <n v="1"/>
  </r>
  <r>
    <b v="1"/>
    <x v="0"/>
    <x v="0"/>
    <x v="0"/>
    <x v="0"/>
    <x v="0"/>
    <x v="14"/>
    <n v="0"/>
    <x v="24"/>
    <s v="fd47a3cbf44c4c7bb9c69c5ad3fcc8e0"/>
    <s v="CBI Certified Portfolio"/>
    <x v="1"/>
    <x v="6"/>
    <s v="Rail"/>
    <s v="Line 3 of Metro"/>
    <s v="Chile"/>
    <d v="2020-12-31T00:00:00"/>
    <d v="2020-12-31T00:00:00"/>
    <s v="USD"/>
    <n v="900000"/>
    <n v="900000"/>
    <s v="USD"/>
    <n v="900000"/>
    <n v="900000"/>
    <b v="1"/>
    <n v="1"/>
  </r>
  <r>
    <b v="1"/>
    <x v="0"/>
    <x v="0"/>
    <x v="0"/>
    <x v="0"/>
    <x v="0"/>
    <x v="14"/>
    <n v="0"/>
    <x v="24"/>
    <s v="fd47a3cbf44c4c7bb9c69c5ad3fcc8e0"/>
    <s v="CBI Certified Portfolio"/>
    <x v="1"/>
    <x v="6"/>
    <s v="Rail"/>
    <s v="Line 3 of Metro"/>
    <s v="Chile"/>
    <d v="2019-12-31T00:00:00"/>
    <d v="2019-12-31T00:00:00"/>
    <s v="USD"/>
    <n v="123800000"/>
    <n v="124700000"/>
    <s v="USD"/>
    <n v="124700000"/>
    <n v="124700000"/>
    <b v="1"/>
    <n v="1"/>
  </r>
  <r>
    <b v="1"/>
    <x v="0"/>
    <x v="0"/>
    <x v="0"/>
    <x v="0"/>
    <x v="0"/>
    <x v="14"/>
    <n v="0"/>
    <x v="24"/>
    <s v="fd47a3cbf44c4c7bb9c69c5ad3fcc8e0"/>
    <s v="CBI Certified Portfolio"/>
    <x v="1"/>
    <x v="6"/>
    <s v="Rail"/>
    <s v="Line 3 of Metro"/>
    <s v="Chile"/>
    <d v="2018-12-31T00:00:00"/>
    <d v="2018-12-31T00:00:00"/>
    <s v="USD"/>
    <n v="236700000"/>
    <n v="236700000"/>
    <s v="USD"/>
    <n v="236700000"/>
    <n v="236700000"/>
    <b v="1"/>
    <n v="1"/>
  </r>
  <r>
    <b v="1"/>
    <x v="0"/>
    <x v="0"/>
    <x v="0"/>
    <x v="0"/>
    <x v="0"/>
    <x v="14"/>
    <n v="0"/>
    <x v="24"/>
    <s v="fd47a3cbf44c4c7bb9c69c5ad3fcc8e0"/>
    <s v="CBI Certified Portfolio"/>
    <x v="0"/>
    <x v="5"/>
    <s v="Public"/>
    <s v="Extension of Metro Line 3"/>
    <s v="Chile"/>
    <d v="2020-12-31T00:00:00"/>
    <d v="2020-12-31T00:00:00"/>
    <s v="USD"/>
    <n v="41000000"/>
    <n v="41000000"/>
    <s v="USD"/>
    <n v="41000000"/>
    <n v="41000000"/>
    <b v="1"/>
    <n v="1"/>
  </r>
  <r>
    <b v="1"/>
    <x v="0"/>
    <x v="0"/>
    <x v="0"/>
    <x v="0"/>
    <x v="0"/>
    <x v="14"/>
    <n v="0"/>
    <x v="24"/>
    <s v="fd47a3cbf44c4c7bb9c69c5ad3fcc8e0"/>
    <s v="CBI Certified Portfolio"/>
    <x v="0"/>
    <x v="5"/>
    <s v="Public"/>
    <s v="Extension of Metro Line 3"/>
    <s v="Chile"/>
    <d v="2019-12-31T00:00:00"/>
    <d v="2019-12-31T00:00:00"/>
    <s v="USD"/>
    <n v="40200000"/>
    <n v="40200000"/>
    <s v="USD"/>
    <n v="40200000"/>
    <n v="40200000"/>
    <b v="1"/>
    <n v="1"/>
  </r>
  <r>
    <b v="1"/>
    <x v="0"/>
    <x v="0"/>
    <x v="0"/>
    <x v="0"/>
    <x v="0"/>
    <x v="14"/>
    <n v="0"/>
    <x v="24"/>
    <s v="fd47a3cbf44c4c7bb9c69c5ad3fcc8e0"/>
    <s v="CBI Certified Portfolio"/>
    <x v="0"/>
    <x v="5"/>
    <s v="Public"/>
    <s v="Extension of Metro Line 3"/>
    <s v="Chile"/>
    <d v="2018-12-31T00:00:00"/>
    <d v="2018-12-31T00:00:00"/>
    <s v="USD"/>
    <n v="70200000"/>
    <n v="70200000"/>
    <s v="USD"/>
    <n v="70200000"/>
    <n v="70200000"/>
    <b v="1"/>
    <n v="1"/>
  </r>
  <r>
    <b v="1"/>
    <x v="0"/>
    <x v="0"/>
    <x v="0"/>
    <x v="0"/>
    <x v="0"/>
    <x v="14"/>
    <n v="0"/>
    <x v="24"/>
    <s v="fd47a3cbf44c4c7bb9c69c5ad3fcc8e0"/>
    <s v="CBI Certified Portfolio"/>
    <x v="1"/>
    <x v="6"/>
    <s v="Rail"/>
    <s v="Extension of Metro Line 3"/>
    <s v="Chile"/>
    <d v="2020-12-31T00:00:00"/>
    <d v="2020-12-31T00:00:00"/>
    <s v="USD"/>
    <n v="41000000"/>
    <n v="41000000"/>
    <s v="USD"/>
    <n v="41000000"/>
    <n v="41000000"/>
    <b v="1"/>
    <n v="1"/>
  </r>
  <r>
    <b v="1"/>
    <x v="0"/>
    <x v="0"/>
    <x v="0"/>
    <x v="0"/>
    <x v="0"/>
    <x v="14"/>
    <n v="0"/>
    <x v="24"/>
    <s v="fd47a3cbf44c4c7bb9c69c5ad3fcc8e0"/>
    <s v="CBI Certified Portfolio"/>
    <x v="1"/>
    <x v="6"/>
    <s v="Rail"/>
    <s v="Extension of Metro Line 3"/>
    <s v="Chile"/>
    <d v="2019-12-31T00:00:00"/>
    <d v="2019-12-31T00:00:00"/>
    <s v="USD"/>
    <n v="40200000"/>
    <n v="40200000"/>
    <s v="USD"/>
    <n v="40200000"/>
    <n v="40200000"/>
    <b v="1"/>
    <n v="1"/>
  </r>
  <r>
    <b v="1"/>
    <x v="0"/>
    <x v="0"/>
    <x v="0"/>
    <x v="0"/>
    <x v="0"/>
    <x v="14"/>
    <n v="0"/>
    <x v="24"/>
    <s v="fd47a3cbf44c4c7bb9c69c5ad3fcc8e0"/>
    <s v="CBI Certified Portfolio"/>
    <x v="1"/>
    <x v="6"/>
    <s v="Rail"/>
    <s v="Extension of Metro Line 3"/>
    <s v="Chile"/>
    <d v="2018-12-31T00:00:00"/>
    <d v="2018-12-31T00:00:00"/>
    <s v="USD"/>
    <n v="70200000"/>
    <n v="70200000"/>
    <s v="USD"/>
    <n v="70200000"/>
    <n v="70200000"/>
    <b v="1"/>
    <n v="1"/>
  </r>
  <r>
    <b v="1"/>
    <x v="0"/>
    <x v="0"/>
    <x v="0"/>
    <x v="0"/>
    <x v="0"/>
    <x v="14"/>
    <n v="0"/>
    <x v="24"/>
    <s v="fd47a3cbf44c4c7bb9c69c5ad3fcc8e0"/>
    <s v="CBI Certified Portfolio"/>
    <x v="0"/>
    <x v="5"/>
    <s v="Public"/>
    <s v="Extension of Metro Line 2"/>
    <s v="Chile"/>
    <d v="2020-12-31T00:00:00"/>
    <d v="2020-12-31T00:00:00"/>
    <s v="USD"/>
    <n v="74700000"/>
    <n v="74700000"/>
    <s v="USD"/>
    <n v="74700000"/>
    <n v="74700000"/>
    <b v="1"/>
    <n v="1"/>
  </r>
  <r>
    <b v="1"/>
    <x v="0"/>
    <x v="0"/>
    <x v="0"/>
    <x v="0"/>
    <x v="0"/>
    <x v="14"/>
    <n v="0"/>
    <x v="24"/>
    <s v="fd47a3cbf44c4c7bb9c69c5ad3fcc8e0"/>
    <s v="CBI Certified Portfolio"/>
    <x v="0"/>
    <x v="5"/>
    <s v="Public"/>
    <s v="Extension of Metro Line 2"/>
    <s v="Chile"/>
    <d v="2019-12-31T00:00:00"/>
    <d v="2019-12-31T00:00:00"/>
    <s v="USD"/>
    <n v="50700000"/>
    <n v="50700000"/>
    <s v="USD"/>
    <n v="50700000"/>
    <n v="50700000"/>
    <b v="1"/>
    <n v="1"/>
  </r>
  <r>
    <b v="1"/>
    <x v="0"/>
    <x v="0"/>
    <x v="0"/>
    <x v="0"/>
    <x v="0"/>
    <x v="14"/>
    <n v="0"/>
    <x v="24"/>
    <s v="fd47a3cbf44c4c7bb9c69c5ad3fcc8e0"/>
    <s v="CBI Certified Portfolio"/>
    <x v="0"/>
    <x v="5"/>
    <s v="Public"/>
    <s v="Extension of Metro Line 2"/>
    <s v="Chile"/>
    <d v="2018-12-31T00:00:00"/>
    <d v="2018-12-31T00:00:00"/>
    <s v="USD"/>
    <n v="7700000"/>
    <n v="7700000"/>
    <s v="USD"/>
    <n v="7700000"/>
    <n v="7700000"/>
    <b v="1"/>
    <n v="1"/>
  </r>
  <r>
    <b v="1"/>
    <x v="0"/>
    <x v="0"/>
    <x v="0"/>
    <x v="0"/>
    <x v="0"/>
    <x v="14"/>
    <n v="0"/>
    <x v="24"/>
    <s v="fd47a3cbf44c4c7bb9c69c5ad3fcc8e0"/>
    <s v="CBI Certified Portfolio"/>
    <x v="1"/>
    <x v="6"/>
    <s v="Rail"/>
    <s v="Extension of Metro Line 2"/>
    <s v="Chile"/>
    <d v="2020-12-31T00:00:00"/>
    <d v="2020-12-31T00:00:00"/>
    <s v="USD"/>
    <n v="74700000"/>
    <n v="74700000"/>
    <s v="USD"/>
    <n v="74700000"/>
    <n v="74700000"/>
    <b v="1"/>
    <n v="1"/>
  </r>
  <r>
    <b v="1"/>
    <x v="0"/>
    <x v="0"/>
    <x v="0"/>
    <x v="0"/>
    <x v="0"/>
    <x v="14"/>
    <n v="0"/>
    <x v="24"/>
    <s v="fd47a3cbf44c4c7bb9c69c5ad3fcc8e0"/>
    <s v="CBI Certified Portfolio"/>
    <x v="1"/>
    <x v="6"/>
    <s v="Rail"/>
    <s v="Extension of Metro Line 2"/>
    <s v="Chile"/>
    <d v="2019-12-31T00:00:00"/>
    <d v="2019-12-31T00:00:00"/>
    <s v="USD"/>
    <n v="50700000"/>
    <n v="50700000"/>
    <s v="USD"/>
    <n v="50700000"/>
    <n v="50700000"/>
    <b v="1"/>
    <n v="1"/>
  </r>
  <r>
    <b v="1"/>
    <x v="0"/>
    <x v="0"/>
    <x v="0"/>
    <x v="0"/>
    <x v="0"/>
    <x v="14"/>
    <n v="0"/>
    <x v="24"/>
    <s v="fd47a3cbf44c4c7bb9c69c5ad3fcc8e0"/>
    <s v="CBI Certified Portfolio"/>
    <x v="1"/>
    <x v="6"/>
    <s v="Rail"/>
    <s v="Extension of Metro Line 2"/>
    <s v="Chile"/>
    <d v="2018-12-31T00:00:00"/>
    <d v="2018-12-31T00:00:00"/>
    <s v="USD"/>
    <n v="7700000"/>
    <n v="7700000"/>
    <s v="USD"/>
    <n v="7700000"/>
    <n v="7700000"/>
    <b v="1"/>
    <n v="1"/>
  </r>
  <r>
    <b v="1"/>
    <x v="0"/>
    <x v="0"/>
    <x v="0"/>
    <x v="0"/>
    <x v="0"/>
    <x v="14"/>
    <n v="0"/>
    <x v="24"/>
    <s v="fd47a3cbf44c4c7bb9c69c5ad3fcc8e0"/>
    <s v="CBI Certified Portfolio"/>
    <x v="0"/>
    <x v="5"/>
    <s v="Public"/>
    <s v="Line 7 of Metro"/>
    <s v="Chile"/>
    <d v="2020-12-31T00:00:00"/>
    <d v="2020-12-31T00:00:00"/>
    <s v="USD"/>
    <n v="93800000"/>
    <n v="93800000"/>
    <s v="USD"/>
    <n v="93800000"/>
    <n v="93800000"/>
    <b v="1"/>
    <n v="1"/>
  </r>
  <r>
    <b v="1"/>
    <x v="0"/>
    <x v="0"/>
    <x v="0"/>
    <x v="0"/>
    <x v="0"/>
    <x v="14"/>
    <n v="0"/>
    <x v="24"/>
    <s v="fd47a3cbf44c4c7bb9c69c5ad3fcc8e0"/>
    <s v="CBI Certified Portfolio"/>
    <x v="0"/>
    <x v="5"/>
    <s v="Public"/>
    <s v="Line 7 of Metro"/>
    <s v="Chile"/>
    <d v="2019-12-31T00:00:00"/>
    <d v="2019-12-31T00:00:00"/>
    <s v="USD"/>
    <n v="20700000"/>
    <n v="20700000"/>
    <s v="USD"/>
    <n v="20700000"/>
    <n v="20700000"/>
    <b v="1"/>
    <n v="1"/>
  </r>
  <r>
    <b v="1"/>
    <x v="0"/>
    <x v="0"/>
    <x v="0"/>
    <x v="0"/>
    <x v="0"/>
    <x v="14"/>
    <n v="0"/>
    <x v="24"/>
    <s v="fd47a3cbf44c4c7bb9c69c5ad3fcc8e0"/>
    <s v="CBI Certified Portfolio"/>
    <x v="0"/>
    <x v="5"/>
    <s v="Public"/>
    <s v="Line 7 of Metro"/>
    <s v="Chile"/>
    <d v="2018-12-31T00:00:00"/>
    <d v="2018-12-31T00:00:00"/>
    <s v="USD"/>
    <n v="3800000"/>
    <n v="3800000"/>
    <s v="USD"/>
    <n v="3800000"/>
    <n v="3800000"/>
    <b v="1"/>
    <n v="1"/>
  </r>
  <r>
    <b v="1"/>
    <x v="0"/>
    <x v="0"/>
    <x v="0"/>
    <x v="0"/>
    <x v="0"/>
    <x v="14"/>
    <n v="0"/>
    <x v="24"/>
    <s v="fd47a3cbf44c4c7bb9c69c5ad3fcc8e0"/>
    <s v="CBI Certified Portfolio"/>
    <x v="1"/>
    <x v="6"/>
    <s v="Rail"/>
    <s v="Line 7 of Metro"/>
    <s v="Chile"/>
    <d v="2020-12-31T00:00:00"/>
    <d v="2020-12-31T00:00:00"/>
    <s v="USD"/>
    <n v="93800000"/>
    <n v="93800000"/>
    <s v="USD"/>
    <n v="93800000"/>
    <n v="93800000"/>
    <b v="1"/>
    <n v="1"/>
  </r>
  <r>
    <b v="1"/>
    <x v="0"/>
    <x v="0"/>
    <x v="0"/>
    <x v="0"/>
    <x v="0"/>
    <x v="14"/>
    <n v="0"/>
    <x v="24"/>
    <s v="fd47a3cbf44c4c7bb9c69c5ad3fcc8e0"/>
    <s v="CBI Certified Portfolio"/>
    <x v="1"/>
    <x v="6"/>
    <s v="Rail"/>
    <s v="Line 7 of Metro"/>
    <s v="Chile"/>
    <d v="2019-12-31T00:00:00"/>
    <d v="2019-12-31T00:00:00"/>
    <s v="USD"/>
    <n v="20700000"/>
    <n v="20700000"/>
    <s v="USD"/>
    <n v="20700000"/>
    <n v="20700000"/>
    <b v="1"/>
    <n v="1"/>
  </r>
  <r>
    <b v="1"/>
    <x v="0"/>
    <x v="0"/>
    <x v="0"/>
    <x v="0"/>
    <x v="0"/>
    <x v="14"/>
    <n v="0"/>
    <x v="24"/>
    <s v="fd47a3cbf44c4c7bb9c69c5ad3fcc8e0"/>
    <s v="CBI Certified Portfolio"/>
    <x v="1"/>
    <x v="6"/>
    <s v="Rail"/>
    <s v="Line 7 of Metro"/>
    <s v="Chile"/>
    <d v="2018-12-31T00:00:00"/>
    <d v="2018-12-31T00:00:00"/>
    <s v="USD"/>
    <n v="3800000"/>
    <n v="3800000"/>
    <s v="USD"/>
    <n v="3800000"/>
    <n v="3800000"/>
    <b v="1"/>
    <n v="1"/>
  </r>
  <r>
    <b v="1"/>
    <x v="0"/>
    <x v="0"/>
    <x v="0"/>
    <x v="0"/>
    <x v="0"/>
    <x v="14"/>
    <n v="0"/>
    <x v="24"/>
    <s v="fd47a3cbf44c4c7bb9c69c5ad3fcc8e0"/>
    <s v="CBI Certified Portfolio"/>
    <x v="0"/>
    <x v="5"/>
    <s v="Public"/>
    <s v="Electromobility in RED I"/>
    <s v="Chile"/>
    <d v="2020-12-31T00:00:00"/>
    <d v="2020-12-31T00:00:00"/>
    <s v="USD"/>
    <n v="4500000"/>
    <n v="4500000"/>
    <s v="USD"/>
    <n v="4500000"/>
    <n v="4500000"/>
    <b v="0"/>
    <n v="0.5"/>
  </r>
  <r>
    <b v="1"/>
    <x v="0"/>
    <x v="0"/>
    <x v="0"/>
    <x v="0"/>
    <x v="0"/>
    <x v="14"/>
    <n v="0"/>
    <x v="24"/>
    <s v="fd47a3cbf44c4c7bb9c69c5ad3fcc8e0"/>
    <s v="CBI Certified Portfolio"/>
    <x v="0"/>
    <x v="5"/>
    <s v="Public"/>
    <s v="Electromobility in RED I"/>
    <s v="Chile"/>
    <d v="2019-12-31T00:00:00"/>
    <d v="2019-12-31T00:00:00"/>
    <s v="USD"/>
    <n v="3200000"/>
    <n v="3200000"/>
    <s v="USD"/>
    <n v="3200000"/>
    <n v="3200000"/>
    <b v="0"/>
    <n v="0.5"/>
  </r>
  <r>
    <b v="1"/>
    <x v="0"/>
    <x v="0"/>
    <x v="0"/>
    <x v="0"/>
    <x v="0"/>
    <x v="14"/>
    <n v="0"/>
    <x v="24"/>
    <s v="fd47a3cbf44c4c7bb9c69c5ad3fcc8e0"/>
    <s v="CBI Certified Portfolio"/>
    <x v="0"/>
    <x v="5"/>
    <s v="Public"/>
    <s v="Electromobility in RED I"/>
    <s v="Chile"/>
    <d v="2018-12-31T00:00:00"/>
    <d v="2018-12-31T00:00:00"/>
    <s v="USD"/>
    <n v="200000"/>
    <n v="200000"/>
    <s v="USD"/>
    <n v="200000"/>
    <n v="200000"/>
    <b v="0"/>
    <n v="0.5"/>
  </r>
  <r>
    <b v="1"/>
    <x v="0"/>
    <x v="0"/>
    <x v="0"/>
    <x v="0"/>
    <x v="0"/>
    <x v="14"/>
    <n v="0"/>
    <x v="24"/>
    <s v="fd47a3cbf44c4c7bb9c69c5ad3fcc8e0"/>
    <s v="CBI Certified Portfolio"/>
    <x v="1"/>
    <x v="6"/>
    <s v="Electric"/>
    <s v="Electromobility in RED I"/>
    <s v="Chile"/>
    <d v="2020-12-31T00:00:00"/>
    <d v="2020-12-31T00:00:00"/>
    <s v="USD"/>
    <n v="4500000"/>
    <n v="4500000"/>
    <s v="USD"/>
    <n v="4500000"/>
    <n v="4500000"/>
    <b v="0"/>
    <n v="0.5"/>
  </r>
  <r>
    <b v="1"/>
    <x v="0"/>
    <x v="0"/>
    <x v="0"/>
    <x v="0"/>
    <x v="0"/>
    <x v="14"/>
    <n v="0"/>
    <x v="24"/>
    <s v="fd47a3cbf44c4c7bb9c69c5ad3fcc8e0"/>
    <s v="CBI Certified Portfolio"/>
    <x v="1"/>
    <x v="6"/>
    <s v="Electric"/>
    <s v="Electromobility in RED I"/>
    <s v="Chile"/>
    <d v="2019-12-31T00:00:00"/>
    <d v="2019-12-31T00:00:00"/>
    <s v="USD"/>
    <n v="3200000"/>
    <n v="3200000"/>
    <s v="USD"/>
    <n v="3200000"/>
    <n v="3200000"/>
    <b v="0"/>
    <n v="0.5"/>
  </r>
  <r>
    <b v="1"/>
    <x v="0"/>
    <x v="0"/>
    <x v="0"/>
    <x v="0"/>
    <x v="0"/>
    <x v="14"/>
    <n v="0"/>
    <x v="24"/>
    <s v="fd47a3cbf44c4c7bb9c69c5ad3fcc8e0"/>
    <s v="CBI Certified Portfolio"/>
    <x v="1"/>
    <x v="6"/>
    <s v="Electric"/>
    <s v="Electromobility in RED I"/>
    <s v="Chile"/>
    <d v="2018-12-31T00:00:00"/>
    <d v="2018-12-31T00:00:00"/>
    <s v="USD"/>
    <n v="200000"/>
    <n v="200000"/>
    <s v="USD"/>
    <n v="200000"/>
    <n v="200000"/>
    <b v="0"/>
    <n v="0.5"/>
  </r>
  <r>
    <b v="1"/>
    <x v="0"/>
    <x v="0"/>
    <x v="0"/>
    <x v="0"/>
    <x v="0"/>
    <x v="14"/>
    <n v="0"/>
    <x v="24"/>
    <s v="fd47a3cbf44c4c7bb9c69c5ad3fcc8e0"/>
    <s v="CBI Certified Portfolio"/>
    <x v="0"/>
    <x v="5"/>
    <s v="Public"/>
    <s v="Electromobility in RED II"/>
    <s v="Chile"/>
    <d v="2020-12-31T00:00:00"/>
    <d v="2020-12-31T00:00:00"/>
    <s v="USD"/>
    <n v="3500000"/>
    <n v="3500000"/>
    <s v="USD"/>
    <n v="3500000"/>
    <n v="3500000"/>
    <b v="0"/>
    <n v="0.5"/>
  </r>
  <r>
    <b v="1"/>
    <x v="0"/>
    <x v="0"/>
    <x v="0"/>
    <x v="0"/>
    <x v="0"/>
    <x v="14"/>
    <n v="0"/>
    <x v="24"/>
    <s v="fd47a3cbf44c4c7bb9c69c5ad3fcc8e0"/>
    <s v="CBI Certified Portfolio"/>
    <x v="0"/>
    <x v="5"/>
    <s v="Public"/>
    <s v="Electromobility in RED II"/>
    <s v="Chile"/>
    <d v="2019-12-31T00:00:00"/>
    <d v="2019-12-31T00:00:00"/>
    <s v="USD"/>
    <n v="1600000"/>
    <n v="1600000"/>
    <s v="USD"/>
    <n v="1600000"/>
    <n v="1600000"/>
    <b v="0"/>
    <n v="0.5"/>
  </r>
  <r>
    <b v="1"/>
    <x v="0"/>
    <x v="0"/>
    <x v="0"/>
    <x v="0"/>
    <x v="0"/>
    <x v="14"/>
    <n v="0"/>
    <x v="24"/>
    <s v="fd47a3cbf44c4c7bb9c69c5ad3fcc8e0"/>
    <s v="CBI Certified Portfolio"/>
    <x v="1"/>
    <x v="6"/>
    <s v="Electric"/>
    <s v="Electromobility in RED II"/>
    <s v="Chile"/>
    <d v="2020-12-31T00:00:00"/>
    <d v="2020-12-31T00:00:00"/>
    <s v="USD"/>
    <n v="3500000"/>
    <n v="3500000"/>
    <s v="USD"/>
    <n v="3500000"/>
    <n v="3500000"/>
    <b v="0"/>
    <n v="0.5"/>
  </r>
  <r>
    <b v="1"/>
    <x v="0"/>
    <x v="0"/>
    <x v="0"/>
    <x v="0"/>
    <x v="0"/>
    <x v="14"/>
    <n v="0"/>
    <x v="24"/>
    <s v="fd47a3cbf44c4c7bb9c69c5ad3fcc8e0"/>
    <s v="CBI Certified Portfolio"/>
    <x v="1"/>
    <x v="6"/>
    <s v="Electric"/>
    <s v="Electromobility in RED II"/>
    <s v="Chile"/>
    <d v="2019-12-31T00:00:00"/>
    <d v="2019-12-31T00:00:00"/>
    <s v="USD"/>
    <n v="1600000"/>
    <n v="1600000"/>
    <s v="USD"/>
    <n v="1600000"/>
    <n v="1600000"/>
    <b v="0"/>
    <n v="0.5"/>
  </r>
  <r>
    <b v="1"/>
    <x v="0"/>
    <x v="0"/>
    <x v="0"/>
    <x v="0"/>
    <x v="0"/>
    <x v="14"/>
    <n v="0"/>
    <x v="24"/>
    <s v="fd47a3cbf44c4c7bb9c69c5ad3fcc8e0"/>
    <s v="CBI Certified Portfolio"/>
    <x v="0"/>
    <x v="5"/>
    <s v="Public"/>
    <s v="Electromobility in RED III"/>
    <s v="Chile"/>
    <d v="2020-12-31T00:00:00"/>
    <d v="2020-12-31T00:00:00"/>
    <s v="USD"/>
    <n v="7400000"/>
    <n v="7400000"/>
    <s v="USD"/>
    <n v="7400000"/>
    <n v="7400000"/>
    <b v="0"/>
    <n v="0.5"/>
  </r>
  <r>
    <b v="1"/>
    <x v="0"/>
    <x v="0"/>
    <x v="0"/>
    <x v="0"/>
    <x v="0"/>
    <x v="14"/>
    <n v="0"/>
    <x v="24"/>
    <s v="fd47a3cbf44c4c7bb9c69c5ad3fcc8e0"/>
    <s v="CBI Certified Portfolio"/>
    <x v="0"/>
    <x v="5"/>
    <s v="Public"/>
    <s v="Electromobility in RED III"/>
    <s v="Chile"/>
    <d v="2019-12-31T00:00:00"/>
    <d v="2019-12-31T00:00:00"/>
    <s v="USD"/>
    <n v="400000"/>
    <n v="400000"/>
    <s v="USD"/>
    <n v="400000"/>
    <n v="400000"/>
    <b v="0"/>
    <n v="0.5"/>
  </r>
  <r>
    <b v="1"/>
    <x v="0"/>
    <x v="0"/>
    <x v="0"/>
    <x v="0"/>
    <x v="0"/>
    <x v="14"/>
    <n v="0"/>
    <x v="24"/>
    <s v="fd47a3cbf44c4c7bb9c69c5ad3fcc8e0"/>
    <s v="CBI Certified Portfolio"/>
    <x v="1"/>
    <x v="6"/>
    <s v="Electric"/>
    <s v="Electromobility in RED III"/>
    <s v="Chile"/>
    <d v="2020-12-31T00:00:00"/>
    <d v="2020-12-31T00:00:00"/>
    <s v="USD"/>
    <n v="7400000"/>
    <n v="7400000"/>
    <s v="USD"/>
    <n v="7400000"/>
    <n v="7400000"/>
    <b v="0"/>
    <n v="0.5"/>
  </r>
  <r>
    <b v="1"/>
    <x v="0"/>
    <x v="0"/>
    <x v="0"/>
    <x v="0"/>
    <x v="0"/>
    <x v="14"/>
    <n v="0"/>
    <x v="24"/>
    <s v="fd47a3cbf44c4c7bb9c69c5ad3fcc8e0"/>
    <s v="CBI Certified Portfolio"/>
    <x v="1"/>
    <x v="6"/>
    <s v="Electric"/>
    <s v="Electromobility in RED III"/>
    <s v="Chile"/>
    <d v="2019-12-31T00:00:00"/>
    <d v="2019-12-31T00:00:00"/>
    <s v="USD"/>
    <n v="400000"/>
    <n v="400000"/>
    <s v="USD"/>
    <n v="400000"/>
    <n v="400000"/>
    <b v="0"/>
    <n v="0.5"/>
  </r>
  <r>
    <b v="1"/>
    <x v="0"/>
    <x v="0"/>
    <x v="0"/>
    <x v="0"/>
    <x v="0"/>
    <x v="14"/>
    <n v="0"/>
    <x v="24"/>
    <s v="fd47a3cbf44c4c7bb9c69c5ad3fcc8e0"/>
    <s v="CBI Certified Portfolio"/>
    <x v="0"/>
    <x v="5"/>
    <s v="Public"/>
    <s v="Electromobility in RED IV"/>
    <s v="Chile"/>
    <d v="2020-12-31T00:00:00"/>
    <d v="2020-12-31T00:00:00"/>
    <s v="USD"/>
    <n v="4700000"/>
    <n v="4700000"/>
    <s v="USD"/>
    <n v="4700000"/>
    <n v="4700000"/>
    <b v="0"/>
    <n v="0.5"/>
  </r>
  <r>
    <b v="1"/>
    <x v="0"/>
    <x v="0"/>
    <x v="0"/>
    <x v="0"/>
    <x v="0"/>
    <x v="14"/>
    <n v="0"/>
    <x v="24"/>
    <s v="fd47a3cbf44c4c7bb9c69c5ad3fcc8e0"/>
    <s v="CBI Certified Portfolio"/>
    <x v="1"/>
    <x v="6"/>
    <s v="Electric"/>
    <s v="Electromobility in RED IV"/>
    <s v="Chile"/>
    <d v="2020-12-31T00:00:00"/>
    <d v="2020-12-31T00:00:00"/>
    <s v="USD"/>
    <n v="4700000"/>
    <n v="4700000"/>
    <s v="USD"/>
    <n v="4700000"/>
    <n v="4700000"/>
    <b v="0"/>
    <n v="0.5"/>
  </r>
  <r>
    <b v="1"/>
    <x v="0"/>
    <x v="0"/>
    <x v="0"/>
    <x v="0"/>
    <x v="0"/>
    <x v="14"/>
    <n v="0"/>
    <x v="24"/>
    <s v="fd47a3cbf44c4c7bb9c69c5ad3fcc8e0"/>
    <s v="CBI Certified Portfolio"/>
    <x v="0"/>
    <x v="5"/>
    <s v="Public"/>
    <s v="Renewal of Train Parts"/>
    <s v="Chile"/>
    <d v="2020-12-31T00:00:00"/>
    <d v="2020-12-31T00:00:00"/>
    <s v="USD"/>
    <n v="700000"/>
    <n v="700000"/>
    <s v="USD"/>
    <n v="700000"/>
    <n v="700000"/>
    <b v="0"/>
    <n v="1"/>
  </r>
  <r>
    <b v="1"/>
    <x v="0"/>
    <x v="0"/>
    <x v="0"/>
    <x v="0"/>
    <x v="0"/>
    <x v="14"/>
    <n v="0"/>
    <x v="24"/>
    <s v="fd47a3cbf44c4c7bb9c69c5ad3fcc8e0"/>
    <s v="CBI Certified Portfolio"/>
    <x v="0"/>
    <x v="5"/>
    <s v="Public"/>
    <s v="Renewal of Train Parts"/>
    <s v="Chile"/>
    <d v="2019-12-31T00:00:00"/>
    <d v="2019-12-31T00:00:00"/>
    <s v="USD"/>
    <n v="5000000"/>
    <n v="5000000"/>
    <s v="USD"/>
    <n v="5000000"/>
    <n v="5000000"/>
    <b v="0"/>
    <n v="1"/>
  </r>
  <r>
    <b v="1"/>
    <x v="0"/>
    <x v="0"/>
    <x v="0"/>
    <x v="0"/>
    <x v="0"/>
    <x v="14"/>
    <n v="0"/>
    <x v="24"/>
    <s v="fd47a3cbf44c4c7bb9c69c5ad3fcc8e0"/>
    <s v="CBI Certified Portfolio"/>
    <x v="1"/>
    <x v="6"/>
    <s v="Rail"/>
    <s v="Renewal of Train Parts"/>
    <s v="Chile"/>
    <d v="2020-12-31T00:00:00"/>
    <d v="2020-12-31T00:00:00"/>
    <s v="USD"/>
    <n v="700000"/>
    <n v="700000"/>
    <s v="USD"/>
    <n v="700000"/>
    <n v="700000"/>
    <b v="0"/>
    <n v="1"/>
  </r>
  <r>
    <b v="1"/>
    <x v="0"/>
    <x v="0"/>
    <x v="0"/>
    <x v="0"/>
    <x v="0"/>
    <x v="14"/>
    <n v="0"/>
    <x v="24"/>
    <s v="fd47a3cbf44c4c7bb9c69c5ad3fcc8e0"/>
    <s v="CBI Certified Portfolio"/>
    <x v="1"/>
    <x v="6"/>
    <s v="Rail"/>
    <s v="Renewal of Train Parts"/>
    <s v="Chile"/>
    <d v="2019-12-31T00:00:00"/>
    <d v="2019-12-31T00:00:00"/>
    <s v="USD"/>
    <n v="5000000"/>
    <n v="5000000"/>
    <s v="USD"/>
    <n v="5000000"/>
    <n v="5000000"/>
    <b v="0"/>
    <n v="1"/>
  </r>
  <r>
    <b v="1"/>
    <x v="0"/>
    <x v="0"/>
    <x v="0"/>
    <x v="0"/>
    <x v="0"/>
    <x v="14"/>
    <n v="0"/>
    <x v="24"/>
    <s v="fd47a3cbf44c4c7bb9c69c5ad3fcc8e0"/>
    <s v="CBI Certified Portfolio"/>
    <x v="0"/>
    <x v="7"/>
    <s v="Products &amp; Systems for Efficiency"/>
    <s v="Solar Thermal Energy Panel son Houses"/>
    <s v="Chile"/>
    <d v="2019-12-31T00:00:00"/>
    <d v="2019-12-31T00:00:00"/>
    <s v="USD"/>
    <n v="100000"/>
    <n v="100000"/>
    <s v="USD"/>
    <n v="100000"/>
    <n v="100000"/>
    <b v="1"/>
    <n v="1"/>
  </r>
  <r>
    <b v="1"/>
    <x v="0"/>
    <x v="0"/>
    <x v="0"/>
    <x v="0"/>
    <x v="0"/>
    <x v="14"/>
    <n v="0"/>
    <x v="24"/>
    <s v="fd47a3cbf44c4c7bb9c69c5ad3fcc8e0"/>
    <s v="CBI Certified Portfolio"/>
    <x v="0"/>
    <x v="7"/>
    <s v="Products &amp; Systems for Efficiency"/>
    <s v="Solar Thermal Energy Panel son Houses"/>
    <s v="Chile"/>
    <d v="2018-12-31T00:00:00"/>
    <d v="2018-12-31T00:00:00"/>
    <s v="USD"/>
    <n v="100000"/>
    <n v="100000"/>
    <s v="USD"/>
    <n v="100000"/>
    <n v="100000"/>
    <b v="1"/>
    <n v="1"/>
  </r>
  <r>
    <b v="1"/>
    <x v="0"/>
    <x v="0"/>
    <x v="0"/>
    <x v="0"/>
    <x v="0"/>
    <x v="14"/>
    <n v="0"/>
    <x v="24"/>
    <s v="fd47a3cbf44c4c7bb9c69c5ad3fcc8e0"/>
    <s v="CBI Certified Portfolio"/>
    <x v="1"/>
    <x v="4"/>
    <s v="Appliances"/>
    <s v="Solar Thermal Energy Panel son Houses"/>
    <s v="Chile"/>
    <d v="2019-12-31T00:00:00"/>
    <d v="2019-12-31T00:00:00"/>
    <s v="USD"/>
    <n v="100000"/>
    <n v="100000"/>
    <s v="USD"/>
    <n v="100000"/>
    <n v="100000"/>
    <b v="1"/>
    <n v="1"/>
  </r>
  <r>
    <b v="1"/>
    <x v="0"/>
    <x v="0"/>
    <x v="0"/>
    <x v="0"/>
    <x v="0"/>
    <x v="14"/>
    <n v="0"/>
    <x v="24"/>
    <s v="fd47a3cbf44c4c7bb9c69c5ad3fcc8e0"/>
    <s v="CBI Certified Portfolio"/>
    <x v="1"/>
    <x v="4"/>
    <s v="Appliances"/>
    <s v="Solar Thermal Energy Panel son Houses"/>
    <s v="Chile"/>
    <d v="2018-12-31T00:00:00"/>
    <d v="2018-12-31T00:00:00"/>
    <s v="USD"/>
    <n v="100000"/>
    <n v="100000"/>
    <s v="USD"/>
    <n v="100000"/>
    <n v="100000"/>
    <b v="1"/>
    <n v="1"/>
  </r>
  <r>
    <b v="1"/>
    <x v="0"/>
    <x v="0"/>
    <x v="0"/>
    <x v="0"/>
    <x v="0"/>
    <x v="14"/>
    <n v="0"/>
    <x v="24"/>
    <s v="fd47a3cbf44c4c7bb9c69c5ad3fcc8e0"/>
    <s v="CBI Certified Portfolio"/>
    <x v="0"/>
    <x v="0"/>
    <s v="Solar"/>
    <s v="Construction of Photovoltaic System"/>
    <s v="Chile"/>
    <d v="2018-12-31T00:00:00"/>
    <d v="2018-12-31T00:00:00"/>
    <s v="USD"/>
    <n v="800000"/>
    <n v="800000"/>
    <s v="USD"/>
    <n v="800000"/>
    <n v="800000"/>
    <b v="1"/>
    <n v="1"/>
  </r>
  <r>
    <b v="1"/>
    <x v="0"/>
    <x v="0"/>
    <x v="0"/>
    <x v="0"/>
    <x v="0"/>
    <x v="14"/>
    <n v="0"/>
    <x v="24"/>
    <s v="fd47a3cbf44c4c7bb9c69c5ad3fcc8e0"/>
    <s v="CBI Certified Portfolio"/>
    <x v="1"/>
    <x v="1"/>
    <s v="Generation"/>
    <s v="Construction of Photovoltaic System"/>
    <s v="Chile"/>
    <d v="2018-12-31T00:00:00"/>
    <d v="2018-12-31T00:00:00"/>
    <s v="USD"/>
    <n v="800000"/>
    <n v="800000"/>
    <s v="USD"/>
    <n v="800000"/>
    <n v="800000"/>
    <b v="1"/>
    <n v="1"/>
  </r>
  <r>
    <b v="1"/>
    <x v="0"/>
    <x v="0"/>
    <x v="0"/>
    <x v="0"/>
    <x v="0"/>
    <x v="14"/>
    <n v="0"/>
    <x v="24"/>
    <s v="fd47a3cbf44c4c7bb9c69c5ad3fcc8e0"/>
    <s v="CBI Certified Portfolio"/>
    <x v="0"/>
    <x v="0"/>
    <s v="Solar"/>
    <s v="Technical Assistance for Photovoltaic Systems"/>
    <s v="Chile"/>
    <d v="2020-12-31T00:00:00"/>
    <d v="2020-12-31T00:00:00"/>
    <s v="USD"/>
    <n v="100000"/>
    <n v="100000"/>
    <s v="USD"/>
    <n v="100000"/>
    <n v="100000"/>
    <b v="1"/>
    <n v="1"/>
  </r>
  <r>
    <b v="1"/>
    <x v="0"/>
    <x v="0"/>
    <x v="0"/>
    <x v="0"/>
    <x v="0"/>
    <x v="14"/>
    <n v="0"/>
    <x v="24"/>
    <s v="fd47a3cbf44c4c7bb9c69c5ad3fcc8e0"/>
    <s v="CBI Certified Portfolio"/>
    <x v="0"/>
    <x v="0"/>
    <s v="Solar"/>
    <s v="Technical Assistance for Photovoltaic Systems"/>
    <s v="Chile"/>
    <d v="2019-12-31T00:00:00"/>
    <d v="2019-12-31T00:00:00"/>
    <s v="USD"/>
    <n v="500000"/>
    <n v="500000"/>
    <s v="USD"/>
    <n v="500000"/>
    <n v="500000"/>
    <b v="1"/>
    <n v="1"/>
  </r>
  <r>
    <b v="1"/>
    <x v="0"/>
    <x v="0"/>
    <x v="0"/>
    <x v="0"/>
    <x v="0"/>
    <x v="14"/>
    <n v="0"/>
    <x v="24"/>
    <s v="fd47a3cbf44c4c7bb9c69c5ad3fcc8e0"/>
    <s v="CBI Certified Portfolio"/>
    <x v="0"/>
    <x v="0"/>
    <s v="Solar"/>
    <s v="Technical Assistance for Photovoltaic Systems"/>
    <s v="Chile"/>
    <d v="2018-12-31T00:00:00"/>
    <d v="2018-12-31T00:00:00"/>
    <s v="USD"/>
    <n v="500000"/>
    <n v="500000"/>
    <s v="USD"/>
    <n v="500000"/>
    <n v="500000"/>
    <b v="1"/>
    <n v="1"/>
  </r>
  <r>
    <b v="1"/>
    <x v="0"/>
    <x v="0"/>
    <x v="0"/>
    <x v="0"/>
    <x v="0"/>
    <x v="14"/>
    <n v="0"/>
    <x v="24"/>
    <s v="fd47a3cbf44c4c7bb9c69c5ad3fcc8e0"/>
    <s v="CBI Certified Portfolio"/>
    <x v="1"/>
    <x v="1"/>
    <s v="Generation"/>
    <s v="Technical Assistance for Photovoltaic Systems"/>
    <s v="Chile"/>
    <d v="2020-12-31T00:00:00"/>
    <d v="2020-12-31T00:00:00"/>
    <s v="USD"/>
    <n v="100000"/>
    <n v="100000"/>
    <s v="USD"/>
    <n v="100000"/>
    <n v="100000"/>
    <b v="1"/>
    <n v="1"/>
  </r>
  <r>
    <b v="1"/>
    <x v="0"/>
    <x v="0"/>
    <x v="0"/>
    <x v="0"/>
    <x v="0"/>
    <x v="14"/>
    <n v="0"/>
    <x v="24"/>
    <s v="fd47a3cbf44c4c7bb9c69c5ad3fcc8e0"/>
    <s v="CBI Certified Portfolio"/>
    <x v="1"/>
    <x v="1"/>
    <s v="Generation"/>
    <s v="Technical Assistance for Photovoltaic Systems"/>
    <s v="Chile"/>
    <d v="2019-12-31T00:00:00"/>
    <d v="2019-12-31T00:00:00"/>
    <s v="USD"/>
    <n v="500000"/>
    <n v="500000"/>
    <s v="USD"/>
    <n v="500000"/>
    <n v="500000"/>
    <b v="1"/>
    <n v="1"/>
  </r>
  <r>
    <b v="1"/>
    <x v="0"/>
    <x v="0"/>
    <x v="0"/>
    <x v="0"/>
    <x v="0"/>
    <x v="14"/>
    <n v="0"/>
    <x v="24"/>
    <s v="fd47a3cbf44c4c7bb9c69c5ad3fcc8e0"/>
    <s v="CBI Certified Portfolio"/>
    <x v="1"/>
    <x v="1"/>
    <s v="Generation"/>
    <s v="Technical Assistance for Photovoltaic Systems"/>
    <s v="Chile"/>
    <d v="2018-12-31T00:00:00"/>
    <d v="2018-12-31T00:00:00"/>
    <s v="USD"/>
    <n v="500000"/>
    <n v="500000"/>
    <s v="USD"/>
    <n v="500000"/>
    <n v="500000"/>
    <b v="1"/>
    <n v="1"/>
  </r>
  <r>
    <b v="1"/>
    <x v="0"/>
    <x v="0"/>
    <x v="0"/>
    <x v="0"/>
    <x v="0"/>
    <x v="14"/>
    <n v="0"/>
    <x v="24"/>
    <s v="fd47a3cbf44c4c7bb9c69c5ad3fcc8e0"/>
    <s v="CBI Certified Portfolio"/>
    <x v="0"/>
    <x v="7"/>
    <s v="Urban Development"/>
    <s v="Sustainable Public Buildings"/>
    <s v="Chile"/>
    <d v="2020-12-31T00:00:00"/>
    <d v="2020-12-31T00:00:00"/>
    <s v="USD"/>
    <n v="14900000"/>
    <n v="14900000"/>
    <s v="USD"/>
    <n v="14900000"/>
    <n v="14900000"/>
    <b v="1"/>
    <n v="1"/>
  </r>
  <r>
    <b v="1"/>
    <x v="0"/>
    <x v="0"/>
    <x v="0"/>
    <x v="0"/>
    <x v="0"/>
    <x v="14"/>
    <n v="0"/>
    <x v="24"/>
    <s v="fd47a3cbf44c4c7bb9c69c5ad3fcc8e0"/>
    <s v="CBI Certified Portfolio"/>
    <x v="0"/>
    <x v="7"/>
    <s v="Urban Development"/>
    <s v="Sustainable Public Buildings"/>
    <s v="Chile"/>
    <d v="2019-12-31T00:00:00"/>
    <d v="2019-12-31T00:00:00"/>
    <s v="USD"/>
    <n v="10500000"/>
    <n v="10500000"/>
    <s v="USD"/>
    <n v="10500000"/>
    <n v="10500000"/>
    <b v="1"/>
    <n v="1"/>
  </r>
  <r>
    <b v="1"/>
    <x v="0"/>
    <x v="0"/>
    <x v="0"/>
    <x v="0"/>
    <x v="0"/>
    <x v="14"/>
    <n v="0"/>
    <x v="24"/>
    <s v="fd47a3cbf44c4c7bb9c69c5ad3fcc8e0"/>
    <s v="CBI Certified Portfolio"/>
    <x v="0"/>
    <x v="7"/>
    <s v="Urban Development"/>
    <s v="Sustainable Public Buildings"/>
    <s v="Chile"/>
    <d v="2018-12-31T00:00:00"/>
    <d v="2018-12-31T00:00:00"/>
    <s v="USD"/>
    <n v="300000"/>
    <n v="300000"/>
    <s v="USD"/>
    <n v="300000"/>
    <n v="300000"/>
    <b v="1"/>
    <n v="1"/>
  </r>
  <r>
    <b v="1"/>
    <x v="0"/>
    <x v="0"/>
    <x v="0"/>
    <x v="0"/>
    <x v="0"/>
    <x v="14"/>
    <n v="0"/>
    <x v="24"/>
    <s v="fd47a3cbf44c4c7bb9c69c5ad3fcc8e0"/>
    <s v="CBI Certified Portfolio"/>
    <x v="1"/>
    <x v="8"/>
    <s v="Commercial"/>
    <s v="Sustainable Public Buildings"/>
    <s v="Chile"/>
    <d v="2020-12-31T00:00:00"/>
    <d v="2020-12-31T00:00:00"/>
    <s v="USD"/>
    <n v="14900000"/>
    <n v="14900000"/>
    <s v="USD"/>
    <n v="14900000"/>
    <n v="14900000"/>
    <b v="1"/>
    <n v="1"/>
  </r>
  <r>
    <b v="1"/>
    <x v="0"/>
    <x v="0"/>
    <x v="0"/>
    <x v="0"/>
    <x v="0"/>
    <x v="14"/>
    <n v="0"/>
    <x v="24"/>
    <s v="fd47a3cbf44c4c7bb9c69c5ad3fcc8e0"/>
    <s v="CBI Certified Portfolio"/>
    <x v="1"/>
    <x v="8"/>
    <s v="Commercial"/>
    <s v="Sustainable Public Buildings"/>
    <s v="Chile"/>
    <d v="2019-12-31T00:00:00"/>
    <d v="2019-12-31T00:00:00"/>
    <s v="USD"/>
    <n v="10500000"/>
    <n v="10500000"/>
    <s v="USD"/>
    <n v="10500000"/>
    <n v="10500000"/>
    <b v="1"/>
    <n v="1"/>
  </r>
  <r>
    <b v="1"/>
    <x v="0"/>
    <x v="0"/>
    <x v="0"/>
    <x v="0"/>
    <x v="0"/>
    <x v="14"/>
    <n v="0"/>
    <x v="24"/>
    <s v="fd47a3cbf44c4c7bb9c69c5ad3fcc8e0"/>
    <s v="CBI Certified Portfolio"/>
    <x v="1"/>
    <x v="8"/>
    <s v="Commercial"/>
    <s v="Sustainable Public Buildings"/>
    <s v="Chile"/>
    <d v="2018-12-31T00:00:00"/>
    <d v="2018-12-31T00:00:00"/>
    <s v="USD"/>
    <n v="300000"/>
    <n v="300000"/>
    <s v="USD"/>
    <n v="300000"/>
    <n v="300000"/>
    <b v="1"/>
    <n v="1"/>
  </r>
  <r>
    <b v="1"/>
    <x v="0"/>
    <x v="0"/>
    <x v="0"/>
    <x v="0"/>
    <x v="0"/>
    <x v="14"/>
    <n v="0"/>
    <x v="24"/>
    <s v="fd47a3cbf44c4c7bb9c69c5ad3fcc8e0"/>
    <s v="CBI Certified Portfolio"/>
    <x v="0"/>
    <x v="2"/>
    <s v="Monitoring"/>
    <s v="Analysis and Conservation of Water Resources"/>
    <s v="Chile"/>
    <d v="2020-12-31T00:00:00"/>
    <d v="2020-12-31T00:00:00"/>
    <s v="USD"/>
    <n v="7800000"/>
    <n v="7800000"/>
    <s v="USD"/>
    <n v="7800000"/>
    <n v="7800000"/>
    <b v="1"/>
    <n v="1"/>
  </r>
  <r>
    <b v="1"/>
    <x v="0"/>
    <x v="0"/>
    <x v="0"/>
    <x v="0"/>
    <x v="0"/>
    <x v="14"/>
    <n v="0"/>
    <x v="24"/>
    <s v="fd47a3cbf44c4c7bb9c69c5ad3fcc8e0"/>
    <s v="CBI Certified Portfolio"/>
    <x v="0"/>
    <x v="2"/>
    <s v="Monitoring"/>
    <s v="Analysis and Conservation of Water Resources"/>
    <s v="Chile"/>
    <d v="2019-12-31T00:00:00"/>
    <d v="2019-12-31T00:00:00"/>
    <s v="USD"/>
    <n v="6500000"/>
    <n v="6500000"/>
    <s v="USD"/>
    <n v="6500000"/>
    <n v="6500000"/>
    <b v="1"/>
    <n v="1"/>
  </r>
  <r>
    <b v="1"/>
    <x v="0"/>
    <x v="0"/>
    <x v="0"/>
    <x v="0"/>
    <x v="0"/>
    <x v="14"/>
    <n v="0"/>
    <x v="24"/>
    <s v="fd47a3cbf44c4c7bb9c69c5ad3fcc8e0"/>
    <s v="CBI Certified Portfolio"/>
    <x v="0"/>
    <x v="2"/>
    <s v="Monitoring"/>
    <s v="Analysis and Conservation of Water Resources"/>
    <s v="Chile"/>
    <d v="2018-12-31T00:00:00"/>
    <d v="2018-12-31T00:00:00"/>
    <s v="USD"/>
    <n v="4900000"/>
    <n v="4900000"/>
    <s v="USD"/>
    <n v="4900000"/>
    <n v="4900000"/>
    <b v="1"/>
    <n v="1"/>
  </r>
  <r>
    <b v="1"/>
    <x v="0"/>
    <x v="0"/>
    <x v="0"/>
    <x v="0"/>
    <x v="0"/>
    <x v="14"/>
    <n v="0"/>
    <x v="24"/>
    <s v="fd47a3cbf44c4c7bb9c69c5ad3fcc8e0"/>
    <s v="CBI Certified Portfolio"/>
    <x v="1"/>
    <x v="17"/>
    <s v="Climate observation"/>
    <s v="Analysis and Conservation of Water Resources"/>
    <s v="Chile"/>
    <d v="2020-12-31T00:00:00"/>
    <d v="2020-12-31T00:00:00"/>
    <s v="USD"/>
    <n v="7800000"/>
    <n v="7800000"/>
    <s v="USD"/>
    <n v="7800000"/>
    <n v="7800000"/>
    <b v="1"/>
    <n v="1"/>
  </r>
  <r>
    <b v="1"/>
    <x v="0"/>
    <x v="0"/>
    <x v="0"/>
    <x v="0"/>
    <x v="0"/>
    <x v="14"/>
    <n v="0"/>
    <x v="24"/>
    <s v="fd47a3cbf44c4c7bb9c69c5ad3fcc8e0"/>
    <s v="CBI Certified Portfolio"/>
    <x v="1"/>
    <x v="17"/>
    <s v="Climate observation"/>
    <s v="Analysis and Conservation of Water Resources"/>
    <s v="Chile"/>
    <d v="2019-12-31T00:00:00"/>
    <d v="2019-12-31T00:00:00"/>
    <s v="USD"/>
    <n v="6500000"/>
    <n v="6500000"/>
    <s v="USD"/>
    <n v="6500000"/>
    <n v="6500000"/>
    <b v="1"/>
    <n v="1"/>
  </r>
  <r>
    <b v="1"/>
    <x v="0"/>
    <x v="0"/>
    <x v="0"/>
    <x v="0"/>
    <x v="0"/>
    <x v="14"/>
    <n v="0"/>
    <x v="24"/>
    <s v="fd47a3cbf44c4c7bb9c69c5ad3fcc8e0"/>
    <s v="CBI Certified Portfolio"/>
    <x v="1"/>
    <x v="17"/>
    <s v="Climate observation"/>
    <s v="Analysis and Conservation of Water Resources"/>
    <s v="Chile"/>
    <d v="2018-12-31T00:00:00"/>
    <d v="2018-12-31T00:00:00"/>
    <s v="USD"/>
    <n v="4900000"/>
    <n v="4900000"/>
    <s v="USD"/>
    <n v="4900000"/>
    <n v="4900000"/>
    <b v="1"/>
    <n v="1"/>
  </r>
  <r>
    <b v="1"/>
    <x v="0"/>
    <x v="0"/>
    <x v="0"/>
    <x v="0"/>
    <x v="0"/>
    <x v="14"/>
    <n v="0"/>
    <x v="24"/>
    <s v="fd47a3cbf44c4c7bb9c69c5ad3fcc8e0"/>
    <s v="CBI Certified Portfolio"/>
    <x v="0"/>
    <x v="5"/>
    <s v="Public"/>
    <s v="Metrotrain Alameda-Melipilla"/>
    <s v="Chile"/>
    <d v="2020-12-31T00:00:00"/>
    <d v="2020-12-31T00:00:00"/>
    <s v="USD"/>
    <n v="10100000"/>
    <n v="10100000"/>
    <s v="USD"/>
    <n v="10100000"/>
    <n v="10100000"/>
    <b v="1"/>
    <n v="1"/>
  </r>
  <r>
    <b v="1"/>
    <x v="0"/>
    <x v="0"/>
    <x v="0"/>
    <x v="0"/>
    <x v="0"/>
    <x v="14"/>
    <n v="0"/>
    <x v="24"/>
    <s v="fd47a3cbf44c4c7bb9c69c5ad3fcc8e0"/>
    <s v="CBI Certified Portfolio"/>
    <x v="0"/>
    <x v="5"/>
    <s v="Public"/>
    <s v="Metrotrain Alameda-Melipilla"/>
    <s v="Chile"/>
    <d v="2019-12-31T00:00:00"/>
    <d v="2019-12-31T00:00:00"/>
    <s v="USD"/>
    <n v="2800000"/>
    <n v="2800000"/>
    <s v="USD"/>
    <n v="2800000"/>
    <n v="2800000"/>
    <b v="1"/>
    <n v="1"/>
  </r>
  <r>
    <b v="1"/>
    <x v="0"/>
    <x v="0"/>
    <x v="0"/>
    <x v="0"/>
    <x v="0"/>
    <x v="14"/>
    <n v="0"/>
    <x v="24"/>
    <s v="fd47a3cbf44c4c7bb9c69c5ad3fcc8e0"/>
    <s v="CBI Certified Portfolio"/>
    <x v="1"/>
    <x v="6"/>
    <s v="Rail"/>
    <s v="Metrotrain Alameda-Melipilla"/>
    <s v="Chile"/>
    <d v="2020-12-31T00:00:00"/>
    <d v="2020-12-31T00:00:00"/>
    <s v="USD"/>
    <n v="10100000"/>
    <n v="10100000"/>
    <s v="USD"/>
    <n v="10100000"/>
    <n v="10100000"/>
    <b v="1"/>
    <n v="1"/>
  </r>
  <r>
    <b v="1"/>
    <x v="0"/>
    <x v="0"/>
    <x v="0"/>
    <x v="0"/>
    <x v="0"/>
    <x v="14"/>
    <n v="0"/>
    <x v="24"/>
    <s v="fd47a3cbf44c4c7bb9c69c5ad3fcc8e0"/>
    <s v="CBI Certified Portfolio"/>
    <x v="1"/>
    <x v="6"/>
    <s v="Rail"/>
    <s v="Metrotrain Alameda-Melipilla"/>
    <s v="Chile"/>
    <d v="2019-12-31T00:00:00"/>
    <d v="2019-12-31T00:00:00"/>
    <s v="USD"/>
    <n v="2800000"/>
    <n v="2800000"/>
    <s v="USD"/>
    <n v="2800000"/>
    <n v="2800000"/>
    <b v="1"/>
    <n v="1"/>
  </r>
  <r>
    <b v="1"/>
    <x v="0"/>
    <x v="0"/>
    <x v="0"/>
    <x v="0"/>
    <x v="0"/>
    <x v="14"/>
    <n v="0"/>
    <x v="24"/>
    <s v="fd47a3cbf44c4c7bb9c69c5ad3fcc8e0"/>
    <s v="CBI Certified Portfolio"/>
    <x v="0"/>
    <x v="5"/>
    <s v="Public"/>
    <s v="Metro Reconstruction"/>
    <s v="Chile"/>
    <d v="2020-12-31T00:00:00"/>
    <d v="2020-12-31T00:00:00"/>
    <s v="USD"/>
    <n v="78900000"/>
    <n v="78900000"/>
    <s v="USD"/>
    <n v="78900000"/>
    <n v="78900000"/>
    <b v="0"/>
    <n v="1"/>
  </r>
  <r>
    <b v="1"/>
    <x v="0"/>
    <x v="0"/>
    <x v="0"/>
    <x v="0"/>
    <x v="0"/>
    <x v="14"/>
    <n v="0"/>
    <x v="24"/>
    <s v="fd47a3cbf44c4c7bb9c69c5ad3fcc8e0"/>
    <s v="CBI Certified Portfolio"/>
    <x v="1"/>
    <x v="6"/>
    <s v="Rail"/>
    <s v="Metro Reconstruction"/>
    <s v="Chile"/>
    <d v="2020-12-31T00:00:00"/>
    <d v="2020-12-31T00:00:00"/>
    <s v="USD"/>
    <n v="78900000"/>
    <n v="78900000"/>
    <s v="USD"/>
    <n v="78900000"/>
    <n v="78900000"/>
    <b v="0"/>
    <n v="1"/>
  </r>
  <r>
    <b v="1"/>
    <x v="0"/>
    <x v="0"/>
    <x v="2"/>
    <x v="0"/>
    <x v="1"/>
    <x v="46"/>
    <n v="0"/>
    <x v="0"/>
    <s v="43da939a64e7473388d28a08a74f1490"/>
    <s v="Primera Emisi√≥n Bono Verde Banco de Bogot√°"/>
    <x v="0"/>
    <x v="2"/>
    <s v="Treatment"/>
    <s v="Project 1 Water Treatment"/>
    <s v="Colombia"/>
    <d v="2021-03-31T00:00:00"/>
    <d v="2021-03-16T00:00:00"/>
    <s v="COP"/>
    <n v="403999997"/>
    <n v="403999997"/>
    <s v="COP"/>
    <n v="403999997"/>
    <n v="109017"/>
    <b v="0"/>
    <n v="0.9"/>
  </r>
  <r>
    <b v="1"/>
    <x v="0"/>
    <x v="0"/>
    <x v="2"/>
    <x v="0"/>
    <x v="1"/>
    <x v="46"/>
    <n v="0"/>
    <x v="0"/>
    <s v="43da939a64e7473388d28a08a74f1490"/>
    <s v="Primera Emisi√≥n Bono Verde Banco de Bogot√°"/>
    <x v="1"/>
    <x v="3"/>
    <s v="Wastewater treatment"/>
    <s v="Project 1 Water Treatment"/>
    <s v="Colombia"/>
    <d v="2021-03-31T00:00:00"/>
    <d v="2021-03-16T00:00:00"/>
    <s v="COP"/>
    <n v="403999997"/>
    <n v="403999997"/>
    <s v="COP"/>
    <n v="403999997"/>
    <n v="109017"/>
    <b v="0"/>
    <n v="0.9"/>
  </r>
  <r>
    <b v="1"/>
    <x v="0"/>
    <x v="0"/>
    <x v="2"/>
    <x v="0"/>
    <x v="1"/>
    <x v="46"/>
    <n v="0"/>
    <x v="0"/>
    <s v="43da939a64e7473388d28a08a74f1490"/>
    <s v="Primera Emisi√≥n Bono Verde Banco de Bogot√°"/>
    <x v="0"/>
    <x v="7"/>
    <s v="Residential"/>
    <s v="Project 2 Green Building"/>
    <s v="Colombia"/>
    <d v="2021-06-30T00:00:00"/>
    <d v="2019-05-23T00:00:00"/>
    <s v="COP"/>
    <n v="9344306175"/>
    <n v="9344306175"/>
    <s v="COP"/>
    <n v="9344306175"/>
    <n v="3851521"/>
    <b v="1"/>
    <n v="0.62"/>
  </r>
  <r>
    <b v="1"/>
    <x v="0"/>
    <x v="0"/>
    <x v="2"/>
    <x v="0"/>
    <x v="1"/>
    <x v="46"/>
    <n v="0"/>
    <x v="0"/>
    <s v="43da939a64e7473388d28a08a74f1490"/>
    <s v="Primera Emisi√≥n Bono Verde Banco de Bogot√°"/>
    <x v="1"/>
    <x v="8"/>
    <s v="Residential"/>
    <s v="Project 2 Green Building"/>
    <s v="Colombia"/>
    <d v="2021-06-30T00:00:00"/>
    <d v="2019-05-23T00:00:00"/>
    <s v="COP"/>
    <n v="9344306175"/>
    <n v="9344306175"/>
    <s v="COP"/>
    <n v="9344306175"/>
    <n v="3851521"/>
    <b v="1"/>
    <n v="0.62"/>
  </r>
  <r>
    <b v="1"/>
    <x v="0"/>
    <x v="0"/>
    <x v="2"/>
    <x v="0"/>
    <x v="1"/>
    <x v="46"/>
    <n v="0"/>
    <x v="0"/>
    <s v="43da939a64e7473388d28a08a74f1490"/>
    <s v="Primera Emisi√≥n Bono Verde Banco de Bogot√°"/>
    <x v="0"/>
    <x v="9"/>
    <s v="Unspecified"/>
    <s v="Project 3 Energy efficiency equipment"/>
    <s v="Colombia"/>
    <d v="2020-09-30T00:00:00"/>
    <d v="2017-09-22T00:00:00"/>
    <s v="COP"/>
    <n v="68103032959"/>
    <n v="68103032959"/>
    <s v="COP"/>
    <n v="68103032959"/>
    <n v="22614773"/>
    <b v="1"/>
    <n v="1"/>
  </r>
  <r>
    <b v="1"/>
    <x v="0"/>
    <x v="0"/>
    <x v="2"/>
    <x v="0"/>
    <x v="1"/>
    <x v="46"/>
    <n v="0"/>
    <x v="0"/>
    <s v="43da939a64e7473388d28a08a74f1490"/>
    <s v="Primera Emisi√≥n Bono Verde Banco de Bogot√°"/>
    <x v="1"/>
    <x v="4"/>
    <s v="Appliances"/>
    <s v="Project 3 Energy efficiency equipment"/>
    <s v="Colombia"/>
    <d v="2020-09-30T00:00:00"/>
    <d v="2017-09-22T00:00:00"/>
    <s v="COP"/>
    <n v="68103032959"/>
    <n v="68103032959"/>
    <s v="COP"/>
    <n v="68103032959"/>
    <n v="22614773"/>
    <b v="1"/>
    <n v="1"/>
  </r>
  <r>
    <b v="1"/>
    <x v="0"/>
    <x v="0"/>
    <x v="2"/>
    <x v="0"/>
    <x v="1"/>
    <x v="46"/>
    <n v="0"/>
    <x v="0"/>
    <s v="43da939a64e7473388d28a08a74f1490"/>
    <s v="Primera Emisi√≥n Bono Verde Banco de Bogot√°"/>
    <x v="0"/>
    <x v="0"/>
    <s v="Bioenergy"/>
    <s v="Project 4 Bioenergy"/>
    <s v="Colombia"/>
    <d v="2021-02-28T00:00:00"/>
    <d v="2021-02-05T00:00:00"/>
    <s v="COP"/>
    <n v="74860643133"/>
    <n v="74860643133"/>
    <s v="COP"/>
    <n v="74860643133"/>
    <n v="20654688"/>
    <b v="0"/>
    <n v="0.88"/>
  </r>
  <r>
    <b v="1"/>
    <x v="0"/>
    <x v="0"/>
    <x v="2"/>
    <x v="0"/>
    <x v="1"/>
    <x v="46"/>
    <n v="0"/>
    <x v="0"/>
    <s v="43da939a64e7473388d28a08a74f1490"/>
    <s v="Primera Emisi√≥n Bono Verde Banco de Bogot√°"/>
    <x v="1"/>
    <x v="1"/>
    <s v="Generation"/>
    <s v="Project 4 Bioenergy"/>
    <s v="Colombia"/>
    <d v="2021-02-28T00:00:00"/>
    <d v="2021-02-05T00:00:00"/>
    <s v="COP"/>
    <n v="74860643133"/>
    <n v="74860643133"/>
    <s v="COP"/>
    <n v="74860643133"/>
    <n v="20654688"/>
    <b v="0"/>
    <n v="0.88"/>
  </r>
  <r>
    <b v="1"/>
    <x v="0"/>
    <x v="0"/>
    <x v="2"/>
    <x v="0"/>
    <x v="1"/>
    <x v="46"/>
    <n v="0"/>
    <x v="0"/>
    <s v="43da939a64e7473388d28a08a74f1490"/>
    <s v="Primera Emisi√≥n Bono Verde Banco de Bogot√°"/>
    <x v="0"/>
    <x v="0"/>
    <s v="Hydro"/>
    <s v="Project 5 Hydro Energy"/>
    <s v="Colombia"/>
    <d v="2020-09-30T00:00:00"/>
    <d v="2018-09-10T00:00:00"/>
    <s v="COP"/>
    <n v="27279999994"/>
    <n v="27279999994"/>
    <s v="COP"/>
    <n v="27279999994"/>
    <n v="10430055"/>
    <b v="1"/>
    <n v="0.2"/>
  </r>
  <r>
    <b v="1"/>
    <x v="0"/>
    <x v="0"/>
    <x v="2"/>
    <x v="0"/>
    <x v="1"/>
    <x v="46"/>
    <n v="0"/>
    <x v="0"/>
    <s v="43da939a64e7473388d28a08a74f1490"/>
    <s v="Primera Emisi√≥n Bono Verde Banco de Bogot√°"/>
    <x v="1"/>
    <x v="1"/>
    <s v="Generation"/>
    <s v="Project 5 Hydro Energy"/>
    <s v="Colombia"/>
    <d v="2020-09-30T00:00:00"/>
    <d v="2018-09-10T00:00:00"/>
    <s v="COP"/>
    <n v="27279999994"/>
    <n v="27279999994"/>
    <s v="COP"/>
    <n v="27279999994"/>
    <n v="10430055"/>
    <b v="1"/>
    <n v="0.2"/>
  </r>
  <r>
    <b v="1"/>
    <x v="0"/>
    <x v="0"/>
    <x v="2"/>
    <x v="0"/>
    <x v="1"/>
    <x v="46"/>
    <n v="0"/>
    <x v="0"/>
    <s v="43da939a64e7473388d28a08a74f1490"/>
    <s v="Primera Emisi√≥n Bono Verde Banco de Bogot√°"/>
    <x v="0"/>
    <x v="0"/>
    <s v="Solar"/>
    <s v="Project 6 Solar Energy 1"/>
    <s v="Colombia"/>
    <d v="2021-01-31T00:00:00"/>
    <d v="2021-01-22T00:00:00"/>
    <s v="COP"/>
    <n v="1181252113"/>
    <n v="1181252113"/>
    <s v="COP"/>
    <n v="1181252113"/>
    <n v="337640"/>
    <b v="0"/>
    <n v="1"/>
  </r>
  <r>
    <b v="1"/>
    <x v="0"/>
    <x v="0"/>
    <x v="2"/>
    <x v="0"/>
    <x v="1"/>
    <x v="46"/>
    <n v="0"/>
    <x v="0"/>
    <s v="43da939a64e7473388d28a08a74f1490"/>
    <s v="Primera Emisi√≥n Bono Verde Banco de Bogot√°"/>
    <x v="1"/>
    <x v="1"/>
    <s v="Generation"/>
    <s v="Project 6 Solar Energy 1"/>
    <s v="Colombia"/>
    <d v="2021-01-31T00:00:00"/>
    <d v="2021-01-22T00:00:00"/>
    <s v="COP"/>
    <n v="1181252113"/>
    <n v="1181252113"/>
    <s v="COP"/>
    <n v="1181252113"/>
    <n v="337640"/>
    <b v="0"/>
    <n v="1"/>
  </r>
  <r>
    <b v="1"/>
    <x v="0"/>
    <x v="0"/>
    <x v="2"/>
    <x v="0"/>
    <x v="1"/>
    <x v="46"/>
    <n v="0"/>
    <x v="0"/>
    <s v="43da939a64e7473388d28a08a74f1490"/>
    <s v="Primera Emisi√≥n Bono Verde Banco de Bogot√°"/>
    <x v="0"/>
    <x v="0"/>
    <s v="Solar"/>
    <s v="Project 7 Solar Energy 2"/>
    <s v="Colombia"/>
    <d v="2021-03-31T00:00:00"/>
    <d v="2020-03-02T00:00:00"/>
    <s v="COP"/>
    <n v="419998583"/>
    <n v="419998583"/>
    <s v="COP"/>
    <n v="419998583"/>
    <n v="103888"/>
    <b v="1"/>
    <n v="1"/>
  </r>
  <r>
    <b v="1"/>
    <x v="0"/>
    <x v="0"/>
    <x v="2"/>
    <x v="0"/>
    <x v="1"/>
    <x v="46"/>
    <n v="0"/>
    <x v="0"/>
    <s v="43da939a64e7473388d28a08a74f1490"/>
    <s v="Primera Emisi√≥n Bono Verde Banco de Bogot√°"/>
    <x v="1"/>
    <x v="1"/>
    <s v="Generation"/>
    <s v="Project 7 Solar Energy 2"/>
    <s v="Colombia"/>
    <d v="2021-03-31T00:00:00"/>
    <d v="2020-03-02T00:00:00"/>
    <s v="COP"/>
    <n v="419998583"/>
    <n v="419998583"/>
    <s v="COP"/>
    <n v="419998583"/>
    <n v="103888"/>
    <b v="1"/>
    <n v="1"/>
  </r>
  <r>
    <b v="1"/>
    <x v="0"/>
    <x v="0"/>
    <x v="2"/>
    <x v="0"/>
    <x v="1"/>
    <x v="46"/>
    <n v="0"/>
    <x v="0"/>
    <s v="43da939a64e7473388d28a08a74f1490"/>
    <s v="Primera Emisi√≥n Bono Verde Banco de Bogot√°"/>
    <x v="0"/>
    <x v="0"/>
    <s v="Solar"/>
    <s v="Project 8 Solar Energy 3"/>
    <s v="Colombia"/>
    <d v="2020-11-30T00:00:00"/>
    <d v="2020-11-10T00:00:00"/>
    <s v="COP"/>
    <n v="199999999"/>
    <n v="199999999"/>
    <s v="COP"/>
    <n v="199999999"/>
    <n v="55380"/>
    <b v="0"/>
    <n v="1"/>
  </r>
  <r>
    <b v="1"/>
    <x v="0"/>
    <x v="0"/>
    <x v="2"/>
    <x v="0"/>
    <x v="1"/>
    <x v="46"/>
    <n v="0"/>
    <x v="0"/>
    <s v="43da939a64e7473388d28a08a74f1490"/>
    <s v="Primera Emisi√≥n Bono Verde Banco de Bogot√°"/>
    <x v="1"/>
    <x v="1"/>
    <s v="Generation"/>
    <s v="Project 8 Solar Energy 3"/>
    <s v="Colombia"/>
    <d v="2020-11-30T00:00:00"/>
    <d v="2020-11-10T00:00:00"/>
    <s v="COP"/>
    <n v="199999999"/>
    <n v="199999999"/>
    <s v="COP"/>
    <n v="199999999"/>
    <n v="55380"/>
    <b v="0"/>
    <n v="1"/>
  </r>
  <r>
    <b v="1"/>
    <x v="0"/>
    <x v="0"/>
    <x v="2"/>
    <x v="0"/>
    <x v="1"/>
    <x v="46"/>
    <n v="0"/>
    <x v="0"/>
    <s v="43da939a64e7473388d28a08a74f1490"/>
    <s v="Primera Emisi√≥n Bono Verde Banco de Bogot√°"/>
    <x v="0"/>
    <x v="0"/>
    <s v="Solar"/>
    <s v="Project 9 Solar Energy 4"/>
    <s v="Colombia"/>
    <d v="2020-11-30T00:00:00"/>
    <d v="2020-02-10T00:00:00"/>
    <s v="COP"/>
    <n v="71955022"/>
    <n v="71955022"/>
    <s v="COP"/>
    <n v="71955022"/>
    <n v="28676"/>
    <b v="1"/>
    <n v="1"/>
  </r>
  <r>
    <b v="1"/>
    <x v="0"/>
    <x v="0"/>
    <x v="2"/>
    <x v="0"/>
    <x v="1"/>
    <x v="46"/>
    <n v="0"/>
    <x v="0"/>
    <s v="43da939a64e7473388d28a08a74f1490"/>
    <s v="Primera Emisi√≥n Bono Verde Banco de Bogot√°"/>
    <x v="1"/>
    <x v="1"/>
    <s v="Generation"/>
    <s v="Project 9 Solar Energy 4"/>
    <s v="Colombia"/>
    <d v="2020-11-30T00:00:00"/>
    <d v="2020-02-10T00:00:00"/>
    <s v="COP"/>
    <n v="71955022"/>
    <n v="71955022"/>
    <s v="COP"/>
    <n v="71955022"/>
    <n v="28676"/>
    <b v="1"/>
    <n v="1"/>
  </r>
  <r>
    <b v="1"/>
    <x v="0"/>
    <x v="0"/>
    <x v="2"/>
    <x v="0"/>
    <x v="1"/>
    <x v="46"/>
    <n v="0"/>
    <x v="0"/>
    <s v="43da939a64e7473388d28a08a74f1490"/>
    <s v="Primera Emisi√≥n Bono Verde Banco de Bogot√°"/>
    <x v="0"/>
    <x v="0"/>
    <s v="Solar"/>
    <s v="Project 10 Solar Energy 5"/>
    <s v="Colombia"/>
    <d v="2021-05-31T00:00:00"/>
    <d v="2020-06-26T00:00:00"/>
    <s v="COP"/>
    <n v="539166665"/>
    <n v="539166665"/>
    <s v="COP"/>
    <n v="539166665"/>
    <n v="172124"/>
    <b v="1"/>
    <n v="0.93"/>
  </r>
  <r>
    <b v="1"/>
    <x v="0"/>
    <x v="0"/>
    <x v="2"/>
    <x v="0"/>
    <x v="1"/>
    <x v="46"/>
    <n v="0"/>
    <x v="0"/>
    <s v="43da939a64e7473388d28a08a74f1490"/>
    <s v="Primera Emisi√≥n Bono Verde Banco de Bogot√°"/>
    <x v="1"/>
    <x v="1"/>
    <s v="Generation"/>
    <s v="Project 10 Solar Energy 5"/>
    <s v="Colombia"/>
    <d v="2021-05-31T00:00:00"/>
    <d v="2020-06-26T00:00:00"/>
    <s v="COP"/>
    <n v="539166665"/>
    <n v="539166665"/>
    <s v="COP"/>
    <n v="539166665"/>
    <n v="172124"/>
    <b v="1"/>
    <n v="0.93"/>
  </r>
  <r>
    <b v="1"/>
    <x v="0"/>
    <x v="0"/>
    <x v="2"/>
    <x v="0"/>
    <x v="1"/>
    <x v="46"/>
    <n v="0"/>
    <x v="0"/>
    <s v="43da939a64e7473388d28a08a74f1490"/>
    <s v="Primera Emisi√≥n Bono Verde Banco de Bogot√°"/>
    <x v="0"/>
    <x v="5"/>
    <s v="Public"/>
    <s v="Project 11 Public Transport"/>
    <s v="Colombia"/>
    <d v="2020-11-30T00:00:00"/>
    <d v="2017-08-31T00:00:00"/>
    <s v="COP"/>
    <n v="86503111250"/>
    <n v="86503111250"/>
    <s v="COP"/>
    <n v="86503111250"/>
    <n v="29416223"/>
    <b v="1"/>
    <n v="0.5"/>
  </r>
  <r>
    <b v="1"/>
    <x v="0"/>
    <x v="0"/>
    <x v="2"/>
    <x v="0"/>
    <x v="1"/>
    <x v="46"/>
    <n v="0"/>
    <x v="0"/>
    <s v="43da939a64e7473388d28a08a74f1490"/>
    <s v="Primera Emisi√≥n Bono Verde Banco de Bogot√°"/>
    <x v="1"/>
    <x v="6"/>
    <s v="Public"/>
    <s v="Project 11 Public Transport"/>
    <s v="Colombia"/>
    <d v="2020-11-30T00:00:00"/>
    <d v="2017-08-31T00:00:00"/>
    <s v="COP"/>
    <n v="86503111250"/>
    <n v="86503111250"/>
    <s v="COP"/>
    <n v="86503111250"/>
    <n v="29416223"/>
    <b v="1"/>
    <n v="0.5"/>
  </r>
  <r>
    <b v="1"/>
    <x v="0"/>
    <x v="0"/>
    <x v="1"/>
    <x v="0"/>
    <x v="1"/>
    <x v="47"/>
    <n v="0"/>
    <x v="0"/>
    <s v="731de09d90c6433a8eddaf8aa22dc123"/>
    <s v="Green FIDC Solar GD √ìrigo"/>
    <x v="0"/>
    <x v="0"/>
    <s v="Solar"/>
    <s v="Usina fotovoltaica Bom Despacho 58"/>
    <s v="Brazil"/>
    <d v="2021-03-30T00:00:00"/>
    <d v="2021-06-25T00:00:00"/>
    <s v="BRL"/>
    <n v="13105966"/>
    <n v="13105966"/>
    <s v="BRL"/>
    <n v="13105966"/>
    <n v="2404764"/>
    <b v="0"/>
    <n v="0.9"/>
  </r>
  <r>
    <b v="1"/>
    <x v="0"/>
    <x v="0"/>
    <x v="1"/>
    <x v="0"/>
    <x v="1"/>
    <x v="47"/>
    <n v="0"/>
    <x v="0"/>
    <s v="731de09d90c6433a8eddaf8aa22dc123"/>
    <s v="Green FIDC Solar GD √ìrigo"/>
    <x v="1"/>
    <x v="1"/>
    <s v="Generation"/>
    <s v="Usina fotovoltaica Bom Despacho 58"/>
    <s v="Brazil"/>
    <d v="2021-03-30T00:00:00"/>
    <d v="2021-06-25T00:00:00"/>
    <s v="BRL"/>
    <n v="13105966"/>
    <n v="13105966"/>
    <s v="BRL"/>
    <n v="13105966"/>
    <n v="2404764"/>
    <b v="0"/>
    <n v="0.9"/>
  </r>
  <r>
    <b v="1"/>
    <x v="0"/>
    <x v="0"/>
    <x v="1"/>
    <x v="0"/>
    <x v="1"/>
    <x v="47"/>
    <n v="0"/>
    <x v="0"/>
    <s v="731de09d90c6433a8eddaf8aa22dc123"/>
    <s v="Green FIDC Solar GD √ìrigo"/>
    <x v="0"/>
    <x v="0"/>
    <s v="Solar"/>
    <s v="Usina fotovoltaica Bras√≠lia de Minas"/>
    <s v="Brazil"/>
    <d v="2021-03-30T00:00:00"/>
    <d v="2021-05-20T00:00:00"/>
    <s v="BRL"/>
    <n v="26323047"/>
    <n v="26323047"/>
    <s v="BRL"/>
    <n v="26323047"/>
    <n v="4829916"/>
    <b v="1"/>
    <n v="1"/>
  </r>
  <r>
    <b v="1"/>
    <x v="0"/>
    <x v="0"/>
    <x v="1"/>
    <x v="0"/>
    <x v="1"/>
    <x v="47"/>
    <n v="0"/>
    <x v="0"/>
    <s v="731de09d90c6433a8eddaf8aa22dc123"/>
    <s v="Green FIDC Solar GD √ìrigo"/>
    <x v="1"/>
    <x v="1"/>
    <s v="Generation"/>
    <s v="Usina fotovoltaica Bras√≠lia de Minas"/>
    <s v="Brazil"/>
    <d v="2021-03-30T00:00:00"/>
    <d v="2021-05-20T00:00:00"/>
    <s v="BRL"/>
    <n v="26323047"/>
    <n v="26323047"/>
    <s v="BRL"/>
    <n v="26323047"/>
    <n v="4829916"/>
    <b v="1"/>
    <n v="1"/>
  </r>
  <r>
    <b v="1"/>
    <x v="0"/>
    <x v="0"/>
    <x v="1"/>
    <x v="0"/>
    <x v="1"/>
    <x v="47"/>
    <n v="0"/>
    <x v="0"/>
    <s v="731de09d90c6433a8eddaf8aa22dc123"/>
    <s v="Green FIDC Solar GD √ìrigo"/>
    <x v="0"/>
    <x v="0"/>
    <s v="Solar"/>
    <s v="Usina fotovoltaica Francisco S√° I"/>
    <s v="Brazil"/>
    <d v="2021-03-30T00:00:00"/>
    <d v="2021-05-20T00:00:00"/>
    <s v="BRL"/>
    <n v="9911343"/>
    <n v="9911343"/>
    <s v="BRL"/>
    <n v="9911343"/>
    <n v="1818595"/>
    <b v="1"/>
    <n v="1"/>
  </r>
  <r>
    <b v="1"/>
    <x v="0"/>
    <x v="0"/>
    <x v="1"/>
    <x v="0"/>
    <x v="1"/>
    <x v="47"/>
    <n v="0"/>
    <x v="0"/>
    <s v="731de09d90c6433a8eddaf8aa22dc123"/>
    <s v="Green FIDC Solar GD √ìrigo"/>
    <x v="1"/>
    <x v="1"/>
    <s v="Generation"/>
    <s v="Usina fotovoltaica Francisco S√° I"/>
    <s v="Brazil"/>
    <d v="2021-03-30T00:00:00"/>
    <d v="2021-05-20T00:00:00"/>
    <s v="BRL"/>
    <n v="9911343"/>
    <n v="9911343"/>
    <s v="BRL"/>
    <n v="9911343"/>
    <n v="1818595"/>
    <b v="1"/>
    <n v="1"/>
  </r>
  <r>
    <b v="1"/>
    <x v="0"/>
    <x v="0"/>
    <x v="1"/>
    <x v="0"/>
    <x v="1"/>
    <x v="47"/>
    <n v="0"/>
    <x v="0"/>
    <s v="731de09d90c6433a8eddaf8aa22dc123"/>
    <s v="Green FIDC Solar GD √ìrigo"/>
    <x v="0"/>
    <x v="0"/>
    <s v="Solar"/>
    <s v="Usina fotovoltaica Francisco S√° II"/>
    <s v="Brazil"/>
    <d v="2021-03-30T00:00:00"/>
    <d v="2021-05-20T00:00:00"/>
    <s v="BRL"/>
    <n v="27524778"/>
    <n v="27524778"/>
    <s v="BRL"/>
    <n v="27524778"/>
    <n v="5050417"/>
    <b v="1"/>
    <n v="1"/>
  </r>
  <r>
    <b v="1"/>
    <x v="0"/>
    <x v="0"/>
    <x v="1"/>
    <x v="0"/>
    <x v="1"/>
    <x v="47"/>
    <n v="0"/>
    <x v="0"/>
    <s v="731de09d90c6433a8eddaf8aa22dc123"/>
    <s v="Green FIDC Solar GD √ìrigo"/>
    <x v="1"/>
    <x v="1"/>
    <s v="Generation"/>
    <s v="Usina fotovoltaica Francisco S√° II"/>
    <s v="Brazil"/>
    <d v="2021-03-30T00:00:00"/>
    <d v="2021-05-20T00:00:00"/>
    <s v="BRL"/>
    <n v="27524778"/>
    <n v="27524778"/>
    <s v="BRL"/>
    <n v="27524778"/>
    <n v="5050417"/>
    <b v="1"/>
    <n v="1"/>
  </r>
  <r>
    <b v="1"/>
    <x v="0"/>
    <x v="0"/>
    <x v="1"/>
    <x v="0"/>
    <x v="1"/>
    <x v="47"/>
    <n v="0"/>
    <x v="0"/>
    <s v="731de09d90c6433a8eddaf8aa22dc123"/>
    <s v="Green FIDC Solar GD √ìrigo"/>
    <x v="0"/>
    <x v="0"/>
    <s v="Solar"/>
    <s v="Usina fotovoltaica Ibi√° 25"/>
    <s v="Brazil"/>
    <d v="2021-03-30T00:00:00"/>
    <d v="2021-06-25T00:00:00"/>
    <s v="BRL"/>
    <n v="12778806"/>
    <n v="12778806"/>
    <s v="BRL"/>
    <n v="12778806"/>
    <n v="2344735"/>
    <b v="0"/>
    <n v="0.9"/>
  </r>
  <r>
    <b v="1"/>
    <x v="0"/>
    <x v="0"/>
    <x v="1"/>
    <x v="0"/>
    <x v="1"/>
    <x v="47"/>
    <n v="0"/>
    <x v="0"/>
    <s v="731de09d90c6433a8eddaf8aa22dc123"/>
    <s v="Green FIDC Solar GD √ìrigo"/>
    <x v="1"/>
    <x v="1"/>
    <s v="Generation"/>
    <s v="Usina fotovoltaica Ibi√° 25"/>
    <s v="Brazil"/>
    <d v="2021-03-30T00:00:00"/>
    <d v="2021-06-25T00:00:00"/>
    <s v="BRL"/>
    <n v="12778806"/>
    <n v="12778806"/>
    <s v="BRL"/>
    <n v="12778806"/>
    <n v="2344735"/>
    <b v="0"/>
    <n v="0.9"/>
  </r>
  <r>
    <b v="1"/>
    <x v="0"/>
    <x v="0"/>
    <x v="1"/>
    <x v="0"/>
    <x v="1"/>
    <x v="47"/>
    <n v="0"/>
    <x v="0"/>
    <s v="731de09d90c6433a8eddaf8aa22dc123"/>
    <s v="Green FIDC Solar GD √ìrigo"/>
    <x v="0"/>
    <x v="0"/>
    <s v="Solar"/>
    <s v="Usina fotovoltaica Ibi√° 42"/>
    <s v="Brazil"/>
    <d v="2021-03-30T00:00:00"/>
    <d v="2021-06-25T00:00:00"/>
    <s v="BRL"/>
    <n v="13531168"/>
    <n v="13531168"/>
    <s v="BRL"/>
    <n v="13531168"/>
    <n v="2482783"/>
    <b v="0"/>
    <n v="0.9"/>
  </r>
  <r>
    <b v="1"/>
    <x v="0"/>
    <x v="0"/>
    <x v="1"/>
    <x v="0"/>
    <x v="1"/>
    <x v="47"/>
    <n v="0"/>
    <x v="0"/>
    <s v="731de09d90c6433a8eddaf8aa22dc123"/>
    <s v="Green FIDC Solar GD √ìrigo"/>
    <x v="1"/>
    <x v="1"/>
    <s v="Generation"/>
    <s v="Usina fotovoltaica Ibi√° 42"/>
    <s v="Brazil"/>
    <d v="2021-03-30T00:00:00"/>
    <d v="2021-06-25T00:00:00"/>
    <s v="BRL"/>
    <n v="13531168"/>
    <n v="13531168"/>
    <s v="BRL"/>
    <n v="13531168"/>
    <n v="2482783"/>
    <b v="0"/>
    <n v="0.9"/>
  </r>
  <r>
    <b v="1"/>
    <x v="0"/>
    <x v="0"/>
    <x v="1"/>
    <x v="0"/>
    <x v="1"/>
    <x v="47"/>
    <n v="0"/>
    <x v="0"/>
    <s v="731de09d90c6433a8eddaf8aa22dc123"/>
    <s v="Green FIDC Solar GD √ìrigo"/>
    <x v="0"/>
    <x v="0"/>
    <s v="Solar"/>
    <s v="Usina fotovoltaica Jana√∫ba"/>
    <s v="Brazil"/>
    <d v="2021-03-30T00:00:00"/>
    <d v="2021-05-20T00:00:00"/>
    <s v="BRL"/>
    <n v="10313886"/>
    <n v="10313886"/>
    <s v="BRL"/>
    <n v="10313886"/>
    <n v="1892456"/>
    <b v="1"/>
    <n v="1"/>
  </r>
  <r>
    <b v="1"/>
    <x v="0"/>
    <x v="0"/>
    <x v="1"/>
    <x v="0"/>
    <x v="1"/>
    <x v="47"/>
    <n v="0"/>
    <x v="0"/>
    <s v="731de09d90c6433a8eddaf8aa22dc123"/>
    <s v="Green FIDC Solar GD √ìrigo"/>
    <x v="1"/>
    <x v="1"/>
    <s v="Generation"/>
    <s v="Usina fotovoltaica Jana√∫ba"/>
    <s v="Brazil"/>
    <d v="2021-03-30T00:00:00"/>
    <d v="2021-05-20T00:00:00"/>
    <s v="BRL"/>
    <n v="10313886"/>
    <n v="10313886"/>
    <s v="BRL"/>
    <n v="10313886"/>
    <n v="1892456"/>
    <b v="1"/>
    <n v="1"/>
  </r>
  <r>
    <b v="1"/>
    <x v="0"/>
    <x v="0"/>
    <x v="1"/>
    <x v="0"/>
    <x v="1"/>
    <x v="47"/>
    <n v="0"/>
    <x v="0"/>
    <s v="731de09d90c6433a8eddaf8aa22dc123"/>
    <s v="Green FIDC Solar GD √ìrigo"/>
    <x v="0"/>
    <x v="0"/>
    <s v="Solar"/>
    <s v="Usina fotovoltaica Lagoa Grande 78"/>
    <s v="Brazil"/>
    <d v="2021-03-30T00:00:00"/>
    <d v="2021-03-30T00:00:00"/>
    <s v="BRL"/>
    <n v="13560228"/>
    <n v="13560228"/>
    <s v="BRL"/>
    <n v="13560228"/>
    <n v="2488115"/>
    <b v="0"/>
    <n v="0.9"/>
  </r>
  <r>
    <b v="1"/>
    <x v="0"/>
    <x v="0"/>
    <x v="1"/>
    <x v="0"/>
    <x v="1"/>
    <x v="47"/>
    <n v="0"/>
    <x v="0"/>
    <s v="731de09d90c6433a8eddaf8aa22dc123"/>
    <s v="Green FIDC Solar GD √ìrigo"/>
    <x v="1"/>
    <x v="1"/>
    <s v="Generation"/>
    <s v="Usina fotovoltaica Lagoa Grande 78"/>
    <s v="Brazil"/>
    <d v="2021-03-30T00:00:00"/>
    <d v="2021-03-30T00:00:00"/>
    <s v="BRL"/>
    <n v="13560228"/>
    <n v="13560228"/>
    <s v="BRL"/>
    <n v="13560228"/>
    <n v="2488115"/>
    <b v="0"/>
    <n v="0.9"/>
  </r>
  <r>
    <b v="1"/>
    <x v="0"/>
    <x v="0"/>
    <x v="1"/>
    <x v="0"/>
    <x v="1"/>
    <x v="47"/>
    <n v="0"/>
    <x v="0"/>
    <s v="731de09d90c6433a8eddaf8aa22dc123"/>
    <s v="Green FIDC Solar GD √ìrigo"/>
    <x v="0"/>
    <x v="0"/>
    <s v="Solar"/>
    <s v="Usina fotovoltaica Lagoa Grande 90"/>
    <s v="Brazil"/>
    <d v="2021-03-30T00:00:00"/>
    <d v="2021-03-30T00:00:00"/>
    <s v="BRL"/>
    <n v="13340559"/>
    <n v="13340559"/>
    <s v="BRL"/>
    <n v="13340559"/>
    <n v="2447808"/>
    <b v="0"/>
    <n v="0.9"/>
  </r>
  <r>
    <b v="1"/>
    <x v="0"/>
    <x v="0"/>
    <x v="1"/>
    <x v="0"/>
    <x v="1"/>
    <x v="47"/>
    <n v="0"/>
    <x v="0"/>
    <s v="731de09d90c6433a8eddaf8aa22dc123"/>
    <s v="Green FIDC Solar GD √ìrigo"/>
    <x v="1"/>
    <x v="1"/>
    <s v="Generation"/>
    <s v="Usina fotovoltaica Lagoa Grande 90"/>
    <s v="Brazil"/>
    <d v="2021-03-30T00:00:00"/>
    <d v="2021-03-30T00:00:00"/>
    <s v="BRL"/>
    <n v="13340559"/>
    <n v="13340559"/>
    <s v="BRL"/>
    <n v="13340559"/>
    <n v="2447808"/>
    <b v="0"/>
    <n v="0.9"/>
  </r>
  <r>
    <b v="1"/>
    <x v="0"/>
    <x v="0"/>
    <x v="1"/>
    <x v="0"/>
    <x v="1"/>
    <x v="48"/>
    <s v="BBG00R9NDNK3"/>
    <x v="0"/>
    <s v="21273ccef0ca496f88b04b4970e3394e"/>
    <s v="Segunda Emiss√£o Jana√∫ba"/>
    <x v="0"/>
    <x v="0"/>
    <s v="Transmission"/>
    <s v="Projeto Jana√∫ba"/>
    <s v="Brazil"/>
    <d v="2019-12-15T00:00:00"/>
    <d v="2019-12-20T00:00:00"/>
    <s v="BRL"/>
    <n v="542370190"/>
    <n v="542370190"/>
    <s v="BRL"/>
    <n v="542370190"/>
    <n v="133008850"/>
    <b v="1"/>
    <n v="0.52"/>
  </r>
  <r>
    <b v="1"/>
    <x v="0"/>
    <x v="0"/>
    <x v="1"/>
    <x v="0"/>
    <x v="1"/>
    <x v="48"/>
    <s v="BBG00R9NDNK3"/>
    <x v="0"/>
    <s v="21273ccef0ca496f88b04b4970e3394e"/>
    <s v="Segunda Emiss√£o Jana√∫ba"/>
    <x v="1"/>
    <x v="1"/>
    <s v="Transmission"/>
    <s v="Projeto Jana√∫ba"/>
    <s v="Brazil"/>
    <d v="2019-12-15T00:00:00"/>
    <d v="2019-12-20T00:00:00"/>
    <s v="BRL"/>
    <n v="542370190"/>
    <n v="542370190"/>
    <s v="BRL"/>
    <n v="542370190"/>
    <n v="133008850"/>
    <b v="1"/>
    <n v="0.52"/>
  </r>
  <r>
    <b v="1"/>
    <x v="0"/>
    <x v="0"/>
    <x v="1"/>
    <x v="0"/>
    <x v="1"/>
    <x v="49"/>
    <s v="BBG00P910118"/>
    <x v="0"/>
    <s v="9454206ae5ef4e8d85b80872d8b63a12"/>
    <s v="Sexta Emiss√£o de Deb√™ntures da Taesa"/>
    <x v="0"/>
    <x v="0"/>
    <s v="Transmission"/>
    <s v="Projeto Mariana"/>
    <s v="Brazil"/>
    <d v="2019-05-15T00:00:00"/>
    <d v="2019-05-24T00:00:00"/>
    <s v="BRL"/>
    <n v="39388377"/>
    <n v="39388377"/>
    <s v="BRL"/>
    <n v="39388377"/>
    <n v="9768458"/>
    <b v="0"/>
    <n v="0.23"/>
  </r>
  <r>
    <b v="1"/>
    <x v="0"/>
    <x v="0"/>
    <x v="1"/>
    <x v="0"/>
    <x v="1"/>
    <x v="49"/>
    <s v="BBG00P910118"/>
    <x v="0"/>
    <s v="9454206ae5ef4e8d85b80872d8b63a12"/>
    <s v="Sexta Emiss√£o de Deb√™ntures da Taesa"/>
    <x v="1"/>
    <x v="1"/>
    <s v="Transmission"/>
    <s v="Projeto Mariana"/>
    <s v="Brazil"/>
    <d v="2019-05-15T00:00:00"/>
    <d v="2019-05-24T00:00:00"/>
    <s v="BRL"/>
    <n v="39388377"/>
    <n v="39388377"/>
    <s v="BRL"/>
    <n v="39388377"/>
    <n v="9768458"/>
    <b v="0"/>
    <n v="0.23"/>
  </r>
  <r>
    <b v="1"/>
    <x v="0"/>
    <x v="0"/>
    <x v="1"/>
    <x v="0"/>
    <x v="1"/>
    <x v="49"/>
    <s v="BBG00P910118"/>
    <x v="0"/>
    <s v="9454206ae5ef4e8d85b80872d8b63a12"/>
    <s v="Sexta Emiss√£o de Deb√™ntures da Taesa"/>
    <x v="0"/>
    <x v="0"/>
    <s v="Transmission"/>
    <s v="Projeto Miracema"/>
    <s v="Brazil"/>
    <d v="2019-05-15T00:00:00"/>
    <d v="2019-05-24T00:00:00"/>
    <s v="BRL"/>
    <n v="118165132"/>
    <n v="118165132"/>
    <s v="BRL"/>
    <n v="118165132"/>
    <n v="29305374"/>
    <b v="0"/>
    <n v="0.43"/>
  </r>
  <r>
    <b v="1"/>
    <x v="0"/>
    <x v="0"/>
    <x v="1"/>
    <x v="0"/>
    <x v="1"/>
    <x v="49"/>
    <s v="BBG00P910118"/>
    <x v="0"/>
    <s v="9454206ae5ef4e8d85b80872d8b63a12"/>
    <s v="Sexta Emiss√£o de Deb√™ntures da Taesa"/>
    <x v="1"/>
    <x v="1"/>
    <s v="Transmission"/>
    <s v="Projeto Miracema"/>
    <s v="Brazil"/>
    <d v="2019-05-15T00:00:00"/>
    <d v="2019-05-24T00:00:00"/>
    <s v="BRL"/>
    <n v="118165132"/>
    <n v="118165132"/>
    <s v="BRL"/>
    <n v="118165132"/>
    <n v="29305374"/>
    <b v="0"/>
    <n v="0.43"/>
  </r>
  <r>
    <b v="1"/>
    <x v="0"/>
    <x v="0"/>
    <x v="1"/>
    <x v="0"/>
    <x v="1"/>
    <x v="49"/>
    <s v="BBG00P910118"/>
    <x v="0"/>
    <s v="9454206ae5ef4e8d85b80872d8b63a12"/>
    <s v="Sexta Emiss√£o de Deb√™ntures da Taesa"/>
    <x v="0"/>
    <x v="0"/>
    <s v="Transmission"/>
    <s v="Projeto Sant'ana - 6¬™"/>
    <s v="Brazil"/>
    <d v="2019-05-15T00:00:00"/>
    <d v="2019-05-24T00:00:00"/>
    <s v="BRL"/>
    <n v="49235472"/>
    <n v="49235472"/>
    <s v="BRL"/>
    <n v="49235472"/>
    <n v="12210572"/>
    <b v="0"/>
    <n v="0.08"/>
  </r>
  <r>
    <b v="1"/>
    <x v="0"/>
    <x v="0"/>
    <x v="1"/>
    <x v="0"/>
    <x v="1"/>
    <x v="49"/>
    <s v="BBG00P910118"/>
    <x v="0"/>
    <s v="9454206ae5ef4e8d85b80872d8b63a12"/>
    <s v="Sexta Emiss√£o de Deb√™ntures da Taesa"/>
    <x v="1"/>
    <x v="1"/>
    <s v="Transmission"/>
    <s v="Projeto Sant'ana - 6¬™"/>
    <s v="Brazil"/>
    <d v="2019-05-15T00:00:00"/>
    <d v="2019-05-24T00:00:00"/>
    <s v="BRL"/>
    <n v="49235472"/>
    <n v="49235472"/>
    <s v="BRL"/>
    <n v="49235472"/>
    <n v="12210572"/>
    <b v="0"/>
    <n v="0.08"/>
  </r>
  <r>
    <b v="1"/>
    <x v="0"/>
    <x v="0"/>
    <x v="1"/>
    <x v="0"/>
    <x v="1"/>
    <x v="50"/>
    <s v="BBG00QPSKY60"/>
    <x v="0"/>
    <s v="a51f0a51fdd241f0b87f87edf3924a15"/>
    <s v="S√©tima Emiss√£o de Deb√™ntures da Taesa"/>
    <x v="0"/>
    <x v="0"/>
    <s v="Transmission"/>
    <s v="Projeto Paragua√ßu"/>
    <s v="Brazil"/>
    <d v="2019-09-15T00:00:00"/>
    <d v="2019-10-25T00:00:00"/>
    <s v="BRL"/>
    <n v="168549737"/>
    <n v="168549737"/>
    <s v="BRL"/>
    <n v="168549737"/>
    <n v="41997791"/>
    <b v="0"/>
    <n v="0.3"/>
  </r>
  <r>
    <b v="1"/>
    <x v="0"/>
    <x v="0"/>
    <x v="1"/>
    <x v="0"/>
    <x v="1"/>
    <x v="50"/>
    <s v="BBG00QPSKY60"/>
    <x v="0"/>
    <s v="a51f0a51fdd241f0b87f87edf3924a15"/>
    <s v="S√©tima Emiss√£o de Deb√™ntures da Taesa"/>
    <x v="1"/>
    <x v="1"/>
    <s v="Transmission"/>
    <s v="Projeto Paragua√ßu"/>
    <s v="Brazil"/>
    <d v="2019-09-15T00:00:00"/>
    <d v="2019-10-25T00:00:00"/>
    <s v="BRL"/>
    <n v="168549737"/>
    <n v="168549737"/>
    <s v="BRL"/>
    <n v="168549737"/>
    <n v="41997791"/>
    <b v="0"/>
    <n v="0.3"/>
  </r>
  <r>
    <b v="1"/>
    <x v="0"/>
    <x v="0"/>
    <x v="1"/>
    <x v="0"/>
    <x v="1"/>
    <x v="50"/>
    <s v="BBG00QPSKY60"/>
    <x v="0"/>
    <s v="a51f0a51fdd241f0b87f87edf3924a15"/>
    <s v="S√©tima Emiss√£o de Deb√™ntures da Taesa"/>
    <x v="0"/>
    <x v="0"/>
    <s v="Transmission"/>
    <s v="Projeto Aimor√©s"/>
    <s v="Brazil"/>
    <d v="2019-09-15T00:00:00"/>
    <d v="2019-10-25T00:00:00"/>
    <s v="BRL"/>
    <n v="112366491"/>
    <n v="112366491"/>
    <s v="BRL"/>
    <n v="112366491"/>
    <n v="27998527"/>
    <b v="0"/>
    <n v="0.3"/>
  </r>
  <r>
    <b v="1"/>
    <x v="0"/>
    <x v="0"/>
    <x v="1"/>
    <x v="0"/>
    <x v="1"/>
    <x v="50"/>
    <s v="BBG00QPSKY60"/>
    <x v="0"/>
    <s v="a51f0a51fdd241f0b87f87edf3924a15"/>
    <s v="S√©tima Emiss√£o de Deb√™ntures da Taesa"/>
    <x v="1"/>
    <x v="1"/>
    <s v="Transmission"/>
    <s v="Projeto Aimor√©s"/>
    <s v="Brazil"/>
    <d v="2019-09-15T00:00:00"/>
    <d v="2019-10-25T00:00:00"/>
    <s v="BRL"/>
    <n v="112366491"/>
    <n v="112366491"/>
    <s v="BRL"/>
    <n v="112366491"/>
    <n v="27998527"/>
    <b v="0"/>
    <n v="0.3"/>
  </r>
  <r>
    <b v="1"/>
    <x v="0"/>
    <x v="0"/>
    <x v="1"/>
    <x v="0"/>
    <x v="1"/>
    <x v="50"/>
    <s v="BBG00QPSKY60"/>
    <x v="0"/>
    <s v="a51f0a51fdd241f0b87f87edf3924a15"/>
    <s v="S√©tima Emiss√£o de Deb√™ntures da Taesa"/>
    <x v="0"/>
    <x v="0"/>
    <s v="Transmission"/>
    <s v="Projeto Sant'ana - 7¬™"/>
    <s v="Brazil"/>
    <d v="2019-09-15T00:00:00"/>
    <d v="2019-10-25T00:00:00"/>
    <s v="BRL"/>
    <n v="195667518"/>
    <n v="195667518"/>
    <s v="BRL"/>
    <n v="195667518"/>
    <n v="48754769"/>
    <b v="0"/>
    <n v="0.25"/>
  </r>
  <r>
    <b v="1"/>
    <x v="0"/>
    <x v="0"/>
    <x v="1"/>
    <x v="0"/>
    <x v="1"/>
    <x v="50"/>
    <s v="BBG00QPSKY60"/>
    <x v="0"/>
    <s v="a51f0a51fdd241f0b87f87edf3924a15"/>
    <s v="S√©tima Emiss√£o de Deb√™ntures da Taesa"/>
    <x v="1"/>
    <x v="1"/>
    <s v="Transmission"/>
    <s v="Projeto Sant'ana - 7¬™"/>
    <s v="Brazil"/>
    <d v="2019-09-15T00:00:00"/>
    <d v="2019-10-25T00:00:00"/>
    <s v="BRL"/>
    <n v="195667518"/>
    <n v="195667518"/>
    <s v="BRL"/>
    <n v="195667518"/>
    <n v="48754769"/>
    <b v="0"/>
    <n v="0.25"/>
  </r>
  <r>
    <b v="1"/>
    <x v="0"/>
    <x v="0"/>
    <x v="1"/>
    <x v="0"/>
    <x v="1"/>
    <x v="51"/>
    <s v="BBG00RHCX4G3"/>
    <x v="0"/>
    <s v="314f7f4c213f427091038506ef0c444b"/>
    <s v="Oitava Emiss√£o de Deb√™ntures da Taesa"/>
    <x v="0"/>
    <x v="0"/>
    <s v="Transmission"/>
    <s v="Projeto Sant'ana - 8¬™"/>
    <s v="Brazil"/>
    <d v="2019-12-15T00:00:00"/>
    <d v="2020-01-17T00:00:00"/>
    <s v="BRL"/>
    <n v="280702984"/>
    <n v="280702984"/>
    <s v="BRL"/>
    <n v="280702984"/>
    <n v="67094434"/>
    <b v="1"/>
    <n v="0.49"/>
  </r>
  <r>
    <b v="1"/>
    <x v="0"/>
    <x v="0"/>
    <x v="1"/>
    <x v="0"/>
    <x v="1"/>
    <x v="51"/>
    <s v="BBG00RHCX4G3"/>
    <x v="0"/>
    <s v="314f7f4c213f427091038506ef0c444b"/>
    <s v="Oitava Emiss√£o de Deb√™ntures da Taesa"/>
    <x v="1"/>
    <x v="1"/>
    <s v="Transmission"/>
    <s v="Projeto Sant'ana - 8¬™"/>
    <s v="Brazil"/>
    <d v="2019-12-15T00:00:00"/>
    <d v="2020-01-17T00:00:00"/>
    <s v="BRL"/>
    <n v="280702984"/>
    <n v="280702984"/>
    <s v="BRL"/>
    <n v="280702984"/>
    <n v="67094434"/>
    <b v="1"/>
    <n v="0.49"/>
  </r>
  <r>
    <b v="1"/>
    <x v="0"/>
    <x v="0"/>
    <x v="1"/>
    <x v="0"/>
    <x v="1"/>
    <x v="52"/>
    <s v="BBG0113RBDT1"/>
    <x v="0"/>
    <s v="5b4a75cdb66b4ce9b8961d7a9fd6bfb5"/>
    <s v="Decima Emiss√£o de Deb√™ntures da Taesa"/>
    <x v="0"/>
    <x v="0"/>
    <s v="Transmission"/>
    <s v="Projeto Iva√≠"/>
    <s v="Brazil"/>
    <d v="2021-05-15T00:00:00"/>
    <d v="2021-05-20T00:00:00"/>
    <s v="BRL"/>
    <n v="32701192"/>
    <n v="32701192"/>
    <s v="BRL"/>
    <n v="32701192"/>
    <n v="6181115"/>
    <b v="1"/>
    <n v="0.03"/>
  </r>
  <r>
    <b v="1"/>
    <x v="0"/>
    <x v="0"/>
    <x v="1"/>
    <x v="0"/>
    <x v="1"/>
    <x v="52"/>
    <s v="BBG0113RBDT1"/>
    <x v="0"/>
    <s v="5b4a75cdb66b4ce9b8961d7a9fd6bfb5"/>
    <s v="Decima Emiss√£o de Deb√™ntures da Taesa"/>
    <x v="1"/>
    <x v="1"/>
    <s v="Transmission"/>
    <s v="Projeto Iva√≠"/>
    <s v="Brazil"/>
    <d v="2021-05-15T00:00:00"/>
    <d v="2021-05-20T00:00:00"/>
    <s v="BRL"/>
    <n v="32701192"/>
    <n v="32701192"/>
    <s v="BRL"/>
    <n v="32701192"/>
    <n v="6181115"/>
    <b v="1"/>
    <n v="0.03"/>
  </r>
  <r>
    <b v="1"/>
    <x v="0"/>
    <x v="0"/>
    <x v="1"/>
    <x v="0"/>
    <x v="1"/>
    <x v="52"/>
    <s v="BBG0113RBDT1"/>
    <x v="0"/>
    <s v="5b4a75cdb66b4ce9b8961d7a9fd6bfb5"/>
    <s v="Decima Emiss√£o de Deb√™ntures da Taesa"/>
    <x v="0"/>
    <x v="0"/>
    <s v="Transmission"/>
    <s v="Projeto SPT 1"/>
    <s v="Brazil"/>
    <d v="2021-05-15T00:00:00"/>
    <d v="2021-05-20T00:00:00"/>
    <s v="BRL"/>
    <n v="25764575"/>
    <n v="25764575"/>
    <s v="BRL"/>
    <n v="25764575"/>
    <n v="4869969"/>
    <b v="1"/>
    <n v="0.99"/>
  </r>
  <r>
    <b v="1"/>
    <x v="0"/>
    <x v="0"/>
    <x v="1"/>
    <x v="0"/>
    <x v="1"/>
    <x v="52"/>
    <s v="BBG0113RBDT1"/>
    <x v="0"/>
    <s v="5b4a75cdb66b4ce9b8961d7a9fd6bfb5"/>
    <s v="Decima Emiss√£o de Deb√™ntures da Taesa"/>
    <x v="1"/>
    <x v="1"/>
    <s v="Transmission"/>
    <s v="Projeto SPT 1"/>
    <s v="Brazil"/>
    <d v="2021-05-15T00:00:00"/>
    <d v="2021-05-20T00:00:00"/>
    <s v="BRL"/>
    <n v="25764575"/>
    <n v="25764575"/>
    <s v="BRL"/>
    <n v="25764575"/>
    <n v="4869969"/>
    <b v="1"/>
    <n v="0.99"/>
  </r>
  <r>
    <b v="1"/>
    <x v="0"/>
    <x v="0"/>
    <x v="1"/>
    <x v="0"/>
    <x v="1"/>
    <x v="52"/>
    <s v="BBG0113RBDT1"/>
    <x v="0"/>
    <s v="5b4a75cdb66b4ce9b8961d7a9fd6bfb5"/>
    <s v="Decima Emiss√£o de Deb√™ntures da Taesa"/>
    <x v="0"/>
    <x v="0"/>
    <s v="Transmission"/>
    <s v="Projeto SPT 2"/>
    <s v="Brazil"/>
    <d v="2021-05-15T00:00:00"/>
    <d v="2021-05-20T00:00:00"/>
    <s v="BRL"/>
    <n v="40628753"/>
    <n v="40628753"/>
    <s v="BRL"/>
    <n v="40628753"/>
    <n v="7679567"/>
    <b v="1"/>
    <n v="0.99"/>
  </r>
  <r>
    <b v="1"/>
    <x v="0"/>
    <x v="0"/>
    <x v="1"/>
    <x v="0"/>
    <x v="1"/>
    <x v="52"/>
    <s v="BBG0113RBDT1"/>
    <x v="0"/>
    <s v="5b4a75cdb66b4ce9b8961d7a9fd6bfb5"/>
    <s v="Decima Emiss√£o de Deb√™ntures da Taesa"/>
    <x v="1"/>
    <x v="1"/>
    <s v="Transmission"/>
    <s v="Projeto SPT 2"/>
    <s v="Brazil"/>
    <d v="2021-05-15T00:00:00"/>
    <d v="2021-05-20T00:00:00"/>
    <s v="BRL"/>
    <n v="40628753"/>
    <n v="40628753"/>
    <s v="BRL"/>
    <n v="40628753"/>
    <n v="7679567"/>
    <b v="1"/>
    <n v="0.99"/>
  </r>
  <r>
    <b v="1"/>
    <x v="0"/>
    <x v="0"/>
    <x v="2"/>
    <x v="0"/>
    <x v="1"/>
    <x v="46"/>
    <n v="0"/>
    <x v="0"/>
    <s v="43da939a64e7473388d28a08a74f1490"/>
    <s v="Primera Emisi√≥n Bono Verde Banco de Bogot√°"/>
    <x v="0"/>
    <x v="15"/>
    <s v="Recycling"/>
    <s v="Project 12 Recycling"/>
    <s v="Colombia"/>
    <d v="2021-06-30T00:00:00"/>
    <d v="2019-12-19T00:00:00"/>
    <s v="COP"/>
    <n v="8593063355"/>
    <n v="8593063355"/>
    <s v="COP"/>
    <n v="8593063355"/>
    <n v="3323255"/>
    <b v="1"/>
    <n v="0.83"/>
  </r>
  <r>
    <b v="1"/>
    <x v="0"/>
    <x v="0"/>
    <x v="2"/>
    <x v="0"/>
    <x v="1"/>
    <x v="46"/>
    <n v="0"/>
    <x v="0"/>
    <s v="43da939a64e7473388d28a08a74f1490"/>
    <s v="Primera Emisi√≥n Bono Verde Banco de Bogot√°"/>
    <x v="1"/>
    <x v="12"/>
    <s v="Waste recycling"/>
    <s v="Project 12 Recycling"/>
    <s v="Colombia"/>
    <d v="2021-06-30T00:00:00"/>
    <d v="2019-12-19T00:00:00"/>
    <s v="COP"/>
    <n v="8593063355"/>
    <n v="8593063355"/>
    <s v="COP"/>
    <n v="8593063355"/>
    <n v="3323255"/>
    <b v="1"/>
    <n v="0.83"/>
  </r>
  <r>
    <e v="#N/A"/>
    <x v="1"/>
    <x v="1"/>
    <x v="3"/>
    <x v="1"/>
    <x v="2"/>
    <x v="10"/>
    <e v="#N/A"/>
    <x v="2"/>
    <s v="9d39abd34d6c4799835d76e97b6b75e1"/>
    <s v="FIDC GREEN ANG√Å-SOLF√ÅCIL"/>
    <x v="0"/>
    <x v="0"/>
    <s v="Solar"/>
    <s v="FIDC GREEN ANG√Å-SOLF√ÅCIL"/>
    <s v="Brazil"/>
    <d v="2021-08-31T00:00:00"/>
    <d v="2021-08-31T00:00:00"/>
    <s v="BRL"/>
    <n v="400000000"/>
    <n v="400000000"/>
    <s v="BRL"/>
    <n v="400000000"/>
    <n v="77555000"/>
    <b v="0"/>
    <n v="1"/>
  </r>
  <r>
    <e v="#N/A"/>
    <x v="1"/>
    <x v="1"/>
    <x v="3"/>
    <x v="1"/>
    <x v="2"/>
    <x v="10"/>
    <e v="#N/A"/>
    <x v="2"/>
    <s v="9d39abd34d6c4799835d76e97b6b75e1"/>
    <s v="FIDC GREEN ANG√Å-SOLF√ÅCIL"/>
    <x v="1"/>
    <x v="1"/>
    <s v="Appliances"/>
    <s v="FIDC GREEN ANG√Å-SOLF√ÅCIL"/>
    <s v="Brazil"/>
    <d v="2021-08-31T00:00:00"/>
    <d v="2021-08-31T00:00:00"/>
    <s v="BRL"/>
    <n v="400000000"/>
    <n v="400000000"/>
    <s v="BRL"/>
    <n v="400000000"/>
    <n v="77555000"/>
    <b v="0"/>
    <n v="1"/>
  </r>
  <r>
    <e v="#N/A"/>
    <x v="1"/>
    <x v="1"/>
    <x v="3"/>
    <x v="1"/>
    <x v="2"/>
    <x v="10"/>
    <e v="#N/A"/>
    <x v="2"/>
    <s v="9d39abd34d6c4799835d76e97b6b75e1"/>
    <s v="FIDC GREEN ANG√Å-SOLF√ÅCIL"/>
    <x v="2"/>
    <x v="9"/>
    <s v="Unspecified"/>
    <s v="FIDC GREEN ANG√Å-SOLF√ÅCIL"/>
    <s v="Brazil"/>
    <d v="2021-08-31T00:00:00"/>
    <d v="2021-08-31T00:00:00"/>
    <s v="BRL"/>
    <n v="400000000"/>
    <n v="400000000"/>
    <s v="BRL"/>
    <n v="400000000"/>
    <n v="77555000"/>
    <b v="0"/>
    <n v="1"/>
  </r>
  <r>
    <e v="#N/A"/>
    <x v="1"/>
    <x v="1"/>
    <x v="3"/>
    <x v="1"/>
    <x v="2"/>
    <x v="10"/>
    <e v="#N/A"/>
    <x v="2"/>
    <s v="9d39abd34d6c4799835d76e97b6b75e1"/>
    <s v="FIDC GREEN ANG√Å-SOLF√ÅCIL"/>
    <x v="3"/>
    <x v="9"/>
    <s v="Unspecified"/>
    <s v="FIDC GREEN ANG√Å-SOLF√ÅCIL"/>
    <s v="Brazil"/>
    <d v="2021-08-31T00:00:00"/>
    <d v="2021-08-31T00:00:00"/>
    <s v="BRL"/>
    <n v="400000000"/>
    <n v="400000000"/>
    <s v="BRL"/>
    <n v="400000000"/>
    <n v="77555000"/>
    <b v="0"/>
    <n v="1"/>
  </r>
  <r>
    <b v="1"/>
    <x v="0"/>
    <x v="0"/>
    <x v="2"/>
    <x v="0"/>
    <x v="1"/>
    <x v="46"/>
    <n v="0"/>
    <x v="0"/>
    <s v="43da939a64e7473388d28a08a74f1490"/>
    <s v="Primera Emisi√≥n Bono Verde Banco de Bogot√°"/>
    <x v="0"/>
    <x v="7"/>
    <s v="Urban Development"/>
    <s v="Project 13 Sustainable Infrastructure"/>
    <s v="Colombia"/>
    <d v="2020-11-30T00:00:00"/>
    <d v="2020-11-27T00:00:00"/>
    <s v="COP"/>
    <n v="6666666666"/>
    <n v="6666666666"/>
    <s v="COP"/>
    <n v="6666666666"/>
    <n v="1845986"/>
    <b v="0"/>
    <n v="1"/>
  </r>
  <r>
    <b v="1"/>
    <x v="0"/>
    <x v="0"/>
    <x v="2"/>
    <x v="0"/>
    <x v="1"/>
    <x v="46"/>
    <n v="0"/>
    <x v="0"/>
    <s v="43da939a64e7473388d28a08a74f1490"/>
    <s v="Primera Emisi√≥n Bono Verde Banco de Bogot√°"/>
    <x v="1"/>
    <x v="4"/>
    <s v="Products"/>
    <s v="Project 13 Sustainable Infrastructure"/>
    <s v="Colombia"/>
    <d v="2020-11-30T00:00:00"/>
    <d v="2020-11-27T00:00:00"/>
    <s v="COP"/>
    <n v="6666666666"/>
    <n v="6666666666"/>
    <s v="COP"/>
    <n v="6666666666"/>
    <n v="1845986"/>
    <b v="0"/>
    <n v="1"/>
  </r>
  <r>
    <b v="1"/>
    <x v="0"/>
    <x v="0"/>
    <x v="2"/>
    <x v="0"/>
    <x v="1"/>
    <x v="46"/>
    <n v="0"/>
    <x v="0"/>
    <s v="43da939a64e7473388d28a08a74f1490"/>
    <s v="Primera Emisi√≥n Bono Verde Banco de Bogot√°"/>
    <x v="0"/>
    <x v="0"/>
    <s v="Wind"/>
    <s v="Project 14 Wind Energy"/>
    <s v="Nicaragua"/>
    <d v="2020-09-30T00:00:00"/>
    <d v="2015-09-08T00:00:00"/>
    <s v="COP"/>
    <n v="15832804089"/>
    <n v="15832804089"/>
    <s v="COP"/>
    <n v="15832804089"/>
    <n v="18000000"/>
    <b v="1"/>
    <n v="0.15"/>
  </r>
  <r>
    <b v="1"/>
    <x v="0"/>
    <x v="0"/>
    <x v="2"/>
    <x v="0"/>
    <x v="1"/>
    <x v="46"/>
    <n v="0"/>
    <x v="0"/>
    <s v="43da939a64e7473388d28a08a74f1490"/>
    <s v="Primera Emisi√≥n Bono Verde Banco de Bogot√°"/>
    <x v="1"/>
    <x v="1"/>
    <s v="Generation"/>
    <s v="Project 14 Wind Energy"/>
    <s v="Nicaragua"/>
    <d v="2020-09-30T00:00:00"/>
    <d v="2015-09-08T00:00:00"/>
    <s v="COP"/>
    <n v="15832804089"/>
    <n v="15832804089"/>
    <s v="COP"/>
    <n v="15832804089"/>
    <n v="18000000"/>
    <b v="1"/>
    <n v="0.15"/>
  </r>
  <r>
    <b v="1"/>
    <x v="0"/>
    <x v="2"/>
    <x v="0"/>
    <x v="0"/>
    <x v="3"/>
    <x v="53"/>
    <s v="BBG00ZDQTSP0"/>
    <x v="25"/>
    <s v="8924efd445c0450a816e678627f70b60"/>
    <s v="Sustainable Bond ON C6"/>
    <x v="0"/>
    <x v="7"/>
    <s v="Commercial"/>
    <s v="Sustainability Bond ON C6 (SVS) Green"/>
    <s v="Argentina"/>
    <d v="2021-02-17T00:00:00"/>
    <m/>
    <s v="UVA"/>
    <n v="1800000000"/>
    <m/>
    <s v="UVA"/>
    <m/>
    <m/>
    <b v="0"/>
    <n v="0.5"/>
  </r>
  <r>
    <b v="1"/>
    <x v="0"/>
    <x v="2"/>
    <x v="0"/>
    <x v="0"/>
    <x v="3"/>
    <x v="53"/>
    <s v="BBG00ZDQTSP0"/>
    <x v="25"/>
    <s v="8924efd445c0450a816e678627f70b60"/>
    <s v="Sustainable Bond ON C6"/>
    <x v="1"/>
    <x v="8"/>
    <s v="Commercial"/>
    <s v="Sustainability Bond ON C6 (SVS) Green"/>
    <s v="Argentina"/>
    <d v="2021-02-17T00:00:00"/>
    <m/>
    <s v="UVA"/>
    <n v="1800000000"/>
    <m/>
    <s v="UVA"/>
    <m/>
    <m/>
    <b v="0"/>
    <n v="0.5"/>
  </r>
  <r>
    <b v="1"/>
    <x v="0"/>
    <x v="2"/>
    <x v="0"/>
    <x v="0"/>
    <x v="3"/>
    <x v="53"/>
    <s v="BBG00ZDQTSP0"/>
    <x v="25"/>
    <s v="8924efd445c0450a816e678627f70b60"/>
    <s v="Sustainable Bond ON C6"/>
    <x v="0"/>
    <x v="14"/>
    <s v="General"/>
    <s v="Sustainability Bond ON C6 (SVS) Social"/>
    <s v="Argentina"/>
    <d v="2021-02-17T00:00:00"/>
    <m/>
    <s v="UVA"/>
    <n v="1800000000"/>
    <m/>
    <s v="UVA"/>
    <m/>
    <m/>
    <b v="0"/>
    <n v="0.5"/>
  </r>
  <r>
    <b v="1"/>
    <x v="0"/>
    <x v="2"/>
    <x v="0"/>
    <x v="0"/>
    <x v="3"/>
    <x v="53"/>
    <s v="BBG00ZDQTSP0"/>
    <x v="25"/>
    <s v="8924efd445c0450a816e678627f70b60"/>
    <s v="Sustainable Bond ON C6"/>
    <x v="1"/>
    <x v="14"/>
    <s v="General"/>
    <s v="Sustainability Bond ON C6 (SVS) Social"/>
    <s v="Argentina"/>
    <d v="2021-02-17T00:00:00"/>
    <m/>
    <s v="UVA"/>
    <n v="1800000000"/>
    <m/>
    <s v="UVA"/>
    <m/>
    <m/>
    <b v="0"/>
    <n v="0.5"/>
  </r>
  <r>
    <b v="1"/>
    <x v="0"/>
    <x v="0"/>
    <x v="0"/>
    <x v="0"/>
    <x v="0"/>
    <x v="54"/>
    <n v="0"/>
    <x v="0"/>
    <s v="7d5a909c5f244b7da7c3fab618115955"/>
    <s v="CRI MAGIK"/>
    <x v="0"/>
    <x v="7"/>
    <s v="Residential"/>
    <s v="Bem Viver Design"/>
    <s v="Brazil"/>
    <d v="2021-05-12T00:00:00"/>
    <d v="2021-05-12T00:00:00"/>
    <s v="BRL"/>
    <n v="1666667"/>
    <n v="1666666.66"/>
    <s v="BRL"/>
    <n v="1666666.66"/>
    <n v="310730"/>
    <b v="0"/>
    <n v="0.14000000000000001"/>
  </r>
  <r>
    <b v="1"/>
    <x v="0"/>
    <x v="0"/>
    <x v="0"/>
    <x v="0"/>
    <x v="0"/>
    <x v="54"/>
    <n v="0"/>
    <x v="0"/>
    <s v="7d5a909c5f244b7da7c3fab618115955"/>
    <s v="CRI MAGIK"/>
    <x v="1"/>
    <x v="8"/>
    <s v="Residential"/>
    <s v="Bem Viver Design"/>
    <s v="Brazil"/>
    <d v="2021-05-12T00:00:00"/>
    <d v="2021-05-12T00:00:00"/>
    <s v="BRL"/>
    <n v="1666667"/>
    <n v="1666666.66"/>
    <s v="BRL"/>
    <n v="1666666.66"/>
    <n v="310730"/>
    <b v="0"/>
    <n v="0.14000000000000001"/>
  </r>
  <r>
    <b v="1"/>
    <x v="0"/>
    <x v="0"/>
    <x v="0"/>
    <x v="0"/>
    <x v="0"/>
    <x v="54"/>
    <n v="0"/>
    <x v="0"/>
    <s v="7d5a909c5f244b7da7c3fab618115955"/>
    <s v="CRI MAGIK"/>
    <x v="0"/>
    <x v="7"/>
    <s v="Residential"/>
    <s v="Bem Santa Cec√≠lia(Fortunato)"/>
    <s v="Brazil"/>
    <d v="2021-05-12T00:00:00"/>
    <d v="2021-05-12T00:00:00"/>
    <s v="BRL"/>
    <n v="1666666.66"/>
    <n v="1666666.66"/>
    <s v="BRL"/>
    <n v="1666666.66"/>
    <n v="310730"/>
    <b v="0"/>
    <n v="0.11"/>
  </r>
  <r>
    <b v="1"/>
    <x v="0"/>
    <x v="0"/>
    <x v="0"/>
    <x v="0"/>
    <x v="0"/>
    <x v="54"/>
    <n v="0"/>
    <x v="0"/>
    <s v="7d5a909c5f244b7da7c3fab618115955"/>
    <s v="CRI MAGIK"/>
    <x v="1"/>
    <x v="8"/>
    <s v="Residential"/>
    <s v="Bem Santa Cec√≠lia(Fortunato)"/>
    <s v="Brazil"/>
    <d v="2021-05-12T00:00:00"/>
    <d v="2021-05-12T00:00:00"/>
    <s v="BRL"/>
    <n v="1666666.66"/>
    <n v="1666666.66"/>
    <s v="BRL"/>
    <n v="1666666.66"/>
    <n v="310730"/>
    <b v="0"/>
    <n v="0.11"/>
  </r>
  <r>
    <b v="1"/>
    <x v="0"/>
    <x v="0"/>
    <x v="0"/>
    <x v="0"/>
    <x v="0"/>
    <x v="54"/>
    <n v="0"/>
    <x v="0"/>
    <s v="7d5a909c5f244b7da7c3fab618115955"/>
    <s v="CRI MAGIK"/>
    <x v="0"/>
    <x v="7"/>
    <s v="Residential"/>
    <s v="Bem Viver Ces√°rio Mota"/>
    <s v="Brazil"/>
    <d v="2021-05-12T00:00:00"/>
    <d v="2021-05-12T00:00:00"/>
    <s v="BRL"/>
    <n v="1666666.66"/>
    <n v="1666666.66"/>
    <s v="BRL"/>
    <n v="1666666.66"/>
    <n v="310730"/>
    <b v="0"/>
    <n v="0.1"/>
  </r>
  <r>
    <b v="1"/>
    <x v="0"/>
    <x v="0"/>
    <x v="0"/>
    <x v="0"/>
    <x v="0"/>
    <x v="54"/>
    <n v="0"/>
    <x v="0"/>
    <s v="7d5a909c5f244b7da7c3fab618115955"/>
    <s v="CRI MAGIK"/>
    <x v="1"/>
    <x v="8"/>
    <s v="Residential"/>
    <s v="Bem Viver Ces√°rio Mota"/>
    <s v="Brazil"/>
    <d v="2021-05-12T00:00:00"/>
    <d v="2021-05-12T00:00:00"/>
    <s v="BRL"/>
    <n v="1666666.66"/>
    <n v="1666666.66"/>
    <s v="BRL"/>
    <n v="1666666.66"/>
    <n v="310730"/>
    <b v="0"/>
    <n v="0.1"/>
  </r>
  <r>
    <b v="1"/>
    <x v="0"/>
    <x v="0"/>
    <x v="2"/>
    <x v="0"/>
    <x v="1"/>
    <x v="36"/>
    <s v="BBG00HPK5N13"/>
    <x v="0"/>
    <s v="7d27df26e2924c4d9fcf8ba0c0d9d684"/>
    <s v="Klabin 2027"/>
    <x v="0"/>
    <x v="0"/>
    <s v="Hydro"/>
    <s v="Hydrogen pipe exchange"/>
    <s v="Brazil"/>
    <d v="2020-01-01T00:00:00"/>
    <d v="2020-01-01T00:00:00"/>
    <s v="BRL"/>
    <n v="3366"/>
    <n v="3366"/>
    <s v="USD"/>
    <n v="684000"/>
    <n v="684000"/>
    <b v="0"/>
    <n v="1"/>
  </r>
  <r>
    <b v="1"/>
    <x v="0"/>
    <x v="0"/>
    <x v="2"/>
    <x v="0"/>
    <x v="1"/>
    <x v="36"/>
    <s v="BBG00HPK5N13"/>
    <x v="0"/>
    <s v="7d27df26e2924c4d9fcf8ba0c0d9d684"/>
    <s v="Klabin 2027"/>
    <x v="1"/>
    <x v="1"/>
    <s v="Transmission"/>
    <s v="Hydrogen pipe exchange"/>
    <s v="Brazil"/>
    <d v="2020-01-01T00:00:00"/>
    <d v="2020-01-01T00:00:00"/>
    <s v="BRL"/>
    <n v="3366"/>
    <n v="3366"/>
    <s v="USD"/>
    <n v="684000"/>
    <n v="684000"/>
    <b v="0"/>
    <n v="1"/>
  </r>
  <r>
    <b v="1"/>
    <x v="0"/>
    <x v="0"/>
    <x v="2"/>
    <x v="0"/>
    <x v="1"/>
    <x v="36"/>
    <s v="BBG00HPK5N13"/>
    <x v="0"/>
    <s v="7d27df26e2924c4d9fcf8ba0c0d9d684"/>
    <s v="Klabin 2027"/>
    <x v="0"/>
    <x v="2"/>
    <s v="Treatment"/>
    <s v="Improvement on the Biological Treatment System and Final Effluent Quality"/>
    <s v="Brazil"/>
    <d v="2020-01-01T00:00:00"/>
    <d v="2020-01-01T00:00:00"/>
    <s v="BRL"/>
    <n v="807000"/>
    <n v="807000"/>
    <s v="USD"/>
    <n v="164000"/>
    <n v="164000"/>
    <b v="0"/>
    <n v="1"/>
  </r>
  <r>
    <b v="1"/>
    <x v="0"/>
    <x v="0"/>
    <x v="2"/>
    <x v="0"/>
    <x v="1"/>
    <x v="36"/>
    <s v="BBG00HPK5N13"/>
    <x v="0"/>
    <s v="7d27df26e2924c4d9fcf8ba0c0d9d684"/>
    <s v="Klabin 2027"/>
    <x v="0"/>
    <x v="2"/>
    <s v="Treatment"/>
    <s v="Improvement on the Biological Treatment System and Final Effluent Quality"/>
    <s v="Brazil"/>
    <d v="2019-07-01T00:00:00"/>
    <d v="2019-07-01T00:00:00"/>
    <s v="BRL"/>
    <n v="666000"/>
    <n v="666000"/>
    <s v="USD"/>
    <n v="164000"/>
    <n v="164000"/>
    <b v="0"/>
    <n v="1"/>
  </r>
  <r>
    <b v="1"/>
    <x v="0"/>
    <x v="0"/>
    <x v="2"/>
    <x v="0"/>
    <x v="1"/>
    <x v="36"/>
    <s v="BBG00HPK5N13"/>
    <x v="0"/>
    <s v="7d27df26e2924c4d9fcf8ba0c0d9d684"/>
    <s v="Klabin 2027"/>
    <x v="0"/>
    <x v="2"/>
    <s v="Treatment"/>
    <s v="Improvement on the Biological Treatment System and Final Effluent Quality"/>
    <s v="Brazil"/>
    <d v="2019-01-01T00:00:00"/>
    <d v="2019-01-01T00:00:00"/>
    <s v="BRL"/>
    <n v="177060"/>
    <n v="177060"/>
    <s v="USD"/>
    <n v="46040"/>
    <n v="46040"/>
    <b v="0"/>
    <n v="1"/>
  </r>
  <r>
    <b v="1"/>
    <x v="0"/>
    <x v="0"/>
    <x v="2"/>
    <x v="0"/>
    <x v="1"/>
    <x v="36"/>
    <s v="BBG00HPK5N13"/>
    <x v="0"/>
    <s v="7d27df26e2924c4d9fcf8ba0c0d9d684"/>
    <s v="Klabin 2027"/>
    <x v="0"/>
    <x v="2"/>
    <s v="Treatment"/>
    <s v="Improvement on the Biological Treatment System and Final Effluent Quality"/>
    <s v="Brazil"/>
    <d v="2018-07-01T00:00:00"/>
    <d v="2018-07-01T00:00:00"/>
    <s v="BRL"/>
    <n v="18390"/>
    <n v="18390"/>
    <s v="USD"/>
    <n v="4740"/>
    <n v="4740"/>
    <b v="0"/>
    <n v="1"/>
  </r>
  <r>
    <b v="1"/>
    <x v="0"/>
    <x v="0"/>
    <x v="2"/>
    <x v="0"/>
    <x v="1"/>
    <x v="36"/>
    <s v="BBG00HPK5N13"/>
    <x v="0"/>
    <s v="7d27df26e2924c4d9fcf8ba0c0d9d684"/>
    <s v="Klabin 2027"/>
    <x v="1"/>
    <x v="3"/>
    <s v="Wastewater treatment"/>
    <s v="Improvement on the Biological Treatment System and Final Effluent Quality"/>
    <s v="Brazil"/>
    <d v="2020-01-01T00:00:00"/>
    <d v="2020-01-01T00:00:00"/>
    <s v="BRL"/>
    <n v="807000"/>
    <n v="807000"/>
    <s v="USD"/>
    <n v="164000"/>
    <n v="164000"/>
    <b v="0"/>
    <n v="1"/>
  </r>
  <r>
    <b v="1"/>
    <x v="0"/>
    <x v="0"/>
    <x v="2"/>
    <x v="0"/>
    <x v="1"/>
    <x v="36"/>
    <s v="BBG00HPK5N13"/>
    <x v="0"/>
    <s v="7d27df26e2924c4d9fcf8ba0c0d9d684"/>
    <s v="Klabin 2027"/>
    <x v="1"/>
    <x v="3"/>
    <s v="Wastewater treatment"/>
    <s v="Improvement on the Biological Treatment System and Final Effluent Quality"/>
    <s v="Brazil"/>
    <d v="2019-07-01T00:00:00"/>
    <d v="2019-07-01T00:00:00"/>
    <s v="BRL"/>
    <n v="666000"/>
    <n v="666000"/>
    <s v="USD"/>
    <n v="164000"/>
    <n v="164000"/>
    <b v="0"/>
    <n v="1"/>
  </r>
  <r>
    <b v="1"/>
    <x v="0"/>
    <x v="0"/>
    <x v="2"/>
    <x v="0"/>
    <x v="1"/>
    <x v="36"/>
    <s v="BBG00HPK5N13"/>
    <x v="0"/>
    <s v="7d27df26e2924c4d9fcf8ba0c0d9d684"/>
    <s v="Klabin 2027"/>
    <x v="1"/>
    <x v="3"/>
    <s v="Wastewater treatment"/>
    <s v="Improvement on the Biological Treatment System and Final Effluent Quality"/>
    <s v="Brazil"/>
    <d v="2019-01-01T00:00:00"/>
    <d v="2019-01-01T00:00:00"/>
    <s v="BRL"/>
    <n v="177060"/>
    <n v="177060"/>
    <s v="USD"/>
    <n v="46040"/>
    <n v="46040"/>
    <b v="0"/>
    <n v="1"/>
  </r>
  <r>
    <b v="1"/>
    <x v="0"/>
    <x v="0"/>
    <x v="2"/>
    <x v="0"/>
    <x v="1"/>
    <x v="36"/>
    <s v="BBG00HPK5N13"/>
    <x v="0"/>
    <s v="7d27df26e2924c4d9fcf8ba0c0d9d684"/>
    <s v="Klabin 2027"/>
    <x v="1"/>
    <x v="3"/>
    <s v="Wastewater treatment"/>
    <s v="Improvement on the Biological Treatment System and Final Effluent Quality"/>
    <s v="Brazil"/>
    <d v="2018-07-01T00:00:00"/>
    <d v="2018-07-01T00:00:00"/>
    <s v="BRL"/>
    <n v="18390"/>
    <n v="18390"/>
    <s v="USD"/>
    <n v="4740"/>
    <n v="4740"/>
    <b v="0"/>
    <n v="1"/>
  </r>
  <r>
    <b v="1"/>
    <x v="0"/>
    <x v="0"/>
    <x v="2"/>
    <x v="0"/>
    <x v="1"/>
    <x v="36"/>
    <s v="BBG00HPK5N13"/>
    <x v="0"/>
    <s v="7d27df26e2924c4d9fcf8ba0c0d9d684"/>
    <s v="Klabin 2027"/>
    <x v="0"/>
    <x v="2"/>
    <s v="Treatment"/>
    <s v="Improvements in wastewater treatment"/>
    <s v="Brazil"/>
    <d v="2021-01-01T00:00:00"/>
    <d v="2021-01-01T00:00:00"/>
    <s v="BRL"/>
    <n v="1926000"/>
    <n v="1926000"/>
    <s v="USD"/>
    <n v="357000"/>
    <n v="357000"/>
    <b v="0"/>
    <n v="1"/>
  </r>
  <r>
    <b v="1"/>
    <x v="0"/>
    <x v="0"/>
    <x v="2"/>
    <x v="0"/>
    <x v="1"/>
    <x v="36"/>
    <s v="BBG00HPK5N13"/>
    <x v="0"/>
    <s v="7d27df26e2924c4d9fcf8ba0c0d9d684"/>
    <s v="Klabin 2027"/>
    <x v="0"/>
    <x v="2"/>
    <s v="Treatment"/>
    <s v="Improvements in wastewater treatment"/>
    <s v="Brazil"/>
    <d v="2020-07-01T00:00:00"/>
    <d v="2020-07-01T00:00:00"/>
    <s v="BRL"/>
    <n v="1594000"/>
    <n v="1594000"/>
    <s v="USD"/>
    <n v="293000"/>
    <n v="293000"/>
    <b v="0"/>
    <n v="1"/>
  </r>
  <r>
    <b v="1"/>
    <x v="0"/>
    <x v="0"/>
    <x v="2"/>
    <x v="0"/>
    <x v="1"/>
    <x v="36"/>
    <s v="BBG00HPK5N13"/>
    <x v="0"/>
    <s v="7d27df26e2924c4d9fcf8ba0c0d9d684"/>
    <s v="Klabin 2027"/>
    <x v="1"/>
    <x v="3"/>
    <s v="Wastewater treatment"/>
    <s v="Improvements in wastewater treatment"/>
    <s v="Brazil"/>
    <d v="2021-01-01T00:00:00"/>
    <d v="2021-01-01T00:00:00"/>
    <s v="BRL"/>
    <n v="1926000"/>
    <n v="1926000"/>
    <s v="USD"/>
    <n v="357000"/>
    <n v="357000"/>
    <b v="0"/>
    <n v="1"/>
  </r>
  <r>
    <b v="1"/>
    <x v="0"/>
    <x v="0"/>
    <x v="2"/>
    <x v="0"/>
    <x v="1"/>
    <x v="36"/>
    <s v="BBG00HPK5N13"/>
    <x v="0"/>
    <s v="7d27df26e2924c4d9fcf8ba0c0d9d684"/>
    <s v="Klabin 2027"/>
    <x v="1"/>
    <x v="3"/>
    <s v="Wastewater treatment"/>
    <s v="Improvements in wastewater treatment"/>
    <s v="Brazil"/>
    <d v="2020-07-01T00:00:00"/>
    <d v="2020-07-01T00:00:00"/>
    <s v="BRL"/>
    <n v="1594000"/>
    <n v="1594000"/>
    <s v="USD"/>
    <n v="293000"/>
    <n v="293000"/>
    <b v="0"/>
    <n v="1"/>
  </r>
  <r>
    <b v="1"/>
    <x v="0"/>
    <x v="0"/>
    <x v="2"/>
    <x v="0"/>
    <x v="1"/>
    <x v="36"/>
    <s v="BBG00HPK5N13"/>
    <x v="0"/>
    <s v="7d27df26e2924c4d9fcf8ba0c0d9d684"/>
    <s v="Klabin 2027"/>
    <x v="0"/>
    <x v="7"/>
    <s v="Products &amp; Systems for Efficiency"/>
    <s v="Improvements on the Power Boiler Biomass Silos"/>
    <s v="Brazil"/>
    <d v="2019-01-01T00:00:00"/>
    <d v="2019-01-01T00:00:00"/>
    <s v="BRL"/>
    <n v="1749680"/>
    <n v="1749680"/>
    <s v="USD"/>
    <n v="454950"/>
    <n v="454950"/>
    <b v="0"/>
    <n v="1"/>
  </r>
  <r>
    <b v="1"/>
    <x v="0"/>
    <x v="0"/>
    <x v="2"/>
    <x v="0"/>
    <x v="1"/>
    <x v="36"/>
    <s v="BBG00HPK5N13"/>
    <x v="0"/>
    <s v="7d27df26e2924c4d9fcf8ba0c0d9d684"/>
    <s v="Klabin 2027"/>
    <x v="1"/>
    <x v="4"/>
    <s v="Appliances"/>
    <s v="Improvements on the Power Boiler Biomass Silos"/>
    <s v="Brazil"/>
    <d v="2019-01-01T00:00:00"/>
    <d v="2019-01-01T00:00:00"/>
    <s v="BRL"/>
    <n v="1749680"/>
    <n v="1749680"/>
    <s v="USD"/>
    <n v="454950"/>
    <n v="454950"/>
    <b v="0"/>
    <n v="1"/>
  </r>
  <r>
    <b v="1"/>
    <x v="0"/>
    <x v="0"/>
    <x v="2"/>
    <x v="0"/>
    <x v="1"/>
    <x v="21"/>
    <s v="BBG00YG422X6"/>
    <x v="6"/>
    <s v="5b9bc195be534adaa28f29ea980225c8"/>
    <s v="ISA CTEEP - 9¬™ Emiss√£o (2¬™ Serie)"/>
    <x v="0"/>
    <x v="0"/>
    <s v="Transmission"/>
    <s v="Piratininga-Bandeirantes Transmissora de Energia S.A. - 9¬∞"/>
    <s v="Brazil"/>
    <d v="2020-12-07T00:00:00"/>
    <d v="2021-12-31T00:00:00"/>
    <s v="BRL"/>
    <n v="365000000"/>
    <n v="281050000"/>
    <s v="BRL"/>
    <n v="281050000"/>
    <n v="55094880"/>
    <b v="0"/>
    <n v="0.02"/>
  </r>
  <r>
    <b v="1"/>
    <x v="0"/>
    <x v="0"/>
    <x v="2"/>
    <x v="0"/>
    <x v="1"/>
    <x v="21"/>
    <s v="BBG00YG422X6"/>
    <x v="6"/>
    <s v="5b9bc195be534adaa28f29ea980225c8"/>
    <s v="ISA CTEEP - 9¬™ Emiss√£o (2¬™ Serie)"/>
    <x v="1"/>
    <x v="1"/>
    <s v="Transmission"/>
    <s v="Piratininga-Bandeirantes Transmissora de Energia S.A. - 9¬∞"/>
    <s v="Brazil"/>
    <d v="2020-12-07T00:00:00"/>
    <d v="2021-12-31T00:00:00"/>
    <s v="BRL"/>
    <n v="365000000"/>
    <n v="281050000"/>
    <s v="BRL"/>
    <n v="281050000"/>
    <n v="55094880"/>
    <b v="0"/>
    <n v="0.02"/>
  </r>
  <r>
    <b v="1"/>
    <x v="0"/>
    <x v="0"/>
    <x v="2"/>
    <x v="0"/>
    <x v="1"/>
    <x v="36"/>
    <s v="BBG00HPK5N13"/>
    <x v="0"/>
    <s v="7d27df26e2924c4d9fcf8ba0c0d9d684"/>
    <s v="Klabin 2027"/>
    <x v="0"/>
    <x v="0"/>
    <s v="Grid"/>
    <s v="Basic Power Network and transmission lines"/>
    <s v="Brazil"/>
    <d v="2017-06-01T00:00:00"/>
    <d v="2017-06-01T00:00:00"/>
    <s v="BRL"/>
    <n v="547050"/>
    <n v="547050"/>
    <s v="USD"/>
    <n v="171355"/>
    <n v="171355"/>
    <b v="1"/>
    <n v="1"/>
  </r>
  <r>
    <b v="1"/>
    <x v="0"/>
    <x v="0"/>
    <x v="2"/>
    <x v="0"/>
    <x v="1"/>
    <x v="36"/>
    <s v="BBG00HPK5N13"/>
    <x v="0"/>
    <s v="7d27df26e2924c4d9fcf8ba0c0d9d684"/>
    <s v="Klabin 2027"/>
    <x v="0"/>
    <x v="0"/>
    <s v="Grid"/>
    <s v="Basic Power Network and transmission lines"/>
    <s v="Brazil"/>
    <d v="2016-06-01T00:00:00"/>
    <d v="2016-06-01T00:00:00"/>
    <s v="BRL"/>
    <n v="1542300"/>
    <n v="1542300"/>
    <s v="USD"/>
    <n v="442770"/>
    <n v="442770"/>
    <b v="1"/>
    <n v="1"/>
  </r>
  <r>
    <b v="1"/>
    <x v="0"/>
    <x v="0"/>
    <x v="2"/>
    <x v="0"/>
    <x v="1"/>
    <x v="36"/>
    <s v="BBG00HPK5N13"/>
    <x v="0"/>
    <s v="7d27df26e2924c4d9fcf8ba0c0d9d684"/>
    <s v="Klabin 2027"/>
    <x v="0"/>
    <x v="0"/>
    <s v="Grid"/>
    <s v="Basic Power Network and transmission lines"/>
    <s v="Brazil"/>
    <d v="2015-09-01T00:00:00"/>
    <d v="2015-09-01T00:00:00"/>
    <s v="BRL"/>
    <n v="1647300"/>
    <n v="1647300"/>
    <s v="USD"/>
    <n v="493396"/>
    <n v="493396"/>
    <b v="1"/>
    <n v="1"/>
  </r>
  <r>
    <b v="1"/>
    <x v="0"/>
    <x v="0"/>
    <x v="2"/>
    <x v="0"/>
    <x v="1"/>
    <x v="36"/>
    <s v="BBG00HPK5N13"/>
    <x v="0"/>
    <s v="7d27df26e2924c4d9fcf8ba0c0d9d684"/>
    <s v="Klabin 2027"/>
    <x v="1"/>
    <x v="1"/>
    <s v="Transmission"/>
    <s v="Basic Power Network and transmission lines"/>
    <s v="Brazil"/>
    <d v="2017-06-01T00:00:00"/>
    <d v="2017-06-01T00:00:00"/>
    <s v="BRL"/>
    <n v="547050"/>
    <n v="547050"/>
    <s v="USD"/>
    <n v="171355"/>
    <n v="171355"/>
    <b v="1"/>
    <n v="1"/>
  </r>
  <r>
    <b v="1"/>
    <x v="0"/>
    <x v="0"/>
    <x v="2"/>
    <x v="0"/>
    <x v="1"/>
    <x v="36"/>
    <s v="BBG00HPK5N13"/>
    <x v="0"/>
    <s v="7d27df26e2924c4d9fcf8ba0c0d9d684"/>
    <s v="Klabin 2027"/>
    <x v="1"/>
    <x v="1"/>
    <s v="Transmission"/>
    <s v="Basic Power Network and transmission lines"/>
    <s v="Brazil"/>
    <d v="2016-06-01T00:00:00"/>
    <d v="2016-06-01T00:00:00"/>
    <s v="BRL"/>
    <n v="1542300"/>
    <n v="1542300"/>
    <s v="USD"/>
    <n v="442770"/>
    <n v="442770"/>
    <b v="1"/>
    <n v="1"/>
  </r>
  <r>
    <b v="1"/>
    <x v="0"/>
    <x v="0"/>
    <x v="2"/>
    <x v="0"/>
    <x v="1"/>
    <x v="36"/>
    <s v="BBG00HPK5N13"/>
    <x v="0"/>
    <s v="7d27df26e2924c4d9fcf8ba0c0d9d684"/>
    <s v="Klabin 2027"/>
    <x v="1"/>
    <x v="1"/>
    <s v="Transmission"/>
    <s v="Basic Power Network and transmission lines"/>
    <s v="Brazil"/>
    <d v="2015-09-01T00:00:00"/>
    <d v="2015-09-01T00:00:00"/>
    <s v="BRL"/>
    <n v="1647300"/>
    <n v="1647300"/>
    <s v="USD"/>
    <n v="493396"/>
    <n v="493396"/>
    <b v="1"/>
    <n v="1"/>
  </r>
  <r>
    <b v="1"/>
    <x v="0"/>
    <x v="0"/>
    <x v="2"/>
    <x v="0"/>
    <x v="1"/>
    <x v="36"/>
    <s v="BBG00HPK5N13"/>
    <x v="0"/>
    <s v="7d27df26e2924c4d9fcf8ba0c0d9d684"/>
    <s v="Klabin 2027"/>
    <x v="0"/>
    <x v="10"/>
    <s v="Ecosystem Conservation &amp; Restoration"/>
    <s v="Biodiversity Monitoring Program"/>
    <s v="Brazil"/>
    <d v="2021-01-01T00:00:00"/>
    <d v="2021-01-01T00:00:00"/>
    <s v="BRL"/>
    <n v="468000"/>
    <n v="468000"/>
    <s v="USD"/>
    <n v="87000"/>
    <n v="87000"/>
    <b v="0"/>
    <n v="1"/>
  </r>
  <r>
    <b v="1"/>
    <x v="0"/>
    <x v="0"/>
    <x v="2"/>
    <x v="0"/>
    <x v="1"/>
    <x v="36"/>
    <s v="BBG00HPK5N13"/>
    <x v="0"/>
    <s v="7d27df26e2924c4d9fcf8ba0c0d9d684"/>
    <s v="Klabin 2027"/>
    <x v="0"/>
    <x v="10"/>
    <s v="Ecosystem Conservation &amp; Restoration"/>
    <s v="Biodiversity Monitoring Program"/>
    <s v="Brazil"/>
    <d v="2020-07-01T00:00:00"/>
    <d v="2020-07-01T00:00:00"/>
    <s v="BRL"/>
    <n v="615000"/>
    <n v="615000"/>
    <s v="USD"/>
    <n v="113000"/>
    <n v="113000"/>
    <b v="0"/>
    <n v="1"/>
  </r>
  <r>
    <b v="1"/>
    <x v="0"/>
    <x v="0"/>
    <x v="2"/>
    <x v="0"/>
    <x v="1"/>
    <x v="36"/>
    <s v="BBG00HPK5N13"/>
    <x v="0"/>
    <s v="7d27df26e2924c4d9fcf8ba0c0d9d684"/>
    <s v="Klabin 2027"/>
    <x v="0"/>
    <x v="10"/>
    <s v="Ecosystem Conservation &amp; Restoration"/>
    <s v="Biodiversity Monitoring Program"/>
    <s v="Brazil"/>
    <d v="2020-01-01T00:00:00"/>
    <d v="2020-01-01T00:00:00"/>
    <s v="BRL"/>
    <n v="48000"/>
    <n v="48000"/>
    <s v="USD"/>
    <n v="10000"/>
    <n v="10000"/>
    <b v="0"/>
    <n v="1"/>
  </r>
  <r>
    <b v="1"/>
    <x v="0"/>
    <x v="0"/>
    <x v="2"/>
    <x v="0"/>
    <x v="1"/>
    <x v="36"/>
    <s v="BBG00HPK5N13"/>
    <x v="0"/>
    <s v="7d27df26e2924c4d9fcf8ba0c0d9d684"/>
    <s v="Klabin 2027"/>
    <x v="0"/>
    <x v="10"/>
    <s v="Ecosystem Conservation &amp; Restoration"/>
    <s v="Biodiversity Monitoring Program"/>
    <s v="Brazil"/>
    <d v="2019-07-01T00:00:00"/>
    <d v="2019-07-01T00:00:00"/>
    <s v="BRL"/>
    <n v="377000"/>
    <n v="377000"/>
    <s v="USD"/>
    <n v="93000"/>
    <n v="93000"/>
    <b v="0"/>
    <n v="1"/>
  </r>
  <r>
    <b v="1"/>
    <x v="0"/>
    <x v="0"/>
    <x v="2"/>
    <x v="0"/>
    <x v="1"/>
    <x v="36"/>
    <s v="BBG00HPK5N13"/>
    <x v="0"/>
    <s v="7d27df26e2924c4d9fcf8ba0c0d9d684"/>
    <s v="Klabin 2027"/>
    <x v="0"/>
    <x v="10"/>
    <s v="Ecosystem Conservation &amp; Restoration"/>
    <s v="Biodiversity Monitoring Program"/>
    <s v="Brazil"/>
    <d v="2019-01-01T00:00:00"/>
    <d v="2019-01-01T00:00:00"/>
    <s v="BRL"/>
    <n v="51950"/>
    <n v="51950"/>
    <s v="USD"/>
    <n v="13510"/>
    <n v="13510"/>
    <b v="0"/>
    <n v="1"/>
  </r>
  <r>
    <b v="1"/>
    <x v="0"/>
    <x v="0"/>
    <x v="2"/>
    <x v="0"/>
    <x v="1"/>
    <x v="36"/>
    <s v="BBG00HPK5N13"/>
    <x v="0"/>
    <s v="7d27df26e2924c4d9fcf8ba0c0d9d684"/>
    <s v="Klabin 2027"/>
    <x v="1"/>
    <x v="11"/>
    <s v="Natural landscapes"/>
    <s v="Biodiversity Monitoring Program"/>
    <s v="Brazil"/>
    <d v="2021-01-01T00:00:00"/>
    <d v="2021-01-01T00:00:00"/>
    <s v="BRL"/>
    <n v="468000"/>
    <n v="468000"/>
    <s v="USD"/>
    <n v="87000"/>
    <n v="87000"/>
    <b v="0"/>
    <n v="1"/>
  </r>
  <r>
    <b v="1"/>
    <x v="0"/>
    <x v="0"/>
    <x v="2"/>
    <x v="0"/>
    <x v="1"/>
    <x v="36"/>
    <s v="BBG00HPK5N13"/>
    <x v="0"/>
    <s v="7d27df26e2924c4d9fcf8ba0c0d9d684"/>
    <s v="Klabin 2027"/>
    <x v="1"/>
    <x v="11"/>
    <s v="Natural landscapes"/>
    <s v="Biodiversity Monitoring Program"/>
    <s v="Brazil"/>
    <d v="2020-07-01T00:00:00"/>
    <d v="2020-07-01T00:00:00"/>
    <s v="BRL"/>
    <n v="615000"/>
    <n v="615000"/>
    <s v="USD"/>
    <n v="113000"/>
    <n v="113000"/>
    <b v="0"/>
    <n v="1"/>
  </r>
  <r>
    <b v="1"/>
    <x v="0"/>
    <x v="0"/>
    <x v="2"/>
    <x v="0"/>
    <x v="1"/>
    <x v="36"/>
    <s v="BBG00HPK5N13"/>
    <x v="0"/>
    <s v="7d27df26e2924c4d9fcf8ba0c0d9d684"/>
    <s v="Klabin 2027"/>
    <x v="1"/>
    <x v="11"/>
    <s v="Natural landscapes"/>
    <s v="Biodiversity Monitoring Program"/>
    <s v="Brazil"/>
    <d v="2020-01-01T00:00:00"/>
    <d v="2020-01-01T00:00:00"/>
    <s v="BRL"/>
    <n v="48000"/>
    <n v="48000"/>
    <s v="USD"/>
    <n v="10000"/>
    <n v="10000"/>
    <b v="0"/>
    <n v="1"/>
  </r>
  <r>
    <b v="1"/>
    <x v="0"/>
    <x v="0"/>
    <x v="2"/>
    <x v="0"/>
    <x v="1"/>
    <x v="36"/>
    <s v="BBG00HPK5N13"/>
    <x v="0"/>
    <s v="7d27df26e2924c4d9fcf8ba0c0d9d684"/>
    <s v="Klabin 2027"/>
    <x v="1"/>
    <x v="11"/>
    <s v="Natural landscapes"/>
    <s v="Biodiversity Monitoring Program"/>
    <s v="Brazil"/>
    <d v="2019-07-01T00:00:00"/>
    <d v="2019-07-01T00:00:00"/>
    <s v="BRL"/>
    <n v="377000"/>
    <n v="377000"/>
    <s v="USD"/>
    <n v="93000"/>
    <n v="93000"/>
    <b v="0"/>
    <n v="1"/>
  </r>
  <r>
    <b v="1"/>
    <x v="0"/>
    <x v="0"/>
    <x v="2"/>
    <x v="0"/>
    <x v="1"/>
    <x v="36"/>
    <s v="BBG00HPK5N13"/>
    <x v="0"/>
    <s v="7d27df26e2924c4d9fcf8ba0c0d9d684"/>
    <s v="Klabin 2027"/>
    <x v="1"/>
    <x v="11"/>
    <s v="Natural landscapes"/>
    <s v="Biodiversity Monitoring Program"/>
    <s v="Brazil"/>
    <d v="2019-01-01T00:00:00"/>
    <d v="2019-01-01T00:00:00"/>
    <s v="BRL"/>
    <n v="51950"/>
    <n v="51950"/>
    <s v="USD"/>
    <n v="13510"/>
    <n v="13510"/>
    <b v="0"/>
    <n v="1"/>
  </r>
  <r>
    <b v="1"/>
    <x v="0"/>
    <x v="0"/>
    <x v="2"/>
    <x v="0"/>
    <x v="1"/>
    <x v="36"/>
    <s v="BBG00HPK5N13"/>
    <x v="0"/>
    <s v="7d27df26e2924c4d9fcf8ba0c0d9d684"/>
    <s v="Klabin 2027"/>
    <x v="0"/>
    <x v="0"/>
    <s v="Bioenergy"/>
    <s v="Biomass boiler and maintenance"/>
    <s v="Brazil"/>
    <d v="2021-01-01T00:00:00"/>
    <d v="2021-01-01T00:00:00"/>
    <s v="BRL"/>
    <n v="1036000"/>
    <n v="1036000"/>
    <s v="USD"/>
    <n v="192000"/>
    <n v="192000"/>
    <b v="0"/>
    <n v="1"/>
  </r>
  <r>
    <b v="1"/>
    <x v="0"/>
    <x v="0"/>
    <x v="2"/>
    <x v="0"/>
    <x v="1"/>
    <x v="36"/>
    <s v="BBG00HPK5N13"/>
    <x v="0"/>
    <s v="7d27df26e2924c4d9fcf8ba0c0d9d684"/>
    <s v="Klabin 2027"/>
    <x v="0"/>
    <x v="0"/>
    <s v="Bioenergy"/>
    <s v="Biomass boiler and maintenance"/>
    <s v="Brazil"/>
    <d v="2020-07-01T00:00:00"/>
    <d v="2020-07-01T00:00:00"/>
    <s v="BRL"/>
    <n v="1902000"/>
    <n v="1902000"/>
    <s v="USD"/>
    <n v="350000"/>
    <n v="350000"/>
    <b v="0"/>
    <n v="1"/>
  </r>
  <r>
    <b v="1"/>
    <x v="0"/>
    <x v="0"/>
    <x v="2"/>
    <x v="0"/>
    <x v="1"/>
    <x v="36"/>
    <s v="BBG00HPK5N13"/>
    <x v="0"/>
    <s v="7d27df26e2924c4d9fcf8ba0c0d9d684"/>
    <s v="Klabin 2027"/>
    <x v="1"/>
    <x v="1"/>
    <s v="Products"/>
    <s v="Biomass boiler and maintenance"/>
    <s v="Brazil"/>
    <d v="2021-01-01T00:00:00"/>
    <d v="2021-01-01T00:00:00"/>
    <s v="BRL"/>
    <n v="1036000"/>
    <n v="1036000"/>
    <s v="USD"/>
    <n v="192000"/>
    <n v="192000"/>
    <b v="0"/>
    <n v="1"/>
  </r>
  <r>
    <b v="1"/>
    <x v="0"/>
    <x v="0"/>
    <x v="2"/>
    <x v="0"/>
    <x v="1"/>
    <x v="36"/>
    <s v="BBG00HPK5N13"/>
    <x v="0"/>
    <s v="7d27df26e2924c4d9fcf8ba0c0d9d684"/>
    <s v="Klabin 2027"/>
    <x v="1"/>
    <x v="1"/>
    <s v="Products"/>
    <s v="Biomass boiler and maintenance"/>
    <s v="Brazil"/>
    <d v="2020-07-01T00:00:00"/>
    <d v="2020-07-01T00:00:00"/>
    <s v="BRL"/>
    <n v="1902000"/>
    <n v="1902000"/>
    <s v="USD"/>
    <n v="350000"/>
    <n v="350000"/>
    <b v="0"/>
    <n v="1"/>
  </r>
  <r>
    <b v="1"/>
    <x v="0"/>
    <x v="0"/>
    <x v="2"/>
    <x v="0"/>
    <x v="1"/>
    <x v="36"/>
    <s v="BBG00HPK5N13"/>
    <x v="0"/>
    <s v="7d27df26e2924c4d9fcf8ba0c0d9d684"/>
    <s v="Klabin 2027"/>
    <x v="0"/>
    <x v="0"/>
    <s v="Bioenergy"/>
    <s v="Burner Flame Efficiency"/>
    <s v="Brazil"/>
    <d v="2021-01-01T00:00:00"/>
    <d v="2021-01-01T00:00:00"/>
    <s v="BRL"/>
    <n v="16000"/>
    <n v="16000"/>
    <s v="USD"/>
    <n v="3000"/>
    <n v="3000"/>
    <b v="0"/>
    <n v="1"/>
  </r>
  <r>
    <b v="1"/>
    <x v="0"/>
    <x v="0"/>
    <x v="2"/>
    <x v="0"/>
    <x v="1"/>
    <x v="36"/>
    <s v="BBG00HPK5N13"/>
    <x v="0"/>
    <s v="7d27df26e2924c4d9fcf8ba0c0d9d684"/>
    <s v="Klabin 2027"/>
    <x v="1"/>
    <x v="4"/>
    <s v="Appliances"/>
    <s v="Burner Flame Efficiency"/>
    <s v="Brazil"/>
    <d v="2021-01-01T00:00:00"/>
    <d v="2021-01-01T00:00:00"/>
    <s v="BRL"/>
    <n v="16000"/>
    <n v="16000"/>
    <s v="USD"/>
    <n v="3000"/>
    <n v="3000"/>
    <b v="0"/>
    <n v="1"/>
  </r>
  <r>
    <b v="1"/>
    <x v="0"/>
    <x v="0"/>
    <x v="2"/>
    <x v="0"/>
    <x v="1"/>
    <x v="36"/>
    <s v="BBG00HPK5N13"/>
    <x v="0"/>
    <s v="7d27df26e2924c4d9fcf8ba0c0d9d684"/>
    <s v="Klabin 2027"/>
    <x v="0"/>
    <x v="10"/>
    <s v="Ecosystem Conservation &amp; Restoration"/>
    <s v="Caiubi Program"/>
    <s v="Brazil"/>
    <d v="2020-07-01T00:00:00"/>
    <d v="2020-07-01T00:00:00"/>
    <s v="BRL"/>
    <n v="154000"/>
    <n v="154000"/>
    <s v="USD"/>
    <n v="28000"/>
    <n v="28000"/>
    <b v="0"/>
    <n v="1"/>
  </r>
  <r>
    <b v="1"/>
    <x v="0"/>
    <x v="0"/>
    <x v="2"/>
    <x v="0"/>
    <x v="1"/>
    <x v="36"/>
    <s v="BBG00HPK5N13"/>
    <x v="0"/>
    <s v="7d27df26e2924c4d9fcf8ba0c0d9d684"/>
    <s v="Klabin 2027"/>
    <x v="0"/>
    <x v="10"/>
    <s v="Ecosystem Conservation &amp; Restoration"/>
    <s v="Caiubi Program"/>
    <s v="Brazil"/>
    <d v="2020-01-01T00:00:00"/>
    <d v="2020-01-01T00:00:00"/>
    <s v="BRL"/>
    <n v="18000"/>
    <n v="18000"/>
    <s v="USD"/>
    <n v="4000"/>
    <n v="4000"/>
    <b v="0"/>
    <n v="1"/>
  </r>
  <r>
    <b v="1"/>
    <x v="0"/>
    <x v="0"/>
    <x v="2"/>
    <x v="0"/>
    <x v="1"/>
    <x v="36"/>
    <s v="BBG00HPK5N13"/>
    <x v="0"/>
    <s v="7d27df26e2924c4d9fcf8ba0c0d9d684"/>
    <s v="Klabin 2027"/>
    <x v="0"/>
    <x v="10"/>
    <s v="Ecosystem Conservation &amp; Restoration"/>
    <s v="Caiubi Program"/>
    <s v="Brazil"/>
    <d v="2019-07-01T00:00:00"/>
    <d v="2019-07-01T00:00:00"/>
    <s v="BRL"/>
    <n v="107000"/>
    <n v="107000"/>
    <s v="USD"/>
    <n v="26000"/>
    <n v="26000"/>
    <b v="0"/>
    <n v="1"/>
  </r>
  <r>
    <b v="1"/>
    <x v="0"/>
    <x v="0"/>
    <x v="2"/>
    <x v="0"/>
    <x v="1"/>
    <x v="36"/>
    <s v="BBG00HPK5N13"/>
    <x v="0"/>
    <s v="7d27df26e2924c4d9fcf8ba0c0d9d684"/>
    <s v="Klabin 2027"/>
    <x v="1"/>
    <x v="11"/>
    <s v="Natural landscapes"/>
    <s v="Caiubi Program"/>
    <s v="Brazil"/>
    <d v="2020-07-01T00:00:00"/>
    <d v="2020-07-01T00:00:00"/>
    <s v="BRL"/>
    <n v="154000"/>
    <n v="154000"/>
    <s v="USD"/>
    <n v="28000"/>
    <n v="28000"/>
    <b v="0"/>
    <n v="1"/>
  </r>
  <r>
    <b v="1"/>
    <x v="0"/>
    <x v="0"/>
    <x v="2"/>
    <x v="0"/>
    <x v="1"/>
    <x v="36"/>
    <s v="BBG00HPK5N13"/>
    <x v="0"/>
    <s v="7d27df26e2924c4d9fcf8ba0c0d9d684"/>
    <s v="Klabin 2027"/>
    <x v="1"/>
    <x v="11"/>
    <s v="Natural landscapes"/>
    <s v="Caiubi Program"/>
    <s v="Brazil"/>
    <d v="2020-01-01T00:00:00"/>
    <d v="2020-01-01T00:00:00"/>
    <s v="BRL"/>
    <n v="18000"/>
    <n v="18000"/>
    <s v="USD"/>
    <n v="4000"/>
    <n v="4000"/>
    <b v="0"/>
    <n v="1"/>
  </r>
  <r>
    <b v="1"/>
    <x v="0"/>
    <x v="0"/>
    <x v="2"/>
    <x v="0"/>
    <x v="1"/>
    <x v="36"/>
    <s v="BBG00HPK5N13"/>
    <x v="0"/>
    <s v="7d27df26e2924c4d9fcf8ba0c0d9d684"/>
    <s v="Klabin 2027"/>
    <x v="1"/>
    <x v="11"/>
    <s v="Natural landscapes"/>
    <s v="Caiubi Program"/>
    <s v="Brazil"/>
    <d v="2019-07-01T00:00:00"/>
    <d v="2019-07-01T00:00:00"/>
    <s v="BRL"/>
    <n v="107000"/>
    <n v="107000"/>
    <s v="USD"/>
    <n v="26000"/>
    <n v="26000"/>
    <b v="0"/>
    <n v="1"/>
  </r>
  <r>
    <e v="#N/A"/>
    <x v="1"/>
    <x v="1"/>
    <x v="3"/>
    <x v="1"/>
    <x v="2"/>
    <x v="10"/>
    <e v="#N/A"/>
    <x v="2"/>
    <s v="e13fb411d38e445aa8115a546717c6ce"/>
    <s v="Green Bond CMPC 2019"/>
    <x v="0"/>
    <x v="2"/>
    <s v="Treatment"/>
    <s v="System for the Recirculation and Recovery of Water"/>
    <s v="Argentina"/>
    <d v="2019-05-17T00:00:00"/>
    <d v="2019-12-31T00:00:00"/>
    <s v="USD"/>
    <n v="798491"/>
    <n v="798491"/>
    <s v="CLF"/>
    <n v="29"/>
    <n v="798491"/>
    <b v="0"/>
    <n v="1"/>
  </r>
  <r>
    <e v="#N/A"/>
    <x v="1"/>
    <x v="1"/>
    <x v="3"/>
    <x v="1"/>
    <x v="2"/>
    <x v="10"/>
    <e v="#N/A"/>
    <x v="2"/>
    <s v="e13fb411d38e445aa8115a546717c6ce"/>
    <s v="Green Bond CMPC 2019"/>
    <x v="0"/>
    <x v="2"/>
    <s v="Treatment"/>
    <s v="System for the Recirculation and Recovery of Water"/>
    <s v="Argentina"/>
    <d v="2019-05-17T00:00:00"/>
    <d v="2020-12-31T00:00:00"/>
    <s v="USD"/>
    <n v="149528"/>
    <n v="149528"/>
    <s v="CLF"/>
    <n v="5"/>
    <n v="149528"/>
    <b v="0"/>
    <n v="1"/>
  </r>
  <r>
    <e v="#N/A"/>
    <x v="1"/>
    <x v="1"/>
    <x v="3"/>
    <x v="1"/>
    <x v="2"/>
    <x v="10"/>
    <e v="#N/A"/>
    <x v="2"/>
    <s v="e13fb411d38e445aa8115a546717c6ce"/>
    <s v="Green Bond CMPC 2019"/>
    <x v="1"/>
    <x v="3"/>
    <s v="Wastewater treatment"/>
    <s v="System for the Recirculation and Recovery of Water"/>
    <s v="Argentina"/>
    <d v="2019-05-17T00:00:00"/>
    <d v="2019-12-31T00:00:00"/>
    <s v="USD"/>
    <n v="798491"/>
    <n v="798491"/>
    <s v="CLF"/>
    <n v="29"/>
    <n v="798491"/>
    <b v="0"/>
    <n v="1"/>
  </r>
  <r>
    <e v="#N/A"/>
    <x v="1"/>
    <x v="1"/>
    <x v="3"/>
    <x v="1"/>
    <x v="2"/>
    <x v="10"/>
    <e v="#N/A"/>
    <x v="2"/>
    <s v="e13fb411d38e445aa8115a546717c6ce"/>
    <s v="Green Bond CMPC 2019"/>
    <x v="1"/>
    <x v="3"/>
    <s v="Wastewater treatment"/>
    <s v="System for the Recirculation and Recovery of Water"/>
    <s v="Argentina"/>
    <d v="2019-05-17T00:00:00"/>
    <d v="2020-12-31T00:00:00"/>
    <s v="USD"/>
    <n v="149528"/>
    <n v="149528"/>
    <s v="CLF"/>
    <n v="5"/>
    <n v="149528"/>
    <b v="0"/>
    <n v="1"/>
  </r>
  <r>
    <e v="#N/A"/>
    <x v="1"/>
    <x v="1"/>
    <x v="3"/>
    <x v="1"/>
    <x v="2"/>
    <x v="10"/>
    <e v="#N/A"/>
    <x v="2"/>
    <s v="e13fb411d38e445aa8115a546717c6ce"/>
    <s v="Green Bond CMPC 2019"/>
    <x v="0"/>
    <x v="10"/>
    <s v="Ecosystem Conservation &amp; Restoration"/>
    <s v="Restoration of Native Forests and Conservation of Biodiversity"/>
    <s v="Chile"/>
    <d v="2019-05-17T00:00:00"/>
    <d v="2019-12-31T00:00:00"/>
    <s v="USD"/>
    <n v="243026"/>
    <n v="243026"/>
    <s v="CLF"/>
    <n v="9"/>
    <n v="243026"/>
    <b v="0"/>
    <n v="1"/>
  </r>
  <r>
    <e v="#N/A"/>
    <x v="1"/>
    <x v="1"/>
    <x v="3"/>
    <x v="1"/>
    <x v="2"/>
    <x v="10"/>
    <e v="#N/A"/>
    <x v="2"/>
    <s v="e13fb411d38e445aa8115a546717c6ce"/>
    <s v="Green Bond CMPC 2019"/>
    <x v="0"/>
    <x v="10"/>
    <s v="Ecosystem Conservation &amp; Restoration"/>
    <s v="Restoration of Native Forests and Conservation of Biodiversity"/>
    <s v="Chile"/>
    <d v="2019-05-17T00:00:00"/>
    <d v="2020-12-31T00:00:00"/>
    <s v="USD"/>
    <n v="715507"/>
    <n v="715507"/>
    <s v="CLF"/>
    <n v="26"/>
    <n v="715507"/>
    <b v="0"/>
    <n v="1"/>
  </r>
  <r>
    <e v="#N/A"/>
    <x v="1"/>
    <x v="1"/>
    <x v="3"/>
    <x v="1"/>
    <x v="2"/>
    <x v="10"/>
    <e v="#N/A"/>
    <x v="2"/>
    <s v="e13fb411d38e445aa8115a546717c6ce"/>
    <s v="Green Bond CMPC 2019"/>
    <x v="1"/>
    <x v="11"/>
    <s v="Reforestation"/>
    <s v="Restoration of Native Forests and Conservation of Biodiversity"/>
    <s v="Chile"/>
    <d v="2019-05-17T00:00:00"/>
    <d v="2019-12-31T00:00:00"/>
    <s v="USD"/>
    <n v="243026"/>
    <n v="243026"/>
    <s v="CLF"/>
    <n v="9"/>
    <n v="243026"/>
    <b v="0"/>
    <n v="1"/>
  </r>
  <r>
    <e v="#N/A"/>
    <x v="1"/>
    <x v="1"/>
    <x v="3"/>
    <x v="1"/>
    <x v="2"/>
    <x v="10"/>
    <e v="#N/A"/>
    <x v="2"/>
    <s v="e13fb411d38e445aa8115a546717c6ce"/>
    <s v="Green Bond CMPC 2019"/>
    <x v="1"/>
    <x v="11"/>
    <s v="Reforestation"/>
    <s v="Restoration of Native Forests and Conservation of Biodiversity"/>
    <s v="Chile"/>
    <d v="2019-05-17T00:00:00"/>
    <d v="2020-12-31T00:00:00"/>
    <s v="USD"/>
    <n v="715507"/>
    <n v="715507"/>
    <s v="CLF"/>
    <n v="26"/>
    <n v="715507"/>
    <b v="0"/>
    <n v="1"/>
  </r>
  <r>
    <b v="1"/>
    <x v="0"/>
    <x v="0"/>
    <x v="0"/>
    <x v="0"/>
    <x v="0"/>
    <x v="55"/>
    <n v="0"/>
    <x v="0"/>
    <s v="28100961034e4404b6bfbb0919a87500"/>
    <s v="CRI H2energy"/>
    <x v="0"/>
    <x v="0"/>
    <s v="Solar"/>
    <s v="Usina H2energy SPE BK Brazl√¢ndia"/>
    <s v="Brazil"/>
    <d v="2019-09-23T00:00:00"/>
    <d v="2020-07-31T00:00:00"/>
    <s v="BRL"/>
    <n v="2160100"/>
    <n v="2160100"/>
    <s v="BRL"/>
    <n v="2160100"/>
    <n v="415404"/>
    <b v="0"/>
    <n v="0.68"/>
  </r>
  <r>
    <b v="1"/>
    <x v="0"/>
    <x v="0"/>
    <x v="0"/>
    <x v="0"/>
    <x v="0"/>
    <x v="55"/>
    <n v="0"/>
    <x v="0"/>
    <s v="28100961034e4404b6bfbb0919a87500"/>
    <s v="CRI H2energy"/>
    <x v="1"/>
    <x v="1"/>
    <s v="Generation"/>
    <s v="Usina H2energy SPE BK Brazl√¢ndia"/>
    <s v="Brazil"/>
    <d v="2019-09-23T00:00:00"/>
    <d v="2020-07-31T00:00:00"/>
    <s v="BRL"/>
    <n v="2160100"/>
    <n v="2160100"/>
    <s v="BRL"/>
    <n v="2160100"/>
    <n v="415404"/>
    <b v="0"/>
    <n v="0.68"/>
  </r>
  <r>
    <b v="1"/>
    <x v="0"/>
    <x v="0"/>
    <x v="0"/>
    <x v="0"/>
    <x v="0"/>
    <x v="55"/>
    <n v="0"/>
    <x v="0"/>
    <s v="28100961034e4404b6bfbb0919a87500"/>
    <s v="CRI H2energy"/>
    <x v="2"/>
    <x v="9"/>
    <s v="Unspecified"/>
    <s v="Usina H2energy SPE BK Brazl√¢ndia"/>
    <s v="Brazil"/>
    <d v="2019-09-23T00:00:00"/>
    <d v="2020-07-31T00:00:00"/>
    <s v="BRL"/>
    <n v="2160100"/>
    <n v="2160100"/>
    <s v="BRL"/>
    <n v="2160100"/>
    <n v="415404"/>
    <b v="0"/>
    <n v="0.68"/>
  </r>
  <r>
    <b v="1"/>
    <x v="0"/>
    <x v="0"/>
    <x v="0"/>
    <x v="0"/>
    <x v="0"/>
    <x v="55"/>
    <n v="0"/>
    <x v="0"/>
    <s v="28100961034e4404b6bfbb0919a87500"/>
    <s v="CRI H2energy"/>
    <x v="3"/>
    <x v="9"/>
    <s v="Unspecified"/>
    <s v="Usina H2energy SPE BK Brazl√¢ndia"/>
    <s v="Brazil"/>
    <d v="2019-09-23T00:00:00"/>
    <d v="2020-07-31T00:00:00"/>
    <s v="BRL"/>
    <n v="2160100"/>
    <n v="2160100"/>
    <s v="BRL"/>
    <n v="2160100"/>
    <n v="415404"/>
    <b v="0"/>
    <n v="0.68"/>
  </r>
  <r>
    <b v="1"/>
    <x v="0"/>
    <x v="0"/>
    <x v="0"/>
    <x v="0"/>
    <x v="0"/>
    <x v="55"/>
    <n v="0"/>
    <x v="0"/>
    <s v="28100961034e4404b6bfbb0919a87500"/>
    <s v="CRI H2energy"/>
    <x v="0"/>
    <x v="0"/>
    <s v="Solar"/>
    <s v="Usina H2energy SPE BK Cajamar"/>
    <s v="Brazil"/>
    <d v="2019-09-23T00:00:00"/>
    <d v="2020-07-31T00:00:00"/>
    <s v="BRL"/>
    <n v="8966833"/>
    <n v="8966833"/>
    <s v="BRL"/>
    <n v="8966833"/>
    <n v="1724390"/>
    <b v="0"/>
    <n v="0.68"/>
  </r>
  <r>
    <b v="1"/>
    <x v="0"/>
    <x v="0"/>
    <x v="0"/>
    <x v="0"/>
    <x v="0"/>
    <x v="55"/>
    <n v="0"/>
    <x v="0"/>
    <s v="28100961034e4404b6bfbb0919a87500"/>
    <s v="CRI H2energy"/>
    <x v="1"/>
    <x v="1"/>
    <s v="Generation"/>
    <s v="Usina H2energy SPE BK Cajamar"/>
    <s v="Brazil"/>
    <d v="2019-09-23T00:00:00"/>
    <d v="2020-07-31T00:00:00"/>
    <s v="BRL"/>
    <n v="8966833"/>
    <n v="8966833"/>
    <s v="BRL"/>
    <n v="8966833"/>
    <n v="1724390"/>
    <b v="0"/>
    <n v="0.68"/>
  </r>
  <r>
    <b v="1"/>
    <x v="0"/>
    <x v="0"/>
    <x v="0"/>
    <x v="0"/>
    <x v="0"/>
    <x v="55"/>
    <n v="0"/>
    <x v="0"/>
    <s v="28100961034e4404b6bfbb0919a87500"/>
    <s v="CRI H2energy"/>
    <x v="2"/>
    <x v="9"/>
    <s v="Unspecified"/>
    <s v="Usina H2energy SPE BK Cajamar"/>
    <s v="Brazil"/>
    <d v="2019-09-23T00:00:00"/>
    <d v="2020-07-31T00:00:00"/>
    <s v="BRL"/>
    <n v="8966833"/>
    <n v="8966833"/>
    <s v="BRL"/>
    <n v="8966833"/>
    <n v="1724390"/>
    <b v="0"/>
    <n v="0.68"/>
  </r>
  <r>
    <b v="1"/>
    <x v="0"/>
    <x v="0"/>
    <x v="0"/>
    <x v="0"/>
    <x v="0"/>
    <x v="55"/>
    <n v="0"/>
    <x v="0"/>
    <s v="28100961034e4404b6bfbb0919a87500"/>
    <s v="CRI H2energy"/>
    <x v="3"/>
    <x v="9"/>
    <s v="Unspecified"/>
    <s v="Usina H2energy SPE BK Cajamar"/>
    <s v="Brazil"/>
    <d v="2019-09-23T00:00:00"/>
    <d v="2020-07-31T00:00:00"/>
    <s v="BRL"/>
    <n v="8966833"/>
    <n v="8966833"/>
    <s v="BRL"/>
    <n v="8966833"/>
    <n v="1724390"/>
    <b v="0"/>
    <n v="0.68"/>
  </r>
  <r>
    <b v="1"/>
    <x v="0"/>
    <x v="0"/>
    <x v="0"/>
    <x v="0"/>
    <x v="0"/>
    <x v="55"/>
    <n v="0"/>
    <x v="0"/>
    <s v="28100961034e4404b6bfbb0919a87500"/>
    <s v="CRI H2energy"/>
    <x v="0"/>
    <x v="0"/>
    <s v="Solar"/>
    <s v="Usina H2energy SPE BK Itaborai"/>
    <s v="Brazil"/>
    <d v="2019-09-23T00:00:00"/>
    <d v="2020-07-31T00:00:00"/>
    <s v="BRL"/>
    <n v="2348384"/>
    <n v="2348384"/>
    <s v="BRL"/>
    <n v="2348384"/>
    <n v="451612"/>
    <b v="0"/>
    <n v="0.68"/>
  </r>
  <r>
    <b v="1"/>
    <x v="0"/>
    <x v="0"/>
    <x v="0"/>
    <x v="0"/>
    <x v="0"/>
    <x v="55"/>
    <n v="0"/>
    <x v="0"/>
    <s v="28100961034e4404b6bfbb0919a87500"/>
    <s v="CRI H2energy"/>
    <x v="1"/>
    <x v="1"/>
    <s v="Generation"/>
    <s v="Usina H2energy SPE BK Itaborai"/>
    <s v="Brazil"/>
    <d v="2019-09-23T00:00:00"/>
    <d v="2020-07-31T00:00:00"/>
    <s v="BRL"/>
    <n v="2348384"/>
    <n v="2348384"/>
    <s v="BRL"/>
    <n v="2348384"/>
    <n v="451612"/>
    <b v="0"/>
    <n v="0.68"/>
  </r>
  <r>
    <b v="1"/>
    <x v="0"/>
    <x v="0"/>
    <x v="0"/>
    <x v="0"/>
    <x v="0"/>
    <x v="55"/>
    <n v="0"/>
    <x v="0"/>
    <s v="28100961034e4404b6bfbb0919a87500"/>
    <s v="CRI H2energy"/>
    <x v="2"/>
    <x v="9"/>
    <s v="Unspecified"/>
    <s v="Usina H2energy SPE BK Itaborai"/>
    <s v="Brazil"/>
    <d v="2019-09-23T00:00:00"/>
    <d v="2020-07-31T00:00:00"/>
    <s v="BRL"/>
    <n v="2348384"/>
    <n v="2348384"/>
    <s v="BRL"/>
    <n v="2348384"/>
    <n v="451612"/>
    <b v="0"/>
    <n v="0.68"/>
  </r>
  <r>
    <b v="1"/>
    <x v="0"/>
    <x v="0"/>
    <x v="0"/>
    <x v="0"/>
    <x v="0"/>
    <x v="55"/>
    <n v="0"/>
    <x v="0"/>
    <s v="28100961034e4404b6bfbb0919a87500"/>
    <s v="CRI H2energy"/>
    <x v="3"/>
    <x v="9"/>
    <s v="Unspecified"/>
    <s v="Usina H2energy SPE BK Itaborai"/>
    <s v="Brazil"/>
    <d v="2019-09-23T00:00:00"/>
    <d v="2020-07-31T00:00:00"/>
    <s v="BRL"/>
    <n v="2348384"/>
    <n v="2348384"/>
    <s v="BRL"/>
    <n v="2348384"/>
    <n v="451612"/>
    <b v="0"/>
    <n v="0.68"/>
  </r>
  <r>
    <b v="1"/>
    <x v="0"/>
    <x v="0"/>
    <x v="0"/>
    <x v="0"/>
    <x v="0"/>
    <x v="55"/>
    <n v="0"/>
    <x v="0"/>
    <s v="28100961034e4404b6bfbb0919a87500"/>
    <s v="CRI H2energy"/>
    <x v="0"/>
    <x v="0"/>
    <s v="Solar"/>
    <s v="Usina H2energy SPE BK Itaguai"/>
    <s v="Brazil"/>
    <d v="2019-09-23T00:00:00"/>
    <d v="2020-07-31T00:00:00"/>
    <s v="BRL"/>
    <n v="8206497"/>
    <n v="8206497"/>
    <s v="BRL"/>
    <n v="8206497"/>
    <n v="1578172"/>
    <b v="0"/>
    <n v="0.68"/>
  </r>
  <r>
    <b v="1"/>
    <x v="0"/>
    <x v="0"/>
    <x v="0"/>
    <x v="0"/>
    <x v="0"/>
    <x v="55"/>
    <n v="0"/>
    <x v="0"/>
    <s v="28100961034e4404b6bfbb0919a87500"/>
    <s v="CRI H2energy"/>
    <x v="1"/>
    <x v="1"/>
    <s v="Generation"/>
    <s v="Usina H2energy SPE BK Itaguai"/>
    <s v="Brazil"/>
    <d v="2019-09-23T00:00:00"/>
    <d v="2020-07-31T00:00:00"/>
    <s v="BRL"/>
    <n v="8206497"/>
    <n v="8206497"/>
    <s v="BRL"/>
    <n v="8206497"/>
    <n v="1578172"/>
    <b v="0"/>
    <n v="0.68"/>
  </r>
  <r>
    <b v="1"/>
    <x v="0"/>
    <x v="0"/>
    <x v="0"/>
    <x v="0"/>
    <x v="0"/>
    <x v="55"/>
    <n v="0"/>
    <x v="0"/>
    <s v="28100961034e4404b6bfbb0919a87500"/>
    <s v="CRI H2energy"/>
    <x v="2"/>
    <x v="9"/>
    <s v="Unspecified"/>
    <s v="Usina H2energy SPE BK Itaguai"/>
    <s v="Brazil"/>
    <d v="2019-09-23T00:00:00"/>
    <d v="2020-07-31T00:00:00"/>
    <s v="BRL"/>
    <n v="8206497"/>
    <n v="8206497"/>
    <s v="BRL"/>
    <n v="8206497"/>
    <n v="1578172"/>
    <b v="0"/>
    <n v="0.68"/>
  </r>
  <r>
    <b v="1"/>
    <x v="0"/>
    <x v="0"/>
    <x v="0"/>
    <x v="0"/>
    <x v="0"/>
    <x v="55"/>
    <n v="0"/>
    <x v="0"/>
    <s v="28100961034e4404b6bfbb0919a87500"/>
    <s v="CRI H2energy"/>
    <x v="3"/>
    <x v="9"/>
    <s v="Unspecified"/>
    <s v="Usina H2energy SPE BK Itaguai"/>
    <s v="Brazil"/>
    <d v="2019-09-23T00:00:00"/>
    <d v="2020-07-31T00:00:00"/>
    <s v="BRL"/>
    <n v="8206497"/>
    <n v="8206497"/>
    <s v="BRL"/>
    <n v="8206497"/>
    <n v="1578172"/>
    <b v="0"/>
    <n v="0.68"/>
  </r>
  <r>
    <b v="1"/>
    <x v="0"/>
    <x v="0"/>
    <x v="0"/>
    <x v="0"/>
    <x v="0"/>
    <x v="55"/>
    <n v="0"/>
    <x v="0"/>
    <s v="28100961034e4404b6bfbb0919a87500"/>
    <s v="CRI H2energy"/>
    <x v="0"/>
    <x v="0"/>
    <s v="Solar"/>
    <s v="Usina H2energy SPE BK Saltinho"/>
    <s v="Brazil"/>
    <d v="2019-09-23T00:00:00"/>
    <d v="2020-07-31T00:00:00"/>
    <s v="BRL"/>
    <n v="3566013"/>
    <n v="3566013"/>
    <s v="BRL"/>
    <n v="3566013"/>
    <n v="685771"/>
    <b v="0"/>
    <n v="0.68"/>
  </r>
  <r>
    <b v="1"/>
    <x v="0"/>
    <x v="0"/>
    <x v="0"/>
    <x v="0"/>
    <x v="0"/>
    <x v="55"/>
    <n v="0"/>
    <x v="0"/>
    <s v="28100961034e4404b6bfbb0919a87500"/>
    <s v="CRI H2energy"/>
    <x v="1"/>
    <x v="1"/>
    <s v="Generation"/>
    <s v="Usina H2energy SPE BK Saltinho"/>
    <s v="Brazil"/>
    <d v="2019-09-23T00:00:00"/>
    <d v="2020-07-31T00:00:00"/>
    <s v="BRL"/>
    <n v="3566013"/>
    <n v="3566013"/>
    <s v="BRL"/>
    <n v="3566013"/>
    <n v="685771"/>
    <b v="0"/>
    <n v="0.68"/>
  </r>
  <r>
    <b v="1"/>
    <x v="0"/>
    <x v="0"/>
    <x v="0"/>
    <x v="0"/>
    <x v="0"/>
    <x v="55"/>
    <n v="0"/>
    <x v="0"/>
    <s v="28100961034e4404b6bfbb0919a87500"/>
    <s v="CRI H2energy"/>
    <x v="2"/>
    <x v="9"/>
    <s v="Unspecified"/>
    <s v="Usina H2energy SPE BK Saltinho"/>
    <s v="Brazil"/>
    <d v="2019-09-23T00:00:00"/>
    <d v="2020-07-31T00:00:00"/>
    <s v="BRL"/>
    <n v="3566013"/>
    <n v="3566013"/>
    <s v="BRL"/>
    <n v="3566013"/>
    <n v="685771"/>
    <b v="0"/>
    <n v="0.68"/>
  </r>
  <r>
    <b v="1"/>
    <x v="0"/>
    <x v="0"/>
    <x v="0"/>
    <x v="0"/>
    <x v="0"/>
    <x v="55"/>
    <n v="0"/>
    <x v="0"/>
    <s v="28100961034e4404b6bfbb0919a87500"/>
    <s v="CRI H2energy"/>
    <x v="3"/>
    <x v="9"/>
    <s v="Unspecified"/>
    <s v="Usina H2energy SPE BK Saltinho"/>
    <s v="Brazil"/>
    <d v="2019-09-23T00:00:00"/>
    <d v="2020-07-31T00:00:00"/>
    <s v="BRL"/>
    <n v="3566013"/>
    <n v="3566013"/>
    <s v="BRL"/>
    <n v="3566013"/>
    <n v="685771"/>
    <b v="0"/>
    <n v="0.68"/>
  </r>
  <r>
    <b v="1"/>
    <x v="0"/>
    <x v="0"/>
    <x v="2"/>
    <x v="0"/>
    <x v="1"/>
    <x v="15"/>
    <s v="BBG00GCM8LR8"/>
    <x v="0"/>
    <s v="9e3d5a4bf8ef4c9bb3306040e0cd6790"/>
    <s v="Green Bond CMPC 2017"/>
    <x v="1"/>
    <x v="11"/>
    <s v="Forestry"/>
    <s v="Maintenance of high conservation value areas (HCVA)"/>
    <s v="Chile"/>
    <d v="2017-04-04T00:00:00"/>
    <d v="2018-12-31T00:00:00"/>
    <s v="USD"/>
    <n v="223764"/>
    <n v="223764"/>
    <s v="USD"/>
    <n v="223764"/>
    <n v="223764"/>
    <b v="0"/>
    <n v="1"/>
  </r>
  <r>
    <b v="1"/>
    <x v="0"/>
    <x v="0"/>
    <x v="2"/>
    <x v="0"/>
    <x v="1"/>
    <x v="15"/>
    <s v="BBG00GCM8LR8"/>
    <x v="0"/>
    <s v="9e3d5a4bf8ef4c9bb3306040e0cd6790"/>
    <s v="Green Bond CMPC 2017"/>
    <x v="1"/>
    <x v="11"/>
    <s v="Forestry"/>
    <s v="Maintenance of high conservation value areas (HCVA)"/>
    <s v="Chile"/>
    <d v="2017-04-04T00:00:00"/>
    <d v="2016-12-31T00:00:00"/>
    <s v="USD"/>
    <n v="221222"/>
    <n v="221222"/>
    <s v="USD"/>
    <n v="221222"/>
    <n v="221222"/>
    <b v="0"/>
    <n v="1"/>
  </r>
  <r>
    <b v="1"/>
    <x v="0"/>
    <x v="0"/>
    <x v="2"/>
    <x v="0"/>
    <x v="1"/>
    <x v="15"/>
    <s v="BBG00GCM8LR8"/>
    <x v="0"/>
    <s v="9e3d5a4bf8ef4c9bb3306040e0cd6790"/>
    <s v="Green Bond CMPC 2017"/>
    <x v="0"/>
    <x v="10"/>
    <s v="Ecosystem Conservation &amp; Restoration"/>
    <s v="Maintenance of high conservation value areas (HCVA)"/>
    <s v="Chile"/>
    <d v="2017-04-04T00:00:00"/>
    <d v="2018-12-31T00:00:00"/>
    <s v="USD"/>
    <n v="223764"/>
    <n v="223764"/>
    <s v="USD"/>
    <n v="223764"/>
    <n v="223764"/>
    <b v="0"/>
    <n v="1"/>
  </r>
  <r>
    <b v="1"/>
    <x v="0"/>
    <x v="0"/>
    <x v="2"/>
    <x v="0"/>
    <x v="1"/>
    <x v="15"/>
    <s v="BBG00GCM8LR8"/>
    <x v="0"/>
    <s v="9e3d5a4bf8ef4c9bb3306040e0cd6790"/>
    <s v="Green Bond CMPC 2017"/>
    <x v="0"/>
    <x v="10"/>
    <s v="Ecosystem Conservation &amp; Restoration"/>
    <s v="Maintenance of high conservation value areas (HCVA)"/>
    <s v="Chile"/>
    <d v="2017-04-04T00:00:00"/>
    <d v="2016-12-31T00:00:00"/>
    <s v="USD"/>
    <n v="221222"/>
    <n v="221222"/>
    <s v="USD"/>
    <n v="221222"/>
    <n v="221222"/>
    <b v="0"/>
    <n v="1"/>
  </r>
  <r>
    <b v="1"/>
    <x v="0"/>
    <x v="0"/>
    <x v="2"/>
    <x v="0"/>
    <x v="1"/>
    <x v="15"/>
    <s v="BBG00GCM8LR8"/>
    <x v="0"/>
    <s v="9e3d5a4bf8ef4c9bb3306040e0cd6790"/>
    <s v="Green Bond CMPC 2017"/>
    <x v="2"/>
    <x v="9"/>
    <s v="Unspecified"/>
    <s v="Maintenance of high conservation value areas (HCVA)"/>
    <s v="Chile"/>
    <d v="2017-04-04T00:00:00"/>
    <d v="2018-12-31T00:00:00"/>
    <s v="USD"/>
    <n v="223764"/>
    <n v="223764"/>
    <s v="USD"/>
    <n v="223764"/>
    <n v="223764"/>
    <b v="0"/>
    <n v="1"/>
  </r>
  <r>
    <b v="1"/>
    <x v="0"/>
    <x v="0"/>
    <x v="2"/>
    <x v="0"/>
    <x v="1"/>
    <x v="15"/>
    <s v="BBG00GCM8LR8"/>
    <x v="0"/>
    <s v="9e3d5a4bf8ef4c9bb3306040e0cd6790"/>
    <s v="Green Bond CMPC 2017"/>
    <x v="2"/>
    <x v="9"/>
    <s v="Unspecified"/>
    <s v="Maintenance of high conservation value areas (HCVA)"/>
    <s v="Chile"/>
    <d v="2017-04-04T00:00:00"/>
    <d v="2016-12-31T00:00:00"/>
    <s v="USD"/>
    <n v="221222"/>
    <n v="221222"/>
    <s v="USD"/>
    <n v="221222"/>
    <n v="221222"/>
    <b v="0"/>
    <n v="1"/>
  </r>
  <r>
    <b v="1"/>
    <x v="0"/>
    <x v="0"/>
    <x v="2"/>
    <x v="0"/>
    <x v="1"/>
    <x v="15"/>
    <s v="BBG00GCM8LR8"/>
    <x v="0"/>
    <s v="9e3d5a4bf8ef4c9bb3306040e0cd6790"/>
    <s v="Green Bond CMPC 2017"/>
    <x v="3"/>
    <x v="9"/>
    <s v="Unspecified"/>
    <s v="Maintenance of high conservation value areas (HCVA)"/>
    <s v="Chile"/>
    <d v="2017-04-04T00:00:00"/>
    <d v="2018-12-31T00:00:00"/>
    <s v="USD"/>
    <n v="223764"/>
    <n v="223764"/>
    <s v="USD"/>
    <n v="223764"/>
    <n v="223764"/>
    <b v="0"/>
    <n v="1"/>
  </r>
  <r>
    <b v="1"/>
    <x v="0"/>
    <x v="0"/>
    <x v="2"/>
    <x v="0"/>
    <x v="1"/>
    <x v="15"/>
    <s v="BBG00GCM8LR8"/>
    <x v="0"/>
    <s v="9e3d5a4bf8ef4c9bb3306040e0cd6790"/>
    <s v="Green Bond CMPC 2017"/>
    <x v="3"/>
    <x v="9"/>
    <s v="Unspecified"/>
    <s v="Maintenance of high conservation value areas (HCVA)"/>
    <s v="Chile"/>
    <d v="2017-04-04T00:00:00"/>
    <d v="2016-12-31T00:00:00"/>
    <s v="USD"/>
    <n v="221222"/>
    <n v="221222"/>
    <s v="USD"/>
    <n v="221222"/>
    <n v="221222"/>
    <b v="0"/>
    <n v="1"/>
  </r>
  <r>
    <b v="1"/>
    <x v="0"/>
    <x v="0"/>
    <x v="2"/>
    <x v="0"/>
    <x v="1"/>
    <x v="15"/>
    <s v="BBG00GCM8LR8"/>
    <x v="0"/>
    <s v="9e3d5a4bf8ef4c9bb3306040e0cd6790"/>
    <s v="Green Bond CMPC 2017"/>
    <x v="0"/>
    <x v="2"/>
    <s v="Treatment"/>
    <s v="Recovery of fiber in Valdivia, Chile"/>
    <s v="Chile"/>
    <d v="2017-04-04T00:00:00"/>
    <d v="2018-12-31T00:00:00"/>
    <s v="USD"/>
    <n v="2598713"/>
    <n v="2598713"/>
    <s v="USD"/>
    <n v="2598713"/>
    <n v="2598713"/>
    <b v="0"/>
    <n v="1"/>
  </r>
  <r>
    <b v="1"/>
    <x v="0"/>
    <x v="0"/>
    <x v="2"/>
    <x v="0"/>
    <x v="1"/>
    <x v="15"/>
    <s v="BBG00GCM8LR8"/>
    <x v="0"/>
    <s v="9e3d5a4bf8ef4c9bb3306040e0cd6790"/>
    <s v="Green Bond CMPC 2017"/>
    <x v="0"/>
    <x v="2"/>
    <s v="Treatment"/>
    <s v="Recovery of fiber in Valdivia, Chile"/>
    <s v="Chile"/>
    <d v="2017-04-04T00:00:00"/>
    <d v="2016-12-31T00:00:00"/>
    <s v="USD"/>
    <n v="511545"/>
    <n v="511545"/>
    <s v="USD"/>
    <n v="511545"/>
    <n v="511545"/>
    <b v="0"/>
    <n v="1"/>
  </r>
  <r>
    <b v="1"/>
    <x v="0"/>
    <x v="0"/>
    <x v="2"/>
    <x v="0"/>
    <x v="1"/>
    <x v="15"/>
    <s v="BBG00GCM8LR8"/>
    <x v="0"/>
    <s v="9e3d5a4bf8ef4c9bb3306040e0cd6790"/>
    <s v="Green Bond CMPC 2017"/>
    <x v="1"/>
    <x v="3"/>
    <s v="Wastewater treatment"/>
    <s v="Recovery of fiber in Valdivia, Chile"/>
    <s v="Chile"/>
    <d v="2017-04-04T00:00:00"/>
    <d v="2018-12-31T00:00:00"/>
    <s v="USD"/>
    <n v="2598713"/>
    <n v="2598713"/>
    <s v="USD"/>
    <n v="2598713"/>
    <n v="2598713"/>
    <b v="0"/>
    <n v="1"/>
  </r>
  <r>
    <b v="1"/>
    <x v="0"/>
    <x v="0"/>
    <x v="2"/>
    <x v="0"/>
    <x v="1"/>
    <x v="15"/>
    <s v="BBG00GCM8LR8"/>
    <x v="0"/>
    <s v="9e3d5a4bf8ef4c9bb3306040e0cd6790"/>
    <s v="Green Bond CMPC 2017"/>
    <x v="1"/>
    <x v="3"/>
    <s v="Wastewater treatment"/>
    <s v="Recovery of fiber in Valdivia, Chile"/>
    <s v="Chile"/>
    <d v="2017-04-04T00:00:00"/>
    <d v="2016-12-31T00:00:00"/>
    <s v="USD"/>
    <n v="511545"/>
    <n v="511545"/>
    <s v="USD"/>
    <n v="511545"/>
    <n v="511545"/>
    <b v="0"/>
    <n v="1"/>
  </r>
  <r>
    <b v="1"/>
    <x v="0"/>
    <x v="0"/>
    <x v="2"/>
    <x v="0"/>
    <x v="1"/>
    <x v="15"/>
    <s v="BBG00GCM8LR8"/>
    <x v="0"/>
    <s v="9e3d5a4bf8ef4c9bb3306040e0cd6790"/>
    <s v="Green Bond CMPC 2017"/>
    <x v="2"/>
    <x v="9"/>
    <s v="Unspecified"/>
    <s v="Recovery of fiber in Valdivia, Chile"/>
    <s v="Chile"/>
    <d v="2017-04-04T00:00:00"/>
    <d v="2018-12-31T00:00:00"/>
    <s v="USD"/>
    <n v="2598713"/>
    <n v="2598713"/>
    <s v="USD"/>
    <n v="2598713"/>
    <n v="2598713"/>
    <b v="0"/>
    <n v="1"/>
  </r>
  <r>
    <b v="1"/>
    <x v="0"/>
    <x v="0"/>
    <x v="2"/>
    <x v="0"/>
    <x v="1"/>
    <x v="15"/>
    <s v="BBG00GCM8LR8"/>
    <x v="0"/>
    <s v="9e3d5a4bf8ef4c9bb3306040e0cd6790"/>
    <s v="Green Bond CMPC 2017"/>
    <x v="2"/>
    <x v="9"/>
    <s v="Unspecified"/>
    <s v="Recovery of fiber in Valdivia, Chile"/>
    <s v="Chile"/>
    <d v="2017-04-04T00:00:00"/>
    <d v="2016-12-31T00:00:00"/>
    <s v="USD"/>
    <n v="511545"/>
    <n v="511545"/>
    <s v="USD"/>
    <n v="511545"/>
    <n v="511545"/>
    <b v="0"/>
    <n v="1"/>
  </r>
  <r>
    <b v="1"/>
    <x v="0"/>
    <x v="0"/>
    <x v="2"/>
    <x v="0"/>
    <x v="1"/>
    <x v="15"/>
    <s v="BBG00GCM8LR8"/>
    <x v="0"/>
    <s v="9e3d5a4bf8ef4c9bb3306040e0cd6790"/>
    <s v="Green Bond CMPC 2017"/>
    <x v="3"/>
    <x v="9"/>
    <s v="Unspecified"/>
    <s v="Recovery of fiber in Valdivia, Chile"/>
    <s v="Chile"/>
    <d v="2017-04-04T00:00:00"/>
    <d v="2018-12-31T00:00:00"/>
    <s v="USD"/>
    <n v="2598713"/>
    <n v="2598713"/>
    <s v="USD"/>
    <n v="2598713"/>
    <n v="2598713"/>
    <b v="0"/>
    <n v="1"/>
  </r>
  <r>
    <b v="1"/>
    <x v="0"/>
    <x v="0"/>
    <x v="2"/>
    <x v="0"/>
    <x v="1"/>
    <x v="15"/>
    <s v="BBG00GCM8LR8"/>
    <x v="0"/>
    <s v="9e3d5a4bf8ef4c9bb3306040e0cd6790"/>
    <s v="Green Bond CMPC 2017"/>
    <x v="3"/>
    <x v="9"/>
    <s v="Unspecified"/>
    <s v="Recovery of fiber in Valdivia, Chile"/>
    <s v="Chile"/>
    <d v="2017-04-04T00:00:00"/>
    <d v="2016-12-31T00:00:00"/>
    <s v="USD"/>
    <n v="511545"/>
    <n v="511545"/>
    <s v="USD"/>
    <n v="511545"/>
    <n v="511545"/>
    <b v="0"/>
    <n v="1"/>
  </r>
  <r>
    <b v="1"/>
    <x v="0"/>
    <x v="0"/>
    <x v="2"/>
    <x v="0"/>
    <x v="1"/>
    <x v="15"/>
    <s v="BBG00GCM8LR8"/>
    <x v="0"/>
    <s v="9e3d5a4bf8ef4c9bb3306040e0cd6790"/>
    <s v="Green Bond CMPC 2017"/>
    <x v="1"/>
    <x v="4"/>
    <s v="Products"/>
    <s v="Energy efficiency projects (Plan EE 20/20 + iCel)"/>
    <s v="Brazil"/>
    <d v="2017-04-04T00:00:00"/>
    <d v="2018-12-31T00:00:00"/>
    <s v="USD"/>
    <n v="23952"/>
    <n v="23952"/>
    <s v="USD"/>
    <n v="23952"/>
    <n v="23952"/>
    <b v="0"/>
    <n v="1"/>
  </r>
  <r>
    <b v="1"/>
    <x v="0"/>
    <x v="0"/>
    <x v="2"/>
    <x v="0"/>
    <x v="1"/>
    <x v="15"/>
    <s v="BBG00GCM8LR8"/>
    <x v="0"/>
    <s v="9e3d5a4bf8ef4c9bb3306040e0cd6790"/>
    <s v="Green Bond CMPC 2017"/>
    <x v="1"/>
    <x v="4"/>
    <s v="Products"/>
    <s v="Energy efficiency projects (Plan EE 20/20 + iCel)"/>
    <s v="Brazil"/>
    <d v="2017-04-04T00:00:00"/>
    <d v="2016-12-31T00:00:00"/>
    <s v="USD"/>
    <n v="5627230"/>
    <n v="5627230"/>
    <s v="USD"/>
    <n v="5627230"/>
    <n v="5627230"/>
    <b v="0"/>
    <n v="1"/>
  </r>
  <r>
    <b v="1"/>
    <x v="0"/>
    <x v="0"/>
    <x v="2"/>
    <x v="0"/>
    <x v="1"/>
    <x v="15"/>
    <s v="BBG00GCM8LR8"/>
    <x v="0"/>
    <s v="9e3d5a4bf8ef4c9bb3306040e0cd6790"/>
    <s v="Green Bond CMPC 2017"/>
    <x v="0"/>
    <x v="9"/>
    <s v="Unspecified"/>
    <s v="Energy efficiency projects (Plan EE 20/20 + iCel)"/>
    <s v="Brazil"/>
    <d v="2017-04-04T00:00:00"/>
    <d v="2018-12-31T00:00:00"/>
    <s v="USD"/>
    <n v="23952"/>
    <n v="23952"/>
    <s v="USD"/>
    <n v="23952"/>
    <n v="23952"/>
    <b v="0"/>
    <n v="1"/>
  </r>
  <r>
    <b v="1"/>
    <x v="0"/>
    <x v="0"/>
    <x v="2"/>
    <x v="0"/>
    <x v="1"/>
    <x v="15"/>
    <s v="BBG00GCM8LR8"/>
    <x v="0"/>
    <s v="9e3d5a4bf8ef4c9bb3306040e0cd6790"/>
    <s v="Green Bond CMPC 2017"/>
    <x v="0"/>
    <x v="9"/>
    <s v="Unspecified"/>
    <s v="Energy efficiency projects (Plan EE 20/20 + iCel)"/>
    <s v="Brazil"/>
    <d v="2017-04-04T00:00:00"/>
    <d v="2016-12-31T00:00:00"/>
    <s v="USD"/>
    <n v="5627230"/>
    <n v="5627230"/>
    <s v="USD"/>
    <n v="5627230"/>
    <n v="5627230"/>
    <b v="0"/>
    <n v="1"/>
  </r>
  <r>
    <b v="1"/>
    <x v="0"/>
    <x v="0"/>
    <x v="2"/>
    <x v="0"/>
    <x v="1"/>
    <x v="15"/>
    <s v="BBG00GCM8LR8"/>
    <x v="0"/>
    <s v="9e3d5a4bf8ef4c9bb3306040e0cd6790"/>
    <s v="Green Bond CMPC 2017"/>
    <x v="2"/>
    <x v="9"/>
    <s v="Unspecified"/>
    <s v="Energy efficiency projects (Plan EE 20/20 + iCel)"/>
    <s v="Brazil"/>
    <d v="2017-04-04T00:00:00"/>
    <d v="2018-12-31T00:00:00"/>
    <s v="USD"/>
    <n v="23952"/>
    <n v="23952"/>
    <s v="USD"/>
    <n v="23952"/>
    <n v="23952"/>
    <b v="0"/>
    <n v="1"/>
  </r>
  <r>
    <b v="1"/>
    <x v="0"/>
    <x v="0"/>
    <x v="2"/>
    <x v="0"/>
    <x v="1"/>
    <x v="15"/>
    <s v="BBG00GCM8LR8"/>
    <x v="0"/>
    <s v="9e3d5a4bf8ef4c9bb3306040e0cd6790"/>
    <s v="Green Bond CMPC 2017"/>
    <x v="2"/>
    <x v="9"/>
    <s v="Unspecified"/>
    <s v="Energy efficiency projects (Plan EE 20/20 + iCel)"/>
    <s v="Brazil"/>
    <d v="2017-04-04T00:00:00"/>
    <d v="2016-12-31T00:00:00"/>
    <s v="USD"/>
    <n v="5627230"/>
    <n v="5627230"/>
    <s v="USD"/>
    <n v="5627230"/>
    <n v="5627230"/>
    <b v="0"/>
    <n v="1"/>
  </r>
  <r>
    <b v="1"/>
    <x v="0"/>
    <x v="0"/>
    <x v="2"/>
    <x v="0"/>
    <x v="1"/>
    <x v="15"/>
    <s v="BBG00GCM8LR8"/>
    <x v="0"/>
    <s v="9e3d5a4bf8ef4c9bb3306040e0cd6790"/>
    <s v="Green Bond CMPC 2017"/>
    <x v="3"/>
    <x v="9"/>
    <s v="Unspecified"/>
    <s v="Energy efficiency projects (Plan EE 20/20 + iCel)"/>
    <s v="Brazil"/>
    <d v="2017-04-04T00:00:00"/>
    <d v="2018-12-31T00:00:00"/>
    <s v="USD"/>
    <n v="23952"/>
    <n v="23952"/>
    <s v="USD"/>
    <n v="23952"/>
    <n v="23952"/>
    <b v="0"/>
    <n v="1"/>
  </r>
  <r>
    <b v="1"/>
    <x v="0"/>
    <x v="0"/>
    <x v="2"/>
    <x v="0"/>
    <x v="1"/>
    <x v="15"/>
    <s v="BBG00GCM8LR8"/>
    <x v="0"/>
    <s v="9e3d5a4bf8ef4c9bb3306040e0cd6790"/>
    <s v="Green Bond CMPC 2017"/>
    <x v="3"/>
    <x v="9"/>
    <s v="Unspecified"/>
    <s v="Energy efficiency projects (Plan EE 20/20 + iCel)"/>
    <s v="Brazil"/>
    <d v="2017-04-04T00:00:00"/>
    <d v="2016-12-31T00:00:00"/>
    <s v="USD"/>
    <n v="5627230"/>
    <n v="5627230"/>
    <s v="USD"/>
    <n v="5627230"/>
    <n v="5627230"/>
    <b v="0"/>
    <n v="1"/>
  </r>
  <r>
    <b v="1"/>
    <x v="0"/>
    <x v="0"/>
    <x v="2"/>
    <x v="0"/>
    <x v="1"/>
    <x v="15"/>
    <s v="BBG00GCM8LR8"/>
    <x v="0"/>
    <s v="9e3d5a4bf8ef4c9bb3306040e0cd6790"/>
    <s v="Green Bond CMPC 2017"/>
    <x v="1"/>
    <x v="11"/>
    <s v="Reforestation"/>
    <s v="Categorization, description and conservation of native forests"/>
    <s v="Chile"/>
    <d v="2017-04-04T00:00:00"/>
    <d v="2018-12-31T00:00:00"/>
    <s v="USD"/>
    <n v="147614"/>
    <n v="147614"/>
    <s v="USD"/>
    <n v="147614"/>
    <n v="147614"/>
    <b v="0"/>
    <n v="1"/>
  </r>
  <r>
    <b v="1"/>
    <x v="0"/>
    <x v="0"/>
    <x v="2"/>
    <x v="0"/>
    <x v="1"/>
    <x v="15"/>
    <s v="BBG00GCM8LR8"/>
    <x v="0"/>
    <s v="9e3d5a4bf8ef4c9bb3306040e0cd6790"/>
    <s v="Green Bond CMPC 2017"/>
    <x v="1"/>
    <x v="11"/>
    <s v="Reforestation"/>
    <s v="Categorization, description and conservation of native forests"/>
    <s v="Chile"/>
    <d v="2017-04-04T00:00:00"/>
    <d v="2016-12-31T00:00:00"/>
    <s v="USD"/>
    <n v="262209"/>
    <n v="262209"/>
    <s v="USD"/>
    <n v="262209"/>
    <n v="262209"/>
    <b v="0"/>
    <n v="1"/>
  </r>
  <r>
    <b v="1"/>
    <x v="0"/>
    <x v="0"/>
    <x v="2"/>
    <x v="0"/>
    <x v="1"/>
    <x v="15"/>
    <s v="BBG00GCM8LR8"/>
    <x v="0"/>
    <s v="9e3d5a4bf8ef4c9bb3306040e0cd6790"/>
    <s v="Green Bond CMPC 2017"/>
    <x v="0"/>
    <x v="10"/>
    <s v="Ecosystem Conservation &amp; Restoration"/>
    <s v="Categorization, description and conservation of native forests"/>
    <s v="Chile"/>
    <d v="2017-04-04T00:00:00"/>
    <d v="2018-12-31T00:00:00"/>
    <s v="USD"/>
    <n v="147614"/>
    <n v="147614"/>
    <s v="USD"/>
    <n v="147614"/>
    <n v="147614"/>
    <b v="0"/>
    <n v="1"/>
  </r>
  <r>
    <b v="1"/>
    <x v="0"/>
    <x v="0"/>
    <x v="2"/>
    <x v="0"/>
    <x v="1"/>
    <x v="15"/>
    <s v="BBG00GCM8LR8"/>
    <x v="0"/>
    <s v="9e3d5a4bf8ef4c9bb3306040e0cd6790"/>
    <s v="Green Bond CMPC 2017"/>
    <x v="0"/>
    <x v="10"/>
    <s v="Ecosystem Conservation &amp; Restoration"/>
    <s v="Categorization, description and conservation of native forests"/>
    <s v="Chile"/>
    <d v="2017-04-04T00:00:00"/>
    <d v="2016-12-31T00:00:00"/>
    <s v="USD"/>
    <n v="262209"/>
    <n v="262209"/>
    <s v="USD"/>
    <n v="262209"/>
    <n v="262209"/>
    <b v="0"/>
    <n v="1"/>
  </r>
  <r>
    <b v="1"/>
    <x v="0"/>
    <x v="0"/>
    <x v="2"/>
    <x v="0"/>
    <x v="1"/>
    <x v="15"/>
    <s v="BBG00GCM8LR8"/>
    <x v="0"/>
    <s v="9e3d5a4bf8ef4c9bb3306040e0cd6790"/>
    <s v="Green Bond CMPC 2017"/>
    <x v="2"/>
    <x v="9"/>
    <s v="Unspecified"/>
    <s v="Categorization, description and conservation of native forests"/>
    <s v="Chile"/>
    <d v="2017-04-04T00:00:00"/>
    <d v="2018-12-31T00:00:00"/>
    <s v="USD"/>
    <n v="147614"/>
    <n v="147614"/>
    <s v="USD"/>
    <n v="147614"/>
    <n v="147614"/>
    <b v="0"/>
    <n v="1"/>
  </r>
  <r>
    <b v="1"/>
    <x v="0"/>
    <x v="0"/>
    <x v="2"/>
    <x v="0"/>
    <x v="1"/>
    <x v="15"/>
    <s v="BBG00GCM8LR8"/>
    <x v="0"/>
    <s v="9e3d5a4bf8ef4c9bb3306040e0cd6790"/>
    <s v="Green Bond CMPC 2017"/>
    <x v="2"/>
    <x v="9"/>
    <s v="Unspecified"/>
    <s v="Categorization, description and conservation of native forests"/>
    <s v="Chile"/>
    <d v="2017-04-04T00:00:00"/>
    <d v="2016-12-31T00:00:00"/>
    <s v="USD"/>
    <n v="262209"/>
    <n v="262209"/>
    <s v="USD"/>
    <n v="262209"/>
    <n v="262209"/>
    <b v="0"/>
    <n v="1"/>
  </r>
  <r>
    <b v="1"/>
    <x v="0"/>
    <x v="0"/>
    <x v="2"/>
    <x v="0"/>
    <x v="1"/>
    <x v="15"/>
    <s v="BBG00GCM8LR8"/>
    <x v="0"/>
    <s v="9e3d5a4bf8ef4c9bb3306040e0cd6790"/>
    <s v="Green Bond CMPC 2017"/>
    <x v="3"/>
    <x v="9"/>
    <s v="Unspecified"/>
    <s v="Categorization, description and conservation of native forests"/>
    <s v="Chile"/>
    <d v="2017-04-04T00:00:00"/>
    <d v="2018-12-31T00:00:00"/>
    <s v="USD"/>
    <n v="147614"/>
    <n v="147614"/>
    <s v="USD"/>
    <n v="147614"/>
    <n v="147614"/>
    <b v="0"/>
    <n v="1"/>
  </r>
  <r>
    <b v="1"/>
    <x v="0"/>
    <x v="0"/>
    <x v="2"/>
    <x v="0"/>
    <x v="1"/>
    <x v="15"/>
    <s v="BBG00GCM8LR8"/>
    <x v="0"/>
    <s v="9e3d5a4bf8ef4c9bb3306040e0cd6790"/>
    <s v="Green Bond CMPC 2017"/>
    <x v="3"/>
    <x v="9"/>
    <s v="Unspecified"/>
    <s v="Categorization, description and conservation of native forests"/>
    <s v="Chile"/>
    <d v="2017-04-04T00:00:00"/>
    <d v="2016-12-31T00:00:00"/>
    <s v="USD"/>
    <n v="262209"/>
    <n v="262209"/>
    <s v="USD"/>
    <n v="262209"/>
    <n v="262209"/>
    <b v="0"/>
    <n v="1"/>
  </r>
  <r>
    <b v="1"/>
    <x v="0"/>
    <x v="0"/>
    <x v="2"/>
    <x v="0"/>
    <x v="1"/>
    <x v="15"/>
    <s v="BBG00GCM8LR8"/>
    <x v="0"/>
    <s v="9e3d5a4bf8ef4c9bb3306040e0cd6790"/>
    <s v="Green Bond CMPC 2017"/>
    <x v="0"/>
    <x v="10"/>
    <s v="Supply Chain Management"/>
    <s v="Pollution Prevention and Control"/>
    <s v="Chile"/>
    <d v="2017-04-04T00:00:00"/>
    <d v="2018-12-31T00:00:00"/>
    <s v="USD"/>
    <n v="23865968"/>
    <n v="23865968"/>
    <s v="USD"/>
    <n v="23865968"/>
    <n v="23865968"/>
    <b v="0"/>
    <n v="1"/>
  </r>
  <r>
    <b v="1"/>
    <x v="0"/>
    <x v="0"/>
    <x v="2"/>
    <x v="0"/>
    <x v="1"/>
    <x v="15"/>
    <s v="BBG00GCM8LR8"/>
    <x v="0"/>
    <s v="9e3d5a4bf8ef4c9bb3306040e0cd6790"/>
    <s v="Green Bond CMPC 2017"/>
    <x v="0"/>
    <x v="10"/>
    <s v="Supply Chain Management"/>
    <s v="Pollution Prevention and Control"/>
    <s v="Chile"/>
    <d v="2017-04-04T00:00:00"/>
    <d v="2016-12-31T00:00:00"/>
    <s v="USD"/>
    <n v="13526355"/>
    <n v="13526355"/>
    <s v="USD"/>
    <n v="13526355"/>
    <n v="13526355"/>
    <b v="0"/>
    <n v="1"/>
  </r>
  <r>
    <b v="1"/>
    <x v="0"/>
    <x v="0"/>
    <x v="2"/>
    <x v="0"/>
    <x v="1"/>
    <x v="15"/>
    <s v="BBG00GCM8LR8"/>
    <x v="0"/>
    <s v="9e3d5a4bf8ef4c9bb3306040e0cd6790"/>
    <s v="Green Bond CMPC 2017"/>
    <x v="1"/>
    <x v="12"/>
    <s v="Greenhouse gas control"/>
    <s v="Pollution Prevention and Control"/>
    <s v="Chile"/>
    <d v="2017-04-04T00:00:00"/>
    <d v="2018-12-31T00:00:00"/>
    <s v="USD"/>
    <n v="23865968"/>
    <n v="23865968"/>
    <s v="USD"/>
    <n v="23865968"/>
    <n v="23865968"/>
    <b v="0"/>
    <n v="1"/>
  </r>
  <r>
    <b v="1"/>
    <x v="0"/>
    <x v="0"/>
    <x v="2"/>
    <x v="0"/>
    <x v="1"/>
    <x v="15"/>
    <s v="BBG00GCM8LR8"/>
    <x v="0"/>
    <s v="9e3d5a4bf8ef4c9bb3306040e0cd6790"/>
    <s v="Green Bond CMPC 2017"/>
    <x v="1"/>
    <x v="12"/>
    <s v="Greenhouse gas control"/>
    <s v="Pollution Prevention and Control"/>
    <s v="Chile"/>
    <d v="2017-04-04T00:00:00"/>
    <d v="2016-12-31T00:00:00"/>
    <s v="USD"/>
    <n v="13526355"/>
    <n v="13526355"/>
    <s v="USD"/>
    <n v="13526355"/>
    <n v="13526355"/>
    <b v="0"/>
    <n v="1"/>
  </r>
  <r>
    <b v="1"/>
    <x v="0"/>
    <x v="0"/>
    <x v="2"/>
    <x v="0"/>
    <x v="1"/>
    <x v="15"/>
    <s v="BBG00GCM8LR8"/>
    <x v="0"/>
    <s v="9e3d5a4bf8ef4c9bb3306040e0cd6790"/>
    <s v="Green Bond CMPC 2017"/>
    <x v="2"/>
    <x v="9"/>
    <s v="Unspecified"/>
    <s v="Pollution Prevention and Control"/>
    <s v="Chile"/>
    <d v="2017-04-04T00:00:00"/>
    <d v="2018-12-31T00:00:00"/>
    <s v="USD"/>
    <n v="23865968"/>
    <n v="23865968"/>
    <s v="USD"/>
    <n v="23865968"/>
    <n v="23865968"/>
    <b v="0"/>
    <n v="1"/>
  </r>
  <r>
    <b v="1"/>
    <x v="0"/>
    <x v="0"/>
    <x v="2"/>
    <x v="0"/>
    <x v="1"/>
    <x v="15"/>
    <s v="BBG00GCM8LR8"/>
    <x v="0"/>
    <s v="9e3d5a4bf8ef4c9bb3306040e0cd6790"/>
    <s v="Green Bond CMPC 2017"/>
    <x v="2"/>
    <x v="9"/>
    <s v="Unspecified"/>
    <s v="Pollution Prevention and Control"/>
    <s v="Chile"/>
    <d v="2017-04-04T00:00:00"/>
    <d v="2016-12-31T00:00:00"/>
    <s v="USD"/>
    <n v="13526355"/>
    <n v="13526355"/>
    <s v="USD"/>
    <n v="13526355"/>
    <n v="13526355"/>
    <b v="0"/>
    <n v="1"/>
  </r>
  <r>
    <b v="1"/>
    <x v="0"/>
    <x v="0"/>
    <x v="2"/>
    <x v="0"/>
    <x v="1"/>
    <x v="15"/>
    <s v="BBG00GCM8LR8"/>
    <x v="0"/>
    <s v="9e3d5a4bf8ef4c9bb3306040e0cd6790"/>
    <s v="Green Bond CMPC 2017"/>
    <x v="3"/>
    <x v="9"/>
    <s v="Unspecified"/>
    <s v="Pollution Prevention and Control"/>
    <s v="Chile"/>
    <d v="2017-04-04T00:00:00"/>
    <d v="2018-12-31T00:00:00"/>
    <s v="USD"/>
    <n v="23865968"/>
    <n v="23865968"/>
    <s v="USD"/>
    <n v="23865968"/>
    <n v="23865968"/>
    <b v="0"/>
    <n v="1"/>
  </r>
  <r>
    <b v="1"/>
    <x v="0"/>
    <x v="0"/>
    <x v="2"/>
    <x v="0"/>
    <x v="1"/>
    <x v="15"/>
    <s v="BBG00GCM8LR8"/>
    <x v="0"/>
    <s v="9e3d5a4bf8ef4c9bb3306040e0cd6790"/>
    <s v="Green Bond CMPC 2017"/>
    <x v="3"/>
    <x v="9"/>
    <s v="Unspecified"/>
    <s v="Pollution Prevention and Control"/>
    <s v="Chile"/>
    <d v="2017-04-04T00:00:00"/>
    <d v="2016-12-31T00:00:00"/>
    <s v="USD"/>
    <n v="13526355"/>
    <n v="13526355"/>
    <s v="USD"/>
    <n v="13526355"/>
    <n v="13526355"/>
    <b v="0"/>
    <n v="1"/>
  </r>
  <r>
    <b v="1"/>
    <x v="0"/>
    <x v="0"/>
    <x v="2"/>
    <x v="0"/>
    <x v="1"/>
    <x v="15"/>
    <s v="BBG00GCM8LR8"/>
    <x v="0"/>
    <s v="9e3d5a4bf8ef4c9bb3306040e0cd6790"/>
    <s v="Green Bond CMPC 2017"/>
    <x v="1"/>
    <x v="11"/>
    <s v="Reforestation"/>
    <s v="Native forest restoration program (in partnership with FSC and Certfor)"/>
    <s v="Chile"/>
    <d v="2017-04-04T00:00:00"/>
    <d v="2018-12-31T00:00:00"/>
    <s v="USD"/>
    <n v="269496"/>
    <n v="269496"/>
    <s v="USD"/>
    <n v="269496"/>
    <n v="269496"/>
    <b v="0"/>
    <n v="1"/>
  </r>
  <r>
    <b v="1"/>
    <x v="0"/>
    <x v="0"/>
    <x v="2"/>
    <x v="0"/>
    <x v="1"/>
    <x v="15"/>
    <s v="BBG00GCM8LR8"/>
    <x v="0"/>
    <s v="9e3d5a4bf8ef4c9bb3306040e0cd6790"/>
    <s v="Green Bond CMPC 2017"/>
    <x v="1"/>
    <x v="11"/>
    <s v="Reforestation"/>
    <s v="Native forest restoration program (in partnership with FSC and Certfor)"/>
    <s v="Chile"/>
    <d v="2017-04-04T00:00:00"/>
    <d v="2016-12-31T00:00:00"/>
    <s v="USD"/>
    <n v="1058735"/>
    <n v="1058735"/>
    <s v="USD"/>
    <n v="1058735"/>
    <n v="1058735"/>
    <b v="0"/>
    <n v="1"/>
  </r>
  <r>
    <b v="1"/>
    <x v="0"/>
    <x v="0"/>
    <x v="2"/>
    <x v="0"/>
    <x v="1"/>
    <x v="15"/>
    <s v="BBG00GCM8LR8"/>
    <x v="0"/>
    <s v="9e3d5a4bf8ef4c9bb3306040e0cd6790"/>
    <s v="Green Bond CMPC 2017"/>
    <x v="0"/>
    <x v="10"/>
    <s v="Ecosystem Conservation &amp; Restoration"/>
    <s v="Native forest restoration program (in partnership with FSC and Certfor)"/>
    <s v="Chile"/>
    <d v="2017-04-04T00:00:00"/>
    <d v="2018-12-31T00:00:00"/>
    <s v="USD"/>
    <n v="269496"/>
    <n v="269496"/>
    <s v="USD"/>
    <n v="269496"/>
    <n v="269496"/>
    <b v="0"/>
    <n v="1"/>
  </r>
  <r>
    <b v="1"/>
    <x v="0"/>
    <x v="0"/>
    <x v="2"/>
    <x v="0"/>
    <x v="1"/>
    <x v="15"/>
    <s v="BBG00GCM8LR8"/>
    <x v="0"/>
    <s v="9e3d5a4bf8ef4c9bb3306040e0cd6790"/>
    <s v="Green Bond CMPC 2017"/>
    <x v="0"/>
    <x v="10"/>
    <s v="Ecosystem Conservation &amp; Restoration"/>
    <s v="Native forest restoration program (in partnership with FSC and Certfor)"/>
    <s v="Chile"/>
    <d v="2017-04-04T00:00:00"/>
    <d v="2016-12-31T00:00:00"/>
    <s v="USD"/>
    <n v="1058735"/>
    <n v="1058735"/>
    <s v="USD"/>
    <n v="1058735"/>
    <n v="1058735"/>
    <b v="0"/>
    <n v="1"/>
  </r>
  <r>
    <b v="1"/>
    <x v="0"/>
    <x v="0"/>
    <x v="2"/>
    <x v="0"/>
    <x v="1"/>
    <x v="15"/>
    <s v="BBG00GCM8LR8"/>
    <x v="0"/>
    <s v="9e3d5a4bf8ef4c9bb3306040e0cd6790"/>
    <s v="Green Bond CMPC 2017"/>
    <x v="2"/>
    <x v="9"/>
    <s v="Unspecified"/>
    <s v="Native forest restoration program (in partnership with FSC and Certfor)"/>
    <s v="Chile"/>
    <d v="2017-04-04T00:00:00"/>
    <d v="2018-12-31T00:00:00"/>
    <s v="USD"/>
    <n v="269496"/>
    <n v="269496"/>
    <s v="USD"/>
    <n v="269496"/>
    <n v="269496"/>
    <b v="0"/>
    <n v="1"/>
  </r>
  <r>
    <b v="1"/>
    <x v="0"/>
    <x v="0"/>
    <x v="2"/>
    <x v="0"/>
    <x v="1"/>
    <x v="15"/>
    <s v="BBG00GCM8LR8"/>
    <x v="0"/>
    <s v="9e3d5a4bf8ef4c9bb3306040e0cd6790"/>
    <s v="Green Bond CMPC 2017"/>
    <x v="2"/>
    <x v="9"/>
    <s v="Unspecified"/>
    <s v="Native forest restoration program (in partnership with FSC and Certfor)"/>
    <s v="Chile"/>
    <d v="2017-04-04T00:00:00"/>
    <d v="2016-12-31T00:00:00"/>
    <s v="USD"/>
    <n v="1058735"/>
    <n v="1058735"/>
    <s v="USD"/>
    <n v="1058735"/>
    <n v="1058735"/>
    <b v="0"/>
    <n v="1"/>
  </r>
  <r>
    <b v="1"/>
    <x v="0"/>
    <x v="0"/>
    <x v="2"/>
    <x v="0"/>
    <x v="1"/>
    <x v="15"/>
    <s v="BBG00GCM8LR8"/>
    <x v="0"/>
    <s v="9e3d5a4bf8ef4c9bb3306040e0cd6790"/>
    <s v="Green Bond CMPC 2017"/>
    <x v="3"/>
    <x v="9"/>
    <s v="Unspecified"/>
    <s v="Native forest restoration program (in partnership with FSC and Certfor)"/>
    <s v="Chile"/>
    <d v="2017-04-04T00:00:00"/>
    <d v="2018-12-31T00:00:00"/>
    <s v="USD"/>
    <n v="269496"/>
    <n v="269496"/>
    <s v="USD"/>
    <n v="269496"/>
    <n v="269496"/>
    <b v="0"/>
    <n v="1"/>
  </r>
  <r>
    <b v="1"/>
    <x v="0"/>
    <x v="0"/>
    <x v="2"/>
    <x v="0"/>
    <x v="1"/>
    <x v="15"/>
    <s v="BBG00GCM8LR8"/>
    <x v="0"/>
    <s v="9e3d5a4bf8ef4c9bb3306040e0cd6790"/>
    <s v="Green Bond CMPC 2017"/>
    <x v="3"/>
    <x v="9"/>
    <s v="Unspecified"/>
    <s v="Native forest restoration program (in partnership with FSC and Certfor)"/>
    <s v="Chile"/>
    <d v="2017-04-04T00:00:00"/>
    <d v="2016-12-31T00:00:00"/>
    <s v="USD"/>
    <n v="1058735"/>
    <n v="1058735"/>
    <s v="USD"/>
    <n v="1058735"/>
    <n v="1058735"/>
    <b v="0"/>
    <n v="1"/>
  </r>
  <r>
    <b v="1"/>
    <x v="0"/>
    <x v="0"/>
    <x v="2"/>
    <x v="0"/>
    <x v="1"/>
    <x v="56"/>
    <s v="BBG0137WGWJ6"/>
    <x v="0"/>
    <s v="f1d6d989d8ea4e09b00dcd41200c9e35"/>
    <s v="ISA CTEEP - 11¬™ Emiss√£o (1¬™ e 2¬™ Serie)"/>
    <x v="0"/>
    <x v="0"/>
    <s v="Transmission"/>
    <s v="Interliga√ß√£o El√©trica Itapura S.A. (Lote 25) - 11¬∞"/>
    <s v="Brazil"/>
    <d v="2021-10-28T00:00:00"/>
    <d v="2021-12-31T00:00:00"/>
    <s v="BRL"/>
    <n v="3248198"/>
    <n v="3248198"/>
    <s v="BRL"/>
    <n v="3248198"/>
    <n v="578816"/>
    <b v="0"/>
    <n v="0.03"/>
  </r>
  <r>
    <b v="1"/>
    <x v="0"/>
    <x v="0"/>
    <x v="2"/>
    <x v="0"/>
    <x v="1"/>
    <x v="56"/>
    <s v="BBG0137WGWJ6"/>
    <x v="0"/>
    <s v="f1d6d989d8ea4e09b00dcd41200c9e35"/>
    <s v="ISA CTEEP - 11¬™ Emiss√£o (1¬™ e 2¬™ Serie)"/>
    <x v="1"/>
    <x v="1"/>
    <s v="Transmission"/>
    <s v="Interliga√ß√£o El√©trica Itapura S.A. (Lote 25) - 11¬∞"/>
    <s v="Brazil"/>
    <d v="2021-10-28T00:00:00"/>
    <d v="2021-12-31T00:00:00"/>
    <s v="BRL"/>
    <n v="3248198"/>
    <n v="3248198"/>
    <s v="BRL"/>
    <n v="3248198"/>
    <n v="578816"/>
    <b v="0"/>
    <n v="0.03"/>
  </r>
  <r>
    <b v="1"/>
    <x v="0"/>
    <x v="0"/>
    <x v="2"/>
    <x v="0"/>
    <x v="1"/>
    <x v="56"/>
    <s v="BBG0137WGWJ6"/>
    <x v="0"/>
    <s v="f1d6d989d8ea4e09b00dcd41200c9e35"/>
    <s v="ISA CTEEP - 11¬™ Emiss√£o (1¬™ e 2¬™ Serie)"/>
    <x v="0"/>
    <x v="0"/>
    <s v="Transmission"/>
    <s v="Interliga√ß√£o El√©trica Itapura S.A. (Lote 10) - 11¬∞"/>
    <s v="Brazil"/>
    <d v="2021-10-28T00:00:00"/>
    <d v="2021-12-31T00:00:00"/>
    <s v="BRL"/>
    <n v="47188660"/>
    <n v="37750928"/>
    <s v="BRL"/>
    <n v="37750928"/>
    <n v="6727062"/>
    <b v="0"/>
    <n v="0.2"/>
  </r>
  <r>
    <b v="1"/>
    <x v="0"/>
    <x v="0"/>
    <x v="2"/>
    <x v="0"/>
    <x v="1"/>
    <x v="56"/>
    <s v="BBG0137WGWJ6"/>
    <x v="0"/>
    <s v="f1d6d989d8ea4e09b00dcd41200c9e35"/>
    <s v="ISA CTEEP - 11¬™ Emiss√£o (1¬™ e 2¬™ Serie)"/>
    <x v="1"/>
    <x v="1"/>
    <s v="Transmission"/>
    <s v="Interliga√ß√£o El√©trica Itapura S.A. (Lote 10) - 11¬∞"/>
    <s v="Brazil"/>
    <d v="2021-10-28T00:00:00"/>
    <d v="2021-12-31T00:00:00"/>
    <s v="BRL"/>
    <n v="47188660"/>
    <n v="37750928"/>
    <s v="BRL"/>
    <n v="37750928"/>
    <n v="6727062"/>
    <b v="0"/>
    <n v="0.2"/>
  </r>
  <r>
    <b v="1"/>
    <x v="0"/>
    <x v="0"/>
    <x v="2"/>
    <x v="0"/>
    <x v="1"/>
    <x v="56"/>
    <s v="BBG0137WGWJ6"/>
    <x v="0"/>
    <s v="f1d6d989d8ea4e09b00dcd41200c9e35"/>
    <s v="ISA CTEEP - 11¬™ Emiss√£o (1¬™ e 2¬™ Serie)"/>
    <x v="0"/>
    <x v="0"/>
    <s v="Transmission"/>
    <s v="Interliga√ß√£o El√©trica Paragua√ßu S.A. - 11¬∞"/>
    <s v="Brazil"/>
    <d v="2021-10-28T00:00:00"/>
    <d v="2021-12-31T00:00:00"/>
    <s v="BRL"/>
    <n v="106154536"/>
    <n v="96600628"/>
    <s v="BRL"/>
    <n v="96600628"/>
    <n v="17213840"/>
    <b v="0"/>
    <n v="0.21"/>
  </r>
  <r>
    <b v="1"/>
    <x v="0"/>
    <x v="0"/>
    <x v="2"/>
    <x v="0"/>
    <x v="1"/>
    <x v="56"/>
    <s v="BBG0137WGWJ6"/>
    <x v="0"/>
    <s v="f1d6d989d8ea4e09b00dcd41200c9e35"/>
    <s v="ISA CTEEP - 11¬™ Emiss√£o (1¬™ e 2¬™ Serie)"/>
    <x v="1"/>
    <x v="1"/>
    <s v="Transmission"/>
    <s v="Interliga√ß√£o El√©trica Paragua√ßu S.A. - 11¬∞"/>
    <s v="Brazil"/>
    <d v="2021-10-28T00:00:00"/>
    <d v="2021-12-31T00:00:00"/>
    <s v="BRL"/>
    <n v="106154536"/>
    <n v="96600628"/>
    <s v="BRL"/>
    <n v="96600628"/>
    <n v="17213840"/>
    <b v="0"/>
    <n v="0.21"/>
  </r>
  <r>
    <b v="1"/>
    <x v="0"/>
    <x v="0"/>
    <x v="2"/>
    <x v="0"/>
    <x v="1"/>
    <x v="56"/>
    <s v="BBG0137WGWJ6"/>
    <x v="0"/>
    <s v="f1d6d989d8ea4e09b00dcd41200c9e35"/>
    <s v="ISA CTEEP - 11¬™ Emiss√£o (1¬™ e 2¬™ Serie)"/>
    <x v="0"/>
    <x v="0"/>
    <s v="Transmission"/>
    <s v="Interliga√ß√£o El√©trica Tibagi S.A. - 11¬∞"/>
    <s v="Brazil"/>
    <d v="2021-10-28T00:00:00"/>
    <d v="2021-12-31T00:00:00"/>
    <s v="BRL"/>
    <n v="12868662"/>
    <n v="12868662"/>
    <s v="BRL"/>
    <n v="12868662"/>
    <n v="2293143"/>
    <b v="0"/>
    <n v="0.1"/>
  </r>
  <r>
    <b v="1"/>
    <x v="0"/>
    <x v="0"/>
    <x v="2"/>
    <x v="0"/>
    <x v="1"/>
    <x v="56"/>
    <s v="BBG0137WGWJ6"/>
    <x v="0"/>
    <s v="f1d6d989d8ea4e09b00dcd41200c9e35"/>
    <s v="ISA CTEEP - 11¬™ Emiss√£o (1¬™ e 2¬™ Serie)"/>
    <x v="1"/>
    <x v="1"/>
    <s v="Transmission"/>
    <s v="Interliga√ß√£o El√©trica Tibagi S.A. - 11¬∞"/>
    <s v="Brazil"/>
    <d v="2021-10-28T00:00:00"/>
    <d v="2021-12-31T00:00:00"/>
    <s v="BRL"/>
    <n v="12868662"/>
    <n v="12868662"/>
    <s v="BRL"/>
    <n v="12868662"/>
    <n v="2293143"/>
    <b v="0"/>
    <n v="0.1"/>
  </r>
  <r>
    <b v="1"/>
    <x v="0"/>
    <x v="0"/>
    <x v="2"/>
    <x v="0"/>
    <x v="1"/>
    <x v="56"/>
    <s v="BBG0137WGWJ6"/>
    <x v="0"/>
    <s v="f1d6d989d8ea4e09b00dcd41200c9e35"/>
    <s v="ISA CTEEP - 11¬™ Emiss√£o (1¬™ e 2¬™ Serie)"/>
    <x v="0"/>
    <x v="0"/>
    <s v="Transmission"/>
    <s v="Interliga√ß√£o El√©trica Bigua√ßu S.A. - 11¬∞"/>
    <s v="Brazil"/>
    <d v="2021-10-28T00:00:00"/>
    <d v="2021-12-31T00:00:00"/>
    <s v="BRL"/>
    <n v="229679930"/>
    <n v="133214359"/>
    <s v="BRL"/>
    <n v="133214359"/>
    <n v="23738259"/>
    <b v="0"/>
    <n v="0.36"/>
  </r>
  <r>
    <b v="1"/>
    <x v="0"/>
    <x v="0"/>
    <x v="2"/>
    <x v="0"/>
    <x v="1"/>
    <x v="56"/>
    <s v="BBG0137WGWJ6"/>
    <x v="0"/>
    <s v="f1d6d989d8ea4e09b00dcd41200c9e35"/>
    <s v="ISA CTEEP - 11¬™ Emiss√£o (1¬™ e 2¬™ Serie)"/>
    <x v="1"/>
    <x v="1"/>
    <s v="Transmission"/>
    <s v="Interliga√ß√£o El√©trica Bigua√ßu S.A. - 11¬∞"/>
    <s v="Brazil"/>
    <d v="2021-10-28T00:00:00"/>
    <d v="2021-12-31T00:00:00"/>
    <s v="BRL"/>
    <n v="229679930"/>
    <n v="133214359"/>
    <s v="BRL"/>
    <n v="133214359"/>
    <n v="23738259"/>
    <b v="0"/>
    <n v="0.36"/>
  </r>
  <r>
    <b v="1"/>
    <x v="0"/>
    <x v="0"/>
    <x v="2"/>
    <x v="0"/>
    <x v="1"/>
    <x v="56"/>
    <s v="BBG0137WGWJ6"/>
    <x v="0"/>
    <s v="f1d6d989d8ea4e09b00dcd41200c9e35"/>
    <s v="ISA CTEEP - 11¬™ Emiss√£o (1¬™ e 2¬™ Serie)"/>
    <x v="0"/>
    <x v="0"/>
    <s v="Transmission"/>
    <s v="Interliga√ß√£o El√©trica Aimor√©s S.A.  - 11¬∞"/>
    <s v="Brazil"/>
    <d v="2021-10-28T00:00:00"/>
    <d v="2021-12-31T00:00:00"/>
    <s v="BRL"/>
    <n v="74163838"/>
    <n v="74163838"/>
    <s v="BRL"/>
    <n v="74163838"/>
    <n v="13215695"/>
    <b v="0"/>
    <n v="0.22"/>
  </r>
  <r>
    <b v="1"/>
    <x v="0"/>
    <x v="0"/>
    <x v="2"/>
    <x v="0"/>
    <x v="1"/>
    <x v="56"/>
    <s v="BBG0137WGWJ6"/>
    <x v="0"/>
    <s v="f1d6d989d8ea4e09b00dcd41200c9e35"/>
    <s v="ISA CTEEP - 11¬™ Emiss√£o (1¬™ e 2¬™ Serie)"/>
    <x v="1"/>
    <x v="1"/>
    <s v="Transmission"/>
    <s v="Interliga√ß√£o El√©trica Aimor√©s S.A.  - 11¬∞"/>
    <s v="Brazil"/>
    <d v="2021-10-28T00:00:00"/>
    <d v="2021-12-31T00:00:00"/>
    <s v="BRL"/>
    <n v="74163838"/>
    <n v="74163838"/>
    <s v="BRL"/>
    <n v="74163838"/>
    <n v="13215695"/>
    <b v="0"/>
    <n v="0.22"/>
  </r>
  <r>
    <b v="1"/>
    <x v="0"/>
    <x v="0"/>
    <x v="2"/>
    <x v="0"/>
    <x v="1"/>
    <x v="56"/>
    <s v="BBG0137WGWJ6"/>
    <x v="0"/>
    <s v="f1d6d989d8ea4e09b00dcd41200c9e35"/>
    <s v="ISA CTEEP - 11¬™ Emiss√£o (1¬™ e 2¬™ Serie)"/>
    <x v="0"/>
    <x v="0"/>
    <s v="Transmission"/>
    <s v="Interliga√ß√£o El√©trica Ita√∫nas S.A.  - 11¬∞"/>
    <s v="Brazil"/>
    <d v="2021-10-28T00:00:00"/>
    <d v="2021-12-31T00:00:00"/>
    <s v="BRL"/>
    <n v="111497951"/>
    <n v="44599180"/>
    <s v="BRL"/>
    <n v="44599180"/>
    <n v="7947393"/>
    <b v="0"/>
    <n v="0.37"/>
  </r>
  <r>
    <b v="1"/>
    <x v="0"/>
    <x v="0"/>
    <x v="2"/>
    <x v="0"/>
    <x v="1"/>
    <x v="56"/>
    <s v="BBG0137WGWJ6"/>
    <x v="0"/>
    <s v="f1d6d989d8ea4e09b00dcd41200c9e35"/>
    <s v="ISA CTEEP - 11¬™ Emiss√£o (1¬™ e 2¬™ Serie)"/>
    <x v="1"/>
    <x v="1"/>
    <s v="Transmission"/>
    <s v="Interliga√ß√£o El√©trica Ita√∫nas S.A.  - 11¬∞"/>
    <s v="Brazil"/>
    <d v="2021-10-28T00:00:00"/>
    <d v="2021-12-31T00:00:00"/>
    <s v="BRL"/>
    <n v="111497951"/>
    <n v="44599180"/>
    <s v="BRL"/>
    <n v="44599180"/>
    <n v="7947393"/>
    <b v="0"/>
    <n v="0.37"/>
  </r>
  <r>
    <b v="1"/>
    <x v="0"/>
    <x v="0"/>
    <x v="2"/>
    <x v="0"/>
    <x v="1"/>
    <x v="56"/>
    <s v="BBG0137WGWJ6"/>
    <x v="0"/>
    <s v="f1d6d989d8ea4e09b00dcd41200c9e35"/>
    <s v="ISA CTEEP - 11¬™ Emiss√£o (1¬™ e 2¬™ Serie)"/>
    <x v="0"/>
    <x v="0"/>
    <s v="Transmission"/>
    <s v="Interliga√ß√£o El√©trica Aguape√≠ S.A. - 11¬∞"/>
    <s v="Brazil"/>
    <d v="2021-10-28T00:00:00"/>
    <d v="2021-12-31T00:00:00"/>
    <s v="BRL"/>
    <n v="111647396"/>
    <n v="96016761"/>
    <s v="BRL"/>
    <n v="96016761"/>
    <n v="17109797"/>
    <b v="0"/>
    <n v="0.11"/>
  </r>
  <r>
    <b v="1"/>
    <x v="0"/>
    <x v="0"/>
    <x v="2"/>
    <x v="0"/>
    <x v="1"/>
    <x v="56"/>
    <s v="BBG0137WGWJ6"/>
    <x v="0"/>
    <s v="f1d6d989d8ea4e09b00dcd41200c9e35"/>
    <s v="ISA CTEEP - 11¬™ Emiss√£o (1¬™ e 2¬™ Serie)"/>
    <x v="1"/>
    <x v="1"/>
    <s v="Transmission"/>
    <s v="Interliga√ß√£o El√©trica Aguape√≠ S.A. - 11¬∞"/>
    <s v="Brazil"/>
    <d v="2021-10-28T00:00:00"/>
    <d v="2021-12-31T00:00:00"/>
    <s v="BRL"/>
    <n v="111647396"/>
    <n v="96016761"/>
    <s v="BRL"/>
    <n v="96016761"/>
    <n v="17109797"/>
    <b v="0"/>
    <n v="0.11"/>
  </r>
  <r>
    <b v="1"/>
    <x v="0"/>
    <x v="0"/>
    <x v="2"/>
    <x v="0"/>
    <x v="1"/>
    <x v="36"/>
    <s v="BBG00HPK5N13"/>
    <x v="0"/>
    <s v="7d27df26e2924c4d9fcf8ba0c0d9d684"/>
    <s v="Klabin 2027"/>
    <x v="0"/>
    <x v="9"/>
    <s v="Unspecified"/>
    <s v="Investments - New Technology Center and Research Lines"/>
    <s v="Brazil"/>
    <d v="2018-01-01T00:00:00"/>
    <d v="2018-01-01T00:00:00"/>
    <s v="BRL"/>
    <n v="14586808"/>
    <n v="14586808"/>
    <s v="USD"/>
    <n v="4255940"/>
    <n v="4255940"/>
    <b v="1"/>
    <n v="1"/>
  </r>
  <r>
    <b v="1"/>
    <x v="0"/>
    <x v="0"/>
    <x v="2"/>
    <x v="0"/>
    <x v="1"/>
    <x v="36"/>
    <s v="BBG00HPK5N13"/>
    <x v="0"/>
    <s v="7d27df26e2924c4d9fcf8ba0c0d9d684"/>
    <s v="Klabin 2027"/>
    <x v="0"/>
    <x v="9"/>
    <s v="Unspecified"/>
    <s v="Investments - New Technology Center and Research Lines"/>
    <s v="Brazil"/>
    <d v="2017-06-01T00:00:00"/>
    <d v="2017-06-01T00:00:00"/>
    <s v="BRL"/>
    <n v="37599504"/>
    <n v="37599504"/>
    <s v="USD"/>
    <n v="11777449"/>
    <n v="11777449"/>
    <b v="1"/>
    <n v="1"/>
  </r>
  <r>
    <b v="1"/>
    <x v="0"/>
    <x v="0"/>
    <x v="2"/>
    <x v="0"/>
    <x v="1"/>
    <x v="36"/>
    <s v="BBG00HPK5N13"/>
    <x v="0"/>
    <s v="7d27df26e2924c4d9fcf8ba0c0d9d684"/>
    <s v="Klabin 2027"/>
    <x v="0"/>
    <x v="9"/>
    <s v="Unspecified"/>
    <s v="Investments - New Technology Center and Research Lines"/>
    <s v="Brazil"/>
    <d v="2016-06-01T00:00:00"/>
    <d v="2016-06-01T00:00:00"/>
    <s v="BRL"/>
    <n v="17351717"/>
    <n v="17351717"/>
    <s v="USD"/>
    <n v="4981402"/>
    <n v="4981402"/>
    <b v="1"/>
    <n v="1"/>
  </r>
  <r>
    <b v="1"/>
    <x v="0"/>
    <x v="0"/>
    <x v="2"/>
    <x v="0"/>
    <x v="1"/>
    <x v="36"/>
    <s v="BBG00HPK5N13"/>
    <x v="0"/>
    <s v="7d27df26e2924c4d9fcf8ba0c0d9d684"/>
    <s v="Klabin 2027"/>
    <x v="0"/>
    <x v="9"/>
    <s v="Unspecified"/>
    <s v="Investments - New Technology Center and Research Lines"/>
    <s v="Brazil"/>
    <d v="2015-09-01T00:00:00"/>
    <d v="2015-09-01T00:00:00"/>
    <s v="BRL"/>
    <n v="4541711"/>
    <n v="4541711"/>
    <s v="USD"/>
    <n v="1360324"/>
    <n v="1360324"/>
    <b v="1"/>
    <n v="1"/>
  </r>
  <r>
    <b v="1"/>
    <x v="0"/>
    <x v="0"/>
    <x v="2"/>
    <x v="0"/>
    <x v="1"/>
    <x v="36"/>
    <s v="BBG00HPK5N13"/>
    <x v="0"/>
    <s v="7d27df26e2924c4d9fcf8ba0c0d9d684"/>
    <s v="Klabin 2027"/>
    <x v="1"/>
    <x v="9"/>
    <s v="Unspecified"/>
    <s v="Investments - New Technology Center and Research Lines"/>
    <s v="Brazil"/>
    <d v="2018-01-01T00:00:00"/>
    <d v="2018-01-01T00:00:00"/>
    <s v="BRL"/>
    <n v="14586808"/>
    <n v="14586808"/>
    <s v="USD"/>
    <n v="4255940"/>
    <n v="4255940"/>
    <b v="1"/>
    <n v="1"/>
  </r>
  <r>
    <b v="1"/>
    <x v="0"/>
    <x v="0"/>
    <x v="2"/>
    <x v="0"/>
    <x v="1"/>
    <x v="36"/>
    <s v="BBG00HPK5N13"/>
    <x v="0"/>
    <s v="7d27df26e2924c4d9fcf8ba0c0d9d684"/>
    <s v="Klabin 2027"/>
    <x v="1"/>
    <x v="9"/>
    <s v="Unspecified"/>
    <s v="Investments - New Technology Center and Research Lines"/>
    <s v="Brazil"/>
    <d v="2017-06-01T00:00:00"/>
    <d v="2017-06-01T00:00:00"/>
    <s v="BRL"/>
    <n v="37599504"/>
    <n v="37599504"/>
    <s v="USD"/>
    <n v="11777449"/>
    <n v="11777449"/>
    <b v="1"/>
    <n v="1"/>
  </r>
  <r>
    <b v="1"/>
    <x v="0"/>
    <x v="0"/>
    <x v="2"/>
    <x v="0"/>
    <x v="1"/>
    <x v="36"/>
    <s v="BBG00HPK5N13"/>
    <x v="0"/>
    <s v="7d27df26e2924c4d9fcf8ba0c0d9d684"/>
    <s v="Klabin 2027"/>
    <x v="1"/>
    <x v="9"/>
    <s v="Unspecified"/>
    <s v="Investments - New Technology Center and Research Lines"/>
    <s v="Brazil"/>
    <d v="2016-06-01T00:00:00"/>
    <d v="2016-06-01T00:00:00"/>
    <s v="BRL"/>
    <n v="17351717"/>
    <n v="17351717"/>
    <s v="USD"/>
    <n v="4981402"/>
    <n v="4981402"/>
    <b v="1"/>
    <n v="1"/>
  </r>
  <r>
    <b v="1"/>
    <x v="0"/>
    <x v="0"/>
    <x v="2"/>
    <x v="0"/>
    <x v="1"/>
    <x v="36"/>
    <s v="BBG00HPK5N13"/>
    <x v="0"/>
    <s v="7d27df26e2924c4d9fcf8ba0c0d9d684"/>
    <s v="Klabin 2027"/>
    <x v="1"/>
    <x v="9"/>
    <s v="Unspecified"/>
    <s v="Investments - New Technology Center and Research Lines"/>
    <s v="Brazil"/>
    <d v="2015-09-01T00:00:00"/>
    <d v="2015-09-01T00:00:00"/>
    <s v="BRL"/>
    <n v="4541711"/>
    <n v="4541711"/>
    <s v="USD"/>
    <n v="1360324"/>
    <n v="1360324"/>
    <b v="1"/>
    <n v="1"/>
  </r>
  <r>
    <b v="1"/>
    <x v="0"/>
    <x v="0"/>
    <x v="2"/>
    <x v="0"/>
    <x v="1"/>
    <x v="36"/>
    <s v="BBG00HPK5N13"/>
    <x v="0"/>
    <s v="7d27df26e2924c4d9fcf8ba0c0d9d684"/>
    <s v="Klabin 2027"/>
    <x v="0"/>
    <x v="10"/>
    <s v="Ecosystem Conservation &amp; Restoration"/>
    <s v="Klabin Ecological Park"/>
    <s v="Brazil"/>
    <d v="2021-01-01T00:00:00"/>
    <d v="2021-01-01T00:00:00"/>
    <s v="BRL"/>
    <n v="1617000"/>
    <n v="1617000"/>
    <s v="USD"/>
    <n v="300000"/>
    <n v="300000"/>
    <b v="1"/>
    <n v="1"/>
  </r>
  <r>
    <b v="1"/>
    <x v="0"/>
    <x v="0"/>
    <x v="2"/>
    <x v="0"/>
    <x v="1"/>
    <x v="36"/>
    <s v="BBG00HPK5N13"/>
    <x v="0"/>
    <s v="7d27df26e2924c4d9fcf8ba0c0d9d684"/>
    <s v="Klabin 2027"/>
    <x v="0"/>
    <x v="10"/>
    <s v="Ecosystem Conservation &amp; Restoration"/>
    <s v="Klabin Ecological Park"/>
    <s v="Brazil"/>
    <d v="2020-07-01T00:00:00"/>
    <d v="2020-07-01T00:00:00"/>
    <s v="BRL"/>
    <n v="1498000"/>
    <n v="1498000"/>
    <s v="USD"/>
    <n v="275000"/>
    <n v="275000"/>
    <b v="1"/>
    <n v="1"/>
  </r>
  <r>
    <b v="1"/>
    <x v="0"/>
    <x v="0"/>
    <x v="2"/>
    <x v="0"/>
    <x v="1"/>
    <x v="36"/>
    <s v="BBG00HPK5N13"/>
    <x v="0"/>
    <s v="7d27df26e2924c4d9fcf8ba0c0d9d684"/>
    <s v="Klabin 2027"/>
    <x v="0"/>
    <x v="10"/>
    <s v="Ecosystem Conservation &amp; Restoration"/>
    <s v="Klabin Ecological Park"/>
    <s v="Brazil"/>
    <d v="2020-01-01T00:00:00"/>
    <d v="2020-01-01T00:00:00"/>
    <s v="BRL"/>
    <n v="1202000"/>
    <n v="1202000"/>
    <s v="USD"/>
    <n v="244000"/>
    <n v="244000"/>
    <b v="1"/>
    <n v="1"/>
  </r>
  <r>
    <b v="1"/>
    <x v="0"/>
    <x v="0"/>
    <x v="2"/>
    <x v="0"/>
    <x v="1"/>
    <x v="36"/>
    <s v="BBG00HPK5N13"/>
    <x v="0"/>
    <s v="7d27df26e2924c4d9fcf8ba0c0d9d684"/>
    <s v="Klabin 2027"/>
    <x v="0"/>
    <x v="10"/>
    <s v="Ecosystem Conservation &amp; Restoration"/>
    <s v="Klabin Ecological Park"/>
    <s v="Brazil"/>
    <d v="2019-07-01T00:00:00"/>
    <d v="2019-07-01T00:00:00"/>
    <s v="BRL"/>
    <n v="1511000"/>
    <n v="1511000"/>
    <s v="USD"/>
    <n v="373000"/>
    <n v="373000"/>
    <b v="1"/>
    <n v="1"/>
  </r>
  <r>
    <b v="1"/>
    <x v="0"/>
    <x v="0"/>
    <x v="2"/>
    <x v="0"/>
    <x v="1"/>
    <x v="36"/>
    <s v="BBG00HPK5N13"/>
    <x v="0"/>
    <s v="7d27df26e2924c4d9fcf8ba0c0d9d684"/>
    <s v="Klabin 2027"/>
    <x v="0"/>
    <x v="10"/>
    <s v="Ecosystem Conservation &amp; Restoration"/>
    <s v="Klabin Ecological Park"/>
    <s v="Brazil"/>
    <d v="2019-01-01T00:00:00"/>
    <d v="2019-01-01T00:00:00"/>
    <s v="BRL"/>
    <n v="1158380"/>
    <n v="1158380"/>
    <s v="USD"/>
    <n v="301200"/>
    <n v="301200"/>
    <b v="1"/>
    <n v="1"/>
  </r>
  <r>
    <b v="1"/>
    <x v="0"/>
    <x v="0"/>
    <x v="2"/>
    <x v="0"/>
    <x v="1"/>
    <x v="36"/>
    <s v="BBG00HPK5N13"/>
    <x v="0"/>
    <s v="7d27df26e2924c4d9fcf8ba0c0d9d684"/>
    <s v="Klabin 2027"/>
    <x v="0"/>
    <x v="10"/>
    <s v="Ecosystem Conservation &amp; Restoration"/>
    <s v="Klabin Ecological Park"/>
    <s v="Brazil"/>
    <d v="2018-07-01T00:00:00"/>
    <d v="2018-07-01T00:00:00"/>
    <s v="BRL"/>
    <n v="1439520"/>
    <n v="1439520"/>
    <s v="USD"/>
    <n v="370950"/>
    <n v="370950"/>
    <b v="1"/>
    <n v="1"/>
  </r>
  <r>
    <b v="1"/>
    <x v="0"/>
    <x v="0"/>
    <x v="2"/>
    <x v="0"/>
    <x v="1"/>
    <x v="36"/>
    <s v="BBG00HPK5N13"/>
    <x v="0"/>
    <s v="7d27df26e2924c4d9fcf8ba0c0d9d684"/>
    <s v="Klabin 2027"/>
    <x v="0"/>
    <x v="10"/>
    <s v="Ecosystem Conservation &amp; Restoration"/>
    <s v="Klabin Ecological Park"/>
    <s v="Brazil"/>
    <d v="2018-01-01T00:00:00"/>
    <d v="2018-01-01T00:00:00"/>
    <s v="BRL"/>
    <n v="1024000"/>
    <n v="1024000"/>
    <s v="USD"/>
    <n v="298769"/>
    <n v="298769"/>
    <b v="1"/>
    <n v="1"/>
  </r>
  <r>
    <b v="1"/>
    <x v="0"/>
    <x v="0"/>
    <x v="2"/>
    <x v="0"/>
    <x v="1"/>
    <x v="36"/>
    <s v="BBG00HPK5N13"/>
    <x v="0"/>
    <s v="7d27df26e2924c4d9fcf8ba0c0d9d684"/>
    <s v="Klabin 2027"/>
    <x v="0"/>
    <x v="10"/>
    <s v="Ecosystem Conservation &amp; Restoration"/>
    <s v="Klabin Ecological Park"/>
    <s v="Brazil"/>
    <d v="2017-06-01T00:00:00"/>
    <d v="2017-06-01T00:00:00"/>
    <s v="BRL"/>
    <n v="3216000"/>
    <n v="3216000"/>
    <s v="USD"/>
    <n v="1007362"/>
    <n v="1007362"/>
    <b v="1"/>
    <n v="1"/>
  </r>
  <r>
    <b v="1"/>
    <x v="0"/>
    <x v="0"/>
    <x v="2"/>
    <x v="0"/>
    <x v="1"/>
    <x v="36"/>
    <s v="BBG00HPK5N13"/>
    <x v="0"/>
    <s v="7d27df26e2924c4d9fcf8ba0c0d9d684"/>
    <s v="Klabin 2027"/>
    <x v="0"/>
    <x v="10"/>
    <s v="Ecosystem Conservation &amp; Restoration"/>
    <s v="Klabin Ecological Park"/>
    <s v="Brazil"/>
    <d v="2016-06-01T00:00:00"/>
    <d v="2016-06-01T00:00:00"/>
    <s v="BRL"/>
    <n v="3353000"/>
    <n v="3353000"/>
    <s v="USD"/>
    <n v="962593"/>
    <n v="962593"/>
    <b v="1"/>
    <n v="1"/>
  </r>
  <r>
    <b v="1"/>
    <x v="0"/>
    <x v="0"/>
    <x v="2"/>
    <x v="0"/>
    <x v="1"/>
    <x v="36"/>
    <s v="BBG00HPK5N13"/>
    <x v="0"/>
    <s v="7d27df26e2924c4d9fcf8ba0c0d9d684"/>
    <s v="Klabin 2027"/>
    <x v="0"/>
    <x v="10"/>
    <s v="Ecosystem Conservation &amp; Restoration"/>
    <s v="Klabin Ecological Park"/>
    <s v="Brazil"/>
    <d v="2015-09-01T00:00:00"/>
    <d v="2015-09-01T00:00:00"/>
    <s v="BRL"/>
    <n v="1192000"/>
    <n v="1192000"/>
    <s v="USD"/>
    <n v="357026"/>
    <n v="357026"/>
    <b v="1"/>
    <n v="1"/>
  </r>
  <r>
    <b v="1"/>
    <x v="0"/>
    <x v="0"/>
    <x v="2"/>
    <x v="0"/>
    <x v="1"/>
    <x v="36"/>
    <s v="BBG00HPK5N13"/>
    <x v="0"/>
    <s v="7d27df26e2924c4d9fcf8ba0c0d9d684"/>
    <s v="Klabin 2027"/>
    <x v="1"/>
    <x v="11"/>
    <s v="Natural landscapes"/>
    <s v="Klabin Ecological Park"/>
    <s v="Brazil"/>
    <d v="2021-01-01T00:00:00"/>
    <d v="2021-01-01T00:00:00"/>
    <s v="BRL"/>
    <n v="1617000"/>
    <n v="1617000"/>
    <s v="USD"/>
    <n v="300000"/>
    <n v="300000"/>
    <b v="1"/>
    <n v="1"/>
  </r>
  <r>
    <b v="1"/>
    <x v="0"/>
    <x v="0"/>
    <x v="2"/>
    <x v="0"/>
    <x v="1"/>
    <x v="36"/>
    <s v="BBG00HPK5N13"/>
    <x v="0"/>
    <s v="7d27df26e2924c4d9fcf8ba0c0d9d684"/>
    <s v="Klabin 2027"/>
    <x v="1"/>
    <x v="11"/>
    <s v="Natural landscapes"/>
    <s v="Klabin Ecological Park"/>
    <s v="Brazil"/>
    <d v="2020-07-01T00:00:00"/>
    <d v="2020-07-01T00:00:00"/>
    <s v="BRL"/>
    <n v="1498000"/>
    <n v="1498000"/>
    <s v="USD"/>
    <n v="275000"/>
    <n v="275000"/>
    <b v="1"/>
    <n v="1"/>
  </r>
  <r>
    <b v="1"/>
    <x v="0"/>
    <x v="0"/>
    <x v="2"/>
    <x v="0"/>
    <x v="1"/>
    <x v="36"/>
    <s v="BBG00HPK5N13"/>
    <x v="0"/>
    <s v="7d27df26e2924c4d9fcf8ba0c0d9d684"/>
    <s v="Klabin 2027"/>
    <x v="1"/>
    <x v="11"/>
    <s v="Natural landscapes"/>
    <s v="Klabin Ecological Park"/>
    <s v="Brazil"/>
    <d v="2020-01-01T00:00:00"/>
    <d v="2020-01-01T00:00:00"/>
    <s v="BRL"/>
    <n v="1202000"/>
    <n v="1202000"/>
    <s v="USD"/>
    <n v="244000"/>
    <n v="244000"/>
    <b v="1"/>
    <n v="1"/>
  </r>
  <r>
    <b v="1"/>
    <x v="0"/>
    <x v="0"/>
    <x v="2"/>
    <x v="0"/>
    <x v="1"/>
    <x v="36"/>
    <s v="BBG00HPK5N13"/>
    <x v="0"/>
    <s v="7d27df26e2924c4d9fcf8ba0c0d9d684"/>
    <s v="Klabin 2027"/>
    <x v="1"/>
    <x v="11"/>
    <s v="Natural landscapes"/>
    <s v="Klabin Ecological Park"/>
    <s v="Brazil"/>
    <d v="2019-07-01T00:00:00"/>
    <d v="2019-07-01T00:00:00"/>
    <s v="BRL"/>
    <n v="1511000"/>
    <n v="1511000"/>
    <s v="USD"/>
    <n v="373000"/>
    <n v="373000"/>
    <b v="1"/>
    <n v="1"/>
  </r>
  <r>
    <b v="1"/>
    <x v="0"/>
    <x v="0"/>
    <x v="2"/>
    <x v="0"/>
    <x v="1"/>
    <x v="36"/>
    <s v="BBG00HPK5N13"/>
    <x v="0"/>
    <s v="7d27df26e2924c4d9fcf8ba0c0d9d684"/>
    <s v="Klabin 2027"/>
    <x v="1"/>
    <x v="11"/>
    <s v="Natural landscapes"/>
    <s v="Klabin Ecological Park"/>
    <s v="Brazil"/>
    <d v="2019-01-01T00:00:00"/>
    <d v="2019-01-01T00:00:00"/>
    <s v="BRL"/>
    <n v="1158380"/>
    <n v="1158380"/>
    <s v="USD"/>
    <n v="301200"/>
    <n v="301200"/>
    <b v="1"/>
    <n v="1"/>
  </r>
  <r>
    <b v="1"/>
    <x v="0"/>
    <x v="0"/>
    <x v="2"/>
    <x v="0"/>
    <x v="1"/>
    <x v="36"/>
    <s v="BBG00HPK5N13"/>
    <x v="0"/>
    <s v="7d27df26e2924c4d9fcf8ba0c0d9d684"/>
    <s v="Klabin 2027"/>
    <x v="1"/>
    <x v="11"/>
    <s v="Natural landscapes"/>
    <s v="Klabin Ecological Park"/>
    <s v="Brazil"/>
    <d v="2018-07-01T00:00:00"/>
    <d v="2018-07-01T00:00:00"/>
    <s v="BRL"/>
    <n v="1439520"/>
    <n v="1439520"/>
    <s v="USD"/>
    <n v="370950"/>
    <n v="370950"/>
    <b v="1"/>
    <n v="1"/>
  </r>
  <r>
    <b v="1"/>
    <x v="0"/>
    <x v="0"/>
    <x v="2"/>
    <x v="0"/>
    <x v="1"/>
    <x v="36"/>
    <s v="BBG00HPK5N13"/>
    <x v="0"/>
    <s v="7d27df26e2924c4d9fcf8ba0c0d9d684"/>
    <s v="Klabin 2027"/>
    <x v="1"/>
    <x v="11"/>
    <s v="Natural landscapes"/>
    <s v="Klabin Ecological Park"/>
    <s v="Brazil"/>
    <d v="2018-01-01T00:00:00"/>
    <d v="2018-01-01T00:00:00"/>
    <s v="BRL"/>
    <n v="1024000"/>
    <n v="1024000"/>
    <s v="USD"/>
    <n v="298769"/>
    <n v="298769"/>
    <b v="1"/>
    <n v="1"/>
  </r>
  <r>
    <b v="1"/>
    <x v="0"/>
    <x v="0"/>
    <x v="2"/>
    <x v="0"/>
    <x v="1"/>
    <x v="36"/>
    <s v="BBG00HPK5N13"/>
    <x v="0"/>
    <s v="7d27df26e2924c4d9fcf8ba0c0d9d684"/>
    <s v="Klabin 2027"/>
    <x v="1"/>
    <x v="11"/>
    <s v="Natural landscapes"/>
    <s v="Klabin Ecological Park"/>
    <s v="Brazil"/>
    <d v="2017-06-01T00:00:00"/>
    <d v="2017-06-01T00:00:00"/>
    <s v="BRL"/>
    <n v="3216000"/>
    <n v="3216000"/>
    <s v="USD"/>
    <n v="1007362"/>
    <n v="1007362"/>
    <b v="1"/>
    <n v="1"/>
  </r>
  <r>
    <b v="1"/>
    <x v="0"/>
    <x v="0"/>
    <x v="2"/>
    <x v="0"/>
    <x v="1"/>
    <x v="36"/>
    <s v="BBG00HPK5N13"/>
    <x v="0"/>
    <s v="7d27df26e2924c4d9fcf8ba0c0d9d684"/>
    <s v="Klabin 2027"/>
    <x v="1"/>
    <x v="11"/>
    <s v="Natural landscapes"/>
    <s v="Klabin Ecological Park"/>
    <s v="Brazil"/>
    <d v="2016-06-01T00:00:00"/>
    <d v="2016-06-01T00:00:00"/>
    <s v="BRL"/>
    <n v="3353000"/>
    <n v="3353000"/>
    <s v="USD"/>
    <n v="962593"/>
    <n v="962593"/>
    <b v="1"/>
    <n v="1"/>
  </r>
  <r>
    <b v="1"/>
    <x v="0"/>
    <x v="0"/>
    <x v="2"/>
    <x v="0"/>
    <x v="1"/>
    <x v="36"/>
    <s v="BBG00HPK5N13"/>
    <x v="0"/>
    <s v="7d27df26e2924c4d9fcf8ba0c0d9d684"/>
    <s v="Klabin 2027"/>
    <x v="1"/>
    <x v="11"/>
    <s v="Natural landscapes"/>
    <s v="Klabin Ecological Park"/>
    <s v="Brazil"/>
    <d v="2015-09-01T00:00:00"/>
    <d v="2015-09-01T00:00:00"/>
    <s v="BRL"/>
    <n v="1192000"/>
    <n v="1192000"/>
    <s v="USD"/>
    <n v="357026"/>
    <n v="357026"/>
    <b v="1"/>
    <n v="1"/>
  </r>
  <r>
    <b v="1"/>
    <x v="0"/>
    <x v="0"/>
    <x v="2"/>
    <x v="0"/>
    <x v="1"/>
    <x v="36"/>
    <s v="BBG00HPK5N13"/>
    <x v="0"/>
    <s v="7d27df26e2924c4d9fcf8ba0c0d9d684"/>
    <s v="Klabin 2027"/>
    <x v="0"/>
    <x v="10"/>
    <s v="Ecosystem Conservation &amp; Restoration"/>
    <s v="Legal Woods Program"/>
    <s v="Brazil"/>
    <d v="2021-01-01T00:00:00"/>
    <d v="2021-01-01T00:00:00"/>
    <s v="BRL"/>
    <n v="442000"/>
    <n v="442000"/>
    <s v="USD"/>
    <n v="82000"/>
    <n v="82000"/>
    <b v="1"/>
    <n v="1"/>
  </r>
  <r>
    <b v="1"/>
    <x v="0"/>
    <x v="0"/>
    <x v="2"/>
    <x v="0"/>
    <x v="1"/>
    <x v="36"/>
    <s v="BBG00HPK5N13"/>
    <x v="0"/>
    <s v="7d27df26e2924c4d9fcf8ba0c0d9d684"/>
    <s v="Klabin 2027"/>
    <x v="0"/>
    <x v="10"/>
    <s v="Ecosystem Conservation &amp; Restoration"/>
    <s v="Legal Woods Program"/>
    <s v="Brazil"/>
    <d v="2020-07-01T00:00:00"/>
    <d v="2020-07-01T00:00:00"/>
    <s v="BRL"/>
    <n v="488000"/>
    <n v="488000"/>
    <s v="USD"/>
    <n v="90000"/>
    <n v="90000"/>
    <b v="1"/>
    <n v="1"/>
  </r>
  <r>
    <b v="1"/>
    <x v="0"/>
    <x v="0"/>
    <x v="2"/>
    <x v="0"/>
    <x v="1"/>
    <x v="36"/>
    <s v="BBG00HPK5N13"/>
    <x v="0"/>
    <s v="7d27df26e2924c4d9fcf8ba0c0d9d684"/>
    <s v="Klabin 2027"/>
    <x v="0"/>
    <x v="10"/>
    <s v="Ecosystem Conservation &amp; Restoration"/>
    <s v="Legal Woods Program"/>
    <s v="Brazil"/>
    <d v="2020-01-01T00:00:00"/>
    <d v="2020-01-01T00:00:00"/>
    <s v="BRL"/>
    <n v="170000"/>
    <n v="170000"/>
    <s v="USD"/>
    <n v="35000"/>
    <n v="35000"/>
    <b v="1"/>
    <n v="1"/>
  </r>
  <r>
    <b v="1"/>
    <x v="0"/>
    <x v="0"/>
    <x v="2"/>
    <x v="0"/>
    <x v="1"/>
    <x v="36"/>
    <s v="BBG00HPK5N13"/>
    <x v="0"/>
    <s v="7d27df26e2924c4d9fcf8ba0c0d9d684"/>
    <s v="Klabin 2027"/>
    <x v="0"/>
    <x v="10"/>
    <s v="Ecosystem Conservation &amp; Restoration"/>
    <s v="Legal Woods Program"/>
    <s v="Brazil"/>
    <d v="2019-07-01T00:00:00"/>
    <d v="2019-07-01T00:00:00"/>
    <s v="BRL"/>
    <n v="423000"/>
    <n v="423000"/>
    <s v="USD"/>
    <n v="104000"/>
    <n v="104000"/>
    <b v="1"/>
    <n v="1"/>
  </r>
  <r>
    <b v="1"/>
    <x v="0"/>
    <x v="0"/>
    <x v="2"/>
    <x v="0"/>
    <x v="1"/>
    <x v="36"/>
    <s v="BBG00HPK5N13"/>
    <x v="0"/>
    <s v="7d27df26e2924c4d9fcf8ba0c0d9d684"/>
    <s v="Klabin 2027"/>
    <x v="0"/>
    <x v="10"/>
    <s v="Ecosystem Conservation &amp; Restoration"/>
    <s v="Legal Woods Program"/>
    <s v="Brazil"/>
    <d v="2019-01-01T00:00:00"/>
    <d v="2019-01-01T00:00:00"/>
    <s v="BRL"/>
    <n v="56000"/>
    <n v="56000"/>
    <s v="USD"/>
    <n v="14560"/>
    <n v="14560"/>
    <b v="1"/>
    <n v="1"/>
  </r>
  <r>
    <b v="1"/>
    <x v="0"/>
    <x v="0"/>
    <x v="2"/>
    <x v="0"/>
    <x v="1"/>
    <x v="36"/>
    <s v="BBG00HPK5N13"/>
    <x v="0"/>
    <s v="7d27df26e2924c4d9fcf8ba0c0d9d684"/>
    <s v="Klabin 2027"/>
    <x v="0"/>
    <x v="10"/>
    <s v="Ecosystem Conservation &amp; Restoration"/>
    <s v="Legal Woods Program"/>
    <s v="Brazil"/>
    <d v="2018-07-01T00:00:00"/>
    <d v="2018-07-01T00:00:00"/>
    <s v="BRL"/>
    <n v="7920"/>
    <n v="7920"/>
    <s v="USD"/>
    <n v="2040"/>
    <n v="2040"/>
    <b v="1"/>
    <n v="1"/>
  </r>
  <r>
    <b v="1"/>
    <x v="0"/>
    <x v="0"/>
    <x v="2"/>
    <x v="0"/>
    <x v="1"/>
    <x v="36"/>
    <s v="BBG00HPK5N13"/>
    <x v="0"/>
    <s v="7d27df26e2924c4d9fcf8ba0c0d9d684"/>
    <s v="Klabin 2027"/>
    <x v="0"/>
    <x v="10"/>
    <s v="Ecosystem Conservation &amp; Restoration"/>
    <s v="Legal Woods Program"/>
    <s v="Brazil"/>
    <d v="2017-06-01T00:00:00"/>
    <d v="2017-06-01T00:00:00"/>
    <s v="BRL"/>
    <n v="485000"/>
    <n v="485000"/>
    <s v="USD"/>
    <n v="151919"/>
    <n v="151919"/>
    <b v="1"/>
    <n v="1"/>
  </r>
  <r>
    <b v="1"/>
    <x v="0"/>
    <x v="0"/>
    <x v="2"/>
    <x v="0"/>
    <x v="1"/>
    <x v="36"/>
    <s v="BBG00HPK5N13"/>
    <x v="0"/>
    <s v="7d27df26e2924c4d9fcf8ba0c0d9d684"/>
    <s v="Klabin 2027"/>
    <x v="0"/>
    <x v="10"/>
    <s v="Ecosystem Conservation &amp; Restoration"/>
    <s v="Legal Woods Program"/>
    <s v="Brazil"/>
    <d v="2016-06-01T00:00:00"/>
    <d v="2016-06-01T00:00:00"/>
    <s v="BRL"/>
    <n v="485000"/>
    <n v="485000"/>
    <s v="USD"/>
    <n v="139236"/>
    <n v="139236"/>
    <b v="1"/>
    <n v="1"/>
  </r>
  <r>
    <b v="1"/>
    <x v="0"/>
    <x v="0"/>
    <x v="2"/>
    <x v="0"/>
    <x v="1"/>
    <x v="36"/>
    <s v="BBG00HPK5N13"/>
    <x v="0"/>
    <s v="7d27df26e2924c4d9fcf8ba0c0d9d684"/>
    <s v="Klabin 2027"/>
    <x v="0"/>
    <x v="10"/>
    <s v="Ecosystem Conservation &amp; Restoration"/>
    <s v="Legal Woods Program"/>
    <s v="Brazil"/>
    <d v="2015-09-01T00:00:00"/>
    <d v="2015-09-01T00:00:00"/>
    <s v="BRL"/>
    <n v="455000"/>
    <n v="455000"/>
    <s v="USD"/>
    <n v="136281"/>
    <n v="136281"/>
    <b v="1"/>
    <n v="1"/>
  </r>
  <r>
    <b v="1"/>
    <x v="0"/>
    <x v="0"/>
    <x v="2"/>
    <x v="0"/>
    <x v="1"/>
    <x v="36"/>
    <s v="BBG00HPK5N13"/>
    <x v="0"/>
    <s v="7d27df26e2924c4d9fcf8ba0c0d9d684"/>
    <s v="Klabin 2027"/>
    <x v="1"/>
    <x v="11"/>
    <s v="Natural landscapes"/>
    <s v="Legal Woods Program"/>
    <s v="Brazil"/>
    <d v="2021-01-01T00:00:00"/>
    <d v="2021-01-01T00:00:00"/>
    <s v="BRL"/>
    <n v="442000"/>
    <n v="442000"/>
    <s v="USD"/>
    <n v="82000"/>
    <n v="82000"/>
    <b v="1"/>
    <n v="1"/>
  </r>
  <r>
    <b v="1"/>
    <x v="0"/>
    <x v="0"/>
    <x v="2"/>
    <x v="0"/>
    <x v="1"/>
    <x v="36"/>
    <s v="BBG00HPK5N13"/>
    <x v="0"/>
    <s v="7d27df26e2924c4d9fcf8ba0c0d9d684"/>
    <s v="Klabin 2027"/>
    <x v="1"/>
    <x v="11"/>
    <s v="Natural landscapes"/>
    <s v="Legal Woods Program"/>
    <s v="Brazil"/>
    <d v="2020-07-01T00:00:00"/>
    <d v="2020-07-01T00:00:00"/>
    <s v="BRL"/>
    <n v="488000"/>
    <n v="488000"/>
    <s v="USD"/>
    <n v="90000"/>
    <n v="90000"/>
    <b v="1"/>
    <n v="1"/>
  </r>
  <r>
    <b v="1"/>
    <x v="0"/>
    <x v="0"/>
    <x v="2"/>
    <x v="0"/>
    <x v="1"/>
    <x v="36"/>
    <s v="BBG00HPK5N13"/>
    <x v="0"/>
    <s v="7d27df26e2924c4d9fcf8ba0c0d9d684"/>
    <s v="Klabin 2027"/>
    <x v="1"/>
    <x v="11"/>
    <s v="Natural landscapes"/>
    <s v="Legal Woods Program"/>
    <s v="Brazil"/>
    <d v="2020-01-01T00:00:00"/>
    <d v="2020-01-01T00:00:00"/>
    <s v="BRL"/>
    <n v="170000"/>
    <n v="170000"/>
    <s v="USD"/>
    <n v="35000"/>
    <n v="35000"/>
    <b v="1"/>
    <n v="1"/>
  </r>
  <r>
    <b v="1"/>
    <x v="0"/>
    <x v="0"/>
    <x v="2"/>
    <x v="0"/>
    <x v="1"/>
    <x v="36"/>
    <s v="BBG00HPK5N13"/>
    <x v="0"/>
    <s v="7d27df26e2924c4d9fcf8ba0c0d9d684"/>
    <s v="Klabin 2027"/>
    <x v="1"/>
    <x v="11"/>
    <s v="Natural landscapes"/>
    <s v="Legal Woods Program"/>
    <s v="Brazil"/>
    <d v="2019-07-01T00:00:00"/>
    <d v="2019-07-01T00:00:00"/>
    <s v="BRL"/>
    <n v="423000"/>
    <n v="423000"/>
    <s v="USD"/>
    <n v="104000"/>
    <n v="104000"/>
    <b v="1"/>
    <n v="1"/>
  </r>
  <r>
    <b v="1"/>
    <x v="0"/>
    <x v="0"/>
    <x v="2"/>
    <x v="0"/>
    <x v="1"/>
    <x v="36"/>
    <s v="BBG00HPK5N13"/>
    <x v="0"/>
    <s v="7d27df26e2924c4d9fcf8ba0c0d9d684"/>
    <s v="Klabin 2027"/>
    <x v="1"/>
    <x v="11"/>
    <s v="Natural landscapes"/>
    <s v="Legal Woods Program"/>
    <s v="Brazil"/>
    <d v="2019-01-01T00:00:00"/>
    <d v="2019-01-01T00:00:00"/>
    <s v="BRL"/>
    <n v="56000"/>
    <n v="56000"/>
    <s v="USD"/>
    <n v="14560"/>
    <n v="14560"/>
    <b v="1"/>
    <n v="1"/>
  </r>
  <r>
    <b v="1"/>
    <x v="0"/>
    <x v="0"/>
    <x v="2"/>
    <x v="0"/>
    <x v="1"/>
    <x v="36"/>
    <s v="BBG00HPK5N13"/>
    <x v="0"/>
    <s v="7d27df26e2924c4d9fcf8ba0c0d9d684"/>
    <s v="Klabin 2027"/>
    <x v="1"/>
    <x v="11"/>
    <s v="Natural landscapes"/>
    <s v="Legal Woods Program"/>
    <s v="Brazil"/>
    <d v="2018-07-01T00:00:00"/>
    <d v="2018-07-01T00:00:00"/>
    <s v="BRL"/>
    <n v="7920"/>
    <n v="7920"/>
    <s v="USD"/>
    <n v="2040"/>
    <n v="2040"/>
    <b v="1"/>
    <n v="1"/>
  </r>
  <r>
    <b v="1"/>
    <x v="0"/>
    <x v="0"/>
    <x v="2"/>
    <x v="0"/>
    <x v="1"/>
    <x v="36"/>
    <s v="BBG00HPK5N13"/>
    <x v="0"/>
    <s v="7d27df26e2924c4d9fcf8ba0c0d9d684"/>
    <s v="Klabin 2027"/>
    <x v="1"/>
    <x v="11"/>
    <s v="Natural landscapes"/>
    <s v="Legal Woods Program"/>
    <s v="Brazil"/>
    <d v="2017-06-01T00:00:00"/>
    <d v="2017-06-01T00:00:00"/>
    <s v="BRL"/>
    <n v="485000"/>
    <n v="485000"/>
    <s v="USD"/>
    <n v="151919"/>
    <n v="151919"/>
    <b v="1"/>
    <n v="1"/>
  </r>
  <r>
    <b v="1"/>
    <x v="0"/>
    <x v="0"/>
    <x v="2"/>
    <x v="0"/>
    <x v="1"/>
    <x v="36"/>
    <s v="BBG00HPK5N13"/>
    <x v="0"/>
    <s v="7d27df26e2924c4d9fcf8ba0c0d9d684"/>
    <s v="Klabin 2027"/>
    <x v="1"/>
    <x v="11"/>
    <s v="Natural landscapes"/>
    <s v="Legal Woods Program"/>
    <s v="Brazil"/>
    <d v="2016-06-01T00:00:00"/>
    <d v="2016-06-01T00:00:00"/>
    <s v="BRL"/>
    <n v="485000"/>
    <n v="485000"/>
    <s v="USD"/>
    <n v="139236"/>
    <n v="139236"/>
    <b v="1"/>
    <n v="1"/>
  </r>
  <r>
    <b v="1"/>
    <x v="0"/>
    <x v="0"/>
    <x v="2"/>
    <x v="0"/>
    <x v="1"/>
    <x v="36"/>
    <s v="BBG00HPK5N13"/>
    <x v="0"/>
    <s v="7d27df26e2924c4d9fcf8ba0c0d9d684"/>
    <s v="Klabin 2027"/>
    <x v="1"/>
    <x v="11"/>
    <s v="Natural landscapes"/>
    <s v="Legal Woods Program"/>
    <s v="Brazil"/>
    <d v="2015-09-01T00:00:00"/>
    <d v="2015-09-01T00:00:00"/>
    <s v="BRL"/>
    <n v="455000"/>
    <n v="455000"/>
    <s v="USD"/>
    <n v="136281"/>
    <n v="136281"/>
    <b v="1"/>
    <n v="1"/>
  </r>
  <r>
    <b v="1"/>
    <x v="0"/>
    <x v="0"/>
    <x v="2"/>
    <x v="0"/>
    <x v="1"/>
    <x v="36"/>
    <s v="BBG00HPK5N13"/>
    <x v="0"/>
    <s v="7d27df26e2924c4d9fcf8ba0c0d9d684"/>
    <s v="Klabin 2027"/>
    <x v="0"/>
    <x v="7"/>
    <s v="Products &amp; Systems for Efficiency"/>
    <s v="Main CNCG and DNCG Gas Incineration System and Monte Alegre Plant Reserve"/>
    <s v="Brazil"/>
    <d v="2019-01-01T00:00:00"/>
    <d v="2019-01-01T00:00:00"/>
    <s v="BRL"/>
    <n v="8267690"/>
    <n v="8267690"/>
    <s v="USD"/>
    <n v="2149740"/>
    <n v="2149740"/>
    <b v="0"/>
    <n v="1"/>
  </r>
  <r>
    <b v="1"/>
    <x v="0"/>
    <x v="0"/>
    <x v="2"/>
    <x v="0"/>
    <x v="1"/>
    <x v="36"/>
    <s v="BBG00HPK5N13"/>
    <x v="0"/>
    <s v="7d27df26e2924c4d9fcf8ba0c0d9d684"/>
    <s v="Klabin 2027"/>
    <x v="1"/>
    <x v="12"/>
    <s v="Reduction of local emissions"/>
    <s v="Main CNCG and DNCG Gas Incineration System and Monte Alegre Plant Reserve"/>
    <s v="Brazil"/>
    <d v="2019-01-01T00:00:00"/>
    <d v="2019-01-01T00:00:00"/>
    <s v="BRL"/>
    <n v="8267690"/>
    <n v="8267690"/>
    <s v="USD"/>
    <n v="2149740"/>
    <n v="2149740"/>
    <b v="0"/>
    <n v="1"/>
  </r>
  <r>
    <b v="1"/>
    <x v="0"/>
    <x v="0"/>
    <x v="2"/>
    <x v="0"/>
    <x v="1"/>
    <x v="36"/>
    <s v="BBG00HPK5N13"/>
    <x v="0"/>
    <s v="7d27df26e2924c4d9fcf8ba0c0d9d684"/>
    <s v="Klabin 2027"/>
    <x v="0"/>
    <x v="9"/>
    <s v="Unspecified"/>
    <s v="Management Microplanning"/>
    <s v="Brazil"/>
    <d v="2021-01-01T00:00:00"/>
    <d v="2021-01-01T00:00:00"/>
    <s v="BRL"/>
    <n v="1661000"/>
    <n v="1661000"/>
    <s v="USD"/>
    <n v="308000"/>
    <n v="308000"/>
    <b v="0"/>
    <n v="1"/>
  </r>
  <r>
    <b v="1"/>
    <x v="0"/>
    <x v="0"/>
    <x v="2"/>
    <x v="0"/>
    <x v="1"/>
    <x v="36"/>
    <s v="BBG00HPK5N13"/>
    <x v="0"/>
    <s v="7d27df26e2924c4d9fcf8ba0c0d9d684"/>
    <s v="Klabin 2027"/>
    <x v="0"/>
    <x v="9"/>
    <s v="Unspecified"/>
    <s v="Management Microplanning"/>
    <s v="Brazil"/>
    <d v="2020-07-01T00:00:00"/>
    <d v="2020-07-01T00:00:00"/>
    <s v="BRL"/>
    <n v="1397000"/>
    <n v="1397000"/>
    <s v="USD"/>
    <n v="257000"/>
    <n v="257000"/>
    <b v="0"/>
    <n v="1"/>
  </r>
  <r>
    <b v="1"/>
    <x v="0"/>
    <x v="0"/>
    <x v="2"/>
    <x v="0"/>
    <x v="1"/>
    <x v="36"/>
    <s v="BBG00HPK5N13"/>
    <x v="0"/>
    <s v="7d27df26e2924c4d9fcf8ba0c0d9d684"/>
    <s v="Klabin 2027"/>
    <x v="0"/>
    <x v="9"/>
    <s v="Unspecified"/>
    <s v="Management Microplanning"/>
    <s v="Brazil"/>
    <d v="2020-01-01T00:00:00"/>
    <d v="2020-01-01T00:00:00"/>
    <s v="BRL"/>
    <n v="851000"/>
    <n v="851000"/>
    <s v="USD"/>
    <n v="173000"/>
    <n v="173000"/>
    <b v="0"/>
    <n v="1"/>
  </r>
  <r>
    <b v="1"/>
    <x v="0"/>
    <x v="0"/>
    <x v="2"/>
    <x v="0"/>
    <x v="1"/>
    <x v="36"/>
    <s v="BBG00HPK5N13"/>
    <x v="0"/>
    <s v="7d27df26e2924c4d9fcf8ba0c0d9d684"/>
    <s v="Klabin 2027"/>
    <x v="0"/>
    <x v="9"/>
    <s v="Unspecified"/>
    <s v="Management Microplanning"/>
    <s v="Brazil"/>
    <d v="2019-07-01T00:00:00"/>
    <d v="2019-07-01T00:00:00"/>
    <s v="BRL"/>
    <n v="2720000"/>
    <n v="2720000"/>
    <s v="USD"/>
    <n v="671000"/>
    <n v="671000"/>
    <b v="0"/>
    <n v="1"/>
  </r>
  <r>
    <b v="1"/>
    <x v="0"/>
    <x v="0"/>
    <x v="2"/>
    <x v="0"/>
    <x v="1"/>
    <x v="36"/>
    <s v="BBG00HPK5N13"/>
    <x v="0"/>
    <s v="7d27df26e2924c4d9fcf8ba0c0d9d684"/>
    <s v="Klabin 2027"/>
    <x v="1"/>
    <x v="17"/>
    <s v="Early warning systems"/>
    <s v="Management Microplanning"/>
    <s v="Brazil"/>
    <d v="2021-01-01T00:00:00"/>
    <d v="2021-01-01T00:00:00"/>
    <s v="BRL"/>
    <n v="1661000"/>
    <n v="1661000"/>
    <s v="USD"/>
    <n v="308000"/>
    <n v="308000"/>
    <b v="0"/>
    <n v="1"/>
  </r>
  <r>
    <b v="1"/>
    <x v="0"/>
    <x v="0"/>
    <x v="2"/>
    <x v="0"/>
    <x v="1"/>
    <x v="36"/>
    <s v="BBG00HPK5N13"/>
    <x v="0"/>
    <s v="7d27df26e2924c4d9fcf8ba0c0d9d684"/>
    <s v="Klabin 2027"/>
    <x v="1"/>
    <x v="17"/>
    <s v="Early warning systems"/>
    <s v="Management Microplanning"/>
    <s v="Brazil"/>
    <d v="2020-07-01T00:00:00"/>
    <d v="2020-07-01T00:00:00"/>
    <s v="BRL"/>
    <n v="1397000"/>
    <n v="1397000"/>
    <s v="USD"/>
    <n v="257000"/>
    <n v="257000"/>
    <b v="0"/>
    <n v="1"/>
  </r>
  <r>
    <b v="1"/>
    <x v="0"/>
    <x v="0"/>
    <x v="2"/>
    <x v="0"/>
    <x v="1"/>
    <x v="36"/>
    <s v="BBG00HPK5N13"/>
    <x v="0"/>
    <s v="7d27df26e2924c4d9fcf8ba0c0d9d684"/>
    <s v="Klabin 2027"/>
    <x v="1"/>
    <x v="17"/>
    <s v="Early warning systems"/>
    <s v="Management Microplanning"/>
    <s v="Brazil"/>
    <d v="2020-01-01T00:00:00"/>
    <d v="2020-01-01T00:00:00"/>
    <s v="BRL"/>
    <n v="851000"/>
    <n v="851000"/>
    <s v="USD"/>
    <n v="173000"/>
    <n v="173000"/>
    <b v="0"/>
    <n v="1"/>
  </r>
  <r>
    <b v="1"/>
    <x v="0"/>
    <x v="0"/>
    <x v="2"/>
    <x v="0"/>
    <x v="1"/>
    <x v="36"/>
    <s v="BBG00HPK5N13"/>
    <x v="0"/>
    <s v="7d27df26e2924c4d9fcf8ba0c0d9d684"/>
    <s v="Klabin 2027"/>
    <x v="1"/>
    <x v="17"/>
    <s v="Early warning systems"/>
    <s v="Management Microplanning"/>
    <s v="Brazil"/>
    <d v="2019-07-01T00:00:00"/>
    <d v="2019-07-01T00:00:00"/>
    <s v="BRL"/>
    <n v="2720000"/>
    <n v="2720000"/>
    <s v="USD"/>
    <n v="671000"/>
    <n v="671000"/>
    <b v="0"/>
    <n v="1"/>
  </r>
  <r>
    <b v="1"/>
    <x v="0"/>
    <x v="0"/>
    <x v="2"/>
    <x v="0"/>
    <x v="1"/>
    <x v="36"/>
    <s v="BBG00HPK5N13"/>
    <x v="0"/>
    <s v="7d27df26e2924c4d9fcf8ba0c0d9d684"/>
    <s v="Klabin 2027"/>
    <x v="0"/>
    <x v="10"/>
    <s v="Ecosystem Conservation &amp; Restoration"/>
    <s v="Matas Legais Seedlings"/>
    <s v="Brazil"/>
    <d v="2019-07-01T00:00:00"/>
    <d v="2019-07-01T00:00:00"/>
    <s v="BRL"/>
    <n v="7000"/>
    <n v="7000"/>
    <s v="USD"/>
    <n v="2000"/>
    <n v="2000"/>
    <b v="0"/>
    <n v="1"/>
  </r>
  <r>
    <b v="1"/>
    <x v="0"/>
    <x v="0"/>
    <x v="2"/>
    <x v="0"/>
    <x v="1"/>
    <x v="36"/>
    <s v="BBG00HPK5N13"/>
    <x v="0"/>
    <s v="7d27df26e2924c4d9fcf8ba0c0d9d684"/>
    <s v="Klabin 2027"/>
    <x v="1"/>
    <x v="11"/>
    <s v="Natural landscapes"/>
    <s v="Matas Legais Seedlings"/>
    <s v="Brazil"/>
    <d v="2019-07-01T00:00:00"/>
    <d v="2019-07-01T00:00:00"/>
    <s v="BRL"/>
    <n v="7000"/>
    <n v="7000"/>
    <s v="USD"/>
    <n v="2000"/>
    <n v="2000"/>
    <b v="0"/>
    <n v="1"/>
  </r>
  <r>
    <b v="1"/>
    <x v="0"/>
    <x v="0"/>
    <x v="2"/>
    <x v="0"/>
    <x v="1"/>
    <x v="36"/>
    <s v="BBG00HPK5N13"/>
    <x v="0"/>
    <s v="7d27df26e2924c4d9fcf8ba0c0d9d684"/>
    <s v="Klabin 2027"/>
    <x v="0"/>
    <x v="9"/>
    <s v="Unspecified"/>
    <s v="MR2 Resin application system upgrade"/>
    <s v="Brazil"/>
    <d v="2021-01-01T00:00:00"/>
    <d v="2021-01-01T00:00:00"/>
    <s v="BRL"/>
    <n v="5353000"/>
    <n v="5353000"/>
    <s v="USD"/>
    <n v="993000"/>
    <n v="993000"/>
    <b v="0"/>
    <n v="1"/>
  </r>
  <r>
    <b v="1"/>
    <x v="0"/>
    <x v="0"/>
    <x v="2"/>
    <x v="0"/>
    <x v="1"/>
    <x v="36"/>
    <s v="BBG00HPK5N13"/>
    <x v="0"/>
    <s v="7d27df26e2924c4d9fcf8ba0c0d9d684"/>
    <s v="Klabin 2027"/>
    <x v="0"/>
    <x v="9"/>
    <s v="Unspecified"/>
    <s v="MR2 Resin application system upgrade"/>
    <s v="Brazil"/>
    <d v="2020-07-01T00:00:00"/>
    <d v="2020-07-01T00:00:00"/>
    <s v="BRL"/>
    <n v="3438000"/>
    <n v="3438000"/>
    <s v="USD"/>
    <n v="632000"/>
    <n v="632000"/>
    <b v="0"/>
    <n v="1"/>
  </r>
  <r>
    <b v="1"/>
    <x v="0"/>
    <x v="0"/>
    <x v="2"/>
    <x v="0"/>
    <x v="1"/>
    <x v="36"/>
    <s v="BBG00HPK5N13"/>
    <x v="0"/>
    <s v="7d27df26e2924c4d9fcf8ba0c0d9d684"/>
    <s v="Klabin 2027"/>
    <x v="1"/>
    <x v="16"/>
    <s v="Packaging"/>
    <s v="MR2 Resin application system upgrade"/>
    <s v="Brazil"/>
    <d v="2021-01-01T00:00:00"/>
    <d v="2021-01-01T00:00:00"/>
    <s v="BRL"/>
    <n v="5353000"/>
    <n v="5353000"/>
    <s v="USD"/>
    <n v="993000"/>
    <n v="993000"/>
    <b v="0"/>
    <n v="1"/>
  </r>
  <r>
    <b v="1"/>
    <x v="0"/>
    <x v="0"/>
    <x v="2"/>
    <x v="0"/>
    <x v="1"/>
    <x v="36"/>
    <s v="BBG00HPK5N13"/>
    <x v="0"/>
    <s v="7d27df26e2924c4d9fcf8ba0c0d9d684"/>
    <s v="Klabin 2027"/>
    <x v="1"/>
    <x v="16"/>
    <s v="Packaging"/>
    <s v="MR2 Resin application system upgrade"/>
    <s v="Brazil"/>
    <d v="2020-07-01T00:00:00"/>
    <d v="2020-07-01T00:00:00"/>
    <s v="BRL"/>
    <n v="3438000"/>
    <n v="3438000"/>
    <s v="USD"/>
    <n v="632000"/>
    <n v="632000"/>
    <b v="0"/>
    <n v="1"/>
  </r>
  <r>
    <b v="1"/>
    <x v="0"/>
    <x v="0"/>
    <x v="2"/>
    <x v="0"/>
    <x v="1"/>
    <x v="36"/>
    <s v="BBG00HPK5N13"/>
    <x v="0"/>
    <s v="7d27df26e2924c4d9fcf8ba0c0d9d684"/>
    <s v="Klabin 2027"/>
    <x v="0"/>
    <x v="7"/>
    <s v="Products &amp; Systems for Efficiency"/>
    <s v="Noise Reduction"/>
    <s v="Brazil"/>
    <d v="2019-07-01T00:00:00"/>
    <d v="2019-07-01T00:00:00"/>
    <s v="BRL"/>
    <n v="43000"/>
    <n v="43000"/>
    <s v="USD"/>
    <n v="11000"/>
    <n v="11000"/>
    <b v="0"/>
    <n v="1"/>
  </r>
  <r>
    <b v="1"/>
    <x v="0"/>
    <x v="0"/>
    <x v="2"/>
    <x v="0"/>
    <x v="1"/>
    <x v="36"/>
    <s v="BBG00HPK5N13"/>
    <x v="0"/>
    <s v="7d27df26e2924c4d9fcf8ba0c0d9d684"/>
    <s v="Klabin 2027"/>
    <x v="0"/>
    <x v="7"/>
    <s v="Products &amp; Systems for Efficiency"/>
    <s v="Noise Reduction"/>
    <s v="Brazil"/>
    <d v="2019-01-01T00:00:00"/>
    <d v="2019-01-01T00:00:00"/>
    <s v="BRL"/>
    <n v="502070"/>
    <n v="502070"/>
    <s v="USD"/>
    <n v="130540"/>
    <n v="130540"/>
    <b v="0"/>
    <n v="1"/>
  </r>
  <r>
    <b v="1"/>
    <x v="0"/>
    <x v="0"/>
    <x v="2"/>
    <x v="0"/>
    <x v="1"/>
    <x v="36"/>
    <s v="BBG00HPK5N13"/>
    <x v="0"/>
    <s v="7d27df26e2924c4d9fcf8ba0c0d9d684"/>
    <s v="Klabin 2027"/>
    <x v="0"/>
    <x v="7"/>
    <s v="Products &amp; Systems for Efficiency"/>
    <s v="Noise Reduction"/>
    <s v="Brazil"/>
    <d v="2018-07-01T00:00:00"/>
    <d v="2018-07-01T00:00:00"/>
    <s v="BRL"/>
    <n v="156370"/>
    <n v="156370"/>
    <s v="USD"/>
    <n v="40290"/>
    <n v="40290"/>
    <b v="0"/>
    <n v="1"/>
  </r>
  <r>
    <b v="1"/>
    <x v="0"/>
    <x v="0"/>
    <x v="2"/>
    <x v="0"/>
    <x v="1"/>
    <x v="37"/>
    <s v="BBG00NQJNB18"/>
    <x v="0"/>
    <s v="72b244fd46b444aba44095c0ca650e2f"/>
    <s v="Klabin 2049"/>
    <x v="0"/>
    <x v="7"/>
    <s v="Products &amp; Systems for Efficiency"/>
    <s v="Noise Reduction"/>
    <s v="Brazil"/>
    <d v="2021-01-02T00:00:00"/>
    <d v="2021-01-02T00:00:00"/>
    <s v="BRL"/>
    <n v="181000"/>
    <n v="181000"/>
    <s v="USD"/>
    <n v="34000"/>
    <n v="34000"/>
    <b v="0"/>
    <n v="1"/>
  </r>
  <r>
    <b v="1"/>
    <x v="0"/>
    <x v="0"/>
    <x v="2"/>
    <x v="0"/>
    <x v="1"/>
    <x v="37"/>
    <s v="BBG00NQJNB18"/>
    <x v="0"/>
    <s v="72b244fd46b444aba44095c0ca650e2f"/>
    <s v="Klabin 2049"/>
    <x v="0"/>
    <x v="7"/>
    <s v="Products &amp; Systems for Efficiency"/>
    <s v="Noise Reduction"/>
    <s v="Brazil"/>
    <d v="2020-07-01T00:00:00"/>
    <d v="2020-07-01T00:00:00"/>
    <s v="BRL"/>
    <n v="557000"/>
    <n v="557000"/>
    <s v="USD"/>
    <n v="102000"/>
    <n v="102000"/>
    <b v="0"/>
    <n v="1"/>
  </r>
  <r>
    <b v="1"/>
    <x v="0"/>
    <x v="0"/>
    <x v="2"/>
    <x v="0"/>
    <x v="1"/>
    <x v="36"/>
    <s v="BBG00HPK5N13"/>
    <x v="0"/>
    <s v="7d27df26e2924c4d9fcf8ba0c0d9d684"/>
    <s v="Klabin 2027"/>
    <x v="1"/>
    <x v="12"/>
    <s v="Reduction of local emissions"/>
    <s v="Noise Reduction"/>
    <s v="Brazil"/>
    <d v="2019-07-01T00:00:00"/>
    <d v="2019-07-01T00:00:00"/>
    <s v="BRL"/>
    <n v="43000"/>
    <n v="43000"/>
    <s v="USD"/>
    <n v="11000"/>
    <n v="11000"/>
    <b v="0"/>
    <n v="1"/>
  </r>
  <r>
    <b v="1"/>
    <x v="0"/>
    <x v="0"/>
    <x v="2"/>
    <x v="0"/>
    <x v="1"/>
    <x v="36"/>
    <s v="BBG00HPK5N13"/>
    <x v="0"/>
    <s v="7d27df26e2924c4d9fcf8ba0c0d9d684"/>
    <s v="Klabin 2027"/>
    <x v="1"/>
    <x v="12"/>
    <s v="Reduction of local emissions"/>
    <s v="Noise Reduction"/>
    <s v="Brazil"/>
    <d v="2019-01-01T00:00:00"/>
    <d v="2019-01-01T00:00:00"/>
    <s v="BRL"/>
    <n v="502070"/>
    <n v="502070"/>
    <s v="USD"/>
    <n v="130540"/>
    <n v="130540"/>
    <b v="0"/>
    <n v="1"/>
  </r>
  <r>
    <b v="1"/>
    <x v="0"/>
    <x v="0"/>
    <x v="2"/>
    <x v="0"/>
    <x v="1"/>
    <x v="36"/>
    <s v="BBG00HPK5N13"/>
    <x v="0"/>
    <s v="7d27df26e2924c4d9fcf8ba0c0d9d684"/>
    <s v="Klabin 2027"/>
    <x v="1"/>
    <x v="12"/>
    <s v="Reduction of local emissions"/>
    <s v="Noise Reduction"/>
    <s v="Brazil"/>
    <d v="2018-07-01T00:00:00"/>
    <d v="2018-07-01T00:00:00"/>
    <s v="BRL"/>
    <n v="156370"/>
    <n v="156370"/>
    <s v="USD"/>
    <n v="40290"/>
    <n v="40290"/>
    <b v="0"/>
    <n v="1"/>
  </r>
  <r>
    <b v="1"/>
    <x v="0"/>
    <x v="0"/>
    <x v="2"/>
    <x v="0"/>
    <x v="1"/>
    <x v="37"/>
    <s v="BBG00NQJNB18"/>
    <x v="0"/>
    <s v="72b244fd46b444aba44095c0ca650e2f"/>
    <s v="Klabin 2049"/>
    <x v="1"/>
    <x v="12"/>
    <s v="Reduction of local emissions"/>
    <s v="Noise Reduction"/>
    <s v="Brazil"/>
    <d v="2021-01-02T00:00:00"/>
    <d v="2021-01-02T00:00:00"/>
    <s v="BRL"/>
    <n v="181000"/>
    <n v="181000"/>
    <s v="USD"/>
    <n v="34000"/>
    <n v="34000"/>
    <b v="0"/>
    <n v="1"/>
  </r>
  <r>
    <b v="1"/>
    <x v="0"/>
    <x v="0"/>
    <x v="2"/>
    <x v="0"/>
    <x v="1"/>
    <x v="37"/>
    <s v="BBG00NQJNB18"/>
    <x v="0"/>
    <s v="72b244fd46b444aba44095c0ca650e2f"/>
    <s v="Klabin 2049"/>
    <x v="1"/>
    <x v="12"/>
    <s v="Reduction of local emissions"/>
    <s v="Noise Reduction"/>
    <s v="Brazil"/>
    <d v="2020-07-01T00:00:00"/>
    <d v="2020-07-01T00:00:00"/>
    <s v="BRL"/>
    <n v="557000"/>
    <n v="557000"/>
    <s v="USD"/>
    <n v="102000"/>
    <n v="102000"/>
    <b v="0"/>
    <n v="1"/>
  </r>
  <r>
    <b v="1"/>
    <x v="0"/>
    <x v="0"/>
    <x v="2"/>
    <x v="0"/>
    <x v="1"/>
    <x v="36"/>
    <s v="BBG00HPK5N13"/>
    <x v="0"/>
    <s v="7d27df26e2924c4d9fcf8ba0c0d9d684"/>
    <s v="Klabin 2027"/>
    <x v="0"/>
    <x v="0"/>
    <s v="Bioenergy"/>
    <s v="Oil-fired boiler replacement"/>
    <s v="Brazil"/>
    <d v="2021-01-01T00:00:00"/>
    <d v="2021-01-01T00:00:00"/>
    <s v="BRL"/>
    <n v="171000"/>
    <n v="171000"/>
    <s v="USD"/>
    <n v="32000"/>
    <n v="32000"/>
    <b v="0"/>
    <n v="1"/>
  </r>
  <r>
    <b v="1"/>
    <x v="0"/>
    <x v="0"/>
    <x v="2"/>
    <x v="0"/>
    <x v="1"/>
    <x v="36"/>
    <s v="BBG00HPK5N13"/>
    <x v="0"/>
    <s v="7d27df26e2924c4d9fcf8ba0c0d9d684"/>
    <s v="Klabin 2027"/>
    <x v="0"/>
    <x v="0"/>
    <s v="Bioenergy"/>
    <s v="Oil-fired boiler replacement"/>
    <s v="Brazil"/>
    <d v="2020-07-01T00:00:00"/>
    <d v="2020-07-01T00:00:00"/>
    <s v="BRL"/>
    <n v="218000"/>
    <n v="218000"/>
    <s v="USD"/>
    <n v="40000"/>
    <n v="40000"/>
    <b v="0"/>
    <n v="1"/>
  </r>
  <r>
    <b v="1"/>
    <x v="0"/>
    <x v="0"/>
    <x v="2"/>
    <x v="0"/>
    <x v="1"/>
    <x v="36"/>
    <s v="BBG00HPK5N13"/>
    <x v="0"/>
    <s v="7d27df26e2924c4d9fcf8ba0c0d9d684"/>
    <s v="Klabin 2027"/>
    <x v="1"/>
    <x v="4"/>
    <s v="Appliances"/>
    <s v="Oil-fired boiler replacement"/>
    <s v="Brazil"/>
    <d v="2021-01-01T00:00:00"/>
    <d v="2021-01-01T00:00:00"/>
    <s v="BRL"/>
    <n v="171000"/>
    <n v="171000"/>
    <s v="USD"/>
    <n v="32000"/>
    <n v="32000"/>
    <b v="0"/>
    <n v="1"/>
  </r>
  <r>
    <b v="1"/>
    <x v="0"/>
    <x v="0"/>
    <x v="2"/>
    <x v="0"/>
    <x v="1"/>
    <x v="36"/>
    <s v="BBG00HPK5N13"/>
    <x v="0"/>
    <s v="7d27df26e2924c4d9fcf8ba0c0d9d684"/>
    <s v="Klabin 2027"/>
    <x v="1"/>
    <x v="4"/>
    <s v="Appliances"/>
    <s v="Oil-fired boiler replacement"/>
    <s v="Brazil"/>
    <d v="2020-07-01T00:00:00"/>
    <d v="2020-07-01T00:00:00"/>
    <s v="BRL"/>
    <n v="218000"/>
    <n v="218000"/>
    <s v="USD"/>
    <n v="40000"/>
    <n v="40000"/>
    <b v="0"/>
    <n v="1"/>
  </r>
  <r>
    <b v="1"/>
    <x v="0"/>
    <x v="0"/>
    <x v="2"/>
    <x v="0"/>
    <x v="1"/>
    <x v="36"/>
    <s v="BBG00HPK5N13"/>
    <x v="0"/>
    <s v="7d27df26e2924c4d9fcf8ba0c0d9d684"/>
    <s v="Klabin 2027"/>
    <x v="0"/>
    <x v="0"/>
    <s v="Solar"/>
    <s v="Photovoltaic Generations and Load Station"/>
    <s v="Brazil"/>
    <d v="2018-01-01T00:00:00"/>
    <d v="2018-01-01T00:00:00"/>
    <s v="BRL"/>
    <n v="136000"/>
    <n v="136000"/>
    <s v="USD"/>
    <n v="39681"/>
    <n v="39681"/>
    <b v="1"/>
    <n v="1"/>
  </r>
  <r>
    <b v="1"/>
    <x v="0"/>
    <x v="0"/>
    <x v="2"/>
    <x v="0"/>
    <x v="1"/>
    <x v="36"/>
    <s v="BBG00HPK5N13"/>
    <x v="0"/>
    <s v="7d27df26e2924c4d9fcf8ba0c0d9d684"/>
    <s v="Klabin 2027"/>
    <x v="1"/>
    <x v="1"/>
    <s v="Appliances"/>
    <s v="Photovoltaic Generations and Load Station"/>
    <s v="Brazil"/>
    <d v="2018-01-01T00:00:00"/>
    <d v="2018-01-01T00:00:00"/>
    <s v="BRL"/>
    <n v="136000"/>
    <n v="136000"/>
    <s v="USD"/>
    <n v="39681"/>
    <n v="39681"/>
    <b v="1"/>
    <n v="1"/>
  </r>
  <r>
    <b v="1"/>
    <x v="0"/>
    <x v="0"/>
    <x v="2"/>
    <x v="0"/>
    <x v="1"/>
    <x v="37"/>
    <s v="BBG00NQJNB18"/>
    <x v="0"/>
    <s v="72b244fd46b444aba44095c0ca650e2f"/>
    <s v="Klabin 2049"/>
    <x v="0"/>
    <x v="9"/>
    <s v="Unspecified"/>
    <s v="Pneumatic bale transport"/>
    <s v="Brazil"/>
    <d v="2021-01-03T00:00:00"/>
    <d v="2021-01-03T00:00:00"/>
    <s v="BRL"/>
    <n v="115000"/>
    <n v="115000"/>
    <s v="USD"/>
    <n v="21000"/>
    <n v="21000"/>
    <b v="0"/>
    <n v="1"/>
  </r>
  <r>
    <b v="1"/>
    <x v="0"/>
    <x v="0"/>
    <x v="2"/>
    <x v="0"/>
    <x v="1"/>
    <x v="37"/>
    <s v="BBG00NQJNB18"/>
    <x v="0"/>
    <s v="72b244fd46b444aba44095c0ca650e2f"/>
    <s v="Klabin 2049"/>
    <x v="0"/>
    <x v="9"/>
    <s v="Unspecified"/>
    <s v="Pneumatic bale transport"/>
    <s v="Brazil"/>
    <d v="2020-07-01T00:00:00"/>
    <d v="2020-07-01T00:00:00"/>
    <s v="BRL"/>
    <n v="737000"/>
    <n v="737000"/>
    <s v="USD"/>
    <n v="136000"/>
    <n v="136000"/>
    <b v="0"/>
    <n v="1"/>
  </r>
  <r>
    <b v="1"/>
    <x v="0"/>
    <x v="0"/>
    <x v="2"/>
    <x v="0"/>
    <x v="1"/>
    <x v="37"/>
    <s v="BBG00NQJNB18"/>
    <x v="0"/>
    <s v="72b244fd46b444aba44095c0ca650e2f"/>
    <s v="Klabin 2049"/>
    <x v="1"/>
    <x v="16"/>
    <s v="Packaging"/>
    <s v="Pneumatic bale transport"/>
    <s v="Brazil"/>
    <d v="2021-01-03T00:00:00"/>
    <d v="2021-01-03T00:00:00"/>
    <s v="BRL"/>
    <n v="115000"/>
    <n v="115000"/>
    <s v="USD"/>
    <n v="21000"/>
    <n v="21000"/>
    <b v="0"/>
    <n v="1"/>
  </r>
  <r>
    <b v="1"/>
    <x v="0"/>
    <x v="0"/>
    <x v="2"/>
    <x v="0"/>
    <x v="1"/>
    <x v="37"/>
    <s v="BBG00NQJNB18"/>
    <x v="0"/>
    <s v="72b244fd46b444aba44095c0ca650e2f"/>
    <s v="Klabin 2049"/>
    <x v="1"/>
    <x v="16"/>
    <s v="Packaging"/>
    <s v="Pneumatic bale transport"/>
    <s v="Brazil"/>
    <d v="2020-07-01T00:00:00"/>
    <d v="2020-07-01T00:00:00"/>
    <s v="BRL"/>
    <n v="737000"/>
    <n v="737000"/>
    <s v="USD"/>
    <n v="136000"/>
    <n v="136000"/>
    <b v="0"/>
    <n v="1"/>
  </r>
  <r>
    <b v="1"/>
    <x v="0"/>
    <x v="0"/>
    <x v="2"/>
    <x v="0"/>
    <x v="1"/>
    <x v="36"/>
    <s v="BBG00HPK5N13"/>
    <x v="0"/>
    <s v="7d27df26e2924c4d9fcf8ba0c0d9d684"/>
    <s v="Klabin 2027"/>
    <x v="0"/>
    <x v="7"/>
    <s v="Products &amp; Systems for Efficiency"/>
    <s v="Power generation from renewable energy sources"/>
    <s v="Brazil"/>
    <d v="2018-01-01T00:00:00"/>
    <d v="2018-01-01T00:00:00"/>
    <s v="BRL"/>
    <n v="2892076"/>
    <n v="2892076"/>
    <s v="USD"/>
    <n v="843811"/>
    <n v="843811"/>
    <b v="1"/>
    <n v="1"/>
  </r>
  <r>
    <b v="1"/>
    <x v="0"/>
    <x v="0"/>
    <x v="2"/>
    <x v="0"/>
    <x v="1"/>
    <x v="36"/>
    <s v="BBG00HPK5N13"/>
    <x v="0"/>
    <s v="7d27df26e2924c4d9fcf8ba0c0d9d684"/>
    <s v="Klabin 2027"/>
    <x v="0"/>
    <x v="7"/>
    <s v="Products &amp; Systems for Efficiency"/>
    <s v="Power generation from renewable energy sources"/>
    <s v="Brazil"/>
    <d v="2017-06-01T00:00:00"/>
    <d v="2017-06-01T00:00:00"/>
    <s v="BRL"/>
    <n v="2062700"/>
    <n v="2062700"/>
    <s v="USD"/>
    <n v="646109"/>
    <n v="646109"/>
    <b v="1"/>
    <n v="1"/>
  </r>
  <r>
    <b v="1"/>
    <x v="0"/>
    <x v="0"/>
    <x v="2"/>
    <x v="0"/>
    <x v="1"/>
    <x v="36"/>
    <s v="BBG00HPK5N13"/>
    <x v="0"/>
    <s v="7d27df26e2924c4d9fcf8ba0c0d9d684"/>
    <s v="Klabin 2027"/>
    <x v="0"/>
    <x v="7"/>
    <s v="Products &amp; Systems for Efficiency"/>
    <s v="Power generation from renewable energy sources"/>
    <s v="Brazil"/>
    <d v="2016-06-01T00:00:00"/>
    <d v="2016-06-01T00:00:00"/>
    <s v="BRL"/>
    <n v="45672014"/>
    <n v="45672014"/>
    <s v="USD"/>
    <n v="13111709"/>
    <n v="13111709"/>
    <b v="1"/>
    <n v="1"/>
  </r>
  <r>
    <b v="1"/>
    <x v="0"/>
    <x v="0"/>
    <x v="2"/>
    <x v="0"/>
    <x v="1"/>
    <x v="36"/>
    <s v="BBG00HPK5N13"/>
    <x v="0"/>
    <s v="7d27df26e2924c4d9fcf8ba0c0d9d684"/>
    <s v="Klabin 2027"/>
    <x v="0"/>
    <x v="7"/>
    <s v="Products &amp; Systems for Efficiency"/>
    <s v="Power generation from renewable energy sources"/>
    <s v="Brazil"/>
    <d v="2015-09-01T00:00:00"/>
    <d v="2015-09-01T00:00:00"/>
    <s v="BRL"/>
    <n v="49459442"/>
    <n v="49459442"/>
    <s v="USD"/>
    <n v="14813982"/>
    <n v="14813982"/>
    <b v="1"/>
    <n v="1"/>
  </r>
  <r>
    <b v="1"/>
    <x v="0"/>
    <x v="0"/>
    <x v="2"/>
    <x v="0"/>
    <x v="1"/>
    <x v="36"/>
    <s v="BBG00HPK5N13"/>
    <x v="0"/>
    <s v="7d27df26e2924c4d9fcf8ba0c0d9d684"/>
    <s v="Klabin 2027"/>
    <x v="1"/>
    <x v="4"/>
    <s v="Appliances"/>
    <s v="Power generation from renewable energy sources"/>
    <s v="Brazil"/>
    <d v="2018-01-01T00:00:00"/>
    <d v="2018-01-01T00:00:00"/>
    <s v="BRL"/>
    <n v="2892076"/>
    <n v="2892076"/>
    <s v="USD"/>
    <n v="843811"/>
    <n v="843811"/>
    <b v="1"/>
    <n v="1"/>
  </r>
  <r>
    <b v="1"/>
    <x v="0"/>
    <x v="0"/>
    <x v="2"/>
    <x v="0"/>
    <x v="1"/>
    <x v="36"/>
    <s v="BBG00HPK5N13"/>
    <x v="0"/>
    <s v="7d27df26e2924c4d9fcf8ba0c0d9d684"/>
    <s v="Klabin 2027"/>
    <x v="1"/>
    <x v="4"/>
    <s v="Appliances"/>
    <s v="Power generation from renewable energy sources"/>
    <s v="Brazil"/>
    <d v="2017-06-01T00:00:00"/>
    <d v="2017-06-01T00:00:00"/>
    <s v="BRL"/>
    <n v="2062700"/>
    <n v="2062700"/>
    <s v="USD"/>
    <n v="646109"/>
    <n v="646109"/>
    <b v="1"/>
    <n v="1"/>
  </r>
  <r>
    <b v="1"/>
    <x v="0"/>
    <x v="0"/>
    <x v="2"/>
    <x v="0"/>
    <x v="1"/>
    <x v="36"/>
    <s v="BBG00HPK5N13"/>
    <x v="0"/>
    <s v="7d27df26e2924c4d9fcf8ba0c0d9d684"/>
    <s v="Klabin 2027"/>
    <x v="1"/>
    <x v="4"/>
    <s v="Appliances"/>
    <s v="Power generation from renewable energy sources"/>
    <s v="Brazil"/>
    <d v="2016-06-01T00:00:00"/>
    <d v="2016-06-01T00:00:00"/>
    <s v="BRL"/>
    <n v="45672014"/>
    <n v="45672014"/>
    <s v="USD"/>
    <n v="13111709"/>
    <n v="13111709"/>
    <b v="1"/>
    <n v="1"/>
  </r>
  <r>
    <b v="1"/>
    <x v="0"/>
    <x v="0"/>
    <x v="2"/>
    <x v="0"/>
    <x v="1"/>
    <x v="36"/>
    <s v="BBG00HPK5N13"/>
    <x v="0"/>
    <s v="7d27df26e2924c4d9fcf8ba0c0d9d684"/>
    <s v="Klabin 2027"/>
    <x v="1"/>
    <x v="4"/>
    <s v="Appliances"/>
    <s v="Power generation from renewable energy sources"/>
    <s v="Brazil"/>
    <d v="2015-09-01T00:00:00"/>
    <d v="2015-09-01T00:00:00"/>
    <s v="BRL"/>
    <n v="49459442"/>
    <n v="49459442"/>
    <s v="USD"/>
    <n v="14813982"/>
    <n v="14813982"/>
    <b v="1"/>
    <n v="1"/>
  </r>
  <r>
    <b v="1"/>
    <x v="0"/>
    <x v="0"/>
    <x v="2"/>
    <x v="0"/>
    <x v="1"/>
    <x v="36"/>
    <s v="BBG00HPK5N13"/>
    <x v="0"/>
    <s v="7d27df26e2924c4d9fcf8ba0c0d9d684"/>
    <s v="Klabin 2027"/>
    <x v="0"/>
    <x v="10"/>
    <s v="Commercial Forestry"/>
    <s v="Producers Certification"/>
    <s v="Brazil"/>
    <d v="2021-01-01T00:00:00"/>
    <d v="2021-01-01T00:00:00"/>
    <s v="BRL"/>
    <n v="1836000"/>
    <n v="1836000"/>
    <s v="USD"/>
    <n v="341000"/>
    <n v="341000"/>
    <b v="0"/>
    <n v="1"/>
  </r>
  <r>
    <b v="1"/>
    <x v="0"/>
    <x v="0"/>
    <x v="2"/>
    <x v="0"/>
    <x v="1"/>
    <x v="36"/>
    <s v="BBG00HPK5N13"/>
    <x v="0"/>
    <s v="7d27df26e2924c4d9fcf8ba0c0d9d684"/>
    <s v="Klabin 2027"/>
    <x v="0"/>
    <x v="10"/>
    <s v="Commercial Forestry"/>
    <s v="Producers Certification"/>
    <s v="Brazil"/>
    <d v="2020-07-01T00:00:00"/>
    <d v="2020-07-01T00:00:00"/>
    <s v="BRL"/>
    <n v="2358000"/>
    <n v="2358000"/>
    <s v="USD"/>
    <n v="434000"/>
    <n v="434000"/>
    <b v="0"/>
    <n v="1"/>
  </r>
  <r>
    <b v="1"/>
    <x v="0"/>
    <x v="0"/>
    <x v="2"/>
    <x v="0"/>
    <x v="1"/>
    <x v="36"/>
    <s v="BBG00HPK5N13"/>
    <x v="0"/>
    <s v="7d27df26e2924c4d9fcf8ba0c0d9d684"/>
    <s v="Klabin 2027"/>
    <x v="0"/>
    <x v="10"/>
    <s v="Commercial Forestry"/>
    <s v="Producers Certification"/>
    <s v="Brazil"/>
    <d v="2020-01-01T00:00:00"/>
    <d v="2020-01-01T00:00:00"/>
    <s v="BRL"/>
    <n v="1315000"/>
    <n v="1315000"/>
    <s v="USD"/>
    <n v="267000"/>
    <n v="267000"/>
    <b v="0"/>
    <n v="1"/>
  </r>
  <r>
    <b v="1"/>
    <x v="0"/>
    <x v="0"/>
    <x v="2"/>
    <x v="0"/>
    <x v="1"/>
    <x v="36"/>
    <s v="BBG00HPK5N13"/>
    <x v="0"/>
    <s v="7d27df26e2924c4d9fcf8ba0c0d9d684"/>
    <s v="Klabin 2027"/>
    <x v="0"/>
    <x v="10"/>
    <s v="Commercial Forestry"/>
    <s v="Producers Certification"/>
    <s v="Brazil"/>
    <d v="2019-07-01T00:00:00"/>
    <d v="2019-07-01T00:00:00"/>
    <s v="BRL"/>
    <n v="1667000"/>
    <n v="1667000"/>
    <s v="USD"/>
    <n v="411000"/>
    <n v="411000"/>
    <b v="0"/>
    <n v="1"/>
  </r>
  <r>
    <b v="1"/>
    <x v="0"/>
    <x v="0"/>
    <x v="2"/>
    <x v="0"/>
    <x v="1"/>
    <x v="36"/>
    <s v="BBG00HPK5N13"/>
    <x v="0"/>
    <s v="7d27df26e2924c4d9fcf8ba0c0d9d684"/>
    <s v="Klabin 2027"/>
    <x v="1"/>
    <x v="11"/>
    <s v="Forestry"/>
    <s v="Producers Certification"/>
    <s v="Brazil"/>
    <d v="2021-01-01T00:00:00"/>
    <d v="2021-01-01T00:00:00"/>
    <s v="BRL"/>
    <n v="1836000"/>
    <n v="1836000"/>
    <s v="USD"/>
    <n v="341000"/>
    <n v="341000"/>
    <b v="0"/>
    <n v="1"/>
  </r>
  <r>
    <b v="1"/>
    <x v="0"/>
    <x v="0"/>
    <x v="2"/>
    <x v="0"/>
    <x v="1"/>
    <x v="36"/>
    <s v="BBG00HPK5N13"/>
    <x v="0"/>
    <s v="7d27df26e2924c4d9fcf8ba0c0d9d684"/>
    <s v="Klabin 2027"/>
    <x v="1"/>
    <x v="11"/>
    <s v="Forestry"/>
    <s v="Producers Certification"/>
    <s v="Brazil"/>
    <d v="2020-07-01T00:00:00"/>
    <d v="2020-07-01T00:00:00"/>
    <s v="BRL"/>
    <n v="2358000"/>
    <n v="2358000"/>
    <s v="USD"/>
    <n v="434000"/>
    <n v="434000"/>
    <b v="0"/>
    <n v="1"/>
  </r>
  <r>
    <b v="1"/>
    <x v="0"/>
    <x v="0"/>
    <x v="2"/>
    <x v="0"/>
    <x v="1"/>
    <x v="36"/>
    <s v="BBG00HPK5N13"/>
    <x v="0"/>
    <s v="7d27df26e2924c4d9fcf8ba0c0d9d684"/>
    <s v="Klabin 2027"/>
    <x v="1"/>
    <x v="11"/>
    <s v="Forestry"/>
    <s v="Producers Certification"/>
    <s v="Brazil"/>
    <d v="2020-01-01T00:00:00"/>
    <d v="2020-01-01T00:00:00"/>
    <s v="BRL"/>
    <n v="1315000"/>
    <n v="1315000"/>
    <s v="USD"/>
    <n v="267000"/>
    <n v="267000"/>
    <b v="0"/>
    <n v="1"/>
  </r>
  <r>
    <b v="1"/>
    <x v="0"/>
    <x v="0"/>
    <x v="2"/>
    <x v="0"/>
    <x v="1"/>
    <x v="36"/>
    <s v="BBG00HPK5N13"/>
    <x v="0"/>
    <s v="7d27df26e2924c4d9fcf8ba0c0d9d684"/>
    <s v="Klabin 2027"/>
    <x v="1"/>
    <x v="11"/>
    <s v="Forestry"/>
    <s v="Producers Certification"/>
    <s v="Brazil"/>
    <d v="2019-07-01T00:00:00"/>
    <d v="2019-07-01T00:00:00"/>
    <s v="BRL"/>
    <n v="1667000"/>
    <n v="1667000"/>
    <s v="USD"/>
    <n v="411000"/>
    <n v="411000"/>
    <b v="0"/>
    <n v="1"/>
  </r>
  <r>
    <b v="1"/>
    <x v="0"/>
    <x v="0"/>
    <x v="2"/>
    <x v="0"/>
    <x v="1"/>
    <x v="36"/>
    <s v="BBG00HPK5N13"/>
    <x v="0"/>
    <s v="7d27df26e2924c4d9fcf8ba0c0d9d684"/>
    <s v="Klabin 2027"/>
    <x v="0"/>
    <x v="2"/>
    <s v="Monitoring"/>
    <s v="Projects to reduce water consumption"/>
    <s v="Brazil"/>
    <d v="2021-01-01T00:00:00"/>
    <d v="2021-01-01T00:00:00"/>
    <s v="BRL"/>
    <n v="294000"/>
    <n v="294000"/>
    <s v="USD"/>
    <n v="55000"/>
    <n v="55000"/>
    <b v="0"/>
    <n v="1"/>
  </r>
  <r>
    <b v="1"/>
    <x v="0"/>
    <x v="0"/>
    <x v="2"/>
    <x v="0"/>
    <x v="1"/>
    <x v="36"/>
    <s v="BBG00HPK5N13"/>
    <x v="0"/>
    <s v="7d27df26e2924c4d9fcf8ba0c0d9d684"/>
    <s v="Klabin 2027"/>
    <x v="0"/>
    <x v="2"/>
    <s v="Monitoring"/>
    <s v="Projects to reduce water consumption"/>
    <s v="Brazil"/>
    <d v="2020-07-01T00:00:00"/>
    <d v="2020-07-01T00:00:00"/>
    <s v="BRL"/>
    <n v="516000"/>
    <n v="516000"/>
    <s v="USD"/>
    <n v="95000"/>
    <n v="95000"/>
    <b v="0"/>
    <n v="1"/>
  </r>
  <r>
    <b v="1"/>
    <x v="0"/>
    <x v="0"/>
    <x v="2"/>
    <x v="0"/>
    <x v="1"/>
    <x v="36"/>
    <s v="BBG00HPK5N13"/>
    <x v="0"/>
    <s v="7d27df26e2924c4d9fcf8ba0c0d9d684"/>
    <s v="Klabin 2027"/>
    <x v="1"/>
    <x v="3"/>
    <s v="Wastewater treatment"/>
    <s v="Projects to reduce water consumption"/>
    <s v="Brazil"/>
    <d v="2021-01-01T00:00:00"/>
    <d v="2021-01-01T00:00:00"/>
    <s v="BRL"/>
    <n v="294000"/>
    <n v="294000"/>
    <s v="USD"/>
    <n v="55000"/>
    <n v="55000"/>
    <b v="0"/>
    <n v="1"/>
  </r>
  <r>
    <b v="1"/>
    <x v="0"/>
    <x v="0"/>
    <x v="2"/>
    <x v="0"/>
    <x v="1"/>
    <x v="36"/>
    <s v="BBG00HPK5N13"/>
    <x v="0"/>
    <s v="7d27df26e2924c4d9fcf8ba0c0d9d684"/>
    <s v="Klabin 2027"/>
    <x v="1"/>
    <x v="3"/>
    <s v="Wastewater treatment"/>
    <s v="Projects to reduce water consumption"/>
    <s v="Brazil"/>
    <d v="2020-07-01T00:00:00"/>
    <d v="2020-07-01T00:00:00"/>
    <s v="BRL"/>
    <n v="516000"/>
    <n v="516000"/>
    <s v="USD"/>
    <n v="95000"/>
    <n v="95000"/>
    <b v="0"/>
    <n v="1"/>
  </r>
  <r>
    <b v="1"/>
    <x v="0"/>
    <x v="0"/>
    <x v="2"/>
    <x v="0"/>
    <x v="1"/>
    <x v="36"/>
    <s v="BBG00HPK5N13"/>
    <x v="0"/>
    <s v="7d27df26e2924c4d9fcf8ba0c0d9d684"/>
    <s v="Klabin 2027"/>
    <x v="0"/>
    <x v="10"/>
    <s v="Ecosystem Conservation &amp; Restoration"/>
    <s v="Property Protection in PR"/>
    <s v="Brazil"/>
    <d v="2019-01-01T00:00:00"/>
    <d v="2019-01-01T00:00:00"/>
    <s v="BRL"/>
    <n v="1586010"/>
    <n v="1586010"/>
    <s v="USD"/>
    <n v="412390"/>
    <n v="412390"/>
    <b v="0"/>
    <n v="1"/>
  </r>
  <r>
    <b v="1"/>
    <x v="0"/>
    <x v="0"/>
    <x v="2"/>
    <x v="0"/>
    <x v="1"/>
    <x v="36"/>
    <s v="BBG00HPK5N13"/>
    <x v="0"/>
    <s v="7d27df26e2924c4d9fcf8ba0c0d9d684"/>
    <s v="Klabin 2027"/>
    <x v="0"/>
    <x v="10"/>
    <s v="Ecosystem Conservation &amp; Restoration"/>
    <s v="Property Protection in PR"/>
    <s v="Brazil"/>
    <d v="2018-07-01T00:00:00"/>
    <d v="2018-07-01T00:00:00"/>
    <s v="BRL"/>
    <n v="177960"/>
    <n v="177960"/>
    <s v="USD"/>
    <n v="45860"/>
    <n v="45860"/>
    <b v="0"/>
    <n v="1"/>
  </r>
  <r>
    <b v="1"/>
    <x v="0"/>
    <x v="0"/>
    <x v="2"/>
    <x v="0"/>
    <x v="1"/>
    <x v="36"/>
    <s v="BBG00HPK5N13"/>
    <x v="0"/>
    <s v="7d27df26e2924c4d9fcf8ba0c0d9d684"/>
    <s v="Klabin 2027"/>
    <x v="1"/>
    <x v="11"/>
    <s v="Natural landscapes"/>
    <s v="Property Protection in PR"/>
    <s v="Brazil"/>
    <d v="2019-01-01T00:00:00"/>
    <d v="2019-01-01T00:00:00"/>
    <s v="BRL"/>
    <n v="1586010"/>
    <n v="1586010"/>
    <s v="USD"/>
    <n v="412390"/>
    <n v="412390"/>
    <b v="0"/>
    <n v="1"/>
  </r>
  <r>
    <b v="1"/>
    <x v="0"/>
    <x v="0"/>
    <x v="2"/>
    <x v="0"/>
    <x v="1"/>
    <x v="36"/>
    <s v="BBG00HPK5N13"/>
    <x v="0"/>
    <s v="7d27df26e2924c4d9fcf8ba0c0d9d684"/>
    <s v="Klabin 2027"/>
    <x v="1"/>
    <x v="11"/>
    <s v="Natural landscapes"/>
    <s v="Property Protection in PR"/>
    <s v="Brazil"/>
    <d v="2018-07-01T00:00:00"/>
    <d v="2018-07-01T00:00:00"/>
    <s v="BRL"/>
    <n v="177960"/>
    <n v="177960"/>
    <s v="USD"/>
    <n v="45860"/>
    <n v="45860"/>
    <b v="0"/>
    <n v="1"/>
  </r>
  <r>
    <b v="1"/>
    <x v="0"/>
    <x v="0"/>
    <x v="2"/>
    <x v="0"/>
    <x v="1"/>
    <x v="36"/>
    <s v="BBG00HPK5N13"/>
    <x v="0"/>
    <s v="7d27df26e2924c4d9fcf8ba0c0d9d684"/>
    <s v="Klabin 2027"/>
    <x v="0"/>
    <x v="10"/>
    <s v="Commercial Forestry"/>
    <s v="Purchase of Wood"/>
    <s v="Brazil"/>
    <d v="2021-01-01T00:00:00"/>
    <d v="2021-01-01T00:00:00"/>
    <s v="BRL"/>
    <n v="156794000"/>
    <n v="156794000"/>
    <s v="USD"/>
    <n v="29089000"/>
    <n v="29089000"/>
    <b v="0"/>
    <n v="1"/>
  </r>
  <r>
    <b v="1"/>
    <x v="0"/>
    <x v="0"/>
    <x v="2"/>
    <x v="0"/>
    <x v="1"/>
    <x v="36"/>
    <s v="BBG00HPK5N13"/>
    <x v="0"/>
    <s v="7d27df26e2924c4d9fcf8ba0c0d9d684"/>
    <s v="Klabin 2027"/>
    <x v="0"/>
    <x v="10"/>
    <s v="Commercial Forestry"/>
    <s v="Purchase of Wood"/>
    <s v="Brazil"/>
    <d v="2020-07-01T00:00:00"/>
    <d v="2020-07-01T00:00:00"/>
    <s v="BRL"/>
    <n v="147935000"/>
    <n v="147935000"/>
    <s v="USD"/>
    <n v="27214000"/>
    <n v="27214000"/>
    <b v="0"/>
    <n v="1"/>
  </r>
  <r>
    <b v="1"/>
    <x v="0"/>
    <x v="0"/>
    <x v="2"/>
    <x v="0"/>
    <x v="1"/>
    <x v="36"/>
    <s v="BBG00HPK5N13"/>
    <x v="0"/>
    <s v="7d27df26e2924c4d9fcf8ba0c0d9d684"/>
    <s v="Klabin 2027"/>
    <x v="0"/>
    <x v="10"/>
    <s v="Commercial Forestry"/>
    <s v="Purchase of Wood"/>
    <s v="Brazil"/>
    <d v="2018-01-01T00:00:00"/>
    <d v="2018-01-01T00:00:00"/>
    <s v="BRL"/>
    <n v="29207000"/>
    <n v="29207000"/>
    <s v="USD"/>
    <n v="8521620"/>
    <n v="8521620"/>
    <b v="0"/>
    <n v="1"/>
  </r>
  <r>
    <b v="1"/>
    <x v="0"/>
    <x v="0"/>
    <x v="2"/>
    <x v="0"/>
    <x v="1"/>
    <x v="36"/>
    <s v="BBG00HPK5N13"/>
    <x v="0"/>
    <s v="7d27df26e2924c4d9fcf8ba0c0d9d684"/>
    <s v="Klabin 2027"/>
    <x v="0"/>
    <x v="10"/>
    <s v="Commercial Forestry"/>
    <s v="Purchase of Wood"/>
    <s v="Brazil"/>
    <d v="2017-06-01T00:00:00"/>
    <d v="2017-06-01T00:00:00"/>
    <s v="BRL"/>
    <n v="21682000"/>
    <n v="21682000"/>
    <s v="USD"/>
    <n v="6791543"/>
    <n v="6791543"/>
    <b v="0"/>
    <n v="1"/>
  </r>
  <r>
    <b v="1"/>
    <x v="0"/>
    <x v="0"/>
    <x v="2"/>
    <x v="0"/>
    <x v="1"/>
    <x v="36"/>
    <s v="BBG00HPK5N13"/>
    <x v="0"/>
    <s v="7d27df26e2924c4d9fcf8ba0c0d9d684"/>
    <s v="Klabin 2027"/>
    <x v="0"/>
    <x v="10"/>
    <s v="Commercial Forestry"/>
    <s v="Purchase of Wood"/>
    <s v="Brazil"/>
    <d v="2016-06-01T00:00:00"/>
    <d v="2016-06-01T00:00:00"/>
    <s v="BRL"/>
    <n v="140676000"/>
    <n v="140676000"/>
    <s v="USD"/>
    <n v="40385842"/>
    <n v="40385842"/>
    <b v="0"/>
    <n v="1"/>
  </r>
  <r>
    <b v="1"/>
    <x v="0"/>
    <x v="0"/>
    <x v="2"/>
    <x v="0"/>
    <x v="1"/>
    <x v="36"/>
    <s v="BBG00HPK5N13"/>
    <x v="0"/>
    <s v="7d27df26e2924c4d9fcf8ba0c0d9d684"/>
    <s v="Klabin 2027"/>
    <x v="0"/>
    <x v="10"/>
    <s v="Commercial Forestry"/>
    <s v="Purchase of Wood"/>
    <s v="Brazil"/>
    <d v="2015-09-01T00:00:00"/>
    <d v="2015-09-01T00:00:00"/>
    <s v="BRL"/>
    <n v="18663000"/>
    <n v="18663000"/>
    <s v="USD"/>
    <n v="5589901"/>
    <n v="5589901"/>
    <b v="0"/>
    <n v="1"/>
  </r>
  <r>
    <b v="1"/>
    <x v="0"/>
    <x v="0"/>
    <x v="2"/>
    <x v="0"/>
    <x v="1"/>
    <x v="36"/>
    <s v="BBG00HPK5N13"/>
    <x v="0"/>
    <s v="7d27df26e2924c4d9fcf8ba0c0d9d684"/>
    <s v="Klabin 2027"/>
    <x v="0"/>
    <x v="10"/>
    <s v="Commercial Forestry"/>
    <s v="Purchase of Wood"/>
    <s v="Brazil"/>
    <d v="2020-01-01T00:00:00"/>
    <d v="2020-01-01T00:00:00"/>
    <s v="BRL"/>
    <n v="266819000"/>
    <n v="266819000"/>
    <s v="USD"/>
    <n v="54195000"/>
    <n v="54195000"/>
    <b v="0"/>
    <n v="1"/>
  </r>
  <r>
    <b v="1"/>
    <x v="0"/>
    <x v="0"/>
    <x v="2"/>
    <x v="0"/>
    <x v="1"/>
    <x v="36"/>
    <s v="BBG00HPK5N13"/>
    <x v="0"/>
    <s v="7d27df26e2924c4d9fcf8ba0c0d9d684"/>
    <s v="Klabin 2027"/>
    <x v="0"/>
    <x v="10"/>
    <s v="Commercial Forestry"/>
    <s v="Purchase of Wood"/>
    <s v="Brazil"/>
    <d v="2019-07-01T00:00:00"/>
    <d v="2019-07-01T00:00:00"/>
    <s v="BRL"/>
    <n v="63284000"/>
    <n v="63284000"/>
    <s v="USD"/>
    <n v="15609000"/>
    <n v="15609000"/>
    <b v="0"/>
    <n v="1"/>
  </r>
  <r>
    <b v="1"/>
    <x v="0"/>
    <x v="0"/>
    <x v="2"/>
    <x v="0"/>
    <x v="1"/>
    <x v="36"/>
    <s v="BBG00HPK5N13"/>
    <x v="0"/>
    <s v="7d27df26e2924c4d9fcf8ba0c0d9d684"/>
    <s v="Klabin 2027"/>
    <x v="0"/>
    <x v="10"/>
    <s v="Commercial Forestry"/>
    <s v="Purchase of Wood"/>
    <s v="Brazil"/>
    <d v="2019-01-01T00:00:00"/>
    <d v="2019-01-01T00:00:00"/>
    <s v="BRL"/>
    <n v="112021550"/>
    <n v="112021550"/>
    <s v="USD"/>
    <n v="29127530"/>
    <n v="29127530"/>
    <b v="0"/>
    <n v="1"/>
  </r>
  <r>
    <b v="1"/>
    <x v="0"/>
    <x v="0"/>
    <x v="2"/>
    <x v="0"/>
    <x v="1"/>
    <x v="36"/>
    <s v="BBG00HPK5N13"/>
    <x v="0"/>
    <s v="7d27df26e2924c4d9fcf8ba0c0d9d684"/>
    <s v="Klabin 2027"/>
    <x v="1"/>
    <x v="11"/>
    <s v="Forestry"/>
    <s v="Purchase of Wood"/>
    <s v="Brazil"/>
    <d v="2021-01-01T00:00:00"/>
    <d v="2021-01-01T00:00:00"/>
    <s v="BRL"/>
    <n v="156794000"/>
    <n v="156794000"/>
    <s v="USD"/>
    <n v="29089000"/>
    <n v="29089000"/>
    <b v="0"/>
    <n v="1"/>
  </r>
  <r>
    <b v="1"/>
    <x v="0"/>
    <x v="0"/>
    <x v="2"/>
    <x v="0"/>
    <x v="1"/>
    <x v="36"/>
    <s v="BBG00HPK5N13"/>
    <x v="0"/>
    <s v="7d27df26e2924c4d9fcf8ba0c0d9d684"/>
    <s v="Klabin 2027"/>
    <x v="1"/>
    <x v="11"/>
    <s v="Forestry"/>
    <s v="Purchase of Wood"/>
    <s v="Brazil"/>
    <d v="2020-07-01T00:00:00"/>
    <d v="2020-07-01T00:00:00"/>
    <s v="BRL"/>
    <n v="147935000"/>
    <n v="147935000"/>
    <s v="USD"/>
    <n v="27214000"/>
    <n v="27214000"/>
    <b v="0"/>
    <n v="1"/>
  </r>
  <r>
    <b v="1"/>
    <x v="0"/>
    <x v="0"/>
    <x v="2"/>
    <x v="0"/>
    <x v="1"/>
    <x v="36"/>
    <s v="BBG00HPK5N13"/>
    <x v="0"/>
    <s v="7d27df26e2924c4d9fcf8ba0c0d9d684"/>
    <s v="Klabin 2027"/>
    <x v="1"/>
    <x v="11"/>
    <s v="Forestry"/>
    <s v="Purchase of Wood"/>
    <s v="Brazil"/>
    <d v="2018-01-01T00:00:00"/>
    <d v="2018-01-01T00:00:00"/>
    <s v="BRL"/>
    <n v="29207000"/>
    <n v="29207000"/>
    <s v="USD"/>
    <n v="8521620"/>
    <n v="8521620"/>
    <b v="0"/>
    <n v="1"/>
  </r>
  <r>
    <b v="1"/>
    <x v="0"/>
    <x v="0"/>
    <x v="2"/>
    <x v="0"/>
    <x v="1"/>
    <x v="36"/>
    <s v="BBG00HPK5N13"/>
    <x v="0"/>
    <s v="7d27df26e2924c4d9fcf8ba0c0d9d684"/>
    <s v="Klabin 2027"/>
    <x v="1"/>
    <x v="11"/>
    <s v="Forestry"/>
    <s v="Purchase of Wood"/>
    <s v="Brazil"/>
    <d v="2017-06-01T00:00:00"/>
    <d v="2017-06-01T00:00:00"/>
    <s v="BRL"/>
    <n v="21682000"/>
    <n v="21682000"/>
    <s v="USD"/>
    <n v="6791543"/>
    <n v="6791543"/>
    <b v="0"/>
    <n v="1"/>
  </r>
  <r>
    <b v="1"/>
    <x v="0"/>
    <x v="0"/>
    <x v="2"/>
    <x v="0"/>
    <x v="1"/>
    <x v="36"/>
    <s v="BBG00HPK5N13"/>
    <x v="0"/>
    <s v="7d27df26e2924c4d9fcf8ba0c0d9d684"/>
    <s v="Klabin 2027"/>
    <x v="1"/>
    <x v="11"/>
    <s v="Forestry"/>
    <s v="Purchase of Wood"/>
    <s v="Brazil"/>
    <d v="2016-06-01T00:00:00"/>
    <d v="2016-06-01T00:00:00"/>
    <s v="BRL"/>
    <n v="140676000"/>
    <n v="140676000"/>
    <s v="USD"/>
    <n v="40385842"/>
    <n v="40385842"/>
    <b v="0"/>
    <n v="1"/>
  </r>
  <r>
    <b v="1"/>
    <x v="0"/>
    <x v="0"/>
    <x v="2"/>
    <x v="0"/>
    <x v="1"/>
    <x v="36"/>
    <s v="BBG00HPK5N13"/>
    <x v="0"/>
    <s v="7d27df26e2924c4d9fcf8ba0c0d9d684"/>
    <s v="Klabin 2027"/>
    <x v="1"/>
    <x v="11"/>
    <s v="Forestry"/>
    <s v="Purchase of Wood"/>
    <s v="Brazil"/>
    <d v="2015-09-01T00:00:00"/>
    <d v="2015-09-01T00:00:00"/>
    <s v="BRL"/>
    <n v="18663000"/>
    <n v="18663000"/>
    <s v="USD"/>
    <n v="5589901"/>
    <n v="5589901"/>
    <b v="0"/>
    <n v="1"/>
  </r>
  <r>
    <b v="1"/>
    <x v="0"/>
    <x v="0"/>
    <x v="2"/>
    <x v="0"/>
    <x v="1"/>
    <x v="36"/>
    <s v="BBG00HPK5N13"/>
    <x v="0"/>
    <s v="7d27df26e2924c4d9fcf8ba0c0d9d684"/>
    <s v="Klabin 2027"/>
    <x v="1"/>
    <x v="11"/>
    <s v="Forestry"/>
    <s v="Purchase of Wood"/>
    <s v="Brazil"/>
    <d v="2020-01-01T00:00:00"/>
    <d v="2020-01-01T00:00:00"/>
    <s v="BRL"/>
    <n v="266819000"/>
    <n v="266819000"/>
    <s v="USD"/>
    <n v="54195000"/>
    <n v="54195000"/>
    <b v="0"/>
    <n v="1"/>
  </r>
  <r>
    <b v="1"/>
    <x v="0"/>
    <x v="0"/>
    <x v="2"/>
    <x v="0"/>
    <x v="1"/>
    <x v="36"/>
    <s v="BBG00HPK5N13"/>
    <x v="0"/>
    <s v="7d27df26e2924c4d9fcf8ba0c0d9d684"/>
    <s v="Klabin 2027"/>
    <x v="1"/>
    <x v="11"/>
    <s v="Forestry"/>
    <s v="Purchase of Wood"/>
    <s v="Brazil"/>
    <d v="2019-07-01T00:00:00"/>
    <d v="2019-07-01T00:00:00"/>
    <s v="BRL"/>
    <n v="63284000"/>
    <n v="63284000"/>
    <s v="USD"/>
    <n v="15609000"/>
    <n v="15609000"/>
    <b v="0"/>
    <n v="1"/>
  </r>
  <r>
    <b v="1"/>
    <x v="0"/>
    <x v="0"/>
    <x v="2"/>
    <x v="0"/>
    <x v="1"/>
    <x v="36"/>
    <s v="BBG00HPK5N13"/>
    <x v="0"/>
    <s v="7d27df26e2924c4d9fcf8ba0c0d9d684"/>
    <s v="Klabin 2027"/>
    <x v="1"/>
    <x v="11"/>
    <s v="Forestry"/>
    <s v="Purchase of Wood"/>
    <s v="Brazil"/>
    <d v="2019-01-01T00:00:00"/>
    <d v="2019-01-01T00:00:00"/>
    <s v="BRL"/>
    <n v="112021550"/>
    <n v="112021550"/>
    <s v="USD"/>
    <n v="29127530"/>
    <n v="29127530"/>
    <b v="0"/>
    <n v="1"/>
  </r>
  <r>
    <b v="1"/>
    <x v="0"/>
    <x v="0"/>
    <x v="2"/>
    <x v="0"/>
    <x v="1"/>
    <x v="36"/>
    <s v="BBG00HPK5N13"/>
    <x v="0"/>
    <s v="7d27df26e2924c4d9fcf8ba0c0d9d684"/>
    <s v="Klabin 2027"/>
    <x v="0"/>
    <x v="5"/>
    <s v="Freight Rail"/>
    <s v="Railroad, wagons and locomotives"/>
    <s v="Brazil"/>
    <d v="2016-06-01T00:00:00"/>
    <d v="2016-06-01T00:00:00"/>
    <s v="BRL"/>
    <n v="57932000"/>
    <n v="57932000"/>
    <s v="USD"/>
    <n v="16631356"/>
    <n v="16631356"/>
    <b v="1"/>
    <n v="1"/>
  </r>
  <r>
    <b v="1"/>
    <x v="0"/>
    <x v="0"/>
    <x v="2"/>
    <x v="0"/>
    <x v="1"/>
    <x v="36"/>
    <s v="BBG00HPK5N13"/>
    <x v="0"/>
    <s v="7d27df26e2924c4d9fcf8ba0c0d9d684"/>
    <s v="Klabin 2027"/>
    <x v="0"/>
    <x v="5"/>
    <s v="Freight Rail"/>
    <s v="Railroad, wagons and locomotives"/>
    <s v="Brazil"/>
    <d v="2015-09-01T00:00:00"/>
    <d v="2015-09-01T00:00:00"/>
    <s v="BRL"/>
    <n v="24130000"/>
    <n v="24130000"/>
    <s v="USD"/>
    <n v="7227364"/>
    <n v="7227364"/>
    <b v="1"/>
    <n v="1"/>
  </r>
  <r>
    <b v="1"/>
    <x v="0"/>
    <x v="0"/>
    <x v="2"/>
    <x v="0"/>
    <x v="1"/>
    <x v="36"/>
    <s v="BBG00HPK5N13"/>
    <x v="0"/>
    <s v="7d27df26e2924c4d9fcf8ba0c0d9d684"/>
    <s v="Klabin 2027"/>
    <x v="1"/>
    <x v="6"/>
    <s v="Rail"/>
    <s v="Railroad, wagons and locomotives"/>
    <s v="Brazil"/>
    <d v="2016-06-01T00:00:00"/>
    <d v="2016-06-01T00:00:00"/>
    <s v="BRL"/>
    <n v="57932000"/>
    <n v="57932000"/>
    <s v="USD"/>
    <n v="16631356"/>
    <n v="16631356"/>
    <b v="1"/>
    <n v="1"/>
  </r>
  <r>
    <b v="1"/>
    <x v="0"/>
    <x v="0"/>
    <x v="2"/>
    <x v="0"/>
    <x v="1"/>
    <x v="36"/>
    <s v="BBG00HPK5N13"/>
    <x v="0"/>
    <s v="7d27df26e2924c4d9fcf8ba0c0d9d684"/>
    <s v="Klabin 2027"/>
    <x v="1"/>
    <x v="6"/>
    <s v="Rail"/>
    <s v="Railroad, wagons and locomotives"/>
    <s v="Brazil"/>
    <d v="2015-09-01T00:00:00"/>
    <d v="2015-09-01T00:00:00"/>
    <s v="BRL"/>
    <n v="24130000"/>
    <n v="24130000"/>
    <s v="USD"/>
    <n v="7227364"/>
    <n v="7227364"/>
    <b v="1"/>
    <n v="1"/>
  </r>
  <r>
    <b v="1"/>
    <x v="0"/>
    <x v="0"/>
    <x v="2"/>
    <x v="0"/>
    <x v="1"/>
    <x v="36"/>
    <s v="BBG00HPK5N13"/>
    <x v="0"/>
    <s v="7d27df26e2924c4d9fcf8ba0c0d9d684"/>
    <s v="Klabin 2027"/>
    <x v="0"/>
    <x v="10"/>
    <s v="Ecosystem Conservation &amp; Restoration"/>
    <s v="Recovery of degraded areas surrounding the Puma Unit"/>
    <s v="Brazil"/>
    <d v="2018-01-01T00:00:00"/>
    <d v="2018-01-01T00:00:00"/>
    <s v="BRL"/>
    <n v="22000"/>
    <n v="22000"/>
    <s v="USD"/>
    <n v="6419"/>
    <n v="6419"/>
    <b v="1"/>
    <n v="1"/>
  </r>
  <r>
    <b v="1"/>
    <x v="0"/>
    <x v="0"/>
    <x v="2"/>
    <x v="0"/>
    <x v="1"/>
    <x v="36"/>
    <s v="BBG00HPK5N13"/>
    <x v="0"/>
    <s v="7d27df26e2924c4d9fcf8ba0c0d9d684"/>
    <s v="Klabin 2027"/>
    <x v="0"/>
    <x v="10"/>
    <s v="Ecosystem Conservation &amp; Restoration"/>
    <s v="Recovery of degraded areas surrounding the Puma Unit"/>
    <s v="Brazil"/>
    <d v="2017-06-01T00:00:00"/>
    <d v="2017-06-01T00:00:00"/>
    <s v="BRL"/>
    <n v="274000"/>
    <n v="274000"/>
    <s v="USD"/>
    <n v="85827"/>
    <n v="85827"/>
    <b v="1"/>
    <n v="1"/>
  </r>
  <r>
    <b v="1"/>
    <x v="0"/>
    <x v="0"/>
    <x v="2"/>
    <x v="0"/>
    <x v="1"/>
    <x v="36"/>
    <s v="BBG00HPK5N13"/>
    <x v="0"/>
    <s v="7d27df26e2924c4d9fcf8ba0c0d9d684"/>
    <s v="Klabin 2027"/>
    <x v="0"/>
    <x v="10"/>
    <s v="Ecosystem Conservation &amp; Restoration"/>
    <s v="Recovery of degraded areas surrounding the Puma Unit"/>
    <s v="Brazil"/>
    <d v="2016-06-01T00:00:00"/>
    <d v="2016-06-01T00:00:00"/>
    <s v="BRL"/>
    <n v="1104000"/>
    <n v="1104000"/>
    <s v="USD"/>
    <n v="316941"/>
    <n v="316941"/>
    <b v="1"/>
    <n v="1"/>
  </r>
  <r>
    <b v="1"/>
    <x v="0"/>
    <x v="0"/>
    <x v="2"/>
    <x v="0"/>
    <x v="1"/>
    <x v="36"/>
    <s v="BBG00HPK5N13"/>
    <x v="0"/>
    <s v="7d27df26e2924c4d9fcf8ba0c0d9d684"/>
    <s v="Klabin 2027"/>
    <x v="1"/>
    <x v="11"/>
    <s v="Reforestation"/>
    <s v="Recovery of degraded areas surrounding the Puma Unit"/>
    <s v="Brazil"/>
    <d v="2018-01-01T00:00:00"/>
    <d v="2018-01-01T00:00:00"/>
    <s v="BRL"/>
    <n v="22000"/>
    <n v="22000"/>
    <s v="USD"/>
    <n v="6419"/>
    <n v="6419"/>
    <b v="1"/>
    <n v="1"/>
  </r>
  <r>
    <b v="1"/>
    <x v="0"/>
    <x v="0"/>
    <x v="2"/>
    <x v="0"/>
    <x v="1"/>
    <x v="36"/>
    <s v="BBG00HPK5N13"/>
    <x v="0"/>
    <s v="7d27df26e2924c4d9fcf8ba0c0d9d684"/>
    <s v="Klabin 2027"/>
    <x v="1"/>
    <x v="11"/>
    <s v="Reforestation"/>
    <s v="Recovery of degraded areas surrounding the Puma Unit"/>
    <s v="Brazil"/>
    <d v="2017-06-01T00:00:00"/>
    <d v="2017-06-01T00:00:00"/>
    <s v="BRL"/>
    <n v="274000"/>
    <n v="274000"/>
    <s v="USD"/>
    <n v="85827"/>
    <n v="85827"/>
    <b v="1"/>
    <n v="1"/>
  </r>
  <r>
    <b v="1"/>
    <x v="0"/>
    <x v="0"/>
    <x v="2"/>
    <x v="0"/>
    <x v="1"/>
    <x v="36"/>
    <s v="BBG00HPK5N13"/>
    <x v="0"/>
    <s v="7d27df26e2924c4d9fcf8ba0c0d9d684"/>
    <s v="Klabin 2027"/>
    <x v="1"/>
    <x v="11"/>
    <s v="Reforestation"/>
    <s v="Recovery of degraded areas surrounding the Puma Unit"/>
    <s v="Brazil"/>
    <d v="2016-06-01T00:00:00"/>
    <d v="2016-06-01T00:00:00"/>
    <s v="BRL"/>
    <n v="1104000"/>
    <n v="1104000"/>
    <s v="USD"/>
    <n v="316941"/>
    <n v="316941"/>
    <b v="1"/>
    <n v="1"/>
  </r>
  <r>
    <b v="1"/>
    <x v="0"/>
    <x v="0"/>
    <x v="2"/>
    <x v="0"/>
    <x v="1"/>
    <x v="36"/>
    <s v="BBG00HPK5N13"/>
    <x v="0"/>
    <s v="7d27df26e2924c4d9fcf8ba0c0d9d684"/>
    <s v="Klabin 2027"/>
    <x v="0"/>
    <x v="7"/>
    <s v="Products &amp; Systems for Efficiency"/>
    <s v="Reduction of Atmospheric Emissions"/>
    <s v="Brazil"/>
    <d v="2021-01-01T00:00:00"/>
    <d v="2021-01-01T00:00:00"/>
    <s v="BRL"/>
    <n v="10741000"/>
    <n v="10741000"/>
    <s v="USD"/>
    <n v="1993000"/>
    <n v="1993000"/>
    <b v="0"/>
    <n v="1"/>
  </r>
  <r>
    <b v="1"/>
    <x v="0"/>
    <x v="0"/>
    <x v="2"/>
    <x v="0"/>
    <x v="1"/>
    <x v="36"/>
    <s v="BBG00HPK5N13"/>
    <x v="0"/>
    <s v="7d27df26e2924c4d9fcf8ba0c0d9d684"/>
    <s v="Klabin 2027"/>
    <x v="0"/>
    <x v="7"/>
    <s v="Products &amp; Systems for Efficiency"/>
    <s v="Reduction of Atmospheric Emissions"/>
    <s v="Brazil"/>
    <d v="2020-07-01T00:00:00"/>
    <d v="2020-07-01T00:00:00"/>
    <s v="BRL"/>
    <n v="6253000"/>
    <n v="6253000"/>
    <s v="USD"/>
    <n v="1150000"/>
    <n v="1150000"/>
    <b v="0"/>
    <n v="1"/>
  </r>
  <r>
    <b v="1"/>
    <x v="0"/>
    <x v="0"/>
    <x v="2"/>
    <x v="0"/>
    <x v="1"/>
    <x v="36"/>
    <s v="BBG00HPK5N13"/>
    <x v="0"/>
    <s v="7d27df26e2924c4d9fcf8ba0c0d9d684"/>
    <s v="Klabin 2027"/>
    <x v="0"/>
    <x v="7"/>
    <s v="Products &amp; Systems for Efficiency"/>
    <s v="Reduction of Atmospheric Emissions"/>
    <s v="Brazil"/>
    <d v="2020-01-01T00:00:00"/>
    <d v="2020-01-01T00:00:00"/>
    <s v="BRL"/>
    <n v="5082000"/>
    <n v="5082000"/>
    <s v="USD"/>
    <n v="1032000"/>
    <n v="1032000"/>
    <b v="0"/>
    <n v="1"/>
  </r>
  <r>
    <b v="1"/>
    <x v="0"/>
    <x v="0"/>
    <x v="2"/>
    <x v="0"/>
    <x v="1"/>
    <x v="36"/>
    <s v="BBG00HPK5N13"/>
    <x v="0"/>
    <s v="7d27df26e2924c4d9fcf8ba0c0d9d684"/>
    <s v="Klabin 2027"/>
    <x v="0"/>
    <x v="7"/>
    <s v="Products &amp; Systems for Efficiency"/>
    <s v="Reduction of Atmospheric Emissions"/>
    <s v="Brazil"/>
    <d v="2019-07-01T00:00:00"/>
    <d v="2019-07-01T00:00:00"/>
    <s v="BRL"/>
    <n v="17188000"/>
    <n v="17188000"/>
    <s v="USD"/>
    <n v="4239000"/>
    <n v="4239000"/>
    <b v="0"/>
    <n v="1"/>
  </r>
  <r>
    <b v="1"/>
    <x v="0"/>
    <x v="0"/>
    <x v="2"/>
    <x v="0"/>
    <x v="1"/>
    <x v="36"/>
    <s v="BBG00HPK5N13"/>
    <x v="0"/>
    <s v="7d27df26e2924c4d9fcf8ba0c0d9d684"/>
    <s v="Klabin 2027"/>
    <x v="1"/>
    <x v="12"/>
    <s v="Reduction of local emissions"/>
    <s v="Reduction of Atmospheric Emissions"/>
    <s v="Brazil"/>
    <d v="2021-01-01T00:00:00"/>
    <d v="2021-01-01T00:00:00"/>
    <s v="BRL"/>
    <n v="10741000"/>
    <n v="10741000"/>
    <s v="USD"/>
    <n v="1993000"/>
    <n v="1993000"/>
    <b v="0"/>
    <n v="1"/>
  </r>
  <r>
    <b v="1"/>
    <x v="0"/>
    <x v="0"/>
    <x v="2"/>
    <x v="0"/>
    <x v="1"/>
    <x v="36"/>
    <s v="BBG00HPK5N13"/>
    <x v="0"/>
    <s v="7d27df26e2924c4d9fcf8ba0c0d9d684"/>
    <s v="Klabin 2027"/>
    <x v="1"/>
    <x v="12"/>
    <s v="Reduction of local emissions"/>
    <s v="Reduction of Atmospheric Emissions"/>
    <s v="Brazil"/>
    <d v="2020-07-01T00:00:00"/>
    <d v="2020-07-01T00:00:00"/>
    <s v="BRL"/>
    <n v="6253000"/>
    <n v="6253000"/>
    <s v="USD"/>
    <n v="1150000"/>
    <n v="1150000"/>
    <b v="0"/>
    <n v="1"/>
  </r>
  <r>
    <b v="1"/>
    <x v="0"/>
    <x v="0"/>
    <x v="2"/>
    <x v="0"/>
    <x v="1"/>
    <x v="36"/>
    <s v="BBG00HPK5N13"/>
    <x v="0"/>
    <s v="7d27df26e2924c4d9fcf8ba0c0d9d684"/>
    <s v="Klabin 2027"/>
    <x v="1"/>
    <x v="12"/>
    <s v="Reduction of local emissions"/>
    <s v="Reduction of Atmospheric Emissions"/>
    <s v="Brazil"/>
    <d v="2020-01-01T00:00:00"/>
    <d v="2020-01-01T00:00:00"/>
    <s v="BRL"/>
    <n v="5082000"/>
    <n v="5082000"/>
    <s v="USD"/>
    <n v="1032000"/>
    <n v="1032000"/>
    <b v="0"/>
    <n v="1"/>
  </r>
  <r>
    <b v="1"/>
    <x v="0"/>
    <x v="0"/>
    <x v="2"/>
    <x v="0"/>
    <x v="1"/>
    <x v="36"/>
    <s v="BBG00HPK5N13"/>
    <x v="0"/>
    <s v="7d27df26e2924c4d9fcf8ba0c0d9d684"/>
    <s v="Klabin 2027"/>
    <x v="1"/>
    <x v="12"/>
    <s v="Reduction of local emissions"/>
    <s v="Reduction of Atmospheric Emissions"/>
    <s v="Brazil"/>
    <d v="2019-07-01T00:00:00"/>
    <d v="2019-07-01T00:00:00"/>
    <s v="BRL"/>
    <n v="17188000"/>
    <n v="17188000"/>
    <s v="USD"/>
    <n v="4239000"/>
    <n v="4239000"/>
    <b v="0"/>
    <n v="1"/>
  </r>
  <r>
    <b v="1"/>
    <x v="0"/>
    <x v="0"/>
    <x v="2"/>
    <x v="0"/>
    <x v="1"/>
    <x v="36"/>
    <s v="BBG00HPK5N13"/>
    <x v="0"/>
    <s v="7d27df26e2924c4d9fcf8ba0c0d9d684"/>
    <s v="Klabin 2027"/>
    <x v="0"/>
    <x v="7"/>
    <s v="Products &amp; Systems for Efficiency"/>
    <s v="Reduction of steam consumption and increased power generation"/>
    <s v="Brazil"/>
    <d v="2018-01-01T00:00:00"/>
    <d v="2018-01-01T00:00:00"/>
    <s v="BRL"/>
    <n v="3523000"/>
    <n v="3523000"/>
    <s v="USD"/>
    <n v="1027893"/>
    <n v="1027893"/>
    <b v="1"/>
    <n v="1"/>
  </r>
  <r>
    <b v="1"/>
    <x v="0"/>
    <x v="0"/>
    <x v="2"/>
    <x v="0"/>
    <x v="1"/>
    <x v="36"/>
    <s v="BBG00HPK5N13"/>
    <x v="0"/>
    <s v="7d27df26e2924c4d9fcf8ba0c0d9d684"/>
    <s v="Klabin 2027"/>
    <x v="0"/>
    <x v="7"/>
    <s v="Products &amp; Systems for Efficiency"/>
    <s v="Reduction of steam consumption and increased power generation"/>
    <s v="Brazil"/>
    <d v="2017-06-01T00:00:00"/>
    <d v="2017-06-01T00:00:00"/>
    <s v="BRL"/>
    <n v="64000"/>
    <n v="64000"/>
    <s v="USD"/>
    <n v="20047"/>
    <n v="20047"/>
    <b v="1"/>
    <n v="1"/>
  </r>
  <r>
    <b v="1"/>
    <x v="0"/>
    <x v="0"/>
    <x v="2"/>
    <x v="0"/>
    <x v="1"/>
    <x v="36"/>
    <s v="BBG00HPK5N13"/>
    <x v="0"/>
    <s v="7d27df26e2924c4d9fcf8ba0c0d9d684"/>
    <s v="Klabin 2027"/>
    <x v="1"/>
    <x v="4"/>
    <s v="Appliances"/>
    <s v="Reduction of steam consumption and increased power generation"/>
    <s v="Brazil"/>
    <d v="2018-01-01T00:00:00"/>
    <d v="2018-01-01T00:00:00"/>
    <s v="BRL"/>
    <n v="3523000"/>
    <n v="3523000"/>
    <s v="USD"/>
    <n v="1027893"/>
    <n v="1027893"/>
    <b v="1"/>
    <n v="1"/>
  </r>
  <r>
    <b v="1"/>
    <x v="0"/>
    <x v="0"/>
    <x v="2"/>
    <x v="0"/>
    <x v="1"/>
    <x v="36"/>
    <s v="BBG00HPK5N13"/>
    <x v="0"/>
    <s v="7d27df26e2924c4d9fcf8ba0c0d9d684"/>
    <s v="Klabin 2027"/>
    <x v="1"/>
    <x v="4"/>
    <s v="Appliances"/>
    <s v="Reduction of steam consumption and increased power generation"/>
    <s v="Brazil"/>
    <d v="2017-06-01T00:00:00"/>
    <d v="2017-06-01T00:00:00"/>
    <s v="BRL"/>
    <n v="64000"/>
    <n v="64000"/>
    <s v="USD"/>
    <n v="20047"/>
    <n v="20047"/>
    <b v="1"/>
    <n v="1"/>
  </r>
  <r>
    <b v="1"/>
    <x v="0"/>
    <x v="0"/>
    <x v="2"/>
    <x v="0"/>
    <x v="1"/>
    <x v="36"/>
    <s v="BBG00HPK5N13"/>
    <x v="0"/>
    <s v="7d27df26e2924c4d9fcf8ba0c0d9d684"/>
    <s v="Klabin 2027"/>
    <x v="0"/>
    <x v="0"/>
    <s v="Bioenergy"/>
    <s v="Renewable Energy Generation"/>
    <s v="Brazil"/>
    <d v="2019-07-01T00:00:00"/>
    <d v="2019-07-01T00:00:00"/>
    <s v="BRL"/>
    <n v="588000"/>
    <n v="588000"/>
    <s v="USD"/>
    <n v="145027"/>
    <n v="145027"/>
    <b v="0"/>
    <n v="1"/>
  </r>
  <r>
    <b v="1"/>
    <x v="0"/>
    <x v="0"/>
    <x v="2"/>
    <x v="0"/>
    <x v="1"/>
    <x v="36"/>
    <s v="BBG00HPK5N13"/>
    <x v="0"/>
    <s v="7d27df26e2924c4d9fcf8ba0c0d9d684"/>
    <s v="Klabin 2027"/>
    <x v="1"/>
    <x v="1"/>
    <s v="Appliances"/>
    <s v="Renewable Energy Generation"/>
    <s v="Brazil"/>
    <d v="2019-07-01T00:00:00"/>
    <d v="2019-07-01T00:00:00"/>
    <s v="BRL"/>
    <n v="588000"/>
    <n v="588000"/>
    <s v="USD"/>
    <n v="145027"/>
    <n v="145027"/>
    <b v="0"/>
    <n v="1"/>
  </r>
  <r>
    <b v="1"/>
    <x v="0"/>
    <x v="0"/>
    <x v="2"/>
    <x v="0"/>
    <x v="1"/>
    <x v="36"/>
    <s v="BBG00HPK5N13"/>
    <x v="0"/>
    <s v="7d27df26e2924c4d9fcf8ba0c0d9d684"/>
    <s v="Klabin 2027"/>
    <x v="0"/>
    <x v="10"/>
    <s v="Ecosystem Conservation &amp; Restoration"/>
    <s v="Small and Medium Producers Forest Certification Program"/>
    <s v="Brazil"/>
    <d v="2019-01-01T00:00:00"/>
    <d v="2019-01-01T00:00:00"/>
    <s v="BRL"/>
    <n v="27920"/>
    <n v="27920"/>
    <s v="USD"/>
    <n v="7260"/>
    <n v="7260"/>
    <b v="0"/>
    <n v="1"/>
  </r>
  <r>
    <b v="1"/>
    <x v="0"/>
    <x v="0"/>
    <x v="2"/>
    <x v="0"/>
    <x v="1"/>
    <x v="36"/>
    <s v="BBG00HPK5N13"/>
    <x v="0"/>
    <s v="7d27df26e2924c4d9fcf8ba0c0d9d684"/>
    <s v="Klabin 2027"/>
    <x v="0"/>
    <x v="10"/>
    <s v="Ecosystem Conservation &amp; Restoration"/>
    <s v="Small and Medium Producers Forest Certification Program"/>
    <s v="Brazil"/>
    <d v="2018-07-01T00:00:00"/>
    <d v="2018-07-01T00:00:00"/>
    <s v="BRL"/>
    <n v="15050"/>
    <n v="15050"/>
    <s v="USD"/>
    <n v="3880"/>
    <n v="3880"/>
    <b v="0"/>
    <n v="1"/>
  </r>
  <r>
    <b v="1"/>
    <x v="0"/>
    <x v="0"/>
    <x v="2"/>
    <x v="0"/>
    <x v="1"/>
    <x v="36"/>
    <s v="BBG00HPK5N13"/>
    <x v="0"/>
    <s v="7d27df26e2924c4d9fcf8ba0c0d9d684"/>
    <s v="Klabin 2027"/>
    <x v="1"/>
    <x v="11"/>
    <s v="Forestry"/>
    <s v="Small and Medium Producers Forest Certification Program"/>
    <s v="Brazil"/>
    <d v="2019-01-01T00:00:00"/>
    <d v="2019-01-01T00:00:00"/>
    <s v="BRL"/>
    <n v="27920"/>
    <n v="27920"/>
    <s v="USD"/>
    <n v="7260"/>
    <n v="7260"/>
    <b v="0"/>
    <n v="1"/>
  </r>
  <r>
    <b v="1"/>
    <x v="0"/>
    <x v="0"/>
    <x v="2"/>
    <x v="0"/>
    <x v="1"/>
    <x v="36"/>
    <s v="BBG00HPK5N13"/>
    <x v="0"/>
    <s v="7d27df26e2924c4d9fcf8ba0c0d9d684"/>
    <s v="Klabin 2027"/>
    <x v="1"/>
    <x v="11"/>
    <s v="Forestry"/>
    <s v="Small and Medium Producers Forest Certification Program"/>
    <s v="Brazil"/>
    <d v="2018-07-01T00:00:00"/>
    <d v="2018-07-01T00:00:00"/>
    <s v="BRL"/>
    <n v="15050"/>
    <n v="15050"/>
    <s v="USD"/>
    <n v="3880"/>
    <n v="3880"/>
    <b v="0"/>
    <n v="1"/>
  </r>
  <r>
    <b v="1"/>
    <x v="0"/>
    <x v="0"/>
    <x v="2"/>
    <x v="0"/>
    <x v="1"/>
    <x v="36"/>
    <s v="BBG00HPK5N13"/>
    <x v="0"/>
    <s v="7d27df26e2924c4d9fcf8ba0c0d9d684"/>
    <s v="Klabin 2027"/>
    <x v="0"/>
    <x v="7"/>
    <s v="Products &amp; Systems for Efficiency"/>
    <s v="Smart Blowing System Installation in the Recovery Boiler"/>
    <s v="Brazil"/>
    <d v="2019-01-01T00:00:00"/>
    <d v="2019-01-01T00:00:00"/>
    <s v="BRL"/>
    <n v="1956000"/>
    <n v="1956000"/>
    <s v="USD"/>
    <n v="508590"/>
    <n v="508590"/>
    <b v="0"/>
    <n v="1"/>
  </r>
  <r>
    <b v="1"/>
    <x v="0"/>
    <x v="0"/>
    <x v="2"/>
    <x v="0"/>
    <x v="1"/>
    <x v="36"/>
    <s v="BBG00HPK5N13"/>
    <x v="0"/>
    <s v="7d27df26e2924c4d9fcf8ba0c0d9d684"/>
    <s v="Klabin 2027"/>
    <x v="1"/>
    <x v="4"/>
    <s v="Appliances"/>
    <s v="Smart Blowing System Installation in the Recovery Boiler"/>
    <s v="Brazil"/>
    <d v="2019-01-01T00:00:00"/>
    <d v="2019-01-01T00:00:00"/>
    <s v="BRL"/>
    <n v="1956000"/>
    <n v="1956000"/>
    <s v="USD"/>
    <n v="508590"/>
    <n v="508590"/>
    <b v="0"/>
    <n v="1"/>
  </r>
  <r>
    <b v="1"/>
    <x v="0"/>
    <x v="0"/>
    <x v="2"/>
    <x v="0"/>
    <x v="1"/>
    <x v="36"/>
    <s v="BBG00HPK5N13"/>
    <x v="0"/>
    <s v="7d27df26e2924c4d9fcf8ba0c0d9d684"/>
    <s v="Klabin 2027"/>
    <x v="0"/>
    <x v="10"/>
    <s v="Ecosystem Conservation &amp; Restoration"/>
    <s v="Social Woods Program"/>
    <s v="Brazil"/>
    <d v="2019-01-01T00:00:00"/>
    <d v="2019-01-01T00:00:00"/>
    <s v="BRL"/>
    <n v="200680"/>
    <n v="200680"/>
    <s v="USD"/>
    <n v="52180"/>
    <n v="52180"/>
    <b v="0"/>
    <n v="1"/>
  </r>
  <r>
    <b v="1"/>
    <x v="0"/>
    <x v="0"/>
    <x v="2"/>
    <x v="0"/>
    <x v="1"/>
    <x v="36"/>
    <s v="BBG00HPK5N13"/>
    <x v="0"/>
    <s v="7d27df26e2924c4d9fcf8ba0c0d9d684"/>
    <s v="Klabin 2027"/>
    <x v="0"/>
    <x v="10"/>
    <s v="Ecosystem Conservation &amp; Restoration"/>
    <s v="Social Woods Program"/>
    <s v="Brazil"/>
    <d v="2018-07-01T00:00:00"/>
    <d v="2018-07-01T00:00:00"/>
    <s v="BRL"/>
    <n v="411270"/>
    <n v="411270"/>
    <s v="USD"/>
    <n v="105980"/>
    <n v="105980"/>
    <b v="0"/>
    <n v="1"/>
  </r>
  <r>
    <b v="1"/>
    <x v="0"/>
    <x v="0"/>
    <x v="2"/>
    <x v="0"/>
    <x v="1"/>
    <x v="36"/>
    <s v="BBG00HPK5N13"/>
    <x v="0"/>
    <s v="7d27df26e2924c4d9fcf8ba0c0d9d684"/>
    <s v="Klabin 2027"/>
    <x v="0"/>
    <x v="10"/>
    <s v="Ecosystem Conservation &amp; Restoration"/>
    <s v="Social Woods Program"/>
    <s v="Brazil"/>
    <d v="2017-06-01T00:00:00"/>
    <d v="2017-06-01T00:00:00"/>
    <s v="BRL"/>
    <n v="345000"/>
    <n v="345000"/>
    <s v="USD"/>
    <n v="108066"/>
    <n v="108066"/>
    <b v="0"/>
    <n v="1"/>
  </r>
  <r>
    <b v="1"/>
    <x v="0"/>
    <x v="0"/>
    <x v="2"/>
    <x v="0"/>
    <x v="1"/>
    <x v="36"/>
    <s v="BBG00HPK5N13"/>
    <x v="0"/>
    <s v="7d27df26e2924c4d9fcf8ba0c0d9d684"/>
    <s v="Klabin 2027"/>
    <x v="1"/>
    <x v="11"/>
    <s v="Natural landscapes"/>
    <s v="Social Woods Program"/>
    <s v="Brazil"/>
    <d v="2019-01-01T00:00:00"/>
    <d v="2019-01-01T00:00:00"/>
    <s v="BRL"/>
    <n v="200680"/>
    <n v="200680"/>
    <s v="USD"/>
    <n v="52180"/>
    <n v="52180"/>
    <b v="0"/>
    <n v="1"/>
  </r>
  <r>
    <b v="1"/>
    <x v="0"/>
    <x v="0"/>
    <x v="2"/>
    <x v="0"/>
    <x v="1"/>
    <x v="36"/>
    <s v="BBG00HPK5N13"/>
    <x v="0"/>
    <s v="7d27df26e2924c4d9fcf8ba0c0d9d684"/>
    <s v="Klabin 2027"/>
    <x v="1"/>
    <x v="11"/>
    <s v="Natural landscapes"/>
    <s v="Social Woods Program"/>
    <s v="Brazil"/>
    <d v="2018-07-01T00:00:00"/>
    <d v="2018-07-01T00:00:00"/>
    <s v="BRL"/>
    <n v="411270"/>
    <n v="411270"/>
    <s v="USD"/>
    <n v="105980"/>
    <n v="105980"/>
    <b v="0"/>
    <n v="1"/>
  </r>
  <r>
    <b v="1"/>
    <x v="0"/>
    <x v="0"/>
    <x v="2"/>
    <x v="0"/>
    <x v="1"/>
    <x v="36"/>
    <s v="BBG00HPK5N13"/>
    <x v="0"/>
    <s v="7d27df26e2924c4d9fcf8ba0c0d9d684"/>
    <s v="Klabin 2027"/>
    <x v="1"/>
    <x v="11"/>
    <s v="Natural landscapes"/>
    <s v="Social Woods Program"/>
    <s v="Brazil"/>
    <d v="2017-06-01T00:00:00"/>
    <d v="2017-06-01T00:00:00"/>
    <s v="BRL"/>
    <n v="345000"/>
    <n v="345000"/>
    <s v="USD"/>
    <n v="108066"/>
    <n v="108066"/>
    <b v="0"/>
    <n v="1"/>
  </r>
  <r>
    <b v="1"/>
    <x v="0"/>
    <x v="0"/>
    <x v="2"/>
    <x v="0"/>
    <x v="1"/>
    <x v="36"/>
    <s v="BBG00HPK5N13"/>
    <x v="0"/>
    <s v="7d27df26e2924c4d9fcf8ba0c0d9d684"/>
    <s v="Klabin 2027"/>
    <x v="0"/>
    <x v="9"/>
    <s v="Unspecified"/>
    <s v="System for purging inert substances by furnace precipitators"/>
    <s v="Brazil"/>
    <d v="2021-01-01T00:00:00"/>
    <d v="2021-01-01T00:00:00"/>
    <s v="BRL"/>
    <n v="720000"/>
    <n v="720000"/>
    <s v="USD"/>
    <n v="134000"/>
    <n v="134000"/>
    <b v="0"/>
    <n v="1"/>
  </r>
  <r>
    <b v="1"/>
    <x v="0"/>
    <x v="0"/>
    <x v="2"/>
    <x v="0"/>
    <x v="1"/>
    <x v="36"/>
    <s v="BBG00HPK5N13"/>
    <x v="0"/>
    <s v="7d27df26e2924c4d9fcf8ba0c0d9d684"/>
    <s v="Klabin 2027"/>
    <x v="0"/>
    <x v="9"/>
    <s v="Unspecified"/>
    <s v="System for purging inert substances by furnace precipitators"/>
    <s v="Brazil"/>
    <d v="2020-07-01T00:00:00"/>
    <d v="2020-07-01T00:00:00"/>
    <s v="BRL"/>
    <n v="22000"/>
    <n v="22000"/>
    <s v="USD"/>
    <n v="4000"/>
    <n v="4000"/>
    <b v="0"/>
    <n v="1"/>
  </r>
  <r>
    <b v="1"/>
    <x v="0"/>
    <x v="0"/>
    <x v="2"/>
    <x v="0"/>
    <x v="1"/>
    <x v="36"/>
    <s v="BBG00HPK5N13"/>
    <x v="0"/>
    <s v="7d27df26e2924c4d9fcf8ba0c0d9d684"/>
    <s v="Klabin 2027"/>
    <x v="1"/>
    <x v="12"/>
    <s v="Reduction of local emissions"/>
    <s v="System for purging inert substances by furnace precipitators"/>
    <s v="Brazil"/>
    <d v="2021-01-01T00:00:00"/>
    <d v="2021-01-01T00:00:00"/>
    <s v="BRL"/>
    <n v="720000"/>
    <n v="720000"/>
    <s v="USD"/>
    <n v="134000"/>
    <n v="134000"/>
    <b v="0"/>
    <n v="1"/>
  </r>
  <r>
    <b v="1"/>
    <x v="0"/>
    <x v="0"/>
    <x v="2"/>
    <x v="0"/>
    <x v="1"/>
    <x v="36"/>
    <s v="BBG00HPK5N13"/>
    <x v="0"/>
    <s v="7d27df26e2924c4d9fcf8ba0c0d9d684"/>
    <s v="Klabin 2027"/>
    <x v="1"/>
    <x v="12"/>
    <s v="Reduction of local emissions"/>
    <s v="System for purging inert substances by furnace precipitators"/>
    <s v="Brazil"/>
    <d v="2020-07-01T00:00:00"/>
    <d v="2020-07-01T00:00:00"/>
    <s v="BRL"/>
    <n v="22000"/>
    <n v="22000"/>
    <s v="USD"/>
    <n v="4000"/>
    <n v="4000"/>
    <b v="0"/>
    <n v="1"/>
  </r>
  <r>
    <b v="1"/>
    <x v="0"/>
    <x v="0"/>
    <x v="2"/>
    <x v="0"/>
    <x v="1"/>
    <x v="37"/>
    <s v="BBG00NQJNB18"/>
    <x v="0"/>
    <s v="72b244fd46b444aba44095c0ca650e2f"/>
    <s v="Klabin 2049"/>
    <x v="0"/>
    <x v="7"/>
    <s v="Products &amp; Systems for Efficiency"/>
    <s v="Tall Oil Plant"/>
    <s v="Brazil"/>
    <d v="2021-01-01T00:00:00"/>
    <d v="2021-01-01T00:00:00"/>
    <s v="BRL"/>
    <n v="231000"/>
    <n v="231000"/>
    <s v="USD"/>
    <n v="43000"/>
    <n v="43000"/>
    <b v="0"/>
    <n v="1"/>
  </r>
  <r>
    <b v="1"/>
    <x v="0"/>
    <x v="0"/>
    <x v="2"/>
    <x v="0"/>
    <x v="1"/>
    <x v="37"/>
    <s v="BBG00NQJNB18"/>
    <x v="0"/>
    <s v="72b244fd46b444aba44095c0ca650e2f"/>
    <s v="Klabin 2049"/>
    <x v="0"/>
    <x v="7"/>
    <s v="Products &amp; Systems for Efficiency"/>
    <s v="Tall Oil Plant"/>
    <s v="Brazil"/>
    <d v="2020-07-01T00:00:00"/>
    <d v="2020-07-01T00:00:00"/>
    <s v="BRL"/>
    <n v="214000"/>
    <n v="214000"/>
    <s v="USD"/>
    <n v="39000"/>
    <n v="39000"/>
    <b v="0"/>
    <n v="1"/>
  </r>
  <r>
    <b v="1"/>
    <x v="0"/>
    <x v="0"/>
    <x v="2"/>
    <x v="0"/>
    <x v="1"/>
    <x v="37"/>
    <s v="BBG00NQJNB18"/>
    <x v="0"/>
    <s v="72b244fd46b444aba44095c0ca650e2f"/>
    <s v="Klabin 2049"/>
    <x v="0"/>
    <x v="7"/>
    <s v="Products &amp; Systems for Efficiency"/>
    <s v="Tall Oil Plant"/>
    <s v="Brazil"/>
    <d v="2020-01-01T00:00:00"/>
    <d v="2020-01-01T00:00:00"/>
    <s v="BRL"/>
    <n v="4041000"/>
    <n v="4041000"/>
    <s v="USD"/>
    <n v="821000"/>
    <n v="821000"/>
    <b v="0"/>
    <n v="1"/>
  </r>
  <r>
    <b v="1"/>
    <x v="0"/>
    <x v="0"/>
    <x v="2"/>
    <x v="0"/>
    <x v="1"/>
    <x v="37"/>
    <s v="BBG00NQJNB18"/>
    <x v="0"/>
    <s v="72b244fd46b444aba44095c0ca650e2f"/>
    <s v="Klabin 2049"/>
    <x v="0"/>
    <x v="7"/>
    <s v="Products &amp; Systems for Efficiency"/>
    <s v="Tall Oil Plant"/>
    <s v="Brazil"/>
    <d v="2019-07-01T00:00:00"/>
    <d v="2019-07-01T00:00:00"/>
    <s v="BRL"/>
    <n v="20892436"/>
    <n v="20892436"/>
    <s v="USD"/>
    <n v="5153028"/>
    <n v="5153028"/>
    <b v="0"/>
    <n v="1"/>
  </r>
  <r>
    <b v="1"/>
    <x v="0"/>
    <x v="0"/>
    <x v="2"/>
    <x v="0"/>
    <x v="1"/>
    <x v="37"/>
    <s v="BBG00NQJNB18"/>
    <x v="0"/>
    <s v="72b244fd46b444aba44095c0ca650e2f"/>
    <s v="Klabin 2049"/>
    <x v="0"/>
    <x v="7"/>
    <s v="Products &amp; Systems for Efficiency"/>
    <s v="Tall Oil Plant"/>
    <s v="Brazil"/>
    <d v="2019-01-01T00:00:00"/>
    <d v="2019-01-01T00:00:00"/>
    <s v="BRL"/>
    <n v="6480390"/>
    <n v="6480390"/>
    <s v="USD"/>
    <n v="1685010"/>
    <n v="1685010"/>
    <b v="0"/>
    <n v="1"/>
  </r>
  <r>
    <b v="1"/>
    <x v="0"/>
    <x v="0"/>
    <x v="2"/>
    <x v="0"/>
    <x v="1"/>
    <x v="37"/>
    <s v="BBG00NQJNB18"/>
    <x v="0"/>
    <s v="72b244fd46b444aba44095c0ca650e2f"/>
    <s v="Klabin 2049"/>
    <x v="1"/>
    <x v="1"/>
    <s v="Products"/>
    <s v="Tall Oil Plant"/>
    <s v="Brazil"/>
    <d v="2021-01-01T00:00:00"/>
    <d v="2021-01-01T00:00:00"/>
    <s v="BRL"/>
    <n v="231000"/>
    <n v="231000"/>
    <s v="USD"/>
    <n v="43000"/>
    <n v="43000"/>
    <b v="0"/>
    <n v="1"/>
  </r>
  <r>
    <b v="1"/>
    <x v="0"/>
    <x v="0"/>
    <x v="2"/>
    <x v="0"/>
    <x v="1"/>
    <x v="37"/>
    <s v="BBG00NQJNB18"/>
    <x v="0"/>
    <s v="72b244fd46b444aba44095c0ca650e2f"/>
    <s v="Klabin 2049"/>
    <x v="1"/>
    <x v="1"/>
    <s v="Products"/>
    <s v="Tall Oil Plant"/>
    <s v="Brazil"/>
    <d v="2020-07-01T00:00:00"/>
    <d v="2020-07-01T00:00:00"/>
    <s v="BRL"/>
    <n v="214000"/>
    <n v="214000"/>
    <s v="USD"/>
    <n v="39000"/>
    <n v="39000"/>
    <b v="0"/>
    <n v="1"/>
  </r>
  <r>
    <b v="1"/>
    <x v="0"/>
    <x v="0"/>
    <x v="2"/>
    <x v="0"/>
    <x v="1"/>
    <x v="37"/>
    <s v="BBG00NQJNB18"/>
    <x v="0"/>
    <s v="72b244fd46b444aba44095c0ca650e2f"/>
    <s v="Klabin 2049"/>
    <x v="1"/>
    <x v="1"/>
    <s v="Products"/>
    <s v="Tall Oil Plant"/>
    <s v="Brazil"/>
    <d v="2020-01-01T00:00:00"/>
    <d v="2020-01-01T00:00:00"/>
    <s v="BRL"/>
    <n v="4041000"/>
    <n v="4041000"/>
    <s v="USD"/>
    <n v="821000"/>
    <n v="821000"/>
    <b v="0"/>
    <n v="1"/>
  </r>
  <r>
    <b v="1"/>
    <x v="0"/>
    <x v="0"/>
    <x v="2"/>
    <x v="0"/>
    <x v="1"/>
    <x v="37"/>
    <s v="BBG00NQJNB18"/>
    <x v="0"/>
    <s v="72b244fd46b444aba44095c0ca650e2f"/>
    <s v="Klabin 2049"/>
    <x v="1"/>
    <x v="1"/>
    <s v="Products"/>
    <s v="Tall Oil Plant"/>
    <s v="Brazil"/>
    <d v="2019-07-01T00:00:00"/>
    <d v="2019-07-01T00:00:00"/>
    <s v="BRL"/>
    <n v="20892436"/>
    <n v="20892436"/>
    <s v="USD"/>
    <n v="5153028"/>
    <n v="5153028"/>
    <b v="0"/>
    <n v="1"/>
  </r>
  <r>
    <b v="1"/>
    <x v="0"/>
    <x v="0"/>
    <x v="2"/>
    <x v="0"/>
    <x v="1"/>
    <x v="37"/>
    <s v="BBG00NQJNB18"/>
    <x v="0"/>
    <s v="72b244fd46b444aba44095c0ca650e2f"/>
    <s v="Klabin 2049"/>
    <x v="1"/>
    <x v="1"/>
    <s v="Products"/>
    <s v="Tall Oil Plant"/>
    <s v="Brazil"/>
    <d v="2019-01-01T00:00:00"/>
    <d v="2019-01-01T00:00:00"/>
    <s v="BRL"/>
    <n v="6480390"/>
    <n v="6480390"/>
    <s v="USD"/>
    <n v="1685010"/>
    <n v="1685010"/>
    <b v="0"/>
    <n v="1"/>
  </r>
  <r>
    <b v="1"/>
    <x v="0"/>
    <x v="0"/>
    <x v="2"/>
    <x v="0"/>
    <x v="1"/>
    <x v="36"/>
    <s v="BBG00HPK5N13"/>
    <x v="0"/>
    <s v="7d27df26e2924c4d9fcf8ba0c0d9d684"/>
    <s v="Klabin 2027"/>
    <x v="0"/>
    <x v="15"/>
    <s v="Preparation"/>
    <s v="Waste Central"/>
    <s v="Brazil"/>
    <d v="2016-06-01T00:00:00"/>
    <d v="2016-06-01T00:00:00"/>
    <s v="BRL"/>
    <n v="5837400"/>
    <n v="5837400"/>
    <s v="USD"/>
    <n v="1675825"/>
    <n v="1675825"/>
    <b v="1"/>
    <n v="1"/>
  </r>
  <r>
    <b v="1"/>
    <x v="0"/>
    <x v="0"/>
    <x v="2"/>
    <x v="0"/>
    <x v="1"/>
    <x v="36"/>
    <s v="BBG00HPK5N13"/>
    <x v="0"/>
    <s v="7d27df26e2924c4d9fcf8ba0c0d9d684"/>
    <s v="Klabin 2027"/>
    <x v="0"/>
    <x v="15"/>
    <s v="Preparation"/>
    <s v="Waste Central"/>
    <s v="Brazil"/>
    <d v="2015-09-01T00:00:00"/>
    <d v="2015-09-01T00:00:00"/>
    <s v="BRL"/>
    <n v="250000"/>
    <n v="250000"/>
    <s v="USD"/>
    <n v="74880"/>
    <n v="74880"/>
    <b v="1"/>
    <n v="1"/>
  </r>
  <r>
    <b v="1"/>
    <x v="0"/>
    <x v="0"/>
    <x v="2"/>
    <x v="0"/>
    <x v="1"/>
    <x v="36"/>
    <s v="BBG00HPK5N13"/>
    <x v="0"/>
    <s v="7d27df26e2924c4d9fcf8ba0c0d9d684"/>
    <s v="Klabin 2027"/>
    <x v="1"/>
    <x v="3"/>
    <s v="Infrastructure"/>
    <s v="Waste Central"/>
    <s v="Brazil"/>
    <d v="2016-06-01T00:00:00"/>
    <d v="2016-06-01T00:00:00"/>
    <s v="BRL"/>
    <n v="5837400"/>
    <n v="5837400"/>
    <s v="USD"/>
    <n v="1675825"/>
    <n v="1675825"/>
    <b v="1"/>
    <n v="1"/>
  </r>
  <r>
    <b v="1"/>
    <x v="0"/>
    <x v="0"/>
    <x v="2"/>
    <x v="0"/>
    <x v="1"/>
    <x v="36"/>
    <s v="BBG00HPK5N13"/>
    <x v="0"/>
    <s v="7d27df26e2924c4d9fcf8ba0c0d9d684"/>
    <s v="Klabin 2027"/>
    <x v="1"/>
    <x v="3"/>
    <s v="Infrastructure"/>
    <s v="Waste Central"/>
    <s v="Brazil"/>
    <d v="2015-09-01T00:00:00"/>
    <d v="2015-09-01T00:00:00"/>
    <s v="BRL"/>
    <n v="250000"/>
    <n v="250000"/>
    <s v="USD"/>
    <n v="74880"/>
    <n v="74880"/>
    <b v="1"/>
    <n v="1"/>
  </r>
  <r>
    <b v="1"/>
    <x v="0"/>
    <x v="0"/>
    <x v="2"/>
    <x v="0"/>
    <x v="1"/>
    <x v="57"/>
    <s v="BBG00VSZG6M8"/>
    <x v="26"/>
    <s v="ddc074cc122446bc92e5b6929179d0e2"/>
    <s v="Rumo 2028"/>
    <x v="0"/>
    <x v="5"/>
    <s v="Rail"/>
    <s v="Extension of Tut√≥ia Yard"/>
    <s v="Brazil"/>
    <d v="2021-06-01T00:00:00"/>
    <d v="2021-06-01T00:00:00"/>
    <s v="USD"/>
    <n v="676446"/>
    <n v="676446"/>
    <s v="USD"/>
    <n v="676446"/>
    <n v="676446"/>
    <b v="1"/>
    <m/>
  </r>
  <r>
    <b v="1"/>
    <x v="0"/>
    <x v="0"/>
    <x v="2"/>
    <x v="0"/>
    <x v="1"/>
    <x v="57"/>
    <s v="BBG00VSZG6M8"/>
    <x v="26"/>
    <s v="ddc074cc122446bc92e5b6929179d0e2"/>
    <s v="Rumo 2028"/>
    <x v="0"/>
    <x v="5"/>
    <s v="Rail"/>
    <s v="Extension of Tut√≥ia Yard"/>
    <s v="Brazil"/>
    <d v="2021-05-01T00:00:00"/>
    <d v="2021-05-01T00:00:00"/>
    <s v="USD"/>
    <n v="413692"/>
    <n v="413692"/>
    <s v="USD"/>
    <n v="413692"/>
    <n v="413692"/>
    <b v="1"/>
    <m/>
  </r>
  <r>
    <b v="1"/>
    <x v="0"/>
    <x v="0"/>
    <x v="2"/>
    <x v="0"/>
    <x v="1"/>
    <x v="57"/>
    <s v="BBG00VSZG6M8"/>
    <x v="26"/>
    <s v="ddc074cc122446bc92e5b6929179d0e2"/>
    <s v="Rumo 2028"/>
    <x v="0"/>
    <x v="5"/>
    <s v="Rail"/>
    <s v="Extension of Tut√≥ia Yard"/>
    <s v="Brazil"/>
    <d v="2021-04-01T00:00:00"/>
    <d v="2021-04-01T00:00:00"/>
    <s v="USD"/>
    <n v="367977"/>
    <n v="367977"/>
    <s v="USD"/>
    <n v="367977"/>
    <n v="367977"/>
    <b v="1"/>
    <m/>
  </r>
  <r>
    <b v="1"/>
    <x v="0"/>
    <x v="0"/>
    <x v="2"/>
    <x v="0"/>
    <x v="1"/>
    <x v="57"/>
    <s v="BBG00VSZG6M8"/>
    <x v="26"/>
    <s v="ddc074cc122446bc92e5b6929179d0e2"/>
    <s v="Rumo 2028"/>
    <x v="0"/>
    <x v="5"/>
    <s v="Rail"/>
    <s v="Extension of Tut√≥ia Yard"/>
    <s v="Brazil"/>
    <d v="2021-03-01T00:00:00"/>
    <d v="2021-03-01T00:00:00"/>
    <s v="USD"/>
    <n v="721803"/>
    <n v="721803"/>
    <s v="USD"/>
    <n v="721803"/>
    <n v="721803"/>
    <b v="1"/>
    <m/>
  </r>
  <r>
    <b v="1"/>
    <x v="0"/>
    <x v="0"/>
    <x v="2"/>
    <x v="0"/>
    <x v="1"/>
    <x v="57"/>
    <s v="BBG00VSZG6M8"/>
    <x v="26"/>
    <s v="ddc074cc122446bc92e5b6929179d0e2"/>
    <s v="Rumo 2028"/>
    <x v="0"/>
    <x v="5"/>
    <s v="Rail"/>
    <s v="Extension of Tut√≥ia Yard"/>
    <s v="Brazil"/>
    <d v="2021-02-01T00:00:00"/>
    <d v="2021-02-01T00:00:00"/>
    <s v="USD"/>
    <n v="639493"/>
    <n v="639493"/>
    <s v="USD"/>
    <n v="639493"/>
    <n v="639493"/>
    <b v="1"/>
    <m/>
  </r>
  <r>
    <b v="1"/>
    <x v="0"/>
    <x v="0"/>
    <x v="2"/>
    <x v="0"/>
    <x v="1"/>
    <x v="57"/>
    <s v="BBG00VSZG6M8"/>
    <x v="26"/>
    <s v="ddc074cc122446bc92e5b6929179d0e2"/>
    <s v="Rumo 2028"/>
    <x v="0"/>
    <x v="5"/>
    <s v="Rail"/>
    <s v="Extension of Tut√≥ia Yard"/>
    <s v="Brazil"/>
    <d v="2021-01-01T00:00:00"/>
    <d v="2021-01-01T00:00:00"/>
    <s v="USD"/>
    <n v="34256"/>
    <n v="34256"/>
    <s v="USD"/>
    <n v="34256"/>
    <n v="34256"/>
    <b v="1"/>
    <m/>
  </r>
  <r>
    <b v="1"/>
    <x v="0"/>
    <x v="0"/>
    <x v="2"/>
    <x v="0"/>
    <x v="1"/>
    <x v="57"/>
    <s v="BBG00VSZG6M8"/>
    <x v="26"/>
    <s v="ddc074cc122446bc92e5b6929179d0e2"/>
    <s v="Rumo 2028"/>
    <x v="0"/>
    <x v="5"/>
    <s v="Rail"/>
    <s v="Extension of Tut√≥ia Yard"/>
    <s v="Brazil"/>
    <d v="2020-12-01T00:00:00"/>
    <d v="2020-12-01T00:00:00"/>
    <s v="USD"/>
    <n v="2051510"/>
    <n v="2051510"/>
    <s v="USD"/>
    <n v="2051510"/>
    <n v="2051510"/>
    <b v="1"/>
    <m/>
  </r>
  <r>
    <b v="1"/>
    <x v="0"/>
    <x v="0"/>
    <x v="2"/>
    <x v="0"/>
    <x v="1"/>
    <x v="57"/>
    <s v="BBG00VSZG6M8"/>
    <x v="26"/>
    <s v="ddc074cc122446bc92e5b6929179d0e2"/>
    <s v="Rumo 2028"/>
    <x v="0"/>
    <x v="5"/>
    <s v="Rail"/>
    <s v="Extension of Tut√≥ia Yard"/>
    <s v="Brazil"/>
    <d v="2020-11-01T00:00:00"/>
    <d v="2020-11-01T00:00:00"/>
    <s v="USD"/>
    <n v="783815"/>
    <n v="783815"/>
    <s v="USD"/>
    <n v="783815"/>
    <n v="783815"/>
    <b v="1"/>
    <m/>
  </r>
  <r>
    <b v="1"/>
    <x v="0"/>
    <x v="0"/>
    <x v="2"/>
    <x v="0"/>
    <x v="1"/>
    <x v="57"/>
    <s v="BBG00VSZG6M8"/>
    <x v="26"/>
    <s v="ddc074cc122446bc92e5b6929179d0e2"/>
    <s v="Rumo 2028"/>
    <x v="0"/>
    <x v="5"/>
    <s v="Rail"/>
    <s v="Extension of Tut√≥ia Yard"/>
    <s v="Brazil"/>
    <d v="2020-10-01T00:00:00"/>
    <d v="2020-10-01T00:00:00"/>
    <s v="USD"/>
    <n v="226561"/>
    <n v="226561"/>
    <s v="USD"/>
    <n v="226561"/>
    <n v="226561"/>
    <b v="1"/>
    <m/>
  </r>
  <r>
    <b v="1"/>
    <x v="0"/>
    <x v="0"/>
    <x v="2"/>
    <x v="0"/>
    <x v="1"/>
    <x v="57"/>
    <s v="BBG00VSZG6M8"/>
    <x v="26"/>
    <s v="ddc074cc122446bc92e5b6929179d0e2"/>
    <s v="Rumo 2028"/>
    <x v="0"/>
    <x v="5"/>
    <s v="Rail"/>
    <s v="Extension of Tut√≥ia Yard"/>
    <s v="Brazil"/>
    <d v="2020-09-01T00:00:00"/>
    <d v="2020-09-01T00:00:00"/>
    <s v="USD"/>
    <n v="253382"/>
    <n v="253382"/>
    <s v="USD"/>
    <n v="253382"/>
    <n v="253382"/>
    <b v="1"/>
    <m/>
  </r>
  <r>
    <b v="1"/>
    <x v="0"/>
    <x v="0"/>
    <x v="2"/>
    <x v="0"/>
    <x v="1"/>
    <x v="57"/>
    <s v="BBG00VSZG6M8"/>
    <x v="26"/>
    <s v="ddc074cc122446bc92e5b6929179d0e2"/>
    <s v="Rumo 2028"/>
    <x v="0"/>
    <x v="5"/>
    <s v="Rail"/>
    <s v="Extension of Tut√≥ia Yard"/>
    <s v="Brazil"/>
    <d v="2020-08-01T00:00:00"/>
    <d v="2020-08-01T00:00:00"/>
    <s v="USD"/>
    <n v="273356"/>
    <n v="273356"/>
    <s v="USD"/>
    <n v="273356"/>
    <n v="273356"/>
    <b v="1"/>
    <m/>
  </r>
  <r>
    <b v="1"/>
    <x v="0"/>
    <x v="0"/>
    <x v="2"/>
    <x v="0"/>
    <x v="1"/>
    <x v="57"/>
    <s v="BBG00VSZG6M8"/>
    <x v="26"/>
    <s v="ddc074cc122446bc92e5b6929179d0e2"/>
    <s v="Rumo 2028"/>
    <x v="0"/>
    <x v="5"/>
    <s v="Rail"/>
    <s v="Extension of Tut√≥ia Yard"/>
    <s v="Brazil"/>
    <d v="2020-07-01T00:00:00"/>
    <d v="2020-07-01T00:00:00"/>
    <s v="USD"/>
    <n v="265419"/>
    <n v="265419"/>
    <s v="USD"/>
    <n v="265419"/>
    <n v="265419"/>
    <b v="1"/>
    <m/>
  </r>
  <r>
    <b v="1"/>
    <x v="0"/>
    <x v="0"/>
    <x v="2"/>
    <x v="0"/>
    <x v="1"/>
    <x v="57"/>
    <s v="BBG00VSZG6M8"/>
    <x v="26"/>
    <s v="ddc074cc122446bc92e5b6929179d0e2"/>
    <s v="Rumo 2028"/>
    <x v="1"/>
    <x v="6"/>
    <s v="Rail"/>
    <s v="Extension of Tut√≥ia Yard"/>
    <s v="Brazil"/>
    <d v="2021-06-01T00:00:00"/>
    <d v="2021-06-01T00:00:00"/>
    <s v="USD"/>
    <n v="676446"/>
    <n v="676446"/>
    <s v="USD"/>
    <n v="676446"/>
    <n v="676446"/>
    <b v="1"/>
    <m/>
  </r>
  <r>
    <b v="1"/>
    <x v="0"/>
    <x v="0"/>
    <x v="2"/>
    <x v="0"/>
    <x v="1"/>
    <x v="57"/>
    <s v="BBG00VSZG6M8"/>
    <x v="26"/>
    <s v="ddc074cc122446bc92e5b6929179d0e2"/>
    <s v="Rumo 2028"/>
    <x v="1"/>
    <x v="6"/>
    <s v="Rail"/>
    <s v="Extension of Tut√≥ia Yard"/>
    <s v="Brazil"/>
    <d v="2021-05-01T00:00:00"/>
    <d v="2021-05-01T00:00:00"/>
    <s v="USD"/>
    <n v="413692"/>
    <n v="413692"/>
    <s v="USD"/>
    <n v="413692"/>
    <n v="413692"/>
    <b v="1"/>
    <m/>
  </r>
  <r>
    <b v="1"/>
    <x v="0"/>
    <x v="0"/>
    <x v="2"/>
    <x v="0"/>
    <x v="1"/>
    <x v="57"/>
    <s v="BBG00VSZG6M8"/>
    <x v="26"/>
    <s v="ddc074cc122446bc92e5b6929179d0e2"/>
    <s v="Rumo 2028"/>
    <x v="1"/>
    <x v="6"/>
    <s v="Rail"/>
    <s v="Extension of Tut√≥ia Yard"/>
    <s v="Brazil"/>
    <d v="2021-04-01T00:00:00"/>
    <d v="2021-04-01T00:00:00"/>
    <s v="USD"/>
    <n v="367977"/>
    <n v="367977"/>
    <s v="USD"/>
    <n v="367977"/>
    <n v="367977"/>
    <b v="1"/>
    <m/>
  </r>
  <r>
    <b v="1"/>
    <x v="0"/>
    <x v="0"/>
    <x v="2"/>
    <x v="0"/>
    <x v="1"/>
    <x v="57"/>
    <s v="BBG00VSZG6M8"/>
    <x v="26"/>
    <s v="ddc074cc122446bc92e5b6929179d0e2"/>
    <s v="Rumo 2028"/>
    <x v="1"/>
    <x v="6"/>
    <s v="Rail"/>
    <s v="Extension of Tut√≥ia Yard"/>
    <s v="Brazil"/>
    <d v="2021-03-01T00:00:00"/>
    <d v="2021-03-01T00:00:00"/>
    <s v="USD"/>
    <n v="721803"/>
    <n v="721803"/>
    <s v="USD"/>
    <n v="721803"/>
    <n v="721803"/>
    <b v="1"/>
    <m/>
  </r>
  <r>
    <b v="1"/>
    <x v="0"/>
    <x v="0"/>
    <x v="2"/>
    <x v="0"/>
    <x v="1"/>
    <x v="57"/>
    <s v="BBG00VSZG6M8"/>
    <x v="26"/>
    <s v="ddc074cc122446bc92e5b6929179d0e2"/>
    <s v="Rumo 2028"/>
    <x v="1"/>
    <x v="6"/>
    <s v="Rail"/>
    <s v="Extension of Tut√≥ia Yard"/>
    <s v="Brazil"/>
    <d v="2021-02-01T00:00:00"/>
    <d v="2021-02-01T00:00:00"/>
    <s v="USD"/>
    <n v="639493"/>
    <n v="639493"/>
    <s v="USD"/>
    <n v="639493"/>
    <n v="639493"/>
    <b v="1"/>
    <m/>
  </r>
  <r>
    <b v="1"/>
    <x v="0"/>
    <x v="0"/>
    <x v="2"/>
    <x v="0"/>
    <x v="1"/>
    <x v="57"/>
    <s v="BBG00VSZG6M8"/>
    <x v="26"/>
    <s v="ddc074cc122446bc92e5b6929179d0e2"/>
    <s v="Rumo 2028"/>
    <x v="1"/>
    <x v="6"/>
    <s v="Rail"/>
    <s v="Extension of Tut√≥ia Yard"/>
    <s v="Brazil"/>
    <d v="2021-01-01T00:00:00"/>
    <d v="2021-01-01T00:00:00"/>
    <s v="USD"/>
    <n v="34256"/>
    <n v="34256"/>
    <s v="USD"/>
    <n v="34256"/>
    <n v="34256"/>
    <b v="1"/>
    <m/>
  </r>
  <r>
    <b v="1"/>
    <x v="0"/>
    <x v="0"/>
    <x v="2"/>
    <x v="0"/>
    <x v="1"/>
    <x v="57"/>
    <s v="BBG00VSZG6M8"/>
    <x v="26"/>
    <s v="ddc074cc122446bc92e5b6929179d0e2"/>
    <s v="Rumo 2028"/>
    <x v="1"/>
    <x v="6"/>
    <s v="Rail"/>
    <s v="Extension of Tut√≥ia Yard"/>
    <s v="Brazil"/>
    <d v="2020-12-01T00:00:00"/>
    <d v="2020-12-01T00:00:00"/>
    <s v="USD"/>
    <n v="2051510"/>
    <n v="2051510"/>
    <s v="USD"/>
    <n v="2051510"/>
    <n v="2051510"/>
    <b v="1"/>
    <m/>
  </r>
  <r>
    <b v="1"/>
    <x v="0"/>
    <x v="0"/>
    <x v="2"/>
    <x v="0"/>
    <x v="1"/>
    <x v="57"/>
    <s v="BBG00VSZG6M8"/>
    <x v="26"/>
    <s v="ddc074cc122446bc92e5b6929179d0e2"/>
    <s v="Rumo 2028"/>
    <x v="1"/>
    <x v="6"/>
    <s v="Rail"/>
    <s v="Extension of Tut√≥ia Yard"/>
    <s v="Brazil"/>
    <d v="2020-11-01T00:00:00"/>
    <d v="2020-11-01T00:00:00"/>
    <s v="USD"/>
    <n v="783815"/>
    <n v="783815"/>
    <s v="USD"/>
    <n v="783815"/>
    <n v="783815"/>
    <b v="1"/>
    <m/>
  </r>
  <r>
    <b v="1"/>
    <x v="0"/>
    <x v="0"/>
    <x v="2"/>
    <x v="0"/>
    <x v="1"/>
    <x v="57"/>
    <s v="BBG00VSZG6M8"/>
    <x v="26"/>
    <s v="ddc074cc122446bc92e5b6929179d0e2"/>
    <s v="Rumo 2028"/>
    <x v="1"/>
    <x v="6"/>
    <s v="Rail"/>
    <s v="Extension of Tut√≥ia Yard"/>
    <s v="Brazil"/>
    <d v="2020-10-01T00:00:00"/>
    <d v="2020-10-01T00:00:00"/>
    <s v="USD"/>
    <n v="226561"/>
    <n v="226561"/>
    <s v="USD"/>
    <n v="226561"/>
    <n v="226561"/>
    <b v="1"/>
    <m/>
  </r>
  <r>
    <b v="1"/>
    <x v="0"/>
    <x v="0"/>
    <x v="2"/>
    <x v="0"/>
    <x v="1"/>
    <x v="57"/>
    <s v="BBG00VSZG6M8"/>
    <x v="26"/>
    <s v="ddc074cc122446bc92e5b6929179d0e2"/>
    <s v="Rumo 2028"/>
    <x v="1"/>
    <x v="6"/>
    <s v="Rail"/>
    <s v="Extension of Tut√≥ia Yard"/>
    <s v="Brazil"/>
    <d v="2020-09-01T00:00:00"/>
    <d v="2020-09-01T00:00:00"/>
    <s v="USD"/>
    <n v="253382"/>
    <n v="253382"/>
    <s v="USD"/>
    <n v="253382"/>
    <n v="253382"/>
    <b v="1"/>
    <m/>
  </r>
  <r>
    <b v="1"/>
    <x v="0"/>
    <x v="0"/>
    <x v="2"/>
    <x v="0"/>
    <x v="1"/>
    <x v="57"/>
    <s v="BBG00VSZG6M8"/>
    <x v="26"/>
    <s v="ddc074cc122446bc92e5b6929179d0e2"/>
    <s v="Rumo 2028"/>
    <x v="1"/>
    <x v="6"/>
    <s v="Rail"/>
    <s v="Extension of Tut√≥ia Yard"/>
    <s v="Brazil"/>
    <d v="2020-08-01T00:00:00"/>
    <d v="2020-08-01T00:00:00"/>
    <s v="USD"/>
    <n v="273356"/>
    <n v="273356"/>
    <s v="USD"/>
    <n v="273356"/>
    <n v="273356"/>
    <b v="1"/>
    <m/>
  </r>
  <r>
    <b v="1"/>
    <x v="0"/>
    <x v="0"/>
    <x v="2"/>
    <x v="0"/>
    <x v="1"/>
    <x v="57"/>
    <s v="BBG00VSZG6M8"/>
    <x v="26"/>
    <s v="ddc074cc122446bc92e5b6929179d0e2"/>
    <s v="Rumo 2028"/>
    <x v="1"/>
    <x v="6"/>
    <s v="Rail"/>
    <s v="Extension of Tut√≥ia Yard"/>
    <s v="Brazil"/>
    <d v="2020-07-01T00:00:00"/>
    <d v="2020-07-01T00:00:00"/>
    <s v="USD"/>
    <n v="265419"/>
    <n v="265419"/>
    <s v="USD"/>
    <n v="265419"/>
    <n v="265419"/>
    <b v="1"/>
    <m/>
  </r>
  <r>
    <b v="1"/>
    <x v="0"/>
    <x v="0"/>
    <x v="2"/>
    <x v="0"/>
    <x v="1"/>
    <x v="57"/>
    <s v="BBG00VSZG6M8"/>
    <x v="26"/>
    <s v="ddc074cc122446bc92e5b6929179d0e2"/>
    <s v="Rumo 2028"/>
    <x v="0"/>
    <x v="5"/>
    <s v="Rail"/>
    <s v="Rio Claro Novo Yard"/>
    <s v="Brazil"/>
    <d v="2021-05-01T00:00:00"/>
    <d v="2021-05-01T00:00:00"/>
    <s v="USD"/>
    <n v="133266"/>
    <n v="133266"/>
    <s v="USD"/>
    <n v="133266"/>
    <n v="133266"/>
    <b v="1"/>
    <m/>
  </r>
  <r>
    <b v="1"/>
    <x v="0"/>
    <x v="0"/>
    <x v="2"/>
    <x v="0"/>
    <x v="1"/>
    <x v="57"/>
    <s v="BBG00VSZG6M8"/>
    <x v="26"/>
    <s v="ddc074cc122446bc92e5b6929179d0e2"/>
    <s v="Rumo 2028"/>
    <x v="0"/>
    <x v="5"/>
    <s v="Rail"/>
    <s v="Rio Claro Novo Yard"/>
    <s v="Brazil"/>
    <d v="2021-04-01T00:00:00"/>
    <d v="2021-04-01T00:00:00"/>
    <s v="USD"/>
    <n v="9642"/>
    <n v="9642"/>
    <s v="USD"/>
    <n v="9642"/>
    <n v="9642"/>
    <b v="1"/>
    <m/>
  </r>
  <r>
    <b v="1"/>
    <x v="0"/>
    <x v="0"/>
    <x v="2"/>
    <x v="0"/>
    <x v="1"/>
    <x v="57"/>
    <s v="BBG00VSZG6M8"/>
    <x v="26"/>
    <s v="ddc074cc122446bc92e5b6929179d0e2"/>
    <s v="Rumo 2028"/>
    <x v="0"/>
    <x v="5"/>
    <s v="Rail"/>
    <s v="Rio Claro Novo Yard"/>
    <s v="Brazil"/>
    <d v="2021-03-01T00:00:00"/>
    <d v="2021-03-01T00:00:00"/>
    <s v="USD"/>
    <n v="93816"/>
    <n v="93816"/>
    <s v="USD"/>
    <n v="93816"/>
    <n v="93816"/>
    <b v="1"/>
    <m/>
  </r>
  <r>
    <b v="1"/>
    <x v="0"/>
    <x v="0"/>
    <x v="2"/>
    <x v="0"/>
    <x v="1"/>
    <x v="57"/>
    <s v="BBG00VSZG6M8"/>
    <x v="26"/>
    <s v="ddc074cc122446bc92e5b6929179d0e2"/>
    <s v="Rumo 2028"/>
    <x v="0"/>
    <x v="5"/>
    <s v="Rail"/>
    <s v="Rio Claro Novo Yard"/>
    <s v="Brazil"/>
    <d v="2021-02-01T00:00:00"/>
    <d v="2021-02-01T00:00:00"/>
    <s v="USD"/>
    <n v="369759"/>
    <n v="369759"/>
    <s v="USD"/>
    <n v="369759"/>
    <n v="369759"/>
    <b v="1"/>
    <m/>
  </r>
  <r>
    <b v="1"/>
    <x v="0"/>
    <x v="0"/>
    <x v="2"/>
    <x v="0"/>
    <x v="1"/>
    <x v="57"/>
    <s v="BBG00VSZG6M8"/>
    <x v="26"/>
    <s v="ddc074cc122446bc92e5b6929179d0e2"/>
    <s v="Rumo 2028"/>
    <x v="0"/>
    <x v="5"/>
    <s v="Rail"/>
    <s v="Rio Claro Novo Yard"/>
    <s v="Brazil"/>
    <d v="2021-01-01T00:00:00"/>
    <d v="2021-01-01T00:00:00"/>
    <s v="USD"/>
    <n v="105163"/>
    <n v="105163"/>
    <s v="USD"/>
    <n v="105163"/>
    <n v="105163"/>
    <b v="1"/>
    <m/>
  </r>
  <r>
    <b v="1"/>
    <x v="0"/>
    <x v="0"/>
    <x v="2"/>
    <x v="0"/>
    <x v="1"/>
    <x v="57"/>
    <s v="BBG00VSZG6M8"/>
    <x v="26"/>
    <s v="ddc074cc122446bc92e5b6929179d0e2"/>
    <s v="Rumo 2028"/>
    <x v="0"/>
    <x v="5"/>
    <s v="Rail"/>
    <s v="Rio Claro Novo Yard"/>
    <s v="Brazil"/>
    <d v="2020-12-01T00:00:00"/>
    <d v="2020-12-01T00:00:00"/>
    <s v="USD"/>
    <n v="1781229"/>
    <n v="1781229"/>
    <s v="USD"/>
    <n v="1781229"/>
    <n v="1781229"/>
    <b v="1"/>
    <m/>
  </r>
  <r>
    <b v="1"/>
    <x v="0"/>
    <x v="0"/>
    <x v="2"/>
    <x v="0"/>
    <x v="1"/>
    <x v="57"/>
    <s v="BBG00VSZG6M8"/>
    <x v="26"/>
    <s v="ddc074cc122446bc92e5b6929179d0e2"/>
    <s v="Rumo 2028"/>
    <x v="0"/>
    <x v="5"/>
    <s v="Rail"/>
    <s v="Rio Claro Novo Yard"/>
    <s v="Brazil"/>
    <d v="2020-11-01T00:00:00"/>
    <d v="2020-11-01T00:00:00"/>
    <s v="USD"/>
    <n v="1459926"/>
    <n v="1459926"/>
    <s v="USD"/>
    <n v="1459926"/>
    <n v="1459926"/>
    <b v="1"/>
    <m/>
  </r>
  <r>
    <b v="1"/>
    <x v="0"/>
    <x v="0"/>
    <x v="2"/>
    <x v="0"/>
    <x v="1"/>
    <x v="57"/>
    <s v="BBG00VSZG6M8"/>
    <x v="26"/>
    <s v="ddc074cc122446bc92e5b6929179d0e2"/>
    <s v="Rumo 2028"/>
    <x v="0"/>
    <x v="5"/>
    <s v="Rail"/>
    <s v="Rio Claro Novo Yard"/>
    <s v="Brazil"/>
    <d v="2020-10-01T00:00:00"/>
    <d v="2020-10-01T00:00:00"/>
    <s v="USD"/>
    <n v="1086350"/>
    <n v="1086350"/>
    <s v="USD"/>
    <n v="1086350"/>
    <n v="1086350"/>
    <b v="1"/>
    <m/>
  </r>
  <r>
    <b v="1"/>
    <x v="0"/>
    <x v="0"/>
    <x v="2"/>
    <x v="0"/>
    <x v="1"/>
    <x v="57"/>
    <s v="BBG00VSZG6M8"/>
    <x v="26"/>
    <s v="ddc074cc122446bc92e5b6929179d0e2"/>
    <s v="Rumo 2028"/>
    <x v="0"/>
    <x v="5"/>
    <s v="Rail"/>
    <s v="Rio Claro Novo Yard"/>
    <s v="Brazil"/>
    <d v="2020-09-01T00:00:00"/>
    <d v="2020-09-01T00:00:00"/>
    <s v="USD"/>
    <n v="285887"/>
    <n v="285887"/>
    <s v="USD"/>
    <n v="285887"/>
    <n v="285887"/>
    <b v="1"/>
    <m/>
  </r>
  <r>
    <b v="1"/>
    <x v="0"/>
    <x v="0"/>
    <x v="2"/>
    <x v="0"/>
    <x v="1"/>
    <x v="57"/>
    <s v="BBG00VSZG6M8"/>
    <x v="26"/>
    <s v="ddc074cc122446bc92e5b6929179d0e2"/>
    <s v="Rumo 2028"/>
    <x v="0"/>
    <x v="5"/>
    <s v="Rail"/>
    <s v="Rio Claro Novo Yard"/>
    <s v="Brazil"/>
    <d v="2020-08-01T00:00:00"/>
    <d v="2020-08-01T00:00:00"/>
    <s v="USD"/>
    <n v="17577"/>
    <n v="17577"/>
    <s v="USD"/>
    <n v="17577"/>
    <n v="17577"/>
    <b v="1"/>
    <m/>
  </r>
  <r>
    <b v="1"/>
    <x v="0"/>
    <x v="0"/>
    <x v="2"/>
    <x v="0"/>
    <x v="1"/>
    <x v="57"/>
    <s v="BBG00VSZG6M8"/>
    <x v="26"/>
    <s v="ddc074cc122446bc92e5b6929179d0e2"/>
    <s v="Rumo 2028"/>
    <x v="0"/>
    <x v="5"/>
    <s v="Rail"/>
    <s v="Rio Claro Novo Yard"/>
    <s v="Brazil"/>
    <d v="2020-07-01T00:00:00"/>
    <d v="2020-07-01T00:00:00"/>
    <s v="USD"/>
    <n v="35153"/>
    <n v="35153"/>
    <s v="USD"/>
    <n v="35153"/>
    <n v="35153"/>
    <b v="1"/>
    <m/>
  </r>
  <r>
    <b v="1"/>
    <x v="0"/>
    <x v="0"/>
    <x v="2"/>
    <x v="0"/>
    <x v="1"/>
    <x v="57"/>
    <s v="BBG00VSZG6M8"/>
    <x v="26"/>
    <s v="ddc074cc122446bc92e5b6929179d0e2"/>
    <s v="Rumo 2028"/>
    <x v="1"/>
    <x v="6"/>
    <s v="Rail"/>
    <s v="Rio Claro Novo Yard"/>
    <s v="Brazil"/>
    <d v="2021-05-01T00:00:00"/>
    <d v="2021-05-01T00:00:00"/>
    <s v="USD"/>
    <n v="133266"/>
    <n v="133266"/>
    <s v="USD"/>
    <n v="133266"/>
    <n v="133266"/>
    <b v="1"/>
    <m/>
  </r>
  <r>
    <b v="1"/>
    <x v="0"/>
    <x v="0"/>
    <x v="2"/>
    <x v="0"/>
    <x v="1"/>
    <x v="57"/>
    <s v="BBG00VSZG6M8"/>
    <x v="26"/>
    <s v="ddc074cc122446bc92e5b6929179d0e2"/>
    <s v="Rumo 2028"/>
    <x v="1"/>
    <x v="6"/>
    <s v="Rail"/>
    <s v="Rio Claro Novo Yard"/>
    <s v="Brazil"/>
    <d v="2021-04-01T00:00:00"/>
    <d v="2021-04-01T00:00:00"/>
    <s v="USD"/>
    <n v="9642"/>
    <n v="9642"/>
    <s v="USD"/>
    <n v="9642"/>
    <n v="9642"/>
    <b v="1"/>
    <m/>
  </r>
  <r>
    <b v="1"/>
    <x v="0"/>
    <x v="0"/>
    <x v="2"/>
    <x v="0"/>
    <x v="1"/>
    <x v="57"/>
    <s v="BBG00VSZG6M8"/>
    <x v="26"/>
    <s v="ddc074cc122446bc92e5b6929179d0e2"/>
    <s v="Rumo 2028"/>
    <x v="1"/>
    <x v="6"/>
    <s v="Rail"/>
    <s v="Rio Claro Novo Yard"/>
    <s v="Brazil"/>
    <d v="2021-03-01T00:00:00"/>
    <d v="2021-03-01T00:00:00"/>
    <s v="USD"/>
    <n v="93816"/>
    <n v="93816"/>
    <s v="USD"/>
    <n v="93816"/>
    <n v="93816"/>
    <b v="1"/>
    <m/>
  </r>
  <r>
    <b v="1"/>
    <x v="0"/>
    <x v="0"/>
    <x v="2"/>
    <x v="0"/>
    <x v="1"/>
    <x v="57"/>
    <s v="BBG00VSZG6M8"/>
    <x v="26"/>
    <s v="ddc074cc122446bc92e5b6929179d0e2"/>
    <s v="Rumo 2028"/>
    <x v="1"/>
    <x v="6"/>
    <s v="Rail"/>
    <s v="Rio Claro Novo Yard"/>
    <s v="Brazil"/>
    <d v="2021-02-01T00:00:00"/>
    <d v="2021-02-01T00:00:00"/>
    <s v="USD"/>
    <n v="369759"/>
    <n v="369759"/>
    <s v="USD"/>
    <n v="369759"/>
    <n v="369759"/>
    <b v="1"/>
    <m/>
  </r>
  <r>
    <b v="1"/>
    <x v="0"/>
    <x v="0"/>
    <x v="2"/>
    <x v="0"/>
    <x v="1"/>
    <x v="57"/>
    <s v="BBG00VSZG6M8"/>
    <x v="26"/>
    <s v="ddc074cc122446bc92e5b6929179d0e2"/>
    <s v="Rumo 2028"/>
    <x v="1"/>
    <x v="6"/>
    <s v="Rail"/>
    <s v="Rio Claro Novo Yard"/>
    <s v="Brazil"/>
    <d v="2021-01-01T00:00:00"/>
    <d v="2021-01-01T00:00:00"/>
    <s v="USD"/>
    <n v="105163"/>
    <n v="105163"/>
    <s v="USD"/>
    <n v="105163"/>
    <n v="105163"/>
    <b v="1"/>
    <m/>
  </r>
  <r>
    <b v="1"/>
    <x v="0"/>
    <x v="0"/>
    <x v="2"/>
    <x v="0"/>
    <x v="1"/>
    <x v="57"/>
    <s v="BBG00VSZG6M8"/>
    <x v="26"/>
    <s v="ddc074cc122446bc92e5b6929179d0e2"/>
    <s v="Rumo 2028"/>
    <x v="1"/>
    <x v="6"/>
    <s v="Rail"/>
    <s v="Rio Claro Novo Yard"/>
    <s v="Brazil"/>
    <d v="2020-12-01T00:00:00"/>
    <d v="2020-12-01T00:00:00"/>
    <s v="USD"/>
    <n v="1781229"/>
    <n v="1781229"/>
    <s v="USD"/>
    <n v="1781229"/>
    <n v="1781229"/>
    <b v="1"/>
    <m/>
  </r>
  <r>
    <b v="1"/>
    <x v="0"/>
    <x v="0"/>
    <x v="2"/>
    <x v="0"/>
    <x v="1"/>
    <x v="57"/>
    <s v="BBG00VSZG6M8"/>
    <x v="26"/>
    <s v="ddc074cc122446bc92e5b6929179d0e2"/>
    <s v="Rumo 2028"/>
    <x v="1"/>
    <x v="6"/>
    <s v="Rail"/>
    <s v="Rio Claro Novo Yard"/>
    <s v="Brazil"/>
    <d v="2020-11-01T00:00:00"/>
    <d v="2020-11-01T00:00:00"/>
    <s v="USD"/>
    <n v="1459926"/>
    <n v="1459926"/>
    <s v="USD"/>
    <n v="1459926"/>
    <n v="1459926"/>
    <b v="1"/>
    <m/>
  </r>
  <r>
    <b v="1"/>
    <x v="0"/>
    <x v="0"/>
    <x v="2"/>
    <x v="0"/>
    <x v="1"/>
    <x v="57"/>
    <s v="BBG00VSZG6M8"/>
    <x v="26"/>
    <s v="ddc074cc122446bc92e5b6929179d0e2"/>
    <s v="Rumo 2028"/>
    <x v="1"/>
    <x v="6"/>
    <s v="Rail"/>
    <s v="Rio Claro Novo Yard"/>
    <s v="Brazil"/>
    <d v="2020-10-01T00:00:00"/>
    <d v="2020-10-01T00:00:00"/>
    <s v="USD"/>
    <n v="1086350"/>
    <n v="1086350"/>
    <s v="USD"/>
    <n v="1086350"/>
    <n v="1086350"/>
    <b v="1"/>
    <m/>
  </r>
  <r>
    <b v="1"/>
    <x v="0"/>
    <x v="0"/>
    <x v="2"/>
    <x v="0"/>
    <x v="1"/>
    <x v="57"/>
    <s v="BBG00VSZG6M8"/>
    <x v="26"/>
    <s v="ddc074cc122446bc92e5b6929179d0e2"/>
    <s v="Rumo 2028"/>
    <x v="1"/>
    <x v="6"/>
    <s v="Rail"/>
    <s v="Rio Claro Novo Yard"/>
    <s v="Brazil"/>
    <d v="2020-09-01T00:00:00"/>
    <d v="2020-09-01T00:00:00"/>
    <s v="USD"/>
    <n v="285887"/>
    <n v="285887"/>
    <s v="USD"/>
    <n v="285887"/>
    <n v="285887"/>
    <b v="1"/>
    <m/>
  </r>
  <r>
    <b v="1"/>
    <x v="0"/>
    <x v="0"/>
    <x v="2"/>
    <x v="0"/>
    <x v="1"/>
    <x v="57"/>
    <s v="BBG00VSZG6M8"/>
    <x v="26"/>
    <s v="ddc074cc122446bc92e5b6929179d0e2"/>
    <s v="Rumo 2028"/>
    <x v="1"/>
    <x v="6"/>
    <s v="Rail"/>
    <s v="Rio Claro Novo Yard"/>
    <s v="Brazil"/>
    <d v="2020-08-01T00:00:00"/>
    <d v="2020-08-01T00:00:00"/>
    <s v="USD"/>
    <n v="17577"/>
    <n v="17577"/>
    <s v="USD"/>
    <n v="17577"/>
    <n v="17577"/>
    <b v="1"/>
    <m/>
  </r>
  <r>
    <b v="1"/>
    <x v="0"/>
    <x v="0"/>
    <x v="2"/>
    <x v="0"/>
    <x v="1"/>
    <x v="57"/>
    <s v="BBG00VSZG6M8"/>
    <x v="26"/>
    <s v="ddc074cc122446bc92e5b6929179d0e2"/>
    <s v="Rumo 2028"/>
    <x v="1"/>
    <x v="6"/>
    <s v="Rail"/>
    <s v="Rio Claro Novo Yard"/>
    <s v="Brazil"/>
    <d v="2020-07-01T00:00:00"/>
    <d v="2020-07-01T00:00:00"/>
    <s v="USD"/>
    <n v="35153"/>
    <n v="35153"/>
    <s v="USD"/>
    <n v="35153"/>
    <n v="35153"/>
    <b v="1"/>
    <m/>
  </r>
  <r>
    <b v="1"/>
    <x v="0"/>
    <x v="0"/>
    <x v="2"/>
    <x v="0"/>
    <x v="1"/>
    <x v="57"/>
    <s v="BBG00VSZG6M8"/>
    <x v="26"/>
    <s v="ddc074cc122446bc92e5b6929179d0e2"/>
    <s v="Rumo 2028"/>
    <x v="0"/>
    <x v="5"/>
    <s v="Rail"/>
    <s v="Ouro and Tamoio Yard"/>
    <s v="Brazil"/>
    <d v="2021-06-01T00:00:00"/>
    <d v="2021-06-01T00:00:00"/>
    <s v="USD"/>
    <n v="1084899"/>
    <n v="1084899"/>
    <s v="USD"/>
    <n v="1084899"/>
    <n v="1084899"/>
    <b v="1"/>
    <m/>
  </r>
  <r>
    <b v="1"/>
    <x v="0"/>
    <x v="0"/>
    <x v="2"/>
    <x v="0"/>
    <x v="1"/>
    <x v="57"/>
    <s v="BBG00VSZG6M8"/>
    <x v="26"/>
    <s v="ddc074cc122446bc92e5b6929179d0e2"/>
    <s v="Rumo 2028"/>
    <x v="0"/>
    <x v="5"/>
    <s v="Rail"/>
    <s v="Ouro and Tamoio Yard"/>
    <s v="Brazil"/>
    <d v="2021-05-01T00:00:00"/>
    <d v="2021-05-01T00:00:00"/>
    <s v="USD"/>
    <n v="864731"/>
    <n v="864731"/>
    <s v="USD"/>
    <n v="864731"/>
    <n v="864731"/>
    <b v="1"/>
    <m/>
  </r>
  <r>
    <b v="1"/>
    <x v="0"/>
    <x v="0"/>
    <x v="2"/>
    <x v="0"/>
    <x v="1"/>
    <x v="57"/>
    <s v="BBG00VSZG6M8"/>
    <x v="26"/>
    <s v="ddc074cc122446bc92e5b6929179d0e2"/>
    <s v="Rumo 2028"/>
    <x v="0"/>
    <x v="5"/>
    <s v="Rail"/>
    <s v="Ouro and Tamoio Yard"/>
    <s v="Brazil"/>
    <d v="2021-04-01T00:00:00"/>
    <d v="2021-04-01T00:00:00"/>
    <s v="USD"/>
    <n v="1472847"/>
    <n v="1472847"/>
    <s v="USD"/>
    <n v="1472847"/>
    <n v="1472847"/>
    <b v="1"/>
    <m/>
  </r>
  <r>
    <b v="1"/>
    <x v="0"/>
    <x v="0"/>
    <x v="2"/>
    <x v="0"/>
    <x v="1"/>
    <x v="57"/>
    <s v="BBG00VSZG6M8"/>
    <x v="26"/>
    <s v="ddc074cc122446bc92e5b6929179d0e2"/>
    <s v="Rumo 2028"/>
    <x v="0"/>
    <x v="5"/>
    <s v="Rail"/>
    <s v="Ouro and Tamoio Yard"/>
    <s v="Brazil"/>
    <d v="2021-03-01T00:00:00"/>
    <d v="2021-03-01T00:00:00"/>
    <s v="USD"/>
    <n v="330193"/>
    <n v="330193"/>
    <s v="USD"/>
    <n v="330193"/>
    <n v="330193"/>
    <b v="1"/>
    <m/>
  </r>
  <r>
    <b v="1"/>
    <x v="0"/>
    <x v="0"/>
    <x v="2"/>
    <x v="0"/>
    <x v="1"/>
    <x v="57"/>
    <s v="BBG00VSZG6M8"/>
    <x v="26"/>
    <s v="ddc074cc122446bc92e5b6929179d0e2"/>
    <s v="Rumo 2028"/>
    <x v="0"/>
    <x v="5"/>
    <s v="Rail"/>
    <s v="Ouro and Tamoio Yard"/>
    <s v="Brazil"/>
    <d v="2021-02-01T00:00:00"/>
    <d v="2021-02-01T00:00:00"/>
    <s v="USD"/>
    <n v="192516"/>
    <n v="192516"/>
    <s v="USD"/>
    <n v="192516"/>
    <n v="192516"/>
    <b v="1"/>
    <m/>
  </r>
  <r>
    <b v="1"/>
    <x v="0"/>
    <x v="0"/>
    <x v="2"/>
    <x v="0"/>
    <x v="1"/>
    <x v="57"/>
    <s v="BBG00VSZG6M8"/>
    <x v="26"/>
    <s v="ddc074cc122446bc92e5b6929179d0e2"/>
    <s v="Rumo 2028"/>
    <x v="0"/>
    <x v="5"/>
    <s v="Rail"/>
    <s v="Ouro and Tamoio Yard"/>
    <s v="Brazil"/>
    <d v="2020-12-01T00:00:00"/>
    <d v="2020-12-01T00:00:00"/>
    <s v="USD"/>
    <n v="515813"/>
    <n v="515813"/>
    <s v="USD"/>
    <n v="515813"/>
    <n v="515813"/>
    <b v="1"/>
    <m/>
  </r>
  <r>
    <b v="1"/>
    <x v="0"/>
    <x v="0"/>
    <x v="2"/>
    <x v="0"/>
    <x v="1"/>
    <x v="57"/>
    <s v="BBG00VSZG6M8"/>
    <x v="26"/>
    <s v="ddc074cc122446bc92e5b6929179d0e2"/>
    <s v="Rumo 2028"/>
    <x v="0"/>
    <x v="5"/>
    <s v="Rail"/>
    <s v="Ouro and Tamoio Yard"/>
    <s v="Brazil"/>
    <d v="2020-11-01T00:00:00"/>
    <d v="2020-11-01T00:00:00"/>
    <s v="USD"/>
    <n v="127820"/>
    <n v="127820"/>
    <s v="USD"/>
    <n v="127820"/>
    <n v="127820"/>
    <b v="1"/>
    <m/>
  </r>
  <r>
    <b v="1"/>
    <x v="0"/>
    <x v="0"/>
    <x v="2"/>
    <x v="0"/>
    <x v="1"/>
    <x v="57"/>
    <s v="BBG00VSZG6M8"/>
    <x v="26"/>
    <s v="ddc074cc122446bc92e5b6929179d0e2"/>
    <s v="Rumo 2028"/>
    <x v="0"/>
    <x v="5"/>
    <s v="Rail"/>
    <s v="Ouro and Tamoio Yard"/>
    <s v="Brazil"/>
    <d v="2020-10-01T00:00:00"/>
    <d v="2020-10-01T00:00:00"/>
    <s v="USD"/>
    <n v="75236"/>
    <n v="75236"/>
    <s v="USD"/>
    <n v="75236"/>
    <n v="75236"/>
    <b v="1"/>
    <m/>
  </r>
  <r>
    <b v="1"/>
    <x v="0"/>
    <x v="0"/>
    <x v="2"/>
    <x v="0"/>
    <x v="1"/>
    <x v="57"/>
    <s v="BBG00VSZG6M8"/>
    <x v="26"/>
    <s v="ddc074cc122446bc92e5b6929179d0e2"/>
    <s v="Rumo 2028"/>
    <x v="1"/>
    <x v="6"/>
    <s v="Rail"/>
    <s v="Ouro and Tamoio Yard"/>
    <s v="Brazil"/>
    <d v="2021-06-01T00:00:00"/>
    <d v="2021-06-01T00:00:00"/>
    <s v="USD"/>
    <n v="1084899"/>
    <n v="1084899"/>
    <s v="USD"/>
    <n v="1084899"/>
    <n v="1084899"/>
    <b v="1"/>
    <m/>
  </r>
  <r>
    <b v="1"/>
    <x v="0"/>
    <x v="0"/>
    <x v="2"/>
    <x v="0"/>
    <x v="1"/>
    <x v="57"/>
    <s v="BBG00VSZG6M8"/>
    <x v="26"/>
    <s v="ddc074cc122446bc92e5b6929179d0e2"/>
    <s v="Rumo 2028"/>
    <x v="1"/>
    <x v="6"/>
    <s v="Rail"/>
    <s v="Ouro and Tamoio Yard"/>
    <s v="Brazil"/>
    <d v="2021-05-01T00:00:00"/>
    <d v="2021-05-01T00:00:00"/>
    <s v="USD"/>
    <n v="864731"/>
    <n v="864731"/>
    <s v="USD"/>
    <n v="864731"/>
    <n v="864731"/>
    <b v="1"/>
    <m/>
  </r>
  <r>
    <b v="1"/>
    <x v="0"/>
    <x v="0"/>
    <x v="2"/>
    <x v="0"/>
    <x v="1"/>
    <x v="57"/>
    <s v="BBG00VSZG6M8"/>
    <x v="26"/>
    <s v="ddc074cc122446bc92e5b6929179d0e2"/>
    <s v="Rumo 2028"/>
    <x v="1"/>
    <x v="6"/>
    <s v="Rail"/>
    <s v="Ouro and Tamoio Yard"/>
    <s v="Brazil"/>
    <d v="2021-04-01T00:00:00"/>
    <d v="2021-04-01T00:00:00"/>
    <s v="USD"/>
    <n v="1472847"/>
    <n v="1472847"/>
    <s v="USD"/>
    <n v="1472847"/>
    <n v="1472847"/>
    <b v="1"/>
    <m/>
  </r>
  <r>
    <b v="1"/>
    <x v="0"/>
    <x v="0"/>
    <x v="2"/>
    <x v="0"/>
    <x v="1"/>
    <x v="57"/>
    <s v="BBG00VSZG6M8"/>
    <x v="26"/>
    <s v="ddc074cc122446bc92e5b6929179d0e2"/>
    <s v="Rumo 2028"/>
    <x v="1"/>
    <x v="6"/>
    <s v="Rail"/>
    <s v="Ouro and Tamoio Yard"/>
    <s v="Brazil"/>
    <d v="2021-03-01T00:00:00"/>
    <d v="2021-03-01T00:00:00"/>
    <s v="USD"/>
    <n v="330193"/>
    <n v="330193"/>
    <s v="USD"/>
    <n v="330193"/>
    <n v="330193"/>
    <b v="1"/>
    <m/>
  </r>
  <r>
    <b v="1"/>
    <x v="0"/>
    <x v="0"/>
    <x v="2"/>
    <x v="0"/>
    <x v="1"/>
    <x v="57"/>
    <s v="BBG00VSZG6M8"/>
    <x v="26"/>
    <s v="ddc074cc122446bc92e5b6929179d0e2"/>
    <s v="Rumo 2028"/>
    <x v="1"/>
    <x v="6"/>
    <s v="Rail"/>
    <s v="Ouro and Tamoio Yard"/>
    <s v="Brazil"/>
    <d v="2021-02-01T00:00:00"/>
    <d v="2021-02-01T00:00:00"/>
    <s v="USD"/>
    <n v="192516"/>
    <n v="192516"/>
    <s v="USD"/>
    <n v="192516"/>
    <n v="192516"/>
    <b v="1"/>
    <m/>
  </r>
  <r>
    <b v="1"/>
    <x v="0"/>
    <x v="0"/>
    <x v="2"/>
    <x v="0"/>
    <x v="1"/>
    <x v="57"/>
    <s v="BBG00VSZG6M8"/>
    <x v="26"/>
    <s v="ddc074cc122446bc92e5b6929179d0e2"/>
    <s v="Rumo 2028"/>
    <x v="1"/>
    <x v="6"/>
    <s v="Rail"/>
    <s v="Ouro and Tamoio Yard"/>
    <s v="Brazil"/>
    <d v="2020-12-01T00:00:00"/>
    <d v="2020-12-01T00:00:00"/>
    <s v="USD"/>
    <n v="515813"/>
    <n v="515813"/>
    <s v="USD"/>
    <n v="515813"/>
    <n v="515813"/>
    <b v="1"/>
    <m/>
  </r>
  <r>
    <b v="1"/>
    <x v="0"/>
    <x v="0"/>
    <x v="2"/>
    <x v="0"/>
    <x v="1"/>
    <x v="57"/>
    <s v="BBG00VSZG6M8"/>
    <x v="26"/>
    <s v="ddc074cc122446bc92e5b6929179d0e2"/>
    <s v="Rumo 2028"/>
    <x v="1"/>
    <x v="6"/>
    <s v="Rail"/>
    <s v="Ouro and Tamoio Yard"/>
    <s v="Brazil"/>
    <d v="2020-11-01T00:00:00"/>
    <d v="2020-11-01T00:00:00"/>
    <s v="USD"/>
    <n v="127820"/>
    <n v="127820"/>
    <s v="USD"/>
    <n v="127820"/>
    <n v="127820"/>
    <b v="1"/>
    <m/>
  </r>
  <r>
    <b v="1"/>
    <x v="0"/>
    <x v="0"/>
    <x v="2"/>
    <x v="0"/>
    <x v="1"/>
    <x v="57"/>
    <s v="BBG00VSZG6M8"/>
    <x v="26"/>
    <s v="ddc074cc122446bc92e5b6929179d0e2"/>
    <s v="Rumo 2028"/>
    <x v="1"/>
    <x v="6"/>
    <s v="Rail"/>
    <s v="Ouro and Tamoio Yard"/>
    <s v="Brazil"/>
    <d v="2020-10-01T00:00:00"/>
    <d v="2020-10-01T00:00:00"/>
    <s v="USD"/>
    <n v="75236"/>
    <n v="75236"/>
    <s v="USD"/>
    <n v="75236"/>
    <n v="75236"/>
    <b v="1"/>
    <m/>
  </r>
  <r>
    <b v="1"/>
    <x v="0"/>
    <x v="0"/>
    <x v="2"/>
    <x v="0"/>
    <x v="1"/>
    <x v="57"/>
    <s v="BBG00VSZG6M8"/>
    <x v="26"/>
    <s v="ddc074cc122446bc92e5b6929179d0e2"/>
    <s v="Rumo 2028"/>
    <x v="0"/>
    <x v="5"/>
    <s v="Rail"/>
    <s v="Rio Claro Novo and Cordeir√≥polis crossing yards"/>
    <s v="Brazil"/>
    <d v="2021-06-01T00:00:00"/>
    <d v="2021-06-01T00:00:00"/>
    <s v="USD"/>
    <n v="1748440"/>
    <n v="1748440"/>
    <s v="USD"/>
    <n v="1748440"/>
    <n v="1748440"/>
    <b v="1"/>
    <m/>
  </r>
  <r>
    <b v="1"/>
    <x v="0"/>
    <x v="0"/>
    <x v="2"/>
    <x v="0"/>
    <x v="1"/>
    <x v="57"/>
    <s v="BBG00VSZG6M8"/>
    <x v="26"/>
    <s v="ddc074cc122446bc92e5b6929179d0e2"/>
    <s v="Rumo 2028"/>
    <x v="0"/>
    <x v="5"/>
    <s v="Rail"/>
    <s v="Rio Claro Novo and Cordeir√≥polis crossing yards"/>
    <s v="Brazil"/>
    <d v="2021-05-01T00:00:00"/>
    <d v="2021-05-01T00:00:00"/>
    <s v="USD"/>
    <n v="953016"/>
    <n v="953016"/>
    <s v="USD"/>
    <n v="953016"/>
    <n v="953016"/>
    <b v="1"/>
    <m/>
  </r>
  <r>
    <b v="1"/>
    <x v="0"/>
    <x v="0"/>
    <x v="2"/>
    <x v="0"/>
    <x v="1"/>
    <x v="57"/>
    <s v="BBG00VSZG6M8"/>
    <x v="26"/>
    <s v="ddc074cc122446bc92e5b6929179d0e2"/>
    <s v="Rumo 2028"/>
    <x v="0"/>
    <x v="5"/>
    <s v="Rail"/>
    <s v="Rio Claro Novo and Cordeir√≥polis crossing yards"/>
    <s v="Brazil"/>
    <d v="2021-04-01T00:00:00"/>
    <d v="2021-04-01T00:00:00"/>
    <s v="USD"/>
    <n v="586283"/>
    <n v="586283"/>
    <s v="USD"/>
    <n v="586283"/>
    <n v="586283"/>
    <b v="1"/>
    <m/>
  </r>
  <r>
    <b v="1"/>
    <x v="0"/>
    <x v="0"/>
    <x v="2"/>
    <x v="0"/>
    <x v="1"/>
    <x v="57"/>
    <s v="BBG00VSZG6M8"/>
    <x v="26"/>
    <s v="ddc074cc122446bc92e5b6929179d0e2"/>
    <s v="Rumo 2028"/>
    <x v="0"/>
    <x v="5"/>
    <s v="Rail"/>
    <s v="Rio Claro Novo and Cordeir√≥polis crossing yards"/>
    <s v="Brazil"/>
    <d v="2021-03-01T00:00:00"/>
    <d v="2021-03-01T00:00:00"/>
    <s v="USD"/>
    <n v="254276"/>
    <n v="254276"/>
    <s v="USD"/>
    <n v="254276"/>
    <n v="254276"/>
    <b v="1"/>
    <m/>
  </r>
  <r>
    <b v="1"/>
    <x v="0"/>
    <x v="0"/>
    <x v="2"/>
    <x v="0"/>
    <x v="1"/>
    <x v="57"/>
    <s v="BBG00VSZG6M8"/>
    <x v="26"/>
    <s v="ddc074cc122446bc92e5b6929179d0e2"/>
    <s v="Rumo 2028"/>
    <x v="0"/>
    <x v="5"/>
    <s v="Rail"/>
    <s v="Rio Claro Novo and Cordeir√≥polis crossing yards"/>
    <s v="Brazil"/>
    <d v="2021-02-01T00:00:00"/>
    <d v="2021-02-01T00:00:00"/>
    <s v="USD"/>
    <n v="87438"/>
    <n v="87438"/>
    <s v="USD"/>
    <n v="87438"/>
    <n v="87438"/>
    <b v="1"/>
    <m/>
  </r>
  <r>
    <b v="1"/>
    <x v="0"/>
    <x v="0"/>
    <x v="2"/>
    <x v="0"/>
    <x v="1"/>
    <x v="57"/>
    <s v="BBG00VSZG6M8"/>
    <x v="26"/>
    <s v="ddc074cc122446bc92e5b6929179d0e2"/>
    <s v="Rumo 2028"/>
    <x v="0"/>
    <x v="5"/>
    <s v="Rail"/>
    <s v="Rio Claro Novo and Cordeir√≥polis crossing yards"/>
    <s v="Brazil"/>
    <d v="2021-01-01T00:00:00"/>
    <d v="2021-01-01T00:00:00"/>
    <s v="USD"/>
    <n v="157"/>
    <n v="157"/>
    <s v="USD"/>
    <n v="157"/>
    <n v="157"/>
    <b v="1"/>
    <m/>
  </r>
  <r>
    <b v="1"/>
    <x v="0"/>
    <x v="0"/>
    <x v="2"/>
    <x v="0"/>
    <x v="1"/>
    <x v="57"/>
    <s v="BBG00VSZG6M8"/>
    <x v="26"/>
    <s v="ddc074cc122446bc92e5b6929179d0e2"/>
    <s v="Rumo 2028"/>
    <x v="0"/>
    <x v="5"/>
    <s v="Rail"/>
    <s v="Rio Claro Novo and Cordeir√≥polis crossing yards"/>
    <s v="Brazil"/>
    <d v="2020-12-01T00:00:00"/>
    <d v="2020-12-01T00:00:00"/>
    <s v="USD"/>
    <n v="572756"/>
    <n v="572756"/>
    <s v="USD"/>
    <n v="572756"/>
    <n v="572756"/>
    <b v="1"/>
    <m/>
  </r>
  <r>
    <b v="1"/>
    <x v="0"/>
    <x v="0"/>
    <x v="2"/>
    <x v="0"/>
    <x v="1"/>
    <x v="57"/>
    <s v="BBG00VSZG6M8"/>
    <x v="26"/>
    <s v="ddc074cc122446bc92e5b6929179d0e2"/>
    <s v="Rumo 2028"/>
    <x v="0"/>
    <x v="5"/>
    <s v="Rail"/>
    <s v="Rio Claro Novo and Cordeir√≥polis crossing yards"/>
    <s v="Brazil"/>
    <d v="2020-11-01T00:00:00"/>
    <d v="2020-11-01T00:00:00"/>
    <s v="USD"/>
    <n v="59431"/>
    <n v="59431"/>
    <s v="USD"/>
    <n v="59431"/>
    <n v="59431"/>
    <b v="1"/>
    <m/>
  </r>
  <r>
    <b v="1"/>
    <x v="0"/>
    <x v="0"/>
    <x v="2"/>
    <x v="0"/>
    <x v="1"/>
    <x v="57"/>
    <s v="BBG00VSZG6M8"/>
    <x v="26"/>
    <s v="ddc074cc122446bc92e5b6929179d0e2"/>
    <s v="Rumo 2028"/>
    <x v="0"/>
    <x v="5"/>
    <s v="Rail"/>
    <s v="Rio Claro Novo and Cordeir√≥polis crossing yards"/>
    <s v="Brazil"/>
    <d v="2020-10-01T00:00:00"/>
    <d v="2020-10-01T00:00:00"/>
    <s v="USD"/>
    <n v="11198"/>
    <n v="11198"/>
    <s v="USD"/>
    <n v="11198"/>
    <n v="11198"/>
    <b v="1"/>
    <m/>
  </r>
  <r>
    <b v="1"/>
    <x v="0"/>
    <x v="0"/>
    <x v="2"/>
    <x v="0"/>
    <x v="1"/>
    <x v="57"/>
    <s v="BBG00VSZG6M8"/>
    <x v="26"/>
    <s v="ddc074cc122446bc92e5b6929179d0e2"/>
    <s v="Rumo 2028"/>
    <x v="0"/>
    <x v="5"/>
    <s v="Rail"/>
    <s v="Rio Claro Novo and Cordeir√≥polis crossing yards"/>
    <s v="Brazil"/>
    <d v="2020-09-01T00:00:00"/>
    <d v="2020-09-01T00:00:00"/>
    <s v="USD"/>
    <n v="10375"/>
    <n v="10375"/>
    <s v="USD"/>
    <n v="10375"/>
    <n v="10375"/>
    <b v="1"/>
    <m/>
  </r>
  <r>
    <b v="1"/>
    <x v="0"/>
    <x v="0"/>
    <x v="2"/>
    <x v="0"/>
    <x v="1"/>
    <x v="57"/>
    <s v="BBG00VSZG6M8"/>
    <x v="26"/>
    <s v="ddc074cc122446bc92e5b6929179d0e2"/>
    <s v="Rumo 2028"/>
    <x v="1"/>
    <x v="6"/>
    <s v="Rail"/>
    <s v="Rio Claro Novo and Cordeir√≥polis crossing yards"/>
    <s v="Brazil"/>
    <d v="2021-06-01T00:00:00"/>
    <d v="2021-06-01T00:00:00"/>
    <s v="USD"/>
    <n v="1748440"/>
    <n v="1748440"/>
    <s v="USD"/>
    <n v="1748440"/>
    <n v="1748440"/>
    <b v="1"/>
    <m/>
  </r>
  <r>
    <b v="1"/>
    <x v="0"/>
    <x v="0"/>
    <x v="2"/>
    <x v="0"/>
    <x v="1"/>
    <x v="57"/>
    <s v="BBG00VSZG6M8"/>
    <x v="26"/>
    <s v="ddc074cc122446bc92e5b6929179d0e2"/>
    <s v="Rumo 2028"/>
    <x v="1"/>
    <x v="6"/>
    <s v="Rail"/>
    <s v="Rio Claro Novo and Cordeir√≥polis crossing yards"/>
    <s v="Brazil"/>
    <d v="2021-05-01T00:00:00"/>
    <d v="2021-05-01T00:00:00"/>
    <s v="USD"/>
    <n v="953016"/>
    <n v="953016"/>
    <s v="USD"/>
    <n v="953016"/>
    <n v="953016"/>
    <b v="1"/>
    <m/>
  </r>
  <r>
    <b v="1"/>
    <x v="0"/>
    <x v="0"/>
    <x v="2"/>
    <x v="0"/>
    <x v="1"/>
    <x v="57"/>
    <s v="BBG00VSZG6M8"/>
    <x v="26"/>
    <s v="ddc074cc122446bc92e5b6929179d0e2"/>
    <s v="Rumo 2028"/>
    <x v="1"/>
    <x v="6"/>
    <s v="Rail"/>
    <s v="Rio Claro Novo and Cordeir√≥polis crossing yards"/>
    <s v="Brazil"/>
    <d v="2021-04-01T00:00:00"/>
    <d v="2021-04-01T00:00:00"/>
    <s v="USD"/>
    <n v="586283"/>
    <n v="586283"/>
    <s v="USD"/>
    <n v="586283"/>
    <n v="586283"/>
    <b v="1"/>
    <m/>
  </r>
  <r>
    <b v="1"/>
    <x v="0"/>
    <x v="0"/>
    <x v="2"/>
    <x v="0"/>
    <x v="1"/>
    <x v="57"/>
    <s v="BBG00VSZG6M8"/>
    <x v="26"/>
    <s v="ddc074cc122446bc92e5b6929179d0e2"/>
    <s v="Rumo 2028"/>
    <x v="1"/>
    <x v="6"/>
    <s v="Rail"/>
    <s v="Rio Claro Novo and Cordeir√≥polis crossing yards"/>
    <s v="Brazil"/>
    <d v="2021-03-01T00:00:00"/>
    <d v="2021-03-01T00:00:00"/>
    <s v="USD"/>
    <n v="254276"/>
    <n v="254276"/>
    <s v="USD"/>
    <n v="254276"/>
    <n v="254276"/>
    <b v="1"/>
    <m/>
  </r>
  <r>
    <b v="1"/>
    <x v="0"/>
    <x v="0"/>
    <x v="2"/>
    <x v="0"/>
    <x v="1"/>
    <x v="57"/>
    <s v="BBG00VSZG6M8"/>
    <x v="26"/>
    <s v="ddc074cc122446bc92e5b6929179d0e2"/>
    <s v="Rumo 2028"/>
    <x v="1"/>
    <x v="6"/>
    <s v="Rail"/>
    <s v="Rio Claro Novo and Cordeir√≥polis crossing yards"/>
    <s v="Brazil"/>
    <d v="2021-02-01T00:00:00"/>
    <d v="2021-02-01T00:00:00"/>
    <s v="USD"/>
    <n v="87438"/>
    <n v="87438"/>
    <s v="USD"/>
    <n v="87438"/>
    <n v="87438"/>
    <b v="1"/>
    <m/>
  </r>
  <r>
    <b v="1"/>
    <x v="0"/>
    <x v="0"/>
    <x v="2"/>
    <x v="0"/>
    <x v="1"/>
    <x v="57"/>
    <s v="BBG00VSZG6M8"/>
    <x v="26"/>
    <s v="ddc074cc122446bc92e5b6929179d0e2"/>
    <s v="Rumo 2028"/>
    <x v="1"/>
    <x v="6"/>
    <s v="Rail"/>
    <s v="Rio Claro Novo and Cordeir√≥polis crossing yards"/>
    <s v="Brazil"/>
    <d v="2021-01-01T00:00:00"/>
    <d v="2021-01-01T00:00:00"/>
    <s v="USD"/>
    <n v="157"/>
    <n v="157"/>
    <s v="USD"/>
    <n v="157"/>
    <n v="157"/>
    <b v="1"/>
    <m/>
  </r>
  <r>
    <b v="1"/>
    <x v="0"/>
    <x v="0"/>
    <x v="2"/>
    <x v="0"/>
    <x v="1"/>
    <x v="57"/>
    <s v="BBG00VSZG6M8"/>
    <x v="26"/>
    <s v="ddc074cc122446bc92e5b6929179d0e2"/>
    <s v="Rumo 2028"/>
    <x v="1"/>
    <x v="6"/>
    <s v="Rail"/>
    <s v="Rio Claro Novo and Cordeir√≥polis crossing yards"/>
    <s v="Brazil"/>
    <d v="2020-12-01T00:00:00"/>
    <d v="2020-12-01T00:00:00"/>
    <s v="USD"/>
    <n v="572756"/>
    <n v="572756"/>
    <s v="USD"/>
    <n v="572756"/>
    <n v="572756"/>
    <b v="1"/>
    <m/>
  </r>
  <r>
    <b v="1"/>
    <x v="0"/>
    <x v="0"/>
    <x v="2"/>
    <x v="0"/>
    <x v="1"/>
    <x v="57"/>
    <s v="BBG00VSZG6M8"/>
    <x v="26"/>
    <s v="ddc074cc122446bc92e5b6929179d0e2"/>
    <s v="Rumo 2028"/>
    <x v="1"/>
    <x v="6"/>
    <s v="Rail"/>
    <s v="Rio Claro Novo and Cordeir√≥polis crossing yards"/>
    <s v="Brazil"/>
    <d v="2020-11-01T00:00:00"/>
    <d v="2020-11-01T00:00:00"/>
    <s v="USD"/>
    <n v="59431"/>
    <n v="59431"/>
    <s v="USD"/>
    <n v="59431"/>
    <n v="59431"/>
    <b v="1"/>
    <m/>
  </r>
  <r>
    <b v="1"/>
    <x v="0"/>
    <x v="0"/>
    <x v="2"/>
    <x v="0"/>
    <x v="1"/>
    <x v="57"/>
    <s v="BBG00VSZG6M8"/>
    <x v="26"/>
    <s v="ddc074cc122446bc92e5b6929179d0e2"/>
    <s v="Rumo 2028"/>
    <x v="1"/>
    <x v="6"/>
    <s v="Rail"/>
    <s v="Rio Claro Novo and Cordeir√≥polis crossing yards"/>
    <s v="Brazil"/>
    <d v="2020-10-01T00:00:00"/>
    <d v="2020-10-01T00:00:00"/>
    <s v="USD"/>
    <n v="11198"/>
    <n v="11198"/>
    <s v="USD"/>
    <n v="11198"/>
    <n v="11198"/>
    <b v="1"/>
    <m/>
  </r>
  <r>
    <b v="1"/>
    <x v="0"/>
    <x v="0"/>
    <x v="2"/>
    <x v="0"/>
    <x v="1"/>
    <x v="57"/>
    <s v="BBG00VSZG6M8"/>
    <x v="26"/>
    <s v="ddc074cc122446bc92e5b6929179d0e2"/>
    <s v="Rumo 2028"/>
    <x v="1"/>
    <x v="6"/>
    <s v="Rail"/>
    <s v="Rio Claro Novo and Cordeir√≥polis crossing yards"/>
    <s v="Brazil"/>
    <d v="2020-09-01T00:00:00"/>
    <d v="2020-09-01T00:00:00"/>
    <s v="USD"/>
    <n v="10375"/>
    <n v="10375"/>
    <s v="USD"/>
    <n v="10375"/>
    <n v="10375"/>
    <b v="1"/>
    <m/>
  </r>
  <r>
    <b v="1"/>
    <x v="0"/>
    <x v="0"/>
    <x v="2"/>
    <x v="0"/>
    <x v="1"/>
    <x v="57"/>
    <s v="BBG00VSZG6M8"/>
    <x v="26"/>
    <s v="ddc074cc122446bc92e5b6929179d0e2"/>
    <s v="Rumo 2028"/>
    <x v="0"/>
    <x v="5"/>
    <s v="Rail"/>
    <s v="Second railway line - Camaqu√£ and Rio Claro Novo"/>
    <s v="Brazil"/>
    <d v="2021-06-01T00:00:00"/>
    <d v="2021-06-01T00:00:00"/>
    <s v="USD"/>
    <n v="1622986"/>
    <n v="1622986"/>
    <s v="USD"/>
    <n v="1622986"/>
    <n v="1622986"/>
    <b v="1"/>
    <m/>
  </r>
  <r>
    <b v="1"/>
    <x v="0"/>
    <x v="0"/>
    <x v="2"/>
    <x v="0"/>
    <x v="1"/>
    <x v="57"/>
    <s v="BBG00VSZG6M8"/>
    <x v="26"/>
    <s v="ddc074cc122446bc92e5b6929179d0e2"/>
    <s v="Rumo 2028"/>
    <x v="0"/>
    <x v="5"/>
    <s v="Rail"/>
    <s v="Second railway line - Camaqu√£ and Rio Claro Novo"/>
    <s v="Brazil"/>
    <d v="2021-05-01T00:00:00"/>
    <d v="2021-05-01T00:00:00"/>
    <s v="USD"/>
    <n v="992367"/>
    <n v="992367"/>
    <s v="USD"/>
    <n v="992367"/>
    <n v="992367"/>
    <b v="1"/>
    <m/>
  </r>
  <r>
    <b v="1"/>
    <x v="0"/>
    <x v="0"/>
    <x v="2"/>
    <x v="0"/>
    <x v="1"/>
    <x v="57"/>
    <s v="BBG00VSZG6M8"/>
    <x v="26"/>
    <s v="ddc074cc122446bc92e5b6929179d0e2"/>
    <s v="Rumo 2028"/>
    <x v="0"/>
    <x v="5"/>
    <s v="Rail"/>
    <s v="Second railway line - Camaqu√£ and Rio Claro Novo"/>
    <s v="Brazil"/>
    <d v="2021-04-01T00:00:00"/>
    <d v="2021-04-01T00:00:00"/>
    <s v="USD"/>
    <n v="287281"/>
    <n v="287281"/>
    <s v="USD"/>
    <n v="287281"/>
    <n v="287281"/>
    <b v="1"/>
    <m/>
  </r>
  <r>
    <b v="1"/>
    <x v="0"/>
    <x v="0"/>
    <x v="2"/>
    <x v="0"/>
    <x v="1"/>
    <x v="57"/>
    <s v="BBG00VSZG6M8"/>
    <x v="26"/>
    <s v="ddc074cc122446bc92e5b6929179d0e2"/>
    <s v="Rumo 2028"/>
    <x v="0"/>
    <x v="5"/>
    <s v="Rail"/>
    <s v="Second railway line - Camaqu√£ and Rio Claro Novo"/>
    <s v="Brazil"/>
    <d v="2021-03-01T00:00:00"/>
    <d v="2021-03-01T00:00:00"/>
    <s v="USD"/>
    <n v="305055"/>
    <n v="305055"/>
    <s v="USD"/>
    <n v="305055"/>
    <n v="305055"/>
    <b v="1"/>
    <m/>
  </r>
  <r>
    <b v="1"/>
    <x v="0"/>
    <x v="0"/>
    <x v="2"/>
    <x v="0"/>
    <x v="1"/>
    <x v="57"/>
    <s v="BBG00VSZG6M8"/>
    <x v="26"/>
    <s v="ddc074cc122446bc92e5b6929179d0e2"/>
    <s v="Rumo 2028"/>
    <x v="0"/>
    <x v="5"/>
    <s v="Rail"/>
    <s v="Second railway line - Camaqu√£ and Rio Claro Novo"/>
    <s v="Brazil"/>
    <d v="2021-02-01T00:00:00"/>
    <d v="2021-02-01T00:00:00"/>
    <s v="USD"/>
    <n v="246637"/>
    <n v="246637"/>
    <s v="USD"/>
    <n v="246637"/>
    <n v="246637"/>
    <b v="1"/>
    <m/>
  </r>
  <r>
    <b v="1"/>
    <x v="0"/>
    <x v="0"/>
    <x v="2"/>
    <x v="0"/>
    <x v="1"/>
    <x v="57"/>
    <s v="BBG00VSZG6M8"/>
    <x v="26"/>
    <s v="ddc074cc122446bc92e5b6929179d0e2"/>
    <s v="Rumo 2028"/>
    <x v="0"/>
    <x v="5"/>
    <s v="Rail"/>
    <s v="Second railway line - Camaqu√£ and Rio Claro Novo"/>
    <s v="Brazil"/>
    <d v="2021-01-01T00:00:00"/>
    <d v="2021-01-01T00:00:00"/>
    <s v="USD"/>
    <n v="203322"/>
    <n v="203322"/>
    <s v="USD"/>
    <n v="203322"/>
    <n v="203322"/>
    <b v="1"/>
    <m/>
  </r>
  <r>
    <b v="1"/>
    <x v="0"/>
    <x v="0"/>
    <x v="2"/>
    <x v="0"/>
    <x v="1"/>
    <x v="57"/>
    <s v="BBG00VSZG6M8"/>
    <x v="26"/>
    <s v="ddc074cc122446bc92e5b6929179d0e2"/>
    <s v="Rumo 2028"/>
    <x v="0"/>
    <x v="5"/>
    <s v="Rail"/>
    <s v="Second railway line - Camaqu√£ and Rio Claro Novo"/>
    <s v="Brazil"/>
    <d v="2020-12-01T00:00:00"/>
    <d v="2020-12-01T00:00:00"/>
    <s v="USD"/>
    <n v="171041"/>
    <n v="171041"/>
    <s v="USD"/>
    <n v="171041"/>
    <n v="171041"/>
    <b v="1"/>
    <m/>
  </r>
  <r>
    <b v="1"/>
    <x v="0"/>
    <x v="0"/>
    <x v="2"/>
    <x v="0"/>
    <x v="1"/>
    <x v="57"/>
    <s v="BBG00VSZG6M8"/>
    <x v="26"/>
    <s v="ddc074cc122446bc92e5b6929179d0e2"/>
    <s v="Rumo 2028"/>
    <x v="0"/>
    <x v="5"/>
    <s v="Rail"/>
    <s v="Second railway line - Camaqu√£ and Rio Claro Novo"/>
    <s v="Brazil"/>
    <d v="2020-11-01T00:00:00"/>
    <d v="2020-11-01T00:00:00"/>
    <s v="USD"/>
    <n v="210331"/>
    <n v="210331"/>
    <s v="USD"/>
    <n v="210331"/>
    <n v="210331"/>
    <b v="1"/>
    <m/>
  </r>
  <r>
    <b v="1"/>
    <x v="0"/>
    <x v="0"/>
    <x v="2"/>
    <x v="0"/>
    <x v="1"/>
    <x v="57"/>
    <s v="BBG00VSZG6M8"/>
    <x v="26"/>
    <s v="ddc074cc122446bc92e5b6929179d0e2"/>
    <s v="Rumo 2028"/>
    <x v="0"/>
    <x v="5"/>
    <s v="Rail"/>
    <s v="Second railway line - Camaqu√£ and Rio Claro Novo"/>
    <s v="Brazil"/>
    <d v="2020-10-01T00:00:00"/>
    <d v="2020-10-01T00:00:00"/>
    <s v="USD"/>
    <n v="11198"/>
    <n v="11198"/>
    <s v="USD"/>
    <n v="11198"/>
    <n v="11198"/>
    <b v="1"/>
    <m/>
  </r>
  <r>
    <b v="1"/>
    <x v="0"/>
    <x v="0"/>
    <x v="2"/>
    <x v="0"/>
    <x v="1"/>
    <x v="57"/>
    <s v="BBG00VSZG6M8"/>
    <x v="26"/>
    <s v="ddc074cc122446bc92e5b6929179d0e2"/>
    <s v="Rumo 2028"/>
    <x v="0"/>
    <x v="5"/>
    <s v="Rail"/>
    <s v="Second railway line - Camaqu√£ and Rio Claro Novo"/>
    <s v="Brazil"/>
    <d v="2020-09-01T00:00:00"/>
    <d v="2020-09-01T00:00:00"/>
    <s v="USD"/>
    <n v="10375"/>
    <n v="10375"/>
    <s v="USD"/>
    <n v="10375"/>
    <n v="10375"/>
    <b v="1"/>
    <m/>
  </r>
  <r>
    <b v="1"/>
    <x v="0"/>
    <x v="0"/>
    <x v="2"/>
    <x v="0"/>
    <x v="1"/>
    <x v="57"/>
    <s v="BBG00VSZG6M8"/>
    <x v="26"/>
    <s v="ddc074cc122446bc92e5b6929179d0e2"/>
    <s v="Rumo 2028"/>
    <x v="1"/>
    <x v="6"/>
    <s v="Rail"/>
    <s v="Second railway line - Camaqu√£ and Rio Claro Novo"/>
    <s v="Brazil"/>
    <d v="2021-06-01T00:00:00"/>
    <d v="2021-06-01T00:00:00"/>
    <s v="USD"/>
    <n v="1622986"/>
    <n v="1622986"/>
    <s v="USD"/>
    <n v="1622986"/>
    <n v="1622986"/>
    <b v="1"/>
    <m/>
  </r>
  <r>
    <b v="1"/>
    <x v="0"/>
    <x v="0"/>
    <x v="2"/>
    <x v="0"/>
    <x v="1"/>
    <x v="57"/>
    <s v="BBG00VSZG6M8"/>
    <x v="26"/>
    <s v="ddc074cc122446bc92e5b6929179d0e2"/>
    <s v="Rumo 2028"/>
    <x v="1"/>
    <x v="6"/>
    <s v="Rail"/>
    <s v="Second railway line - Camaqu√£ and Rio Claro Novo"/>
    <s v="Brazil"/>
    <d v="2021-05-01T00:00:00"/>
    <d v="2021-05-01T00:00:00"/>
    <s v="USD"/>
    <n v="992367"/>
    <n v="992367"/>
    <s v="USD"/>
    <n v="992367"/>
    <n v="992367"/>
    <b v="1"/>
    <m/>
  </r>
  <r>
    <b v="1"/>
    <x v="0"/>
    <x v="0"/>
    <x v="2"/>
    <x v="0"/>
    <x v="1"/>
    <x v="57"/>
    <s v="BBG00VSZG6M8"/>
    <x v="26"/>
    <s v="ddc074cc122446bc92e5b6929179d0e2"/>
    <s v="Rumo 2028"/>
    <x v="1"/>
    <x v="6"/>
    <s v="Rail"/>
    <s v="Second railway line - Camaqu√£ and Rio Claro Novo"/>
    <s v="Brazil"/>
    <d v="2021-04-01T00:00:00"/>
    <d v="2021-04-01T00:00:00"/>
    <s v="USD"/>
    <n v="287281"/>
    <n v="287281"/>
    <s v="USD"/>
    <n v="287281"/>
    <n v="287281"/>
    <b v="1"/>
    <m/>
  </r>
  <r>
    <b v="1"/>
    <x v="0"/>
    <x v="0"/>
    <x v="2"/>
    <x v="0"/>
    <x v="1"/>
    <x v="57"/>
    <s v="BBG00VSZG6M8"/>
    <x v="26"/>
    <s v="ddc074cc122446bc92e5b6929179d0e2"/>
    <s v="Rumo 2028"/>
    <x v="1"/>
    <x v="6"/>
    <s v="Rail"/>
    <s v="Second railway line - Camaqu√£ and Rio Claro Novo"/>
    <s v="Brazil"/>
    <d v="2021-03-01T00:00:00"/>
    <d v="2021-03-01T00:00:00"/>
    <s v="USD"/>
    <n v="305055"/>
    <n v="305055"/>
    <s v="USD"/>
    <n v="305055"/>
    <n v="305055"/>
    <b v="1"/>
    <m/>
  </r>
  <r>
    <b v="1"/>
    <x v="0"/>
    <x v="0"/>
    <x v="2"/>
    <x v="0"/>
    <x v="1"/>
    <x v="57"/>
    <s v="BBG00VSZG6M8"/>
    <x v="26"/>
    <s v="ddc074cc122446bc92e5b6929179d0e2"/>
    <s v="Rumo 2028"/>
    <x v="1"/>
    <x v="6"/>
    <s v="Rail"/>
    <s v="Second railway line - Camaqu√£ and Rio Claro Novo"/>
    <s v="Brazil"/>
    <d v="2021-02-01T00:00:00"/>
    <d v="2021-02-01T00:00:00"/>
    <s v="USD"/>
    <n v="246637"/>
    <n v="246637"/>
    <s v="USD"/>
    <n v="246637"/>
    <n v="246637"/>
    <b v="1"/>
    <m/>
  </r>
  <r>
    <b v="1"/>
    <x v="0"/>
    <x v="0"/>
    <x v="2"/>
    <x v="0"/>
    <x v="1"/>
    <x v="57"/>
    <s v="BBG00VSZG6M8"/>
    <x v="26"/>
    <s v="ddc074cc122446bc92e5b6929179d0e2"/>
    <s v="Rumo 2028"/>
    <x v="1"/>
    <x v="6"/>
    <s v="Rail"/>
    <s v="Second railway line - Camaqu√£ and Rio Claro Novo"/>
    <s v="Brazil"/>
    <d v="2021-01-01T00:00:00"/>
    <d v="2021-01-01T00:00:00"/>
    <s v="USD"/>
    <n v="203322"/>
    <n v="203322"/>
    <s v="USD"/>
    <n v="203322"/>
    <n v="203322"/>
    <b v="1"/>
    <m/>
  </r>
  <r>
    <b v="1"/>
    <x v="0"/>
    <x v="0"/>
    <x v="2"/>
    <x v="0"/>
    <x v="1"/>
    <x v="57"/>
    <s v="BBG00VSZG6M8"/>
    <x v="26"/>
    <s v="ddc074cc122446bc92e5b6929179d0e2"/>
    <s v="Rumo 2028"/>
    <x v="1"/>
    <x v="6"/>
    <s v="Rail"/>
    <s v="Second railway line - Camaqu√£ and Rio Claro Novo"/>
    <s v="Brazil"/>
    <d v="2020-12-01T00:00:00"/>
    <d v="2020-12-01T00:00:00"/>
    <s v="USD"/>
    <n v="171041"/>
    <n v="171041"/>
    <s v="USD"/>
    <n v="171041"/>
    <n v="171041"/>
    <b v="1"/>
    <m/>
  </r>
  <r>
    <b v="1"/>
    <x v="0"/>
    <x v="0"/>
    <x v="2"/>
    <x v="0"/>
    <x v="1"/>
    <x v="57"/>
    <s v="BBG00VSZG6M8"/>
    <x v="26"/>
    <s v="ddc074cc122446bc92e5b6929179d0e2"/>
    <s v="Rumo 2028"/>
    <x v="1"/>
    <x v="6"/>
    <s v="Rail"/>
    <s v="Second railway line - Camaqu√£ and Rio Claro Novo"/>
    <s v="Brazil"/>
    <d v="2020-11-01T00:00:00"/>
    <d v="2020-11-01T00:00:00"/>
    <s v="USD"/>
    <n v="210331"/>
    <n v="210331"/>
    <s v="USD"/>
    <n v="210331"/>
    <n v="210331"/>
    <b v="1"/>
    <m/>
  </r>
  <r>
    <b v="1"/>
    <x v="0"/>
    <x v="0"/>
    <x v="2"/>
    <x v="0"/>
    <x v="1"/>
    <x v="57"/>
    <s v="BBG00VSZG6M8"/>
    <x v="26"/>
    <s v="ddc074cc122446bc92e5b6929179d0e2"/>
    <s v="Rumo 2028"/>
    <x v="1"/>
    <x v="6"/>
    <s v="Rail"/>
    <s v="Second railway line - Camaqu√£ and Rio Claro Novo"/>
    <s v="Brazil"/>
    <d v="2020-10-01T00:00:00"/>
    <d v="2020-10-01T00:00:00"/>
    <s v="USD"/>
    <n v="11198"/>
    <n v="11198"/>
    <s v="USD"/>
    <n v="11198"/>
    <n v="11198"/>
    <b v="1"/>
    <m/>
  </r>
  <r>
    <b v="1"/>
    <x v="0"/>
    <x v="0"/>
    <x v="2"/>
    <x v="0"/>
    <x v="1"/>
    <x v="57"/>
    <s v="BBG00VSZG6M8"/>
    <x v="26"/>
    <s v="ddc074cc122446bc92e5b6929179d0e2"/>
    <s v="Rumo 2028"/>
    <x v="1"/>
    <x v="6"/>
    <s v="Rail"/>
    <s v="Second railway line - Camaqu√£ and Rio Claro Novo"/>
    <s v="Brazil"/>
    <d v="2020-09-01T00:00:00"/>
    <d v="2020-09-01T00:00:00"/>
    <s v="USD"/>
    <n v="10375"/>
    <n v="10375"/>
    <s v="USD"/>
    <n v="10375"/>
    <n v="10375"/>
    <b v="1"/>
    <m/>
  </r>
  <r>
    <b v="1"/>
    <x v="0"/>
    <x v="0"/>
    <x v="2"/>
    <x v="0"/>
    <x v="1"/>
    <x v="57"/>
    <s v="BBG00VSZG6M8"/>
    <x v="26"/>
    <s v="ddc074cc122446bc92e5b6929179d0e2"/>
    <s v="Rumo 2028"/>
    <x v="0"/>
    <x v="5"/>
    <s v="Rail"/>
    <s v="Cedral Yard"/>
    <s v="Brazil"/>
    <d v="2021-05-01T00:00:00"/>
    <d v="2021-05-01T00:00:00"/>
    <s v="USD"/>
    <n v="33581"/>
    <n v="33581"/>
    <s v="USD"/>
    <n v="33581"/>
    <n v="33581"/>
    <b v="1"/>
    <m/>
  </r>
  <r>
    <b v="1"/>
    <x v="0"/>
    <x v="0"/>
    <x v="2"/>
    <x v="0"/>
    <x v="1"/>
    <x v="57"/>
    <s v="BBG00VSZG6M8"/>
    <x v="26"/>
    <s v="ddc074cc122446bc92e5b6929179d0e2"/>
    <s v="Rumo 2028"/>
    <x v="0"/>
    <x v="5"/>
    <s v="Rail"/>
    <s v="Cedral Yard"/>
    <s v="Brazil"/>
    <d v="2021-02-01T00:00:00"/>
    <d v="2021-02-01T00:00:00"/>
    <s v="USD"/>
    <n v="29030"/>
    <n v="29030"/>
    <s v="USD"/>
    <n v="29030"/>
    <n v="29030"/>
    <b v="1"/>
    <m/>
  </r>
  <r>
    <b v="1"/>
    <x v="0"/>
    <x v="0"/>
    <x v="2"/>
    <x v="0"/>
    <x v="1"/>
    <x v="57"/>
    <s v="BBG00VSZG6M8"/>
    <x v="26"/>
    <s v="ddc074cc122446bc92e5b6929179d0e2"/>
    <s v="Rumo 2028"/>
    <x v="0"/>
    <x v="5"/>
    <s v="Rail"/>
    <s v="Cedral Yard"/>
    <s v="Brazil"/>
    <d v="2020-12-01T00:00:00"/>
    <d v="2020-12-01T00:00:00"/>
    <s v="USD"/>
    <n v="1864446"/>
    <n v="1864446"/>
    <s v="USD"/>
    <n v="1864446"/>
    <n v="1864446"/>
    <b v="1"/>
    <m/>
  </r>
  <r>
    <b v="1"/>
    <x v="0"/>
    <x v="0"/>
    <x v="2"/>
    <x v="0"/>
    <x v="1"/>
    <x v="57"/>
    <s v="BBG00VSZG6M8"/>
    <x v="26"/>
    <s v="ddc074cc122446bc92e5b6929179d0e2"/>
    <s v="Rumo 2028"/>
    <x v="0"/>
    <x v="5"/>
    <s v="Rail"/>
    <s v="Cedral Yard"/>
    <s v="Brazil"/>
    <d v="2020-11-01T00:00:00"/>
    <d v="2020-11-01T00:00:00"/>
    <s v="USD"/>
    <n v="345348"/>
    <n v="345348"/>
    <s v="USD"/>
    <n v="345348"/>
    <n v="345348"/>
    <b v="1"/>
    <m/>
  </r>
  <r>
    <b v="1"/>
    <x v="0"/>
    <x v="0"/>
    <x v="2"/>
    <x v="0"/>
    <x v="1"/>
    <x v="57"/>
    <s v="BBG00VSZG6M8"/>
    <x v="26"/>
    <s v="ddc074cc122446bc92e5b6929179d0e2"/>
    <s v="Rumo 2028"/>
    <x v="0"/>
    <x v="5"/>
    <s v="Rail"/>
    <s v="Cedral Yard"/>
    <s v="Brazil"/>
    <d v="2020-10-01T00:00:00"/>
    <d v="2020-10-01T00:00:00"/>
    <s v="USD"/>
    <n v="128964"/>
    <n v="128964"/>
    <s v="USD"/>
    <n v="128964"/>
    <n v="128964"/>
    <b v="1"/>
    <m/>
  </r>
  <r>
    <b v="1"/>
    <x v="0"/>
    <x v="0"/>
    <x v="2"/>
    <x v="0"/>
    <x v="1"/>
    <x v="57"/>
    <s v="BBG00VSZG6M8"/>
    <x v="26"/>
    <s v="ddc074cc122446bc92e5b6929179d0e2"/>
    <s v="Rumo 2028"/>
    <x v="0"/>
    <x v="5"/>
    <s v="Rail"/>
    <s v="Cedral Yard"/>
    <s v="Brazil"/>
    <d v="2020-09-01T00:00:00"/>
    <d v="2020-09-01T00:00:00"/>
    <s v="USD"/>
    <n v="73700"/>
    <n v="73700"/>
    <s v="USD"/>
    <n v="73700"/>
    <n v="73700"/>
    <b v="1"/>
    <m/>
  </r>
  <r>
    <b v="1"/>
    <x v="0"/>
    <x v="0"/>
    <x v="2"/>
    <x v="0"/>
    <x v="1"/>
    <x v="57"/>
    <s v="BBG00VSZG6M8"/>
    <x v="26"/>
    <s v="ddc074cc122446bc92e5b6929179d0e2"/>
    <s v="Rumo 2028"/>
    <x v="1"/>
    <x v="6"/>
    <s v="Rail"/>
    <s v="Cedral Yard"/>
    <s v="Brazil"/>
    <d v="2021-05-01T00:00:00"/>
    <d v="2021-05-01T00:00:00"/>
    <s v="USD"/>
    <n v="33581"/>
    <n v="33581"/>
    <s v="USD"/>
    <n v="33581"/>
    <n v="33581"/>
    <b v="1"/>
    <m/>
  </r>
  <r>
    <b v="1"/>
    <x v="0"/>
    <x v="0"/>
    <x v="2"/>
    <x v="0"/>
    <x v="1"/>
    <x v="57"/>
    <s v="BBG00VSZG6M8"/>
    <x v="26"/>
    <s v="ddc074cc122446bc92e5b6929179d0e2"/>
    <s v="Rumo 2028"/>
    <x v="1"/>
    <x v="6"/>
    <s v="Rail"/>
    <s v="Cedral Yard"/>
    <s v="Brazil"/>
    <d v="2021-02-01T00:00:00"/>
    <d v="2021-02-01T00:00:00"/>
    <s v="USD"/>
    <n v="29030"/>
    <n v="29030"/>
    <s v="USD"/>
    <n v="29030"/>
    <n v="29030"/>
    <b v="1"/>
    <m/>
  </r>
  <r>
    <b v="1"/>
    <x v="0"/>
    <x v="0"/>
    <x v="2"/>
    <x v="0"/>
    <x v="1"/>
    <x v="57"/>
    <s v="BBG00VSZG6M8"/>
    <x v="26"/>
    <s v="ddc074cc122446bc92e5b6929179d0e2"/>
    <s v="Rumo 2028"/>
    <x v="1"/>
    <x v="6"/>
    <s v="Rail"/>
    <s v="Cedral Yard"/>
    <s v="Brazil"/>
    <d v="2020-12-01T00:00:00"/>
    <d v="2020-12-01T00:00:00"/>
    <s v="USD"/>
    <n v="1864446"/>
    <n v="1864446"/>
    <s v="USD"/>
    <n v="1864446"/>
    <n v="1864446"/>
    <b v="1"/>
    <m/>
  </r>
  <r>
    <b v="1"/>
    <x v="0"/>
    <x v="0"/>
    <x v="2"/>
    <x v="0"/>
    <x v="1"/>
    <x v="57"/>
    <s v="BBG00VSZG6M8"/>
    <x v="26"/>
    <s v="ddc074cc122446bc92e5b6929179d0e2"/>
    <s v="Rumo 2028"/>
    <x v="1"/>
    <x v="6"/>
    <s v="Rail"/>
    <s v="Cedral Yard"/>
    <s v="Brazil"/>
    <d v="2020-11-01T00:00:00"/>
    <d v="2020-11-01T00:00:00"/>
    <s v="USD"/>
    <n v="345348"/>
    <n v="345348"/>
    <s v="USD"/>
    <n v="345348"/>
    <n v="345348"/>
    <b v="1"/>
    <m/>
  </r>
  <r>
    <b v="1"/>
    <x v="0"/>
    <x v="0"/>
    <x v="2"/>
    <x v="0"/>
    <x v="1"/>
    <x v="57"/>
    <s v="BBG00VSZG6M8"/>
    <x v="26"/>
    <s v="ddc074cc122446bc92e5b6929179d0e2"/>
    <s v="Rumo 2028"/>
    <x v="1"/>
    <x v="6"/>
    <s v="Rail"/>
    <s v="Cedral Yard"/>
    <s v="Brazil"/>
    <d v="2020-10-01T00:00:00"/>
    <d v="2020-10-01T00:00:00"/>
    <s v="USD"/>
    <n v="128964"/>
    <n v="128964"/>
    <s v="USD"/>
    <n v="128964"/>
    <n v="128964"/>
    <b v="1"/>
    <m/>
  </r>
  <r>
    <b v="1"/>
    <x v="0"/>
    <x v="0"/>
    <x v="2"/>
    <x v="0"/>
    <x v="1"/>
    <x v="57"/>
    <s v="BBG00VSZG6M8"/>
    <x v="26"/>
    <s v="ddc074cc122446bc92e5b6929179d0e2"/>
    <s v="Rumo 2028"/>
    <x v="1"/>
    <x v="6"/>
    <s v="Rail"/>
    <s v="Cedral Yard"/>
    <s v="Brazil"/>
    <d v="2020-09-01T00:00:00"/>
    <d v="2020-09-01T00:00:00"/>
    <s v="USD"/>
    <n v="73700"/>
    <n v="73700"/>
    <s v="USD"/>
    <n v="73700"/>
    <n v="73700"/>
    <b v="1"/>
    <m/>
  </r>
  <r>
    <b v="1"/>
    <x v="0"/>
    <x v="0"/>
    <x v="2"/>
    <x v="0"/>
    <x v="1"/>
    <x v="57"/>
    <s v="BBG00VSZG6M8"/>
    <x v="26"/>
    <s v="ddc074cc122446bc92e5b6929179d0e2"/>
    <s v="Rumo 2028"/>
    <x v="0"/>
    <x v="5"/>
    <s v="Rail"/>
    <s v="Gonzaga de Campos Yard (Mirassol/SP)"/>
    <s v="Brazil"/>
    <d v="2020-12-01T00:00:00"/>
    <d v="2020-12-01T00:00:00"/>
    <s v="USD"/>
    <n v="61614"/>
    <n v="61614"/>
    <s v="USD"/>
    <n v="61614"/>
    <n v="61614"/>
    <b v="1"/>
    <m/>
  </r>
  <r>
    <b v="1"/>
    <x v="0"/>
    <x v="0"/>
    <x v="2"/>
    <x v="0"/>
    <x v="1"/>
    <x v="57"/>
    <s v="BBG00VSZG6M8"/>
    <x v="26"/>
    <s v="ddc074cc122446bc92e5b6929179d0e2"/>
    <s v="Rumo 2028"/>
    <x v="0"/>
    <x v="5"/>
    <s v="Rail"/>
    <s v="Gonzaga de Campos Yard (Mirassol/SP)"/>
    <s v="Brazil"/>
    <d v="2020-11-01T00:00:00"/>
    <d v="2020-11-01T00:00:00"/>
    <s v="USD"/>
    <n v="137181"/>
    <n v="137181"/>
    <s v="USD"/>
    <n v="137181"/>
    <n v="137181"/>
    <b v="1"/>
    <m/>
  </r>
  <r>
    <b v="1"/>
    <x v="0"/>
    <x v="0"/>
    <x v="2"/>
    <x v="0"/>
    <x v="1"/>
    <x v="57"/>
    <s v="BBG00VSZG6M8"/>
    <x v="26"/>
    <s v="ddc074cc122446bc92e5b6929179d0e2"/>
    <s v="Rumo 2028"/>
    <x v="0"/>
    <x v="5"/>
    <s v="Rail"/>
    <s v="Gonzaga de Campos Yard (Mirassol/SP)"/>
    <s v="Brazil"/>
    <d v="2020-10-01T00:00:00"/>
    <d v="2020-10-01T00:00:00"/>
    <s v="USD"/>
    <n v="6"/>
    <n v="6"/>
    <s v="USD"/>
    <n v="6"/>
    <n v="6"/>
    <b v="1"/>
    <m/>
  </r>
  <r>
    <b v="1"/>
    <x v="0"/>
    <x v="0"/>
    <x v="2"/>
    <x v="0"/>
    <x v="1"/>
    <x v="57"/>
    <s v="BBG00VSZG6M8"/>
    <x v="26"/>
    <s v="ddc074cc122446bc92e5b6929179d0e2"/>
    <s v="Rumo 2028"/>
    <x v="0"/>
    <x v="5"/>
    <s v="Rail"/>
    <s v="Gonzaga de Campos Yard (Mirassol/SP)"/>
    <s v="Brazil"/>
    <d v="2020-09-01T00:00:00"/>
    <d v="2020-09-01T00:00:00"/>
    <s v="USD"/>
    <n v="842204"/>
    <n v="842204"/>
    <s v="USD"/>
    <n v="842204"/>
    <n v="842204"/>
    <b v="1"/>
    <m/>
  </r>
  <r>
    <b v="1"/>
    <x v="0"/>
    <x v="0"/>
    <x v="2"/>
    <x v="0"/>
    <x v="1"/>
    <x v="57"/>
    <s v="BBG00VSZG6M8"/>
    <x v="26"/>
    <s v="ddc074cc122446bc92e5b6929179d0e2"/>
    <s v="Rumo 2028"/>
    <x v="0"/>
    <x v="5"/>
    <s v="Rail"/>
    <s v="Gonzaga de Campos Yard (Mirassol/SP)"/>
    <s v="Brazil"/>
    <d v="2020-08-01T00:00:00"/>
    <d v="2020-08-01T00:00:00"/>
    <s v="USD"/>
    <n v="1186686"/>
    <n v="1186686"/>
    <s v="USD"/>
    <n v="1186686"/>
    <n v="1186686"/>
    <b v="1"/>
    <m/>
  </r>
  <r>
    <b v="1"/>
    <x v="0"/>
    <x v="0"/>
    <x v="2"/>
    <x v="0"/>
    <x v="1"/>
    <x v="57"/>
    <s v="BBG00VSZG6M8"/>
    <x v="26"/>
    <s v="ddc074cc122446bc92e5b6929179d0e2"/>
    <s v="Rumo 2028"/>
    <x v="0"/>
    <x v="5"/>
    <s v="Rail"/>
    <s v="Gonzaga de Campos Yard (Mirassol/SP)"/>
    <s v="Brazil"/>
    <d v="2020-07-01T00:00:00"/>
    <d v="2020-07-01T00:00:00"/>
    <s v="USD"/>
    <n v="99001"/>
    <n v="99001"/>
    <s v="USD"/>
    <n v="99001"/>
    <n v="99001"/>
    <b v="1"/>
    <m/>
  </r>
  <r>
    <b v="1"/>
    <x v="0"/>
    <x v="0"/>
    <x v="2"/>
    <x v="0"/>
    <x v="1"/>
    <x v="57"/>
    <s v="BBG00VSZG6M8"/>
    <x v="26"/>
    <s v="ddc074cc122446bc92e5b6929179d0e2"/>
    <s v="Rumo 2028"/>
    <x v="1"/>
    <x v="6"/>
    <s v="Rail"/>
    <s v="Gonzaga de Campos Yard (Mirassol/SP)"/>
    <s v="Brazil"/>
    <d v="2020-12-01T00:00:00"/>
    <d v="2020-12-01T00:00:00"/>
    <s v="USD"/>
    <n v="61614"/>
    <n v="61614"/>
    <s v="USD"/>
    <n v="61614"/>
    <n v="61614"/>
    <b v="1"/>
    <m/>
  </r>
  <r>
    <b v="1"/>
    <x v="0"/>
    <x v="0"/>
    <x v="2"/>
    <x v="0"/>
    <x v="1"/>
    <x v="57"/>
    <s v="BBG00VSZG6M8"/>
    <x v="26"/>
    <s v="ddc074cc122446bc92e5b6929179d0e2"/>
    <s v="Rumo 2028"/>
    <x v="1"/>
    <x v="6"/>
    <s v="Rail"/>
    <s v="Gonzaga de Campos Yard (Mirassol/SP)"/>
    <s v="Brazil"/>
    <d v="2020-11-01T00:00:00"/>
    <d v="2020-11-01T00:00:00"/>
    <s v="USD"/>
    <n v="137181"/>
    <n v="137181"/>
    <s v="USD"/>
    <n v="137181"/>
    <n v="137181"/>
    <b v="1"/>
    <m/>
  </r>
  <r>
    <b v="1"/>
    <x v="0"/>
    <x v="0"/>
    <x v="2"/>
    <x v="0"/>
    <x v="1"/>
    <x v="57"/>
    <s v="BBG00VSZG6M8"/>
    <x v="26"/>
    <s v="ddc074cc122446bc92e5b6929179d0e2"/>
    <s v="Rumo 2028"/>
    <x v="1"/>
    <x v="6"/>
    <s v="Rail"/>
    <s v="Gonzaga de Campos Yard (Mirassol/SP)"/>
    <s v="Brazil"/>
    <d v="2020-10-01T00:00:00"/>
    <d v="2020-10-01T00:00:00"/>
    <s v="USD"/>
    <n v="6"/>
    <n v="6"/>
    <s v="USD"/>
    <n v="6"/>
    <n v="6"/>
    <b v="1"/>
    <m/>
  </r>
  <r>
    <b v="1"/>
    <x v="0"/>
    <x v="0"/>
    <x v="2"/>
    <x v="0"/>
    <x v="1"/>
    <x v="57"/>
    <s v="BBG00VSZG6M8"/>
    <x v="26"/>
    <s v="ddc074cc122446bc92e5b6929179d0e2"/>
    <s v="Rumo 2028"/>
    <x v="1"/>
    <x v="6"/>
    <s v="Rail"/>
    <s v="Gonzaga de Campos Yard (Mirassol/SP)"/>
    <s v="Brazil"/>
    <d v="2020-09-01T00:00:00"/>
    <d v="2020-09-01T00:00:00"/>
    <s v="USD"/>
    <n v="842204"/>
    <n v="842204"/>
    <s v="USD"/>
    <n v="842204"/>
    <n v="842204"/>
    <b v="1"/>
    <m/>
  </r>
  <r>
    <b v="1"/>
    <x v="0"/>
    <x v="0"/>
    <x v="2"/>
    <x v="0"/>
    <x v="1"/>
    <x v="57"/>
    <s v="BBG00VSZG6M8"/>
    <x v="26"/>
    <s v="ddc074cc122446bc92e5b6929179d0e2"/>
    <s v="Rumo 2028"/>
    <x v="1"/>
    <x v="6"/>
    <s v="Rail"/>
    <s v="Gonzaga de Campos Yard (Mirassol/SP)"/>
    <s v="Brazil"/>
    <d v="2020-08-01T00:00:00"/>
    <d v="2020-08-01T00:00:00"/>
    <s v="USD"/>
    <n v="1186686"/>
    <n v="1186686"/>
    <s v="USD"/>
    <n v="1186686"/>
    <n v="1186686"/>
    <b v="1"/>
    <m/>
  </r>
  <r>
    <b v="1"/>
    <x v="0"/>
    <x v="0"/>
    <x v="2"/>
    <x v="0"/>
    <x v="1"/>
    <x v="57"/>
    <s v="BBG00VSZG6M8"/>
    <x v="26"/>
    <s v="ddc074cc122446bc92e5b6929179d0e2"/>
    <s v="Rumo 2028"/>
    <x v="1"/>
    <x v="6"/>
    <s v="Rail"/>
    <s v="Gonzaga de Campos Yard (Mirassol/SP)"/>
    <s v="Brazil"/>
    <d v="2020-07-01T00:00:00"/>
    <d v="2020-07-01T00:00:00"/>
    <s v="USD"/>
    <n v="99001"/>
    <n v="99001"/>
    <s v="USD"/>
    <n v="99001"/>
    <n v="99001"/>
    <b v="1"/>
    <m/>
  </r>
  <r>
    <b v="1"/>
    <x v="0"/>
    <x v="0"/>
    <x v="2"/>
    <x v="0"/>
    <x v="1"/>
    <x v="57"/>
    <s v="BBG00VSZG6M8"/>
    <x v="26"/>
    <s v="ddc074cc122446bc92e5b6929179d0e2"/>
    <s v="Rumo 2028"/>
    <x v="0"/>
    <x v="5"/>
    <s v="Rail"/>
    <s v="Mat√£o Yard"/>
    <s v="Brazil"/>
    <d v="2021-01-01T00:00:00"/>
    <d v="2021-01-01T00:00:00"/>
    <s v="USD"/>
    <n v="35980"/>
    <n v="35980"/>
    <s v="USD"/>
    <n v="35980"/>
    <n v="35980"/>
    <b v="1"/>
    <m/>
  </r>
  <r>
    <b v="1"/>
    <x v="0"/>
    <x v="0"/>
    <x v="2"/>
    <x v="0"/>
    <x v="1"/>
    <x v="57"/>
    <s v="BBG00VSZG6M8"/>
    <x v="26"/>
    <s v="ddc074cc122446bc92e5b6929179d0e2"/>
    <s v="Rumo 2028"/>
    <x v="0"/>
    <x v="5"/>
    <s v="Rail"/>
    <s v="Mat√£o Yard"/>
    <s v="Brazil"/>
    <d v="2020-12-01T00:00:00"/>
    <d v="2020-12-01T00:00:00"/>
    <s v="USD"/>
    <n v="374303"/>
    <n v="374303"/>
    <s v="USD"/>
    <n v="374303"/>
    <n v="374303"/>
    <b v="1"/>
    <m/>
  </r>
  <r>
    <b v="1"/>
    <x v="0"/>
    <x v="0"/>
    <x v="2"/>
    <x v="0"/>
    <x v="1"/>
    <x v="57"/>
    <s v="BBG00VSZG6M8"/>
    <x v="26"/>
    <s v="ddc074cc122446bc92e5b6929179d0e2"/>
    <s v="Rumo 2028"/>
    <x v="0"/>
    <x v="5"/>
    <s v="Rail"/>
    <s v="Mat√£o Yard"/>
    <s v="Brazil"/>
    <d v="2020-11-01T00:00:00"/>
    <d v="2020-11-01T00:00:00"/>
    <s v="USD"/>
    <n v="467185"/>
    <n v="467185"/>
    <s v="USD"/>
    <n v="467185"/>
    <n v="467185"/>
    <b v="1"/>
    <m/>
  </r>
  <r>
    <b v="1"/>
    <x v="0"/>
    <x v="0"/>
    <x v="2"/>
    <x v="0"/>
    <x v="1"/>
    <x v="57"/>
    <s v="BBG00VSZG6M8"/>
    <x v="26"/>
    <s v="ddc074cc122446bc92e5b6929179d0e2"/>
    <s v="Rumo 2028"/>
    <x v="0"/>
    <x v="5"/>
    <s v="Rail"/>
    <s v="Mat√£o Yard"/>
    <s v="Brazil"/>
    <d v="2020-10-01T00:00:00"/>
    <d v="2020-10-01T00:00:00"/>
    <s v="USD"/>
    <n v="543521"/>
    <n v="543521"/>
    <s v="USD"/>
    <n v="543521"/>
    <n v="543521"/>
    <b v="1"/>
    <m/>
  </r>
  <r>
    <b v="1"/>
    <x v="0"/>
    <x v="0"/>
    <x v="2"/>
    <x v="0"/>
    <x v="1"/>
    <x v="57"/>
    <s v="BBG00VSZG6M8"/>
    <x v="26"/>
    <s v="ddc074cc122446bc92e5b6929179d0e2"/>
    <s v="Rumo 2028"/>
    <x v="0"/>
    <x v="5"/>
    <s v="Rail"/>
    <s v="Mat√£o Yard"/>
    <s v="Brazil"/>
    <d v="2020-09-01T00:00:00"/>
    <d v="2020-09-01T00:00:00"/>
    <s v="USD"/>
    <n v="274964"/>
    <n v="274964"/>
    <s v="USD"/>
    <n v="274964"/>
    <n v="274964"/>
    <b v="1"/>
    <m/>
  </r>
  <r>
    <b v="1"/>
    <x v="0"/>
    <x v="0"/>
    <x v="2"/>
    <x v="0"/>
    <x v="1"/>
    <x v="57"/>
    <s v="BBG00VSZG6M8"/>
    <x v="26"/>
    <s v="ddc074cc122446bc92e5b6929179d0e2"/>
    <s v="Rumo 2028"/>
    <x v="0"/>
    <x v="5"/>
    <s v="Rail"/>
    <s v="Mat√£o Yard"/>
    <s v="Brazil"/>
    <d v="2020-08-01T00:00:00"/>
    <d v="2020-08-01T00:00:00"/>
    <s v="USD"/>
    <n v="183445"/>
    <n v="183445"/>
    <s v="USD"/>
    <n v="183445"/>
    <n v="183445"/>
    <b v="1"/>
    <m/>
  </r>
  <r>
    <b v="1"/>
    <x v="0"/>
    <x v="0"/>
    <x v="2"/>
    <x v="0"/>
    <x v="1"/>
    <x v="57"/>
    <s v="BBG00VSZG6M8"/>
    <x v="26"/>
    <s v="ddc074cc122446bc92e5b6929179d0e2"/>
    <s v="Rumo 2028"/>
    <x v="0"/>
    <x v="5"/>
    <s v="Rail"/>
    <s v="Mat√£o Yard"/>
    <s v="Brazil"/>
    <d v="2020-07-01T00:00:00"/>
    <d v="2020-07-01T00:00:00"/>
    <s v="USD"/>
    <n v="80081"/>
    <n v="80081"/>
    <s v="USD"/>
    <n v="80081"/>
    <n v="80081"/>
    <b v="1"/>
    <m/>
  </r>
  <r>
    <b v="1"/>
    <x v="0"/>
    <x v="0"/>
    <x v="2"/>
    <x v="0"/>
    <x v="1"/>
    <x v="57"/>
    <s v="BBG00VSZG6M8"/>
    <x v="26"/>
    <s v="ddc074cc122446bc92e5b6929179d0e2"/>
    <s v="Rumo 2028"/>
    <x v="1"/>
    <x v="6"/>
    <s v="Rail"/>
    <s v="Mat√£o Yard"/>
    <s v="Brazil"/>
    <d v="2021-01-01T00:00:00"/>
    <d v="2021-01-01T00:00:00"/>
    <s v="USD"/>
    <n v="35980"/>
    <n v="35980"/>
    <s v="USD"/>
    <n v="35980"/>
    <n v="35980"/>
    <b v="1"/>
    <m/>
  </r>
  <r>
    <b v="1"/>
    <x v="0"/>
    <x v="0"/>
    <x v="2"/>
    <x v="0"/>
    <x v="1"/>
    <x v="57"/>
    <s v="BBG00VSZG6M8"/>
    <x v="26"/>
    <s v="ddc074cc122446bc92e5b6929179d0e2"/>
    <s v="Rumo 2028"/>
    <x v="1"/>
    <x v="6"/>
    <s v="Rail"/>
    <s v="Mat√£o Yard"/>
    <s v="Brazil"/>
    <d v="2020-12-01T00:00:00"/>
    <d v="2020-12-01T00:00:00"/>
    <s v="USD"/>
    <n v="374303"/>
    <n v="374303"/>
    <s v="USD"/>
    <n v="374303"/>
    <n v="374303"/>
    <b v="1"/>
    <m/>
  </r>
  <r>
    <b v="1"/>
    <x v="0"/>
    <x v="0"/>
    <x v="2"/>
    <x v="0"/>
    <x v="1"/>
    <x v="57"/>
    <s v="BBG00VSZG6M8"/>
    <x v="26"/>
    <s v="ddc074cc122446bc92e5b6929179d0e2"/>
    <s v="Rumo 2028"/>
    <x v="1"/>
    <x v="6"/>
    <s v="Rail"/>
    <s v="Mat√£o Yard"/>
    <s v="Brazil"/>
    <d v="2020-11-01T00:00:00"/>
    <d v="2020-11-01T00:00:00"/>
    <s v="USD"/>
    <n v="467185"/>
    <n v="467185"/>
    <s v="USD"/>
    <n v="467185"/>
    <n v="467185"/>
    <b v="1"/>
    <m/>
  </r>
  <r>
    <b v="1"/>
    <x v="0"/>
    <x v="0"/>
    <x v="2"/>
    <x v="0"/>
    <x v="1"/>
    <x v="57"/>
    <s v="BBG00VSZG6M8"/>
    <x v="26"/>
    <s v="ddc074cc122446bc92e5b6929179d0e2"/>
    <s v="Rumo 2028"/>
    <x v="1"/>
    <x v="6"/>
    <s v="Rail"/>
    <s v="Mat√£o Yard"/>
    <s v="Brazil"/>
    <d v="2020-10-01T00:00:00"/>
    <d v="2020-10-01T00:00:00"/>
    <s v="USD"/>
    <n v="543521"/>
    <n v="543521"/>
    <s v="USD"/>
    <n v="543521"/>
    <n v="543521"/>
    <b v="1"/>
    <m/>
  </r>
  <r>
    <b v="1"/>
    <x v="0"/>
    <x v="0"/>
    <x v="2"/>
    <x v="0"/>
    <x v="1"/>
    <x v="57"/>
    <s v="BBG00VSZG6M8"/>
    <x v="26"/>
    <s v="ddc074cc122446bc92e5b6929179d0e2"/>
    <s v="Rumo 2028"/>
    <x v="1"/>
    <x v="6"/>
    <s v="Rail"/>
    <s v="Mat√£o Yard"/>
    <s v="Brazil"/>
    <d v="2020-09-01T00:00:00"/>
    <d v="2020-09-01T00:00:00"/>
    <s v="USD"/>
    <n v="274964"/>
    <n v="274964"/>
    <s v="USD"/>
    <n v="274964"/>
    <n v="274964"/>
    <b v="1"/>
    <m/>
  </r>
  <r>
    <b v="1"/>
    <x v="0"/>
    <x v="0"/>
    <x v="2"/>
    <x v="0"/>
    <x v="1"/>
    <x v="57"/>
    <s v="BBG00VSZG6M8"/>
    <x v="26"/>
    <s v="ddc074cc122446bc92e5b6929179d0e2"/>
    <s v="Rumo 2028"/>
    <x v="1"/>
    <x v="6"/>
    <s v="Rail"/>
    <s v="Mat√£o Yard"/>
    <s v="Brazil"/>
    <d v="2020-08-01T00:00:00"/>
    <d v="2020-08-01T00:00:00"/>
    <s v="USD"/>
    <n v="183445"/>
    <n v="183445"/>
    <s v="USD"/>
    <n v="183445"/>
    <n v="183445"/>
    <b v="1"/>
    <m/>
  </r>
  <r>
    <b v="1"/>
    <x v="0"/>
    <x v="0"/>
    <x v="2"/>
    <x v="0"/>
    <x v="1"/>
    <x v="57"/>
    <s v="BBG00VSZG6M8"/>
    <x v="26"/>
    <s v="ddc074cc122446bc92e5b6929179d0e2"/>
    <s v="Rumo 2028"/>
    <x v="1"/>
    <x v="6"/>
    <s v="Rail"/>
    <s v="Mat√£o Yard"/>
    <s v="Brazil"/>
    <d v="2020-07-01T00:00:00"/>
    <d v="2020-07-01T00:00:00"/>
    <s v="USD"/>
    <n v="80081"/>
    <n v="80081"/>
    <s v="USD"/>
    <n v="80081"/>
    <n v="80081"/>
    <b v="1"/>
    <m/>
  </r>
  <r>
    <b v="1"/>
    <x v="0"/>
    <x v="0"/>
    <x v="2"/>
    <x v="0"/>
    <x v="1"/>
    <x v="57"/>
    <s v="BBG00VSZG6M8"/>
    <x v="26"/>
    <s v="ddc074cc122446bc92e5b6929179d0e2"/>
    <s v="Rumo 2028"/>
    <x v="0"/>
    <x v="5"/>
    <s v="Rail"/>
    <s v="Ecatu-Baldu√≠no Yard"/>
    <s v="Brazil"/>
    <d v="2021-06-01T00:00:00"/>
    <d v="2021-06-01T00:00:00"/>
    <s v="USD"/>
    <n v="185996"/>
    <n v="185996"/>
    <s v="USD"/>
    <n v="185996"/>
    <n v="185996"/>
    <b v="1"/>
    <m/>
  </r>
  <r>
    <b v="1"/>
    <x v="0"/>
    <x v="0"/>
    <x v="2"/>
    <x v="0"/>
    <x v="1"/>
    <x v="57"/>
    <s v="BBG00VSZG6M8"/>
    <x v="26"/>
    <s v="ddc074cc122446bc92e5b6929179d0e2"/>
    <s v="Rumo 2028"/>
    <x v="0"/>
    <x v="5"/>
    <s v="Rail"/>
    <s v="Ecatu-Baldu√≠no Yard"/>
    <s v="Brazil"/>
    <d v="2021-05-01T00:00:00"/>
    <d v="2021-05-01T00:00:00"/>
    <s v="USD"/>
    <n v="356176"/>
    <n v="356176"/>
    <s v="USD"/>
    <n v="356176"/>
    <n v="356176"/>
    <b v="1"/>
    <m/>
  </r>
  <r>
    <b v="1"/>
    <x v="0"/>
    <x v="0"/>
    <x v="2"/>
    <x v="0"/>
    <x v="1"/>
    <x v="57"/>
    <s v="BBG00VSZG6M8"/>
    <x v="26"/>
    <s v="ddc074cc122446bc92e5b6929179d0e2"/>
    <s v="Rumo 2028"/>
    <x v="0"/>
    <x v="5"/>
    <s v="Rail"/>
    <s v="Ecatu-Baldu√≠no Yard"/>
    <s v="Brazil"/>
    <d v="2021-04-01T00:00:00"/>
    <d v="2021-04-01T00:00:00"/>
    <s v="USD"/>
    <n v="641707"/>
    <n v="641707"/>
    <s v="USD"/>
    <n v="641707"/>
    <n v="641707"/>
    <b v="1"/>
    <m/>
  </r>
  <r>
    <b v="1"/>
    <x v="0"/>
    <x v="0"/>
    <x v="2"/>
    <x v="0"/>
    <x v="1"/>
    <x v="57"/>
    <s v="BBG00VSZG6M8"/>
    <x v="26"/>
    <s v="ddc074cc122446bc92e5b6929179d0e2"/>
    <s v="Rumo 2028"/>
    <x v="0"/>
    <x v="5"/>
    <s v="Rail"/>
    <s v="Ecatu-Baldu√≠no Yard"/>
    <s v="Brazil"/>
    <d v="2021-03-01T00:00:00"/>
    <d v="2021-03-01T00:00:00"/>
    <s v="USD"/>
    <n v="130862"/>
    <n v="130862"/>
    <s v="USD"/>
    <n v="130862"/>
    <n v="130862"/>
    <b v="1"/>
    <m/>
  </r>
  <r>
    <b v="1"/>
    <x v="0"/>
    <x v="0"/>
    <x v="2"/>
    <x v="0"/>
    <x v="1"/>
    <x v="57"/>
    <s v="BBG00VSZG6M8"/>
    <x v="26"/>
    <s v="ddc074cc122446bc92e5b6929179d0e2"/>
    <s v="Rumo 2028"/>
    <x v="0"/>
    <x v="5"/>
    <s v="Rail"/>
    <s v="Ecatu-Baldu√≠no Yard"/>
    <s v="Brazil"/>
    <d v="2021-02-01T00:00:00"/>
    <d v="2021-02-01T00:00:00"/>
    <s v="USD"/>
    <n v="61292"/>
    <n v="61292"/>
    <s v="USD"/>
    <n v="61292"/>
    <n v="61292"/>
    <b v="1"/>
    <m/>
  </r>
  <r>
    <b v="1"/>
    <x v="0"/>
    <x v="0"/>
    <x v="2"/>
    <x v="0"/>
    <x v="1"/>
    <x v="57"/>
    <s v="BBG00VSZG6M8"/>
    <x v="26"/>
    <s v="ddc074cc122446bc92e5b6929179d0e2"/>
    <s v="Rumo 2028"/>
    <x v="0"/>
    <x v="5"/>
    <s v="Rail"/>
    <s v="Ecatu-Baldu√≠no Yard"/>
    <s v="Brazil"/>
    <d v="2020-12-01T00:00:00"/>
    <d v="2020-12-01T00:00:00"/>
    <s v="USD"/>
    <n v="433766"/>
    <n v="433766"/>
    <s v="USD"/>
    <n v="433766"/>
    <n v="433766"/>
    <b v="1"/>
    <m/>
  </r>
  <r>
    <b v="1"/>
    <x v="0"/>
    <x v="0"/>
    <x v="2"/>
    <x v="0"/>
    <x v="1"/>
    <x v="57"/>
    <s v="BBG00VSZG6M8"/>
    <x v="26"/>
    <s v="ddc074cc122446bc92e5b6929179d0e2"/>
    <s v="Rumo 2028"/>
    <x v="0"/>
    <x v="5"/>
    <s v="Rail"/>
    <s v="Ecatu-Baldu√≠no Yard"/>
    <s v="Brazil"/>
    <d v="2020-10-01T00:00:00"/>
    <d v="2020-10-01T00:00:00"/>
    <s v="USD"/>
    <n v="103638"/>
    <n v="103638"/>
    <s v="USD"/>
    <n v="103638"/>
    <n v="103638"/>
    <b v="1"/>
    <m/>
  </r>
  <r>
    <b v="1"/>
    <x v="0"/>
    <x v="0"/>
    <x v="2"/>
    <x v="0"/>
    <x v="1"/>
    <x v="57"/>
    <s v="BBG00VSZG6M8"/>
    <x v="26"/>
    <s v="ddc074cc122446bc92e5b6929179d0e2"/>
    <s v="Rumo 2028"/>
    <x v="1"/>
    <x v="6"/>
    <s v="Rail"/>
    <s v="Ecatu-Baldu√≠no Yard"/>
    <s v="Brazil"/>
    <d v="2021-06-01T00:00:00"/>
    <d v="2021-06-01T00:00:00"/>
    <s v="USD"/>
    <n v="185996"/>
    <n v="185996"/>
    <s v="USD"/>
    <n v="185996"/>
    <n v="185996"/>
    <b v="1"/>
    <m/>
  </r>
  <r>
    <b v="1"/>
    <x v="0"/>
    <x v="0"/>
    <x v="2"/>
    <x v="0"/>
    <x v="1"/>
    <x v="57"/>
    <s v="BBG00VSZG6M8"/>
    <x v="26"/>
    <s v="ddc074cc122446bc92e5b6929179d0e2"/>
    <s v="Rumo 2028"/>
    <x v="1"/>
    <x v="6"/>
    <s v="Rail"/>
    <s v="Ecatu-Baldu√≠no Yard"/>
    <s v="Brazil"/>
    <d v="2021-05-01T00:00:00"/>
    <d v="2021-05-01T00:00:00"/>
    <s v="USD"/>
    <n v="356176"/>
    <n v="356176"/>
    <s v="USD"/>
    <n v="356176"/>
    <n v="356176"/>
    <b v="1"/>
    <m/>
  </r>
  <r>
    <b v="1"/>
    <x v="0"/>
    <x v="0"/>
    <x v="2"/>
    <x v="0"/>
    <x v="1"/>
    <x v="57"/>
    <s v="BBG00VSZG6M8"/>
    <x v="26"/>
    <s v="ddc074cc122446bc92e5b6929179d0e2"/>
    <s v="Rumo 2028"/>
    <x v="1"/>
    <x v="6"/>
    <s v="Rail"/>
    <s v="Ecatu-Baldu√≠no Yard"/>
    <s v="Brazil"/>
    <d v="2021-04-01T00:00:00"/>
    <d v="2021-04-01T00:00:00"/>
    <s v="USD"/>
    <n v="641707"/>
    <n v="641707"/>
    <s v="USD"/>
    <n v="641707"/>
    <n v="641707"/>
    <b v="1"/>
    <m/>
  </r>
  <r>
    <b v="1"/>
    <x v="0"/>
    <x v="0"/>
    <x v="2"/>
    <x v="0"/>
    <x v="1"/>
    <x v="57"/>
    <s v="BBG00VSZG6M8"/>
    <x v="26"/>
    <s v="ddc074cc122446bc92e5b6929179d0e2"/>
    <s v="Rumo 2028"/>
    <x v="1"/>
    <x v="6"/>
    <s v="Rail"/>
    <s v="Ecatu-Baldu√≠no Yard"/>
    <s v="Brazil"/>
    <d v="2021-03-01T00:00:00"/>
    <d v="2021-03-01T00:00:00"/>
    <s v="USD"/>
    <n v="130862"/>
    <n v="130862"/>
    <s v="USD"/>
    <n v="130862"/>
    <n v="130862"/>
    <b v="1"/>
    <m/>
  </r>
  <r>
    <b v="1"/>
    <x v="0"/>
    <x v="0"/>
    <x v="2"/>
    <x v="0"/>
    <x v="1"/>
    <x v="57"/>
    <s v="BBG00VSZG6M8"/>
    <x v="26"/>
    <s v="ddc074cc122446bc92e5b6929179d0e2"/>
    <s v="Rumo 2028"/>
    <x v="1"/>
    <x v="6"/>
    <s v="Rail"/>
    <s v="Ecatu-Baldu√≠no Yard"/>
    <s v="Brazil"/>
    <d v="2021-02-01T00:00:00"/>
    <d v="2021-02-01T00:00:00"/>
    <s v="USD"/>
    <n v="61292"/>
    <n v="61292"/>
    <s v="USD"/>
    <n v="61292"/>
    <n v="61292"/>
    <b v="1"/>
    <m/>
  </r>
  <r>
    <b v="1"/>
    <x v="0"/>
    <x v="0"/>
    <x v="2"/>
    <x v="0"/>
    <x v="1"/>
    <x v="57"/>
    <s v="BBG00VSZG6M8"/>
    <x v="26"/>
    <s v="ddc074cc122446bc92e5b6929179d0e2"/>
    <s v="Rumo 2028"/>
    <x v="1"/>
    <x v="6"/>
    <s v="Rail"/>
    <s v="Ecatu-Baldu√≠no Yard"/>
    <s v="Brazil"/>
    <d v="2020-12-01T00:00:00"/>
    <d v="2020-12-01T00:00:00"/>
    <s v="USD"/>
    <n v="433766"/>
    <n v="433766"/>
    <s v="USD"/>
    <n v="433766"/>
    <n v="433766"/>
    <b v="1"/>
    <m/>
  </r>
  <r>
    <b v="1"/>
    <x v="0"/>
    <x v="0"/>
    <x v="2"/>
    <x v="0"/>
    <x v="1"/>
    <x v="57"/>
    <s v="BBG00VSZG6M8"/>
    <x v="26"/>
    <s v="ddc074cc122446bc92e5b6929179d0e2"/>
    <s v="Rumo 2028"/>
    <x v="1"/>
    <x v="6"/>
    <s v="Rail"/>
    <s v="Ecatu-Baldu√≠no Yard"/>
    <s v="Brazil"/>
    <d v="2020-10-01T00:00:00"/>
    <d v="2020-10-01T00:00:00"/>
    <s v="USD"/>
    <n v="103638"/>
    <n v="103638"/>
    <s v="USD"/>
    <n v="103638"/>
    <n v="103638"/>
    <b v="1"/>
    <m/>
  </r>
  <r>
    <b v="1"/>
    <x v="0"/>
    <x v="0"/>
    <x v="2"/>
    <x v="0"/>
    <x v="1"/>
    <x v="57"/>
    <s v="BBG00VSZG6M8"/>
    <x v="26"/>
    <s v="ddc074cc122446bc92e5b6929179d0e2"/>
    <s v="Rumo 2028"/>
    <x v="0"/>
    <x v="5"/>
    <s v="Rail"/>
    <s v="Espig√£o-Boa Esperan√ßa Yard"/>
    <s v="Brazil"/>
    <d v="2021-03-01T00:00:00"/>
    <d v="2021-03-01T00:00:00"/>
    <s v="USD"/>
    <n v="4882"/>
    <n v="4882"/>
    <s v="USD"/>
    <n v="4882"/>
    <n v="4882"/>
    <b v="1"/>
    <m/>
  </r>
  <r>
    <b v="1"/>
    <x v="0"/>
    <x v="0"/>
    <x v="2"/>
    <x v="0"/>
    <x v="1"/>
    <x v="57"/>
    <s v="BBG00VSZG6M8"/>
    <x v="26"/>
    <s v="ddc074cc122446bc92e5b6929179d0e2"/>
    <s v="Rumo 2028"/>
    <x v="0"/>
    <x v="5"/>
    <s v="Rail"/>
    <s v="Espig√£o-Boa Esperan√ßa Yard"/>
    <s v="Brazil"/>
    <d v="2021-02-01T00:00:00"/>
    <d v="2021-02-01T00:00:00"/>
    <s v="USD"/>
    <n v="53352"/>
    <n v="53352"/>
    <s v="USD"/>
    <n v="53352"/>
    <n v="53352"/>
    <b v="1"/>
    <m/>
  </r>
  <r>
    <b v="1"/>
    <x v="0"/>
    <x v="0"/>
    <x v="2"/>
    <x v="0"/>
    <x v="1"/>
    <x v="57"/>
    <s v="BBG00VSZG6M8"/>
    <x v="26"/>
    <s v="ddc074cc122446bc92e5b6929179d0e2"/>
    <s v="Rumo 2028"/>
    <x v="0"/>
    <x v="5"/>
    <s v="Rail"/>
    <s v="Espig√£o-Boa Esperan√ßa Yard"/>
    <s v="Brazil"/>
    <d v="2021-01-01T00:00:00"/>
    <d v="2021-01-01T00:00:00"/>
    <s v="USD"/>
    <n v="443"/>
    <n v="443"/>
    <s v="USD"/>
    <n v="443"/>
    <n v="443"/>
    <b v="1"/>
    <m/>
  </r>
  <r>
    <b v="1"/>
    <x v="0"/>
    <x v="0"/>
    <x v="2"/>
    <x v="0"/>
    <x v="1"/>
    <x v="57"/>
    <s v="BBG00VSZG6M8"/>
    <x v="26"/>
    <s v="ddc074cc122446bc92e5b6929179d0e2"/>
    <s v="Rumo 2028"/>
    <x v="0"/>
    <x v="5"/>
    <s v="Rail"/>
    <s v="Espig√£o-Boa Esperan√ßa Yard"/>
    <s v="Brazil"/>
    <d v="2020-12-01T00:00:00"/>
    <d v="2020-12-01T00:00:00"/>
    <s v="USD"/>
    <n v="178882"/>
    <n v="178882"/>
    <s v="USD"/>
    <n v="178882"/>
    <n v="178882"/>
    <b v="1"/>
    <m/>
  </r>
  <r>
    <b v="1"/>
    <x v="0"/>
    <x v="0"/>
    <x v="2"/>
    <x v="0"/>
    <x v="1"/>
    <x v="57"/>
    <s v="BBG00VSZG6M8"/>
    <x v="26"/>
    <s v="ddc074cc122446bc92e5b6929179d0e2"/>
    <s v="Rumo 2028"/>
    <x v="0"/>
    <x v="5"/>
    <s v="Rail"/>
    <s v="Espig√£o-Boa Esperan√ßa Yard"/>
    <s v="Brazil"/>
    <d v="2020-11-01T00:00:00"/>
    <d v="2020-11-01T00:00:00"/>
    <s v="USD"/>
    <n v="937192"/>
    <n v="937192"/>
    <s v="USD"/>
    <n v="937192"/>
    <n v="937192"/>
    <b v="1"/>
    <m/>
  </r>
  <r>
    <b v="1"/>
    <x v="0"/>
    <x v="0"/>
    <x v="2"/>
    <x v="0"/>
    <x v="1"/>
    <x v="57"/>
    <s v="BBG00VSZG6M8"/>
    <x v="26"/>
    <s v="ddc074cc122446bc92e5b6929179d0e2"/>
    <s v="Rumo 2028"/>
    <x v="0"/>
    <x v="5"/>
    <s v="Rail"/>
    <s v="Espig√£o-Boa Esperan√ßa Yard"/>
    <s v="Brazil"/>
    <d v="2020-10-01T00:00:00"/>
    <d v="2020-10-01T00:00:00"/>
    <s v="USD"/>
    <n v="484848"/>
    <n v="484848"/>
    <s v="USD"/>
    <n v="484848"/>
    <n v="484848"/>
    <b v="1"/>
    <m/>
  </r>
  <r>
    <b v="1"/>
    <x v="0"/>
    <x v="0"/>
    <x v="2"/>
    <x v="0"/>
    <x v="1"/>
    <x v="57"/>
    <s v="BBG00VSZG6M8"/>
    <x v="26"/>
    <s v="ddc074cc122446bc92e5b6929179d0e2"/>
    <s v="Rumo 2028"/>
    <x v="0"/>
    <x v="5"/>
    <s v="Rail"/>
    <s v="Espig√£o-Boa Esperan√ßa Yard"/>
    <s v="Brazil"/>
    <d v="2020-09-01T00:00:00"/>
    <d v="2020-09-01T00:00:00"/>
    <s v="USD"/>
    <n v="421"/>
    <n v="421"/>
    <s v="USD"/>
    <n v="421"/>
    <n v="421"/>
    <b v="1"/>
    <m/>
  </r>
  <r>
    <b v="1"/>
    <x v="0"/>
    <x v="0"/>
    <x v="2"/>
    <x v="0"/>
    <x v="1"/>
    <x v="57"/>
    <s v="BBG00VSZG6M8"/>
    <x v="26"/>
    <s v="ddc074cc122446bc92e5b6929179d0e2"/>
    <s v="Rumo 2028"/>
    <x v="0"/>
    <x v="5"/>
    <s v="Rail"/>
    <s v="Espig√£o-Boa Esperan√ßa Yard"/>
    <s v="Brazil"/>
    <d v="2020-08-01T00:00:00"/>
    <d v="2020-08-01T00:00:00"/>
    <s v="USD"/>
    <n v="51783"/>
    <n v="51783"/>
    <s v="USD"/>
    <n v="51783"/>
    <n v="51783"/>
    <b v="1"/>
    <m/>
  </r>
  <r>
    <b v="1"/>
    <x v="0"/>
    <x v="0"/>
    <x v="2"/>
    <x v="0"/>
    <x v="1"/>
    <x v="57"/>
    <s v="BBG00VSZG6M8"/>
    <x v="26"/>
    <s v="ddc074cc122446bc92e5b6929179d0e2"/>
    <s v="Rumo 2028"/>
    <x v="0"/>
    <x v="5"/>
    <s v="Rail"/>
    <s v="Espig√£o-Boa Esperan√ßa Yard"/>
    <s v="Brazil"/>
    <d v="2020-07-01T00:00:00"/>
    <d v="2020-07-01T00:00:00"/>
    <s v="USD"/>
    <n v="114197"/>
    <n v="114197"/>
    <s v="USD"/>
    <n v="114197"/>
    <n v="114197"/>
    <b v="1"/>
    <m/>
  </r>
  <r>
    <b v="1"/>
    <x v="0"/>
    <x v="0"/>
    <x v="2"/>
    <x v="0"/>
    <x v="1"/>
    <x v="57"/>
    <s v="BBG00VSZG6M8"/>
    <x v="26"/>
    <s v="ddc074cc122446bc92e5b6929179d0e2"/>
    <s v="Rumo 2028"/>
    <x v="1"/>
    <x v="6"/>
    <s v="Rail"/>
    <s v="Espig√£o-Boa Esperan√ßa Yard"/>
    <s v="Brazil"/>
    <d v="2021-03-01T00:00:00"/>
    <d v="2021-03-01T00:00:00"/>
    <s v="USD"/>
    <n v="4882"/>
    <n v="4882"/>
    <s v="USD"/>
    <n v="4882"/>
    <n v="4882"/>
    <b v="1"/>
    <m/>
  </r>
  <r>
    <b v="1"/>
    <x v="0"/>
    <x v="0"/>
    <x v="2"/>
    <x v="0"/>
    <x v="1"/>
    <x v="57"/>
    <s v="BBG00VSZG6M8"/>
    <x v="26"/>
    <s v="ddc074cc122446bc92e5b6929179d0e2"/>
    <s v="Rumo 2028"/>
    <x v="1"/>
    <x v="6"/>
    <s v="Rail"/>
    <s v="Espig√£o-Boa Esperan√ßa Yard"/>
    <s v="Brazil"/>
    <d v="2021-02-01T00:00:00"/>
    <d v="2021-02-01T00:00:00"/>
    <s v="USD"/>
    <n v="53352"/>
    <n v="53352"/>
    <s v="USD"/>
    <n v="53352"/>
    <n v="53352"/>
    <b v="1"/>
    <m/>
  </r>
  <r>
    <b v="1"/>
    <x v="0"/>
    <x v="0"/>
    <x v="2"/>
    <x v="0"/>
    <x v="1"/>
    <x v="57"/>
    <s v="BBG00VSZG6M8"/>
    <x v="26"/>
    <s v="ddc074cc122446bc92e5b6929179d0e2"/>
    <s v="Rumo 2028"/>
    <x v="1"/>
    <x v="6"/>
    <s v="Rail"/>
    <s v="Espig√£o-Boa Esperan√ßa Yard"/>
    <s v="Brazil"/>
    <d v="2021-01-01T00:00:00"/>
    <d v="2021-01-01T00:00:00"/>
    <s v="USD"/>
    <n v="443"/>
    <n v="443"/>
    <s v="USD"/>
    <n v="443"/>
    <n v="443"/>
    <b v="1"/>
    <m/>
  </r>
  <r>
    <b v="1"/>
    <x v="0"/>
    <x v="0"/>
    <x v="2"/>
    <x v="0"/>
    <x v="1"/>
    <x v="57"/>
    <s v="BBG00VSZG6M8"/>
    <x v="26"/>
    <s v="ddc074cc122446bc92e5b6929179d0e2"/>
    <s v="Rumo 2028"/>
    <x v="1"/>
    <x v="6"/>
    <s v="Rail"/>
    <s v="Espig√£o-Boa Esperan√ßa Yard"/>
    <s v="Brazil"/>
    <d v="2020-12-01T00:00:00"/>
    <d v="2020-12-01T00:00:00"/>
    <s v="USD"/>
    <n v="178882"/>
    <n v="178882"/>
    <s v="USD"/>
    <n v="178882"/>
    <n v="178882"/>
    <b v="1"/>
    <m/>
  </r>
  <r>
    <b v="1"/>
    <x v="0"/>
    <x v="0"/>
    <x v="2"/>
    <x v="0"/>
    <x v="1"/>
    <x v="57"/>
    <s v="BBG00VSZG6M8"/>
    <x v="26"/>
    <s v="ddc074cc122446bc92e5b6929179d0e2"/>
    <s v="Rumo 2028"/>
    <x v="1"/>
    <x v="6"/>
    <s v="Rail"/>
    <s v="Espig√£o-Boa Esperan√ßa Yard"/>
    <s v="Brazil"/>
    <d v="2020-11-01T00:00:00"/>
    <d v="2020-11-01T00:00:00"/>
    <s v="USD"/>
    <n v="937192"/>
    <n v="937192"/>
    <s v="USD"/>
    <n v="937192"/>
    <n v="937192"/>
    <b v="1"/>
    <m/>
  </r>
  <r>
    <b v="1"/>
    <x v="0"/>
    <x v="0"/>
    <x v="2"/>
    <x v="0"/>
    <x v="1"/>
    <x v="57"/>
    <s v="BBG00VSZG6M8"/>
    <x v="26"/>
    <s v="ddc074cc122446bc92e5b6929179d0e2"/>
    <s v="Rumo 2028"/>
    <x v="1"/>
    <x v="6"/>
    <s v="Rail"/>
    <s v="Espig√£o-Boa Esperan√ßa Yard"/>
    <s v="Brazil"/>
    <d v="2020-10-01T00:00:00"/>
    <d v="2020-10-01T00:00:00"/>
    <s v="USD"/>
    <n v="484848"/>
    <n v="484848"/>
    <s v="USD"/>
    <n v="484848"/>
    <n v="484848"/>
    <b v="1"/>
    <m/>
  </r>
  <r>
    <b v="1"/>
    <x v="0"/>
    <x v="0"/>
    <x v="2"/>
    <x v="0"/>
    <x v="1"/>
    <x v="57"/>
    <s v="BBG00VSZG6M8"/>
    <x v="26"/>
    <s v="ddc074cc122446bc92e5b6929179d0e2"/>
    <s v="Rumo 2028"/>
    <x v="1"/>
    <x v="6"/>
    <s v="Rail"/>
    <s v="Espig√£o-Boa Esperan√ßa Yard"/>
    <s v="Brazil"/>
    <d v="2020-09-01T00:00:00"/>
    <d v="2020-09-01T00:00:00"/>
    <s v="USD"/>
    <n v="421"/>
    <n v="421"/>
    <s v="USD"/>
    <n v="421"/>
    <n v="421"/>
    <b v="1"/>
    <m/>
  </r>
  <r>
    <b v="1"/>
    <x v="0"/>
    <x v="0"/>
    <x v="2"/>
    <x v="0"/>
    <x v="1"/>
    <x v="57"/>
    <s v="BBG00VSZG6M8"/>
    <x v="26"/>
    <s v="ddc074cc122446bc92e5b6929179d0e2"/>
    <s v="Rumo 2028"/>
    <x v="1"/>
    <x v="6"/>
    <s v="Rail"/>
    <s v="Espig√£o-Boa Esperan√ßa Yard"/>
    <s v="Brazil"/>
    <d v="2020-08-01T00:00:00"/>
    <d v="2020-08-01T00:00:00"/>
    <s v="USD"/>
    <n v="51783"/>
    <n v="51783"/>
    <s v="USD"/>
    <n v="51783"/>
    <n v="51783"/>
    <b v="1"/>
    <m/>
  </r>
  <r>
    <b v="1"/>
    <x v="0"/>
    <x v="0"/>
    <x v="2"/>
    <x v="0"/>
    <x v="1"/>
    <x v="57"/>
    <s v="BBG00VSZG6M8"/>
    <x v="26"/>
    <s v="ddc074cc122446bc92e5b6929179d0e2"/>
    <s v="Rumo 2028"/>
    <x v="1"/>
    <x v="6"/>
    <s v="Rail"/>
    <s v="Espig√£o-Boa Esperan√ßa Yard"/>
    <s v="Brazil"/>
    <d v="2020-07-01T00:00:00"/>
    <d v="2020-07-01T00:00:00"/>
    <s v="USD"/>
    <n v="114197"/>
    <n v="114197"/>
    <s v="USD"/>
    <n v="114197"/>
    <n v="114197"/>
    <b v="1"/>
    <m/>
  </r>
  <r>
    <b v="1"/>
    <x v="0"/>
    <x v="0"/>
    <x v="2"/>
    <x v="0"/>
    <x v="1"/>
    <x v="57"/>
    <s v="BBG00VSZG6M8"/>
    <x v="26"/>
    <s v="ddc074cc122446bc92e5b6929179d0e2"/>
    <s v="Rumo 2028"/>
    <x v="0"/>
    <x v="5"/>
    <s v="Rail"/>
    <s v="Rio Preto Paulista Yard"/>
    <s v="Brazil"/>
    <d v="2021-06-01T00:00:00"/>
    <d v="2021-06-01T00:00:00"/>
    <s v="USD"/>
    <n v="201611"/>
    <n v="201611"/>
    <s v="USD"/>
    <n v="201611"/>
    <n v="201611"/>
    <b v="1"/>
    <m/>
  </r>
  <r>
    <b v="1"/>
    <x v="0"/>
    <x v="0"/>
    <x v="2"/>
    <x v="0"/>
    <x v="1"/>
    <x v="57"/>
    <s v="BBG00VSZG6M8"/>
    <x v="26"/>
    <s v="ddc074cc122446bc92e5b6929179d0e2"/>
    <s v="Rumo 2028"/>
    <x v="0"/>
    <x v="5"/>
    <s v="Rail"/>
    <s v="Rio Preto Paulista Yard"/>
    <s v="Brazil"/>
    <d v="2021-05-01T00:00:00"/>
    <d v="2021-05-01T00:00:00"/>
    <s v="USD"/>
    <n v="124394"/>
    <n v="124394"/>
    <s v="USD"/>
    <n v="124394"/>
    <n v="124394"/>
    <b v="1"/>
    <m/>
  </r>
  <r>
    <b v="1"/>
    <x v="0"/>
    <x v="0"/>
    <x v="2"/>
    <x v="0"/>
    <x v="1"/>
    <x v="57"/>
    <s v="BBG00VSZG6M8"/>
    <x v="26"/>
    <s v="ddc074cc122446bc92e5b6929179d0e2"/>
    <s v="Rumo 2028"/>
    <x v="0"/>
    <x v="5"/>
    <s v="Rail"/>
    <s v="Rio Preto Paulista Yard"/>
    <s v="Brazil"/>
    <d v="2021-04-01T00:00:00"/>
    <d v="2021-04-01T00:00:00"/>
    <s v="USD"/>
    <n v="148087"/>
    <n v="148087"/>
    <s v="USD"/>
    <n v="148087"/>
    <n v="148087"/>
    <b v="1"/>
    <m/>
  </r>
  <r>
    <b v="1"/>
    <x v="0"/>
    <x v="0"/>
    <x v="2"/>
    <x v="0"/>
    <x v="1"/>
    <x v="57"/>
    <s v="BBG00VSZG6M8"/>
    <x v="26"/>
    <s v="ddc074cc122446bc92e5b6929179d0e2"/>
    <s v="Rumo 2028"/>
    <x v="0"/>
    <x v="5"/>
    <s v="Rail"/>
    <s v="Rio Preto Paulista Yard"/>
    <s v="Brazil"/>
    <d v="2021-03-01T00:00:00"/>
    <d v="2021-03-01T00:00:00"/>
    <s v="USD"/>
    <n v="606904"/>
    <n v="606904"/>
    <s v="USD"/>
    <n v="606904"/>
    <n v="606904"/>
    <b v="1"/>
    <m/>
  </r>
  <r>
    <b v="1"/>
    <x v="0"/>
    <x v="0"/>
    <x v="2"/>
    <x v="0"/>
    <x v="1"/>
    <x v="57"/>
    <s v="BBG00VSZG6M8"/>
    <x v="26"/>
    <s v="ddc074cc122446bc92e5b6929179d0e2"/>
    <s v="Rumo 2028"/>
    <x v="0"/>
    <x v="5"/>
    <s v="Rail"/>
    <s v="Rio Preto Paulista Yard"/>
    <s v="Brazil"/>
    <d v="2021-02-01T00:00:00"/>
    <d v="2021-02-01T00:00:00"/>
    <s v="USD"/>
    <n v="144653"/>
    <n v="144653"/>
    <s v="USD"/>
    <n v="144653"/>
    <n v="144653"/>
    <b v="1"/>
    <m/>
  </r>
  <r>
    <b v="1"/>
    <x v="0"/>
    <x v="0"/>
    <x v="2"/>
    <x v="0"/>
    <x v="1"/>
    <x v="57"/>
    <s v="BBG00VSZG6M8"/>
    <x v="26"/>
    <s v="ddc074cc122446bc92e5b6929179d0e2"/>
    <s v="Rumo 2028"/>
    <x v="0"/>
    <x v="5"/>
    <s v="Rail"/>
    <s v="Rio Preto Paulista Yard"/>
    <s v="Brazil"/>
    <d v="2021-01-01T00:00:00"/>
    <d v="2021-01-01T00:00:00"/>
    <s v="USD"/>
    <n v="421"/>
    <n v="421"/>
    <s v="USD"/>
    <n v="421"/>
    <n v="421"/>
    <b v="1"/>
    <m/>
  </r>
  <r>
    <b v="1"/>
    <x v="0"/>
    <x v="0"/>
    <x v="2"/>
    <x v="0"/>
    <x v="1"/>
    <x v="57"/>
    <s v="BBG00VSZG6M8"/>
    <x v="26"/>
    <s v="ddc074cc122446bc92e5b6929179d0e2"/>
    <s v="Rumo 2028"/>
    <x v="0"/>
    <x v="5"/>
    <s v="Rail"/>
    <s v="Rio Preto Paulista Yard"/>
    <s v="Brazil"/>
    <d v="2020-12-01T00:00:00"/>
    <d v="2020-12-01T00:00:00"/>
    <s v="USD"/>
    <n v="312811"/>
    <n v="312811"/>
    <s v="USD"/>
    <n v="312811"/>
    <n v="312811"/>
    <b v="1"/>
    <m/>
  </r>
  <r>
    <b v="1"/>
    <x v="0"/>
    <x v="0"/>
    <x v="2"/>
    <x v="0"/>
    <x v="1"/>
    <x v="57"/>
    <s v="BBG00VSZG6M8"/>
    <x v="26"/>
    <s v="ddc074cc122446bc92e5b6929179d0e2"/>
    <s v="Rumo 2028"/>
    <x v="1"/>
    <x v="6"/>
    <s v="Rail"/>
    <s v="Rio Preto Paulista Yard"/>
    <s v="Brazil"/>
    <d v="2021-06-01T00:00:00"/>
    <d v="2021-06-01T00:00:00"/>
    <s v="USD"/>
    <n v="201611"/>
    <n v="201611"/>
    <s v="USD"/>
    <n v="201611"/>
    <n v="201611"/>
    <b v="1"/>
    <m/>
  </r>
  <r>
    <b v="1"/>
    <x v="0"/>
    <x v="0"/>
    <x v="2"/>
    <x v="0"/>
    <x v="1"/>
    <x v="57"/>
    <s v="BBG00VSZG6M8"/>
    <x v="26"/>
    <s v="ddc074cc122446bc92e5b6929179d0e2"/>
    <s v="Rumo 2028"/>
    <x v="1"/>
    <x v="6"/>
    <s v="Rail"/>
    <s v="Rio Preto Paulista Yard"/>
    <s v="Brazil"/>
    <d v="2021-05-01T00:00:00"/>
    <d v="2021-05-01T00:00:00"/>
    <s v="USD"/>
    <n v="124394"/>
    <n v="124394"/>
    <s v="USD"/>
    <n v="124394"/>
    <n v="124394"/>
    <b v="1"/>
    <m/>
  </r>
  <r>
    <b v="1"/>
    <x v="0"/>
    <x v="0"/>
    <x v="2"/>
    <x v="0"/>
    <x v="1"/>
    <x v="57"/>
    <s v="BBG00VSZG6M8"/>
    <x v="26"/>
    <s v="ddc074cc122446bc92e5b6929179d0e2"/>
    <s v="Rumo 2028"/>
    <x v="1"/>
    <x v="6"/>
    <s v="Rail"/>
    <s v="Rio Preto Paulista Yard"/>
    <s v="Brazil"/>
    <d v="2021-04-01T00:00:00"/>
    <d v="2021-04-01T00:00:00"/>
    <s v="USD"/>
    <n v="148087"/>
    <n v="148087"/>
    <s v="USD"/>
    <n v="148087"/>
    <n v="148087"/>
    <b v="1"/>
    <m/>
  </r>
  <r>
    <b v="1"/>
    <x v="0"/>
    <x v="0"/>
    <x v="2"/>
    <x v="0"/>
    <x v="1"/>
    <x v="57"/>
    <s v="BBG00VSZG6M8"/>
    <x v="26"/>
    <s v="ddc074cc122446bc92e5b6929179d0e2"/>
    <s v="Rumo 2028"/>
    <x v="1"/>
    <x v="6"/>
    <s v="Rail"/>
    <s v="Rio Preto Paulista Yard"/>
    <s v="Brazil"/>
    <d v="2021-03-01T00:00:00"/>
    <d v="2021-03-01T00:00:00"/>
    <s v="USD"/>
    <n v="606904"/>
    <n v="606904"/>
    <s v="USD"/>
    <n v="606904"/>
    <n v="606904"/>
    <b v="1"/>
    <m/>
  </r>
  <r>
    <b v="1"/>
    <x v="0"/>
    <x v="0"/>
    <x v="2"/>
    <x v="0"/>
    <x v="1"/>
    <x v="57"/>
    <s v="BBG00VSZG6M8"/>
    <x v="26"/>
    <s v="ddc074cc122446bc92e5b6929179d0e2"/>
    <s v="Rumo 2028"/>
    <x v="1"/>
    <x v="6"/>
    <s v="Rail"/>
    <s v="Rio Preto Paulista Yard"/>
    <s v="Brazil"/>
    <d v="2021-02-01T00:00:00"/>
    <d v="2021-02-01T00:00:00"/>
    <s v="USD"/>
    <n v="144653"/>
    <n v="144653"/>
    <s v="USD"/>
    <n v="144653"/>
    <n v="144653"/>
    <b v="1"/>
    <m/>
  </r>
  <r>
    <b v="1"/>
    <x v="0"/>
    <x v="0"/>
    <x v="2"/>
    <x v="0"/>
    <x v="1"/>
    <x v="57"/>
    <s v="BBG00VSZG6M8"/>
    <x v="26"/>
    <s v="ddc074cc122446bc92e5b6929179d0e2"/>
    <s v="Rumo 2028"/>
    <x v="1"/>
    <x v="6"/>
    <s v="Rail"/>
    <s v="Rio Preto Paulista Yard"/>
    <s v="Brazil"/>
    <d v="2021-01-01T00:00:00"/>
    <d v="2021-01-01T00:00:00"/>
    <s v="USD"/>
    <n v="421"/>
    <n v="421"/>
    <s v="USD"/>
    <n v="421"/>
    <n v="421"/>
    <b v="1"/>
    <m/>
  </r>
  <r>
    <b v="1"/>
    <x v="0"/>
    <x v="0"/>
    <x v="2"/>
    <x v="0"/>
    <x v="1"/>
    <x v="57"/>
    <s v="BBG00VSZG6M8"/>
    <x v="26"/>
    <s v="ddc074cc122446bc92e5b6929179d0e2"/>
    <s v="Rumo 2028"/>
    <x v="1"/>
    <x v="6"/>
    <s v="Rail"/>
    <s v="Rio Preto Paulista Yard"/>
    <s v="Brazil"/>
    <d v="2020-12-01T00:00:00"/>
    <d v="2020-12-01T00:00:00"/>
    <s v="USD"/>
    <n v="312811"/>
    <n v="312811"/>
    <s v="USD"/>
    <n v="312811"/>
    <n v="312811"/>
    <b v="1"/>
    <m/>
  </r>
  <r>
    <b v="1"/>
    <x v="0"/>
    <x v="0"/>
    <x v="2"/>
    <x v="0"/>
    <x v="1"/>
    <x v="57"/>
    <s v="BBG00VSZG6M8"/>
    <x v="26"/>
    <s v="ddc074cc122446bc92e5b6929179d0e2"/>
    <s v="Rumo 2028"/>
    <x v="0"/>
    <x v="5"/>
    <s v="Rail"/>
    <s v="Rio Claro Velho Yard"/>
    <s v="Brazil"/>
    <d v="2021-05-01T00:00:00"/>
    <d v="2021-05-01T00:00:00"/>
    <s v="USD"/>
    <n v="136855"/>
    <n v="136855"/>
    <s v="USD"/>
    <n v="136855"/>
    <n v="136855"/>
    <b v="1"/>
    <m/>
  </r>
  <r>
    <b v="1"/>
    <x v="0"/>
    <x v="0"/>
    <x v="2"/>
    <x v="0"/>
    <x v="1"/>
    <x v="57"/>
    <s v="BBG00VSZG6M8"/>
    <x v="26"/>
    <s v="ddc074cc122446bc92e5b6929179d0e2"/>
    <s v="Rumo 2028"/>
    <x v="0"/>
    <x v="5"/>
    <s v="Rail"/>
    <s v="Rio Claro Velho Yard"/>
    <s v="Brazil"/>
    <d v="2021-04-01T00:00:00"/>
    <d v="2021-04-01T00:00:00"/>
    <s v="USD"/>
    <n v="157925"/>
    <n v="157925"/>
    <s v="USD"/>
    <n v="157925"/>
    <n v="157925"/>
    <b v="1"/>
    <m/>
  </r>
  <r>
    <b v="1"/>
    <x v="0"/>
    <x v="0"/>
    <x v="2"/>
    <x v="0"/>
    <x v="1"/>
    <x v="57"/>
    <s v="BBG00VSZG6M8"/>
    <x v="26"/>
    <s v="ddc074cc122446bc92e5b6929179d0e2"/>
    <s v="Rumo 2028"/>
    <x v="0"/>
    <x v="5"/>
    <s v="Rail"/>
    <s v="Rio Claro Velho Yard"/>
    <s v="Brazil"/>
    <d v="2021-03-01T00:00:00"/>
    <d v="2021-03-01T00:00:00"/>
    <s v="USD"/>
    <n v="113239"/>
    <n v="113239"/>
    <s v="USD"/>
    <n v="113239"/>
    <n v="113239"/>
    <b v="1"/>
    <m/>
  </r>
  <r>
    <b v="1"/>
    <x v="0"/>
    <x v="0"/>
    <x v="2"/>
    <x v="0"/>
    <x v="1"/>
    <x v="57"/>
    <s v="BBG00VSZG6M8"/>
    <x v="26"/>
    <s v="ddc074cc122446bc92e5b6929179d0e2"/>
    <s v="Rumo 2028"/>
    <x v="0"/>
    <x v="5"/>
    <s v="Rail"/>
    <s v="Rio Claro Velho Yard"/>
    <s v="Brazil"/>
    <d v="2021-02-01T00:00:00"/>
    <d v="2021-02-01T00:00:00"/>
    <s v="USD"/>
    <n v="254197"/>
    <n v="254197"/>
    <s v="USD"/>
    <n v="254197"/>
    <n v="254197"/>
    <b v="1"/>
    <m/>
  </r>
  <r>
    <b v="1"/>
    <x v="0"/>
    <x v="0"/>
    <x v="2"/>
    <x v="0"/>
    <x v="1"/>
    <x v="57"/>
    <s v="BBG00VSZG6M8"/>
    <x v="26"/>
    <s v="ddc074cc122446bc92e5b6929179d0e2"/>
    <s v="Rumo 2028"/>
    <x v="0"/>
    <x v="5"/>
    <s v="Rail"/>
    <s v="Rio Claro Velho Yard"/>
    <s v="Brazil"/>
    <d v="2021-01-01T00:00:00"/>
    <d v="2021-01-01T00:00:00"/>
    <s v="USD"/>
    <n v="77337"/>
    <n v="77337"/>
    <s v="USD"/>
    <n v="77337"/>
    <n v="77337"/>
    <b v="1"/>
    <m/>
  </r>
  <r>
    <b v="1"/>
    <x v="0"/>
    <x v="0"/>
    <x v="2"/>
    <x v="0"/>
    <x v="1"/>
    <x v="57"/>
    <s v="BBG00VSZG6M8"/>
    <x v="26"/>
    <s v="ddc074cc122446bc92e5b6929179d0e2"/>
    <s v="Rumo 2028"/>
    <x v="0"/>
    <x v="5"/>
    <s v="Rail"/>
    <s v="Rio Claro Velho Yard"/>
    <s v="Brazil"/>
    <d v="2020-12-01T00:00:00"/>
    <d v="2020-12-01T00:00:00"/>
    <s v="USD"/>
    <n v="579326"/>
    <n v="579326"/>
    <s v="USD"/>
    <n v="579326"/>
    <n v="579326"/>
    <b v="1"/>
    <m/>
  </r>
  <r>
    <b v="1"/>
    <x v="0"/>
    <x v="0"/>
    <x v="2"/>
    <x v="0"/>
    <x v="1"/>
    <x v="57"/>
    <s v="BBG00VSZG6M8"/>
    <x v="26"/>
    <s v="ddc074cc122446bc92e5b6929179d0e2"/>
    <s v="Rumo 2028"/>
    <x v="0"/>
    <x v="5"/>
    <s v="Rail"/>
    <s v="Rio Claro Velho Yard"/>
    <s v="Brazil"/>
    <d v="2020-11-01T00:00:00"/>
    <d v="2020-11-01T00:00:00"/>
    <s v="USD"/>
    <n v="90998"/>
    <n v="90998"/>
    <s v="USD"/>
    <n v="90998"/>
    <n v="90998"/>
    <b v="1"/>
    <m/>
  </r>
  <r>
    <b v="1"/>
    <x v="0"/>
    <x v="0"/>
    <x v="2"/>
    <x v="0"/>
    <x v="1"/>
    <x v="57"/>
    <s v="BBG00VSZG6M8"/>
    <x v="26"/>
    <s v="ddc074cc122446bc92e5b6929179d0e2"/>
    <s v="Rumo 2028"/>
    <x v="0"/>
    <x v="5"/>
    <s v="Rail"/>
    <s v="Rio Claro Velho Yard"/>
    <s v="Brazil"/>
    <d v="2020-10-01T00:00:00"/>
    <d v="2020-10-01T00:00:00"/>
    <s v="USD"/>
    <n v="107351"/>
    <n v="107351"/>
    <s v="USD"/>
    <n v="107351"/>
    <n v="107351"/>
    <b v="1"/>
    <m/>
  </r>
  <r>
    <b v="1"/>
    <x v="0"/>
    <x v="0"/>
    <x v="2"/>
    <x v="0"/>
    <x v="1"/>
    <x v="57"/>
    <s v="BBG00VSZG6M8"/>
    <x v="26"/>
    <s v="ddc074cc122446bc92e5b6929179d0e2"/>
    <s v="Rumo 2028"/>
    <x v="1"/>
    <x v="6"/>
    <s v="Rail"/>
    <s v="Rio Claro Velho Yard"/>
    <s v="Brazil"/>
    <d v="2021-05-01T00:00:00"/>
    <d v="2021-05-01T00:00:00"/>
    <s v="USD"/>
    <n v="136855"/>
    <n v="136855"/>
    <s v="USD"/>
    <n v="136855"/>
    <n v="136855"/>
    <b v="1"/>
    <m/>
  </r>
  <r>
    <b v="1"/>
    <x v="0"/>
    <x v="0"/>
    <x v="2"/>
    <x v="0"/>
    <x v="1"/>
    <x v="57"/>
    <s v="BBG00VSZG6M8"/>
    <x v="26"/>
    <s v="ddc074cc122446bc92e5b6929179d0e2"/>
    <s v="Rumo 2028"/>
    <x v="1"/>
    <x v="6"/>
    <s v="Rail"/>
    <s v="Rio Claro Velho Yard"/>
    <s v="Brazil"/>
    <d v="2021-04-01T00:00:00"/>
    <d v="2021-04-01T00:00:00"/>
    <s v="USD"/>
    <n v="157925"/>
    <n v="157925"/>
    <s v="USD"/>
    <n v="157925"/>
    <n v="157925"/>
    <b v="1"/>
    <m/>
  </r>
  <r>
    <b v="1"/>
    <x v="0"/>
    <x v="0"/>
    <x v="2"/>
    <x v="0"/>
    <x v="1"/>
    <x v="57"/>
    <s v="BBG00VSZG6M8"/>
    <x v="26"/>
    <s v="ddc074cc122446bc92e5b6929179d0e2"/>
    <s v="Rumo 2028"/>
    <x v="1"/>
    <x v="6"/>
    <s v="Rail"/>
    <s v="Rio Claro Velho Yard"/>
    <s v="Brazil"/>
    <d v="2021-03-01T00:00:00"/>
    <d v="2021-03-01T00:00:00"/>
    <s v="USD"/>
    <n v="113239"/>
    <n v="113239"/>
    <s v="USD"/>
    <n v="113239"/>
    <n v="113239"/>
    <b v="1"/>
    <m/>
  </r>
  <r>
    <b v="1"/>
    <x v="0"/>
    <x v="0"/>
    <x v="2"/>
    <x v="0"/>
    <x v="1"/>
    <x v="57"/>
    <s v="BBG00VSZG6M8"/>
    <x v="26"/>
    <s v="ddc074cc122446bc92e5b6929179d0e2"/>
    <s v="Rumo 2028"/>
    <x v="1"/>
    <x v="6"/>
    <s v="Rail"/>
    <s v="Rio Claro Velho Yard"/>
    <s v="Brazil"/>
    <d v="2021-02-01T00:00:00"/>
    <d v="2021-02-01T00:00:00"/>
    <s v="USD"/>
    <n v="254197"/>
    <n v="254197"/>
    <s v="USD"/>
    <n v="254197"/>
    <n v="254197"/>
    <b v="1"/>
    <m/>
  </r>
  <r>
    <b v="1"/>
    <x v="0"/>
    <x v="0"/>
    <x v="2"/>
    <x v="0"/>
    <x v="1"/>
    <x v="57"/>
    <s v="BBG00VSZG6M8"/>
    <x v="26"/>
    <s v="ddc074cc122446bc92e5b6929179d0e2"/>
    <s v="Rumo 2028"/>
    <x v="1"/>
    <x v="6"/>
    <s v="Rail"/>
    <s v="Rio Claro Velho Yard"/>
    <s v="Brazil"/>
    <d v="2021-01-01T00:00:00"/>
    <d v="2021-01-01T00:00:00"/>
    <s v="USD"/>
    <n v="77337"/>
    <n v="77337"/>
    <s v="USD"/>
    <n v="77337"/>
    <n v="77337"/>
    <b v="1"/>
    <m/>
  </r>
  <r>
    <b v="1"/>
    <x v="0"/>
    <x v="0"/>
    <x v="2"/>
    <x v="0"/>
    <x v="1"/>
    <x v="57"/>
    <s v="BBG00VSZG6M8"/>
    <x v="26"/>
    <s v="ddc074cc122446bc92e5b6929179d0e2"/>
    <s v="Rumo 2028"/>
    <x v="1"/>
    <x v="6"/>
    <s v="Rail"/>
    <s v="Rio Claro Velho Yard"/>
    <s v="Brazil"/>
    <d v="2020-12-01T00:00:00"/>
    <d v="2020-12-01T00:00:00"/>
    <s v="USD"/>
    <n v="579326"/>
    <n v="579326"/>
    <s v="USD"/>
    <n v="579326"/>
    <n v="579326"/>
    <b v="1"/>
    <m/>
  </r>
  <r>
    <b v="1"/>
    <x v="0"/>
    <x v="0"/>
    <x v="2"/>
    <x v="0"/>
    <x v="1"/>
    <x v="57"/>
    <s v="BBG00VSZG6M8"/>
    <x v="26"/>
    <s v="ddc074cc122446bc92e5b6929179d0e2"/>
    <s v="Rumo 2028"/>
    <x v="1"/>
    <x v="6"/>
    <s v="Rail"/>
    <s v="Rio Claro Velho Yard"/>
    <s v="Brazil"/>
    <d v="2020-11-01T00:00:00"/>
    <d v="2020-11-01T00:00:00"/>
    <s v="USD"/>
    <n v="90998"/>
    <n v="90998"/>
    <s v="USD"/>
    <n v="90998"/>
    <n v="90998"/>
    <b v="1"/>
    <m/>
  </r>
  <r>
    <b v="1"/>
    <x v="0"/>
    <x v="0"/>
    <x v="2"/>
    <x v="0"/>
    <x v="1"/>
    <x v="57"/>
    <s v="BBG00VSZG6M8"/>
    <x v="26"/>
    <s v="ddc074cc122446bc92e5b6929179d0e2"/>
    <s v="Rumo 2028"/>
    <x v="1"/>
    <x v="6"/>
    <s v="Rail"/>
    <s v="Rio Claro Velho Yard"/>
    <s v="Brazil"/>
    <d v="2020-10-01T00:00:00"/>
    <d v="2020-10-01T00:00:00"/>
    <s v="USD"/>
    <n v="107351"/>
    <n v="107351"/>
    <s v="USD"/>
    <n v="107351"/>
    <n v="107351"/>
    <b v="1"/>
    <m/>
  </r>
  <r>
    <b v="1"/>
    <x v="0"/>
    <x v="0"/>
    <x v="2"/>
    <x v="0"/>
    <x v="1"/>
    <x v="57"/>
    <s v="BBG00VSZG6M8"/>
    <x v="26"/>
    <s v="ddc074cc122446bc92e5b6929179d0e2"/>
    <s v="Rumo 2028"/>
    <x v="0"/>
    <x v="5"/>
    <s v="Rail"/>
    <s v="Votuporanga Yard"/>
    <s v="Brazil"/>
    <d v="2021-06-01T00:00:00"/>
    <d v="2021-06-01T00:00:00"/>
    <s v="USD"/>
    <n v="63436"/>
    <n v="63436"/>
    <s v="USD"/>
    <n v="63436"/>
    <n v="63436"/>
    <b v="1"/>
    <m/>
  </r>
  <r>
    <b v="1"/>
    <x v="0"/>
    <x v="0"/>
    <x v="2"/>
    <x v="0"/>
    <x v="1"/>
    <x v="57"/>
    <s v="BBG00VSZG6M8"/>
    <x v="26"/>
    <s v="ddc074cc122446bc92e5b6929179d0e2"/>
    <s v="Rumo 2028"/>
    <x v="0"/>
    <x v="5"/>
    <s v="Rail"/>
    <s v="Votuporanga Yard"/>
    <s v="Brazil"/>
    <d v="2021-05-01T00:00:00"/>
    <d v="2021-05-01T00:00:00"/>
    <s v="USD"/>
    <n v="37122"/>
    <n v="37122"/>
    <s v="USD"/>
    <n v="37122"/>
    <n v="37122"/>
    <b v="1"/>
    <m/>
  </r>
  <r>
    <b v="1"/>
    <x v="0"/>
    <x v="0"/>
    <x v="2"/>
    <x v="0"/>
    <x v="1"/>
    <x v="57"/>
    <s v="BBG00VSZG6M8"/>
    <x v="26"/>
    <s v="ddc074cc122446bc92e5b6929179d0e2"/>
    <s v="Rumo 2028"/>
    <x v="0"/>
    <x v="5"/>
    <s v="Rail"/>
    <s v="Votuporanga Yard"/>
    <s v="Brazil"/>
    <d v="2021-04-01T00:00:00"/>
    <d v="2021-04-01T00:00:00"/>
    <s v="USD"/>
    <n v="458129"/>
    <n v="458129"/>
    <s v="USD"/>
    <n v="458129"/>
    <n v="458129"/>
    <b v="1"/>
    <m/>
  </r>
  <r>
    <b v="1"/>
    <x v="0"/>
    <x v="0"/>
    <x v="2"/>
    <x v="0"/>
    <x v="1"/>
    <x v="57"/>
    <s v="BBG00VSZG6M8"/>
    <x v="26"/>
    <s v="ddc074cc122446bc92e5b6929179d0e2"/>
    <s v="Rumo 2028"/>
    <x v="0"/>
    <x v="5"/>
    <s v="Rail"/>
    <s v="Votuporanga Yard"/>
    <s v="Brazil"/>
    <d v="2021-03-01T00:00:00"/>
    <d v="2021-03-01T00:00:00"/>
    <s v="USD"/>
    <n v="172052"/>
    <n v="172052"/>
    <s v="USD"/>
    <n v="172052"/>
    <n v="172052"/>
    <b v="1"/>
    <m/>
  </r>
  <r>
    <b v="1"/>
    <x v="0"/>
    <x v="0"/>
    <x v="2"/>
    <x v="0"/>
    <x v="1"/>
    <x v="57"/>
    <s v="BBG00VSZG6M8"/>
    <x v="26"/>
    <s v="ddc074cc122446bc92e5b6929179d0e2"/>
    <s v="Rumo 2028"/>
    <x v="0"/>
    <x v="5"/>
    <s v="Rail"/>
    <s v="Votuporanga Yard"/>
    <s v="Brazil"/>
    <d v="2021-02-01T00:00:00"/>
    <d v="2021-02-01T00:00:00"/>
    <s v="USD"/>
    <n v="588"/>
    <n v="588"/>
    <s v="USD"/>
    <n v="588"/>
    <n v="588"/>
    <b v="1"/>
    <m/>
  </r>
  <r>
    <b v="1"/>
    <x v="0"/>
    <x v="0"/>
    <x v="2"/>
    <x v="0"/>
    <x v="1"/>
    <x v="57"/>
    <s v="BBG00VSZG6M8"/>
    <x v="26"/>
    <s v="ddc074cc122446bc92e5b6929179d0e2"/>
    <s v="Rumo 2028"/>
    <x v="0"/>
    <x v="5"/>
    <s v="Rail"/>
    <s v="Votuporanga Yard"/>
    <s v="Brazil"/>
    <d v="2020-12-01T00:00:00"/>
    <d v="2020-12-01T00:00:00"/>
    <s v="USD"/>
    <n v="609924"/>
    <n v="609924"/>
    <s v="USD"/>
    <n v="609924"/>
    <n v="609924"/>
    <b v="1"/>
    <m/>
  </r>
  <r>
    <b v="1"/>
    <x v="0"/>
    <x v="0"/>
    <x v="2"/>
    <x v="0"/>
    <x v="1"/>
    <x v="57"/>
    <s v="BBG00VSZG6M8"/>
    <x v="26"/>
    <s v="ddc074cc122446bc92e5b6929179d0e2"/>
    <s v="Rumo 2028"/>
    <x v="0"/>
    <x v="5"/>
    <s v="Rail"/>
    <s v="Votuporanga Yard"/>
    <s v="Brazil"/>
    <d v="2020-11-01T00:00:00"/>
    <d v="2020-11-01T00:00:00"/>
    <s v="USD"/>
    <n v="17069"/>
    <n v="17069"/>
    <s v="USD"/>
    <n v="17069"/>
    <n v="17069"/>
    <b v="1"/>
    <m/>
  </r>
  <r>
    <b v="1"/>
    <x v="0"/>
    <x v="0"/>
    <x v="2"/>
    <x v="0"/>
    <x v="1"/>
    <x v="57"/>
    <s v="BBG00VSZG6M8"/>
    <x v="26"/>
    <s v="ddc074cc122446bc92e5b6929179d0e2"/>
    <s v="Rumo 2028"/>
    <x v="0"/>
    <x v="5"/>
    <s v="Rail"/>
    <s v="Votuporanga Yard"/>
    <s v="Brazil"/>
    <d v="2020-10-01T00:00:00"/>
    <d v="2020-10-01T00:00:00"/>
    <s v="USD"/>
    <n v="7122"/>
    <n v="7122"/>
    <s v="USD"/>
    <n v="7122"/>
    <n v="7122"/>
    <b v="1"/>
    <m/>
  </r>
  <r>
    <b v="1"/>
    <x v="0"/>
    <x v="0"/>
    <x v="2"/>
    <x v="0"/>
    <x v="1"/>
    <x v="57"/>
    <s v="BBG00VSZG6M8"/>
    <x v="26"/>
    <s v="ddc074cc122446bc92e5b6929179d0e2"/>
    <s v="Rumo 2028"/>
    <x v="0"/>
    <x v="5"/>
    <s v="Rail"/>
    <s v="Votuporanga Yard"/>
    <s v="Brazil"/>
    <d v="2020-08-01T00:00:00"/>
    <d v="2020-08-01T00:00:00"/>
    <s v="USD"/>
    <n v="61617"/>
    <n v="61617"/>
    <s v="USD"/>
    <n v="61617"/>
    <n v="61617"/>
    <b v="1"/>
    <m/>
  </r>
  <r>
    <b v="1"/>
    <x v="0"/>
    <x v="0"/>
    <x v="2"/>
    <x v="0"/>
    <x v="1"/>
    <x v="57"/>
    <s v="BBG00VSZG6M8"/>
    <x v="26"/>
    <s v="ddc074cc122446bc92e5b6929179d0e2"/>
    <s v="Rumo 2028"/>
    <x v="0"/>
    <x v="5"/>
    <s v="Rail"/>
    <s v="Votuporanga Yard"/>
    <s v="Brazil"/>
    <d v="2020-07-01T00:00:00"/>
    <d v="2020-07-01T00:00:00"/>
    <s v="USD"/>
    <n v="35480"/>
    <n v="35480"/>
    <s v="USD"/>
    <n v="35480"/>
    <n v="35480"/>
    <b v="1"/>
    <m/>
  </r>
  <r>
    <b v="1"/>
    <x v="0"/>
    <x v="0"/>
    <x v="2"/>
    <x v="0"/>
    <x v="1"/>
    <x v="57"/>
    <s v="BBG00VSZG6M8"/>
    <x v="26"/>
    <s v="ddc074cc122446bc92e5b6929179d0e2"/>
    <s v="Rumo 2028"/>
    <x v="1"/>
    <x v="6"/>
    <s v="Rail"/>
    <s v="Votuporanga Yard"/>
    <s v="Brazil"/>
    <d v="2021-06-01T00:00:00"/>
    <d v="2021-06-01T00:00:00"/>
    <s v="USD"/>
    <n v="63436"/>
    <n v="63436"/>
    <s v="USD"/>
    <n v="63436"/>
    <n v="63436"/>
    <b v="1"/>
    <m/>
  </r>
  <r>
    <b v="1"/>
    <x v="0"/>
    <x v="0"/>
    <x v="2"/>
    <x v="0"/>
    <x v="1"/>
    <x v="57"/>
    <s v="BBG00VSZG6M8"/>
    <x v="26"/>
    <s v="ddc074cc122446bc92e5b6929179d0e2"/>
    <s v="Rumo 2028"/>
    <x v="1"/>
    <x v="6"/>
    <s v="Rail"/>
    <s v="Votuporanga Yard"/>
    <s v="Brazil"/>
    <d v="2021-05-01T00:00:00"/>
    <d v="2021-05-01T00:00:00"/>
    <s v="USD"/>
    <n v="37122"/>
    <n v="37122"/>
    <s v="USD"/>
    <n v="37122"/>
    <n v="37122"/>
    <b v="1"/>
    <m/>
  </r>
  <r>
    <b v="1"/>
    <x v="0"/>
    <x v="0"/>
    <x v="2"/>
    <x v="0"/>
    <x v="1"/>
    <x v="57"/>
    <s v="BBG00VSZG6M8"/>
    <x v="26"/>
    <s v="ddc074cc122446bc92e5b6929179d0e2"/>
    <s v="Rumo 2028"/>
    <x v="1"/>
    <x v="6"/>
    <s v="Rail"/>
    <s v="Votuporanga Yard"/>
    <s v="Brazil"/>
    <d v="2021-04-01T00:00:00"/>
    <d v="2021-04-01T00:00:00"/>
    <s v="USD"/>
    <n v="458129"/>
    <n v="458129"/>
    <s v="USD"/>
    <n v="458129"/>
    <n v="458129"/>
    <b v="1"/>
    <m/>
  </r>
  <r>
    <b v="1"/>
    <x v="0"/>
    <x v="0"/>
    <x v="2"/>
    <x v="0"/>
    <x v="1"/>
    <x v="57"/>
    <s v="BBG00VSZG6M8"/>
    <x v="26"/>
    <s v="ddc074cc122446bc92e5b6929179d0e2"/>
    <s v="Rumo 2028"/>
    <x v="1"/>
    <x v="6"/>
    <s v="Rail"/>
    <s v="Votuporanga Yard"/>
    <s v="Brazil"/>
    <d v="2021-03-01T00:00:00"/>
    <d v="2021-03-01T00:00:00"/>
    <s v="USD"/>
    <n v="172052"/>
    <n v="172052"/>
    <s v="USD"/>
    <n v="172052"/>
    <n v="172052"/>
    <b v="1"/>
    <m/>
  </r>
  <r>
    <b v="1"/>
    <x v="0"/>
    <x v="0"/>
    <x v="2"/>
    <x v="0"/>
    <x v="1"/>
    <x v="57"/>
    <s v="BBG00VSZG6M8"/>
    <x v="26"/>
    <s v="ddc074cc122446bc92e5b6929179d0e2"/>
    <s v="Rumo 2028"/>
    <x v="1"/>
    <x v="6"/>
    <s v="Rail"/>
    <s v="Votuporanga Yard"/>
    <s v="Brazil"/>
    <d v="2021-02-01T00:00:00"/>
    <d v="2021-02-01T00:00:00"/>
    <s v="USD"/>
    <n v="588"/>
    <n v="588"/>
    <s v="USD"/>
    <n v="588"/>
    <n v="588"/>
    <b v="1"/>
    <m/>
  </r>
  <r>
    <b v="1"/>
    <x v="0"/>
    <x v="0"/>
    <x v="2"/>
    <x v="0"/>
    <x v="1"/>
    <x v="57"/>
    <s v="BBG00VSZG6M8"/>
    <x v="26"/>
    <s v="ddc074cc122446bc92e5b6929179d0e2"/>
    <s v="Rumo 2028"/>
    <x v="1"/>
    <x v="6"/>
    <s v="Rail"/>
    <s v="Votuporanga Yard"/>
    <s v="Brazil"/>
    <d v="2020-12-01T00:00:00"/>
    <d v="2020-12-01T00:00:00"/>
    <s v="USD"/>
    <n v="609924"/>
    <n v="609924"/>
    <s v="USD"/>
    <n v="609924"/>
    <n v="609924"/>
    <b v="1"/>
    <m/>
  </r>
  <r>
    <b v="1"/>
    <x v="0"/>
    <x v="0"/>
    <x v="2"/>
    <x v="0"/>
    <x v="1"/>
    <x v="57"/>
    <s v="BBG00VSZG6M8"/>
    <x v="26"/>
    <s v="ddc074cc122446bc92e5b6929179d0e2"/>
    <s v="Rumo 2028"/>
    <x v="1"/>
    <x v="6"/>
    <s v="Rail"/>
    <s v="Votuporanga Yard"/>
    <s v="Brazil"/>
    <d v="2020-11-01T00:00:00"/>
    <d v="2020-11-01T00:00:00"/>
    <s v="USD"/>
    <n v="17069"/>
    <n v="17069"/>
    <s v="USD"/>
    <n v="17069"/>
    <n v="17069"/>
    <b v="1"/>
    <m/>
  </r>
  <r>
    <b v="1"/>
    <x v="0"/>
    <x v="0"/>
    <x v="2"/>
    <x v="0"/>
    <x v="1"/>
    <x v="57"/>
    <s v="BBG00VSZG6M8"/>
    <x v="26"/>
    <s v="ddc074cc122446bc92e5b6929179d0e2"/>
    <s v="Rumo 2028"/>
    <x v="1"/>
    <x v="6"/>
    <s v="Rail"/>
    <s v="Votuporanga Yard"/>
    <s v="Brazil"/>
    <d v="2020-10-01T00:00:00"/>
    <d v="2020-10-01T00:00:00"/>
    <s v="USD"/>
    <n v="7122"/>
    <n v="7122"/>
    <s v="USD"/>
    <n v="7122"/>
    <n v="7122"/>
    <b v="1"/>
    <m/>
  </r>
  <r>
    <b v="1"/>
    <x v="0"/>
    <x v="0"/>
    <x v="2"/>
    <x v="0"/>
    <x v="1"/>
    <x v="57"/>
    <s v="BBG00VSZG6M8"/>
    <x v="26"/>
    <s v="ddc074cc122446bc92e5b6929179d0e2"/>
    <s v="Rumo 2028"/>
    <x v="1"/>
    <x v="6"/>
    <s v="Rail"/>
    <s v="Votuporanga Yard"/>
    <s v="Brazil"/>
    <d v="2020-08-01T00:00:00"/>
    <d v="2020-08-01T00:00:00"/>
    <s v="USD"/>
    <n v="61617"/>
    <n v="61617"/>
    <s v="USD"/>
    <n v="61617"/>
    <n v="61617"/>
    <b v="1"/>
    <m/>
  </r>
  <r>
    <b v="1"/>
    <x v="0"/>
    <x v="0"/>
    <x v="2"/>
    <x v="0"/>
    <x v="1"/>
    <x v="57"/>
    <s v="BBG00VSZG6M8"/>
    <x v="26"/>
    <s v="ddc074cc122446bc92e5b6929179d0e2"/>
    <s v="Rumo 2028"/>
    <x v="1"/>
    <x v="6"/>
    <s v="Rail"/>
    <s v="Votuporanga Yard"/>
    <s v="Brazil"/>
    <d v="2020-07-01T00:00:00"/>
    <d v="2020-07-01T00:00:00"/>
    <s v="USD"/>
    <n v="35480"/>
    <n v="35480"/>
    <s v="USD"/>
    <n v="35480"/>
    <n v="35480"/>
    <b v="1"/>
    <m/>
  </r>
  <r>
    <b v="1"/>
    <x v="0"/>
    <x v="0"/>
    <x v="2"/>
    <x v="0"/>
    <x v="1"/>
    <x v="57"/>
    <s v="BBG00VSZG6M8"/>
    <x v="26"/>
    <s v="ddc074cc122446bc92e5b6929179d0e2"/>
    <s v="Rumo 2028"/>
    <x v="0"/>
    <x v="5"/>
    <s v="Rail"/>
    <s v="Switching optimization for train departures in Santos"/>
    <s v="Brazil"/>
    <d v="2021-06-01T00:00:00"/>
    <d v="2021-06-01T00:00:00"/>
    <s v="USD"/>
    <n v="114260"/>
    <n v="114260"/>
    <s v="USD"/>
    <n v="114260"/>
    <n v="114260"/>
    <b v="1"/>
    <m/>
  </r>
  <r>
    <b v="1"/>
    <x v="0"/>
    <x v="0"/>
    <x v="2"/>
    <x v="0"/>
    <x v="1"/>
    <x v="57"/>
    <s v="BBG00VSZG6M8"/>
    <x v="26"/>
    <s v="ddc074cc122446bc92e5b6929179d0e2"/>
    <s v="Rumo 2028"/>
    <x v="0"/>
    <x v="5"/>
    <s v="Rail"/>
    <s v="Switching optimization for train departures in Santos"/>
    <s v="Brazil"/>
    <d v="2021-05-01T00:00:00"/>
    <d v="2021-05-01T00:00:00"/>
    <s v="USD"/>
    <n v="27930"/>
    <n v="27930"/>
    <s v="USD"/>
    <n v="27930"/>
    <n v="27930"/>
    <b v="1"/>
    <m/>
  </r>
  <r>
    <b v="1"/>
    <x v="0"/>
    <x v="0"/>
    <x v="2"/>
    <x v="0"/>
    <x v="1"/>
    <x v="57"/>
    <s v="BBG00VSZG6M8"/>
    <x v="26"/>
    <s v="ddc074cc122446bc92e5b6929179d0e2"/>
    <s v="Rumo 2028"/>
    <x v="0"/>
    <x v="5"/>
    <s v="Rail"/>
    <s v="Switching optimization for train departures in Santos"/>
    <s v="Brazil"/>
    <d v="2021-04-01T00:00:00"/>
    <d v="2021-04-01T00:00:00"/>
    <s v="USD"/>
    <n v="39010"/>
    <n v="39010"/>
    <s v="USD"/>
    <n v="39010"/>
    <n v="39010"/>
    <b v="1"/>
    <m/>
  </r>
  <r>
    <b v="1"/>
    <x v="0"/>
    <x v="0"/>
    <x v="2"/>
    <x v="0"/>
    <x v="1"/>
    <x v="57"/>
    <s v="BBG00VSZG6M8"/>
    <x v="26"/>
    <s v="ddc074cc122446bc92e5b6929179d0e2"/>
    <s v="Rumo 2028"/>
    <x v="0"/>
    <x v="5"/>
    <s v="Rail"/>
    <s v="Switching optimization for train departures in Santos"/>
    <s v="Brazil"/>
    <d v="2021-03-01T00:00:00"/>
    <d v="2021-03-01T00:00:00"/>
    <s v="USD"/>
    <n v="28277"/>
    <n v="28277"/>
    <s v="USD"/>
    <n v="28277"/>
    <n v="28277"/>
    <b v="1"/>
    <m/>
  </r>
  <r>
    <b v="1"/>
    <x v="0"/>
    <x v="0"/>
    <x v="2"/>
    <x v="0"/>
    <x v="1"/>
    <x v="57"/>
    <s v="BBG00VSZG6M8"/>
    <x v="26"/>
    <s v="ddc074cc122446bc92e5b6929179d0e2"/>
    <s v="Rumo 2028"/>
    <x v="0"/>
    <x v="5"/>
    <s v="Rail"/>
    <s v="Switching optimization for train departures in Santos"/>
    <s v="Brazil"/>
    <d v="2021-02-01T00:00:00"/>
    <d v="2021-02-01T00:00:00"/>
    <s v="USD"/>
    <n v="107510"/>
    <n v="107510"/>
    <s v="USD"/>
    <n v="107510"/>
    <n v="107510"/>
    <b v="1"/>
    <m/>
  </r>
  <r>
    <b v="1"/>
    <x v="0"/>
    <x v="0"/>
    <x v="2"/>
    <x v="0"/>
    <x v="1"/>
    <x v="57"/>
    <s v="BBG00VSZG6M8"/>
    <x v="26"/>
    <s v="ddc074cc122446bc92e5b6929179d0e2"/>
    <s v="Rumo 2028"/>
    <x v="0"/>
    <x v="5"/>
    <s v="Rail"/>
    <s v="Switching optimization for train departures in Santos"/>
    <s v="Brazil"/>
    <d v="2021-01-01T00:00:00"/>
    <d v="2021-01-01T00:00:00"/>
    <s v="USD"/>
    <n v="2923"/>
    <n v="2923"/>
    <s v="USD"/>
    <n v="2923"/>
    <n v="2923"/>
    <b v="1"/>
    <m/>
  </r>
  <r>
    <b v="1"/>
    <x v="0"/>
    <x v="0"/>
    <x v="2"/>
    <x v="0"/>
    <x v="1"/>
    <x v="57"/>
    <s v="BBG00VSZG6M8"/>
    <x v="26"/>
    <s v="ddc074cc122446bc92e5b6929179d0e2"/>
    <s v="Rumo 2028"/>
    <x v="0"/>
    <x v="5"/>
    <s v="Rail"/>
    <s v="Switching optimization for train departures in Santos"/>
    <s v="Brazil"/>
    <d v="2020-12-01T00:00:00"/>
    <d v="2020-12-01T00:00:00"/>
    <s v="USD"/>
    <n v="294856"/>
    <n v="294856"/>
    <s v="USD"/>
    <n v="294856"/>
    <n v="294856"/>
    <b v="1"/>
    <m/>
  </r>
  <r>
    <b v="1"/>
    <x v="0"/>
    <x v="0"/>
    <x v="2"/>
    <x v="0"/>
    <x v="1"/>
    <x v="57"/>
    <s v="BBG00VSZG6M8"/>
    <x v="26"/>
    <s v="ddc074cc122446bc92e5b6929179d0e2"/>
    <s v="Rumo 2028"/>
    <x v="0"/>
    <x v="5"/>
    <s v="Rail"/>
    <s v="Switching optimization for train departures in Santos"/>
    <s v="Brazil"/>
    <d v="2020-11-01T00:00:00"/>
    <d v="2020-11-01T00:00:00"/>
    <s v="USD"/>
    <n v="537002"/>
    <n v="537002"/>
    <s v="USD"/>
    <n v="537002"/>
    <n v="537002"/>
    <b v="1"/>
    <m/>
  </r>
  <r>
    <b v="1"/>
    <x v="0"/>
    <x v="0"/>
    <x v="2"/>
    <x v="0"/>
    <x v="1"/>
    <x v="57"/>
    <s v="BBG00VSZG6M8"/>
    <x v="26"/>
    <s v="ddc074cc122446bc92e5b6929179d0e2"/>
    <s v="Rumo 2028"/>
    <x v="0"/>
    <x v="5"/>
    <s v="Rail"/>
    <s v="Switching optimization for train departures in Santos"/>
    <s v="Brazil"/>
    <d v="2020-10-01T00:00:00"/>
    <d v="2020-10-01T00:00:00"/>
    <s v="USD"/>
    <n v="5739"/>
    <n v="5739"/>
    <s v="USD"/>
    <n v="5739"/>
    <n v="5739"/>
    <b v="1"/>
    <m/>
  </r>
  <r>
    <b v="1"/>
    <x v="0"/>
    <x v="0"/>
    <x v="2"/>
    <x v="0"/>
    <x v="1"/>
    <x v="57"/>
    <s v="BBG00VSZG6M8"/>
    <x v="26"/>
    <s v="ddc074cc122446bc92e5b6929179d0e2"/>
    <s v="Rumo 2028"/>
    <x v="0"/>
    <x v="5"/>
    <s v="Rail"/>
    <s v="Switching optimization for train departures in Santos"/>
    <s v="Brazil"/>
    <d v="2020-09-01T00:00:00"/>
    <d v="2020-09-01T00:00:00"/>
    <s v="USD"/>
    <n v="74658"/>
    <n v="74658"/>
    <s v="USD"/>
    <n v="74658"/>
    <n v="74658"/>
    <b v="1"/>
    <m/>
  </r>
  <r>
    <b v="1"/>
    <x v="0"/>
    <x v="0"/>
    <x v="2"/>
    <x v="0"/>
    <x v="1"/>
    <x v="57"/>
    <s v="BBG00VSZG6M8"/>
    <x v="26"/>
    <s v="ddc074cc122446bc92e5b6929179d0e2"/>
    <s v="Rumo 2028"/>
    <x v="0"/>
    <x v="5"/>
    <s v="Rail"/>
    <s v="Switching optimization for train departures in Santos"/>
    <s v="Brazil"/>
    <d v="2020-07-01T00:00:00"/>
    <d v="2020-07-01T00:00:00"/>
    <s v="USD"/>
    <n v="93704"/>
    <n v="93704"/>
    <s v="USD"/>
    <n v="93704"/>
    <n v="93704"/>
    <b v="1"/>
    <m/>
  </r>
  <r>
    <b v="1"/>
    <x v="0"/>
    <x v="0"/>
    <x v="2"/>
    <x v="0"/>
    <x v="1"/>
    <x v="57"/>
    <s v="BBG00VSZG6M8"/>
    <x v="26"/>
    <s v="ddc074cc122446bc92e5b6929179d0e2"/>
    <s v="Rumo 2028"/>
    <x v="1"/>
    <x v="6"/>
    <s v="Vehicle infrastructure"/>
    <s v="Switching optimization for train departures in Santos"/>
    <s v="Brazil"/>
    <d v="2021-06-01T00:00:00"/>
    <d v="2021-06-01T00:00:00"/>
    <s v="USD"/>
    <n v="114260"/>
    <n v="114260"/>
    <s v="USD"/>
    <n v="114260"/>
    <n v="114260"/>
    <b v="1"/>
    <m/>
  </r>
  <r>
    <b v="1"/>
    <x v="0"/>
    <x v="0"/>
    <x v="2"/>
    <x v="0"/>
    <x v="1"/>
    <x v="57"/>
    <s v="BBG00VSZG6M8"/>
    <x v="26"/>
    <s v="ddc074cc122446bc92e5b6929179d0e2"/>
    <s v="Rumo 2028"/>
    <x v="1"/>
    <x v="6"/>
    <s v="Vehicle infrastructure"/>
    <s v="Switching optimization for train departures in Santos"/>
    <s v="Brazil"/>
    <d v="2021-05-01T00:00:00"/>
    <d v="2021-05-01T00:00:00"/>
    <s v="USD"/>
    <n v="27930"/>
    <n v="27930"/>
    <s v="USD"/>
    <n v="27930"/>
    <n v="27930"/>
    <b v="1"/>
    <m/>
  </r>
  <r>
    <b v="1"/>
    <x v="0"/>
    <x v="0"/>
    <x v="2"/>
    <x v="0"/>
    <x v="1"/>
    <x v="57"/>
    <s v="BBG00VSZG6M8"/>
    <x v="26"/>
    <s v="ddc074cc122446bc92e5b6929179d0e2"/>
    <s v="Rumo 2028"/>
    <x v="1"/>
    <x v="6"/>
    <s v="Vehicle infrastructure"/>
    <s v="Switching optimization for train departures in Santos"/>
    <s v="Brazil"/>
    <d v="2021-04-01T00:00:00"/>
    <d v="2021-04-01T00:00:00"/>
    <s v="USD"/>
    <n v="39010"/>
    <n v="39010"/>
    <s v="USD"/>
    <n v="39010"/>
    <n v="39010"/>
    <b v="1"/>
    <m/>
  </r>
  <r>
    <b v="1"/>
    <x v="0"/>
    <x v="0"/>
    <x v="2"/>
    <x v="0"/>
    <x v="1"/>
    <x v="57"/>
    <s v="BBG00VSZG6M8"/>
    <x v="26"/>
    <s v="ddc074cc122446bc92e5b6929179d0e2"/>
    <s v="Rumo 2028"/>
    <x v="1"/>
    <x v="6"/>
    <s v="Vehicle infrastructure"/>
    <s v="Switching optimization for train departures in Santos"/>
    <s v="Brazil"/>
    <d v="2021-03-01T00:00:00"/>
    <d v="2021-03-01T00:00:00"/>
    <s v="USD"/>
    <n v="28277"/>
    <n v="28277"/>
    <s v="USD"/>
    <n v="28277"/>
    <n v="28277"/>
    <b v="1"/>
    <m/>
  </r>
  <r>
    <b v="1"/>
    <x v="0"/>
    <x v="0"/>
    <x v="2"/>
    <x v="0"/>
    <x v="1"/>
    <x v="57"/>
    <s v="BBG00VSZG6M8"/>
    <x v="26"/>
    <s v="ddc074cc122446bc92e5b6929179d0e2"/>
    <s v="Rumo 2028"/>
    <x v="1"/>
    <x v="6"/>
    <s v="Vehicle infrastructure"/>
    <s v="Switching optimization for train departures in Santos"/>
    <s v="Brazil"/>
    <d v="2021-02-01T00:00:00"/>
    <d v="2021-02-01T00:00:00"/>
    <s v="USD"/>
    <n v="107510"/>
    <n v="107510"/>
    <s v="USD"/>
    <n v="107510"/>
    <n v="107510"/>
    <b v="1"/>
    <m/>
  </r>
  <r>
    <b v="1"/>
    <x v="0"/>
    <x v="0"/>
    <x v="2"/>
    <x v="0"/>
    <x v="1"/>
    <x v="57"/>
    <s v="BBG00VSZG6M8"/>
    <x v="26"/>
    <s v="ddc074cc122446bc92e5b6929179d0e2"/>
    <s v="Rumo 2028"/>
    <x v="1"/>
    <x v="6"/>
    <s v="Vehicle infrastructure"/>
    <s v="Switching optimization for train departures in Santos"/>
    <s v="Brazil"/>
    <d v="2021-01-01T00:00:00"/>
    <d v="2021-01-01T00:00:00"/>
    <s v="USD"/>
    <n v="2923"/>
    <n v="2923"/>
    <s v="USD"/>
    <n v="2923"/>
    <n v="2923"/>
    <b v="1"/>
    <m/>
  </r>
  <r>
    <b v="1"/>
    <x v="0"/>
    <x v="0"/>
    <x v="2"/>
    <x v="0"/>
    <x v="1"/>
    <x v="57"/>
    <s v="BBG00VSZG6M8"/>
    <x v="26"/>
    <s v="ddc074cc122446bc92e5b6929179d0e2"/>
    <s v="Rumo 2028"/>
    <x v="1"/>
    <x v="6"/>
    <s v="Vehicle infrastructure"/>
    <s v="Switching optimization for train departures in Santos"/>
    <s v="Brazil"/>
    <d v="2020-12-01T00:00:00"/>
    <d v="2020-12-01T00:00:00"/>
    <s v="USD"/>
    <n v="294856"/>
    <n v="294856"/>
    <s v="USD"/>
    <n v="294856"/>
    <n v="294856"/>
    <b v="1"/>
    <m/>
  </r>
  <r>
    <b v="1"/>
    <x v="0"/>
    <x v="0"/>
    <x v="2"/>
    <x v="0"/>
    <x v="1"/>
    <x v="57"/>
    <s v="BBG00VSZG6M8"/>
    <x v="26"/>
    <s v="ddc074cc122446bc92e5b6929179d0e2"/>
    <s v="Rumo 2028"/>
    <x v="1"/>
    <x v="6"/>
    <s v="Vehicle infrastructure"/>
    <s v="Switching optimization for train departures in Santos"/>
    <s v="Brazil"/>
    <d v="2020-11-01T00:00:00"/>
    <d v="2020-11-01T00:00:00"/>
    <s v="USD"/>
    <n v="537002"/>
    <n v="537002"/>
    <s v="USD"/>
    <n v="537002"/>
    <n v="537002"/>
    <b v="1"/>
    <m/>
  </r>
  <r>
    <b v="1"/>
    <x v="0"/>
    <x v="0"/>
    <x v="2"/>
    <x v="0"/>
    <x v="1"/>
    <x v="57"/>
    <s v="BBG00VSZG6M8"/>
    <x v="26"/>
    <s v="ddc074cc122446bc92e5b6929179d0e2"/>
    <s v="Rumo 2028"/>
    <x v="1"/>
    <x v="6"/>
    <s v="Vehicle infrastructure"/>
    <s v="Switching optimization for train departures in Santos"/>
    <s v="Brazil"/>
    <d v="2020-10-01T00:00:00"/>
    <d v="2020-10-01T00:00:00"/>
    <s v="USD"/>
    <n v="5739"/>
    <n v="5739"/>
    <s v="USD"/>
    <n v="5739"/>
    <n v="5739"/>
    <b v="1"/>
    <m/>
  </r>
  <r>
    <b v="1"/>
    <x v="0"/>
    <x v="0"/>
    <x v="2"/>
    <x v="0"/>
    <x v="1"/>
    <x v="57"/>
    <s v="BBG00VSZG6M8"/>
    <x v="26"/>
    <s v="ddc074cc122446bc92e5b6929179d0e2"/>
    <s v="Rumo 2028"/>
    <x v="1"/>
    <x v="6"/>
    <s v="Vehicle infrastructure"/>
    <s v="Switching optimization for train departures in Santos"/>
    <s v="Brazil"/>
    <d v="2020-09-01T00:00:00"/>
    <d v="2020-09-01T00:00:00"/>
    <s v="USD"/>
    <n v="74658"/>
    <n v="74658"/>
    <s v="USD"/>
    <n v="74658"/>
    <n v="74658"/>
    <b v="1"/>
    <m/>
  </r>
  <r>
    <b v="1"/>
    <x v="0"/>
    <x v="0"/>
    <x v="2"/>
    <x v="0"/>
    <x v="1"/>
    <x v="57"/>
    <s v="BBG00VSZG6M8"/>
    <x v="26"/>
    <s v="ddc074cc122446bc92e5b6929179d0e2"/>
    <s v="Rumo 2028"/>
    <x v="1"/>
    <x v="6"/>
    <s v="Vehicle infrastructure"/>
    <s v="Switching optimization for train departures in Santos"/>
    <s v="Brazil"/>
    <d v="2020-07-01T00:00:00"/>
    <d v="2020-07-01T00:00:00"/>
    <s v="USD"/>
    <n v="93704"/>
    <n v="93704"/>
    <s v="USD"/>
    <n v="93704"/>
    <n v="93704"/>
    <b v="1"/>
    <m/>
  </r>
  <r>
    <b v="1"/>
    <x v="0"/>
    <x v="0"/>
    <x v="2"/>
    <x v="0"/>
    <x v="1"/>
    <x v="57"/>
    <s v="BBG00VSZG6M8"/>
    <x v="26"/>
    <s v="ddc074cc122446bc92e5b6929179d0e2"/>
    <s v="Rumo 2028"/>
    <x v="0"/>
    <x v="5"/>
    <s v="Rail"/>
    <s v="Satellite and LTE Communication"/>
    <s v="Brazil"/>
    <d v="2021-06-01T00:00:00"/>
    <d v="2021-06-01T00:00:00"/>
    <s v="USD"/>
    <n v="16682"/>
    <n v="16682"/>
    <s v="USD"/>
    <n v="16682"/>
    <n v="16682"/>
    <b v="1"/>
    <m/>
  </r>
  <r>
    <b v="1"/>
    <x v="0"/>
    <x v="0"/>
    <x v="2"/>
    <x v="0"/>
    <x v="1"/>
    <x v="57"/>
    <s v="BBG00VSZG6M8"/>
    <x v="26"/>
    <s v="ddc074cc122446bc92e5b6929179d0e2"/>
    <s v="Rumo 2028"/>
    <x v="0"/>
    <x v="5"/>
    <s v="Rail"/>
    <s v="Satellite and LTE Communication"/>
    <s v="Brazil"/>
    <d v="2021-05-01T00:00:00"/>
    <d v="2021-05-01T00:00:00"/>
    <s v="USD"/>
    <n v="27996"/>
    <n v="27996"/>
    <s v="USD"/>
    <n v="27996"/>
    <n v="27996"/>
    <b v="1"/>
    <m/>
  </r>
  <r>
    <b v="1"/>
    <x v="0"/>
    <x v="0"/>
    <x v="2"/>
    <x v="0"/>
    <x v="1"/>
    <x v="57"/>
    <s v="BBG00VSZG6M8"/>
    <x v="26"/>
    <s v="ddc074cc122446bc92e5b6929179d0e2"/>
    <s v="Rumo 2028"/>
    <x v="0"/>
    <x v="5"/>
    <s v="Rail"/>
    <s v="Satellite and LTE Communication"/>
    <s v="Brazil"/>
    <d v="2021-04-01T00:00:00"/>
    <d v="2021-04-01T00:00:00"/>
    <s v="USD"/>
    <n v="9567"/>
    <n v="9567"/>
    <s v="USD"/>
    <n v="9567"/>
    <n v="9567"/>
    <b v="1"/>
    <m/>
  </r>
  <r>
    <b v="1"/>
    <x v="0"/>
    <x v="0"/>
    <x v="2"/>
    <x v="0"/>
    <x v="1"/>
    <x v="57"/>
    <s v="BBG00VSZG6M8"/>
    <x v="26"/>
    <s v="ddc074cc122446bc92e5b6929179d0e2"/>
    <s v="Rumo 2028"/>
    <x v="0"/>
    <x v="5"/>
    <s v="Rail"/>
    <s v="Satellite and LTE Communication"/>
    <s v="Brazil"/>
    <d v="2021-03-01T00:00:00"/>
    <d v="2021-03-01T00:00:00"/>
    <s v="USD"/>
    <n v="42423"/>
    <n v="42423"/>
    <s v="USD"/>
    <n v="42423"/>
    <n v="42423"/>
    <b v="1"/>
    <m/>
  </r>
  <r>
    <b v="1"/>
    <x v="0"/>
    <x v="0"/>
    <x v="2"/>
    <x v="0"/>
    <x v="1"/>
    <x v="57"/>
    <s v="BBG00VSZG6M8"/>
    <x v="26"/>
    <s v="ddc074cc122446bc92e5b6929179d0e2"/>
    <s v="Rumo 2028"/>
    <x v="0"/>
    <x v="5"/>
    <s v="Rail"/>
    <s v="Satellite and LTE Communication"/>
    <s v="Brazil"/>
    <d v="2021-02-01T00:00:00"/>
    <d v="2021-02-01T00:00:00"/>
    <s v="USD"/>
    <n v="88448"/>
    <n v="88448"/>
    <s v="USD"/>
    <n v="88448"/>
    <n v="88448"/>
    <b v="1"/>
    <m/>
  </r>
  <r>
    <b v="1"/>
    <x v="0"/>
    <x v="0"/>
    <x v="2"/>
    <x v="0"/>
    <x v="1"/>
    <x v="57"/>
    <s v="BBG00VSZG6M8"/>
    <x v="26"/>
    <s v="ddc074cc122446bc92e5b6929179d0e2"/>
    <s v="Rumo 2028"/>
    <x v="0"/>
    <x v="5"/>
    <s v="Rail"/>
    <s v="Satellite and LTE Communication"/>
    <s v="Brazil"/>
    <d v="2021-01-01T00:00:00"/>
    <d v="2021-01-01T00:00:00"/>
    <s v="USD"/>
    <n v="47724"/>
    <n v="47724"/>
    <s v="USD"/>
    <n v="47724"/>
    <n v="47724"/>
    <b v="1"/>
    <m/>
  </r>
  <r>
    <b v="1"/>
    <x v="0"/>
    <x v="0"/>
    <x v="2"/>
    <x v="0"/>
    <x v="1"/>
    <x v="57"/>
    <s v="BBG00VSZG6M8"/>
    <x v="26"/>
    <s v="ddc074cc122446bc92e5b6929179d0e2"/>
    <s v="Rumo 2028"/>
    <x v="0"/>
    <x v="5"/>
    <s v="Rail"/>
    <s v="Satellite and LTE Communication"/>
    <s v="Brazil"/>
    <d v="2020-12-01T00:00:00"/>
    <d v="2020-12-01T00:00:00"/>
    <s v="USD"/>
    <n v="336212"/>
    <n v="336212"/>
    <s v="USD"/>
    <n v="336212"/>
    <n v="336212"/>
    <b v="1"/>
    <m/>
  </r>
  <r>
    <b v="1"/>
    <x v="0"/>
    <x v="0"/>
    <x v="2"/>
    <x v="0"/>
    <x v="1"/>
    <x v="57"/>
    <s v="BBG00VSZG6M8"/>
    <x v="26"/>
    <s v="ddc074cc122446bc92e5b6929179d0e2"/>
    <s v="Rumo 2028"/>
    <x v="0"/>
    <x v="5"/>
    <s v="Rail"/>
    <s v="Satellite and LTE Communication"/>
    <s v="Brazil"/>
    <d v="2020-11-01T00:00:00"/>
    <d v="2020-11-01T00:00:00"/>
    <s v="USD"/>
    <n v="192842"/>
    <n v="192842"/>
    <s v="USD"/>
    <n v="192842"/>
    <n v="192842"/>
    <b v="1"/>
    <m/>
  </r>
  <r>
    <b v="1"/>
    <x v="0"/>
    <x v="0"/>
    <x v="2"/>
    <x v="0"/>
    <x v="1"/>
    <x v="57"/>
    <s v="BBG00VSZG6M8"/>
    <x v="26"/>
    <s v="ddc074cc122446bc92e5b6929179d0e2"/>
    <s v="Rumo 2028"/>
    <x v="0"/>
    <x v="5"/>
    <s v="Rail"/>
    <s v="Satellite and LTE Communication"/>
    <s v="Brazil"/>
    <d v="2020-10-01T00:00:00"/>
    <d v="2020-10-01T00:00:00"/>
    <s v="USD"/>
    <n v="138237"/>
    <n v="138237"/>
    <s v="USD"/>
    <n v="138237"/>
    <n v="138237"/>
    <b v="1"/>
    <m/>
  </r>
  <r>
    <b v="1"/>
    <x v="0"/>
    <x v="0"/>
    <x v="2"/>
    <x v="0"/>
    <x v="1"/>
    <x v="57"/>
    <s v="BBG00VSZG6M8"/>
    <x v="26"/>
    <s v="ddc074cc122446bc92e5b6929179d0e2"/>
    <s v="Rumo 2028"/>
    <x v="0"/>
    <x v="5"/>
    <s v="Rail"/>
    <s v="Satellite and LTE Communication"/>
    <s v="Brazil"/>
    <d v="2020-09-01T00:00:00"/>
    <d v="2020-09-01T00:00:00"/>
    <s v="USD"/>
    <n v="92003"/>
    <n v="92003"/>
    <s v="USD"/>
    <n v="92003"/>
    <n v="92003"/>
    <b v="1"/>
    <m/>
  </r>
  <r>
    <b v="1"/>
    <x v="0"/>
    <x v="0"/>
    <x v="2"/>
    <x v="0"/>
    <x v="1"/>
    <x v="57"/>
    <s v="BBG00VSZG6M8"/>
    <x v="26"/>
    <s v="ddc074cc122446bc92e5b6929179d0e2"/>
    <s v="Rumo 2028"/>
    <x v="0"/>
    <x v="5"/>
    <s v="Rail"/>
    <s v="Satellite and LTE Communication"/>
    <s v="Brazil"/>
    <d v="2020-08-01T00:00:00"/>
    <d v="2020-08-01T00:00:00"/>
    <s v="USD"/>
    <n v="210117"/>
    <n v="210117"/>
    <s v="USD"/>
    <n v="210117"/>
    <n v="210117"/>
    <b v="1"/>
    <m/>
  </r>
  <r>
    <b v="1"/>
    <x v="0"/>
    <x v="0"/>
    <x v="2"/>
    <x v="0"/>
    <x v="1"/>
    <x v="57"/>
    <s v="BBG00VSZG6M8"/>
    <x v="26"/>
    <s v="ddc074cc122446bc92e5b6929179d0e2"/>
    <s v="Rumo 2028"/>
    <x v="0"/>
    <x v="5"/>
    <s v="Rail"/>
    <s v="Satellite and LTE Communication"/>
    <s v="Brazil"/>
    <d v="2020-07-01T00:00:00"/>
    <d v="2020-07-01T00:00:00"/>
    <s v="USD"/>
    <n v="104448"/>
    <n v="104448"/>
    <s v="USD"/>
    <n v="104448"/>
    <n v="104448"/>
    <b v="1"/>
    <m/>
  </r>
  <r>
    <b v="1"/>
    <x v="0"/>
    <x v="0"/>
    <x v="2"/>
    <x v="0"/>
    <x v="1"/>
    <x v="57"/>
    <s v="BBG00VSZG6M8"/>
    <x v="26"/>
    <s v="ddc074cc122446bc92e5b6929179d0e2"/>
    <s v="Rumo 2028"/>
    <x v="1"/>
    <x v="6"/>
    <s v="Vehicle infrastructure"/>
    <s v="Satellite and LTE Communication"/>
    <s v="Brazil"/>
    <d v="2021-06-01T00:00:00"/>
    <d v="2021-06-01T00:00:00"/>
    <s v="USD"/>
    <n v="16682"/>
    <n v="16682"/>
    <s v="USD"/>
    <n v="16682"/>
    <n v="16682"/>
    <b v="1"/>
    <m/>
  </r>
  <r>
    <b v="1"/>
    <x v="0"/>
    <x v="0"/>
    <x v="2"/>
    <x v="0"/>
    <x v="1"/>
    <x v="57"/>
    <s v="BBG00VSZG6M8"/>
    <x v="26"/>
    <s v="ddc074cc122446bc92e5b6929179d0e2"/>
    <s v="Rumo 2028"/>
    <x v="1"/>
    <x v="6"/>
    <s v="Vehicle infrastructure"/>
    <s v="Satellite and LTE Communication"/>
    <s v="Brazil"/>
    <d v="2021-05-01T00:00:00"/>
    <d v="2021-05-01T00:00:00"/>
    <s v="USD"/>
    <n v="27996"/>
    <n v="27996"/>
    <s v="USD"/>
    <n v="27996"/>
    <n v="27996"/>
    <b v="1"/>
    <m/>
  </r>
  <r>
    <b v="1"/>
    <x v="0"/>
    <x v="0"/>
    <x v="2"/>
    <x v="0"/>
    <x v="1"/>
    <x v="57"/>
    <s v="BBG00VSZG6M8"/>
    <x v="26"/>
    <s v="ddc074cc122446bc92e5b6929179d0e2"/>
    <s v="Rumo 2028"/>
    <x v="1"/>
    <x v="6"/>
    <s v="Vehicle infrastructure"/>
    <s v="Satellite and LTE Communication"/>
    <s v="Brazil"/>
    <d v="2021-04-01T00:00:00"/>
    <d v="2021-04-01T00:00:00"/>
    <s v="USD"/>
    <n v="9567"/>
    <n v="9567"/>
    <s v="USD"/>
    <n v="9567"/>
    <n v="9567"/>
    <b v="1"/>
    <m/>
  </r>
  <r>
    <b v="1"/>
    <x v="0"/>
    <x v="0"/>
    <x v="2"/>
    <x v="0"/>
    <x v="1"/>
    <x v="57"/>
    <s v="BBG00VSZG6M8"/>
    <x v="26"/>
    <s v="ddc074cc122446bc92e5b6929179d0e2"/>
    <s v="Rumo 2028"/>
    <x v="1"/>
    <x v="6"/>
    <s v="Vehicle infrastructure"/>
    <s v="Satellite and LTE Communication"/>
    <s v="Brazil"/>
    <d v="2021-03-01T00:00:00"/>
    <d v="2021-03-01T00:00:00"/>
    <s v="USD"/>
    <n v="42423"/>
    <n v="42423"/>
    <s v="USD"/>
    <n v="42423"/>
    <n v="42423"/>
    <b v="1"/>
    <m/>
  </r>
  <r>
    <b v="1"/>
    <x v="0"/>
    <x v="0"/>
    <x v="2"/>
    <x v="0"/>
    <x v="1"/>
    <x v="57"/>
    <s v="BBG00VSZG6M8"/>
    <x v="26"/>
    <s v="ddc074cc122446bc92e5b6929179d0e2"/>
    <s v="Rumo 2028"/>
    <x v="1"/>
    <x v="6"/>
    <s v="Vehicle infrastructure"/>
    <s v="Satellite and LTE Communication"/>
    <s v="Brazil"/>
    <d v="2021-02-01T00:00:00"/>
    <d v="2021-02-01T00:00:00"/>
    <s v="USD"/>
    <n v="88448"/>
    <n v="88448"/>
    <s v="USD"/>
    <n v="88448"/>
    <n v="88448"/>
    <b v="1"/>
    <m/>
  </r>
  <r>
    <b v="1"/>
    <x v="0"/>
    <x v="0"/>
    <x v="2"/>
    <x v="0"/>
    <x v="1"/>
    <x v="57"/>
    <s v="BBG00VSZG6M8"/>
    <x v="26"/>
    <s v="ddc074cc122446bc92e5b6929179d0e2"/>
    <s v="Rumo 2028"/>
    <x v="1"/>
    <x v="6"/>
    <s v="Vehicle infrastructure"/>
    <s v="Satellite and LTE Communication"/>
    <s v="Brazil"/>
    <d v="2021-01-01T00:00:00"/>
    <d v="2021-01-01T00:00:00"/>
    <s v="USD"/>
    <n v="47724"/>
    <n v="47724"/>
    <s v="USD"/>
    <n v="47724"/>
    <n v="47724"/>
    <b v="1"/>
    <m/>
  </r>
  <r>
    <b v="1"/>
    <x v="0"/>
    <x v="0"/>
    <x v="2"/>
    <x v="0"/>
    <x v="1"/>
    <x v="57"/>
    <s v="BBG00VSZG6M8"/>
    <x v="26"/>
    <s v="ddc074cc122446bc92e5b6929179d0e2"/>
    <s v="Rumo 2028"/>
    <x v="1"/>
    <x v="6"/>
    <s v="Vehicle infrastructure"/>
    <s v="Satellite and LTE Communication"/>
    <s v="Brazil"/>
    <d v="2020-12-01T00:00:00"/>
    <d v="2020-12-01T00:00:00"/>
    <s v="USD"/>
    <n v="336212"/>
    <n v="336212"/>
    <s v="USD"/>
    <n v="336212"/>
    <n v="336212"/>
    <b v="1"/>
    <m/>
  </r>
  <r>
    <b v="1"/>
    <x v="0"/>
    <x v="0"/>
    <x v="2"/>
    <x v="0"/>
    <x v="1"/>
    <x v="57"/>
    <s v="BBG00VSZG6M8"/>
    <x v="26"/>
    <s v="ddc074cc122446bc92e5b6929179d0e2"/>
    <s v="Rumo 2028"/>
    <x v="1"/>
    <x v="6"/>
    <s v="Vehicle infrastructure"/>
    <s v="Satellite and LTE Communication"/>
    <s v="Brazil"/>
    <d v="2020-11-01T00:00:00"/>
    <d v="2020-11-01T00:00:00"/>
    <s v="USD"/>
    <n v="192842"/>
    <n v="192842"/>
    <s v="USD"/>
    <n v="192842"/>
    <n v="192842"/>
    <b v="1"/>
    <m/>
  </r>
  <r>
    <b v="1"/>
    <x v="0"/>
    <x v="0"/>
    <x v="2"/>
    <x v="0"/>
    <x v="1"/>
    <x v="57"/>
    <s v="BBG00VSZG6M8"/>
    <x v="26"/>
    <s v="ddc074cc122446bc92e5b6929179d0e2"/>
    <s v="Rumo 2028"/>
    <x v="1"/>
    <x v="6"/>
    <s v="Vehicle infrastructure"/>
    <s v="Satellite and LTE Communication"/>
    <s v="Brazil"/>
    <d v="2020-10-01T00:00:00"/>
    <d v="2020-10-01T00:00:00"/>
    <s v="USD"/>
    <n v="138237"/>
    <n v="138237"/>
    <s v="USD"/>
    <n v="138237"/>
    <n v="138237"/>
    <b v="1"/>
    <m/>
  </r>
  <r>
    <b v="1"/>
    <x v="0"/>
    <x v="0"/>
    <x v="2"/>
    <x v="0"/>
    <x v="1"/>
    <x v="57"/>
    <s v="BBG00VSZG6M8"/>
    <x v="26"/>
    <s v="ddc074cc122446bc92e5b6929179d0e2"/>
    <s v="Rumo 2028"/>
    <x v="1"/>
    <x v="6"/>
    <s v="Vehicle infrastructure"/>
    <s v="Satellite and LTE Communication"/>
    <s v="Brazil"/>
    <d v="2020-09-01T00:00:00"/>
    <d v="2020-09-01T00:00:00"/>
    <s v="USD"/>
    <n v="92003"/>
    <n v="92003"/>
    <s v="USD"/>
    <n v="92003"/>
    <n v="92003"/>
    <b v="1"/>
    <m/>
  </r>
  <r>
    <b v="1"/>
    <x v="0"/>
    <x v="0"/>
    <x v="2"/>
    <x v="0"/>
    <x v="1"/>
    <x v="57"/>
    <s v="BBG00VSZG6M8"/>
    <x v="26"/>
    <s v="ddc074cc122446bc92e5b6929179d0e2"/>
    <s v="Rumo 2028"/>
    <x v="1"/>
    <x v="6"/>
    <s v="Vehicle infrastructure"/>
    <s v="Satellite and LTE Communication"/>
    <s v="Brazil"/>
    <d v="2020-08-01T00:00:00"/>
    <d v="2020-08-01T00:00:00"/>
    <s v="USD"/>
    <n v="210117"/>
    <n v="210117"/>
    <s v="USD"/>
    <n v="210117"/>
    <n v="210117"/>
    <b v="1"/>
    <m/>
  </r>
  <r>
    <b v="1"/>
    <x v="0"/>
    <x v="0"/>
    <x v="2"/>
    <x v="0"/>
    <x v="1"/>
    <x v="57"/>
    <s v="BBG00VSZG6M8"/>
    <x v="26"/>
    <s v="ddc074cc122446bc92e5b6929179d0e2"/>
    <s v="Rumo 2028"/>
    <x v="1"/>
    <x v="6"/>
    <s v="Vehicle infrastructure"/>
    <s v="Satellite and LTE Communication"/>
    <s v="Brazil"/>
    <d v="2020-07-01T00:00:00"/>
    <d v="2020-07-01T00:00:00"/>
    <s v="USD"/>
    <n v="104448"/>
    <n v="104448"/>
    <s v="USD"/>
    <n v="104448"/>
    <n v="104448"/>
    <b v="1"/>
    <m/>
  </r>
  <r>
    <b v="1"/>
    <x v="0"/>
    <x v="0"/>
    <x v="2"/>
    <x v="0"/>
    <x v="1"/>
    <x v="57"/>
    <s v="BBG00VSZG6M8"/>
    <x v="26"/>
    <s v="ddc074cc122446bc92e5b6929179d0e2"/>
    <s v="Rumo 2028"/>
    <x v="0"/>
    <x v="5"/>
    <s v="Rail"/>
    <s v="Railway Modernization - Rio Preto x Taquaritinga"/>
    <s v="Brazil"/>
    <d v="2021-06-01T00:00:00"/>
    <d v="2021-06-01T00:00:00"/>
    <s v="USD"/>
    <n v="1111316"/>
    <n v="1111316"/>
    <s v="USD"/>
    <n v="1111316"/>
    <n v="1111316"/>
    <b v="1"/>
    <m/>
  </r>
  <r>
    <b v="1"/>
    <x v="0"/>
    <x v="0"/>
    <x v="2"/>
    <x v="0"/>
    <x v="1"/>
    <x v="57"/>
    <s v="BBG00VSZG6M8"/>
    <x v="26"/>
    <s v="ddc074cc122446bc92e5b6929179d0e2"/>
    <s v="Rumo 2028"/>
    <x v="0"/>
    <x v="5"/>
    <s v="Rail"/>
    <s v="Railway Modernization - Rio Preto x Taquaritinga"/>
    <s v="Brazil"/>
    <d v="2021-05-01T00:00:00"/>
    <d v="2021-05-01T00:00:00"/>
    <s v="USD"/>
    <n v="269392"/>
    <n v="269392"/>
    <s v="USD"/>
    <n v="269392"/>
    <n v="269392"/>
    <b v="1"/>
    <m/>
  </r>
  <r>
    <b v="1"/>
    <x v="0"/>
    <x v="0"/>
    <x v="2"/>
    <x v="0"/>
    <x v="1"/>
    <x v="57"/>
    <s v="BBG00VSZG6M8"/>
    <x v="26"/>
    <s v="ddc074cc122446bc92e5b6929179d0e2"/>
    <s v="Rumo 2028"/>
    <x v="0"/>
    <x v="5"/>
    <s v="Rail"/>
    <s v="Railway Modernization - Rio Preto x Taquaritinga"/>
    <s v="Brazil"/>
    <d v="2021-04-01T00:00:00"/>
    <d v="2021-04-01T00:00:00"/>
    <s v="USD"/>
    <n v="810563"/>
    <n v="810563"/>
    <s v="USD"/>
    <n v="810563"/>
    <n v="810563"/>
    <b v="1"/>
    <m/>
  </r>
  <r>
    <b v="1"/>
    <x v="0"/>
    <x v="0"/>
    <x v="2"/>
    <x v="0"/>
    <x v="1"/>
    <x v="57"/>
    <s v="BBG00VSZG6M8"/>
    <x v="26"/>
    <s v="ddc074cc122446bc92e5b6929179d0e2"/>
    <s v="Rumo 2028"/>
    <x v="0"/>
    <x v="5"/>
    <s v="Rail"/>
    <s v="Railway Modernization - Rio Preto x Taquaritinga"/>
    <s v="Brazil"/>
    <d v="2021-03-01T00:00:00"/>
    <d v="2021-03-01T00:00:00"/>
    <s v="USD"/>
    <n v="118891"/>
    <n v="118891"/>
    <s v="USD"/>
    <n v="118891"/>
    <n v="118891"/>
    <b v="1"/>
    <m/>
  </r>
  <r>
    <b v="1"/>
    <x v="0"/>
    <x v="0"/>
    <x v="2"/>
    <x v="0"/>
    <x v="1"/>
    <x v="57"/>
    <s v="BBG00VSZG6M8"/>
    <x v="26"/>
    <s v="ddc074cc122446bc92e5b6929179d0e2"/>
    <s v="Rumo 2028"/>
    <x v="0"/>
    <x v="5"/>
    <s v="Rail"/>
    <s v="Railway Modernization - Rio Preto x Taquaritinga"/>
    <s v="Brazil"/>
    <d v="2021-02-01T00:00:00"/>
    <d v="2021-02-01T00:00:00"/>
    <s v="USD"/>
    <n v="5020"/>
    <n v="5020"/>
    <s v="USD"/>
    <n v="5020"/>
    <n v="5020"/>
    <b v="1"/>
    <m/>
  </r>
  <r>
    <b v="1"/>
    <x v="0"/>
    <x v="0"/>
    <x v="2"/>
    <x v="0"/>
    <x v="1"/>
    <x v="57"/>
    <s v="BBG00VSZG6M8"/>
    <x v="26"/>
    <s v="ddc074cc122446bc92e5b6929179d0e2"/>
    <s v="Rumo 2028"/>
    <x v="1"/>
    <x v="6"/>
    <s v="Rail"/>
    <s v="Railway Modernization - Rio Preto x Taquaritinga"/>
    <s v="Brazil"/>
    <d v="2021-06-01T00:00:00"/>
    <d v="2021-06-01T00:00:00"/>
    <s v="USD"/>
    <n v="1111316"/>
    <n v="1111316"/>
    <s v="USD"/>
    <n v="1111316"/>
    <n v="1111316"/>
    <b v="1"/>
    <m/>
  </r>
  <r>
    <b v="1"/>
    <x v="0"/>
    <x v="0"/>
    <x v="2"/>
    <x v="0"/>
    <x v="1"/>
    <x v="57"/>
    <s v="BBG00VSZG6M8"/>
    <x v="26"/>
    <s v="ddc074cc122446bc92e5b6929179d0e2"/>
    <s v="Rumo 2028"/>
    <x v="1"/>
    <x v="6"/>
    <s v="Rail"/>
    <s v="Railway Modernization - Rio Preto x Taquaritinga"/>
    <s v="Brazil"/>
    <d v="2021-05-01T00:00:00"/>
    <d v="2021-05-01T00:00:00"/>
    <s v="USD"/>
    <n v="269392"/>
    <n v="269392"/>
    <s v="USD"/>
    <n v="269392"/>
    <n v="269392"/>
    <b v="1"/>
    <m/>
  </r>
  <r>
    <b v="1"/>
    <x v="0"/>
    <x v="0"/>
    <x v="2"/>
    <x v="0"/>
    <x v="1"/>
    <x v="57"/>
    <s v="BBG00VSZG6M8"/>
    <x v="26"/>
    <s v="ddc074cc122446bc92e5b6929179d0e2"/>
    <s v="Rumo 2028"/>
    <x v="1"/>
    <x v="6"/>
    <s v="Rail"/>
    <s v="Railway Modernization - Rio Preto x Taquaritinga"/>
    <s v="Brazil"/>
    <d v="2021-04-01T00:00:00"/>
    <d v="2021-04-01T00:00:00"/>
    <s v="USD"/>
    <n v="810563"/>
    <n v="810563"/>
    <s v="USD"/>
    <n v="810563"/>
    <n v="810563"/>
    <b v="1"/>
    <m/>
  </r>
  <r>
    <b v="1"/>
    <x v="0"/>
    <x v="0"/>
    <x v="2"/>
    <x v="0"/>
    <x v="1"/>
    <x v="57"/>
    <s v="BBG00VSZG6M8"/>
    <x v="26"/>
    <s v="ddc074cc122446bc92e5b6929179d0e2"/>
    <s v="Rumo 2028"/>
    <x v="1"/>
    <x v="6"/>
    <s v="Rail"/>
    <s v="Railway Modernization - Rio Preto x Taquaritinga"/>
    <s v="Brazil"/>
    <d v="2021-03-01T00:00:00"/>
    <d v="2021-03-01T00:00:00"/>
    <s v="USD"/>
    <n v="118891"/>
    <n v="118891"/>
    <s v="USD"/>
    <n v="118891"/>
    <n v="118891"/>
    <b v="1"/>
    <m/>
  </r>
  <r>
    <b v="1"/>
    <x v="0"/>
    <x v="0"/>
    <x v="2"/>
    <x v="0"/>
    <x v="1"/>
    <x v="57"/>
    <s v="BBG00VSZG6M8"/>
    <x v="26"/>
    <s v="ddc074cc122446bc92e5b6929179d0e2"/>
    <s v="Rumo 2028"/>
    <x v="1"/>
    <x v="6"/>
    <s v="Rail"/>
    <s v="Railway Modernization - Rio Preto x Taquaritinga"/>
    <s v="Brazil"/>
    <d v="2021-02-01T00:00:00"/>
    <d v="2021-02-01T00:00:00"/>
    <s v="USD"/>
    <n v="5020"/>
    <n v="5020"/>
    <s v="USD"/>
    <n v="5020"/>
    <n v="5020"/>
    <b v="1"/>
    <m/>
  </r>
  <r>
    <b v="1"/>
    <x v="0"/>
    <x v="0"/>
    <x v="2"/>
    <x v="0"/>
    <x v="1"/>
    <x v="57"/>
    <s v="BBG00VSZG6M8"/>
    <x v="26"/>
    <s v="ddc074cc122446bc92e5b6929179d0e2"/>
    <s v="Rumo 2028"/>
    <x v="0"/>
    <x v="5"/>
    <s v="Rail"/>
    <s v="Pre-Modernization of the Perequ√™-Parada de Linfa trunk line"/>
    <s v="Brazil"/>
    <d v="2021-06-01T00:00:00"/>
    <d v="2021-06-01T00:00:00"/>
    <s v="USD"/>
    <n v="117417"/>
    <n v="117417"/>
    <s v="USD"/>
    <n v="117417"/>
    <n v="117417"/>
    <b v="1"/>
    <m/>
  </r>
  <r>
    <b v="1"/>
    <x v="0"/>
    <x v="0"/>
    <x v="2"/>
    <x v="0"/>
    <x v="1"/>
    <x v="57"/>
    <s v="BBG00VSZG6M8"/>
    <x v="26"/>
    <s v="ddc074cc122446bc92e5b6929179d0e2"/>
    <s v="Rumo 2028"/>
    <x v="0"/>
    <x v="5"/>
    <s v="Rail"/>
    <s v="Pre-Modernization of the Perequ√™-Parada de Linfa trunk line"/>
    <s v="Brazil"/>
    <d v="2021-05-01T00:00:00"/>
    <d v="2021-05-01T00:00:00"/>
    <s v="USD"/>
    <n v="12872"/>
    <n v="12872"/>
    <s v="USD"/>
    <n v="12872"/>
    <n v="12872"/>
    <b v="1"/>
    <m/>
  </r>
  <r>
    <b v="1"/>
    <x v="0"/>
    <x v="0"/>
    <x v="2"/>
    <x v="0"/>
    <x v="1"/>
    <x v="57"/>
    <s v="BBG00VSZG6M8"/>
    <x v="26"/>
    <s v="ddc074cc122446bc92e5b6929179d0e2"/>
    <s v="Rumo 2028"/>
    <x v="0"/>
    <x v="5"/>
    <s v="Rail"/>
    <s v="Pre-Modernization of the Perequ√™-Parada de Linfa trunk line"/>
    <s v="Brazil"/>
    <d v="2021-04-01T00:00:00"/>
    <d v="2021-04-01T00:00:00"/>
    <s v="USD"/>
    <n v="251716"/>
    <n v="251716"/>
    <s v="USD"/>
    <n v="251716"/>
    <n v="251716"/>
    <b v="1"/>
    <m/>
  </r>
  <r>
    <b v="1"/>
    <x v="0"/>
    <x v="0"/>
    <x v="2"/>
    <x v="0"/>
    <x v="1"/>
    <x v="57"/>
    <s v="BBG00VSZG6M8"/>
    <x v="26"/>
    <s v="ddc074cc122446bc92e5b6929179d0e2"/>
    <s v="Rumo 2028"/>
    <x v="0"/>
    <x v="5"/>
    <s v="Rail"/>
    <s v="Pre-Modernization of the Perequ√™-Parada de Linfa trunk line"/>
    <s v="Brazil"/>
    <d v="2021-03-01T00:00:00"/>
    <d v="2021-03-01T00:00:00"/>
    <s v="USD"/>
    <n v="1141034"/>
    <n v="1141034"/>
    <s v="USD"/>
    <n v="1141034"/>
    <n v="1141034"/>
    <b v="1"/>
    <m/>
  </r>
  <r>
    <b v="1"/>
    <x v="0"/>
    <x v="0"/>
    <x v="2"/>
    <x v="0"/>
    <x v="1"/>
    <x v="57"/>
    <s v="BBG00VSZG6M8"/>
    <x v="26"/>
    <s v="ddc074cc122446bc92e5b6929179d0e2"/>
    <s v="Rumo 2028"/>
    <x v="0"/>
    <x v="5"/>
    <s v="Rail"/>
    <s v="Pre-Modernization of the Perequ√™-Parada de Linfa trunk line"/>
    <s v="Brazil"/>
    <d v="2021-02-01T00:00:00"/>
    <d v="2021-02-01T00:00:00"/>
    <s v="USD"/>
    <n v="553482"/>
    <n v="553482"/>
    <s v="USD"/>
    <n v="553482"/>
    <n v="553482"/>
    <b v="1"/>
    <m/>
  </r>
  <r>
    <b v="1"/>
    <x v="0"/>
    <x v="0"/>
    <x v="2"/>
    <x v="0"/>
    <x v="1"/>
    <x v="57"/>
    <s v="BBG00VSZG6M8"/>
    <x v="26"/>
    <s v="ddc074cc122446bc92e5b6929179d0e2"/>
    <s v="Rumo 2028"/>
    <x v="1"/>
    <x v="6"/>
    <s v="Rail"/>
    <s v="Pre-Modernization of the Perequ√™-Parada de Linfa trunk line"/>
    <s v="Brazil"/>
    <d v="2021-06-01T00:00:00"/>
    <d v="2021-06-01T00:00:00"/>
    <s v="USD"/>
    <n v="117417"/>
    <n v="117417"/>
    <s v="USD"/>
    <n v="117417"/>
    <n v="117417"/>
    <b v="1"/>
    <m/>
  </r>
  <r>
    <b v="1"/>
    <x v="0"/>
    <x v="0"/>
    <x v="2"/>
    <x v="0"/>
    <x v="1"/>
    <x v="57"/>
    <s v="BBG00VSZG6M8"/>
    <x v="26"/>
    <s v="ddc074cc122446bc92e5b6929179d0e2"/>
    <s v="Rumo 2028"/>
    <x v="1"/>
    <x v="6"/>
    <s v="Rail"/>
    <s v="Pre-Modernization of the Perequ√™-Parada de Linfa trunk line"/>
    <s v="Brazil"/>
    <d v="2021-05-01T00:00:00"/>
    <d v="2021-05-01T00:00:00"/>
    <s v="USD"/>
    <n v="12872"/>
    <n v="12872"/>
    <s v="USD"/>
    <n v="12872"/>
    <n v="12872"/>
    <b v="1"/>
    <m/>
  </r>
  <r>
    <b v="1"/>
    <x v="0"/>
    <x v="0"/>
    <x v="2"/>
    <x v="0"/>
    <x v="1"/>
    <x v="57"/>
    <s v="BBG00VSZG6M8"/>
    <x v="26"/>
    <s v="ddc074cc122446bc92e5b6929179d0e2"/>
    <s v="Rumo 2028"/>
    <x v="1"/>
    <x v="6"/>
    <s v="Rail"/>
    <s v="Pre-Modernization of the Perequ√™-Parada de Linfa trunk line"/>
    <s v="Brazil"/>
    <d v="2021-04-01T00:00:00"/>
    <d v="2021-04-01T00:00:00"/>
    <s v="USD"/>
    <n v="251716"/>
    <n v="251716"/>
    <s v="USD"/>
    <n v="251716"/>
    <n v="251716"/>
    <b v="1"/>
    <m/>
  </r>
  <r>
    <b v="1"/>
    <x v="0"/>
    <x v="0"/>
    <x v="2"/>
    <x v="0"/>
    <x v="1"/>
    <x v="57"/>
    <s v="BBG00VSZG6M8"/>
    <x v="26"/>
    <s v="ddc074cc122446bc92e5b6929179d0e2"/>
    <s v="Rumo 2028"/>
    <x v="1"/>
    <x v="6"/>
    <s v="Rail"/>
    <s v="Pre-Modernization of the Perequ√™-Parada de Linfa trunk line"/>
    <s v="Brazil"/>
    <d v="2021-03-01T00:00:00"/>
    <d v="2021-03-01T00:00:00"/>
    <s v="USD"/>
    <n v="1141034"/>
    <n v="1141034"/>
    <s v="USD"/>
    <n v="1141034"/>
    <n v="1141034"/>
    <b v="1"/>
    <m/>
  </r>
  <r>
    <b v="1"/>
    <x v="0"/>
    <x v="0"/>
    <x v="2"/>
    <x v="0"/>
    <x v="1"/>
    <x v="57"/>
    <s v="BBG00VSZG6M8"/>
    <x v="26"/>
    <s v="ddc074cc122446bc92e5b6929179d0e2"/>
    <s v="Rumo 2028"/>
    <x v="1"/>
    <x v="6"/>
    <s v="Rail"/>
    <s v="Pre-Modernization of the Perequ√™-Parada de Linfa trunk line"/>
    <s v="Brazil"/>
    <d v="2021-02-01T00:00:00"/>
    <d v="2021-02-01T00:00:00"/>
    <s v="USD"/>
    <n v="553482"/>
    <n v="553482"/>
    <s v="USD"/>
    <n v="553482"/>
    <n v="553482"/>
    <b v="1"/>
    <m/>
  </r>
  <r>
    <b v="1"/>
    <x v="0"/>
    <x v="0"/>
    <x v="2"/>
    <x v="0"/>
    <x v="1"/>
    <x v="57"/>
    <s v="BBG00VSZG6M8"/>
    <x v="26"/>
    <s v="ddc074cc122446bc92e5b6929179d0e2"/>
    <s v="Rumo 2028"/>
    <x v="0"/>
    <x v="5"/>
    <s v="Rail"/>
    <s v="Adequation of Itirapina-Pederneiras Branch Line"/>
    <s v="Brazil"/>
    <d v="2021-06-01T00:00:00"/>
    <d v="2021-06-01T00:00:00"/>
    <s v="USD"/>
    <n v="380825"/>
    <n v="380825"/>
    <s v="USD"/>
    <n v="380825"/>
    <n v="380825"/>
    <b v="1"/>
    <m/>
  </r>
  <r>
    <b v="1"/>
    <x v="0"/>
    <x v="0"/>
    <x v="2"/>
    <x v="0"/>
    <x v="1"/>
    <x v="57"/>
    <s v="BBG00VSZG6M8"/>
    <x v="26"/>
    <s v="ddc074cc122446bc92e5b6929179d0e2"/>
    <s v="Rumo 2028"/>
    <x v="0"/>
    <x v="5"/>
    <s v="Rail"/>
    <s v="Adequation of Itirapina-Pederneiras Branch Line"/>
    <s v="Brazil"/>
    <d v="2021-05-01T00:00:00"/>
    <d v="2021-05-01T00:00:00"/>
    <s v="USD"/>
    <n v="525581"/>
    <n v="525581"/>
    <s v="USD"/>
    <n v="525581"/>
    <n v="525581"/>
    <b v="1"/>
    <m/>
  </r>
  <r>
    <b v="1"/>
    <x v="0"/>
    <x v="0"/>
    <x v="2"/>
    <x v="0"/>
    <x v="1"/>
    <x v="57"/>
    <s v="BBG00VSZG6M8"/>
    <x v="26"/>
    <s v="ddc074cc122446bc92e5b6929179d0e2"/>
    <s v="Rumo 2028"/>
    <x v="0"/>
    <x v="5"/>
    <s v="Rail"/>
    <s v="Adequation of Itirapina-Pederneiras Branch Line"/>
    <s v="Brazil"/>
    <d v="2021-04-01T00:00:00"/>
    <d v="2021-04-01T00:00:00"/>
    <s v="USD"/>
    <n v="5060"/>
    <n v="5060"/>
    <s v="USD"/>
    <n v="5060"/>
    <n v="5060"/>
    <b v="1"/>
    <m/>
  </r>
  <r>
    <b v="1"/>
    <x v="0"/>
    <x v="0"/>
    <x v="2"/>
    <x v="0"/>
    <x v="1"/>
    <x v="57"/>
    <s v="BBG00VSZG6M8"/>
    <x v="26"/>
    <s v="ddc074cc122446bc92e5b6929179d0e2"/>
    <s v="Rumo 2028"/>
    <x v="0"/>
    <x v="5"/>
    <s v="Rail"/>
    <s v="Adequation of Itirapina-Pederneiras Branch Line"/>
    <s v="Brazil"/>
    <d v="2021-03-01T00:00:00"/>
    <d v="2021-03-01T00:00:00"/>
    <s v="USD"/>
    <n v="161831"/>
    <n v="161831"/>
    <s v="USD"/>
    <n v="161831"/>
    <n v="161831"/>
    <b v="1"/>
    <m/>
  </r>
  <r>
    <b v="1"/>
    <x v="0"/>
    <x v="0"/>
    <x v="2"/>
    <x v="0"/>
    <x v="1"/>
    <x v="57"/>
    <s v="BBG00VSZG6M8"/>
    <x v="26"/>
    <s v="ddc074cc122446bc92e5b6929179d0e2"/>
    <s v="Rumo 2028"/>
    <x v="0"/>
    <x v="5"/>
    <s v="Rail"/>
    <s v="Adequation of Itirapina-Pederneiras Branch Line"/>
    <s v="Brazil"/>
    <d v="2021-02-01T00:00:00"/>
    <d v="2021-02-01T00:00:00"/>
    <s v="USD"/>
    <n v="75"/>
    <n v="75"/>
    <s v="USD"/>
    <n v="75"/>
    <n v="75"/>
    <b v="1"/>
    <m/>
  </r>
  <r>
    <b v="1"/>
    <x v="0"/>
    <x v="0"/>
    <x v="2"/>
    <x v="0"/>
    <x v="1"/>
    <x v="57"/>
    <s v="BBG00VSZG6M8"/>
    <x v="26"/>
    <s v="ddc074cc122446bc92e5b6929179d0e2"/>
    <s v="Rumo 2028"/>
    <x v="0"/>
    <x v="5"/>
    <s v="Rail"/>
    <s v="Adequation of Itirapina-Pederneiras Branch Line"/>
    <s v="Brazil"/>
    <d v="2021-01-01T00:00:00"/>
    <d v="2021-01-01T00:00:00"/>
    <s v="USD"/>
    <n v="89"/>
    <n v="89"/>
    <s v="USD"/>
    <n v="89"/>
    <n v="89"/>
    <b v="1"/>
    <m/>
  </r>
  <r>
    <b v="1"/>
    <x v="0"/>
    <x v="0"/>
    <x v="2"/>
    <x v="0"/>
    <x v="1"/>
    <x v="57"/>
    <s v="BBG00VSZG6M8"/>
    <x v="26"/>
    <s v="ddc074cc122446bc92e5b6929179d0e2"/>
    <s v="Rumo 2028"/>
    <x v="0"/>
    <x v="5"/>
    <s v="Rail"/>
    <s v="Adequation of Itirapina-Pederneiras Branch Line"/>
    <s v="Brazil"/>
    <d v="2020-12-01T00:00:00"/>
    <d v="2020-12-01T00:00:00"/>
    <s v="USD"/>
    <n v="1047054"/>
    <n v="1047054"/>
    <s v="USD"/>
    <n v="1047054"/>
    <n v="1047054"/>
    <b v="1"/>
    <m/>
  </r>
  <r>
    <b v="1"/>
    <x v="0"/>
    <x v="0"/>
    <x v="2"/>
    <x v="0"/>
    <x v="1"/>
    <x v="57"/>
    <s v="BBG00VSZG6M8"/>
    <x v="26"/>
    <s v="ddc074cc122446bc92e5b6929179d0e2"/>
    <s v="Rumo 2028"/>
    <x v="0"/>
    <x v="5"/>
    <s v="Rail"/>
    <s v="Adequation of Itirapina-Pederneiras Branch Line"/>
    <s v="Brazil"/>
    <d v="2020-11-01T00:00:00"/>
    <d v="2020-11-01T00:00:00"/>
    <s v="USD"/>
    <n v="897506"/>
    <n v="897506"/>
    <s v="USD"/>
    <n v="897506"/>
    <n v="897506"/>
    <b v="1"/>
    <m/>
  </r>
  <r>
    <b v="1"/>
    <x v="0"/>
    <x v="0"/>
    <x v="2"/>
    <x v="0"/>
    <x v="1"/>
    <x v="57"/>
    <s v="BBG00VSZG6M8"/>
    <x v="26"/>
    <s v="ddc074cc122446bc92e5b6929179d0e2"/>
    <s v="Rumo 2028"/>
    <x v="0"/>
    <x v="5"/>
    <s v="Rail"/>
    <s v="Adequation of Itirapina-Pederneiras Branch Line"/>
    <s v="Brazil"/>
    <d v="2020-10-01T00:00:00"/>
    <d v="2020-10-01T00:00:00"/>
    <s v="USD"/>
    <n v="190766"/>
    <n v="190766"/>
    <s v="USD"/>
    <n v="190766"/>
    <n v="190766"/>
    <b v="1"/>
    <m/>
  </r>
  <r>
    <b v="1"/>
    <x v="0"/>
    <x v="0"/>
    <x v="2"/>
    <x v="0"/>
    <x v="1"/>
    <x v="57"/>
    <s v="BBG00VSZG6M8"/>
    <x v="26"/>
    <s v="ddc074cc122446bc92e5b6929179d0e2"/>
    <s v="Rumo 2028"/>
    <x v="0"/>
    <x v="5"/>
    <s v="Rail"/>
    <s v="Adequation of Itirapina-Pederneiras Branch Line"/>
    <s v="Brazil"/>
    <d v="2020-09-01T00:00:00"/>
    <d v="2020-09-01T00:00:00"/>
    <s v="USD"/>
    <n v="771368"/>
    <n v="771368"/>
    <s v="USD"/>
    <n v="771368"/>
    <n v="771368"/>
    <b v="1"/>
    <m/>
  </r>
  <r>
    <b v="1"/>
    <x v="0"/>
    <x v="0"/>
    <x v="2"/>
    <x v="0"/>
    <x v="1"/>
    <x v="57"/>
    <s v="BBG00VSZG6M8"/>
    <x v="26"/>
    <s v="ddc074cc122446bc92e5b6929179d0e2"/>
    <s v="Rumo 2028"/>
    <x v="0"/>
    <x v="5"/>
    <s v="Rail"/>
    <s v="Adequation of Itirapina-Pederneiras Branch Line"/>
    <s v="Brazil"/>
    <d v="2020-08-01T00:00:00"/>
    <d v="2020-08-01T00:00:00"/>
    <s v="USD"/>
    <n v="7031"/>
    <n v="7031"/>
    <s v="USD"/>
    <n v="7031"/>
    <n v="7031"/>
    <b v="1"/>
    <m/>
  </r>
  <r>
    <b v="1"/>
    <x v="0"/>
    <x v="0"/>
    <x v="2"/>
    <x v="0"/>
    <x v="1"/>
    <x v="57"/>
    <s v="BBG00VSZG6M8"/>
    <x v="26"/>
    <s v="ddc074cc122446bc92e5b6929179d0e2"/>
    <s v="Rumo 2028"/>
    <x v="1"/>
    <x v="6"/>
    <s v="Rail"/>
    <s v="Adequation of Itirapina-Pederneiras Branch Line"/>
    <s v="Brazil"/>
    <d v="2021-06-01T00:00:00"/>
    <d v="2021-06-01T00:00:00"/>
    <s v="USD"/>
    <n v="380825"/>
    <n v="380825"/>
    <s v="USD"/>
    <n v="380825"/>
    <n v="380825"/>
    <b v="1"/>
    <m/>
  </r>
  <r>
    <b v="1"/>
    <x v="0"/>
    <x v="0"/>
    <x v="2"/>
    <x v="0"/>
    <x v="1"/>
    <x v="57"/>
    <s v="BBG00VSZG6M8"/>
    <x v="26"/>
    <s v="ddc074cc122446bc92e5b6929179d0e2"/>
    <s v="Rumo 2028"/>
    <x v="1"/>
    <x v="6"/>
    <s v="Rail"/>
    <s v="Adequation of Itirapina-Pederneiras Branch Line"/>
    <s v="Brazil"/>
    <d v="2021-05-01T00:00:00"/>
    <d v="2021-05-01T00:00:00"/>
    <s v="USD"/>
    <n v="525581"/>
    <n v="525581"/>
    <s v="USD"/>
    <n v="525581"/>
    <n v="525581"/>
    <b v="1"/>
    <m/>
  </r>
  <r>
    <b v="1"/>
    <x v="0"/>
    <x v="0"/>
    <x v="2"/>
    <x v="0"/>
    <x v="1"/>
    <x v="57"/>
    <s v="BBG00VSZG6M8"/>
    <x v="26"/>
    <s v="ddc074cc122446bc92e5b6929179d0e2"/>
    <s v="Rumo 2028"/>
    <x v="1"/>
    <x v="6"/>
    <s v="Rail"/>
    <s v="Adequation of Itirapina-Pederneiras Branch Line"/>
    <s v="Brazil"/>
    <d v="2021-04-01T00:00:00"/>
    <d v="2021-04-01T00:00:00"/>
    <s v="USD"/>
    <n v="5060"/>
    <n v="5060"/>
    <s v="USD"/>
    <n v="5060"/>
    <n v="5060"/>
    <b v="1"/>
    <m/>
  </r>
  <r>
    <b v="1"/>
    <x v="0"/>
    <x v="0"/>
    <x v="2"/>
    <x v="0"/>
    <x v="1"/>
    <x v="57"/>
    <s v="BBG00VSZG6M8"/>
    <x v="26"/>
    <s v="ddc074cc122446bc92e5b6929179d0e2"/>
    <s v="Rumo 2028"/>
    <x v="1"/>
    <x v="6"/>
    <s v="Rail"/>
    <s v="Adequation of Itirapina-Pederneiras Branch Line"/>
    <s v="Brazil"/>
    <d v="2021-03-01T00:00:00"/>
    <d v="2021-03-01T00:00:00"/>
    <s v="USD"/>
    <n v="161831"/>
    <n v="161831"/>
    <s v="USD"/>
    <n v="161831"/>
    <n v="161831"/>
    <b v="1"/>
    <m/>
  </r>
  <r>
    <b v="1"/>
    <x v="0"/>
    <x v="0"/>
    <x v="2"/>
    <x v="0"/>
    <x v="1"/>
    <x v="57"/>
    <s v="BBG00VSZG6M8"/>
    <x v="26"/>
    <s v="ddc074cc122446bc92e5b6929179d0e2"/>
    <s v="Rumo 2028"/>
    <x v="1"/>
    <x v="6"/>
    <s v="Rail"/>
    <s v="Adequation of Itirapina-Pederneiras Branch Line"/>
    <s v="Brazil"/>
    <d v="2021-02-01T00:00:00"/>
    <d v="2021-02-01T00:00:00"/>
    <s v="USD"/>
    <n v="75"/>
    <n v="75"/>
    <s v="USD"/>
    <n v="75"/>
    <n v="75"/>
    <b v="1"/>
    <m/>
  </r>
  <r>
    <b v="1"/>
    <x v="0"/>
    <x v="0"/>
    <x v="2"/>
    <x v="0"/>
    <x v="1"/>
    <x v="57"/>
    <s v="BBG00VSZG6M8"/>
    <x v="26"/>
    <s v="ddc074cc122446bc92e5b6929179d0e2"/>
    <s v="Rumo 2028"/>
    <x v="1"/>
    <x v="6"/>
    <s v="Rail"/>
    <s v="Adequation of Itirapina-Pederneiras Branch Line"/>
    <s v="Brazil"/>
    <d v="2021-01-01T00:00:00"/>
    <d v="2021-01-01T00:00:00"/>
    <s v="USD"/>
    <n v="89"/>
    <n v="89"/>
    <s v="USD"/>
    <n v="89"/>
    <n v="89"/>
    <b v="1"/>
    <m/>
  </r>
  <r>
    <b v="1"/>
    <x v="0"/>
    <x v="0"/>
    <x v="2"/>
    <x v="0"/>
    <x v="1"/>
    <x v="57"/>
    <s v="BBG00VSZG6M8"/>
    <x v="26"/>
    <s v="ddc074cc122446bc92e5b6929179d0e2"/>
    <s v="Rumo 2028"/>
    <x v="1"/>
    <x v="6"/>
    <s v="Rail"/>
    <s v="Adequation of Itirapina-Pederneiras Branch Line"/>
    <s v="Brazil"/>
    <d v="2020-12-01T00:00:00"/>
    <d v="2020-12-01T00:00:00"/>
    <s v="USD"/>
    <n v="1047054"/>
    <n v="1047054"/>
    <s v="USD"/>
    <n v="1047054"/>
    <n v="1047054"/>
    <b v="1"/>
    <m/>
  </r>
  <r>
    <b v="1"/>
    <x v="0"/>
    <x v="0"/>
    <x v="2"/>
    <x v="0"/>
    <x v="1"/>
    <x v="57"/>
    <s v="BBG00VSZG6M8"/>
    <x v="26"/>
    <s v="ddc074cc122446bc92e5b6929179d0e2"/>
    <s v="Rumo 2028"/>
    <x v="1"/>
    <x v="6"/>
    <s v="Rail"/>
    <s v="Adequation of Itirapina-Pederneiras Branch Line"/>
    <s v="Brazil"/>
    <d v="2020-11-01T00:00:00"/>
    <d v="2020-11-01T00:00:00"/>
    <s v="USD"/>
    <n v="897506"/>
    <n v="897506"/>
    <s v="USD"/>
    <n v="897506"/>
    <n v="897506"/>
    <b v="1"/>
    <m/>
  </r>
  <r>
    <b v="1"/>
    <x v="0"/>
    <x v="0"/>
    <x v="2"/>
    <x v="0"/>
    <x v="1"/>
    <x v="57"/>
    <s v="BBG00VSZG6M8"/>
    <x v="26"/>
    <s v="ddc074cc122446bc92e5b6929179d0e2"/>
    <s v="Rumo 2028"/>
    <x v="1"/>
    <x v="6"/>
    <s v="Rail"/>
    <s v="Adequation of Itirapina-Pederneiras Branch Line"/>
    <s v="Brazil"/>
    <d v="2020-10-01T00:00:00"/>
    <d v="2020-10-01T00:00:00"/>
    <s v="USD"/>
    <n v="190766"/>
    <n v="190766"/>
    <s v="USD"/>
    <n v="190766"/>
    <n v="190766"/>
    <b v="1"/>
    <m/>
  </r>
  <r>
    <b v="1"/>
    <x v="0"/>
    <x v="0"/>
    <x v="2"/>
    <x v="0"/>
    <x v="1"/>
    <x v="57"/>
    <s v="BBG00VSZG6M8"/>
    <x v="26"/>
    <s v="ddc074cc122446bc92e5b6929179d0e2"/>
    <s v="Rumo 2028"/>
    <x v="1"/>
    <x v="6"/>
    <s v="Rail"/>
    <s v="Adequation of Itirapina-Pederneiras Branch Line"/>
    <s v="Brazil"/>
    <d v="2020-09-01T00:00:00"/>
    <d v="2020-09-01T00:00:00"/>
    <s v="USD"/>
    <n v="771368"/>
    <n v="771368"/>
    <s v="USD"/>
    <n v="771368"/>
    <n v="771368"/>
    <b v="1"/>
    <m/>
  </r>
  <r>
    <b v="1"/>
    <x v="0"/>
    <x v="0"/>
    <x v="2"/>
    <x v="0"/>
    <x v="1"/>
    <x v="57"/>
    <s v="BBG00VSZG6M8"/>
    <x v="26"/>
    <s v="ddc074cc122446bc92e5b6929179d0e2"/>
    <s v="Rumo 2028"/>
    <x v="1"/>
    <x v="6"/>
    <s v="Rail"/>
    <s v="Adequation of Itirapina-Pederneiras Branch Line"/>
    <s v="Brazil"/>
    <d v="2020-08-01T00:00:00"/>
    <d v="2020-08-01T00:00:00"/>
    <s v="USD"/>
    <n v="7031"/>
    <n v="7031"/>
    <s v="USD"/>
    <n v="7031"/>
    <n v="7031"/>
    <b v="1"/>
    <m/>
  </r>
  <r>
    <b v="1"/>
    <x v="0"/>
    <x v="0"/>
    <x v="2"/>
    <x v="0"/>
    <x v="1"/>
    <x v="57"/>
    <s v="BBG00VSZG6M8"/>
    <x v="26"/>
    <s v="ddc074cc122446bc92e5b6929179d0e2"/>
    <s v="Rumo 2028"/>
    <x v="2"/>
    <x v="9"/>
    <s v="Unspecified"/>
    <s v="Adequation of Itirapina-Pederneiras Branch Line"/>
    <s v="Brazil"/>
    <d v="2021-06-01T00:00:00"/>
    <d v="2021-06-01T00:00:00"/>
    <s v="USD"/>
    <n v="380825"/>
    <n v="380825"/>
    <s v="USD"/>
    <n v="380825"/>
    <n v="380825"/>
    <b v="1"/>
    <m/>
  </r>
  <r>
    <b v="1"/>
    <x v="0"/>
    <x v="0"/>
    <x v="2"/>
    <x v="0"/>
    <x v="1"/>
    <x v="57"/>
    <s v="BBG00VSZG6M8"/>
    <x v="26"/>
    <s v="ddc074cc122446bc92e5b6929179d0e2"/>
    <s v="Rumo 2028"/>
    <x v="2"/>
    <x v="9"/>
    <s v="Unspecified"/>
    <s v="Adequation of Itirapina-Pederneiras Branch Line"/>
    <s v="Brazil"/>
    <d v="2021-05-01T00:00:00"/>
    <d v="2021-05-01T00:00:00"/>
    <s v="USD"/>
    <n v="525581"/>
    <n v="525581"/>
    <s v="USD"/>
    <n v="525581"/>
    <n v="525581"/>
    <b v="1"/>
    <m/>
  </r>
  <r>
    <b v="1"/>
    <x v="0"/>
    <x v="0"/>
    <x v="2"/>
    <x v="0"/>
    <x v="1"/>
    <x v="57"/>
    <s v="BBG00VSZG6M8"/>
    <x v="26"/>
    <s v="ddc074cc122446bc92e5b6929179d0e2"/>
    <s v="Rumo 2028"/>
    <x v="2"/>
    <x v="9"/>
    <s v="Unspecified"/>
    <s v="Adequation of Itirapina-Pederneiras Branch Line"/>
    <s v="Brazil"/>
    <d v="2021-04-01T00:00:00"/>
    <d v="2021-04-01T00:00:00"/>
    <s v="USD"/>
    <n v="5060"/>
    <n v="5060"/>
    <s v="USD"/>
    <n v="5060"/>
    <n v="5060"/>
    <b v="1"/>
    <m/>
  </r>
  <r>
    <b v="1"/>
    <x v="0"/>
    <x v="0"/>
    <x v="2"/>
    <x v="0"/>
    <x v="1"/>
    <x v="57"/>
    <s v="BBG00VSZG6M8"/>
    <x v="26"/>
    <s v="ddc074cc122446bc92e5b6929179d0e2"/>
    <s v="Rumo 2028"/>
    <x v="2"/>
    <x v="9"/>
    <s v="Unspecified"/>
    <s v="Adequation of Itirapina-Pederneiras Branch Line"/>
    <s v="Brazil"/>
    <d v="2021-03-01T00:00:00"/>
    <d v="2021-03-01T00:00:00"/>
    <s v="USD"/>
    <n v="161831"/>
    <n v="161831"/>
    <s v="USD"/>
    <n v="161831"/>
    <n v="161831"/>
    <b v="1"/>
    <m/>
  </r>
  <r>
    <b v="1"/>
    <x v="0"/>
    <x v="0"/>
    <x v="2"/>
    <x v="0"/>
    <x v="1"/>
    <x v="57"/>
    <s v="BBG00VSZG6M8"/>
    <x v="26"/>
    <s v="ddc074cc122446bc92e5b6929179d0e2"/>
    <s v="Rumo 2028"/>
    <x v="2"/>
    <x v="9"/>
    <s v="Unspecified"/>
    <s v="Adequation of Itirapina-Pederneiras Branch Line"/>
    <s v="Brazil"/>
    <d v="2021-02-01T00:00:00"/>
    <d v="2021-02-01T00:00:00"/>
    <s v="USD"/>
    <n v="75"/>
    <n v="75"/>
    <s v="USD"/>
    <n v="75"/>
    <n v="75"/>
    <b v="1"/>
    <m/>
  </r>
  <r>
    <b v="1"/>
    <x v="0"/>
    <x v="0"/>
    <x v="2"/>
    <x v="0"/>
    <x v="1"/>
    <x v="57"/>
    <s v="BBG00VSZG6M8"/>
    <x v="26"/>
    <s v="ddc074cc122446bc92e5b6929179d0e2"/>
    <s v="Rumo 2028"/>
    <x v="2"/>
    <x v="9"/>
    <s v="Unspecified"/>
    <s v="Adequation of Itirapina-Pederneiras Branch Line"/>
    <s v="Brazil"/>
    <d v="2021-01-01T00:00:00"/>
    <d v="2021-01-01T00:00:00"/>
    <s v="USD"/>
    <n v="89"/>
    <n v="89"/>
    <s v="USD"/>
    <n v="89"/>
    <n v="89"/>
    <b v="1"/>
    <m/>
  </r>
  <r>
    <b v="1"/>
    <x v="0"/>
    <x v="0"/>
    <x v="2"/>
    <x v="0"/>
    <x v="1"/>
    <x v="57"/>
    <s v="BBG00VSZG6M8"/>
    <x v="26"/>
    <s v="ddc074cc122446bc92e5b6929179d0e2"/>
    <s v="Rumo 2028"/>
    <x v="2"/>
    <x v="9"/>
    <s v="Unspecified"/>
    <s v="Adequation of Itirapina-Pederneiras Branch Line"/>
    <s v="Brazil"/>
    <d v="2020-12-01T00:00:00"/>
    <d v="2020-12-01T00:00:00"/>
    <s v="USD"/>
    <n v="1047054"/>
    <n v="1047054"/>
    <s v="USD"/>
    <n v="1047054"/>
    <n v="1047054"/>
    <b v="1"/>
    <m/>
  </r>
  <r>
    <b v="1"/>
    <x v="0"/>
    <x v="0"/>
    <x v="2"/>
    <x v="0"/>
    <x v="1"/>
    <x v="57"/>
    <s v="BBG00VSZG6M8"/>
    <x v="26"/>
    <s v="ddc074cc122446bc92e5b6929179d0e2"/>
    <s v="Rumo 2028"/>
    <x v="2"/>
    <x v="9"/>
    <s v="Unspecified"/>
    <s v="Adequation of Itirapina-Pederneiras Branch Line"/>
    <s v="Brazil"/>
    <d v="2020-11-01T00:00:00"/>
    <d v="2020-11-01T00:00:00"/>
    <s v="USD"/>
    <n v="897506"/>
    <n v="897506"/>
    <s v="USD"/>
    <n v="897506"/>
    <n v="897506"/>
    <b v="1"/>
    <m/>
  </r>
  <r>
    <b v="1"/>
    <x v="0"/>
    <x v="0"/>
    <x v="2"/>
    <x v="0"/>
    <x v="1"/>
    <x v="57"/>
    <s v="BBG00VSZG6M8"/>
    <x v="26"/>
    <s v="ddc074cc122446bc92e5b6929179d0e2"/>
    <s v="Rumo 2028"/>
    <x v="2"/>
    <x v="9"/>
    <s v="Unspecified"/>
    <s v="Adequation of Itirapina-Pederneiras Branch Line"/>
    <s v="Brazil"/>
    <d v="2020-10-01T00:00:00"/>
    <d v="2020-10-01T00:00:00"/>
    <s v="USD"/>
    <n v="190766"/>
    <n v="190766"/>
    <s v="USD"/>
    <n v="190766"/>
    <n v="190766"/>
    <b v="1"/>
    <m/>
  </r>
  <r>
    <b v="1"/>
    <x v="0"/>
    <x v="0"/>
    <x v="2"/>
    <x v="0"/>
    <x v="1"/>
    <x v="57"/>
    <s v="BBG00VSZG6M8"/>
    <x v="26"/>
    <s v="ddc074cc122446bc92e5b6929179d0e2"/>
    <s v="Rumo 2028"/>
    <x v="2"/>
    <x v="9"/>
    <s v="Unspecified"/>
    <s v="Adequation of Itirapina-Pederneiras Branch Line"/>
    <s v="Brazil"/>
    <d v="2020-09-01T00:00:00"/>
    <d v="2020-09-01T00:00:00"/>
    <s v="USD"/>
    <n v="771368"/>
    <n v="771368"/>
    <s v="USD"/>
    <n v="771368"/>
    <n v="771368"/>
    <b v="1"/>
    <m/>
  </r>
  <r>
    <b v="1"/>
    <x v="0"/>
    <x v="0"/>
    <x v="2"/>
    <x v="0"/>
    <x v="1"/>
    <x v="57"/>
    <s v="BBG00VSZG6M8"/>
    <x v="26"/>
    <s v="ddc074cc122446bc92e5b6929179d0e2"/>
    <s v="Rumo 2028"/>
    <x v="2"/>
    <x v="9"/>
    <s v="Unspecified"/>
    <s v="Adequation of Itirapina-Pederneiras Branch Line"/>
    <s v="Brazil"/>
    <d v="2020-08-01T00:00:00"/>
    <d v="2020-08-01T00:00:00"/>
    <s v="USD"/>
    <n v="7031"/>
    <n v="7031"/>
    <s v="USD"/>
    <n v="7031"/>
    <n v="7031"/>
    <b v="1"/>
    <m/>
  </r>
  <r>
    <b v="1"/>
    <x v="0"/>
    <x v="0"/>
    <x v="2"/>
    <x v="0"/>
    <x v="1"/>
    <x v="57"/>
    <s v="BBG00VSZG6M8"/>
    <x v="26"/>
    <s v="ddc074cc122446bc92e5b6929179d0e2"/>
    <s v="Rumo 2028"/>
    <x v="3"/>
    <x v="9"/>
    <s v="Unspecified"/>
    <s v="Adequation of Itirapina-Pederneiras Branch Line"/>
    <s v="Brazil"/>
    <d v="2021-06-01T00:00:00"/>
    <d v="2021-06-01T00:00:00"/>
    <s v="USD"/>
    <n v="380825"/>
    <n v="380825"/>
    <s v="USD"/>
    <n v="380825"/>
    <n v="380825"/>
    <b v="1"/>
    <m/>
  </r>
  <r>
    <b v="1"/>
    <x v="0"/>
    <x v="0"/>
    <x v="2"/>
    <x v="0"/>
    <x v="1"/>
    <x v="57"/>
    <s v="BBG00VSZG6M8"/>
    <x v="26"/>
    <s v="ddc074cc122446bc92e5b6929179d0e2"/>
    <s v="Rumo 2028"/>
    <x v="3"/>
    <x v="9"/>
    <s v="Unspecified"/>
    <s v="Adequation of Itirapina-Pederneiras Branch Line"/>
    <s v="Brazil"/>
    <d v="2021-05-01T00:00:00"/>
    <d v="2021-05-01T00:00:00"/>
    <s v="USD"/>
    <n v="525581"/>
    <n v="525581"/>
    <s v="USD"/>
    <n v="525581"/>
    <n v="525581"/>
    <b v="1"/>
    <m/>
  </r>
  <r>
    <b v="1"/>
    <x v="0"/>
    <x v="0"/>
    <x v="2"/>
    <x v="0"/>
    <x v="1"/>
    <x v="57"/>
    <s v="BBG00VSZG6M8"/>
    <x v="26"/>
    <s v="ddc074cc122446bc92e5b6929179d0e2"/>
    <s v="Rumo 2028"/>
    <x v="3"/>
    <x v="9"/>
    <s v="Unspecified"/>
    <s v="Adequation of Itirapina-Pederneiras Branch Line"/>
    <s v="Brazil"/>
    <d v="2021-04-01T00:00:00"/>
    <d v="2021-04-01T00:00:00"/>
    <s v="USD"/>
    <n v="5060"/>
    <n v="5060"/>
    <s v="USD"/>
    <n v="5060"/>
    <n v="5060"/>
    <b v="1"/>
    <m/>
  </r>
  <r>
    <b v="1"/>
    <x v="0"/>
    <x v="0"/>
    <x v="2"/>
    <x v="0"/>
    <x v="1"/>
    <x v="57"/>
    <s v="BBG00VSZG6M8"/>
    <x v="26"/>
    <s v="ddc074cc122446bc92e5b6929179d0e2"/>
    <s v="Rumo 2028"/>
    <x v="3"/>
    <x v="9"/>
    <s v="Unspecified"/>
    <s v="Adequation of Itirapina-Pederneiras Branch Line"/>
    <s v="Brazil"/>
    <d v="2021-03-01T00:00:00"/>
    <d v="2021-03-01T00:00:00"/>
    <s v="USD"/>
    <n v="161831"/>
    <n v="161831"/>
    <s v="USD"/>
    <n v="161831"/>
    <n v="161831"/>
    <b v="1"/>
    <m/>
  </r>
  <r>
    <b v="1"/>
    <x v="0"/>
    <x v="0"/>
    <x v="2"/>
    <x v="0"/>
    <x v="1"/>
    <x v="57"/>
    <s v="BBG00VSZG6M8"/>
    <x v="26"/>
    <s v="ddc074cc122446bc92e5b6929179d0e2"/>
    <s v="Rumo 2028"/>
    <x v="3"/>
    <x v="9"/>
    <s v="Unspecified"/>
    <s v="Adequation of Itirapina-Pederneiras Branch Line"/>
    <s v="Brazil"/>
    <d v="2021-02-01T00:00:00"/>
    <d v="2021-02-01T00:00:00"/>
    <s v="USD"/>
    <n v="75"/>
    <n v="75"/>
    <s v="USD"/>
    <n v="75"/>
    <n v="75"/>
    <b v="1"/>
    <m/>
  </r>
  <r>
    <b v="1"/>
    <x v="0"/>
    <x v="0"/>
    <x v="2"/>
    <x v="0"/>
    <x v="1"/>
    <x v="57"/>
    <s v="BBG00VSZG6M8"/>
    <x v="26"/>
    <s v="ddc074cc122446bc92e5b6929179d0e2"/>
    <s v="Rumo 2028"/>
    <x v="3"/>
    <x v="9"/>
    <s v="Unspecified"/>
    <s v="Adequation of Itirapina-Pederneiras Branch Line"/>
    <s v="Brazil"/>
    <d v="2021-01-01T00:00:00"/>
    <d v="2021-01-01T00:00:00"/>
    <s v="USD"/>
    <n v="89"/>
    <n v="89"/>
    <s v="USD"/>
    <n v="89"/>
    <n v="89"/>
    <b v="1"/>
    <m/>
  </r>
  <r>
    <b v="1"/>
    <x v="0"/>
    <x v="0"/>
    <x v="2"/>
    <x v="0"/>
    <x v="1"/>
    <x v="57"/>
    <s v="BBG00VSZG6M8"/>
    <x v="26"/>
    <s v="ddc074cc122446bc92e5b6929179d0e2"/>
    <s v="Rumo 2028"/>
    <x v="3"/>
    <x v="9"/>
    <s v="Unspecified"/>
    <s v="Adequation of Itirapina-Pederneiras Branch Line"/>
    <s v="Brazil"/>
    <d v="2020-12-01T00:00:00"/>
    <d v="2020-12-01T00:00:00"/>
    <s v="USD"/>
    <n v="1047054"/>
    <n v="1047054"/>
    <s v="USD"/>
    <n v="1047054"/>
    <n v="1047054"/>
    <b v="1"/>
    <m/>
  </r>
  <r>
    <b v="1"/>
    <x v="0"/>
    <x v="0"/>
    <x v="2"/>
    <x v="0"/>
    <x v="1"/>
    <x v="57"/>
    <s v="BBG00VSZG6M8"/>
    <x v="26"/>
    <s v="ddc074cc122446bc92e5b6929179d0e2"/>
    <s v="Rumo 2028"/>
    <x v="3"/>
    <x v="9"/>
    <s v="Unspecified"/>
    <s v="Adequation of Itirapina-Pederneiras Branch Line"/>
    <s v="Brazil"/>
    <d v="2020-11-01T00:00:00"/>
    <d v="2020-11-01T00:00:00"/>
    <s v="USD"/>
    <n v="897506"/>
    <n v="897506"/>
    <s v="USD"/>
    <n v="897506"/>
    <n v="897506"/>
    <b v="1"/>
    <m/>
  </r>
  <r>
    <b v="1"/>
    <x v="0"/>
    <x v="0"/>
    <x v="2"/>
    <x v="0"/>
    <x v="1"/>
    <x v="57"/>
    <s v="BBG00VSZG6M8"/>
    <x v="26"/>
    <s v="ddc074cc122446bc92e5b6929179d0e2"/>
    <s v="Rumo 2028"/>
    <x v="3"/>
    <x v="9"/>
    <s v="Unspecified"/>
    <s v="Adequation of Itirapina-Pederneiras Branch Line"/>
    <s v="Brazil"/>
    <d v="2020-10-01T00:00:00"/>
    <d v="2020-10-01T00:00:00"/>
    <s v="USD"/>
    <n v="190766"/>
    <n v="190766"/>
    <s v="USD"/>
    <n v="190766"/>
    <n v="190766"/>
    <b v="1"/>
    <m/>
  </r>
  <r>
    <b v="1"/>
    <x v="0"/>
    <x v="0"/>
    <x v="2"/>
    <x v="0"/>
    <x v="1"/>
    <x v="57"/>
    <s v="BBG00VSZG6M8"/>
    <x v="26"/>
    <s v="ddc074cc122446bc92e5b6929179d0e2"/>
    <s v="Rumo 2028"/>
    <x v="3"/>
    <x v="9"/>
    <s v="Unspecified"/>
    <s v="Adequation of Itirapina-Pederneiras Branch Line"/>
    <s v="Brazil"/>
    <d v="2020-09-01T00:00:00"/>
    <d v="2020-09-01T00:00:00"/>
    <s v="USD"/>
    <n v="771368"/>
    <n v="771368"/>
    <s v="USD"/>
    <n v="771368"/>
    <n v="771368"/>
    <b v="1"/>
    <m/>
  </r>
  <r>
    <b v="1"/>
    <x v="0"/>
    <x v="0"/>
    <x v="2"/>
    <x v="0"/>
    <x v="1"/>
    <x v="57"/>
    <s v="BBG00VSZG6M8"/>
    <x v="26"/>
    <s v="ddc074cc122446bc92e5b6929179d0e2"/>
    <s v="Rumo 2028"/>
    <x v="3"/>
    <x v="9"/>
    <s v="Unspecified"/>
    <s v="Adequation of Itirapina-Pederneiras Branch Line"/>
    <s v="Brazil"/>
    <d v="2020-08-01T00:00:00"/>
    <d v="2020-08-01T00:00:00"/>
    <s v="USD"/>
    <n v="7031"/>
    <n v="7031"/>
    <s v="USD"/>
    <n v="7031"/>
    <n v="7031"/>
    <b v="1"/>
    <m/>
  </r>
  <r>
    <b v="1"/>
    <x v="2"/>
    <x v="0"/>
    <x v="0"/>
    <x v="0"/>
    <x v="1"/>
    <x v="58"/>
    <s v="BBG00ZVN1906"/>
    <x v="0"/>
    <s v="5e83524c4bff46698146fad15dedc311"/>
    <s v="E1 ENERGIA GREEN BOND"/>
    <x v="0"/>
    <x v="0"/>
    <s v="Solar"/>
    <s v="UFV E2 - AL (Energisa SE)"/>
    <s v="Brazil"/>
    <d v="2021-03-15T00:00:00"/>
    <d v="2021-03-15T00:00:00"/>
    <s v="BRL"/>
    <n v="871761.08"/>
    <n v="871761.08"/>
    <s v="BRL"/>
    <n v="871761.08"/>
    <n v="154853"/>
    <b v="0"/>
    <n v="1"/>
  </r>
  <r>
    <b v="1"/>
    <x v="2"/>
    <x v="0"/>
    <x v="0"/>
    <x v="0"/>
    <x v="1"/>
    <x v="58"/>
    <s v="BBG00ZVN1906"/>
    <x v="0"/>
    <s v="5e83524c4bff46698146fad15dedc311"/>
    <s v="E1 ENERGIA GREEN BOND"/>
    <x v="1"/>
    <x v="1"/>
    <s v="Generation"/>
    <s v="UFV E2 - AL (Energisa SE)"/>
    <s v="Brazil"/>
    <d v="2021-03-15T00:00:00"/>
    <d v="2021-03-15T00:00:00"/>
    <s v="BRL"/>
    <n v="871761.08"/>
    <n v="871761.08"/>
    <s v="BRL"/>
    <n v="871761.08"/>
    <n v="154853"/>
    <b v="0"/>
    <n v="1"/>
  </r>
  <r>
    <b v="1"/>
    <x v="2"/>
    <x v="0"/>
    <x v="0"/>
    <x v="0"/>
    <x v="1"/>
    <x v="58"/>
    <s v="BBG00ZVN1906"/>
    <x v="0"/>
    <s v="5e83524c4bff46698146fad15dedc311"/>
    <s v="E1 ENERGIA GREEN BOND"/>
    <x v="0"/>
    <x v="0"/>
    <s v="Solar"/>
    <s v="UFV E2 - BA (COELBA) - USINA 1"/>
    <s v="Brazil"/>
    <d v="2021-03-15T00:00:00"/>
    <d v="2021-03-15T00:00:00"/>
    <s v="BRL"/>
    <n v="4047462.14"/>
    <n v="4047462.14"/>
    <s v="BRL"/>
    <n v="4047462.14"/>
    <n v="718960"/>
    <b v="0"/>
    <n v="1"/>
  </r>
  <r>
    <b v="1"/>
    <x v="2"/>
    <x v="0"/>
    <x v="0"/>
    <x v="0"/>
    <x v="1"/>
    <x v="58"/>
    <s v="BBG00ZVN1906"/>
    <x v="0"/>
    <s v="5e83524c4bff46698146fad15dedc311"/>
    <s v="E1 ENERGIA GREEN BOND"/>
    <x v="1"/>
    <x v="1"/>
    <s v="Generation"/>
    <s v="UFV E2 - BA (COELBA) - USINA 1"/>
    <s v="Brazil"/>
    <d v="2021-03-15T00:00:00"/>
    <d v="2021-03-15T00:00:00"/>
    <s v="BRL"/>
    <n v="4047462.14"/>
    <n v="4047462.14"/>
    <s v="BRL"/>
    <n v="4047462.14"/>
    <n v="718960"/>
    <b v="0"/>
    <n v="1"/>
  </r>
  <r>
    <b v="1"/>
    <x v="2"/>
    <x v="0"/>
    <x v="0"/>
    <x v="0"/>
    <x v="1"/>
    <x v="58"/>
    <s v="BBG00ZVN1906"/>
    <x v="0"/>
    <s v="5e83524c4bff46698146fad15dedc311"/>
    <s v="E1 ENERGIA GREEN BOND"/>
    <x v="0"/>
    <x v="0"/>
    <s v="Solar"/>
    <s v="UFV E2 - BA (COELBA) - USINA 2"/>
    <s v="Brazil"/>
    <d v="2021-03-15T00:00:00"/>
    <d v="2021-03-15T00:00:00"/>
    <s v="BRL"/>
    <n v="4047462.14"/>
    <n v="4047462.14"/>
    <s v="BRL"/>
    <n v="4047462.14"/>
    <n v="718960"/>
    <b v="0"/>
    <n v="1"/>
  </r>
  <r>
    <b v="1"/>
    <x v="2"/>
    <x v="0"/>
    <x v="0"/>
    <x v="0"/>
    <x v="1"/>
    <x v="58"/>
    <s v="BBG00ZVN1906"/>
    <x v="0"/>
    <s v="5e83524c4bff46698146fad15dedc311"/>
    <s v="E1 ENERGIA GREEN BOND"/>
    <x v="1"/>
    <x v="1"/>
    <s v="Generation"/>
    <s v="UFV E2 - BA (COELBA) - USINA 2"/>
    <s v="Brazil"/>
    <d v="2021-03-15T00:00:00"/>
    <d v="2021-03-15T00:00:00"/>
    <s v="BRL"/>
    <n v="4047462.14"/>
    <n v="4047462.14"/>
    <s v="BRL"/>
    <n v="4047462.14"/>
    <n v="718960"/>
    <b v="0"/>
    <n v="1"/>
  </r>
  <r>
    <b v="1"/>
    <x v="2"/>
    <x v="0"/>
    <x v="0"/>
    <x v="0"/>
    <x v="1"/>
    <x v="58"/>
    <s v="BBG00ZVN1906"/>
    <x v="0"/>
    <s v="5e83524c4bff46698146fad15dedc311"/>
    <s v="E1 ENERGIA GREEN BOND"/>
    <x v="0"/>
    <x v="0"/>
    <s v="Solar"/>
    <s v="UFV E2 - CE (ENEL CE)"/>
    <s v="Brazil"/>
    <d v="2021-03-15T00:00:00"/>
    <d v="2021-03-15T00:00:00"/>
    <s v="BRL"/>
    <n v="3642715.93"/>
    <n v="3642715.93"/>
    <s v="BRL"/>
    <n v="3642715.93"/>
    <n v="647064"/>
    <b v="0"/>
    <n v="1"/>
  </r>
  <r>
    <b v="1"/>
    <x v="2"/>
    <x v="0"/>
    <x v="0"/>
    <x v="0"/>
    <x v="1"/>
    <x v="58"/>
    <s v="BBG00ZVN1906"/>
    <x v="0"/>
    <s v="5e83524c4bff46698146fad15dedc311"/>
    <s v="E1 ENERGIA GREEN BOND"/>
    <x v="1"/>
    <x v="1"/>
    <s v="Generation"/>
    <s v="UFV E2 - CE (ENEL CE)"/>
    <s v="Brazil"/>
    <d v="2021-03-15T00:00:00"/>
    <d v="2021-03-15T00:00:00"/>
    <s v="BRL"/>
    <n v="3642715.93"/>
    <n v="3642715.93"/>
    <s v="BRL"/>
    <n v="3642715.93"/>
    <n v="647064"/>
    <b v="0"/>
    <n v="1"/>
  </r>
  <r>
    <b v="1"/>
    <x v="2"/>
    <x v="0"/>
    <x v="0"/>
    <x v="0"/>
    <x v="1"/>
    <x v="58"/>
    <s v="BBG00ZVN1906"/>
    <x v="0"/>
    <s v="5e83524c4bff46698146fad15dedc311"/>
    <s v="E1 ENERGIA GREEN BOND"/>
    <x v="0"/>
    <x v="0"/>
    <s v="Solar"/>
    <s v="UFV E2 - MA (CEMAR)"/>
    <s v="Brazil"/>
    <d v="2021-03-15T00:00:00"/>
    <d v="2021-03-15T00:00:00"/>
    <s v="BRL"/>
    <n v="2303939.9900000002"/>
    <n v="2303939.9900000002"/>
    <s v="BRL"/>
    <n v="2303939.9900000002"/>
    <n v="409254"/>
    <b v="0"/>
    <n v="1"/>
  </r>
  <r>
    <b v="1"/>
    <x v="2"/>
    <x v="0"/>
    <x v="0"/>
    <x v="0"/>
    <x v="1"/>
    <x v="58"/>
    <s v="BBG00ZVN1906"/>
    <x v="0"/>
    <s v="5e83524c4bff46698146fad15dedc311"/>
    <s v="E1 ENERGIA GREEN BOND"/>
    <x v="1"/>
    <x v="1"/>
    <s v="Generation"/>
    <s v="UFV E2 - MA (CEMAR)"/>
    <s v="Brazil"/>
    <d v="2021-03-15T00:00:00"/>
    <d v="2021-03-15T00:00:00"/>
    <s v="BRL"/>
    <n v="2303939.9900000002"/>
    <n v="2303939.9900000002"/>
    <s v="BRL"/>
    <n v="2303939.9900000002"/>
    <n v="409254"/>
    <b v="0"/>
    <n v="1"/>
  </r>
  <r>
    <b v="1"/>
    <x v="2"/>
    <x v="0"/>
    <x v="0"/>
    <x v="0"/>
    <x v="1"/>
    <x v="58"/>
    <s v="BBG00ZVN1906"/>
    <x v="0"/>
    <s v="5e83524c4bff46698146fad15dedc311"/>
    <s v="E1 ENERGIA GREEN BOND"/>
    <x v="0"/>
    <x v="0"/>
    <s v="Solar"/>
    <s v="UFV E2- PA (CELPA)"/>
    <s v="Brazil"/>
    <d v="2021-03-15T00:00:00"/>
    <d v="2021-03-15T00:00:00"/>
    <s v="BRL"/>
    <n v="7472237.7999999998"/>
    <n v="7472237.7999999998"/>
    <s v="BRL"/>
    <n v="7472237.7999999998"/>
    <n v="1327312"/>
    <b v="0"/>
    <n v="1"/>
  </r>
  <r>
    <b v="1"/>
    <x v="2"/>
    <x v="0"/>
    <x v="0"/>
    <x v="0"/>
    <x v="1"/>
    <x v="58"/>
    <s v="BBG00ZVN1906"/>
    <x v="0"/>
    <s v="5e83524c4bff46698146fad15dedc311"/>
    <s v="E1 ENERGIA GREEN BOND"/>
    <x v="1"/>
    <x v="1"/>
    <s v="Generation"/>
    <s v="UFV E2- PA (CELPA)"/>
    <s v="Brazil"/>
    <d v="2021-03-15T00:00:00"/>
    <d v="2021-03-15T00:00:00"/>
    <s v="BRL"/>
    <n v="7472237.7999999998"/>
    <n v="7472237.7999999998"/>
    <s v="BRL"/>
    <n v="7472237.7999999998"/>
    <n v="1327312"/>
    <b v="0"/>
    <n v="1"/>
  </r>
  <r>
    <b v="1"/>
    <x v="2"/>
    <x v="0"/>
    <x v="0"/>
    <x v="0"/>
    <x v="1"/>
    <x v="58"/>
    <s v="BBG00ZVN1906"/>
    <x v="0"/>
    <s v="5e83524c4bff46698146fad15dedc311"/>
    <s v="E1 ENERGIA GREEN BOND"/>
    <x v="0"/>
    <x v="0"/>
    <s v="Solar"/>
    <s v="UFV E2 - PB (Energisa PB)"/>
    <s v="Brazil"/>
    <d v="2021-03-15T00:00:00"/>
    <d v="2021-03-15T00:00:00"/>
    <s v="BRL"/>
    <n v="1245372.97"/>
    <n v="1245372.97"/>
    <s v="BRL"/>
    <n v="1245372.97"/>
    <n v="221218"/>
    <b v="0"/>
    <n v="1"/>
  </r>
  <r>
    <b v="1"/>
    <x v="2"/>
    <x v="0"/>
    <x v="0"/>
    <x v="0"/>
    <x v="1"/>
    <x v="58"/>
    <s v="BBG00ZVN1906"/>
    <x v="0"/>
    <s v="5e83524c4bff46698146fad15dedc311"/>
    <s v="E1 ENERGIA GREEN BOND"/>
    <x v="1"/>
    <x v="1"/>
    <s v="Generation"/>
    <s v="UFV E2 - PB (Energisa PB)"/>
    <s v="Brazil"/>
    <d v="2021-03-15T00:00:00"/>
    <d v="2021-03-15T00:00:00"/>
    <s v="BRL"/>
    <n v="1245372.97"/>
    <n v="1245372.97"/>
    <s v="BRL"/>
    <n v="1245372.97"/>
    <n v="221218"/>
    <b v="0"/>
    <n v="1"/>
  </r>
  <r>
    <b v="1"/>
    <x v="2"/>
    <x v="0"/>
    <x v="0"/>
    <x v="0"/>
    <x v="1"/>
    <x v="58"/>
    <s v="BBG00ZVN1906"/>
    <x v="0"/>
    <s v="5e83524c4bff46698146fad15dedc311"/>
    <s v="E1 ENERGIA GREEN BOND"/>
    <x v="0"/>
    <x v="0"/>
    <s v="Solar"/>
    <s v="UFV E2 - PE (CELPE) - USINA 1"/>
    <s v="Brazil"/>
    <d v="2021-03-15T00:00:00"/>
    <d v="2021-03-15T00:00:00"/>
    <s v="BRL"/>
    <n v="2615283.23"/>
    <n v="2615283.23"/>
    <s v="BRL"/>
    <n v="2615283.23"/>
    <n v="464559"/>
    <b v="0"/>
    <n v="1"/>
  </r>
  <r>
    <b v="1"/>
    <x v="2"/>
    <x v="0"/>
    <x v="0"/>
    <x v="0"/>
    <x v="1"/>
    <x v="58"/>
    <s v="BBG00ZVN1906"/>
    <x v="0"/>
    <s v="5e83524c4bff46698146fad15dedc311"/>
    <s v="E1 ENERGIA GREEN BOND"/>
    <x v="1"/>
    <x v="1"/>
    <s v="Generation"/>
    <s v="UFV E2 - PE (CELPE) - USINA 1"/>
    <s v="Brazil"/>
    <d v="2021-03-15T00:00:00"/>
    <d v="2021-03-15T00:00:00"/>
    <s v="BRL"/>
    <n v="2615283.23"/>
    <n v="2615283.23"/>
    <s v="BRL"/>
    <n v="2615283.23"/>
    <n v="464559"/>
    <b v="0"/>
    <n v="1"/>
  </r>
  <r>
    <b v="1"/>
    <x v="2"/>
    <x v="0"/>
    <x v="0"/>
    <x v="0"/>
    <x v="1"/>
    <x v="58"/>
    <s v="BBG00ZVN1906"/>
    <x v="0"/>
    <s v="5e83524c4bff46698146fad15dedc311"/>
    <s v="E1 ENERGIA GREEN BOND"/>
    <x v="0"/>
    <x v="0"/>
    <s v="Solar"/>
    <s v="UFV E2 - PE (CELPE) - USINA 2"/>
    <s v="Brazil"/>
    <d v="2021-03-15T00:00:00"/>
    <d v="2021-03-15T00:00:00"/>
    <s v="BRL"/>
    <n v="3237969.71"/>
    <n v="3237969.71"/>
    <s v="BRL"/>
    <n v="3237969.71"/>
    <n v="575168"/>
    <b v="0"/>
    <n v="1"/>
  </r>
  <r>
    <b v="1"/>
    <x v="2"/>
    <x v="0"/>
    <x v="0"/>
    <x v="0"/>
    <x v="1"/>
    <x v="58"/>
    <s v="BBG00ZVN1906"/>
    <x v="0"/>
    <s v="5e83524c4bff46698146fad15dedc311"/>
    <s v="E1 ENERGIA GREEN BOND"/>
    <x v="1"/>
    <x v="1"/>
    <s v="Generation"/>
    <s v="UFV E2 - PE (CELPE) - USINA 2"/>
    <s v="Brazil"/>
    <d v="2021-03-15T00:00:00"/>
    <d v="2021-03-15T00:00:00"/>
    <s v="BRL"/>
    <n v="3237969.71"/>
    <n v="3237969.71"/>
    <s v="BRL"/>
    <n v="3237969.71"/>
    <n v="575168"/>
    <b v="0"/>
    <n v="1"/>
  </r>
  <r>
    <b v="1"/>
    <x v="2"/>
    <x v="0"/>
    <x v="0"/>
    <x v="0"/>
    <x v="1"/>
    <x v="58"/>
    <s v="BBG00ZVN1906"/>
    <x v="0"/>
    <s v="5e83524c4bff46698146fad15dedc311"/>
    <s v="E1 ENERGIA GREEN BOND"/>
    <x v="0"/>
    <x v="0"/>
    <s v="Solar"/>
    <s v="UFV E2- PI (CEPISA)"/>
    <s v="Brazil"/>
    <d v="2021-03-15T00:00:00"/>
    <d v="2021-03-15T00:00:00"/>
    <s v="BRL"/>
    <n v="996298.37"/>
    <n v="996298.37"/>
    <s v="BRL"/>
    <n v="996298.37"/>
    <n v="176974"/>
    <b v="0"/>
    <n v="1"/>
  </r>
  <r>
    <b v="1"/>
    <x v="2"/>
    <x v="0"/>
    <x v="0"/>
    <x v="0"/>
    <x v="1"/>
    <x v="58"/>
    <s v="BBG00ZVN1906"/>
    <x v="0"/>
    <s v="5e83524c4bff46698146fad15dedc311"/>
    <s v="E1 ENERGIA GREEN BOND"/>
    <x v="1"/>
    <x v="1"/>
    <s v="Generation"/>
    <s v="UFV E2- PI (CEPISA)"/>
    <s v="Brazil"/>
    <d v="2021-03-15T00:00:00"/>
    <d v="2021-03-15T00:00:00"/>
    <s v="BRL"/>
    <n v="996298.37"/>
    <n v="996298.37"/>
    <s v="BRL"/>
    <n v="996298.37"/>
    <n v="176974"/>
    <b v="0"/>
    <n v="1"/>
  </r>
  <r>
    <b v="1"/>
    <x v="2"/>
    <x v="0"/>
    <x v="0"/>
    <x v="0"/>
    <x v="1"/>
    <x v="58"/>
    <s v="BBG00ZVN1906"/>
    <x v="0"/>
    <s v="5e83524c4bff46698146fad15dedc311"/>
    <s v="E1 ENERGIA GREEN BOND"/>
    <x v="0"/>
    <x v="0"/>
    <s v="Solar"/>
    <s v="UFV E2 - RN (COSERN)"/>
    <s v="Brazil"/>
    <d v="2021-03-15T00:00:00"/>
    <d v="2021-03-15T00:00:00"/>
    <s v="BRL"/>
    <n v="1120835.67"/>
    <n v="1120835.67"/>
    <s v="BRL"/>
    <n v="1120835.67"/>
    <n v="199096"/>
    <b v="0"/>
    <n v="1"/>
  </r>
  <r>
    <b v="1"/>
    <x v="2"/>
    <x v="0"/>
    <x v="0"/>
    <x v="0"/>
    <x v="1"/>
    <x v="58"/>
    <s v="BBG00ZVN1906"/>
    <x v="0"/>
    <s v="5e83524c4bff46698146fad15dedc311"/>
    <s v="E1 ENERGIA GREEN BOND"/>
    <x v="1"/>
    <x v="1"/>
    <s v="Generation"/>
    <s v="UFV E2 - RN (COSERN)"/>
    <s v="Brazil"/>
    <d v="2021-03-15T00:00:00"/>
    <d v="2021-03-15T00:00:00"/>
    <s v="BRL"/>
    <n v="1120835.67"/>
    <n v="1120835.67"/>
    <s v="BRL"/>
    <n v="1120835.67"/>
    <n v="199096"/>
    <b v="0"/>
    <n v="1"/>
  </r>
  <r>
    <b v="1"/>
    <x v="2"/>
    <x v="0"/>
    <x v="0"/>
    <x v="0"/>
    <x v="1"/>
    <x v="58"/>
    <s v="BBG00ZVN1906"/>
    <x v="0"/>
    <s v="5e83524c4bff46698146fad15dedc311"/>
    <s v="E1 ENERGIA GREEN BOND"/>
    <x v="0"/>
    <x v="0"/>
    <s v="Solar"/>
    <s v="UFV E2 - SE (Energisa SE)"/>
    <s v="Brazil"/>
    <d v="2021-03-15T00:00:00"/>
    <d v="2021-03-15T00:00:00"/>
    <s v="BRL"/>
    <n v="871761.08"/>
    <n v="871761.08"/>
    <s v="BRL"/>
    <n v="871761.08"/>
    <n v="154853"/>
    <b v="0"/>
    <n v="1"/>
  </r>
  <r>
    <b v="1"/>
    <x v="2"/>
    <x v="0"/>
    <x v="0"/>
    <x v="0"/>
    <x v="1"/>
    <x v="58"/>
    <s v="BBG00ZVN1906"/>
    <x v="0"/>
    <s v="5e83524c4bff46698146fad15dedc311"/>
    <s v="E1 ENERGIA GREEN BOND"/>
    <x v="1"/>
    <x v="1"/>
    <s v="Generation"/>
    <s v="UFV E2 - SE (Energisa SE)"/>
    <s v="Brazil"/>
    <d v="2021-03-15T00:00:00"/>
    <d v="2021-03-15T00:00:00"/>
    <s v="BRL"/>
    <n v="871761.08"/>
    <n v="871761.08"/>
    <s v="BRL"/>
    <n v="871761.08"/>
    <n v="154853"/>
    <b v="0"/>
    <n v="1"/>
  </r>
  <r>
    <b v="1"/>
    <x v="2"/>
    <x v="0"/>
    <x v="0"/>
    <x v="0"/>
    <x v="1"/>
    <x v="58"/>
    <s v="BBG00ZVN1906"/>
    <x v="0"/>
    <s v="5e83524c4bff46698146fad15dedc311"/>
    <s v="E1 ENERGIA GREEN BOND"/>
    <x v="0"/>
    <x v="0"/>
    <s v="Solar"/>
    <s v="UFV E2 - TO (ETO) - USINA 1"/>
    <s v="Brazil"/>
    <d v="2021-03-15T00:00:00"/>
    <d v="2021-03-15T00:00:00"/>
    <s v="BRL"/>
    <n v="996298.37"/>
    <n v="996298.37"/>
    <s v="BRL"/>
    <n v="996298.37"/>
    <n v="176974"/>
    <b v="0"/>
    <n v="1"/>
  </r>
  <r>
    <b v="1"/>
    <x v="2"/>
    <x v="0"/>
    <x v="0"/>
    <x v="0"/>
    <x v="1"/>
    <x v="58"/>
    <s v="BBG00ZVN1906"/>
    <x v="0"/>
    <s v="5e83524c4bff46698146fad15dedc311"/>
    <s v="E1 ENERGIA GREEN BOND"/>
    <x v="1"/>
    <x v="1"/>
    <s v="Generation"/>
    <s v="UFV E2 - TO (ETO) - USINA 1"/>
    <s v="Brazil"/>
    <d v="2021-03-15T00:00:00"/>
    <d v="2021-03-15T00:00:00"/>
    <s v="BRL"/>
    <n v="996298.37"/>
    <n v="996298.37"/>
    <s v="BRL"/>
    <n v="996298.37"/>
    <n v="176974"/>
    <b v="0"/>
    <n v="1"/>
  </r>
  <r>
    <b v="1"/>
    <x v="2"/>
    <x v="0"/>
    <x v="0"/>
    <x v="0"/>
    <x v="1"/>
    <x v="58"/>
    <s v="BBG00ZVN1906"/>
    <x v="0"/>
    <s v="5e83524c4bff46698146fad15dedc311"/>
    <s v="E1 ENERGIA GREEN BOND"/>
    <x v="0"/>
    <x v="0"/>
    <s v="Solar"/>
    <s v="UFV E2 - TO (ETO) - USINA 2"/>
    <s v="Brazil"/>
    <d v="2021-03-15T00:00:00"/>
    <d v="2021-03-15T00:00:00"/>
    <s v="BRL"/>
    <n v="913273.51"/>
    <n v="913273.51"/>
    <s v="BRL"/>
    <n v="913273.51"/>
    <n v="162227"/>
    <b v="0"/>
    <n v="1"/>
  </r>
  <r>
    <b v="1"/>
    <x v="2"/>
    <x v="0"/>
    <x v="0"/>
    <x v="0"/>
    <x v="1"/>
    <x v="58"/>
    <s v="BBG00ZVN1906"/>
    <x v="0"/>
    <s v="5e83524c4bff46698146fad15dedc311"/>
    <s v="E1 ENERGIA GREEN BOND"/>
    <x v="1"/>
    <x v="1"/>
    <s v="Generation"/>
    <s v="UFV E2 - TO (ETO) - USINA 2"/>
    <s v="Brazil"/>
    <d v="2021-03-15T00:00:00"/>
    <d v="2021-03-15T00:00:00"/>
    <s v="BRL"/>
    <n v="913273.51"/>
    <n v="913273.51"/>
    <s v="BRL"/>
    <n v="913273.51"/>
    <n v="162227"/>
    <b v="0"/>
    <n v="1"/>
  </r>
  <r>
    <b v="1"/>
    <x v="2"/>
    <x v="0"/>
    <x v="0"/>
    <x v="0"/>
    <x v="1"/>
    <x v="58"/>
    <s v="BBG00ZVN1906"/>
    <x v="0"/>
    <s v="5e83524c4bff46698146fad15dedc311"/>
    <s v="E1 ENERGIA GREEN BOND"/>
    <x v="0"/>
    <x v="0"/>
    <s v="Solar"/>
    <s v="UFV E1 3 - ES (EDP ES)"/>
    <s v="Brazil"/>
    <d v="2021-03-15T00:00:00"/>
    <d v="2021-03-15T00:00:00"/>
    <s v="BRL"/>
    <n v="1494447.56"/>
    <n v="1494447.56"/>
    <s v="BRL"/>
    <n v="1494447.56"/>
    <n v="265462"/>
    <b v="0"/>
    <n v="1"/>
  </r>
  <r>
    <b v="1"/>
    <x v="2"/>
    <x v="0"/>
    <x v="0"/>
    <x v="0"/>
    <x v="1"/>
    <x v="58"/>
    <s v="BBG00ZVN1906"/>
    <x v="0"/>
    <s v="5e83524c4bff46698146fad15dedc311"/>
    <s v="E1 ENERGIA GREEN BOND"/>
    <x v="1"/>
    <x v="1"/>
    <s v="Generation"/>
    <s v="UFV E1 3 - ES (EDP ES)"/>
    <s v="Brazil"/>
    <d v="2021-03-15T00:00:00"/>
    <d v="2021-03-15T00:00:00"/>
    <s v="BRL"/>
    <n v="1494447.56"/>
    <n v="1494447.56"/>
    <s v="BRL"/>
    <n v="1494447.56"/>
    <n v="265462"/>
    <b v="0"/>
    <n v="1"/>
  </r>
  <r>
    <b v="1"/>
    <x v="2"/>
    <x v="0"/>
    <x v="0"/>
    <x v="0"/>
    <x v="1"/>
    <x v="58"/>
    <s v="BBG00ZVN1906"/>
    <x v="0"/>
    <s v="5e83524c4bff46698146fad15dedc311"/>
    <s v="E1 ENERGIA GREEN BOND"/>
    <x v="0"/>
    <x v="0"/>
    <s v="Solar"/>
    <s v="UFV E1 3 - MG (CEMIG) - USINA 1"/>
    <s v="Brazil"/>
    <d v="2021-03-15T00:00:00"/>
    <d v="2021-03-15T00:00:00"/>
    <s v="BRL"/>
    <n v="4489358.97"/>
    <n v="4489358.97"/>
    <s v="BRL"/>
    <n v="4489358.97"/>
    <n v="797456"/>
    <b v="0"/>
    <n v="1"/>
  </r>
  <r>
    <b v="1"/>
    <x v="2"/>
    <x v="0"/>
    <x v="0"/>
    <x v="0"/>
    <x v="1"/>
    <x v="58"/>
    <s v="BBG00ZVN1906"/>
    <x v="0"/>
    <s v="5e83524c4bff46698146fad15dedc311"/>
    <s v="E1 ENERGIA GREEN BOND"/>
    <x v="1"/>
    <x v="1"/>
    <s v="Generation"/>
    <s v="UFV E1 3 - MG (CEMIG) - USINA 1"/>
    <s v="Brazil"/>
    <d v="2021-03-15T00:00:00"/>
    <d v="2021-03-15T00:00:00"/>
    <s v="BRL"/>
    <n v="4489358.97"/>
    <n v="4489358.97"/>
    <s v="BRL"/>
    <n v="4489358.97"/>
    <n v="797456"/>
    <b v="0"/>
    <n v="1"/>
  </r>
  <r>
    <b v="1"/>
    <x v="2"/>
    <x v="0"/>
    <x v="0"/>
    <x v="0"/>
    <x v="1"/>
    <x v="58"/>
    <s v="BBG00ZVN1906"/>
    <x v="0"/>
    <s v="5e83524c4bff46698146fad15dedc311"/>
    <s v="E1 ENERGIA GREEN BOND"/>
    <x v="0"/>
    <x v="0"/>
    <s v="Solar"/>
    <s v="UFV E1 3 - MG (CEMIG) - USINA 2"/>
    <s v="Brazil"/>
    <d v="2021-03-15T00:00:00"/>
    <d v="2021-03-15T00:00:00"/>
    <s v="BRL"/>
    <n v="4489358.97"/>
    <n v="4489358.97"/>
    <s v="BRL"/>
    <n v="4489358.97"/>
    <n v="797456"/>
    <b v="0"/>
    <n v="1"/>
  </r>
  <r>
    <b v="1"/>
    <x v="2"/>
    <x v="0"/>
    <x v="0"/>
    <x v="0"/>
    <x v="1"/>
    <x v="58"/>
    <s v="BBG00ZVN1906"/>
    <x v="0"/>
    <s v="5e83524c4bff46698146fad15dedc311"/>
    <s v="E1 ENERGIA GREEN BOND"/>
    <x v="1"/>
    <x v="1"/>
    <s v="Generation"/>
    <s v="UFV E1 3 - MG (CEMIG) - USINA 2"/>
    <s v="Brazil"/>
    <d v="2021-03-15T00:00:00"/>
    <d v="2021-03-15T00:00:00"/>
    <s v="BRL"/>
    <n v="4489358.97"/>
    <n v="4489358.97"/>
    <s v="BRL"/>
    <n v="4489358.97"/>
    <n v="797456"/>
    <b v="0"/>
    <n v="1"/>
  </r>
  <r>
    <b v="1"/>
    <x v="2"/>
    <x v="0"/>
    <x v="0"/>
    <x v="0"/>
    <x v="1"/>
    <x v="58"/>
    <s v="BBG00ZVN1906"/>
    <x v="0"/>
    <s v="5e83524c4bff46698146fad15dedc311"/>
    <s v="E1 ENERGIA GREEN BOND"/>
    <x v="0"/>
    <x v="0"/>
    <s v="Solar"/>
    <s v="UFV E1 3 - PR (COPEL)"/>
    <s v="Brazil"/>
    <d v="2021-03-15T00:00:00"/>
    <d v="2021-03-15T00:00:00"/>
    <s v="BRL"/>
    <n v="2861951.31"/>
    <n v="2861951.31"/>
    <s v="BRL"/>
    <n v="2861951.31"/>
    <n v="508375"/>
    <b v="0"/>
    <n v="1"/>
  </r>
  <r>
    <b v="1"/>
    <x v="2"/>
    <x v="0"/>
    <x v="0"/>
    <x v="0"/>
    <x v="1"/>
    <x v="58"/>
    <s v="BBG00ZVN1906"/>
    <x v="0"/>
    <s v="5e83524c4bff46698146fad15dedc311"/>
    <s v="E1 ENERGIA GREEN BOND"/>
    <x v="1"/>
    <x v="1"/>
    <s v="Generation"/>
    <s v="UFV E1 3 - PR (COPEL)"/>
    <s v="Brazil"/>
    <d v="2021-03-15T00:00:00"/>
    <d v="2021-03-15T00:00:00"/>
    <s v="BRL"/>
    <n v="2861951.31"/>
    <n v="2861951.31"/>
    <s v="BRL"/>
    <n v="2861951.31"/>
    <n v="508375"/>
    <b v="0"/>
    <n v="1"/>
  </r>
  <r>
    <b v="1"/>
    <x v="2"/>
    <x v="0"/>
    <x v="0"/>
    <x v="0"/>
    <x v="1"/>
    <x v="58"/>
    <s v="BBG00ZVN1906"/>
    <x v="0"/>
    <s v="5e83524c4bff46698146fad15dedc311"/>
    <s v="E1 ENERGIA GREEN BOND"/>
    <x v="0"/>
    <x v="0"/>
    <s v="Solar"/>
    <s v="UFV E1 3 - RJ (ENEL RJ)"/>
    <s v="Brazil"/>
    <d v="2021-03-15T00:00:00"/>
    <d v="2021-03-15T00:00:00"/>
    <s v="BRL"/>
    <n v="4047462.14"/>
    <n v="4047462.14"/>
    <s v="BRL"/>
    <n v="4047462.14"/>
    <n v="718960"/>
    <b v="0"/>
    <n v="1"/>
  </r>
  <r>
    <b v="1"/>
    <x v="2"/>
    <x v="0"/>
    <x v="0"/>
    <x v="0"/>
    <x v="1"/>
    <x v="58"/>
    <s v="BBG00ZVN1906"/>
    <x v="0"/>
    <s v="5e83524c4bff46698146fad15dedc311"/>
    <s v="E1 ENERGIA GREEN BOND"/>
    <x v="1"/>
    <x v="1"/>
    <s v="Generation"/>
    <s v="UFV E1 3 - RJ (ENEL RJ)"/>
    <s v="Brazil"/>
    <d v="2021-03-15T00:00:00"/>
    <d v="2021-03-15T00:00:00"/>
    <s v="BRL"/>
    <n v="4047462.14"/>
    <n v="4047462.14"/>
    <s v="BRL"/>
    <n v="4047462.14"/>
    <n v="718960"/>
    <b v="0"/>
    <n v="1"/>
  </r>
  <r>
    <b v="1"/>
    <x v="2"/>
    <x v="0"/>
    <x v="0"/>
    <x v="0"/>
    <x v="1"/>
    <x v="58"/>
    <s v="BBG00ZVN1906"/>
    <x v="0"/>
    <s v="5e83524c4bff46698146fad15dedc311"/>
    <s v="E1 ENERGIA GREEN BOND"/>
    <x v="0"/>
    <x v="0"/>
    <s v="Solar"/>
    <s v="UFV E1 3 - RJ (LIGHT) - USINA 1"/>
    <s v="Brazil"/>
    <d v="2021-03-15T00:00:00"/>
    <d v="2021-03-15T00:00:00"/>
    <s v="BRL"/>
    <n v="9737372.6899999995"/>
    <n v="9737372.6899999995"/>
    <s v="BRL"/>
    <n v="9737372.6899999995"/>
    <n v="1729673"/>
    <b v="0"/>
    <n v="1"/>
  </r>
  <r>
    <b v="1"/>
    <x v="2"/>
    <x v="0"/>
    <x v="0"/>
    <x v="0"/>
    <x v="1"/>
    <x v="58"/>
    <s v="BBG00ZVN1906"/>
    <x v="0"/>
    <s v="5e83524c4bff46698146fad15dedc311"/>
    <s v="E1 ENERGIA GREEN BOND"/>
    <x v="1"/>
    <x v="1"/>
    <s v="Generation"/>
    <s v="UFV E1 3 - RJ (LIGHT) - USINA 1"/>
    <s v="Brazil"/>
    <d v="2021-03-15T00:00:00"/>
    <d v="2021-03-15T00:00:00"/>
    <s v="BRL"/>
    <n v="9737372.6899999995"/>
    <n v="9737372.6899999995"/>
    <s v="BRL"/>
    <n v="9737372.6899999995"/>
    <n v="1729673"/>
    <b v="0"/>
    <n v="1"/>
  </r>
  <r>
    <b v="1"/>
    <x v="2"/>
    <x v="0"/>
    <x v="0"/>
    <x v="0"/>
    <x v="1"/>
    <x v="58"/>
    <s v="BBG00ZVN1906"/>
    <x v="0"/>
    <s v="5e83524c4bff46698146fad15dedc311"/>
    <s v="E1 ENERGIA GREEN BOND"/>
    <x v="0"/>
    <x v="0"/>
    <s v="Solar"/>
    <s v="UFV E1 3 - RJ (LIGHT) - USINA 2"/>
    <s v="Brazil"/>
    <d v="2021-03-15T00:00:00"/>
    <d v="2021-03-15T00:00:00"/>
    <s v="BRL"/>
    <n v="9737372.6899999995"/>
    <n v="9737372.6899999995"/>
    <s v="BRL"/>
    <n v="9737372.6899999995"/>
    <n v="1729673"/>
    <b v="0"/>
    <n v="1"/>
  </r>
  <r>
    <b v="1"/>
    <x v="2"/>
    <x v="0"/>
    <x v="0"/>
    <x v="0"/>
    <x v="1"/>
    <x v="58"/>
    <s v="BBG00ZVN1906"/>
    <x v="0"/>
    <s v="5e83524c4bff46698146fad15dedc311"/>
    <s v="E1 ENERGIA GREEN BOND"/>
    <x v="1"/>
    <x v="1"/>
    <s v="Generation"/>
    <s v="UFV E1 3 - RJ (LIGHT) - USINA 2"/>
    <s v="Brazil"/>
    <d v="2021-03-15T00:00:00"/>
    <d v="2021-03-15T00:00:00"/>
    <s v="BRL"/>
    <n v="9737372.6899999995"/>
    <n v="9737372.6899999995"/>
    <s v="BRL"/>
    <n v="9737372.6899999995"/>
    <n v="1729673"/>
    <b v="0"/>
    <n v="1"/>
  </r>
  <r>
    <b v="1"/>
    <x v="2"/>
    <x v="0"/>
    <x v="0"/>
    <x v="0"/>
    <x v="1"/>
    <x v="58"/>
    <s v="BBG00ZVN1906"/>
    <x v="0"/>
    <s v="5e83524c4bff46698146fad15dedc311"/>
    <s v="E1 ENERGIA GREEN BOND"/>
    <x v="0"/>
    <x v="0"/>
    <s v="Solar"/>
    <s v="UFV E1 3 - RJ (LIGHT) - USINA 3"/>
    <s v="Brazil"/>
    <d v="2021-03-15T00:00:00"/>
    <d v="2021-03-15T00:00:00"/>
    <s v="BRL"/>
    <n v="5767520.75"/>
    <n v="5767520.75"/>
    <s v="BRL"/>
    <n v="5767520.75"/>
    <n v="1024499"/>
    <b v="0"/>
    <n v="1"/>
  </r>
  <r>
    <b v="1"/>
    <x v="2"/>
    <x v="0"/>
    <x v="0"/>
    <x v="0"/>
    <x v="1"/>
    <x v="58"/>
    <s v="BBG00ZVN1906"/>
    <x v="0"/>
    <s v="5e83524c4bff46698146fad15dedc311"/>
    <s v="E1 ENERGIA GREEN BOND"/>
    <x v="1"/>
    <x v="1"/>
    <s v="Generation"/>
    <s v="UFV E1 3 - RJ (LIGHT) - USINA 3"/>
    <s v="Brazil"/>
    <d v="2021-03-15T00:00:00"/>
    <d v="2021-03-15T00:00:00"/>
    <s v="BRL"/>
    <n v="5767520.75"/>
    <n v="5767520.75"/>
    <s v="BRL"/>
    <n v="5767520.75"/>
    <n v="1024499"/>
    <b v="0"/>
    <n v="1"/>
  </r>
  <r>
    <b v="1"/>
    <x v="2"/>
    <x v="0"/>
    <x v="0"/>
    <x v="0"/>
    <x v="1"/>
    <x v="58"/>
    <s v="BBG00ZVN1906"/>
    <x v="0"/>
    <s v="5e83524c4bff46698146fad15dedc311"/>
    <s v="E1 ENERGIA GREEN BOND"/>
    <x v="0"/>
    <x v="0"/>
    <s v="Solar"/>
    <s v="UFV E1 3 - RS (CEEE)"/>
    <s v="Brazil"/>
    <d v="2021-03-15T00:00:00"/>
    <d v="2021-03-15T00:00:00"/>
    <s v="BRL"/>
    <n v="2324696.2000000002"/>
    <n v="2324696.2000000002"/>
    <s v="BRL"/>
    <n v="2324696.2000000002"/>
    <n v="412941"/>
    <b v="0"/>
    <n v="1"/>
  </r>
  <r>
    <b v="1"/>
    <x v="2"/>
    <x v="0"/>
    <x v="0"/>
    <x v="0"/>
    <x v="1"/>
    <x v="58"/>
    <s v="BBG00ZVN1906"/>
    <x v="0"/>
    <s v="5e83524c4bff46698146fad15dedc311"/>
    <s v="E1 ENERGIA GREEN BOND"/>
    <x v="1"/>
    <x v="1"/>
    <s v="Generation"/>
    <s v="UFV E1 3 - RS (CEEE)"/>
    <s v="Brazil"/>
    <d v="2021-03-15T00:00:00"/>
    <d v="2021-03-15T00:00:00"/>
    <s v="BRL"/>
    <n v="2324696.2000000002"/>
    <n v="2324696.2000000002"/>
    <s v="BRL"/>
    <n v="2324696.2000000002"/>
    <n v="412941"/>
    <b v="0"/>
    <n v="1"/>
  </r>
  <r>
    <b v="1"/>
    <x v="2"/>
    <x v="0"/>
    <x v="0"/>
    <x v="0"/>
    <x v="1"/>
    <x v="58"/>
    <s v="BBG00ZVN1906"/>
    <x v="0"/>
    <s v="5e83524c4bff46698146fad15dedc311"/>
    <s v="E1 ENERGIA GREEN BOND"/>
    <x v="0"/>
    <x v="0"/>
    <s v="Solar"/>
    <s v="UFV E1 3 - RS (RGE)"/>
    <s v="Brazil"/>
    <d v="2021-03-15T00:00:00"/>
    <d v="2021-03-15T00:00:00"/>
    <s v="BRL"/>
    <n v="2158646.48"/>
    <n v="2158646.48"/>
    <s v="BRL"/>
    <n v="2158646.48"/>
    <n v="383445"/>
    <b v="0"/>
    <n v="1"/>
  </r>
  <r>
    <b v="1"/>
    <x v="2"/>
    <x v="0"/>
    <x v="0"/>
    <x v="0"/>
    <x v="1"/>
    <x v="58"/>
    <s v="BBG00ZVN1906"/>
    <x v="0"/>
    <s v="5e83524c4bff46698146fad15dedc311"/>
    <s v="E1 ENERGIA GREEN BOND"/>
    <x v="1"/>
    <x v="1"/>
    <s v="Generation"/>
    <s v="UFV E1 3 - RS (RGE)"/>
    <s v="Brazil"/>
    <d v="2021-03-15T00:00:00"/>
    <d v="2021-03-15T00:00:00"/>
    <s v="BRL"/>
    <n v="2158646.48"/>
    <n v="2158646.48"/>
    <s v="BRL"/>
    <n v="2158646.48"/>
    <n v="383445"/>
    <b v="0"/>
    <n v="1"/>
  </r>
  <r>
    <b v="1"/>
    <x v="2"/>
    <x v="0"/>
    <x v="0"/>
    <x v="0"/>
    <x v="1"/>
    <x v="58"/>
    <s v="BBG00ZVN1906"/>
    <x v="0"/>
    <s v="5e83524c4bff46698146fad15dedc311"/>
    <s v="E1 ENERGIA GREEN BOND"/>
    <x v="0"/>
    <x v="0"/>
    <s v="Solar"/>
    <s v="UFV E1 3 - SC (CELESC)"/>
    <s v="Brazil"/>
    <d v="2021-03-15T00:00:00"/>
    <d v="2021-03-15T00:00:00"/>
    <s v="BRL"/>
    <n v="2621600.34"/>
    <n v="2621600.34"/>
    <s v="BRL"/>
    <n v="2621600.34"/>
    <n v="465681"/>
    <b v="0"/>
    <n v="1"/>
  </r>
  <r>
    <b v="1"/>
    <x v="2"/>
    <x v="0"/>
    <x v="0"/>
    <x v="0"/>
    <x v="1"/>
    <x v="58"/>
    <s v="BBG00ZVN1906"/>
    <x v="0"/>
    <s v="5e83524c4bff46698146fad15dedc311"/>
    <s v="E1 ENERGIA GREEN BOND"/>
    <x v="1"/>
    <x v="1"/>
    <s v="Generation"/>
    <s v="UFV E1 3 - SC (CELESC)"/>
    <s v="Brazil"/>
    <d v="2021-03-15T00:00:00"/>
    <d v="2021-03-15T00:00:00"/>
    <s v="BRL"/>
    <n v="2621600.34"/>
    <n v="2621600.34"/>
    <s v="BRL"/>
    <n v="2621600.34"/>
    <n v="465681"/>
    <b v="0"/>
    <n v="1"/>
  </r>
  <r>
    <b v="1"/>
    <x v="2"/>
    <x v="0"/>
    <x v="0"/>
    <x v="0"/>
    <x v="1"/>
    <x v="58"/>
    <s v="BBG00ZVN1906"/>
    <x v="0"/>
    <s v="5e83524c4bff46698146fad15dedc311"/>
    <s v="E1 ENERGIA GREEN BOND"/>
    <x v="0"/>
    <x v="0"/>
    <s v="Solar"/>
    <s v="UFV E1 3 - SP (CPFL Paulista)"/>
    <s v="Brazil"/>
    <d v="2021-03-15T00:00:00"/>
    <d v="2021-03-15T00:00:00"/>
    <s v="BRL"/>
    <n v="2335074.31"/>
    <n v="2335074.31"/>
    <s v="BRL"/>
    <n v="2335074.31"/>
    <n v="414785"/>
    <b v="0"/>
    <n v="1"/>
  </r>
  <r>
    <b v="1"/>
    <x v="2"/>
    <x v="0"/>
    <x v="0"/>
    <x v="0"/>
    <x v="1"/>
    <x v="58"/>
    <s v="BBG00ZVN1906"/>
    <x v="0"/>
    <s v="5e83524c4bff46698146fad15dedc311"/>
    <s v="E1 ENERGIA GREEN BOND"/>
    <x v="1"/>
    <x v="1"/>
    <s v="Generation"/>
    <s v="UFV E1 3 - SP (CPFL Paulista)"/>
    <s v="Brazil"/>
    <d v="2021-03-15T00:00:00"/>
    <d v="2021-03-15T00:00:00"/>
    <s v="BRL"/>
    <n v="2335074.31"/>
    <n v="2335074.31"/>
    <s v="BRL"/>
    <n v="2335074.31"/>
    <n v="414785"/>
    <b v="0"/>
    <n v="1"/>
  </r>
  <r>
    <b v="1"/>
    <x v="2"/>
    <x v="0"/>
    <x v="0"/>
    <x v="0"/>
    <x v="1"/>
    <x v="58"/>
    <s v="BBG00ZVN1906"/>
    <x v="0"/>
    <s v="5e83524c4bff46698146fad15dedc311"/>
    <s v="E1 ENERGIA GREEN BOND"/>
    <x v="0"/>
    <x v="0"/>
    <s v="Solar"/>
    <s v="UFV E1 3 - SP (ELEKTRO)"/>
    <s v="Brazil"/>
    <d v="2021-03-15T00:00:00"/>
    <d v="2021-03-15T00:00:00"/>
    <s v="BRL"/>
    <n v="1209275.2"/>
    <n v="1209275.2"/>
    <s v="BRL"/>
    <n v="1209275.2"/>
    <n v="214806"/>
    <b v="0"/>
    <n v="1"/>
  </r>
  <r>
    <b v="1"/>
    <x v="2"/>
    <x v="0"/>
    <x v="0"/>
    <x v="0"/>
    <x v="1"/>
    <x v="58"/>
    <s v="BBG00ZVN1906"/>
    <x v="0"/>
    <s v="5e83524c4bff46698146fad15dedc311"/>
    <s v="E1 ENERGIA GREEN BOND"/>
    <x v="1"/>
    <x v="1"/>
    <s v="Generation"/>
    <s v="UFV E1 3 - SP (ELEKTRO)"/>
    <s v="Brazil"/>
    <d v="2021-03-15T00:00:00"/>
    <d v="2021-03-15T00:00:00"/>
    <s v="BRL"/>
    <n v="1209275.2"/>
    <n v="1209275.2"/>
    <s v="BRL"/>
    <n v="1209275.2"/>
    <n v="214806"/>
    <b v="0"/>
    <n v="1"/>
  </r>
  <r>
    <b v="1"/>
    <x v="2"/>
    <x v="0"/>
    <x v="0"/>
    <x v="0"/>
    <x v="1"/>
    <x v="58"/>
    <s v="BBG00ZVN1906"/>
    <x v="0"/>
    <s v="5e83524c4bff46698146fad15dedc311"/>
    <s v="E1 ENERGIA GREEN BOND"/>
    <x v="0"/>
    <x v="0"/>
    <s v="Solar"/>
    <s v="UFV E1 3 - SP (ELETROPAULO) - USINA 1"/>
    <s v="Brazil"/>
    <d v="2021-03-15T00:00:00"/>
    <d v="2021-03-15T00:00:00"/>
    <s v="BRL"/>
    <n v="9854690.4299999997"/>
    <n v="9854690.4299999997"/>
    <s v="BRL"/>
    <n v="9854690.4299999997"/>
    <n v="1750513"/>
    <b v="0"/>
    <n v="1"/>
  </r>
  <r>
    <b v="1"/>
    <x v="2"/>
    <x v="0"/>
    <x v="0"/>
    <x v="0"/>
    <x v="1"/>
    <x v="58"/>
    <s v="BBG00ZVN1906"/>
    <x v="0"/>
    <s v="5e83524c4bff46698146fad15dedc311"/>
    <s v="E1 ENERGIA GREEN BOND"/>
    <x v="1"/>
    <x v="1"/>
    <s v="Generation"/>
    <s v="UFV E1 3 - SP (ELETROPAULO) - USINA 1"/>
    <s v="Brazil"/>
    <d v="2021-03-15T00:00:00"/>
    <d v="2021-03-15T00:00:00"/>
    <s v="BRL"/>
    <n v="9854690.4299999997"/>
    <n v="9854690.4299999997"/>
    <s v="BRL"/>
    <n v="9854690.4299999997"/>
    <n v="1750513"/>
    <b v="0"/>
    <n v="1"/>
  </r>
  <r>
    <b v="1"/>
    <x v="2"/>
    <x v="0"/>
    <x v="0"/>
    <x v="0"/>
    <x v="1"/>
    <x v="58"/>
    <s v="BBG00ZVN1906"/>
    <x v="0"/>
    <s v="5e83524c4bff46698146fad15dedc311"/>
    <s v="E1 ENERGIA GREEN BOND"/>
    <x v="0"/>
    <x v="0"/>
    <s v="Solar"/>
    <s v="UFV E1 3 - SP (ELETROPAULO) - USINA 2"/>
    <s v="Brazil"/>
    <d v="2021-03-15T00:00:00"/>
    <d v="2021-03-15T00:00:00"/>
    <s v="BRL"/>
    <n v="4606526.3099999996"/>
    <n v="4606526.3099999996"/>
    <s v="BRL"/>
    <n v="4606526.3099999996"/>
    <n v="818268"/>
    <b v="0"/>
    <n v="1"/>
  </r>
  <r>
    <b v="1"/>
    <x v="2"/>
    <x v="0"/>
    <x v="0"/>
    <x v="0"/>
    <x v="1"/>
    <x v="58"/>
    <s v="BBG00ZVN1906"/>
    <x v="0"/>
    <s v="5e83524c4bff46698146fad15dedc311"/>
    <s v="E1 ENERGIA GREEN BOND"/>
    <x v="1"/>
    <x v="1"/>
    <s v="Generation"/>
    <s v="UFV E1 3 - SP (ELETROPAULO) - USINA 2"/>
    <s v="Brazil"/>
    <d v="2021-03-15T00:00:00"/>
    <d v="2021-03-15T00:00:00"/>
    <s v="BRL"/>
    <n v="4606526.3099999996"/>
    <n v="4606526.3099999996"/>
    <s v="BRL"/>
    <n v="4606526.3099999996"/>
    <n v="818268"/>
    <b v="0"/>
    <n v="1"/>
  </r>
  <r>
    <b v="1"/>
    <x v="2"/>
    <x v="0"/>
    <x v="0"/>
    <x v="0"/>
    <x v="1"/>
    <x v="58"/>
    <s v="BBG00ZVN1906"/>
    <x v="0"/>
    <s v="5e83524c4bff46698146fad15dedc311"/>
    <s v="E1 ENERGIA GREEN BOND"/>
    <x v="0"/>
    <x v="0"/>
    <s v="Solar"/>
    <s v="UFV E1 3 - SP (ENERGISA)"/>
    <s v="Brazil"/>
    <d v="2021-03-15T00:00:00"/>
    <d v="2021-03-15T00:00:00"/>
    <s v="BRL"/>
    <n v="726467.56"/>
    <n v="726467.56"/>
    <s v="BRL"/>
    <n v="726467.56"/>
    <n v="129044"/>
    <b v="0"/>
    <n v="1"/>
  </r>
  <r>
    <b v="1"/>
    <x v="2"/>
    <x v="0"/>
    <x v="0"/>
    <x v="0"/>
    <x v="1"/>
    <x v="58"/>
    <s v="BBG00ZVN1906"/>
    <x v="0"/>
    <s v="5e83524c4bff46698146fad15dedc311"/>
    <s v="E1 ENERGIA GREEN BOND"/>
    <x v="1"/>
    <x v="1"/>
    <s v="Generation"/>
    <s v="UFV E1 3 - SP (ENERGISA)"/>
    <s v="Brazil"/>
    <d v="2021-03-15T00:00:00"/>
    <d v="2021-03-15T00:00:00"/>
    <s v="BRL"/>
    <n v="726467.56"/>
    <n v="726467.56"/>
    <s v="BRL"/>
    <n v="726467.56"/>
    <n v="129044"/>
    <b v="0"/>
    <n v="1"/>
  </r>
  <r>
    <b v="1"/>
    <x v="2"/>
    <x v="0"/>
    <x v="0"/>
    <x v="0"/>
    <x v="1"/>
    <x v="58"/>
    <s v="BBG00ZVN1906"/>
    <x v="0"/>
    <s v="5e83524c4bff46698146fad15dedc311"/>
    <s v="E1 ENERGIA GREEN BOND"/>
    <x v="0"/>
    <x v="0"/>
    <s v="Solar"/>
    <s v="UFV E1 3 - SP (EDP SP)"/>
    <s v="Brazil"/>
    <d v="2021-03-15T00:00:00"/>
    <d v="2021-03-15T00:00:00"/>
    <s v="BRL"/>
    <n v="2075621.61"/>
    <n v="2075621.61"/>
    <s v="BRL"/>
    <n v="2075621.61"/>
    <n v="368697"/>
    <b v="0"/>
    <n v="1"/>
  </r>
  <r>
    <b v="1"/>
    <x v="2"/>
    <x v="0"/>
    <x v="0"/>
    <x v="0"/>
    <x v="1"/>
    <x v="58"/>
    <s v="BBG00ZVN1906"/>
    <x v="0"/>
    <s v="5e83524c4bff46698146fad15dedc311"/>
    <s v="E1 ENERGIA GREEN BOND"/>
    <x v="1"/>
    <x v="1"/>
    <s v="Generation"/>
    <s v="UFV E1 3 - SP (EDP SP)"/>
    <s v="Brazil"/>
    <d v="2021-03-15T00:00:00"/>
    <d v="2021-03-15T00:00:00"/>
    <s v="BRL"/>
    <n v="2075621.61"/>
    <n v="2075621.61"/>
    <s v="BRL"/>
    <n v="2075621.61"/>
    <n v="368697"/>
    <b v="0"/>
    <n v="1"/>
  </r>
  <r>
    <b v="1"/>
    <x v="2"/>
    <x v="0"/>
    <x v="0"/>
    <x v="0"/>
    <x v="1"/>
    <x v="58"/>
    <s v="BBG00ZVN1906"/>
    <x v="0"/>
    <s v="5e83524c4bff46698146fad15dedc311"/>
    <s v="E1 ENERGIA GREEN BOND"/>
    <x v="0"/>
    <x v="0"/>
    <s v="Solar"/>
    <s v="UFV E1 4 - AC (ELETROACRE)"/>
    <s v="Brazil"/>
    <d v="2021-03-15T00:00:00"/>
    <d v="2021-03-15T00:00:00"/>
    <s v="BRL"/>
    <n v="954785.94"/>
    <n v="954785.94"/>
    <s v="BRL"/>
    <n v="954785.94"/>
    <n v="169601"/>
    <b v="0"/>
    <n v="1"/>
  </r>
  <r>
    <b v="1"/>
    <x v="2"/>
    <x v="0"/>
    <x v="0"/>
    <x v="0"/>
    <x v="1"/>
    <x v="58"/>
    <s v="BBG00ZVN1906"/>
    <x v="0"/>
    <s v="5e83524c4bff46698146fad15dedc311"/>
    <s v="E1 ENERGIA GREEN BOND"/>
    <x v="1"/>
    <x v="1"/>
    <s v="Generation"/>
    <s v="UFV E1 4 - AC (ELETROACRE)"/>
    <s v="Brazil"/>
    <d v="2021-03-15T00:00:00"/>
    <d v="2021-03-15T00:00:00"/>
    <s v="BRL"/>
    <n v="954785.94"/>
    <n v="954785.94"/>
    <s v="BRL"/>
    <n v="954785.94"/>
    <n v="169601"/>
    <b v="0"/>
    <n v="1"/>
  </r>
  <r>
    <b v="1"/>
    <x v="2"/>
    <x v="0"/>
    <x v="0"/>
    <x v="0"/>
    <x v="1"/>
    <x v="58"/>
    <s v="BBG00ZVN1906"/>
    <x v="0"/>
    <s v="5e83524c4bff46698146fad15dedc311"/>
    <s v="E1 ENERGIA GREEN BOND"/>
    <x v="0"/>
    <x v="0"/>
    <s v="Solar"/>
    <s v="UFV E1 4 - AM (AME)"/>
    <s v="Brazil"/>
    <d v="2021-03-15T00:00:00"/>
    <d v="2021-03-15T00:00:00"/>
    <s v="BRL"/>
    <n v="4576745.6500000004"/>
    <n v="4576745.6500000004"/>
    <s v="BRL"/>
    <n v="4576745.6500000004"/>
    <n v="812978"/>
    <b v="0"/>
    <n v="1"/>
  </r>
  <r>
    <b v="1"/>
    <x v="2"/>
    <x v="0"/>
    <x v="0"/>
    <x v="0"/>
    <x v="1"/>
    <x v="58"/>
    <s v="BBG00ZVN1906"/>
    <x v="0"/>
    <s v="5e83524c4bff46698146fad15dedc311"/>
    <s v="E1 ENERGIA GREEN BOND"/>
    <x v="1"/>
    <x v="1"/>
    <s v="Generation"/>
    <s v="UFV E1 4 - AM (AME)"/>
    <s v="Brazil"/>
    <d v="2021-03-15T00:00:00"/>
    <d v="2021-03-15T00:00:00"/>
    <s v="BRL"/>
    <n v="4576745.6500000004"/>
    <n v="4576745.6500000004"/>
    <s v="BRL"/>
    <n v="4576745.6500000004"/>
    <n v="812978"/>
    <b v="0"/>
    <n v="1"/>
  </r>
  <r>
    <b v="1"/>
    <x v="2"/>
    <x v="0"/>
    <x v="0"/>
    <x v="0"/>
    <x v="1"/>
    <x v="58"/>
    <s v="BBG00ZVN1906"/>
    <x v="0"/>
    <s v="5e83524c4bff46698146fad15dedc311"/>
    <s v="E1 ENERGIA GREEN BOND"/>
    <x v="0"/>
    <x v="0"/>
    <s v="Solar"/>
    <s v="UFV E1 4 - AP (CEA)"/>
    <s v="Brazil"/>
    <d v="2021-03-15T00:00:00"/>
    <d v="2021-03-15T00:00:00"/>
    <s v="BRL"/>
    <n v="1826547.02"/>
    <n v="1826547.02"/>
    <s v="BRL"/>
    <n v="1826547.02"/>
    <n v="324454"/>
    <b v="0"/>
    <n v="1"/>
  </r>
  <r>
    <b v="1"/>
    <x v="2"/>
    <x v="0"/>
    <x v="0"/>
    <x v="0"/>
    <x v="1"/>
    <x v="58"/>
    <s v="BBG00ZVN1906"/>
    <x v="0"/>
    <s v="5e83524c4bff46698146fad15dedc311"/>
    <s v="E1 ENERGIA GREEN BOND"/>
    <x v="1"/>
    <x v="1"/>
    <s v="Generation"/>
    <s v="UFV E1 4 - AP (CEA)"/>
    <s v="Brazil"/>
    <d v="2021-03-15T00:00:00"/>
    <d v="2021-03-15T00:00:00"/>
    <s v="BRL"/>
    <n v="1826547.02"/>
    <n v="1826547.02"/>
    <s v="BRL"/>
    <n v="1826547.02"/>
    <n v="324454"/>
    <b v="0"/>
    <n v="1"/>
  </r>
  <r>
    <b v="1"/>
    <x v="2"/>
    <x v="0"/>
    <x v="0"/>
    <x v="0"/>
    <x v="1"/>
    <x v="58"/>
    <s v="BBG00ZVN1906"/>
    <x v="0"/>
    <s v="5e83524c4bff46698146fad15dedc311"/>
    <s v="E1 ENERGIA GREEN BOND"/>
    <x v="0"/>
    <x v="0"/>
    <s v="Solar"/>
    <s v="UFV E1 4 - MS (EMS)"/>
    <s v="Brazil"/>
    <d v="2021-03-15T00:00:00"/>
    <d v="2021-03-15T00:00:00"/>
    <s v="BRL"/>
    <n v="1245372.97"/>
    <n v="1245372.97"/>
    <s v="BRL"/>
    <n v="1245372.97"/>
    <n v="221218"/>
    <b v="0"/>
    <n v="1"/>
  </r>
  <r>
    <b v="1"/>
    <x v="2"/>
    <x v="0"/>
    <x v="0"/>
    <x v="0"/>
    <x v="1"/>
    <x v="58"/>
    <s v="BBG00ZVN1906"/>
    <x v="0"/>
    <s v="5e83524c4bff46698146fad15dedc311"/>
    <s v="E1 ENERGIA GREEN BOND"/>
    <x v="1"/>
    <x v="1"/>
    <s v="Generation"/>
    <s v="UFV E1 4 - MS (EMS)"/>
    <s v="Brazil"/>
    <d v="2021-03-15T00:00:00"/>
    <d v="2021-03-15T00:00:00"/>
    <s v="BRL"/>
    <n v="1245372.97"/>
    <n v="1245372.97"/>
    <s v="BRL"/>
    <n v="1245372.97"/>
    <n v="221218"/>
    <b v="0"/>
    <n v="1"/>
  </r>
  <r>
    <b v="1"/>
    <x v="2"/>
    <x v="0"/>
    <x v="0"/>
    <x v="0"/>
    <x v="1"/>
    <x v="58"/>
    <s v="BBG00ZVN1906"/>
    <x v="0"/>
    <s v="5e83524c4bff46698146fad15dedc311"/>
    <s v="E1 ENERGIA GREEN BOND"/>
    <x v="0"/>
    <x v="0"/>
    <s v="Solar"/>
    <s v="UFV E1 4 - MT (EMT)"/>
    <s v="Brazil"/>
    <d v="2021-03-15T00:00:00"/>
    <d v="2021-03-15T00:00:00"/>
    <s v="BRL"/>
    <n v="1494447.56"/>
    <n v="1494447.56"/>
    <s v="BRL"/>
    <n v="1494447.56"/>
    <n v="265462"/>
    <b v="0"/>
    <n v="1"/>
  </r>
  <r>
    <b v="1"/>
    <x v="2"/>
    <x v="0"/>
    <x v="0"/>
    <x v="0"/>
    <x v="1"/>
    <x v="58"/>
    <s v="BBG00ZVN1906"/>
    <x v="0"/>
    <s v="5e83524c4bff46698146fad15dedc311"/>
    <s v="E1 ENERGIA GREEN BOND"/>
    <x v="1"/>
    <x v="1"/>
    <s v="Generation"/>
    <s v="UFV E1 4 - MT (EMT)"/>
    <s v="Brazil"/>
    <d v="2021-03-15T00:00:00"/>
    <d v="2021-03-15T00:00:00"/>
    <s v="BRL"/>
    <n v="1494447.56"/>
    <n v="1494447.56"/>
    <s v="BRL"/>
    <n v="1494447.56"/>
    <n v="265462"/>
    <b v="0"/>
    <n v="1"/>
  </r>
  <r>
    <b v="1"/>
    <x v="2"/>
    <x v="0"/>
    <x v="0"/>
    <x v="0"/>
    <x v="1"/>
    <x v="58"/>
    <s v="BBG00ZVN1906"/>
    <x v="0"/>
    <s v="5e83524c4bff46698146fad15dedc311"/>
    <s v="E1 ENERGIA GREEN BOND"/>
    <x v="0"/>
    <x v="0"/>
    <s v="Solar"/>
    <s v="UFV E1 4 - RO (CERON)"/>
    <s v="Brazil"/>
    <d v="2021-03-15T00:00:00"/>
    <d v="2021-03-15T00:00:00"/>
    <s v="BRL"/>
    <n v="1660497.29"/>
    <n v="1660497.29"/>
    <s v="BRL"/>
    <n v="1660497.29"/>
    <n v="294958"/>
    <b v="0"/>
    <n v="1"/>
  </r>
  <r>
    <b v="1"/>
    <x v="2"/>
    <x v="0"/>
    <x v="0"/>
    <x v="0"/>
    <x v="1"/>
    <x v="58"/>
    <s v="BBG00ZVN1906"/>
    <x v="0"/>
    <s v="5e83524c4bff46698146fad15dedc311"/>
    <s v="E1 ENERGIA GREEN BOND"/>
    <x v="1"/>
    <x v="1"/>
    <s v="Generation"/>
    <s v="UFV E1 4 - RO (CERON)"/>
    <s v="Brazil"/>
    <d v="2021-03-15T00:00:00"/>
    <d v="2021-03-15T00:00:00"/>
    <s v="BRL"/>
    <n v="1660497.29"/>
    <n v="1660497.29"/>
    <s v="BRL"/>
    <n v="1660497.29"/>
    <n v="294958"/>
    <b v="0"/>
    <n v="1"/>
  </r>
  <r>
    <b v="1"/>
    <x v="2"/>
    <x v="0"/>
    <x v="0"/>
    <x v="0"/>
    <x v="1"/>
    <x v="58"/>
    <s v="BBG00ZVN1906"/>
    <x v="0"/>
    <s v="5e83524c4bff46698146fad15dedc311"/>
    <s v="E1 ENERGIA GREEN BOND"/>
    <x v="0"/>
    <x v="0"/>
    <s v="Solar"/>
    <s v="UFV E1 4 - RR (Boa Vista)"/>
    <s v="Brazil"/>
    <d v="2021-03-15T00:00:00"/>
    <d v="2021-03-15T00:00:00"/>
    <s v="BRL"/>
    <n v="622686.48"/>
    <n v="622686.48"/>
    <s v="BRL"/>
    <n v="622686.48"/>
    <n v="110609"/>
    <b v="0"/>
    <n v="1"/>
  </r>
  <r>
    <b v="1"/>
    <x v="2"/>
    <x v="0"/>
    <x v="0"/>
    <x v="0"/>
    <x v="1"/>
    <x v="58"/>
    <s v="BBG00ZVN1906"/>
    <x v="0"/>
    <s v="5e83524c4bff46698146fad15dedc311"/>
    <s v="E1 ENERGIA GREEN BOND"/>
    <x v="1"/>
    <x v="1"/>
    <s v="Generation"/>
    <s v="UFV E1 4 - RR (Boa Vista)"/>
    <s v="Brazil"/>
    <d v="2021-03-15T00:00:00"/>
    <d v="2021-03-15T00:00:00"/>
    <s v="BRL"/>
    <n v="622686.48"/>
    <n v="622686.48"/>
    <s v="BRL"/>
    <n v="622686.48"/>
    <n v="110609"/>
    <b v="0"/>
    <n v="1"/>
  </r>
  <r>
    <b v="1"/>
    <x v="2"/>
    <x v="0"/>
    <x v="0"/>
    <x v="0"/>
    <x v="1"/>
    <x v="58"/>
    <s v="BBG00ZVN1906"/>
    <x v="0"/>
    <s v="5e83524c4bff46698146fad15dedc311"/>
    <s v="E1 ENERGIA GREEN BOND"/>
    <x v="0"/>
    <x v="0"/>
    <s v="Solar"/>
    <s v="UFV E1 6 - BA (COELBA)"/>
    <s v="Brazil"/>
    <d v="2021-03-15T00:00:00"/>
    <d v="2021-03-15T00:00:00"/>
    <s v="BRL"/>
    <n v="1531748.59"/>
    <n v="1531748.59"/>
    <s v="BRL"/>
    <n v="1531748.59"/>
    <n v="272088"/>
    <b v="0"/>
    <n v="1"/>
  </r>
  <r>
    <b v="1"/>
    <x v="2"/>
    <x v="0"/>
    <x v="0"/>
    <x v="0"/>
    <x v="1"/>
    <x v="58"/>
    <s v="BBG00ZVN1906"/>
    <x v="0"/>
    <s v="5e83524c4bff46698146fad15dedc311"/>
    <s v="E1 ENERGIA GREEN BOND"/>
    <x v="1"/>
    <x v="1"/>
    <s v="Generation"/>
    <s v="UFV E1 6 - BA (COELBA)"/>
    <s v="Brazil"/>
    <d v="2021-03-15T00:00:00"/>
    <d v="2021-03-15T00:00:00"/>
    <s v="BRL"/>
    <n v="1531748.59"/>
    <n v="1531748.59"/>
    <s v="BRL"/>
    <n v="1531748.59"/>
    <n v="272088"/>
    <b v="0"/>
    <n v="1"/>
  </r>
  <r>
    <b v="1"/>
    <x v="2"/>
    <x v="0"/>
    <x v="0"/>
    <x v="0"/>
    <x v="1"/>
    <x v="58"/>
    <s v="BBG00ZVN1906"/>
    <x v="0"/>
    <s v="5e83524c4bff46698146fad15dedc311"/>
    <s v="E1 ENERGIA GREEN BOND"/>
    <x v="0"/>
    <x v="0"/>
    <s v="Solar"/>
    <s v="UFV E1 6 - CE (ENEL CE)"/>
    <s v="Brazil"/>
    <d v="2021-03-15T00:00:00"/>
    <d v="2021-03-15T00:00:00"/>
    <s v="BRL"/>
    <n v="1168966.03"/>
    <n v="1168966.03"/>
    <s v="BRL"/>
    <n v="1168966.03"/>
    <n v="207646"/>
    <b v="0"/>
    <n v="1"/>
  </r>
  <r>
    <b v="1"/>
    <x v="2"/>
    <x v="0"/>
    <x v="0"/>
    <x v="0"/>
    <x v="1"/>
    <x v="58"/>
    <s v="BBG00ZVN1906"/>
    <x v="0"/>
    <s v="5e83524c4bff46698146fad15dedc311"/>
    <s v="E1 ENERGIA GREEN BOND"/>
    <x v="1"/>
    <x v="1"/>
    <s v="Generation"/>
    <s v="UFV E1 6 - CE (ENEL CE)"/>
    <s v="Brazil"/>
    <d v="2021-03-15T00:00:00"/>
    <d v="2021-03-15T00:00:00"/>
    <s v="BRL"/>
    <n v="1168966.03"/>
    <n v="1168966.03"/>
    <s v="BRL"/>
    <n v="1168966.03"/>
    <n v="207646"/>
    <b v="0"/>
    <n v="1"/>
  </r>
  <r>
    <b v="1"/>
    <x v="2"/>
    <x v="0"/>
    <x v="0"/>
    <x v="0"/>
    <x v="1"/>
    <x v="58"/>
    <s v="BBG00ZVN1906"/>
    <x v="0"/>
    <s v="5e83524c4bff46698146fad15dedc311"/>
    <s v="E1 ENERGIA GREEN BOND"/>
    <x v="0"/>
    <x v="0"/>
    <s v="Solar"/>
    <s v="UFV E1 6 - DF (CEB)"/>
    <s v="Brazil"/>
    <d v="2021-03-15T00:00:00"/>
    <d v="2021-03-15T00:00:00"/>
    <s v="BRL"/>
    <n v="2640188.56"/>
    <n v="2640188.56"/>
    <s v="BRL"/>
    <n v="2640188.56"/>
    <n v="468983"/>
    <b v="0"/>
    <n v="1"/>
  </r>
  <r>
    <b v="1"/>
    <x v="2"/>
    <x v="0"/>
    <x v="0"/>
    <x v="0"/>
    <x v="1"/>
    <x v="58"/>
    <s v="BBG00ZVN1906"/>
    <x v="0"/>
    <s v="5e83524c4bff46698146fad15dedc311"/>
    <s v="E1 ENERGIA GREEN BOND"/>
    <x v="1"/>
    <x v="1"/>
    <s v="Generation"/>
    <s v="UFV E1 6 - DF (CEB)"/>
    <s v="Brazil"/>
    <d v="2021-03-15T00:00:00"/>
    <d v="2021-03-15T00:00:00"/>
    <s v="BRL"/>
    <n v="2640188.56"/>
    <n v="2640188.56"/>
    <s v="BRL"/>
    <n v="2640188.56"/>
    <n v="468983"/>
    <b v="0"/>
    <n v="1"/>
  </r>
  <r>
    <b v="1"/>
    <x v="2"/>
    <x v="0"/>
    <x v="0"/>
    <x v="0"/>
    <x v="1"/>
    <x v="58"/>
    <s v="BBG00ZVN1906"/>
    <x v="0"/>
    <s v="5e83524c4bff46698146fad15dedc311"/>
    <s v="E1 ENERGIA GREEN BOND"/>
    <x v="0"/>
    <x v="0"/>
    <s v="Solar"/>
    <s v="UFV E1 6 - GO (ENEL GO)"/>
    <s v="Brazil"/>
    <d v="2021-03-15T00:00:00"/>
    <d v="2021-03-15T00:00:00"/>
    <s v="BRL"/>
    <n v="436210.79"/>
    <n v="436210.79"/>
    <s v="BRL"/>
    <n v="436210.79"/>
    <n v="77485"/>
    <b v="0"/>
    <n v="1"/>
  </r>
  <r>
    <b v="1"/>
    <x v="2"/>
    <x v="0"/>
    <x v="0"/>
    <x v="0"/>
    <x v="1"/>
    <x v="58"/>
    <s v="BBG00ZVN1906"/>
    <x v="0"/>
    <s v="5e83524c4bff46698146fad15dedc311"/>
    <s v="E1 ENERGIA GREEN BOND"/>
    <x v="1"/>
    <x v="1"/>
    <s v="Generation"/>
    <s v="UFV E1 6 - GO (ENEL GO)"/>
    <s v="Brazil"/>
    <d v="2021-03-15T00:00:00"/>
    <d v="2021-03-15T00:00:00"/>
    <s v="BRL"/>
    <n v="436210.79"/>
    <n v="436210.79"/>
    <s v="BRL"/>
    <n v="436210.79"/>
    <n v="77485"/>
    <b v="0"/>
    <n v="1"/>
  </r>
  <r>
    <b v="1"/>
    <x v="2"/>
    <x v="0"/>
    <x v="0"/>
    <x v="0"/>
    <x v="1"/>
    <x v="58"/>
    <s v="BBG00ZVN1906"/>
    <x v="0"/>
    <s v="5e83524c4bff46698146fad15dedc311"/>
    <s v="E1 ENERGIA GREEN BOND"/>
    <x v="0"/>
    <x v="0"/>
    <s v="Solar"/>
    <s v="UFV E1 6 - MA (CEMAR)"/>
    <s v="Brazil"/>
    <d v="2021-03-15T00:00:00"/>
    <d v="2021-03-15T00:00:00"/>
    <s v="BRL"/>
    <n v="443400.91"/>
    <n v="443400.91"/>
    <s v="BRL"/>
    <n v="443400.91"/>
    <n v="78762"/>
    <b v="0"/>
    <n v="1"/>
  </r>
  <r>
    <b v="1"/>
    <x v="2"/>
    <x v="0"/>
    <x v="0"/>
    <x v="0"/>
    <x v="1"/>
    <x v="58"/>
    <s v="BBG00ZVN1906"/>
    <x v="0"/>
    <s v="5e83524c4bff46698146fad15dedc311"/>
    <s v="E1 ENERGIA GREEN BOND"/>
    <x v="1"/>
    <x v="1"/>
    <s v="Generation"/>
    <s v="UFV E1 6 - MA (CEMAR)"/>
    <s v="Brazil"/>
    <d v="2021-03-15T00:00:00"/>
    <d v="2021-03-15T00:00:00"/>
    <s v="BRL"/>
    <n v="443400.91"/>
    <n v="443400.91"/>
    <s v="BRL"/>
    <n v="443400.91"/>
    <n v="78762"/>
    <b v="0"/>
    <n v="1"/>
  </r>
  <r>
    <b v="1"/>
    <x v="2"/>
    <x v="0"/>
    <x v="0"/>
    <x v="0"/>
    <x v="1"/>
    <x v="58"/>
    <s v="BBG00ZVN1906"/>
    <x v="0"/>
    <s v="5e83524c4bff46698146fad15dedc311"/>
    <s v="E1 ENERGIA GREEN BOND"/>
    <x v="0"/>
    <x v="0"/>
    <s v="Solar"/>
    <s v="UFV E1 6 - MT (EMT)"/>
    <s v="Brazil"/>
    <d v="2021-03-15T00:00:00"/>
    <d v="2021-03-15T00:00:00"/>
    <s v="BRL"/>
    <n v="56795.7"/>
    <n v="56795.7"/>
    <s v="BRL"/>
    <n v="56795.7"/>
    <n v="10088"/>
    <b v="0"/>
    <n v="1"/>
  </r>
  <r>
    <b v="1"/>
    <x v="2"/>
    <x v="0"/>
    <x v="0"/>
    <x v="0"/>
    <x v="1"/>
    <x v="58"/>
    <s v="BBG00ZVN1906"/>
    <x v="0"/>
    <s v="5e83524c4bff46698146fad15dedc311"/>
    <s v="E1 ENERGIA GREEN BOND"/>
    <x v="1"/>
    <x v="1"/>
    <s v="Generation"/>
    <s v="UFV E1 6 - MT (EMT)"/>
    <s v="Brazil"/>
    <d v="2021-03-15T00:00:00"/>
    <d v="2021-03-15T00:00:00"/>
    <s v="BRL"/>
    <n v="56795.7"/>
    <n v="56795.7"/>
    <s v="BRL"/>
    <n v="56795.7"/>
    <n v="10088"/>
    <b v="0"/>
    <n v="1"/>
  </r>
  <r>
    <b v="1"/>
    <x v="2"/>
    <x v="0"/>
    <x v="0"/>
    <x v="0"/>
    <x v="1"/>
    <x v="58"/>
    <s v="BBG00ZVN1906"/>
    <x v="0"/>
    <s v="5e83524c4bff46698146fad15dedc311"/>
    <s v="E1 ENERGIA GREEN BOND"/>
    <x v="0"/>
    <x v="0"/>
    <s v="Solar"/>
    <s v="UFV E1 6 - PR (COPEL)"/>
    <s v="Brazil"/>
    <d v="2021-03-15T00:00:00"/>
    <d v="2021-03-15T00:00:00"/>
    <s v="BRL"/>
    <n v="942698.75"/>
    <n v="942698.75"/>
    <s v="BRL"/>
    <n v="942698.75"/>
    <n v="167453"/>
    <b v="0"/>
    <n v="1"/>
  </r>
  <r>
    <b v="1"/>
    <x v="2"/>
    <x v="0"/>
    <x v="0"/>
    <x v="0"/>
    <x v="1"/>
    <x v="58"/>
    <s v="BBG00ZVN1906"/>
    <x v="0"/>
    <s v="5e83524c4bff46698146fad15dedc311"/>
    <s v="E1 ENERGIA GREEN BOND"/>
    <x v="1"/>
    <x v="1"/>
    <s v="Generation"/>
    <s v="UFV E1 6 - PR (COPEL)"/>
    <s v="Brazil"/>
    <d v="2021-03-15T00:00:00"/>
    <d v="2021-03-15T00:00:00"/>
    <s v="BRL"/>
    <n v="942698.75"/>
    <n v="942698.75"/>
    <s v="BRL"/>
    <n v="942698.75"/>
    <n v="167453"/>
    <b v="0"/>
    <n v="1"/>
  </r>
  <r>
    <b v="1"/>
    <x v="2"/>
    <x v="0"/>
    <x v="0"/>
    <x v="0"/>
    <x v="1"/>
    <x v="58"/>
    <s v="BBG00ZVN1906"/>
    <x v="0"/>
    <s v="5e83524c4bff46698146fad15dedc311"/>
    <s v="E1 ENERGIA GREEN BOND"/>
    <x v="0"/>
    <x v="0"/>
    <s v="Solar"/>
    <s v="UFV E1 6 - RJ (ENEL RJ)"/>
    <s v="Brazil"/>
    <d v="2021-03-15T00:00:00"/>
    <d v="2021-03-15T00:00:00"/>
    <s v="BRL"/>
    <n v="199710.92"/>
    <n v="199710.92"/>
    <s v="BRL"/>
    <n v="199710.92"/>
    <n v="35475"/>
    <b v="0"/>
    <n v="1"/>
  </r>
  <r>
    <b v="1"/>
    <x v="2"/>
    <x v="0"/>
    <x v="0"/>
    <x v="0"/>
    <x v="1"/>
    <x v="58"/>
    <s v="BBG00ZVN1906"/>
    <x v="0"/>
    <s v="5e83524c4bff46698146fad15dedc311"/>
    <s v="E1 ENERGIA GREEN BOND"/>
    <x v="1"/>
    <x v="1"/>
    <s v="Generation"/>
    <s v="UFV E1 6 - RJ (ENEL RJ)"/>
    <s v="Brazil"/>
    <d v="2021-03-15T00:00:00"/>
    <d v="2021-03-15T00:00:00"/>
    <s v="BRL"/>
    <n v="199710.92"/>
    <n v="199710.92"/>
    <s v="BRL"/>
    <n v="199710.92"/>
    <n v="35475"/>
    <b v="0"/>
    <n v="1"/>
  </r>
  <r>
    <b v="1"/>
    <x v="2"/>
    <x v="0"/>
    <x v="0"/>
    <x v="0"/>
    <x v="1"/>
    <x v="58"/>
    <s v="BBG00ZVN1906"/>
    <x v="0"/>
    <s v="5e83524c4bff46698146fad15dedc311"/>
    <s v="E1 ENERGIA GREEN BOND"/>
    <x v="0"/>
    <x v="0"/>
    <s v="Solar"/>
    <s v="UFV E1 6 - SC (CELESC) - USINA 1"/>
    <s v="Brazil"/>
    <d v="2021-03-15T00:00:00"/>
    <d v="2021-03-15T00:00:00"/>
    <s v="BRL"/>
    <n v="171320.17"/>
    <n v="171320.17"/>
    <s v="BRL"/>
    <n v="171320.17"/>
    <n v="30432"/>
    <b v="0"/>
    <n v="1"/>
  </r>
  <r>
    <b v="1"/>
    <x v="2"/>
    <x v="0"/>
    <x v="0"/>
    <x v="0"/>
    <x v="1"/>
    <x v="58"/>
    <s v="BBG00ZVN1906"/>
    <x v="0"/>
    <s v="5e83524c4bff46698146fad15dedc311"/>
    <s v="E1 ENERGIA GREEN BOND"/>
    <x v="1"/>
    <x v="1"/>
    <s v="Generation"/>
    <s v="UFV E1 6 - SC (CELESC) - USINA 1"/>
    <s v="Brazil"/>
    <d v="2021-03-15T00:00:00"/>
    <d v="2021-03-15T00:00:00"/>
    <s v="BRL"/>
    <n v="171320.17"/>
    <n v="171320.17"/>
    <s v="BRL"/>
    <n v="171320.17"/>
    <n v="30432"/>
    <b v="0"/>
    <n v="1"/>
  </r>
  <r>
    <b v="1"/>
    <x v="2"/>
    <x v="0"/>
    <x v="0"/>
    <x v="0"/>
    <x v="1"/>
    <x v="58"/>
    <s v="BBG00ZVN1906"/>
    <x v="0"/>
    <s v="5e83524c4bff46698146fad15dedc311"/>
    <s v="E1 ENERGIA GREEN BOND"/>
    <x v="0"/>
    <x v="0"/>
    <s v="Solar"/>
    <s v="UFV E1 6 - SC (CELESC) - USINA 2"/>
    <s v="Brazil"/>
    <d v="2021-03-15T00:00:00"/>
    <d v="2021-03-15T00:00:00"/>
    <s v="BRL"/>
    <n v="523103.42"/>
    <n v="523103.42"/>
    <s v="BRL"/>
    <n v="523103.42"/>
    <n v="92920"/>
    <b v="0"/>
    <n v="1"/>
  </r>
  <r>
    <b v="1"/>
    <x v="2"/>
    <x v="0"/>
    <x v="0"/>
    <x v="0"/>
    <x v="1"/>
    <x v="58"/>
    <s v="BBG00ZVN1906"/>
    <x v="0"/>
    <s v="5e83524c4bff46698146fad15dedc311"/>
    <s v="E1 ENERGIA GREEN BOND"/>
    <x v="1"/>
    <x v="1"/>
    <s v="Generation"/>
    <s v="UFV E1 6 - SC (CELESC) - USINA 2"/>
    <s v="Brazil"/>
    <d v="2021-03-15T00:00:00"/>
    <d v="2021-03-15T00:00:00"/>
    <s v="BRL"/>
    <n v="523103.42"/>
    <n v="523103.42"/>
    <s v="BRL"/>
    <n v="523103.42"/>
    <n v="92920"/>
    <b v="0"/>
    <n v="1"/>
  </r>
  <r>
    <b v="1"/>
    <x v="2"/>
    <x v="0"/>
    <x v="0"/>
    <x v="0"/>
    <x v="1"/>
    <x v="58"/>
    <s v="BBG00ZVN1906"/>
    <x v="0"/>
    <s v="5e83524c4bff46698146fad15dedc311"/>
    <s v="E1 ENERGIA GREEN BOND"/>
    <x v="0"/>
    <x v="0"/>
    <s v="Solar"/>
    <s v="UFV E1 6 - SP (CPFL Paulista)"/>
    <s v="Brazil"/>
    <d v="2021-03-15T00:00:00"/>
    <d v="2021-03-15T00:00:00"/>
    <s v="BRL"/>
    <n v="425600.72"/>
    <n v="425600.72"/>
    <s v="BRL"/>
    <n v="425600.72"/>
    <n v="75600"/>
    <b v="0"/>
    <n v="1"/>
  </r>
  <r>
    <b v="1"/>
    <x v="2"/>
    <x v="0"/>
    <x v="0"/>
    <x v="0"/>
    <x v="1"/>
    <x v="58"/>
    <s v="BBG00ZVN1906"/>
    <x v="0"/>
    <s v="5e83524c4bff46698146fad15dedc311"/>
    <s v="E1 ENERGIA GREEN BOND"/>
    <x v="1"/>
    <x v="1"/>
    <s v="Generation"/>
    <s v="UFV E1 6 - SP (CPFL Paulista)"/>
    <s v="Brazil"/>
    <d v="2021-03-15T00:00:00"/>
    <d v="2021-03-15T00:00:00"/>
    <s v="BRL"/>
    <n v="425600.72"/>
    <n v="425600.72"/>
    <s v="BRL"/>
    <n v="425600.72"/>
    <n v="75600"/>
    <b v="0"/>
    <n v="1"/>
  </r>
  <r>
    <b v="1"/>
    <x v="2"/>
    <x v="0"/>
    <x v="0"/>
    <x v="0"/>
    <x v="1"/>
    <x v="58"/>
    <s v="BBG00ZVN1906"/>
    <x v="0"/>
    <s v="5e83524c4bff46698146fad15dedc311"/>
    <s v="E1 ENERGIA GREEN BOND"/>
    <x v="0"/>
    <x v="0"/>
    <s v="Solar"/>
    <s v="UFV E1 6 - SP (EDP SP) - USINA 1"/>
    <s v="Brazil"/>
    <d v="2021-03-15T00:00:00"/>
    <d v="2021-03-15T00:00:00"/>
    <s v="BRL"/>
    <n v="752424.65"/>
    <n v="752424.65"/>
    <s v="BRL"/>
    <n v="752424.65"/>
    <n v="133655"/>
    <b v="0"/>
    <n v="1"/>
  </r>
  <r>
    <b v="1"/>
    <x v="2"/>
    <x v="0"/>
    <x v="0"/>
    <x v="0"/>
    <x v="1"/>
    <x v="58"/>
    <s v="BBG00ZVN1906"/>
    <x v="0"/>
    <s v="5e83524c4bff46698146fad15dedc311"/>
    <s v="E1 ENERGIA GREEN BOND"/>
    <x v="1"/>
    <x v="1"/>
    <s v="Generation"/>
    <s v="UFV E1 6 - SP (EDP SP) - USINA 1"/>
    <s v="Brazil"/>
    <d v="2021-03-15T00:00:00"/>
    <d v="2021-03-15T00:00:00"/>
    <s v="BRL"/>
    <n v="752424.65"/>
    <n v="752424.65"/>
    <s v="BRL"/>
    <n v="752424.65"/>
    <n v="133655"/>
    <b v="0"/>
    <n v="1"/>
  </r>
  <r>
    <b v="1"/>
    <x v="2"/>
    <x v="0"/>
    <x v="0"/>
    <x v="0"/>
    <x v="1"/>
    <x v="58"/>
    <s v="BBG00ZVN1906"/>
    <x v="0"/>
    <s v="5e83524c4bff46698146fad15dedc311"/>
    <s v="E1 ENERGIA GREEN BOND"/>
    <x v="0"/>
    <x v="0"/>
    <s v="Solar"/>
    <s v="UFV E1 6 - SP (EDP SP) - USINA 2"/>
    <s v="Brazil"/>
    <d v="2021-03-15T00:00:00"/>
    <d v="2021-03-15T00:00:00"/>
    <s v="BRL"/>
    <n v="1125376.74"/>
    <n v="1125376.74"/>
    <s v="BRL"/>
    <n v="1125376.74"/>
    <n v="199903"/>
    <b v="0"/>
    <n v="1"/>
  </r>
  <r>
    <b v="1"/>
    <x v="2"/>
    <x v="0"/>
    <x v="0"/>
    <x v="0"/>
    <x v="1"/>
    <x v="58"/>
    <s v="BBG00ZVN1906"/>
    <x v="0"/>
    <s v="5e83524c4bff46698146fad15dedc311"/>
    <s v="E1 ENERGIA GREEN BOND"/>
    <x v="1"/>
    <x v="1"/>
    <s v="Generation"/>
    <s v="UFV E1 6 - SP (EDP SP) - USINA 2"/>
    <s v="Brazil"/>
    <d v="2021-03-15T00:00:00"/>
    <d v="2021-03-15T00:00:00"/>
    <s v="BRL"/>
    <n v="1125376.74"/>
    <n v="1125376.74"/>
    <s v="BRL"/>
    <n v="1125376.74"/>
    <n v="199903"/>
    <b v="0"/>
    <n v="1"/>
  </r>
  <r>
    <b v="1"/>
    <x v="2"/>
    <x v="0"/>
    <x v="0"/>
    <x v="0"/>
    <x v="1"/>
    <x v="58"/>
    <s v="BBG00ZVN1906"/>
    <x v="0"/>
    <s v="5e83524c4bff46698146fad15dedc311"/>
    <s v="E1 ENERGIA GREEN BOND"/>
    <x v="0"/>
    <x v="0"/>
    <s v="Solar"/>
    <s v="UFV E1 6 - SP (ELETROPAULO) - USINA 2"/>
    <s v="Brazil"/>
    <d v="2021-03-15T00:00:00"/>
    <d v="2021-03-15T00:00:00"/>
    <s v="BRL"/>
    <n v="9287955.4900000002"/>
    <n v="9287955.4900000002"/>
    <s v="BRL"/>
    <n v="9287955.4900000002"/>
    <n v="1649842"/>
    <b v="0"/>
    <n v="1"/>
  </r>
  <r>
    <b v="1"/>
    <x v="2"/>
    <x v="0"/>
    <x v="0"/>
    <x v="0"/>
    <x v="1"/>
    <x v="58"/>
    <s v="BBG00ZVN1906"/>
    <x v="0"/>
    <s v="5e83524c4bff46698146fad15dedc311"/>
    <s v="E1 ENERGIA GREEN BOND"/>
    <x v="1"/>
    <x v="1"/>
    <s v="Generation"/>
    <s v="UFV E1 6 - SP (ELETROPAULO) - USINA 2"/>
    <s v="Brazil"/>
    <d v="2021-03-15T00:00:00"/>
    <d v="2021-03-15T00:00:00"/>
    <s v="BRL"/>
    <n v="9287955.4900000002"/>
    <n v="9287955.4900000002"/>
    <s v="BRL"/>
    <n v="9287955.4900000002"/>
    <n v="1649842"/>
    <b v="0"/>
    <n v="1"/>
  </r>
  <r>
    <b v="1"/>
    <x v="2"/>
    <x v="0"/>
    <x v="0"/>
    <x v="0"/>
    <x v="1"/>
    <x v="58"/>
    <s v="BBG00ZVN1906"/>
    <x v="0"/>
    <s v="5e83524c4bff46698146fad15dedc311"/>
    <s v="E1 ENERGIA GREEN BOND"/>
    <x v="0"/>
    <x v="0"/>
    <s v="Solar"/>
    <s v="UFV E1 6 - SP (ELETROPAULO) - USINA 1"/>
    <s v="Brazil"/>
    <d v="2021-03-15T00:00:00"/>
    <d v="2021-03-15T00:00:00"/>
    <s v="BRL"/>
    <n v="2266848.64"/>
    <n v="2266848.64"/>
    <s v="BRL"/>
    <n v="2266848.64"/>
    <n v="402666"/>
    <b v="0"/>
    <n v="1"/>
  </r>
  <r>
    <b v="1"/>
    <x v="2"/>
    <x v="0"/>
    <x v="0"/>
    <x v="0"/>
    <x v="1"/>
    <x v="58"/>
    <s v="BBG00ZVN1906"/>
    <x v="0"/>
    <s v="5e83524c4bff46698146fad15dedc311"/>
    <s v="E1 ENERGIA GREEN BOND"/>
    <x v="1"/>
    <x v="1"/>
    <s v="Generation"/>
    <s v="UFV E1 6 - SP (ELETROPAULO) - USINA 1"/>
    <s v="Brazil"/>
    <d v="2021-03-15T00:00:00"/>
    <d v="2021-03-15T00:00:00"/>
    <s v="BRL"/>
    <n v="2266848.64"/>
    <n v="2266848.64"/>
    <s v="BRL"/>
    <n v="2266848.64"/>
    <n v="402666"/>
    <b v="0"/>
    <n v="1"/>
  </r>
  <r>
    <b v="1"/>
    <x v="2"/>
    <x v="0"/>
    <x v="0"/>
    <x v="0"/>
    <x v="1"/>
    <x v="58"/>
    <s v="BBG00ZVN1906"/>
    <x v="0"/>
    <s v="5e83524c4bff46698146fad15dedc311"/>
    <s v="E1 ENERGIA GREEN BOND"/>
    <x v="0"/>
    <x v="0"/>
    <s v="Solar"/>
    <s v="UFV E1 7 - PE (CELPE)"/>
    <s v="Brazil"/>
    <d v="2021-03-15T00:00:00"/>
    <d v="2021-03-15T00:00:00"/>
    <s v="BRL"/>
    <n v="3182018.17"/>
    <n v="3182018.17"/>
    <s v="BRL"/>
    <n v="3182018.17"/>
    <n v="565229"/>
    <b v="0"/>
    <n v="1"/>
  </r>
  <r>
    <b v="1"/>
    <x v="2"/>
    <x v="0"/>
    <x v="0"/>
    <x v="0"/>
    <x v="1"/>
    <x v="58"/>
    <s v="BBG00ZVN1906"/>
    <x v="0"/>
    <s v="5e83524c4bff46698146fad15dedc311"/>
    <s v="E1 ENERGIA GREEN BOND"/>
    <x v="1"/>
    <x v="1"/>
    <s v="Generation"/>
    <s v="UFV E1 7 - PE (CELPE)"/>
    <s v="Brazil"/>
    <d v="2021-03-15T00:00:00"/>
    <d v="2021-03-15T00:00:00"/>
    <s v="BRL"/>
    <n v="3182018.17"/>
    <n v="3182018.17"/>
    <s v="BRL"/>
    <n v="3182018.17"/>
    <n v="565229"/>
    <b v="0"/>
    <n v="1"/>
  </r>
  <r>
    <b v="1"/>
    <x v="2"/>
    <x v="0"/>
    <x v="0"/>
    <x v="0"/>
    <x v="1"/>
    <x v="58"/>
    <s v="BBG00ZVN1906"/>
    <x v="0"/>
    <s v="5e83524c4bff46698146fad15dedc311"/>
    <s v="E1 ENERGIA GREEN BOND"/>
    <x v="0"/>
    <x v="0"/>
    <s v="Solar"/>
    <s v="UFV E1 7 - SP (CPFL PIR.)"/>
    <s v="Brazil"/>
    <d v="2021-03-15T00:00:00"/>
    <d v="2021-03-15T00:00:00"/>
    <s v="BRL"/>
    <n v="7544433.3300000001"/>
    <n v="7544433.3300000001"/>
    <s v="BRL"/>
    <n v="7544433.3300000001"/>
    <n v="1340136"/>
    <b v="0"/>
    <n v="1"/>
  </r>
  <r>
    <b v="1"/>
    <x v="2"/>
    <x v="0"/>
    <x v="0"/>
    <x v="0"/>
    <x v="1"/>
    <x v="58"/>
    <s v="BBG00ZVN1906"/>
    <x v="0"/>
    <s v="5e83524c4bff46698146fad15dedc311"/>
    <s v="E1 ENERGIA GREEN BOND"/>
    <x v="1"/>
    <x v="1"/>
    <s v="Generation"/>
    <s v="UFV E1 7 - SP (CPFL PIR.)"/>
    <s v="Brazil"/>
    <d v="2021-03-15T00:00:00"/>
    <d v="2021-03-15T00:00:00"/>
    <s v="BRL"/>
    <n v="7544433.3300000001"/>
    <n v="7544433.3300000001"/>
    <s v="BRL"/>
    <n v="7544433.3300000001"/>
    <n v="1340136"/>
    <b v="0"/>
    <n v="1"/>
  </r>
  <r>
    <b v="1"/>
    <x v="0"/>
    <x v="0"/>
    <x v="2"/>
    <x v="0"/>
    <x v="1"/>
    <x v="59"/>
    <n v="0"/>
    <x v="0"/>
    <s v="a70a185c981f45a483e6d1f133ccf7d2"/>
    <s v="FEFA 20V"/>
    <x v="0"/>
    <x v="10"/>
    <s v="Agriculture"/>
    <s v="Protected agriculture"/>
    <s v="Mexico"/>
    <d v="2020-06-26T00:00:00"/>
    <d v="2021-01-08T00:00:00"/>
    <s v="MXN"/>
    <n v="254444552"/>
    <n v="254444552"/>
    <s v="MXN"/>
    <n v="254444552"/>
    <n v="11076532"/>
    <b v="1"/>
    <n v="0.8"/>
  </r>
  <r>
    <b v="1"/>
    <x v="0"/>
    <x v="0"/>
    <x v="2"/>
    <x v="0"/>
    <x v="1"/>
    <x v="59"/>
    <n v="0"/>
    <x v="0"/>
    <s v="a70a185c981f45a483e6d1f133ccf7d2"/>
    <s v="FEFA 20V"/>
    <x v="1"/>
    <x v="11"/>
    <s v="Agriculture"/>
    <s v="Protected agriculture"/>
    <s v="Mexico"/>
    <d v="2020-06-26T00:00:00"/>
    <d v="2021-01-08T00:00:00"/>
    <s v="MXN"/>
    <n v="254444552"/>
    <n v="254444552"/>
    <s v="MXN"/>
    <n v="254444552"/>
    <n v="11076532"/>
    <b v="1"/>
    <n v="0.8"/>
  </r>
  <r>
    <b v="1"/>
    <x v="0"/>
    <x v="0"/>
    <x v="2"/>
    <x v="0"/>
    <x v="1"/>
    <x v="59"/>
    <n v="0"/>
    <x v="0"/>
    <s v="a70a185c981f45a483e6d1f133ccf7d2"/>
    <s v="FEFA 20V"/>
    <x v="0"/>
    <x v="10"/>
    <s v="Agriculture"/>
    <s v="Greenhouses"/>
    <s v="Mexico"/>
    <d v="2020-06-26T00:00:00"/>
    <d v="2021-01-15T00:00:00"/>
    <s v="MXN"/>
    <n v="2327122113"/>
    <n v="2327122113"/>
    <s v="MXN"/>
    <n v="2327122113"/>
    <n v="101304752"/>
    <b v="1"/>
    <n v="0.8"/>
  </r>
  <r>
    <b v="1"/>
    <x v="0"/>
    <x v="0"/>
    <x v="2"/>
    <x v="0"/>
    <x v="1"/>
    <x v="59"/>
    <n v="0"/>
    <x v="0"/>
    <s v="a70a185c981f45a483e6d1f133ccf7d2"/>
    <s v="FEFA 20V"/>
    <x v="1"/>
    <x v="11"/>
    <s v="Agriculture"/>
    <s v="Greenhouses"/>
    <s v="Mexico"/>
    <d v="2020-06-26T00:00:00"/>
    <d v="2021-01-15T00:00:00"/>
    <s v="MXN"/>
    <n v="2327122113"/>
    <n v="2327122113"/>
    <s v="MXN"/>
    <n v="2327122113"/>
    <n v="101304752"/>
    <b v="1"/>
    <n v="0.8"/>
  </r>
  <r>
    <b v="1"/>
    <x v="0"/>
    <x v="0"/>
    <x v="2"/>
    <x v="0"/>
    <x v="1"/>
    <x v="59"/>
    <n v="0"/>
    <x v="0"/>
    <s v="a70a185c981f45a483e6d1f133ccf7d2"/>
    <s v="FEFA 20V"/>
    <x v="0"/>
    <x v="10"/>
    <s v="Agriculture"/>
    <s v="Conservation tillage"/>
    <s v="Mexico"/>
    <d v="2020-06-26T00:00:00"/>
    <d v="2020-10-22T00:00:00"/>
    <s v="MXN"/>
    <n v="1883954"/>
    <n v="1883954"/>
    <s v="MXN"/>
    <n v="1883954"/>
    <n v="82013"/>
    <b v="1"/>
    <n v="0.8"/>
  </r>
  <r>
    <b v="1"/>
    <x v="0"/>
    <x v="0"/>
    <x v="2"/>
    <x v="0"/>
    <x v="1"/>
    <x v="59"/>
    <n v="0"/>
    <x v="0"/>
    <s v="a70a185c981f45a483e6d1f133ccf7d2"/>
    <s v="FEFA 20V"/>
    <x v="1"/>
    <x v="11"/>
    <s v="Agriculture"/>
    <s v="Conservation tillage"/>
    <s v="Mexico"/>
    <d v="2020-06-26T00:00:00"/>
    <d v="2020-10-22T00:00:00"/>
    <s v="MXN"/>
    <n v="1883954"/>
    <n v="1883954"/>
    <s v="MXN"/>
    <n v="1883954"/>
    <n v="82013"/>
    <b v="1"/>
    <n v="0.8"/>
  </r>
  <r>
    <b v="1"/>
    <x v="0"/>
    <x v="0"/>
    <x v="2"/>
    <x v="0"/>
    <x v="1"/>
    <x v="59"/>
    <n v="0"/>
    <x v="0"/>
    <s v="a70a185c981f45a483e6d1f133ccf7d2"/>
    <s v="FEFA 20V"/>
    <x v="0"/>
    <x v="10"/>
    <s v="Agriculture"/>
    <s v="Macro tunnel"/>
    <s v="Mexico"/>
    <d v="2020-06-26T00:00:00"/>
    <d v="2021-01-20T00:00:00"/>
    <s v="MXN"/>
    <n v="167877790"/>
    <n v="167877790"/>
    <s v="MXN"/>
    <n v="167877790"/>
    <n v="7308090"/>
    <b v="1"/>
    <n v="0.8"/>
  </r>
  <r>
    <b v="1"/>
    <x v="0"/>
    <x v="0"/>
    <x v="2"/>
    <x v="0"/>
    <x v="1"/>
    <x v="59"/>
    <n v="0"/>
    <x v="0"/>
    <s v="a70a185c981f45a483e6d1f133ccf7d2"/>
    <s v="FEFA 20V"/>
    <x v="1"/>
    <x v="11"/>
    <s v="Agriculture"/>
    <s v="Macro tunnel"/>
    <s v="Mexico"/>
    <d v="2020-06-26T00:00:00"/>
    <d v="2021-01-20T00:00:00"/>
    <s v="MXN"/>
    <n v="167877790"/>
    <n v="167877790"/>
    <s v="MXN"/>
    <n v="167877790"/>
    <n v="7308090"/>
    <b v="1"/>
    <n v="0.8"/>
  </r>
  <r>
    <b v="1"/>
    <x v="0"/>
    <x v="0"/>
    <x v="2"/>
    <x v="0"/>
    <x v="1"/>
    <x v="59"/>
    <n v="0"/>
    <x v="0"/>
    <s v="a70a185c981f45a483e6d1f133ccf7d2"/>
    <s v="FEFA 20V"/>
    <x v="0"/>
    <x v="10"/>
    <s v="Agriculture"/>
    <s v="Shade production (Coffe)"/>
    <s v="Mexico"/>
    <d v="2020-06-26T00:00:00"/>
    <d v="2020-07-16T00:00:00"/>
    <s v="MXN"/>
    <n v="2000000"/>
    <n v="2000000"/>
    <s v="MXN"/>
    <n v="2000000"/>
    <n v="87064"/>
    <b v="1"/>
    <n v="0.8"/>
  </r>
  <r>
    <b v="1"/>
    <x v="0"/>
    <x v="0"/>
    <x v="2"/>
    <x v="0"/>
    <x v="1"/>
    <x v="59"/>
    <n v="0"/>
    <x v="0"/>
    <s v="a70a185c981f45a483e6d1f133ccf7d2"/>
    <s v="FEFA 20V"/>
    <x v="1"/>
    <x v="11"/>
    <s v="Agriculture"/>
    <s v="Shade production (Coffe)"/>
    <s v="Mexico"/>
    <d v="2020-06-26T00:00:00"/>
    <d v="2020-07-16T00:00:00"/>
    <s v="MXN"/>
    <n v="2000000"/>
    <n v="2000000"/>
    <s v="MXN"/>
    <n v="2000000"/>
    <n v="87064"/>
    <b v="1"/>
    <n v="0.8"/>
  </r>
  <r>
    <b v="1"/>
    <x v="0"/>
    <x v="0"/>
    <x v="2"/>
    <x v="0"/>
    <x v="1"/>
    <x v="59"/>
    <n v="0"/>
    <x v="0"/>
    <s v="a70a185c981f45a483e6d1f133ccf7d2"/>
    <s v="FEFA 20V"/>
    <x v="0"/>
    <x v="2"/>
    <s v="Treatment"/>
    <s v="Water purification equipment"/>
    <s v="Mexico"/>
    <d v="2020-06-26T00:00:00"/>
    <d v="2020-06-15T00:00:00"/>
    <s v="MXN"/>
    <n v="26192634"/>
    <n v="26192634"/>
    <s v="MXN"/>
    <n v="26192634"/>
    <n v="1140223"/>
    <b v="1"/>
    <n v="0.8"/>
  </r>
  <r>
    <b v="1"/>
    <x v="0"/>
    <x v="0"/>
    <x v="2"/>
    <x v="0"/>
    <x v="1"/>
    <x v="59"/>
    <n v="0"/>
    <x v="0"/>
    <s v="a70a185c981f45a483e6d1f133ccf7d2"/>
    <s v="FEFA 20V"/>
    <x v="1"/>
    <x v="3"/>
    <s v="Infrastructure"/>
    <s v="Water purification equipment"/>
    <s v="Mexico"/>
    <d v="2020-06-26T00:00:00"/>
    <d v="2020-06-15T00:00:00"/>
    <s v="MXN"/>
    <n v="26192634"/>
    <n v="26192634"/>
    <s v="MXN"/>
    <n v="26192634"/>
    <n v="1140223"/>
    <b v="1"/>
    <n v="0.8"/>
  </r>
  <r>
    <b v="1"/>
    <x v="0"/>
    <x v="0"/>
    <x v="2"/>
    <x v="0"/>
    <x v="1"/>
    <x v="59"/>
    <n v="0"/>
    <x v="0"/>
    <s v="a70a185c981f45a483e6d1f133ccf7d2"/>
    <s v="FEFA 20V"/>
    <x v="0"/>
    <x v="0"/>
    <s v="Bioenergy"/>
    <s v="Biodigesters"/>
    <s v="Mexico"/>
    <d v="2020-06-26T00:00:00"/>
    <d v="2021-02-22T00:00:00"/>
    <s v="MXN"/>
    <n v="55161931"/>
    <n v="55161931"/>
    <s v="MXN"/>
    <n v="55161931"/>
    <n v="2401320"/>
    <b v="1"/>
    <n v="0.8"/>
  </r>
  <r>
    <b v="1"/>
    <x v="0"/>
    <x v="0"/>
    <x v="2"/>
    <x v="0"/>
    <x v="1"/>
    <x v="59"/>
    <n v="0"/>
    <x v="0"/>
    <s v="a70a185c981f45a483e6d1f133ccf7d2"/>
    <s v="FEFA 20V"/>
    <x v="1"/>
    <x v="1"/>
    <s v="Generation"/>
    <s v="Biodigesters"/>
    <s v="Mexico"/>
    <d v="2020-06-26T00:00:00"/>
    <d v="2021-02-22T00:00:00"/>
    <s v="MXN"/>
    <n v="55161931"/>
    <n v="55161931"/>
    <s v="MXN"/>
    <n v="55161931"/>
    <n v="2401320"/>
    <b v="1"/>
    <n v="0.8"/>
  </r>
  <r>
    <b v="1"/>
    <x v="0"/>
    <x v="0"/>
    <x v="2"/>
    <x v="0"/>
    <x v="1"/>
    <x v="59"/>
    <n v="0"/>
    <x v="0"/>
    <s v="a70a185c981f45a483e6d1f133ccf7d2"/>
    <s v="FEFA 20V"/>
    <x v="0"/>
    <x v="0"/>
    <s v="Solar"/>
    <s v="Solar energy equipment"/>
    <s v="Mexico"/>
    <d v="2020-06-26T00:00:00"/>
    <d v="2021-02-08T00:00:00"/>
    <s v="MXN"/>
    <n v="20170452"/>
    <n v="20170452"/>
    <s v="MXN"/>
    <n v="20170452"/>
    <n v="878064"/>
    <b v="1"/>
    <n v="0.8"/>
  </r>
  <r>
    <b v="1"/>
    <x v="0"/>
    <x v="0"/>
    <x v="2"/>
    <x v="0"/>
    <x v="1"/>
    <x v="59"/>
    <n v="0"/>
    <x v="0"/>
    <s v="a70a185c981f45a483e6d1f133ccf7d2"/>
    <s v="FEFA 20V"/>
    <x v="1"/>
    <x v="1"/>
    <s v="Generation"/>
    <s v="Solar energy equipment"/>
    <s v="Mexico"/>
    <d v="2020-06-26T00:00:00"/>
    <d v="2021-02-08T00:00:00"/>
    <s v="MXN"/>
    <n v="20170452"/>
    <n v="20170452"/>
    <s v="MXN"/>
    <n v="20170452"/>
    <n v="878064"/>
    <b v="1"/>
    <n v="0.8"/>
  </r>
  <r>
    <b v="1"/>
    <x v="0"/>
    <x v="0"/>
    <x v="2"/>
    <x v="0"/>
    <x v="1"/>
    <x v="59"/>
    <n v="0"/>
    <x v="0"/>
    <s v="a70a185c981f45a483e6d1f133ccf7d2"/>
    <s v="FEFA 20V"/>
    <x v="0"/>
    <x v="0"/>
    <s v="Solar"/>
    <s v="Solar thermal systems"/>
    <s v="Mexico"/>
    <d v="2020-06-26T00:00:00"/>
    <d v="2021-03-22T00:00:00"/>
    <s v="MXN"/>
    <n v="9072000"/>
    <n v="9072000"/>
    <s v="MXN"/>
    <n v="9072000"/>
    <n v="394924"/>
    <b v="1"/>
    <n v="0.8"/>
  </r>
  <r>
    <b v="1"/>
    <x v="0"/>
    <x v="0"/>
    <x v="2"/>
    <x v="0"/>
    <x v="1"/>
    <x v="59"/>
    <n v="0"/>
    <x v="0"/>
    <s v="a70a185c981f45a483e6d1f133ccf7d2"/>
    <s v="FEFA 20V"/>
    <x v="1"/>
    <x v="1"/>
    <s v="Generation"/>
    <s v="Solar thermal systems"/>
    <s v="Mexico"/>
    <d v="2020-06-26T00:00:00"/>
    <d v="2021-03-22T00:00:00"/>
    <s v="MXN"/>
    <n v="9072000"/>
    <n v="9072000"/>
    <s v="MXN"/>
    <n v="9072000"/>
    <n v="394924"/>
    <b v="1"/>
    <n v="0.8"/>
  </r>
  <r>
    <b v="1"/>
    <x v="0"/>
    <x v="0"/>
    <x v="2"/>
    <x v="0"/>
    <x v="1"/>
    <x v="59"/>
    <n v="0"/>
    <x v="0"/>
    <s v="a70a185c981f45a483e6d1f133ccf7d2"/>
    <s v="FEFA 20V"/>
    <x v="0"/>
    <x v="0"/>
    <s v="Bioenergy"/>
    <s v="Efficient boilers"/>
    <s v="Mexico"/>
    <d v="2020-06-26T00:00:00"/>
    <d v="2021-01-28T00:00:00"/>
    <s v="MXN"/>
    <n v="19393939"/>
    <n v="19393939"/>
    <s v="MXN"/>
    <n v="19393939"/>
    <n v="844261"/>
    <b v="1"/>
    <n v="0.8"/>
  </r>
  <r>
    <b v="1"/>
    <x v="0"/>
    <x v="0"/>
    <x v="2"/>
    <x v="0"/>
    <x v="1"/>
    <x v="59"/>
    <n v="0"/>
    <x v="0"/>
    <s v="a70a185c981f45a483e6d1f133ccf7d2"/>
    <s v="FEFA 20V"/>
    <x v="1"/>
    <x v="4"/>
    <s v="Appliances"/>
    <s v="Efficient boilers"/>
    <s v="Mexico"/>
    <d v="2020-06-26T00:00:00"/>
    <d v="2021-01-28T00:00:00"/>
    <s v="MXN"/>
    <n v="19393939"/>
    <n v="19393939"/>
    <s v="MXN"/>
    <n v="19393939"/>
    <n v="844261"/>
    <b v="1"/>
    <n v="0.8"/>
  </r>
  <r>
    <b v="1"/>
    <x v="0"/>
    <x v="0"/>
    <x v="2"/>
    <x v="0"/>
    <x v="1"/>
    <x v="59"/>
    <n v="0"/>
    <x v="0"/>
    <s v="a70a185c981f45a483e6d1f133ccf7d2"/>
    <s v="FEFA 20V"/>
    <x v="0"/>
    <x v="0"/>
    <s v="Bioenergy"/>
    <s v="Cogeneration of energy equipment"/>
    <s v="Mexico"/>
    <d v="2020-06-26T00:00:00"/>
    <d v="2021-01-22T00:00:00"/>
    <s v="MXN"/>
    <n v="29072126"/>
    <n v="29072126"/>
    <s v="MXN"/>
    <n v="29072126"/>
    <n v="1265574"/>
    <b v="1"/>
    <n v="0.8"/>
  </r>
  <r>
    <b v="1"/>
    <x v="0"/>
    <x v="0"/>
    <x v="2"/>
    <x v="0"/>
    <x v="1"/>
    <x v="59"/>
    <n v="0"/>
    <x v="0"/>
    <s v="a70a185c981f45a483e6d1f133ccf7d2"/>
    <s v="FEFA 20V"/>
    <x v="1"/>
    <x v="4"/>
    <s v="Appliances"/>
    <s v="Cogeneration of energy equipment"/>
    <s v="Mexico"/>
    <d v="2020-06-26T00:00:00"/>
    <d v="2021-01-22T00:00:00"/>
    <s v="MXN"/>
    <n v="29072126"/>
    <n v="29072126"/>
    <s v="MXN"/>
    <n v="29072126"/>
    <n v="1265574"/>
    <b v="1"/>
    <n v="0.8"/>
  </r>
  <r>
    <b v="1"/>
    <x v="0"/>
    <x v="0"/>
    <x v="2"/>
    <x v="0"/>
    <x v="1"/>
    <x v="59"/>
    <n v="0"/>
    <x v="0"/>
    <s v="a70a185c981f45a483e6d1f133ccf7d2"/>
    <s v="FEFA 20V"/>
    <x v="0"/>
    <x v="0"/>
    <s v="Transmission"/>
    <s v="LED luminaires"/>
    <s v="Mexico"/>
    <d v="2020-06-26T00:00:00"/>
    <d v="2020-11-30T00:00:00"/>
    <s v="MXN"/>
    <n v="50419200"/>
    <n v="50419200"/>
    <s v="MXN"/>
    <n v="50419200"/>
    <n v="2194859"/>
    <b v="1"/>
    <n v="0.8"/>
  </r>
  <r>
    <b v="1"/>
    <x v="0"/>
    <x v="0"/>
    <x v="2"/>
    <x v="0"/>
    <x v="1"/>
    <x v="59"/>
    <n v="0"/>
    <x v="0"/>
    <s v="a70a185c981f45a483e6d1f133ccf7d2"/>
    <s v="FEFA 20V"/>
    <x v="1"/>
    <x v="4"/>
    <s v="Appliances"/>
    <s v="LED luminaires"/>
    <s v="Mexico"/>
    <d v="2020-06-26T00:00:00"/>
    <d v="2020-11-30T00:00:00"/>
    <s v="MXN"/>
    <n v="50419200"/>
    <n v="50419200"/>
    <s v="MXN"/>
    <n v="50419200"/>
    <n v="2194859"/>
    <b v="1"/>
    <n v="0.8"/>
  </r>
  <r>
    <b v="1"/>
    <x v="0"/>
    <x v="0"/>
    <x v="2"/>
    <x v="0"/>
    <x v="1"/>
    <x v="59"/>
    <n v="0"/>
    <x v="0"/>
    <s v="a70a185c981f45a483e6d1f133ccf7d2"/>
    <s v="FEFA 20V"/>
    <x v="0"/>
    <x v="0"/>
    <s v="Storage"/>
    <s v="Cooling system modernisation"/>
    <s v="Mexico"/>
    <d v="2020-06-26T00:00:00"/>
    <d v="2021-02-16T00:00:00"/>
    <s v="MXN"/>
    <n v="37730261"/>
    <n v="37730261"/>
    <s v="MXN"/>
    <n v="37730261"/>
    <n v="1642481"/>
    <b v="1"/>
    <n v="0.8"/>
  </r>
  <r>
    <b v="1"/>
    <x v="0"/>
    <x v="0"/>
    <x v="2"/>
    <x v="0"/>
    <x v="1"/>
    <x v="59"/>
    <n v="0"/>
    <x v="0"/>
    <s v="a70a185c981f45a483e6d1f133ccf7d2"/>
    <s v="FEFA 20V"/>
    <x v="1"/>
    <x v="4"/>
    <s v="Appliances"/>
    <s v="Cooling system modernisation"/>
    <s v="Mexico"/>
    <d v="2020-06-26T00:00:00"/>
    <d v="2021-02-16T00:00:00"/>
    <s v="MXN"/>
    <n v="37730261"/>
    <n v="37730261"/>
    <s v="MXN"/>
    <n v="37730261"/>
    <n v="1642481"/>
    <b v="1"/>
    <n v="0.8"/>
  </r>
  <r>
    <b v="1"/>
    <x v="0"/>
    <x v="0"/>
    <x v="2"/>
    <x v="0"/>
    <x v="1"/>
    <x v="59"/>
    <n v="0"/>
    <x v="0"/>
    <s v="a70a185c981f45a483e6d1f133ccf7d2"/>
    <s v="FEFA 20V"/>
    <x v="0"/>
    <x v="0"/>
    <s v="Transmission"/>
    <s v="Efficient pumping systems"/>
    <s v="Mexico"/>
    <d v="2020-06-26T00:00:00"/>
    <d v="2020-08-07T00:00:00"/>
    <s v="MXN"/>
    <n v="2809242"/>
    <n v="2809242"/>
    <s v="MXN"/>
    <n v="2809242"/>
    <n v="122292"/>
    <b v="1"/>
    <n v="0.8"/>
  </r>
  <r>
    <b v="1"/>
    <x v="0"/>
    <x v="0"/>
    <x v="2"/>
    <x v="0"/>
    <x v="1"/>
    <x v="59"/>
    <n v="0"/>
    <x v="0"/>
    <s v="a70a185c981f45a483e6d1f133ccf7d2"/>
    <s v="FEFA 20V"/>
    <x v="1"/>
    <x v="4"/>
    <s v="Appliances"/>
    <s v="Efficient pumping systems"/>
    <s v="Mexico"/>
    <d v="2020-06-26T00:00:00"/>
    <d v="2020-08-07T00:00:00"/>
    <s v="MXN"/>
    <n v="2809242"/>
    <n v="2809242"/>
    <s v="MXN"/>
    <n v="2809242"/>
    <n v="122292"/>
    <b v="1"/>
    <n v="0.8"/>
  </r>
  <r>
    <b v="1"/>
    <x v="0"/>
    <x v="0"/>
    <x v="0"/>
    <x v="0"/>
    <x v="0"/>
    <x v="14"/>
    <n v="0"/>
    <x v="27"/>
    <s v="a0bc4c5a1c144c07bd4a964abff5f34f"/>
    <s v="ISA GB2020 Tramo 14"/>
    <x v="0"/>
    <x v="0"/>
    <s v="Transmission"/>
    <s v="Proyectos Verdes Elegibles 2020"/>
    <s v="Colombia"/>
    <d v="2020-08-13T00:00:00"/>
    <d v="2020-09-18T00:00:00"/>
    <s v="COP"/>
    <n v="299997669786"/>
    <n v="299997669786"/>
    <s v="COP"/>
    <n v="299997669786"/>
    <n v="79879878"/>
    <b v="0"/>
    <n v="0.7"/>
  </r>
  <r>
    <b v="1"/>
    <x v="0"/>
    <x v="0"/>
    <x v="0"/>
    <x v="0"/>
    <x v="0"/>
    <x v="14"/>
    <n v="0"/>
    <x v="27"/>
    <s v="a0bc4c5a1c144c07bd4a964abff5f34f"/>
    <s v="ISA GB2020 Tramo 14"/>
    <x v="1"/>
    <x v="1"/>
    <s v="Transmission"/>
    <s v="Proyectos Verdes Elegibles 2020"/>
    <s v="Colombia"/>
    <d v="2020-08-13T00:00:00"/>
    <d v="2020-09-18T00:00:00"/>
    <s v="COP"/>
    <n v="299997669786"/>
    <n v="299997669786"/>
    <s v="COP"/>
    <n v="299997669786"/>
    <n v="79879878"/>
    <b v="0"/>
    <n v="0.7"/>
  </r>
  <r>
    <b v="1"/>
    <x v="0"/>
    <x v="0"/>
    <x v="0"/>
    <x v="0"/>
    <x v="0"/>
    <x v="14"/>
    <n v="0"/>
    <x v="27"/>
    <s v="a0bc4c5a1c144c07bd4a964abff5f34f"/>
    <s v="ISA GB2020 Tramo 14"/>
    <x v="0"/>
    <x v="0"/>
    <s v="Transmission"/>
    <s v="Proyecto CECO - L√≠nea de Transmisi√≥n Cerromatoso - Chin√∫ - Copey a 500 kV"/>
    <s v="Colombia"/>
    <d v="2020-08-13T00:00:00"/>
    <d v="2020-09-18T00:00:00"/>
    <s v="COP"/>
    <n v="245409890324"/>
    <n v="245409890324"/>
    <s v="COP"/>
    <n v="245409890324"/>
    <n v="65344881"/>
    <b v="0"/>
    <n v="0.59"/>
  </r>
  <r>
    <b v="1"/>
    <x v="0"/>
    <x v="0"/>
    <x v="0"/>
    <x v="0"/>
    <x v="0"/>
    <x v="14"/>
    <n v="0"/>
    <x v="27"/>
    <s v="a0bc4c5a1c144c07bd4a964abff5f34f"/>
    <s v="ISA GB2020 Tramo 14"/>
    <x v="1"/>
    <x v="1"/>
    <s v="Transmission"/>
    <s v="Proyecto CECO - L√≠nea de Transmisi√≥n Cerromatoso - Chin√∫ - Copey a 500 kV"/>
    <s v="Colombia"/>
    <d v="2020-08-13T00:00:00"/>
    <d v="2020-09-18T00:00:00"/>
    <s v="COP"/>
    <n v="245409890324"/>
    <n v="245409890324"/>
    <s v="COP"/>
    <n v="245409890324"/>
    <n v="65344881"/>
    <b v="0"/>
    <n v="0.59"/>
  </r>
  <r>
    <b v="1"/>
    <x v="0"/>
    <x v="0"/>
    <x v="0"/>
    <x v="0"/>
    <x v="0"/>
    <x v="14"/>
    <n v="0"/>
    <x v="27"/>
    <s v="a0bc4c5a1c144c07bd4a964abff5f34f"/>
    <s v="ISA GB2020 Tramo 14"/>
    <x v="0"/>
    <x v="0"/>
    <s v="Transmission"/>
    <s v="Proyecto COCU-_x000a_Interconexi√≥n Cuestecitas ‚Äì Copey ‚Äì Fundaci√≥n 500/220 mil voltios"/>
    <s v="Colombia"/>
    <d v="2020-08-13T00:00:00"/>
    <d v="2021-07-19T00:00:00"/>
    <s v="COP"/>
    <n v="54587779462"/>
    <n v="54587779462"/>
    <s v="COP"/>
    <n v="54587779462"/>
    <n v="14534997"/>
    <b v="0"/>
    <n v="0.11"/>
  </r>
  <r>
    <b v="1"/>
    <x v="0"/>
    <x v="0"/>
    <x v="0"/>
    <x v="0"/>
    <x v="0"/>
    <x v="14"/>
    <n v="0"/>
    <x v="27"/>
    <s v="a0bc4c5a1c144c07bd4a964abff5f34f"/>
    <s v="ISA GB2020 Tramo 14"/>
    <x v="1"/>
    <x v="1"/>
    <s v="Transmission"/>
    <s v="Proyecto COCU-_x000a_Interconexi√≥n Cuestecitas ‚Äì Copey ‚Äì Fundaci√≥n 500/220 mil voltios"/>
    <s v="Colombia"/>
    <d v="2020-08-13T00:00:00"/>
    <d v="2021-07-19T00:00:00"/>
    <s v="COP"/>
    <n v="54587779462"/>
    <n v="54587779462"/>
    <s v="COP"/>
    <n v="54587779462"/>
    <n v="14534997"/>
    <b v="0"/>
    <n v="0.11"/>
  </r>
  <r>
    <b v="1"/>
    <x v="0"/>
    <x v="0"/>
    <x v="0"/>
    <x v="0"/>
    <x v="0"/>
    <x v="60"/>
    <s v="BBG00QGRGP11"/>
    <x v="0"/>
    <s v="826fb91751eb4970ac578c6e8f0929fc"/>
    <s v="AES Gener Green Bond"/>
    <x v="0"/>
    <x v="0"/>
    <s v="Solar"/>
    <s v="Solar Project I"/>
    <s v="Chile"/>
    <d v="2021-09-30T00:00:00"/>
    <d v="2021-09-30T00:00:00"/>
    <s v="USD"/>
    <n v="134378757"/>
    <n v="134378757"/>
    <s v="USD"/>
    <n v="134378757"/>
    <n v="134378757"/>
    <b v="0"/>
    <n v="0.47"/>
  </r>
  <r>
    <b v="1"/>
    <x v="0"/>
    <x v="0"/>
    <x v="0"/>
    <x v="0"/>
    <x v="0"/>
    <x v="60"/>
    <s v="BBG00QGRGP11"/>
    <x v="0"/>
    <s v="826fb91751eb4970ac578c6e8f0929fc"/>
    <s v="AES Gener Green Bond"/>
    <x v="0"/>
    <x v="0"/>
    <s v="Solar"/>
    <s v="Solar Project I"/>
    <s v="Chile"/>
    <d v="2019-12-31T00:00:00"/>
    <d v="2019-12-31T00:00:00"/>
    <s v="USD"/>
    <n v="23799000"/>
    <n v="23799000"/>
    <s v="USD"/>
    <n v="23799000"/>
    <n v="23799000"/>
    <b v="0"/>
    <n v="0.47"/>
  </r>
  <r>
    <b v="1"/>
    <x v="0"/>
    <x v="0"/>
    <x v="0"/>
    <x v="0"/>
    <x v="0"/>
    <x v="60"/>
    <s v="BBG00QGRGP11"/>
    <x v="0"/>
    <s v="826fb91751eb4970ac578c6e8f0929fc"/>
    <s v="AES Gener Green Bond"/>
    <x v="1"/>
    <x v="1"/>
    <s v="Generation"/>
    <s v="Solar Project I"/>
    <s v="Chile"/>
    <d v="2021-09-30T00:00:00"/>
    <d v="2021-09-30T00:00:00"/>
    <s v="USD"/>
    <n v="134378757"/>
    <n v="134378757"/>
    <s v="USD"/>
    <n v="134378757"/>
    <n v="134378757"/>
    <b v="0"/>
    <n v="0.47"/>
  </r>
  <r>
    <b v="1"/>
    <x v="0"/>
    <x v="0"/>
    <x v="0"/>
    <x v="0"/>
    <x v="0"/>
    <x v="60"/>
    <s v="BBG00QGRGP11"/>
    <x v="0"/>
    <s v="826fb91751eb4970ac578c6e8f0929fc"/>
    <s v="AES Gener Green Bond"/>
    <x v="1"/>
    <x v="1"/>
    <s v="Generation"/>
    <s v="Solar Project I"/>
    <s v="Chile"/>
    <d v="2019-12-31T00:00:00"/>
    <d v="2019-12-31T00:00:00"/>
    <s v="USD"/>
    <n v="23799000"/>
    <n v="23799000"/>
    <s v="USD"/>
    <n v="23799000"/>
    <n v="23799000"/>
    <b v="0"/>
    <n v="0.47"/>
  </r>
  <r>
    <b v="1"/>
    <x v="0"/>
    <x v="0"/>
    <x v="0"/>
    <x v="0"/>
    <x v="0"/>
    <x v="60"/>
    <s v="BBG00QGRGP11"/>
    <x v="0"/>
    <s v="826fb91751eb4970ac578c6e8f0929fc"/>
    <s v="AES Gener Green Bond"/>
    <x v="2"/>
    <x v="9"/>
    <s v="Unspecified"/>
    <s v="Solar Project I"/>
    <s v="Chile"/>
    <d v="2021-09-30T00:00:00"/>
    <d v="2021-09-30T00:00:00"/>
    <s v="USD"/>
    <n v="134378757"/>
    <n v="134378757"/>
    <s v="USD"/>
    <n v="134378757"/>
    <n v="134378757"/>
    <b v="0"/>
    <n v="0.47"/>
  </r>
  <r>
    <b v="1"/>
    <x v="0"/>
    <x v="0"/>
    <x v="0"/>
    <x v="0"/>
    <x v="0"/>
    <x v="60"/>
    <s v="BBG00QGRGP11"/>
    <x v="0"/>
    <s v="826fb91751eb4970ac578c6e8f0929fc"/>
    <s v="AES Gener Green Bond"/>
    <x v="2"/>
    <x v="9"/>
    <s v="Unspecified"/>
    <s v="Solar Project I"/>
    <s v="Chile"/>
    <d v="2019-12-31T00:00:00"/>
    <d v="2019-12-31T00:00:00"/>
    <s v="USD"/>
    <n v="23799000"/>
    <n v="23799000"/>
    <s v="USD"/>
    <n v="23799000"/>
    <n v="23799000"/>
    <b v="0"/>
    <n v="0.47"/>
  </r>
  <r>
    <b v="1"/>
    <x v="0"/>
    <x v="0"/>
    <x v="0"/>
    <x v="0"/>
    <x v="0"/>
    <x v="60"/>
    <s v="BBG00QGRGP11"/>
    <x v="0"/>
    <s v="826fb91751eb4970ac578c6e8f0929fc"/>
    <s v="AES Gener Green Bond"/>
    <x v="3"/>
    <x v="9"/>
    <s v="Unspecified"/>
    <s v="Solar Project I"/>
    <s v="Chile"/>
    <d v="2021-09-30T00:00:00"/>
    <d v="2021-09-30T00:00:00"/>
    <s v="USD"/>
    <n v="134378757"/>
    <n v="134378757"/>
    <s v="USD"/>
    <n v="134378757"/>
    <n v="134378757"/>
    <b v="0"/>
    <n v="0.47"/>
  </r>
  <r>
    <b v="1"/>
    <x v="0"/>
    <x v="0"/>
    <x v="0"/>
    <x v="0"/>
    <x v="0"/>
    <x v="60"/>
    <s v="BBG00QGRGP11"/>
    <x v="0"/>
    <s v="826fb91751eb4970ac578c6e8f0929fc"/>
    <s v="AES Gener Green Bond"/>
    <x v="3"/>
    <x v="9"/>
    <s v="Unspecified"/>
    <s v="Solar Project I"/>
    <s v="Chile"/>
    <d v="2019-12-31T00:00:00"/>
    <d v="2019-12-31T00:00:00"/>
    <s v="USD"/>
    <n v="23799000"/>
    <n v="23799000"/>
    <s v="USD"/>
    <n v="23799000"/>
    <n v="23799000"/>
    <b v="0"/>
    <n v="0.47"/>
  </r>
  <r>
    <b v="1"/>
    <x v="0"/>
    <x v="0"/>
    <x v="0"/>
    <x v="0"/>
    <x v="0"/>
    <x v="60"/>
    <s v="BBG00QGRGP11"/>
    <x v="0"/>
    <s v="826fb91751eb4970ac578c6e8f0929fc"/>
    <s v="AES Gener Green Bond"/>
    <x v="0"/>
    <x v="0"/>
    <s v="Solar"/>
    <s v="Solar Project II"/>
    <s v="Colombia"/>
    <d v="2021-09-30T00:00:00"/>
    <d v="2021-09-30T00:00:00"/>
    <s v="USD"/>
    <n v="17995281"/>
    <n v="17995281"/>
    <s v="USD"/>
    <n v="17995281"/>
    <n v="17995281"/>
    <b v="0"/>
    <n v="0.41"/>
  </r>
  <r>
    <b v="1"/>
    <x v="0"/>
    <x v="0"/>
    <x v="0"/>
    <x v="0"/>
    <x v="0"/>
    <x v="60"/>
    <s v="BBG00QGRGP11"/>
    <x v="0"/>
    <s v="826fb91751eb4970ac578c6e8f0929fc"/>
    <s v="AES Gener Green Bond"/>
    <x v="0"/>
    <x v="0"/>
    <s v="Solar"/>
    <s v="Solar Project II"/>
    <s v="Colombia"/>
    <d v="2019-12-31T00:00:00"/>
    <d v="2019-12-31T00:00:00"/>
    <s v="USD"/>
    <n v="1195000"/>
    <n v="1195000"/>
    <s v="USD"/>
    <n v="1195000"/>
    <n v="1195000"/>
    <b v="0"/>
    <n v="0.41"/>
  </r>
  <r>
    <b v="1"/>
    <x v="0"/>
    <x v="0"/>
    <x v="0"/>
    <x v="0"/>
    <x v="0"/>
    <x v="60"/>
    <s v="BBG00QGRGP11"/>
    <x v="0"/>
    <s v="826fb91751eb4970ac578c6e8f0929fc"/>
    <s v="AES Gener Green Bond"/>
    <x v="1"/>
    <x v="1"/>
    <s v="Generation"/>
    <s v="Solar Project II"/>
    <s v="Colombia"/>
    <d v="2021-09-30T00:00:00"/>
    <d v="2021-09-30T00:00:00"/>
    <s v="USD"/>
    <n v="17995281"/>
    <n v="17995281"/>
    <s v="USD"/>
    <n v="17995281"/>
    <n v="17995281"/>
    <b v="0"/>
    <n v="0.41"/>
  </r>
  <r>
    <b v="1"/>
    <x v="0"/>
    <x v="0"/>
    <x v="0"/>
    <x v="0"/>
    <x v="0"/>
    <x v="60"/>
    <s v="BBG00QGRGP11"/>
    <x v="0"/>
    <s v="826fb91751eb4970ac578c6e8f0929fc"/>
    <s v="AES Gener Green Bond"/>
    <x v="1"/>
    <x v="1"/>
    <s v="Generation"/>
    <s v="Solar Project II"/>
    <s v="Colombia"/>
    <d v="2019-12-31T00:00:00"/>
    <d v="2019-12-31T00:00:00"/>
    <s v="USD"/>
    <n v="1195000"/>
    <n v="1195000"/>
    <s v="USD"/>
    <n v="1195000"/>
    <n v="1195000"/>
    <b v="0"/>
    <n v="0.41"/>
  </r>
  <r>
    <b v="1"/>
    <x v="0"/>
    <x v="0"/>
    <x v="0"/>
    <x v="0"/>
    <x v="0"/>
    <x v="60"/>
    <s v="BBG00QGRGP11"/>
    <x v="0"/>
    <s v="826fb91751eb4970ac578c6e8f0929fc"/>
    <s v="AES Gener Green Bond"/>
    <x v="2"/>
    <x v="9"/>
    <s v="Unspecified"/>
    <s v="Solar Project II"/>
    <s v="Colombia"/>
    <d v="2021-09-30T00:00:00"/>
    <d v="2021-09-30T00:00:00"/>
    <s v="USD"/>
    <n v="17995281"/>
    <n v="17995281"/>
    <s v="USD"/>
    <n v="17995281"/>
    <n v="17995281"/>
    <b v="0"/>
    <n v="0.41"/>
  </r>
  <r>
    <b v="1"/>
    <x v="0"/>
    <x v="0"/>
    <x v="0"/>
    <x v="0"/>
    <x v="0"/>
    <x v="60"/>
    <s v="BBG00QGRGP11"/>
    <x v="0"/>
    <s v="826fb91751eb4970ac578c6e8f0929fc"/>
    <s v="AES Gener Green Bond"/>
    <x v="2"/>
    <x v="9"/>
    <s v="Unspecified"/>
    <s v="Solar Project II"/>
    <s v="Colombia"/>
    <d v="2019-12-31T00:00:00"/>
    <d v="2019-12-31T00:00:00"/>
    <s v="USD"/>
    <n v="1195000"/>
    <n v="1195000"/>
    <s v="USD"/>
    <n v="1195000"/>
    <n v="1195000"/>
    <b v="0"/>
    <n v="0.41"/>
  </r>
  <r>
    <b v="1"/>
    <x v="0"/>
    <x v="0"/>
    <x v="0"/>
    <x v="0"/>
    <x v="0"/>
    <x v="60"/>
    <s v="BBG00QGRGP11"/>
    <x v="0"/>
    <s v="826fb91751eb4970ac578c6e8f0929fc"/>
    <s v="AES Gener Green Bond"/>
    <x v="3"/>
    <x v="9"/>
    <s v="Unspecified"/>
    <s v="Solar Project II"/>
    <s v="Colombia"/>
    <d v="2021-09-30T00:00:00"/>
    <d v="2021-09-30T00:00:00"/>
    <s v="USD"/>
    <n v="17995281"/>
    <n v="17995281"/>
    <s v="USD"/>
    <n v="17995281"/>
    <n v="17995281"/>
    <b v="0"/>
    <n v="0.41"/>
  </r>
  <r>
    <b v="1"/>
    <x v="0"/>
    <x v="0"/>
    <x v="0"/>
    <x v="0"/>
    <x v="0"/>
    <x v="60"/>
    <s v="BBG00QGRGP11"/>
    <x v="0"/>
    <s v="826fb91751eb4970ac578c6e8f0929fc"/>
    <s v="AES Gener Green Bond"/>
    <x v="3"/>
    <x v="9"/>
    <s v="Unspecified"/>
    <s v="Solar Project II"/>
    <s v="Colombia"/>
    <d v="2019-12-31T00:00:00"/>
    <d v="2019-12-31T00:00:00"/>
    <s v="USD"/>
    <n v="1195000"/>
    <n v="1195000"/>
    <s v="USD"/>
    <n v="1195000"/>
    <n v="1195000"/>
    <b v="0"/>
    <n v="0.41"/>
  </r>
  <r>
    <b v="1"/>
    <x v="0"/>
    <x v="0"/>
    <x v="0"/>
    <x v="0"/>
    <x v="0"/>
    <x v="60"/>
    <s v="BBG00QGRGP11"/>
    <x v="0"/>
    <s v="826fb91751eb4970ac578c6e8f0929fc"/>
    <s v="AES Gener Green Bond"/>
    <x v="0"/>
    <x v="0"/>
    <s v="Wind"/>
    <s v="Wind Projects"/>
    <s v="Chile"/>
    <d v="2021-09-30T00:00:00"/>
    <d v="2021-09-30T00:00:00"/>
    <s v="USD"/>
    <n v="130226738"/>
    <n v="130226738"/>
    <s v="USD"/>
    <n v="130226738"/>
    <n v="130226738"/>
    <b v="0"/>
    <n v="0.54"/>
  </r>
  <r>
    <b v="1"/>
    <x v="0"/>
    <x v="0"/>
    <x v="0"/>
    <x v="0"/>
    <x v="0"/>
    <x v="60"/>
    <s v="BBG00QGRGP11"/>
    <x v="0"/>
    <s v="826fb91751eb4970ac578c6e8f0929fc"/>
    <s v="AES Gener Green Bond"/>
    <x v="0"/>
    <x v="0"/>
    <s v="Wind"/>
    <s v="Wind Projects"/>
    <s v="Chile"/>
    <d v="2019-12-31T00:00:00"/>
    <d v="2019-12-31T00:00:00"/>
    <s v="USD"/>
    <n v="142404000"/>
    <n v="142404000"/>
    <s v="USD"/>
    <n v="142404000"/>
    <n v="142404000"/>
    <b v="0"/>
    <n v="0.54"/>
  </r>
  <r>
    <b v="1"/>
    <x v="0"/>
    <x v="0"/>
    <x v="0"/>
    <x v="0"/>
    <x v="0"/>
    <x v="60"/>
    <s v="BBG00QGRGP11"/>
    <x v="0"/>
    <s v="826fb91751eb4970ac578c6e8f0929fc"/>
    <s v="AES Gener Green Bond"/>
    <x v="1"/>
    <x v="1"/>
    <s v="Generation"/>
    <s v="Wind Projects"/>
    <s v="Chile"/>
    <d v="2021-09-30T00:00:00"/>
    <d v="2021-09-30T00:00:00"/>
    <s v="USD"/>
    <n v="130226738"/>
    <n v="130226738"/>
    <s v="USD"/>
    <n v="130226738"/>
    <n v="130226738"/>
    <b v="0"/>
    <n v="0.54"/>
  </r>
  <r>
    <b v="1"/>
    <x v="0"/>
    <x v="0"/>
    <x v="0"/>
    <x v="0"/>
    <x v="0"/>
    <x v="60"/>
    <s v="BBG00QGRGP11"/>
    <x v="0"/>
    <s v="826fb91751eb4970ac578c6e8f0929fc"/>
    <s v="AES Gener Green Bond"/>
    <x v="1"/>
    <x v="1"/>
    <s v="Generation"/>
    <s v="Wind Projects"/>
    <s v="Chile"/>
    <d v="2019-12-31T00:00:00"/>
    <d v="2019-12-31T00:00:00"/>
    <s v="USD"/>
    <n v="142404000"/>
    <n v="142404000"/>
    <s v="USD"/>
    <n v="142404000"/>
    <n v="142404000"/>
    <b v="0"/>
    <n v="0.54"/>
  </r>
  <r>
    <b v="1"/>
    <x v="0"/>
    <x v="0"/>
    <x v="0"/>
    <x v="0"/>
    <x v="0"/>
    <x v="60"/>
    <s v="BBG00QGRGP11"/>
    <x v="0"/>
    <s v="826fb91751eb4970ac578c6e8f0929fc"/>
    <s v="AES Gener Green Bond"/>
    <x v="2"/>
    <x v="9"/>
    <s v="Unspecified"/>
    <s v="Wind Projects"/>
    <s v="Chile"/>
    <d v="2021-09-30T00:00:00"/>
    <d v="2021-09-30T00:00:00"/>
    <s v="USD"/>
    <n v="130226738"/>
    <n v="130226738"/>
    <s v="USD"/>
    <n v="130226738"/>
    <n v="130226738"/>
    <b v="0"/>
    <n v="0.54"/>
  </r>
  <r>
    <b v="1"/>
    <x v="0"/>
    <x v="0"/>
    <x v="0"/>
    <x v="0"/>
    <x v="0"/>
    <x v="60"/>
    <s v="BBG00QGRGP11"/>
    <x v="0"/>
    <s v="826fb91751eb4970ac578c6e8f0929fc"/>
    <s v="AES Gener Green Bond"/>
    <x v="2"/>
    <x v="9"/>
    <s v="Unspecified"/>
    <s v="Wind Projects"/>
    <s v="Chile"/>
    <d v="2019-12-31T00:00:00"/>
    <d v="2019-12-31T00:00:00"/>
    <s v="USD"/>
    <n v="142404000"/>
    <n v="142404000"/>
    <s v="USD"/>
    <n v="142404000"/>
    <n v="142404000"/>
    <b v="0"/>
    <n v="0.54"/>
  </r>
  <r>
    <b v="1"/>
    <x v="0"/>
    <x v="0"/>
    <x v="0"/>
    <x v="0"/>
    <x v="0"/>
    <x v="60"/>
    <s v="BBG00QGRGP11"/>
    <x v="0"/>
    <s v="826fb91751eb4970ac578c6e8f0929fc"/>
    <s v="AES Gener Green Bond"/>
    <x v="3"/>
    <x v="9"/>
    <s v="Unspecified"/>
    <s v="Wind Projects"/>
    <s v="Chile"/>
    <d v="2021-09-30T00:00:00"/>
    <d v="2021-09-30T00:00:00"/>
    <s v="USD"/>
    <n v="130226738"/>
    <n v="130226738"/>
    <s v="USD"/>
    <n v="130226738"/>
    <n v="130226738"/>
    <b v="0"/>
    <n v="0.54"/>
  </r>
  <r>
    <b v="1"/>
    <x v="0"/>
    <x v="0"/>
    <x v="0"/>
    <x v="0"/>
    <x v="0"/>
    <x v="60"/>
    <s v="BBG00QGRGP11"/>
    <x v="0"/>
    <s v="826fb91751eb4970ac578c6e8f0929fc"/>
    <s v="AES Gener Green Bond"/>
    <x v="3"/>
    <x v="9"/>
    <s v="Unspecified"/>
    <s v="Wind Projects"/>
    <s v="Chile"/>
    <d v="2019-12-31T00:00:00"/>
    <d v="2019-12-31T00:00:00"/>
    <s v="USD"/>
    <n v="142404000"/>
    <n v="142404000"/>
    <s v="USD"/>
    <n v="142404000"/>
    <n v="142404000"/>
    <b v="0"/>
    <n v="0.54"/>
  </r>
  <r>
    <b v="1"/>
    <x v="2"/>
    <x v="0"/>
    <x v="0"/>
    <x v="0"/>
    <x v="1"/>
    <x v="61"/>
    <s v="BBG00WYXCK74"/>
    <x v="28"/>
    <s v="e7a60b9c1e1547e78842af5b5db91a2f"/>
    <s v="Coca-Cola FEMSA Green Bond"/>
    <x v="0"/>
    <x v="15"/>
    <s v="Reuse"/>
    <s v="Circular Economy"/>
    <s v="Mexico"/>
    <d v="2020-09-21T00:00:00"/>
    <d v="2021-12-31T00:00:00"/>
    <s v="USD"/>
    <n v="93190000"/>
    <n v="93190000"/>
    <s v="USD"/>
    <n v="93190000"/>
    <n v="93190000"/>
    <b v="1"/>
    <n v="1"/>
  </r>
  <r>
    <b v="1"/>
    <x v="2"/>
    <x v="0"/>
    <x v="0"/>
    <x v="0"/>
    <x v="1"/>
    <x v="61"/>
    <s v="BBG00WYXCK74"/>
    <x v="28"/>
    <s v="e7a60b9c1e1547e78842af5b5db91a2f"/>
    <s v="Coca-Cola FEMSA Green Bond"/>
    <x v="0"/>
    <x v="15"/>
    <s v="Reuse"/>
    <s v="Circular Economy"/>
    <s v="Mexico"/>
    <d v="2020-09-21T00:00:00"/>
    <d v="2020-12-31T00:00:00"/>
    <s v="USD"/>
    <n v="235480000"/>
    <n v="235480000"/>
    <s v="USD"/>
    <n v="235480000"/>
    <n v="235480000"/>
    <b v="1"/>
    <n v="1"/>
  </r>
  <r>
    <b v="1"/>
    <x v="2"/>
    <x v="0"/>
    <x v="0"/>
    <x v="0"/>
    <x v="1"/>
    <x v="61"/>
    <s v="BBG00WYXCK74"/>
    <x v="28"/>
    <s v="e7a60b9c1e1547e78842af5b5db91a2f"/>
    <s v="Coca-Cola FEMSA Green Bond"/>
    <x v="1"/>
    <x v="16"/>
    <s v="Packaging"/>
    <s v="Circular Economy"/>
    <s v="Mexico"/>
    <d v="2020-09-21T00:00:00"/>
    <d v="2021-12-31T00:00:00"/>
    <s v="USD"/>
    <n v="93190000"/>
    <n v="93190000"/>
    <s v="USD"/>
    <n v="93190000"/>
    <n v="93190000"/>
    <b v="1"/>
    <n v="1"/>
  </r>
  <r>
    <b v="1"/>
    <x v="2"/>
    <x v="0"/>
    <x v="0"/>
    <x v="0"/>
    <x v="1"/>
    <x v="61"/>
    <s v="BBG00WYXCK74"/>
    <x v="28"/>
    <s v="e7a60b9c1e1547e78842af5b5db91a2f"/>
    <s v="Coca-Cola FEMSA Green Bond"/>
    <x v="1"/>
    <x v="16"/>
    <s v="Packaging"/>
    <s v="Circular Economy"/>
    <s v="Mexico"/>
    <d v="2020-09-21T00:00:00"/>
    <d v="2020-12-31T00:00:00"/>
    <s v="USD"/>
    <n v="235480000"/>
    <n v="235480000"/>
    <s v="USD"/>
    <n v="235480000"/>
    <n v="235480000"/>
    <b v="1"/>
    <n v="1"/>
  </r>
  <r>
    <b v="1"/>
    <x v="2"/>
    <x v="0"/>
    <x v="0"/>
    <x v="0"/>
    <x v="1"/>
    <x v="61"/>
    <s v="BBG00WYXCK74"/>
    <x v="28"/>
    <s v="e7a60b9c1e1547e78842af5b5db91a2f"/>
    <s v="Coca-Cola FEMSA Green Bond"/>
    <x v="0"/>
    <x v="9"/>
    <s v="Unspecified"/>
    <s v="Water Stewardship"/>
    <s v="Mexico"/>
    <d v="2020-09-21T00:00:00"/>
    <d v="2021-12-31T00:00:00"/>
    <s v="USD"/>
    <n v="16850000"/>
    <n v="16850000"/>
    <s v="USD"/>
    <n v="16850000"/>
    <n v="16850000"/>
    <b v="1"/>
    <n v="1"/>
  </r>
  <r>
    <b v="1"/>
    <x v="2"/>
    <x v="0"/>
    <x v="0"/>
    <x v="0"/>
    <x v="1"/>
    <x v="61"/>
    <s v="BBG00WYXCK74"/>
    <x v="28"/>
    <s v="e7a60b9c1e1547e78842af5b5db91a2f"/>
    <s v="Coca-Cola FEMSA Green Bond"/>
    <x v="0"/>
    <x v="9"/>
    <s v="Unspecified"/>
    <s v="Water Stewardship"/>
    <s v="Mexico"/>
    <d v="2020-09-21T00:00:00"/>
    <d v="2020-12-31T00:00:00"/>
    <s v="USD"/>
    <n v="9010000"/>
    <n v="9010000"/>
    <s v="USD"/>
    <n v="9010000"/>
    <n v="9010000"/>
    <b v="1"/>
    <n v="1"/>
  </r>
  <r>
    <b v="1"/>
    <x v="2"/>
    <x v="0"/>
    <x v="0"/>
    <x v="0"/>
    <x v="1"/>
    <x v="61"/>
    <s v="BBG00WYXCK74"/>
    <x v="28"/>
    <s v="e7a60b9c1e1547e78842af5b5db91a2f"/>
    <s v="Coca-Cola FEMSA Green Bond"/>
    <x v="1"/>
    <x v="3"/>
    <s v="Infrastructure"/>
    <s v="Water Stewardship"/>
    <s v="Mexico"/>
    <d v="2020-09-21T00:00:00"/>
    <d v="2021-12-31T00:00:00"/>
    <s v="USD"/>
    <n v="16850000"/>
    <n v="16850000"/>
    <s v="USD"/>
    <n v="16850000"/>
    <n v="16850000"/>
    <b v="1"/>
    <n v="1"/>
  </r>
  <r>
    <b v="1"/>
    <x v="2"/>
    <x v="0"/>
    <x v="0"/>
    <x v="0"/>
    <x v="1"/>
    <x v="61"/>
    <s v="BBG00WYXCK74"/>
    <x v="28"/>
    <s v="e7a60b9c1e1547e78842af5b5db91a2f"/>
    <s v="Coca-Cola FEMSA Green Bond"/>
    <x v="1"/>
    <x v="3"/>
    <s v="Infrastructure"/>
    <s v="Water Stewardship"/>
    <s v="Mexico"/>
    <d v="2020-09-21T00:00:00"/>
    <d v="2020-12-31T00:00:00"/>
    <s v="USD"/>
    <n v="9010000"/>
    <n v="9010000"/>
    <s v="USD"/>
    <n v="9010000"/>
    <n v="9010000"/>
    <b v="1"/>
    <n v="1"/>
  </r>
  <r>
    <b v="1"/>
    <x v="2"/>
    <x v="0"/>
    <x v="0"/>
    <x v="0"/>
    <x v="1"/>
    <x v="61"/>
    <s v="BBG00WYXCK74"/>
    <x v="28"/>
    <s v="e7a60b9c1e1547e78842af5b5db91a2f"/>
    <s v="Coca-Cola FEMSA Green Bond"/>
    <x v="0"/>
    <x v="0"/>
    <s v="Solar"/>
    <s v="Climate Action"/>
    <s v="Mexico"/>
    <d v="2020-09-21T00:00:00"/>
    <d v="2021-12-31T00:00:00"/>
    <s v="USD"/>
    <n v="4590000"/>
    <n v="4590000"/>
    <s v="USD"/>
    <n v="4590000"/>
    <n v="4590000"/>
    <b v="1"/>
    <n v="1"/>
  </r>
  <r>
    <b v="1"/>
    <x v="2"/>
    <x v="0"/>
    <x v="0"/>
    <x v="0"/>
    <x v="1"/>
    <x v="61"/>
    <s v="BBG00WYXCK74"/>
    <x v="28"/>
    <s v="e7a60b9c1e1547e78842af5b5db91a2f"/>
    <s v="Coca-Cola FEMSA Green Bond"/>
    <x v="0"/>
    <x v="0"/>
    <s v="Solar"/>
    <s v="Climate Action"/>
    <s v="Mexico"/>
    <d v="2020-09-21T00:00:00"/>
    <d v="2020-12-31T00:00:00"/>
    <s v="USD"/>
    <n v="1380000"/>
    <n v="1380000"/>
    <s v="USD"/>
    <n v="1380000"/>
    <n v="1380000"/>
    <b v="1"/>
    <n v="1"/>
  </r>
  <r>
    <b v="1"/>
    <x v="2"/>
    <x v="0"/>
    <x v="0"/>
    <x v="0"/>
    <x v="1"/>
    <x v="61"/>
    <s v="BBG00WYXCK74"/>
    <x v="28"/>
    <s v="e7a60b9c1e1547e78842af5b5db91a2f"/>
    <s v="Coca-Cola FEMSA Green Bond"/>
    <x v="1"/>
    <x v="1"/>
    <s v="Generation"/>
    <s v="Climate Action"/>
    <s v="Mexico"/>
    <d v="2020-09-21T00:00:00"/>
    <d v="2021-12-31T00:00:00"/>
    <s v="USD"/>
    <n v="4590000"/>
    <n v="4590000"/>
    <s v="USD"/>
    <n v="4590000"/>
    <n v="4590000"/>
    <b v="1"/>
    <n v="1"/>
  </r>
  <r>
    <b v="1"/>
    <x v="2"/>
    <x v="0"/>
    <x v="0"/>
    <x v="0"/>
    <x v="1"/>
    <x v="61"/>
    <s v="BBG00WYXCK74"/>
    <x v="28"/>
    <s v="e7a60b9c1e1547e78842af5b5db91a2f"/>
    <s v="Coca-Cola FEMSA Green Bond"/>
    <x v="1"/>
    <x v="1"/>
    <s v="Generation"/>
    <s v="Climate Action"/>
    <s v="Mexico"/>
    <d v="2020-09-21T00:00:00"/>
    <d v="2020-12-31T00:00:00"/>
    <s v="USD"/>
    <n v="1380000"/>
    <n v="1380000"/>
    <s v="USD"/>
    <n v="1380000"/>
    <n v="1380000"/>
    <b v="1"/>
    <n v="1"/>
  </r>
  <r>
    <b v="1"/>
    <x v="0"/>
    <x v="0"/>
    <x v="2"/>
    <x v="0"/>
    <x v="1"/>
    <x v="14"/>
    <n v="0"/>
    <x v="29"/>
    <s v="9fc875791e3143a1bb3f864a304e8185"/>
    <s v="Green Bond 2017 - Davivienda"/>
    <x v="0"/>
    <x v="7"/>
    <s v="Residential"/>
    <s v="Residential Building #1"/>
    <s v="Colombia"/>
    <d v="2021-09-30T00:00:00"/>
    <d v="2021-09-30T00:00:00"/>
    <s v="COP"/>
    <n v="-32000000000"/>
    <n v="-32000000000"/>
    <s v="COP"/>
    <n v="-32000000000"/>
    <n v="-11142138"/>
    <b v="0"/>
    <n v="1"/>
  </r>
  <r>
    <b v="1"/>
    <x v="0"/>
    <x v="0"/>
    <x v="2"/>
    <x v="0"/>
    <x v="1"/>
    <x v="14"/>
    <n v="0"/>
    <x v="29"/>
    <s v="9fc875791e3143a1bb3f864a304e8185"/>
    <s v="Green Bond 2017 - Davivienda"/>
    <x v="0"/>
    <x v="7"/>
    <s v="Residential"/>
    <s v="Residential Building #1"/>
    <s v="Colombia"/>
    <d v="2016-08-16T00:00:00"/>
    <d v="2017-12-04T00:00:00"/>
    <s v="COP"/>
    <n v="62750000000"/>
    <n v="32000000000"/>
    <s v="COP"/>
    <n v="32000000000"/>
    <n v="11142138"/>
    <b v="0"/>
    <n v="1"/>
  </r>
  <r>
    <b v="1"/>
    <x v="0"/>
    <x v="0"/>
    <x v="2"/>
    <x v="0"/>
    <x v="1"/>
    <x v="14"/>
    <n v="0"/>
    <x v="29"/>
    <s v="9fc875791e3143a1bb3f864a304e8185"/>
    <s v="Green Bond 2017 - Davivienda"/>
    <x v="1"/>
    <x v="8"/>
    <s v="Residential"/>
    <s v="Residential Building #1"/>
    <s v="Colombia"/>
    <d v="2021-09-30T00:00:00"/>
    <d v="2021-09-30T00:00:00"/>
    <s v="COP"/>
    <n v="-32000000000"/>
    <n v="-32000000000"/>
    <s v="COP"/>
    <n v="-32000000000"/>
    <n v="-11142138"/>
    <b v="0"/>
    <n v="1"/>
  </r>
  <r>
    <b v="1"/>
    <x v="0"/>
    <x v="0"/>
    <x v="2"/>
    <x v="0"/>
    <x v="1"/>
    <x v="14"/>
    <n v="0"/>
    <x v="29"/>
    <s v="9fc875791e3143a1bb3f864a304e8185"/>
    <s v="Green Bond 2017 - Davivienda"/>
    <x v="1"/>
    <x v="8"/>
    <s v="Residential"/>
    <s v="Residential Building #1"/>
    <s v="Colombia"/>
    <d v="2016-08-16T00:00:00"/>
    <d v="2017-12-04T00:00:00"/>
    <s v="COP"/>
    <n v="62750000000"/>
    <n v="32000000000"/>
    <s v="COP"/>
    <n v="32000000000"/>
    <n v="11142138"/>
    <b v="0"/>
    <n v="1"/>
  </r>
  <r>
    <b v="1"/>
    <x v="0"/>
    <x v="0"/>
    <x v="2"/>
    <x v="0"/>
    <x v="1"/>
    <x v="14"/>
    <n v="0"/>
    <x v="29"/>
    <s v="9fc875791e3143a1bb3f864a304e8185"/>
    <s v="Green Bond 2017 - Davivienda"/>
    <x v="0"/>
    <x v="7"/>
    <s v="Residential"/>
    <s v="Residential Building #2"/>
    <s v="Colombia"/>
    <d v="2021-05-31T00:00:00"/>
    <d v="2021-05-31T00:00:00"/>
    <s v="COP"/>
    <n v="-8000000000"/>
    <n v="-8000000000"/>
    <s v="COP"/>
    <n v="-8000000000"/>
    <n v="-2785534"/>
    <b v="0"/>
    <n v="1"/>
  </r>
  <r>
    <b v="1"/>
    <x v="0"/>
    <x v="0"/>
    <x v="2"/>
    <x v="0"/>
    <x v="1"/>
    <x v="14"/>
    <n v="0"/>
    <x v="29"/>
    <s v="9fc875791e3143a1bb3f864a304e8185"/>
    <s v="Green Bond 2017 - Davivienda"/>
    <x v="0"/>
    <x v="7"/>
    <s v="Residential"/>
    <s v="Residential Building #2"/>
    <s v="Colombia"/>
    <d v="2018-06-12T00:00:00"/>
    <d v="2020-08-26T00:00:00"/>
    <s v="COP"/>
    <n v="42000000000"/>
    <n v="8000000000"/>
    <s v="COP"/>
    <n v="8000000000"/>
    <n v="2785534"/>
    <b v="0"/>
    <n v="1"/>
  </r>
  <r>
    <b v="1"/>
    <x v="0"/>
    <x v="0"/>
    <x v="2"/>
    <x v="0"/>
    <x v="1"/>
    <x v="14"/>
    <n v="0"/>
    <x v="29"/>
    <s v="9fc875791e3143a1bb3f864a304e8185"/>
    <s v="Green Bond 2017 - Davivienda"/>
    <x v="1"/>
    <x v="8"/>
    <s v="Residential"/>
    <s v="Residential Building #2"/>
    <s v="Colombia"/>
    <d v="2021-05-31T00:00:00"/>
    <d v="2021-05-31T00:00:00"/>
    <s v="COP"/>
    <n v="-8000000000"/>
    <n v="-8000000000"/>
    <s v="COP"/>
    <n v="-8000000000"/>
    <n v="-2785534"/>
    <b v="0"/>
    <n v="1"/>
  </r>
  <r>
    <b v="1"/>
    <x v="0"/>
    <x v="0"/>
    <x v="2"/>
    <x v="0"/>
    <x v="1"/>
    <x v="14"/>
    <n v="0"/>
    <x v="29"/>
    <s v="9fc875791e3143a1bb3f864a304e8185"/>
    <s v="Green Bond 2017 - Davivienda"/>
    <x v="1"/>
    <x v="8"/>
    <s v="Residential"/>
    <s v="Residential Building #2"/>
    <s v="Colombia"/>
    <d v="2018-06-12T00:00:00"/>
    <d v="2020-08-26T00:00:00"/>
    <s v="COP"/>
    <n v="42000000000"/>
    <n v="8000000000"/>
    <s v="COP"/>
    <n v="8000000000"/>
    <n v="2785534"/>
    <b v="0"/>
    <n v="1"/>
  </r>
  <r>
    <b v="1"/>
    <x v="0"/>
    <x v="0"/>
    <x v="2"/>
    <x v="0"/>
    <x v="1"/>
    <x v="14"/>
    <n v="0"/>
    <x v="29"/>
    <s v="9fc875791e3143a1bb3f864a304e8185"/>
    <s v="Green Bond 2017 - Davivienda"/>
    <x v="0"/>
    <x v="7"/>
    <s v="Commercial"/>
    <s v="Commercial Building #1"/>
    <s v="Colombia"/>
    <d v="2018-06-29T00:00:00"/>
    <d v="2018-06-29T00:00:00"/>
    <s v="COP"/>
    <n v="-52500000000"/>
    <n v="-52500000000"/>
    <s v="COP"/>
    <n v="-52500000000"/>
    <n v="-18280071"/>
    <b v="1"/>
    <n v="1"/>
  </r>
  <r>
    <b v="1"/>
    <x v="0"/>
    <x v="0"/>
    <x v="2"/>
    <x v="0"/>
    <x v="1"/>
    <x v="14"/>
    <n v="0"/>
    <x v="29"/>
    <s v="9fc875791e3143a1bb3f864a304e8185"/>
    <s v="Green Bond 2017 - Davivienda"/>
    <x v="0"/>
    <x v="7"/>
    <s v="Commercial"/>
    <s v="Commercial Building #1"/>
    <s v="Colombia"/>
    <d v="2014-04-22T00:00:00"/>
    <d v="2016-12-29T00:00:00"/>
    <s v="COP"/>
    <n v="52000000000"/>
    <n v="52500000000"/>
    <s v="COP"/>
    <n v="52500000000"/>
    <n v="18280071"/>
    <b v="1"/>
    <n v="1"/>
  </r>
  <r>
    <b v="1"/>
    <x v="0"/>
    <x v="0"/>
    <x v="2"/>
    <x v="0"/>
    <x v="1"/>
    <x v="14"/>
    <n v="0"/>
    <x v="29"/>
    <s v="9fc875791e3143a1bb3f864a304e8185"/>
    <s v="Green Bond 2017 - Davivienda"/>
    <x v="1"/>
    <x v="8"/>
    <s v="Commercial"/>
    <s v="Commercial Building #1"/>
    <s v="Colombia"/>
    <d v="2018-06-29T00:00:00"/>
    <d v="2018-06-29T00:00:00"/>
    <s v="COP"/>
    <n v="-52500000000"/>
    <n v="-52500000000"/>
    <s v="COP"/>
    <n v="-52500000000"/>
    <n v="-18280071"/>
    <b v="1"/>
    <n v="1"/>
  </r>
  <r>
    <b v="1"/>
    <x v="0"/>
    <x v="0"/>
    <x v="2"/>
    <x v="0"/>
    <x v="1"/>
    <x v="14"/>
    <n v="0"/>
    <x v="29"/>
    <s v="9fc875791e3143a1bb3f864a304e8185"/>
    <s v="Green Bond 2017 - Davivienda"/>
    <x v="1"/>
    <x v="8"/>
    <s v="Commercial"/>
    <s v="Commercial Building #1"/>
    <s v="Colombia"/>
    <d v="2014-04-22T00:00:00"/>
    <d v="2016-12-29T00:00:00"/>
    <s v="COP"/>
    <n v="52000000000"/>
    <n v="52500000000"/>
    <s v="COP"/>
    <n v="52500000000"/>
    <n v="18280071"/>
    <b v="1"/>
    <n v="1"/>
  </r>
  <r>
    <b v="1"/>
    <x v="0"/>
    <x v="0"/>
    <x v="2"/>
    <x v="0"/>
    <x v="1"/>
    <x v="14"/>
    <n v="0"/>
    <x v="29"/>
    <s v="9fc875791e3143a1bb3f864a304e8185"/>
    <s v="Green Bond 2017 - Davivienda"/>
    <x v="0"/>
    <x v="7"/>
    <s v="Commercial"/>
    <s v="Commercial Building #2"/>
    <s v="Colombia"/>
    <d v="2021-12-31T00:00:00"/>
    <d v="2021-12-31T00:00:00"/>
    <s v="COP"/>
    <n v="-112840000000"/>
    <n v="-106458361453"/>
    <s v="COP"/>
    <n v="-106458361453"/>
    <n v="-37067932"/>
    <b v="0"/>
    <n v="1"/>
  </r>
  <r>
    <b v="1"/>
    <x v="0"/>
    <x v="0"/>
    <x v="2"/>
    <x v="0"/>
    <x v="1"/>
    <x v="14"/>
    <n v="0"/>
    <x v="29"/>
    <s v="9fc875791e3143a1bb3f864a304e8185"/>
    <s v="Green Bond 2017 - Davivienda"/>
    <x v="0"/>
    <x v="7"/>
    <s v="Commercial"/>
    <s v="Commercial Building #2"/>
    <s v="Colombia"/>
    <d v="2018-11-27T00:00:00"/>
    <d v="2018-12-19T00:00:00"/>
    <s v="COP"/>
    <n v="120000000000"/>
    <n v="112840000000"/>
    <s v="COP"/>
    <n v="112840000000"/>
    <n v="39289967"/>
    <b v="0"/>
    <n v="1"/>
  </r>
  <r>
    <b v="1"/>
    <x v="0"/>
    <x v="0"/>
    <x v="2"/>
    <x v="0"/>
    <x v="1"/>
    <x v="14"/>
    <n v="0"/>
    <x v="29"/>
    <s v="9fc875791e3143a1bb3f864a304e8185"/>
    <s v="Green Bond 2017 - Davivienda"/>
    <x v="1"/>
    <x v="8"/>
    <s v="Commercial"/>
    <s v="Commercial Building #2"/>
    <s v="Colombia"/>
    <d v="2021-12-31T00:00:00"/>
    <d v="2021-12-31T00:00:00"/>
    <s v="COP"/>
    <n v="-112840000000"/>
    <n v="-106458361453"/>
    <s v="COP"/>
    <n v="-106458361453"/>
    <n v="-37067932"/>
    <b v="0"/>
    <n v="1"/>
  </r>
  <r>
    <b v="1"/>
    <x v="0"/>
    <x v="0"/>
    <x v="2"/>
    <x v="0"/>
    <x v="1"/>
    <x v="14"/>
    <n v="0"/>
    <x v="29"/>
    <s v="9fc875791e3143a1bb3f864a304e8185"/>
    <s v="Green Bond 2017 - Davivienda"/>
    <x v="1"/>
    <x v="8"/>
    <s v="Commercial"/>
    <s v="Commercial Building #2"/>
    <s v="Colombia"/>
    <d v="2018-11-27T00:00:00"/>
    <d v="2018-12-19T00:00:00"/>
    <s v="COP"/>
    <n v="120000000000"/>
    <n v="112840000000"/>
    <s v="COP"/>
    <n v="112840000000"/>
    <n v="39289967"/>
    <b v="0"/>
    <n v="1"/>
  </r>
  <r>
    <b v="1"/>
    <x v="0"/>
    <x v="0"/>
    <x v="2"/>
    <x v="0"/>
    <x v="1"/>
    <x v="14"/>
    <n v="0"/>
    <x v="29"/>
    <s v="9fc875791e3143a1bb3f864a304e8185"/>
    <s v="Green Bond 2017 - Davivienda"/>
    <x v="0"/>
    <x v="7"/>
    <s v="Commercial"/>
    <s v="Hospital and Medical Green Building #1"/>
    <s v="Colombia"/>
    <d v="2021-12-31T00:00:00"/>
    <d v="2021-12-31T00:00:00"/>
    <s v="COP"/>
    <n v="-35437500000"/>
    <n v="-876212615"/>
    <s v="COP"/>
    <n v="-876212615"/>
    <n v="-305090"/>
    <b v="1"/>
    <n v="1"/>
  </r>
  <r>
    <b v="1"/>
    <x v="0"/>
    <x v="0"/>
    <x v="2"/>
    <x v="0"/>
    <x v="1"/>
    <x v="14"/>
    <n v="0"/>
    <x v="29"/>
    <s v="9fc875791e3143a1bb3f864a304e8185"/>
    <s v="Green Bond 2017 - Davivienda"/>
    <x v="0"/>
    <x v="7"/>
    <s v="Commercial"/>
    <s v="Hospital and Medical Green Building #1"/>
    <s v="Colombia"/>
    <d v="2014-12-03T00:00:00"/>
    <d v="2017-02-01T00:00:00"/>
    <s v="COP"/>
    <n v="43800000000"/>
    <n v="35437500000"/>
    <s v="COP"/>
    <n v="35437500000"/>
    <n v="12339048"/>
    <b v="1"/>
    <n v="1"/>
  </r>
  <r>
    <b v="1"/>
    <x v="0"/>
    <x v="0"/>
    <x v="2"/>
    <x v="0"/>
    <x v="1"/>
    <x v="14"/>
    <n v="0"/>
    <x v="29"/>
    <s v="9fc875791e3143a1bb3f864a304e8185"/>
    <s v="Green Bond 2017 - Davivienda"/>
    <x v="1"/>
    <x v="8"/>
    <s v="Commercial"/>
    <s v="Hospital and Medical Green Building #1"/>
    <s v="Colombia"/>
    <d v="2021-12-31T00:00:00"/>
    <d v="2021-12-31T00:00:00"/>
    <s v="COP"/>
    <n v="-35437500000"/>
    <n v="-876212615"/>
    <s v="COP"/>
    <n v="-876212615"/>
    <n v="-305090"/>
    <b v="1"/>
    <n v="1"/>
  </r>
  <r>
    <b v="1"/>
    <x v="0"/>
    <x v="0"/>
    <x v="2"/>
    <x v="0"/>
    <x v="1"/>
    <x v="14"/>
    <n v="0"/>
    <x v="29"/>
    <s v="9fc875791e3143a1bb3f864a304e8185"/>
    <s v="Green Bond 2017 - Davivienda"/>
    <x v="1"/>
    <x v="8"/>
    <s v="Commercial"/>
    <s v="Hospital and Medical Green Building #1"/>
    <s v="Colombia"/>
    <d v="2014-12-03T00:00:00"/>
    <d v="2017-02-01T00:00:00"/>
    <s v="COP"/>
    <n v="43800000000"/>
    <n v="35437500000"/>
    <s v="COP"/>
    <n v="35437500000"/>
    <n v="12339048"/>
    <b v="1"/>
    <n v="1"/>
  </r>
  <r>
    <b v="1"/>
    <x v="0"/>
    <x v="0"/>
    <x v="2"/>
    <x v="0"/>
    <x v="1"/>
    <x v="14"/>
    <n v="0"/>
    <x v="29"/>
    <s v="9fc875791e3143a1bb3f864a304e8185"/>
    <s v="Green Bond 2017 - Davivienda"/>
    <x v="0"/>
    <x v="7"/>
    <s v="Residential"/>
    <s v="Residential Building #3 Et1"/>
    <s v="Colombia"/>
    <d v="2020-11-30T00:00:00"/>
    <d v="2020-11-30T00:00:00"/>
    <s v="COP"/>
    <n v="-15714000000"/>
    <n v="-15714000000"/>
    <s v="COP"/>
    <n v="-15714000000"/>
    <n v="-5471486"/>
    <b v="0"/>
    <n v="1"/>
  </r>
  <r>
    <b v="1"/>
    <x v="0"/>
    <x v="0"/>
    <x v="2"/>
    <x v="0"/>
    <x v="1"/>
    <x v="14"/>
    <n v="0"/>
    <x v="29"/>
    <s v="9fc875791e3143a1bb3f864a304e8185"/>
    <s v="Green Bond 2017 - Davivienda"/>
    <x v="0"/>
    <x v="7"/>
    <s v="Residential"/>
    <s v="Residential Building #3 Et1"/>
    <s v="Colombia"/>
    <d v="2017-11-14T00:00:00"/>
    <d v="2018-05-10T00:00:00"/>
    <s v="COP"/>
    <n v="15714000000"/>
    <n v="15714000000"/>
    <s v="COP"/>
    <n v="15714000000"/>
    <n v="5471486"/>
    <b v="0"/>
    <n v="1"/>
  </r>
  <r>
    <b v="1"/>
    <x v="0"/>
    <x v="0"/>
    <x v="2"/>
    <x v="0"/>
    <x v="1"/>
    <x v="14"/>
    <n v="0"/>
    <x v="29"/>
    <s v="9fc875791e3143a1bb3f864a304e8185"/>
    <s v="Green Bond 2017 - Davivienda"/>
    <x v="1"/>
    <x v="8"/>
    <s v="Residential"/>
    <s v="Residential Building #3 Et1"/>
    <s v="Colombia"/>
    <d v="2020-11-30T00:00:00"/>
    <d v="2020-11-30T00:00:00"/>
    <s v="COP"/>
    <n v="-15714000000"/>
    <n v="-15714000000"/>
    <s v="COP"/>
    <n v="-15714000000"/>
    <n v="-5471486"/>
    <b v="0"/>
    <n v="1"/>
  </r>
  <r>
    <b v="1"/>
    <x v="0"/>
    <x v="0"/>
    <x v="2"/>
    <x v="0"/>
    <x v="1"/>
    <x v="14"/>
    <n v="0"/>
    <x v="29"/>
    <s v="9fc875791e3143a1bb3f864a304e8185"/>
    <s v="Green Bond 2017 - Davivienda"/>
    <x v="1"/>
    <x v="8"/>
    <s v="Residential"/>
    <s v="Residential Building #3 Et1"/>
    <s v="Colombia"/>
    <d v="2017-11-14T00:00:00"/>
    <d v="2018-05-10T00:00:00"/>
    <s v="COP"/>
    <n v="15714000000"/>
    <n v="15714000000"/>
    <s v="COP"/>
    <n v="15714000000"/>
    <n v="5471486"/>
    <b v="0"/>
    <n v="1"/>
  </r>
  <r>
    <b v="1"/>
    <x v="0"/>
    <x v="0"/>
    <x v="2"/>
    <x v="0"/>
    <x v="1"/>
    <x v="14"/>
    <n v="0"/>
    <x v="29"/>
    <s v="9fc875791e3143a1bb3f864a304e8185"/>
    <s v="Green Bond 2017 - Davivienda"/>
    <x v="0"/>
    <x v="7"/>
    <s v="Commercial"/>
    <s v="Enterprise and Commercial Building #1"/>
    <s v="Colombia"/>
    <d v="2020-02-28T00:00:00"/>
    <d v="2020-02-28T00:00:00"/>
    <s v="COP"/>
    <n v="-31800000000"/>
    <n v="-31800000000"/>
    <s v="COP"/>
    <n v="-31800000000"/>
    <n v="-11072500"/>
    <b v="1"/>
    <n v="1"/>
  </r>
  <r>
    <b v="1"/>
    <x v="0"/>
    <x v="0"/>
    <x v="2"/>
    <x v="0"/>
    <x v="1"/>
    <x v="14"/>
    <n v="0"/>
    <x v="29"/>
    <s v="9fc875791e3143a1bb3f864a304e8185"/>
    <s v="Green Bond 2017 - Davivienda"/>
    <x v="0"/>
    <x v="7"/>
    <s v="Commercial"/>
    <s v="Enterprise and Commercial Building #1"/>
    <s v="Colombia"/>
    <d v="2015-06-16T00:00:00"/>
    <d v="2016-12-16T00:00:00"/>
    <s v="COP"/>
    <n v="31807000000"/>
    <n v="31800000000"/>
    <s v="COP"/>
    <n v="31800000000"/>
    <n v="11072500"/>
    <b v="1"/>
    <n v="1"/>
  </r>
  <r>
    <b v="1"/>
    <x v="0"/>
    <x v="0"/>
    <x v="2"/>
    <x v="0"/>
    <x v="1"/>
    <x v="14"/>
    <n v="0"/>
    <x v="29"/>
    <s v="9fc875791e3143a1bb3f864a304e8185"/>
    <s v="Green Bond 2017 - Davivienda"/>
    <x v="1"/>
    <x v="8"/>
    <s v="Commercial"/>
    <s v="Enterprise and Commercial Building #1"/>
    <s v="Colombia"/>
    <d v="2020-02-28T00:00:00"/>
    <d v="2020-02-28T00:00:00"/>
    <s v="COP"/>
    <n v="-31800000000"/>
    <n v="-31800000000"/>
    <s v="COP"/>
    <n v="-31800000000"/>
    <n v="-11072500"/>
    <b v="1"/>
    <n v="1"/>
  </r>
  <r>
    <b v="1"/>
    <x v="0"/>
    <x v="0"/>
    <x v="2"/>
    <x v="0"/>
    <x v="1"/>
    <x v="14"/>
    <n v="0"/>
    <x v="29"/>
    <s v="9fc875791e3143a1bb3f864a304e8185"/>
    <s v="Green Bond 2017 - Davivienda"/>
    <x v="1"/>
    <x v="8"/>
    <s v="Commercial"/>
    <s v="Enterprise and Commercial Building #1"/>
    <s v="Colombia"/>
    <d v="2015-06-16T00:00:00"/>
    <d v="2016-12-16T00:00:00"/>
    <s v="COP"/>
    <n v="31807000000"/>
    <n v="31800000000"/>
    <s v="COP"/>
    <n v="31800000000"/>
    <n v="11072500"/>
    <b v="1"/>
    <n v="1"/>
  </r>
  <r>
    <b v="1"/>
    <x v="0"/>
    <x v="0"/>
    <x v="2"/>
    <x v="0"/>
    <x v="1"/>
    <x v="14"/>
    <n v="0"/>
    <x v="29"/>
    <s v="9fc875791e3143a1bb3f864a304e8185"/>
    <s v="Green Bond 2017 - Davivienda"/>
    <x v="0"/>
    <x v="7"/>
    <s v="Residential"/>
    <s v="Residential Building #4"/>
    <s v="Colombia"/>
    <d v="2019-08-06T00:00:00"/>
    <d v="2019-04-23T00:00:00"/>
    <s v="COP"/>
    <n v="39400000000"/>
    <n v="19354681382"/>
    <s v="COP"/>
    <n v="19354681382"/>
    <n v="6739142"/>
    <b v="0"/>
    <n v="1"/>
  </r>
  <r>
    <b v="1"/>
    <x v="0"/>
    <x v="0"/>
    <x v="2"/>
    <x v="0"/>
    <x v="1"/>
    <x v="14"/>
    <n v="0"/>
    <x v="29"/>
    <s v="9fc875791e3143a1bb3f864a304e8185"/>
    <s v="Green Bond 2017 - Davivienda"/>
    <x v="1"/>
    <x v="8"/>
    <s v="Residential"/>
    <s v="Residential Building #4"/>
    <s v="Colombia"/>
    <d v="2019-08-06T00:00:00"/>
    <d v="2019-04-23T00:00:00"/>
    <s v="COP"/>
    <n v="39400000000"/>
    <n v="19354681382"/>
    <s v="COP"/>
    <n v="19354681382"/>
    <n v="6739142"/>
    <b v="0"/>
    <n v="1"/>
  </r>
  <r>
    <b v="1"/>
    <x v="0"/>
    <x v="0"/>
    <x v="2"/>
    <x v="0"/>
    <x v="1"/>
    <x v="14"/>
    <n v="0"/>
    <x v="29"/>
    <s v="9fc875791e3143a1bb3f864a304e8185"/>
    <s v="Green Bond 2017 - Davivienda"/>
    <x v="0"/>
    <x v="7"/>
    <s v="Commercial"/>
    <s v="Green Hotel Building #1"/>
    <s v="Colombia"/>
    <d v="2021-12-31T00:00:00"/>
    <d v="2021-12-31T00:00:00"/>
    <s v="COP"/>
    <n v="-50694021226"/>
    <n v="-2374682306"/>
    <s v="COP"/>
    <n v="-2374682306"/>
    <n v="-826845"/>
    <b v="0"/>
    <n v="1"/>
  </r>
  <r>
    <b v="1"/>
    <x v="0"/>
    <x v="0"/>
    <x v="2"/>
    <x v="0"/>
    <x v="1"/>
    <x v="14"/>
    <n v="0"/>
    <x v="29"/>
    <s v="9fc875791e3143a1bb3f864a304e8185"/>
    <s v="Green Bond 2017 - Davivienda"/>
    <x v="0"/>
    <x v="7"/>
    <s v="Commercial"/>
    <s v="Green Hotel Building #1"/>
    <s v="Colombia"/>
    <d v="2018-06-17T00:00:00"/>
    <d v="2017-04-12T00:00:00"/>
    <s v="COP"/>
    <n v="37978000000"/>
    <n v="50694021226"/>
    <s v="COP"/>
    <n v="50694021226"/>
    <n v="17651244"/>
    <b v="0"/>
    <n v="1"/>
  </r>
  <r>
    <b v="1"/>
    <x v="0"/>
    <x v="0"/>
    <x v="2"/>
    <x v="0"/>
    <x v="1"/>
    <x v="14"/>
    <n v="0"/>
    <x v="29"/>
    <s v="9fc875791e3143a1bb3f864a304e8185"/>
    <s v="Green Bond 2017 - Davivienda"/>
    <x v="1"/>
    <x v="8"/>
    <s v="Commercial"/>
    <s v="Green Hotel Building #1"/>
    <s v="Colombia"/>
    <d v="2021-12-31T00:00:00"/>
    <d v="2021-12-31T00:00:00"/>
    <s v="COP"/>
    <n v="-50694021226"/>
    <n v="-2374682306"/>
    <s v="COP"/>
    <n v="-2374682306"/>
    <n v="-826845"/>
    <b v="0"/>
    <n v="1"/>
  </r>
  <r>
    <b v="1"/>
    <x v="0"/>
    <x v="0"/>
    <x v="2"/>
    <x v="0"/>
    <x v="1"/>
    <x v="14"/>
    <n v="0"/>
    <x v="29"/>
    <s v="9fc875791e3143a1bb3f864a304e8185"/>
    <s v="Green Bond 2017 - Davivienda"/>
    <x v="1"/>
    <x v="8"/>
    <s v="Commercial"/>
    <s v="Green Hotel Building #1"/>
    <s v="Colombia"/>
    <d v="2018-06-17T00:00:00"/>
    <d v="2017-04-12T00:00:00"/>
    <s v="COP"/>
    <n v="37978000000"/>
    <n v="50694021226"/>
    <s v="COP"/>
    <n v="50694021226"/>
    <n v="17651244"/>
    <b v="0"/>
    <n v="1"/>
  </r>
  <r>
    <b v="1"/>
    <x v="0"/>
    <x v="0"/>
    <x v="2"/>
    <x v="0"/>
    <x v="1"/>
    <x v="14"/>
    <n v="0"/>
    <x v="29"/>
    <s v="9fc875791e3143a1bb3f864a304e8185"/>
    <s v="Green Bond 2017 - Davivienda"/>
    <x v="0"/>
    <x v="7"/>
    <s v="Residential"/>
    <s v="Residential Building #5"/>
    <s v="Colombia"/>
    <d v="2020-10-31T00:00:00"/>
    <d v="2020-10-31T00:00:00"/>
    <s v="COP"/>
    <n v="-22527000000"/>
    <n v="-22527000000"/>
    <s v="COP"/>
    <n v="-22527000000"/>
    <n v="-7843717"/>
    <b v="0"/>
    <n v="1"/>
  </r>
  <r>
    <b v="1"/>
    <x v="0"/>
    <x v="0"/>
    <x v="2"/>
    <x v="0"/>
    <x v="1"/>
    <x v="14"/>
    <n v="0"/>
    <x v="29"/>
    <s v="9fc875791e3143a1bb3f864a304e8185"/>
    <s v="Green Bond 2017 - Davivienda"/>
    <x v="0"/>
    <x v="7"/>
    <s v="Residential"/>
    <s v="Residential Building #5"/>
    <s v="Colombia"/>
    <d v="2017-06-13T00:00:00"/>
    <d v="2018-04-09T00:00:00"/>
    <s v="COP"/>
    <n v="58257000000"/>
    <n v="22527000000"/>
    <s v="COP"/>
    <n v="22527000000"/>
    <n v="7843717"/>
    <b v="0"/>
    <n v="1"/>
  </r>
  <r>
    <b v="1"/>
    <x v="0"/>
    <x v="0"/>
    <x v="2"/>
    <x v="0"/>
    <x v="1"/>
    <x v="14"/>
    <n v="0"/>
    <x v="29"/>
    <s v="9fc875791e3143a1bb3f864a304e8185"/>
    <s v="Green Bond 2017 - Davivienda"/>
    <x v="1"/>
    <x v="8"/>
    <s v="Residential"/>
    <s v="Residential Building #5"/>
    <s v="Colombia"/>
    <d v="2020-10-31T00:00:00"/>
    <d v="2020-10-31T00:00:00"/>
    <s v="COP"/>
    <n v="-22527000000"/>
    <n v="-22527000000"/>
    <s v="COP"/>
    <n v="-22527000000"/>
    <n v="-7843717"/>
    <b v="0"/>
    <n v="1"/>
  </r>
  <r>
    <b v="1"/>
    <x v="0"/>
    <x v="0"/>
    <x v="2"/>
    <x v="0"/>
    <x v="1"/>
    <x v="14"/>
    <n v="0"/>
    <x v="29"/>
    <s v="9fc875791e3143a1bb3f864a304e8185"/>
    <s v="Green Bond 2017 - Davivienda"/>
    <x v="1"/>
    <x v="8"/>
    <s v="Residential"/>
    <s v="Residential Building #5"/>
    <s v="Colombia"/>
    <d v="2017-06-13T00:00:00"/>
    <d v="2018-04-09T00:00:00"/>
    <s v="COP"/>
    <n v="58257000000"/>
    <n v="22527000000"/>
    <s v="COP"/>
    <n v="22527000000"/>
    <n v="7843717"/>
    <b v="0"/>
    <n v="1"/>
  </r>
  <r>
    <b v="1"/>
    <x v="0"/>
    <x v="0"/>
    <x v="2"/>
    <x v="0"/>
    <x v="1"/>
    <x v="14"/>
    <n v="0"/>
    <x v="29"/>
    <s v="9fc875791e3143a1bb3f864a304e8185"/>
    <s v="Green Bond 2017 - Davivienda"/>
    <x v="0"/>
    <x v="7"/>
    <s v="Commercial"/>
    <s v="Green Hotel Building #2"/>
    <s v="Colombia"/>
    <d v="2021-10-31T00:00:00"/>
    <d v="2021-10-31T00:00:00"/>
    <s v="COP"/>
    <n v="-144000000000"/>
    <n v="-144000000000"/>
    <s v="COP"/>
    <n v="-144000000000"/>
    <n v="-50139624"/>
    <b v="1"/>
    <n v="1"/>
  </r>
  <r>
    <b v="1"/>
    <x v="0"/>
    <x v="0"/>
    <x v="2"/>
    <x v="0"/>
    <x v="1"/>
    <x v="14"/>
    <n v="0"/>
    <x v="29"/>
    <s v="9fc875791e3143a1bb3f864a304e8185"/>
    <s v="Green Bond 2017 - Davivienda"/>
    <x v="0"/>
    <x v="7"/>
    <s v="Commercial"/>
    <s v="Green Hotel Building #2"/>
    <s v="Colombia"/>
    <d v="2017-04-12T00:00:00"/>
    <d v="2018-05-21T00:00:00"/>
    <s v="COP"/>
    <n v="144000000000"/>
    <n v="144000000000"/>
    <s v="COP"/>
    <n v="144000000000"/>
    <n v="50139624"/>
    <b v="1"/>
    <n v="1"/>
  </r>
  <r>
    <b v="1"/>
    <x v="0"/>
    <x v="0"/>
    <x v="2"/>
    <x v="0"/>
    <x v="1"/>
    <x v="14"/>
    <n v="0"/>
    <x v="29"/>
    <s v="9fc875791e3143a1bb3f864a304e8185"/>
    <s v="Green Bond 2017 - Davivienda"/>
    <x v="1"/>
    <x v="8"/>
    <s v="Commercial"/>
    <s v="Green Hotel Building #2"/>
    <s v="Colombia"/>
    <d v="2021-10-31T00:00:00"/>
    <d v="2021-10-31T00:00:00"/>
    <s v="COP"/>
    <n v="-144000000000"/>
    <n v="-144000000000"/>
    <s v="COP"/>
    <n v="-144000000000"/>
    <n v="-50139624"/>
    <b v="1"/>
    <n v="1"/>
  </r>
  <r>
    <b v="1"/>
    <x v="0"/>
    <x v="0"/>
    <x v="2"/>
    <x v="0"/>
    <x v="1"/>
    <x v="14"/>
    <n v="0"/>
    <x v="29"/>
    <s v="9fc875791e3143a1bb3f864a304e8185"/>
    <s v="Green Bond 2017 - Davivienda"/>
    <x v="1"/>
    <x v="8"/>
    <s v="Commercial"/>
    <s v="Green Hotel Building #2"/>
    <s v="Colombia"/>
    <d v="2017-04-12T00:00:00"/>
    <d v="2018-05-21T00:00:00"/>
    <s v="COP"/>
    <n v="144000000000"/>
    <n v="144000000000"/>
    <s v="COP"/>
    <n v="144000000000"/>
    <n v="50139624"/>
    <b v="1"/>
    <n v="1"/>
  </r>
  <r>
    <b v="1"/>
    <x v="0"/>
    <x v="0"/>
    <x v="2"/>
    <x v="0"/>
    <x v="1"/>
    <x v="14"/>
    <n v="0"/>
    <x v="29"/>
    <s v="9fc875791e3143a1bb3f864a304e8185"/>
    <s v="Green Bond 2017 - Davivienda"/>
    <x v="0"/>
    <x v="7"/>
    <s v="Residential"/>
    <s v="Residential Building #6 Et1"/>
    <s v="Colombia"/>
    <d v="2021-11-30T00:00:00"/>
    <d v="2021-11-30T00:00:00"/>
    <s v="COP"/>
    <n v="-20257997109"/>
    <n v="-20257997109"/>
    <s v="COP"/>
    <n v="-20257997109"/>
    <n v="-7053669"/>
    <b v="0"/>
    <n v="1"/>
  </r>
  <r>
    <b v="1"/>
    <x v="0"/>
    <x v="0"/>
    <x v="2"/>
    <x v="0"/>
    <x v="1"/>
    <x v="14"/>
    <n v="0"/>
    <x v="29"/>
    <s v="9fc875791e3143a1bb3f864a304e8185"/>
    <s v="Green Bond 2017 - Davivienda"/>
    <x v="0"/>
    <x v="7"/>
    <s v="Residential"/>
    <s v="Residential Building #6 Et1"/>
    <s v="Colombia"/>
    <d v="2019-02-12T00:00:00"/>
    <d v="2018-07-17T00:00:00"/>
    <s v="COP"/>
    <n v="20000000000"/>
    <n v="20257997109"/>
    <s v="COP"/>
    <n v="20257997109"/>
    <n v="7053669"/>
    <b v="0"/>
    <n v="1"/>
  </r>
  <r>
    <b v="1"/>
    <x v="0"/>
    <x v="0"/>
    <x v="2"/>
    <x v="0"/>
    <x v="1"/>
    <x v="14"/>
    <n v="0"/>
    <x v="29"/>
    <s v="9fc875791e3143a1bb3f864a304e8185"/>
    <s v="Green Bond 2017 - Davivienda"/>
    <x v="1"/>
    <x v="8"/>
    <s v="Residential"/>
    <s v="Residential Building #6 Et1"/>
    <s v="Colombia"/>
    <d v="2021-11-30T00:00:00"/>
    <d v="2021-11-30T00:00:00"/>
    <s v="COP"/>
    <n v="-20257997109"/>
    <n v="-20257997109"/>
    <s v="COP"/>
    <n v="-20257997109"/>
    <n v="-7053669"/>
    <b v="0"/>
    <n v="1"/>
  </r>
  <r>
    <b v="1"/>
    <x v="0"/>
    <x v="0"/>
    <x v="2"/>
    <x v="0"/>
    <x v="1"/>
    <x v="14"/>
    <n v="0"/>
    <x v="29"/>
    <s v="9fc875791e3143a1bb3f864a304e8185"/>
    <s v="Green Bond 2017 - Davivienda"/>
    <x v="1"/>
    <x v="8"/>
    <s v="Residential"/>
    <s v="Residential Building #6 Et1"/>
    <s v="Colombia"/>
    <d v="2019-02-12T00:00:00"/>
    <d v="2018-07-17T00:00:00"/>
    <s v="COP"/>
    <n v="20000000000"/>
    <n v="20257997109"/>
    <s v="COP"/>
    <n v="20257997109"/>
    <n v="7053669"/>
    <b v="0"/>
    <n v="1"/>
  </r>
  <r>
    <b v="1"/>
    <x v="0"/>
    <x v="0"/>
    <x v="2"/>
    <x v="0"/>
    <x v="1"/>
    <x v="14"/>
    <n v="0"/>
    <x v="29"/>
    <s v="9fc875791e3143a1bb3f864a304e8185"/>
    <s v="Green Bond 2017 - Davivienda"/>
    <x v="0"/>
    <x v="7"/>
    <s v="Residential"/>
    <s v="Residential Building #6 Et2"/>
    <s v="Colombia"/>
    <d v="2021-07-31T00:00:00"/>
    <d v="2021-07-31T00:00:00"/>
    <s v="COP"/>
    <n v="-2000000"/>
    <n v="-2000000"/>
    <s v="COP"/>
    <n v="-2000000"/>
    <n v="-696"/>
    <b v="0"/>
    <n v="1"/>
  </r>
  <r>
    <b v="1"/>
    <x v="0"/>
    <x v="0"/>
    <x v="2"/>
    <x v="0"/>
    <x v="1"/>
    <x v="14"/>
    <n v="0"/>
    <x v="29"/>
    <s v="9fc875791e3143a1bb3f864a304e8185"/>
    <s v="Green Bond 2017 - Davivienda"/>
    <x v="0"/>
    <x v="7"/>
    <s v="Residential"/>
    <s v="Residential Building #6 Et2"/>
    <s v="Colombia"/>
    <d v="2019-02-04T00:00:00"/>
    <d v="2018-07-17T00:00:00"/>
    <s v="COP"/>
    <n v="14000000000"/>
    <n v="2000000"/>
    <s v="COP"/>
    <n v="2000000"/>
    <n v="696"/>
    <b v="0"/>
    <n v="1"/>
  </r>
  <r>
    <b v="1"/>
    <x v="0"/>
    <x v="0"/>
    <x v="2"/>
    <x v="0"/>
    <x v="1"/>
    <x v="14"/>
    <n v="0"/>
    <x v="29"/>
    <s v="9fc875791e3143a1bb3f864a304e8185"/>
    <s v="Green Bond 2017 - Davivienda"/>
    <x v="1"/>
    <x v="8"/>
    <s v="Residential"/>
    <s v="Residential Building #6 Et2"/>
    <s v="Colombia"/>
    <d v="2021-07-31T00:00:00"/>
    <d v="2021-07-31T00:00:00"/>
    <s v="COP"/>
    <n v="-2000000"/>
    <n v="-2000000"/>
    <s v="COP"/>
    <n v="-2000000"/>
    <n v="-696"/>
    <b v="0"/>
    <n v="1"/>
  </r>
  <r>
    <b v="1"/>
    <x v="0"/>
    <x v="0"/>
    <x v="2"/>
    <x v="0"/>
    <x v="1"/>
    <x v="14"/>
    <n v="0"/>
    <x v="29"/>
    <s v="9fc875791e3143a1bb3f864a304e8185"/>
    <s v="Green Bond 2017 - Davivienda"/>
    <x v="1"/>
    <x v="8"/>
    <s v="Residential"/>
    <s v="Residential Building #6 Et2"/>
    <s v="Colombia"/>
    <d v="2019-02-04T00:00:00"/>
    <d v="2018-07-17T00:00:00"/>
    <s v="COP"/>
    <n v="14000000000"/>
    <n v="2000000"/>
    <s v="COP"/>
    <n v="2000000"/>
    <n v="696"/>
    <b v="0"/>
    <n v="1"/>
  </r>
  <r>
    <b v="1"/>
    <x v="0"/>
    <x v="0"/>
    <x v="2"/>
    <x v="0"/>
    <x v="1"/>
    <x v="14"/>
    <n v="0"/>
    <x v="29"/>
    <s v="9fc875791e3143a1bb3f864a304e8185"/>
    <s v="Green Bond 2017 - Davivienda"/>
    <x v="0"/>
    <x v="7"/>
    <s v="Residential"/>
    <s v="Residential Building #7"/>
    <s v="Colombia"/>
    <d v="2020-07-31T00:00:00"/>
    <d v="2020-07-31T00:00:00"/>
    <s v="COP"/>
    <n v="-11343000000"/>
    <n v="-11343000000"/>
    <s v="COP"/>
    <n v="-11343000000"/>
    <n v="-3949540"/>
    <b v="0"/>
    <n v="1"/>
  </r>
  <r>
    <b v="1"/>
    <x v="0"/>
    <x v="0"/>
    <x v="2"/>
    <x v="0"/>
    <x v="1"/>
    <x v="14"/>
    <n v="0"/>
    <x v="29"/>
    <s v="9fc875791e3143a1bb3f864a304e8185"/>
    <s v="Green Bond 2017 - Davivienda"/>
    <x v="0"/>
    <x v="7"/>
    <s v="Residential"/>
    <s v="Residential Building #7"/>
    <s v="Colombia"/>
    <d v="2019-03-05T00:00:00"/>
    <d v="2019-08-06T00:00:00"/>
    <s v="COP"/>
    <n v="22938000000"/>
    <n v="11343000000"/>
    <s v="COP"/>
    <n v="11343000000"/>
    <n v="3949540"/>
    <b v="0"/>
    <n v="1"/>
  </r>
  <r>
    <b v="1"/>
    <x v="0"/>
    <x v="0"/>
    <x v="2"/>
    <x v="0"/>
    <x v="1"/>
    <x v="14"/>
    <n v="0"/>
    <x v="29"/>
    <s v="9fc875791e3143a1bb3f864a304e8185"/>
    <s v="Green Bond 2017 - Davivienda"/>
    <x v="1"/>
    <x v="8"/>
    <s v="Residential"/>
    <s v="Residential Building #7"/>
    <s v="Colombia"/>
    <d v="2020-07-31T00:00:00"/>
    <d v="2020-07-31T00:00:00"/>
    <s v="COP"/>
    <n v="-11343000000"/>
    <n v="-11343000000"/>
    <s v="COP"/>
    <n v="-11343000000"/>
    <n v="-3949540"/>
    <b v="0"/>
    <n v="1"/>
  </r>
  <r>
    <b v="1"/>
    <x v="0"/>
    <x v="0"/>
    <x v="2"/>
    <x v="0"/>
    <x v="1"/>
    <x v="14"/>
    <n v="0"/>
    <x v="29"/>
    <s v="9fc875791e3143a1bb3f864a304e8185"/>
    <s v="Green Bond 2017 - Davivienda"/>
    <x v="1"/>
    <x v="8"/>
    <s v="Residential"/>
    <s v="Residential Building #7"/>
    <s v="Colombia"/>
    <d v="2019-03-05T00:00:00"/>
    <d v="2019-08-06T00:00:00"/>
    <s v="COP"/>
    <n v="22938000000"/>
    <n v="11343000000"/>
    <s v="COP"/>
    <n v="11343000000"/>
    <n v="3949540"/>
    <b v="0"/>
    <n v="1"/>
  </r>
  <r>
    <b v="1"/>
    <x v="0"/>
    <x v="0"/>
    <x v="2"/>
    <x v="0"/>
    <x v="1"/>
    <x v="14"/>
    <n v="0"/>
    <x v="29"/>
    <s v="9fc875791e3143a1bb3f864a304e8185"/>
    <s v="Green Bond 2017 - Davivienda"/>
    <x v="0"/>
    <x v="7"/>
    <s v="Residential"/>
    <s v="Residential Building #3 Et2"/>
    <s v="Colombia"/>
    <d v="2020-11-30T00:00:00"/>
    <d v="2020-11-30T00:00:00"/>
    <s v="COP"/>
    <n v="-7413000000"/>
    <n v="-7413000000"/>
    <s v="COP"/>
    <n v="-7413000000"/>
    <n v="-2581146"/>
    <b v="0"/>
    <n v="1"/>
  </r>
  <r>
    <b v="1"/>
    <x v="0"/>
    <x v="0"/>
    <x v="2"/>
    <x v="0"/>
    <x v="1"/>
    <x v="14"/>
    <n v="0"/>
    <x v="29"/>
    <s v="9fc875791e3143a1bb3f864a304e8185"/>
    <s v="Green Bond 2017 - Davivienda"/>
    <x v="0"/>
    <x v="7"/>
    <s v="Residential"/>
    <s v="Residential Building #3 Et2"/>
    <s v="Colombia"/>
    <d v="2018-12-21T00:00:00"/>
    <d v="2019-09-05T00:00:00"/>
    <s v="COP"/>
    <n v="9801000000"/>
    <n v="7413000000"/>
    <s v="COP"/>
    <n v="7413000000"/>
    <n v="2581146"/>
    <b v="0"/>
    <n v="1"/>
  </r>
  <r>
    <b v="1"/>
    <x v="0"/>
    <x v="0"/>
    <x v="2"/>
    <x v="0"/>
    <x v="1"/>
    <x v="14"/>
    <n v="0"/>
    <x v="29"/>
    <s v="9fc875791e3143a1bb3f864a304e8185"/>
    <s v="Green Bond 2017 - Davivienda"/>
    <x v="1"/>
    <x v="8"/>
    <s v="Residential"/>
    <s v="Residential Building #3 Et2"/>
    <s v="Colombia"/>
    <d v="2020-11-30T00:00:00"/>
    <d v="2020-11-30T00:00:00"/>
    <s v="COP"/>
    <n v="-7413000000"/>
    <n v="-7413000000"/>
    <s v="COP"/>
    <n v="-7413000000"/>
    <n v="-2581146"/>
    <b v="0"/>
    <n v="1"/>
  </r>
  <r>
    <b v="1"/>
    <x v="0"/>
    <x v="0"/>
    <x v="2"/>
    <x v="0"/>
    <x v="1"/>
    <x v="14"/>
    <n v="0"/>
    <x v="29"/>
    <s v="9fc875791e3143a1bb3f864a304e8185"/>
    <s v="Green Bond 2017 - Davivienda"/>
    <x v="1"/>
    <x v="8"/>
    <s v="Residential"/>
    <s v="Residential Building #3 Et2"/>
    <s v="Colombia"/>
    <d v="2018-12-21T00:00:00"/>
    <d v="2019-09-05T00:00:00"/>
    <s v="COP"/>
    <n v="9801000000"/>
    <n v="7413000000"/>
    <s v="COP"/>
    <n v="7413000000"/>
    <n v="2581146"/>
    <b v="0"/>
    <n v="1"/>
  </r>
  <r>
    <b v="1"/>
    <x v="0"/>
    <x v="0"/>
    <x v="2"/>
    <x v="0"/>
    <x v="1"/>
    <x v="14"/>
    <n v="0"/>
    <x v="29"/>
    <s v="9fc875791e3143a1bb3f864a304e8185"/>
    <s v="Green Bond 2017 - Davivienda"/>
    <x v="0"/>
    <x v="7"/>
    <s v="Commercial"/>
    <s v="Commercial Building #3"/>
    <s v="Colombia"/>
    <d v="2016-01-20T00:00:00"/>
    <d v="2018-06-06T00:00:00"/>
    <s v="COP"/>
    <n v="145000000000"/>
    <n v="74281902896"/>
    <s v="COP"/>
    <n v="74281902896"/>
    <n v="25864352"/>
    <b v="0"/>
    <n v="1"/>
  </r>
  <r>
    <b v="1"/>
    <x v="0"/>
    <x v="0"/>
    <x v="2"/>
    <x v="0"/>
    <x v="1"/>
    <x v="14"/>
    <n v="0"/>
    <x v="29"/>
    <s v="9fc875791e3143a1bb3f864a304e8185"/>
    <s v="Green Bond 2017 - Davivienda"/>
    <x v="1"/>
    <x v="8"/>
    <s v="Commercial"/>
    <s v="Commercial Building #3"/>
    <s v="Colombia"/>
    <d v="2016-01-20T00:00:00"/>
    <d v="2018-06-06T00:00:00"/>
    <s v="COP"/>
    <n v="145000000000"/>
    <n v="74281902896"/>
    <s v="COP"/>
    <n v="74281902896"/>
    <n v="25864352"/>
    <b v="0"/>
    <n v="1"/>
  </r>
  <r>
    <b v="1"/>
    <x v="0"/>
    <x v="0"/>
    <x v="2"/>
    <x v="0"/>
    <x v="1"/>
    <x v="14"/>
    <n v="0"/>
    <x v="29"/>
    <s v="9fc875791e3143a1bb3f864a304e8185"/>
    <s v="Green Bond 2017 - Davivienda"/>
    <x v="0"/>
    <x v="7"/>
    <s v="Commercial"/>
    <s v="Enterprise and Commercial Building #2"/>
    <s v="Colombia"/>
    <d v="2017-07-28T00:00:00"/>
    <d v="2017-07-28T00:00:00"/>
    <s v="COP"/>
    <n v="-14562000000"/>
    <n v="-14562000000"/>
    <s v="COP"/>
    <n v="-14562000000"/>
    <n v="-5070369"/>
    <b v="1"/>
    <n v="1"/>
  </r>
  <r>
    <b v="1"/>
    <x v="0"/>
    <x v="0"/>
    <x v="2"/>
    <x v="0"/>
    <x v="1"/>
    <x v="14"/>
    <n v="0"/>
    <x v="29"/>
    <s v="9fc875791e3143a1bb3f864a304e8185"/>
    <s v="Green Bond 2017 - Davivienda"/>
    <x v="0"/>
    <x v="7"/>
    <s v="Commercial"/>
    <s v="Enterprise and Commercial Building #2"/>
    <s v="Colombia"/>
    <d v="2014-09-23T00:00:00"/>
    <d v="2018-02-07T00:00:00"/>
    <s v="COP"/>
    <n v="31785000000"/>
    <n v="14562000000"/>
    <s v="COP"/>
    <n v="14562000000"/>
    <n v="5070369"/>
    <b v="1"/>
    <n v="1"/>
  </r>
  <r>
    <b v="1"/>
    <x v="0"/>
    <x v="0"/>
    <x v="2"/>
    <x v="0"/>
    <x v="1"/>
    <x v="14"/>
    <n v="0"/>
    <x v="29"/>
    <s v="9fc875791e3143a1bb3f864a304e8185"/>
    <s v="Green Bond 2017 - Davivienda"/>
    <x v="1"/>
    <x v="8"/>
    <s v="Commercial"/>
    <s v="Enterprise and Commercial Building #2"/>
    <s v="Colombia"/>
    <d v="2017-07-28T00:00:00"/>
    <d v="2017-07-28T00:00:00"/>
    <s v="COP"/>
    <n v="-14562000000"/>
    <n v="-14562000000"/>
    <s v="COP"/>
    <n v="-14562000000"/>
    <n v="-5070369"/>
    <b v="1"/>
    <n v="1"/>
  </r>
  <r>
    <b v="1"/>
    <x v="0"/>
    <x v="0"/>
    <x v="2"/>
    <x v="0"/>
    <x v="1"/>
    <x v="14"/>
    <n v="0"/>
    <x v="29"/>
    <s v="9fc875791e3143a1bb3f864a304e8185"/>
    <s v="Green Bond 2017 - Davivienda"/>
    <x v="1"/>
    <x v="8"/>
    <s v="Commercial"/>
    <s v="Enterprise and Commercial Building #2"/>
    <s v="Colombia"/>
    <d v="2014-09-23T00:00:00"/>
    <d v="2018-02-07T00:00:00"/>
    <s v="COP"/>
    <n v="31785000000"/>
    <n v="14562000000"/>
    <s v="COP"/>
    <n v="14562000000"/>
    <n v="5070369"/>
    <b v="1"/>
    <n v="1"/>
  </r>
  <r>
    <b v="1"/>
    <x v="0"/>
    <x v="0"/>
    <x v="2"/>
    <x v="0"/>
    <x v="1"/>
    <x v="14"/>
    <n v="0"/>
    <x v="29"/>
    <s v="9fc875791e3143a1bb3f864a304e8185"/>
    <s v="Green Bond 2017 - Davivienda"/>
    <x v="0"/>
    <x v="7"/>
    <s v="Commercial"/>
    <s v="Green Hotel Building #3"/>
    <s v="Colombia"/>
    <d v="2018-03-20T00:00:00"/>
    <d v="2016-12-16T00:00:00"/>
    <s v="COP"/>
    <n v="105000000000"/>
    <n v="61180000000"/>
    <s v="COP"/>
    <n v="61180000000"/>
    <n v="21302376"/>
    <b v="0"/>
    <n v="1"/>
  </r>
  <r>
    <b v="1"/>
    <x v="0"/>
    <x v="0"/>
    <x v="2"/>
    <x v="0"/>
    <x v="1"/>
    <x v="14"/>
    <n v="0"/>
    <x v="29"/>
    <s v="9fc875791e3143a1bb3f864a304e8185"/>
    <s v="Green Bond 2017 - Davivienda"/>
    <x v="1"/>
    <x v="8"/>
    <s v="Commercial"/>
    <s v="Green Hotel Building #3"/>
    <s v="Colombia"/>
    <d v="2018-03-20T00:00:00"/>
    <d v="2016-12-16T00:00:00"/>
    <s v="COP"/>
    <n v="105000000000"/>
    <n v="61180000000"/>
    <s v="COP"/>
    <n v="61180000000"/>
    <n v="21302376"/>
    <b v="0"/>
    <n v="1"/>
  </r>
  <r>
    <b v="1"/>
    <x v="0"/>
    <x v="0"/>
    <x v="2"/>
    <x v="0"/>
    <x v="1"/>
    <x v="14"/>
    <n v="0"/>
    <x v="29"/>
    <s v="9fc875791e3143a1bb3f864a304e8185"/>
    <s v="Green Bond 2017 - Davivienda"/>
    <x v="0"/>
    <x v="7"/>
    <s v="Commercial"/>
    <s v="Enterprise and Commercial Building #3"/>
    <s v="Colombia"/>
    <d v="2021-12-31T00:00:00"/>
    <d v="2021-12-31T00:00:00"/>
    <s v="COP"/>
    <n v="-27000000000"/>
    <n v="-25971335853"/>
    <s v="COP"/>
    <n v="-25971335853"/>
    <n v="-9043007"/>
    <b v="0"/>
    <n v="1"/>
  </r>
  <r>
    <b v="1"/>
    <x v="0"/>
    <x v="0"/>
    <x v="2"/>
    <x v="0"/>
    <x v="1"/>
    <x v="14"/>
    <n v="0"/>
    <x v="29"/>
    <s v="9fc875791e3143a1bb3f864a304e8185"/>
    <s v="Green Bond 2017 - Davivienda"/>
    <x v="0"/>
    <x v="7"/>
    <s v="Commercial"/>
    <s v="Enterprise and Commercial Building #3"/>
    <s v="Colombia"/>
    <d v="2014-06-10T00:00:00"/>
    <d v="2016-04-28T00:00:00"/>
    <s v="COP"/>
    <n v="29000000000"/>
    <n v="27000000000"/>
    <s v="COP"/>
    <n v="27000000000"/>
    <n v="9401179"/>
    <b v="0"/>
    <n v="1"/>
  </r>
  <r>
    <b v="1"/>
    <x v="0"/>
    <x v="0"/>
    <x v="2"/>
    <x v="0"/>
    <x v="1"/>
    <x v="14"/>
    <n v="0"/>
    <x v="29"/>
    <s v="9fc875791e3143a1bb3f864a304e8185"/>
    <s v="Green Bond 2017 - Davivienda"/>
    <x v="1"/>
    <x v="8"/>
    <s v="Commercial"/>
    <s v="Enterprise and Commercial Building #3"/>
    <s v="Colombia"/>
    <d v="2021-12-31T00:00:00"/>
    <d v="2021-12-31T00:00:00"/>
    <s v="COP"/>
    <n v="-27000000000"/>
    <n v="-25971335853"/>
    <s v="COP"/>
    <n v="-25971335853"/>
    <n v="-9043007"/>
    <b v="0"/>
    <n v="1"/>
  </r>
  <r>
    <b v="1"/>
    <x v="0"/>
    <x v="0"/>
    <x v="2"/>
    <x v="0"/>
    <x v="1"/>
    <x v="14"/>
    <n v="0"/>
    <x v="29"/>
    <s v="9fc875791e3143a1bb3f864a304e8185"/>
    <s v="Green Bond 2017 - Davivienda"/>
    <x v="1"/>
    <x v="8"/>
    <s v="Commercial"/>
    <s v="Enterprise and Commercial Building #3"/>
    <s v="Colombia"/>
    <d v="2014-06-10T00:00:00"/>
    <d v="2016-04-28T00:00:00"/>
    <s v="COP"/>
    <n v="29000000000"/>
    <n v="27000000000"/>
    <s v="COP"/>
    <n v="27000000000"/>
    <n v="9401179"/>
    <b v="0"/>
    <n v="1"/>
  </r>
  <r>
    <b v="1"/>
    <x v="0"/>
    <x v="0"/>
    <x v="1"/>
    <x v="0"/>
    <x v="1"/>
    <x v="14"/>
    <n v="0"/>
    <x v="30"/>
    <s v="8d5678c837d04ad1b519d55593035eaa"/>
    <s v="ERGON PER√ö - BONO VERDE"/>
    <x v="0"/>
    <x v="0"/>
    <s v="Solar"/>
    <s v="Masivo Fotovoltaico - Electrificaci√≥n de las √°reas rurales"/>
    <s v="Peru"/>
    <d v="2020-07-31T00:00:00"/>
    <d v="2020-12-31T00:00:00"/>
    <s v="USD"/>
    <n v="9381538"/>
    <n v="40623538"/>
    <s v="USD"/>
    <n v="40623538"/>
    <n v="40623538"/>
    <b v="0"/>
    <n v="0.22"/>
  </r>
  <r>
    <b v="1"/>
    <x v="0"/>
    <x v="0"/>
    <x v="1"/>
    <x v="0"/>
    <x v="1"/>
    <x v="14"/>
    <n v="0"/>
    <x v="30"/>
    <s v="8d5678c837d04ad1b519d55593035eaa"/>
    <s v="ERGON PER√ö - BONO VERDE"/>
    <x v="0"/>
    <x v="0"/>
    <s v="Solar"/>
    <s v="Masivo Fotovoltaico - Electrificaci√≥n de las √°reas rurales"/>
    <s v="Peru"/>
    <d v="2019-12-31T00:00:00"/>
    <d v="2019-12-31T00:00:00"/>
    <s v="USD"/>
    <n v="209889000"/>
    <n v="178647000"/>
    <s v="USD"/>
    <n v="178647000"/>
    <n v="178647000"/>
    <b v="0"/>
    <n v="0.22"/>
  </r>
  <r>
    <b v="1"/>
    <x v="0"/>
    <x v="0"/>
    <x v="1"/>
    <x v="0"/>
    <x v="1"/>
    <x v="14"/>
    <n v="0"/>
    <x v="30"/>
    <s v="8d5678c837d04ad1b519d55593035eaa"/>
    <s v="ERGON PER√ö - BONO VERDE"/>
    <x v="1"/>
    <x v="1"/>
    <s v="Generation"/>
    <s v="Masivo Fotovoltaico - Electrificaci√≥n de las √°reas rurales"/>
    <s v="Peru"/>
    <d v="2020-07-31T00:00:00"/>
    <d v="2020-12-31T00:00:00"/>
    <s v="USD"/>
    <n v="9381538"/>
    <n v="40623538"/>
    <s v="USD"/>
    <n v="40623538"/>
    <n v="40623538"/>
    <b v="0"/>
    <n v="0.22"/>
  </r>
  <r>
    <b v="1"/>
    <x v="0"/>
    <x v="0"/>
    <x v="1"/>
    <x v="0"/>
    <x v="1"/>
    <x v="14"/>
    <n v="0"/>
    <x v="30"/>
    <s v="8d5678c837d04ad1b519d55593035eaa"/>
    <s v="ERGON PER√ö - BONO VERDE"/>
    <x v="1"/>
    <x v="1"/>
    <s v="Generation"/>
    <s v="Masivo Fotovoltaico - Electrificaci√≥n de las √°reas rurales"/>
    <s v="Peru"/>
    <d v="2019-12-31T00:00:00"/>
    <d v="2019-12-31T00:00:00"/>
    <s v="USD"/>
    <n v="209889000"/>
    <n v="178647000"/>
    <s v="USD"/>
    <n v="178647000"/>
    <n v="178647000"/>
    <b v="0"/>
    <n v="0.22"/>
  </r>
  <r>
    <b v="1"/>
    <x v="0"/>
    <x v="0"/>
    <x v="2"/>
    <x v="0"/>
    <x v="1"/>
    <x v="14"/>
    <n v="0"/>
    <x v="29"/>
    <s v="9fc875791e3143a1bb3f864a304e8185"/>
    <s v="Green Bond 2017 - Davivienda"/>
    <x v="0"/>
    <x v="7"/>
    <s v="Residential"/>
    <s v="Residential Building #17 Et3"/>
    <s v="Colombia"/>
    <d v="2020-10-28T00:00:00"/>
    <d v="2021-09-07T00:00:00"/>
    <s v="COP"/>
    <n v="14500000000"/>
    <n v="2434000000"/>
    <s v="COP"/>
    <n v="2434000000"/>
    <n v="847498"/>
    <b v="0"/>
    <n v="1"/>
  </r>
  <r>
    <b v="1"/>
    <x v="0"/>
    <x v="0"/>
    <x v="2"/>
    <x v="0"/>
    <x v="1"/>
    <x v="14"/>
    <n v="0"/>
    <x v="29"/>
    <s v="9fc875791e3143a1bb3f864a304e8185"/>
    <s v="Green Bond 2017 - Davivienda"/>
    <x v="1"/>
    <x v="8"/>
    <s v="Residential"/>
    <s v="Residential Building #17 Et3"/>
    <s v="Colombia"/>
    <d v="2020-10-28T00:00:00"/>
    <d v="2021-09-07T00:00:00"/>
    <s v="COP"/>
    <n v="14500000000"/>
    <n v="2434000000"/>
    <s v="COP"/>
    <n v="2434000000"/>
    <n v="847498"/>
    <b v="0"/>
    <n v="1"/>
  </r>
  <r>
    <b v="1"/>
    <x v="0"/>
    <x v="0"/>
    <x v="2"/>
    <x v="0"/>
    <x v="1"/>
    <x v="14"/>
    <n v="0"/>
    <x v="29"/>
    <s v="9fc875791e3143a1bb3f864a304e8185"/>
    <s v="Green Bond 2017 - Davivienda"/>
    <x v="2"/>
    <x v="9"/>
    <s v="Unspecified"/>
    <s v="Residential Building #17 Et3"/>
    <s v="Colombia"/>
    <d v="2020-10-28T00:00:00"/>
    <d v="2021-09-07T00:00:00"/>
    <s v="COP"/>
    <n v="14500000000"/>
    <n v="2434000000"/>
    <s v="COP"/>
    <n v="2434000000"/>
    <n v="847498"/>
    <b v="0"/>
    <n v="1"/>
  </r>
  <r>
    <b v="1"/>
    <x v="0"/>
    <x v="0"/>
    <x v="2"/>
    <x v="0"/>
    <x v="1"/>
    <x v="14"/>
    <n v="0"/>
    <x v="29"/>
    <s v="9fc875791e3143a1bb3f864a304e8185"/>
    <s v="Green Bond 2017 - Davivienda"/>
    <x v="3"/>
    <x v="9"/>
    <s v="Unspecified"/>
    <s v="Residential Building #17 Et3"/>
    <s v="Colombia"/>
    <d v="2020-10-28T00:00:00"/>
    <d v="2021-09-07T00:00:00"/>
    <s v="COP"/>
    <n v="14500000000"/>
    <n v="2434000000"/>
    <s v="COP"/>
    <n v="2434000000"/>
    <n v="847498"/>
    <b v="0"/>
    <n v="1"/>
  </r>
  <r>
    <b v="1"/>
    <x v="0"/>
    <x v="0"/>
    <x v="2"/>
    <x v="0"/>
    <x v="1"/>
    <x v="14"/>
    <n v="0"/>
    <x v="29"/>
    <s v="9fc875791e3143a1bb3f864a304e8185"/>
    <s v="Green Bond 2017 - Davivienda"/>
    <x v="0"/>
    <x v="7"/>
    <s v="Residential"/>
    <s v="Residential Building #8 Et1"/>
    <s v="Colombia"/>
    <d v="2021-02-28T00:00:00"/>
    <d v="2021-02-28T00:00:00"/>
    <s v="COP"/>
    <n v="-28222000000"/>
    <n v="-28222000000"/>
    <s v="COP"/>
    <n v="-28222000000"/>
    <n v="-9826670"/>
    <b v="0"/>
    <n v="1"/>
  </r>
  <r>
    <b v="1"/>
    <x v="0"/>
    <x v="0"/>
    <x v="2"/>
    <x v="0"/>
    <x v="1"/>
    <x v="14"/>
    <n v="0"/>
    <x v="29"/>
    <s v="9fc875791e3143a1bb3f864a304e8185"/>
    <s v="Green Bond 2017 - Davivienda"/>
    <x v="0"/>
    <x v="7"/>
    <s v="Residential"/>
    <s v="Residential Building #8 Et1"/>
    <s v="Colombia"/>
    <d v="2018-07-31T00:00:00"/>
    <d v="2018-11-09T00:00:00"/>
    <s v="COP"/>
    <n v="30907000000"/>
    <n v="28222000000"/>
    <s v="COP"/>
    <n v="28222000000"/>
    <n v="9826670"/>
    <b v="0"/>
    <n v="1"/>
  </r>
  <r>
    <b v="1"/>
    <x v="0"/>
    <x v="0"/>
    <x v="2"/>
    <x v="0"/>
    <x v="1"/>
    <x v="14"/>
    <n v="0"/>
    <x v="29"/>
    <s v="9fc875791e3143a1bb3f864a304e8185"/>
    <s v="Green Bond 2017 - Davivienda"/>
    <x v="1"/>
    <x v="8"/>
    <s v="Residential"/>
    <s v="Residential Building #8 Et1"/>
    <s v="Colombia"/>
    <d v="2021-02-28T00:00:00"/>
    <d v="2021-02-28T00:00:00"/>
    <s v="COP"/>
    <n v="-28222000000"/>
    <n v="-28222000000"/>
    <s v="COP"/>
    <n v="-28222000000"/>
    <n v="-9826670"/>
    <b v="0"/>
    <n v="1"/>
  </r>
  <r>
    <b v="1"/>
    <x v="0"/>
    <x v="0"/>
    <x v="2"/>
    <x v="0"/>
    <x v="1"/>
    <x v="14"/>
    <n v="0"/>
    <x v="29"/>
    <s v="9fc875791e3143a1bb3f864a304e8185"/>
    <s v="Green Bond 2017 - Davivienda"/>
    <x v="1"/>
    <x v="8"/>
    <s v="Residential"/>
    <s v="Residential Building #8 Et1"/>
    <s v="Colombia"/>
    <d v="2018-07-31T00:00:00"/>
    <d v="2018-11-09T00:00:00"/>
    <s v="COP"/>
    <n v="30907000000"/>
    <n v="28222000000"/>
    <s v="COP"/>
    <n v="28222000000"/>
    <n v="9826670"/>
    <b v="0"/>
    <n v="1"/>
  </r>
  <r>
    <b v="1"/>
    <x v="0"/>
    <x v="0"/>
    <x v="2"/>
    <x v="0"/>
    <x v="1"/>
    <x v="14"/>
    <n v="0"/>
    <x v="29"/>
    <s v="9fc875791e3143a1bb3f864a304e8185"/>
    <s v="Green Bond 2017 - Davivienda"/>
    <x v="2"/>
    <x v="9"/>
    <s v="Unspecified"/>
    <s v="Residential Building #8 Et1"/>
    <s v="Colombia"/>
    <d v="2021-02-28T00:00:00"/>
    <d v="2021-02-28T00:00:00"/>
    <s v="COP"/>
    <n v="-28222000000"/>
    <n v="-28222000000"/>
    <s v="COP"/>
    <n v="-28222000000"/>
    <n v="-9826670"/>
    <b v="0"/>
    <n v="1"/>
  </r>
  <r>
    <b v="1"/>
    <x v="0"/>
    <x v="0"/>
    <x v="2"/>
    <x v="0"/>
    <x v="1"/>
    <x v="14"/>
    <n v="0"/>
    <x v="29"/>
    <s v="9fc875791e3143a1bb3f864a304e8185"/>
    <s v="Green Bond 2017 - Davivienda"/>
    <x v="2"/>
    <x v="9"/>
    <s v="Unspecified"/>
    <s v="Residential Building #8 Et1"/>
    <s v="Colombia"/>
    <d v="2018-07-31T00:00:00"/>
    <d v="2018-11-09T00:00:00"/>
    <s v="COP"/>
    <n v="30907000000"/>
    <n v="28222000000"/>
    <s v="COP"/>
    <n v="28222000000"/>
    <n v="9826670"/>
    <b v="0"/>
    <n v="1"/>
  </r>
  <r>
    <b v="1"/>
    <x v="0"/>
    <x v="0"/>
    <x v="2"/>
    <x v="0"/>
    <x v="1"/>
    <x v="14"/>
    <n v="0"/>
    <x v="29"/>
    <s v="9fc875791e3143a1bb3f864a304e8185"/>
    <s v="Green Bond 2017 - Davivienda"/>
    <x v="3"/>
    <x v="9"/>
    <s v="Unspecified"/>
    <s v="Residential Building #8 Et1"/>
    <s v="Colombia"/>
    <d v="2021-02-28T00:00:00"/>
    <d v="2021-02-28T00:00:00"/>
    <s v="COP"/>
    <n v="-28222000000"/>
    <n v="-28222000000"/>
    <s v="COP"/>
    <n v="-28222000000"/>
    <n v="-9826670"/>
    <b v="0"/>
    <n v="1"/>
  </r>
  <r>
    <b v="1"/>
    <x v="0"/>
    <x v="0"/>
    <x v="2"/>
    <x v="0"/>
    <x v="1"/>
    <x v="14"/>
    <n v="0"/>
    <x v="29"/>
    <s v="9fc875791e3143a1bb3f864a304e8185"/>
    <s v="Green Bond 2017 - Davivienda"/>
    <x v="3"/>
    <x v="9"/>
    <s v="Unspecified"/>
    <s v="Residential Building #8 Et1"/>
    <s v="Colombia"/>
    <d v="2018-07-31T00:00:00"/>
    <d v="2018-11-09T00:00:00"/>
    <s v="COP"/>
    <n v="30907000000"/>
    <n v="28222000000"/>
    <s v="COP"/>
    <n v="28222000000"/>
    <n v="9826670"/>
    <b v="0"/>
    <n v="1"/>
  </r>
  <r>
    <b v="1"/>
    <x v="0"/>
    <x v="0"/>
    <x v="2"/>
    <x v="0"/>
    <x v="1"/>
    <x v="14"/>
    <n v="0"/>
    <x v="29"/>
    <s v="9fc875791e3143a1bb3f864a304e8185"/>
    <s v="Green Bond 2017 - Davivienda"/>
    <x v="0"/>
    <x v="7"/>
    <s v="Residential"/>
    <s v="Residential Building #8 Et2"/>
    <s v="Colombia"/>
    <d v="2021-02-28T00:00:00"/>
    <d v="2021-02-28T00:00:00"/>
    <s v="COP"/>
    <n v="-13785000000"/>
    <n v="-13785000000"/>
    <s v="COP"/>
    <n v="-13785000000"/>
    <n v="-4799824"/>
    <b v="0"/>
    <n v="1"/>
  </r>
  <r>
    <b v="1"/>
    <x v="0"/>
    <x v="0"/>
    <x v="2"/>
    <x v="0"/>
    <x v="1"/>
    <x v="14"/>
    <n v="0"/>
    <x v="29"/>
    <s v="9fc875791e3143a1bb3f864a304e8185"/>
    <s v="Green Bond 2017 - Davivienda"/>
    <x v="0"/>
    <x v="7"/>
    <s v="Residential"/>
    <s v="Residential Building #8 Et2"/>
    <s v="Colombia"/>
    <d v="2018-07-31T00:00:00"/>
    <d v="2018-11-14T00:00:00"/>
    <s v="COP"/>
    <n v="29784000000"/>
    <n v="13785000000"/>
    <s v="COP"/>
    <n v="13785000000"/>
    <n v="4799824"/>
    <b v="0"/>
    <n v="1"/>
  </r>
  <r>
    <b v="1"/>
    <x v="0"/>
    <x v="0"/>
    <x v="2"/>
    <x v="0"/>
    <x v="1"/>
    <x v="14"/>
    <n v="0"/>
    <x v="29"/>
    <s v="9fc875791e3143a1bb3f864a304e8185"/>
    <s v="Green Bond 2017 - Davivienda"/>
    <x v="1"/>
    <x v="8"/>
    <s v="Residential"/>
    <s v="Residential Building #8 Et2"/>
    <s v="Colombia"/>
    <d v="2021-02-28T00:00:00"/>
    <d v="2021-02-28T00:00:00"/>
    <s v="COP"/>
    <n v="-13785000000"/>
    <n v="-13785000000"/>
    <s v="COP"/>
    <n v="-13785000000"/>
    <n v="-4799824"/>
    <b v="0"/>
    <n v="1"/>
  </r>
  <r>
    <b v="1"/>
    <x v="0"/>
    <x v="0"/>
    <x v="2"/>
    <x v="0"/>
    <x v="1"/>
    <x v="14"/>
    <n v="0"/>
    <x v="29"/>
    <s v="9fc875791e3143a1bb3f864a304e8185"/>
    <s v="Green Bond 2017 - Davivienda"/>
    <x v="1"/>
    <x v="8"/>
    <s v="Residential"/>
    <s v="Residential Building #8 Et2"/>
    <s v="Colombia"/>
    <d v="2018-07-31T00:00:00"/>
    <d v="2018-11-14T00:00:00"/>
    <s v="COP"/>
    <n v="29784000000"/>
    <n v="13785000000"/>
    <s v="COP"/>
    <n v="13785000000"/>
    <n v="4799824"/>
    <b v="0"/>
    <n v="1"/>
  </r>
  <r>
    <b v="1"/>
    <x v="0"/>
    <x v="0"/>
    <x v="2"/>
    <x v="0"/>
    <x v="1"/>
    <x v="14"/>
    <n v="0"/>
    <x v="29"/>
    <s v="9fc875791e3143a1bb3f864a304e8185"/>
    <s v="Green Bond 2017 - Davivienda"/>
    <x v="2"/>
    <x v="9"/>
    <s v="Unspecified"/>
    <s v="Residential Building #8 Et2"/>
    <s v="Colombia"/>
    <d v="2021-02-28T00:00:00"/>
    <d v="2021-02-28T00:00:00"/>
    <s v="COP"/>
    <n v="-13785000000"/>
    <n v="-13785000000"/>
    <s v="COP"/>
    <n v="-13785000000"/>
    <n v="-4799824"/>
    <b v="0"/>
    <n v="1"/>
  </r>
  <r>
    <b v="1"/>
    <x v="0"/>
    <x v="0"/>
    <x v="2"/>
    <x v="0"/>
    <x v="1"/>
    <x v="14"/>
    <n v="0"/>
    <x v="29"/>
    <s v="9fc875791e3143a1bb3f864a304e8185"/>
    <s v="Green Bond 2017 - Davivienda"/>
    <x v="2"/>
    <x v="9"/>
    <s v="Unspecified"/>
    <s v="Residential Building #8 Et2"/>
    <s v="Colombia"/>
    <d v="2018-07-31T00:00:00"/>
    <d v="2018-11-14T00:00:00"/>
    <s v="COP"/>
    <n v="29784000000"/>
    <n v="13785000000"/>
    <s v="COP"/>
    <n v="13785000000"/>
    <n v="4799824"/>
    <b v="0"/>
    <n v="1"/>
  </r>
  <r>
    <b v="1"/>
    <x v="0"/>
    <x v="0"/>
    <x v="2"/>
    <x v="0"/>
    <x v="1"/>
    <x v="14"/>
    <n v="0"/>
    <x v="29"/>
    <s v="9fc875791e3143a1bb3f864a304e8185"/>
    <s v="Green Bond 2017 - Davivienda"/>
    <x v="3"/>
    <x v="9"/>
    <s v="Unspecified"/>
    <s v="Residential Building #8 Et2"/>
    <s v="Colombia"/>
    <d v="2021-02-28T00:00:00"/>
    <d v="2021-02-28T00:00:00"/>
    <s v="COP"/>
    <n v="-13785000000"/>
    <n v="-13785000000"/>
    <s v="COP"/>
    <n v="-13785000000"/>
    <n v="-4799824"/>
    <b v="0"/>
    <n v="1"/>
  </r>
  <r>
    <b v="1"/>
    <x v="0"/>
    <x v="0"/>
    <x v="2"/>
    <x v="0"/>
    <x v="1"/>
    <x v="14"/>
    <n v="0"/>
    <x v="29"/>
    <s v="9fc875791e3143a1bb3f864a304e8185"/>
    <s v="Green Bond 2017 - Davivienda"/>
    <x v="3"/>
    <x v="9"/>
    <s v="Unspecified"/>
    <s v="Residential Building #8 Et2"/>
    <s v="Colombia"/>
    <d v="2018-07-31T00:00:00"/>
    <d v="2018-11-14T00:00:00"/>
    <s v="COP"/>
    <n v="29784000000"/>
    <n v="13785000000"/>
    <s v="COP"/>
    <n v="13785000000"/>
    <n v="4799824"/>
    <b v="0"/>
    <n v="1"/>
  </r>
  <r>
    <b v="1"/>
    <x v="0"/>
    <x v="0"/>
    <x v="2"/>
    <x v="0"/>
    <x v="1"/>
    <x v="14"/>
    <n v="0"/>
    <x v="29"/>
    <s v="9fc875791e3143a1bb3f864a304e8185"/>
    <s v="Green Bond 2017 - Davivienda"/>
    <x v="0"/>
    <x v="7"/>
    <s v="Residential"/>
    <s v="Residential Building #9"/>
    <s v="Colombia"/>
    <d v="2021-09-30T00:00:00"/>
    <d v="2021-09-30T00:00:00"/>
    <s v="COP"/>
    <n v="-22933500000"/>
    <n v="-22933500000"/>
    <s v="COP"/>
    <n v="-22933500000"/>
    <n v="-7985257"/>
    <b v="0"/>
    <n v="1"/>
  </r>
  <r>
    <b v="1"/>
    <x v="0"/>
    <x v="0"/>
    <x v="2"/>
    <x v="0"/>
    <x v="1"/>
    <x v="14"/>
    <n v="0"/>
    <x v="29"/>
    <s v="9fc875791e3143a1bb3f864a304e8185"/>
    <s v="Green Bond 2017 - Davivienda"/>
    <x v="0"/>
    <x v="7"/>
    <s v="Residential"/>
    <s v="Residential Building #9"/>
    <s v="Colombia"/>
    <d v="2018-09-04T00:00:00"/>
    <d v="2018-11-16T00:00:00"/>
    <s v="COP"/>
    <n v="25150000000"/>
    <n v="22933500000"/>
    <s v="COP"/>
    <n v="22933500000"/>
    <n v="7985257"/>
    <b v="0"/>
    <n v="1"/>
  </r>
  <r>
    <b v="1"/>
    <x v="0"/>
    <x v="0"/>
    <x v="2"/>
    <x v="0"/>
    <x v="1"/>
    <x v="14"/>
    <n v="0"/>
    <x v="29"/>
    <s v="9fc875791e3143a1bb3f864a304e8185"/>
    <s v="Green Bond 2017 - Davivienda"/>
    <x v="1"/>
    <x v="8"/>
    <s v="Residential"/>
    <s v="Residential Building #9"/>
    <s v="Colombia"/>
    <d v="2021-09-30T00:00:00"/>
    <d v="2021-09-30T00:00:00"/>
    <s v="COP"/>
    <n v="-22933500000"/>
    <n v="-22933500000"/>
    <s v="COP"/>
    <n v="-22933500000"/>
    <n v="-7985257"/>
    <b v="0"/>
    <n v="1"/>
  </r>
  <r>
    <b v="1"/>
    <x v="0"/>
    <x v="0"/>
    <x v="2"/>
    <x v="0"/>
    <x v="1"/>
    <x v="14"/>
    <n v="0"/>
    <x v="29"/>
    <s v="9fc875791e3143a1bb3f864a304e8185"/>
    <s v="Green Bond 2017 - Davivienda"/>
    <x v="1"/>
    <x v="8"/>
    <s v="Residential"/>
    <s v="Residential Building #9"/>
    <s v="Colombia"/>
    <d v="2018-09-04T00:00:00"/>
    <d v="2018-11-16T00:00:00"/>
    <s v="COP"/>
    <n v="25150000000"/>
    <n v="22933500000"/>
    <s v="COP"/>
    <n v="22933500000"/>
    <n v="7985257"/>
    <b v="0"/>
    <n v="1"/>
  </r>
  <r>
    <b v="1"/>
    <x v="0"/>
    <x v="0"/>
    <x v="2"/>
    <x v="0"/>
    <x v="1"/>
    <x v="14"/>
    <n v="0"/>
    <x v="29"/>
    <s v="9fc875791e3143a1bb3f864a304e8185"/>
    <s v="Green Bond 2017 - Davivienda"/>
    <x v="2"/>
    <x v="9"/>
    <s v="Unspecified"/>
    <s v="Residential Building #9"/>
    <s v="Colombia"/>
    <d v="2021-09-30T00:00:00"/>
    <d v="2021-09-30T00:00:00"/>
    <s v="COP"/>
    <n v="-22933500000"/>
    <n v="-22933500000"/>
    <s v="COP"/>
    <n v="-22933500000"/>
    <n v="-7985257"/>
    <b v="0"/>
    <n v="1"/>
  </r>
  <r>
    <b v="1"/>
    <x v="0"/>
    <x v="0"/>
    <x v="2"/>
    <x v="0"/>
    <x v="1"/>
    <x v="14"/>
    <n v="0"/>
    <x v="29"/>
    <s v="9fc875791e3143a1bb3f864a304e8185"/>
    <s v="Green Bond 2017 - Davivienda"/>
    <x v="2"/>
    <x v="9"/>
    <s v="Unspecified"/>
    <s v="Residential Building #9"/>
    <s v="Colombia"/>
    <d v="2018-09-04T00:00:00"/>
    <d v="2018-11-16T00:00:00"/>
    <s v="COP"/>
    <n v="25150000000"/>
    <n v="22933500000"/>
    <s v="COP"/>
    <n v="22933500000"/>
    <n v="7985257"/>
    <b v="0"/>
    <n v="1"/>
  </r>
  <r>
    <b v="1"/>
    <x v="0"/>
    <x v="0"/>
    <x v="2"/>
    <x v="0"/>
    <x v="1"/>
    <x v="14"/>
    <n v="0"/>
    <x v="29"/>
    <s v="9fc875791e3143a1bb3f864a304e8185"/>
    <s v="Green Bond 2017 - Davivienda"/>
    <x v="3"/>
    <x v="9"/>
    <s v="Unspecified"/>
    <s v="Residential Building #9"/>
    <s v="Colombia"/>
    <d v="2021-09-30T00:00:00"/>
    <d v="2021-09-30T00:00:00"/>
    <s v="COP"/>
    <n v="-22933500000"/>
    <n v="-22933500000"/>
    <s v="COP"/>
    <n v="-22933500000"/>
    <n v="-7985257"/>
    <b v="0"/>
    <n v="1"/>
  </r>
  <r>
    <b v="1"/>
    <x v="0"/>
    <x v="0"/>
    <x v="2"/>
    <x v="0"/>
    <x v="1"/>
    <x v="14"/>
    <n v="0"/>
    <x v="29"/>
    <s v="9fc875791e3143a1bb3f864a304e8185"/>
    <s v="Green Bond 2017 - Davivienda"/>
    <x v="3"/>
    <x v="9"/>
    <s v="Unspecified"/>
    <s v="Residential Building #9"/>
    <s v="Colombia"/>
    <d v="2018-09-04T00:00:00"/>
    <d v="2018-11-16T00:00:00"/>
    <s v="COP"/>
    <n v="25150000000"/>
    <n v="22933500000"/>
    <s v="COP"/>
    <n v="22933500000"/>
    <n v="7985257"/>
    <b v="0"/>
    <n v="1"/>
  </r>
  <r>
    <b v="1"/>
    <x v="0"/>
    <x v="0"/>
    <x v="2"/>
    <x v="0"/>
    <x v="1"/>
    <x v="14"/>
    <n v="0"/>
    <x v="29"/>
    <s v="9fc875791e3143a1bb3f864a304e8185"/>
    <s v="Green Bond 2017 - Davivienda"/>
    <x v="0"/>
    <x v="7"/>
    <s v="Residential"/>
    <s v="Residential Building #10"/>
    <s v="Colombia"/>
    <d v="2018-12-28T00:00:00"/>
    <d v="2019-12-16T00:00:00"/>
    <s v="COP"/>
    <n v="90000000000"/>
    <n v="16250000000"/>
    <s v="COP"/>
    <n v="16250000000"/>
    <n v="5658117"/>
    <b v="0"/>
    <n v="1"/>
  </r>
  <r>
    <b v="1"/>
    <x v="0"/>
    <x v="0"/>
    <x v="2"/>
    <x v="0"/>
    <x v="1"/>
    <x v="14"/>
    <n v="0"/>
    <x v="29"/>
    <s v="9fc875791e3143a1bb3f864a304e8185"/>
    <s v="Green Bond 2017 - Davivienda"/>
    <x v="1"/>
    <x v="8"/>
    <s v="Residential"/>
    <s v="Residential Building #10"/>
    <s v="Colombia"/>
    <d v="2018-12-28T00:00:00"/>
    <d v="2019-12-16T00:00:00"/>
    <s v="COP"/>
    <n v="90000000000"/>
    <n v="16250000000"/>
    <s v="COP"/>
    <n v="16250000000"/>
    <n v="5658117"/>
    <b v="0"/>
    <n v="1"/>
  </r>
  <r>
    <b v="1"/>
    <x v="0"/>
    <x v="0"/>
    <x v="2"/>
    <x v="0"/>
    <x v="1"/>
    <x v="14"/>
    <n v="0"/>
    <x v="29"/>
    <s v="9fc875791e3143a1bb3f864a304e8185"/>
    <s v="Green Bond 2017 - Davivienda"/>
    <x v="2"/>
    <x v="9"/>
    <s v="Unspecified"/>
    <s v="Residential Building #10"/>
    <s v="Colombia"/>
    <d v="2018-12-28T00:00:00"/>
    <d v="2019-12-16T00:00:00"/>
    <s v="COP"/>
    <n v="90000000000"/>
    <n v="16250000000"/>
    <s v="COP"/>
    <n v="16250000000"/>
    <n v="5658117"/>
    <b v="0"/>
    <n v="1"/>
  </r>
  <r>
    <b v="1"/>
    <x v="0"/>
    <x v="0"/>
    <x v="2"/>
    <x v="0"/>
    <x v="1"/>
    <x v="14"/>
    <n v="0"/>
    <x v="29"/>
    <s v="9fc875791e3143a1bb3f864a304e8185"/>
    <s v="Green Bond 2017 - Davivienda"/>
    <x v="3"/>
    <x v="9"/>
    <s v="Unspecified"/>
    <s v="Residential Building #10"/>
    <s v="Colombia"/>
    <d v="2018-12-28T00:00:00"/>
    <d v="2019-12-16T00:00:00"/>
    <s v="COP"/>
    <n v="90000000000"/>
    <n v="16250000000"/>
    <s v="COP"/>
    <n v="16250000000"/>
    <n v="5658117"/>
    <b v="0"/>
    <n v="1"/>
  </r>
  <r>
    <b v="1"/>
    <x v="0"/>
    <x v="0"/>
    <x v="2"/>
    <x v="0"/>
    <x v="1"/>
    <x v="14"/>
    <n v="0"/>
    <x v="29"/>
    <s v="9fc875791e3143a1bb3f864a304e8185"/>
    <s v="Green Bond 2017 - Davivienda"/>
    <x v="0"/>
    <x v="7"/>
    <s v="Residential"/>
    <s v="Residential Building #15 SEt 2"/>
    <s v="Colombia"/>
    <d v="2021-01-12T00:00:00"/>
    <d v="2021-07-26T00:00:00"/>
    <s v="COP"/>
    <n v="44140000000"/>
    <n v="16946586345"/>
    <s v="COP"/>
    <n v="16946586345"/>
    <n v="5900663"/>
    <b v="0"/>
    <n v="1"/>
  </r>
  <r>
    <b v="1"/>
    <x v="0"/>
    <x v="0"/>
    <x v="2"/>
    <x v="0"/>
    <x v="1"/>
    <x v="14"/>
    <n v="0"/>
    <x v="29"/>
    <s v="9fc875791e3143a1bb3f864a304e8185"/>
    <s v="Green Bond 2017 - Davivienda"/>
    <x v="1"/>
    <x v="8"/>
    <s v="Residential"/>
    <s v="Residential Building #15 SEt 2"/>
    <s v="Colombia"/>
    <d v="2021-01-12T00:00:00"/>
    <d v="2021-07-26T00:00:00"/>
    <s v="COP"/>
    <n v="44140000000"/>
    <n v="16946586345"/>
    <s v="COP"/>
    <n v="16946586345"/>
    <n v="5900663"/>
    <b v="0"/>
    <n v="1"/>
  </r>
  <r>
    <b v="1"/>
    <x v="0"/>
    <x v="0"/>
    <x v="2"/>
    <x v="0"/>
    <x v="1"/>
    <x v="14"/>
    <n v="0"/>
    <x v="29"/>
    <s v="9fc875791e3143a1bb3f864a304e8185"/>
    <s v="Green Bond 2017 - Davivienda"/>
    <x v="2"/>
    <x v="9"/>
    <s v="Unspecified"/>
    <s v="Residential Building #15 SEt 2"/>
    <s v="Colombia"/>
    <d v="2021-01-12T00:00:00"/>
    <d v="2021-07-26T00:00:00"/>
    <s v="COP"/>
    <n v="44140000000"/>
    <n v="16946586345"/>
    <s v="COP"/>
    <n v="16946586345"/>
    <n v="5900663"/>
    <b v="0"/>
    <n v="1"/>
  </r>
  <r>
    <b v="1"/>
    <x v="0"/>
    <x v="0"/>
    <x v="2"/>
    <x v="0"/>
    <x v="1"/>
    <x v="14"/>
    <n v="0"/>
    <x v="29"/>
    <s v="9fc875791e3143a1bb3f864a304e8185"/>
    <s v="Green Bond 2017 - Davivienda"/>
    <x v="3"/>
    <x v="9"/>
    <s v="Unspecified"/>
    <s v="Residential Building #15 SEt 2"/>
    <s v="Colombia"/>
    <d v="2021-01-12T00:00:00"/>
    <d v="2021-07-26T00:00:00"/>
    <s v="COP"/>
    <n v="44140000000"/>
    <n v="16946586345"/>
    <s v="COP"/>
    <n v="16946586345"/>
    <n v="5900663"/>
    <b v="0"/>
    <n v="1"/>
  </r>
  <r>
    <b v="1"/>
    <x v="0"/>
    <x v="0"/>
    <x v="2"/>
    <x v="0"/>
    <x v="1"/>
    <x v="14"/>
    <n v="0"/>
    <x v="29"/>
    <s v="9fc875791e3143a1bb3f864a304e8185"/>
    <s v="Green Bond 2017 - Davivienda"/>
    <x v="0"/>
    <x v="7"/>
    <s v="Residential"/>
    <s v="Residential Building #11"/>
    <s v="Colombia"/>
    <d v="2021-12-31T00:00:00"/>
    <d v="2021-12-31T00:00:00"/>
    <s v="COP"/>
    <n v="-21541000000"/>
    <n v="-21541000000"/>
    <s v="COP"/>
    <n v="-21541000000"/>
    <n v="-7500400"/>
    <b v="0"/>
    <n v="1"/>
  </r>
  <r>
    <b v="1"/>
    <x v="0"/>
    <x v="0"/>
    <x v="2"/>
    <x v="0"/>
    <x v="1"/>
    <x v="14"/>
    <n v="0"/>
    <x v="29"/>
    <s v="9fc875791e3143a1bb3f864a304e8185"/>
    <s v="Green Bond 2017 - Davivienda"/>
    <x v="0"/>
    <x v="7"/>
    <s v="Residential"/>
    <s v="Residential Building #11"/>
    <s v="Colombia"/>
    <d v="2019-09-03T00:00:00"/>
    <d v="2020-09-01T00:00:00"/>
    <s v="COP"/>
    <n v="49690000000"/>
    <n v="21541000000"/>
    <s v="COP"/>
    <n v="21541000000"/>
    <n v="7500400"/>
    <b v="0"/>
    <n v="1"/>
  </r>
  <r>
    <b v="1"/>
    <x v="0"/>
    <x v="0"/>
    <x v="2"/>
    <x v="0"/>
    <x v="1"/>
    <x v="14"/>
    <n v="0"/>
    <x v="29"/>
    <s v="9fc875791e3143a1bb3f864a304e8185"/>
    <s v="Green Bond 2017 - Davivienda"/>
    <x v="1"/>
    <x v="8"/>
    <s v="Residential"/>
    <s v="Residential Building #11"/>
    <s v="Colombia"/>
    <d v="2021-12-31T00:00:00"/>
    <d v="2021-12-31T00:00:00"/>
    <s v="COP"/>
    <n v="-21541000000"/>
    <n v="-21541000000"/>
    <s v="COP"/>
    <n v="-21541000000"/>
    <n v="-7500400"/>
    <b v="0"/>
    <n v="1"/>
  </r>
  <r>
    <b v="1"/>
    <x v="0"/>
    <x v="0"/>
    <x v="2"/>
    <x v="0"/>
    <x v="1"/>
    <x v="14"/>
    <n v="0"/>
    <x v="29"/>
    <s v="9fc875791e3143a1bb3f864a304e8185"/>
    <s v="Green Bond 2017 - Davivienda"/>
    <x v="1"/>
    <x v="8"/>
    <s v="Residential"/>
    <s v="Residential Building #11"/>
    <s v="Colombia"/>
    <d v="2019-09-03T00:00:00"/>
    <d v="2020-09-01T00:00:00"/>
    <s v="COP"/>
    <n v="49690000000"/>
    <n v="21541000000"/>
    <s v="COP"/>
    <n v="21541000000"/>
    <n v="7500400"/>
    <b v="0"/>
    <n v="1"/>
  </r>
  <r>
    <b v="1"/>
    <x v="0"/>
    <x v="0"/>
    <x v="2"/>
    <x v="0"/>
    <x v="1"/>
    <x v="14"/>
    <n v="0"/>
    <x v="29"/>
    <s v="9fc875791e3143a1bb3f864a304e8185"/>
    <s v="Green Bond 2017 - Davivienda"/>
    <x v="2"/>
    <x v="9"/>
    <s v="Unspecified"/>
    <s v="Residential Building #11"/>
    <s v="Colombia"/>
    <d v="2021-12-31T00:00:00"/>
    <d v="2021-12-31T00:00:00"/>
    <s v="COP"/>
    <n v="-21541000000"/>
    <n v="-21541000000"/>
    <s v="COP"/>
    <n v="-21541000000"/>
    <n v="-7500400"/>
    <b v="0"/>
    <n v="1"/>
  </r>
  <r>
    <b v="1"/>
    <x v="0"/>
    <x v="0"/>
    <x v="2"/>
    <x v="0"/>
    <x v="1"/>
    <x v="14"/>
    <n v="0"/>
    <x v="29"/>
    <s v="9fc875791e3143a1bb3f864a304e8185"/>
    <s v="Green Bond 2017 - Davivienda"/>
    <x v="2"/>
    <x v="9"/>
    <s v="Unspecified"/>
    <s v="Residential Building #11"/>
    <s v="Colombia"/>
    <d v="2019-09-03T00:00:00"/>
    <d v="2020-09-01T00:00:00"/>
    <s v="COP"/>
    <n v="49690000000"/>
    <n v="21541000000"/>
    <s v="COP"/>
    <n v="21541000000"/>
    <n v="7500400"/>
    <b v="0"/>
    <n v="1"/>
  </r>
  <r>
    <b v="1"/>
    <x v="0"/>
    <x v="0"/>
    <x v="2"/>
    <x v="0"/>
    <x v="1"/>
    <x v="14"/>
    <n v="0"/>
    <x v="29"/>
    <s v="9fc875791e3143a1bb3f864a304e8185"/>
    <s v="Green Bond 2017 - Davivienda"/>
    <x v="3"/>
    <x v="9"/>
    <s v="Unspecified"/>
    <s v="Residential Building #11"/>
    <s v="Colombia"/>
    <d v="2021-12-31T00:00:00"/>
    <d v="2021-12-31T00:00:00"/>
    <s v="COP"/>
    <n v="-21541000000"/>
    <n v="-21541000000"/>
    <s v="COP"/>
    <n v="-21541000000"/>
    <n v="-7500400"/>
    <b v="0"/>
    <n v="1"/>
  </r>
  <r>
    <b v="1"/>
    <x v="0"/>
    <x v="0"/>
    <x v="2"/>
    <x v="0"/>
    <x v="1"/>
    <x v="14"/>
    <n v="0"/>
    <x v="29"/>
    <s v="9fc875791e3143a1bb3f864a304e8185"/>
    <s v="Green Bond 2017 - Davivienda"/>
    <x v="3"/>
    <x v="9"/>
    <s v="Unspecified"/>
    <s v="Residential Building #11"/>
    <s v="Colombia"/>
    <d v="2019-09-03T00:00:00"/>
    <d v="2020-09-01T00:00:00"/>
    <s v="COP"/>
    <n v="49690000000"/>
    <n v="21541000000"/>
    <s v="COP"/>
    <n v="21541000000"/>
    <n v="7500400"/>
    <b v="0"/>
    <n v="1"/>
  </r>
  <r>
    <b v="1"/>
    <x v="0"/>
    <x v="0"/>
    <x v="2"/>
    <x v="0"/>
    <x v="1"/>
    <x v="14"/>
    <n v="0"/>
    <x v="29"/>
    <s v="9fc875791e3143a1bb3f864a304e8185"/>
    <s v="Green Bond 2017 - Davivienda"/>
    <x v="0"/>
    <x v="7"/>
    <s v="Residential"/>
    <s v="Residential Building #12"/>
    <s v="Colombia"/>
    <d v="2021-12-31T00:00:00"/>
    <d v="2021-12-31T00:00:00"/>
    <s v="COP"/>
    <n v="-30419000000"/>
    <n v="-20083722547"/>
    <s v="COP"/>
    <n v="-20083722547"/>
    <n v="-6992988"/>
    <b v="0"/>
    <n v="1"/>
  </r>
  <r>
    <b v="1"/>
    <x v="0"/>
    <x v="0"/>
    <x v="2"/>
    <x v="0"/>
    <x v="1"/>
    <x v="14"/>
    <n v="0"/>
    <x v="29"/>
    <s v="9fc875791e3143a1bb3f864a304e8185"/>
    <s v="Green Bond 2017 - Davivienda"/>
    <x v="0"/>
    <x v="7"/>
    <s v="Residential"/>
    <s v="Residential Building #12"/>
    <s v="Colombia"/>
    <d v="2020-03-24T00:00:00"/>
    <d v="2020-08-28T00:00:00"/>
    <s v="COP"/>
    <n v="37752000000"/>
    <n v="30419000000"/>
    <s v="COP"/>
    <n v="30419000000"/>
    <n v="10591647"/>
    <b v="0"/>
    <n v="1"/>
  </r>
  <r>
    <b v="1"/>
    <x v="0"/>
    <x v="0"/>
    <x v="2"/>
    <x v="0"/>
    <x v="1"/>
    <x v="14"/>
    <n v="0"/>
    <x v="29"/>
    <s v="9fc875791e3143a1bb3f864a304e8185"/>
    <s v="Green Bond 2017 - Davivienda"/>
    <x v="1"/>
    <x v="8"/>
    <s v="Residential"/>
    <s v="Residential Building #12"/>
    <s v="Colombia"/>
    <d v="2021-12-31T00:00:00"/>
    <d v="2021-12-31T00:00:00"/>
    <s v="COP"/>
    <n v="-30419000000"/>
    <n v="-20083722547"/>
    <s v="COP"/>
    <n v="-20083722547"/>
    <n v="-6992988"/>
    <b v="0"/>
    <n v="1"/>
  </r>
  <r>
    <b v="1"/>
    <x v="0"/>
    <x v="0"/>
    <x v="2"/>
    <x v="0"/>
    <x v="1"/>
    <x v="14"/>
    <n v="0"/>
    <x v="29"/>
    <s v="9fc875791e3143a1bb3f864a304e8185"/>
    <s v="Green Bond 2017 - Davivienda"/>
    <x v="1"/>
    <x v="8"/>
    <s v="Residential"/>
    <s v="Residential Building #12"/>
    <s v="Colombia"/>
    <d v="2020-03-24T00:00:00"/>
    <d v="2020-08-28T00:00:00"/>
    <s v="COP"/>
    <n v="37752000000"/>
    <n v="30419000000"/>
    <s v="COP"/>
    <n v="30419000000"/>
    <n v="10591647"/>
    <b v="0"/>
    <n v="1"/>
  </r>
  <r>
    <b v="1"/>
    <x v="0"/>
    <x v="0"/>
    <x v="2"/>
    <x v="0"/>
    <x v="1"/>
    <x v="14"/>
    <n v="0"/>
    <x v="29"/>
    <s v="9fc875791e3143a1bb3f864a304e8185"/>
    <s v="Green Bond 2017 - Davivienda"/>
    <x v="2"/>
    <x v="9"/>
    <s v="Unspecified"/>
    <s v="Residential Building #12"/>
    <s v="Colombia"/>
    <d v="2021-12-31T00:00:00"/>
    <d v="2021-12-31T00:00:00"/>
    <s v="COP"/>
    <n v="-30419000000"/>
    <n v="-20083722547"/>
    <s v="COP"/>
    <n v="-20083722547"/>
    <n v="-6992988"/>
    <b v="0"/>
    <n v="1"/>
  </r>
  <r>
    <b v="1"/>
    <x v="0"/>
    <x v="0"/>
    <x v="2"/>
    <x v="0"/>
    <x v="1"/>
    <x v="14"/>
    <n v="0"/>
    <x v="29"/>
    <s v="9fc875791e3143a1bb3f864a304e8185"/>
    <s v="Green Bond 2017 - Davivienda"/>
    <x v="2"/>
    <x v="9"/>
    <s v="Unspecified"/>
    <s v="Residential Building #12"/>
    <s v="Colombia"/>
    <d v="2020-03-24T00:00:00"/>
    <d v="2020-08-28T00:00:00"/>
    <s v="COP"/>
    <n v="37752000000"/>
    <n v="30419000000"/>
    <s v="COP"/>
    <n v="30419000000"/>
    <n v="10591647"/>
    <b v="0"/>
    <n v="1"/>
  </r>
  <r>
    <b v="1"/>
    <x v="0"/>
    <x v="0"/>
    <x v="2"/>
    <x v="0"/>
    <x v="1"/>
    <x v="14"/>
    <n v="0"/>
    <x v="29"/>
    <s v="9fc875791e3143a1bb3f864a304e8185"/>
    <s v="Green Bond 2017 - Davivienda"/>
    <x v="3"/>
    <x v="9"/>
    <s v="Unspecified"/>
    <s v="Residential Building #12"/>
    <s v="Colombia"/>
    <d v="2021-12-31T00:00:00"/>
    <d v="2021-12-31T00:00:00"/>
    <s v="COP"/>
    <n v="-30419000000"/>
    <n v="-20083722547"/>
    <s v="COP"/>
    <n v="-20083722547"/>
    <n v="-6992988"/>
    <b v="0"/>
    <n v="1"/>
  </r>
  <r>
    <b v="1"/>
    <x v="0"/>
    <x v="0"/>
    <x v="2"/>
    <x v="0"/>
    <x v="1"/>
    <x v="14"/>
    <n v="0"/>
    <x v="29"/>
    <s v="9fc875791e3143a1bb3f864a304e8185"/>
    <s v="Green Bond 2017 - Davivienda"/>
    <x v="3"/>
    <x v="9"/>
    <s v="Unspecified"/>
    <s v="Residential Building #12"/>
    <s v="Colombia"/>
    <d v="2020-03-24T00:00:00"/>
    <d v="2020-08-28T00:00:00"/>
    <s v="COP"/>
    <n v="37752000000"/>
    <n v="30419000000"/>
    <s v="COP"/>
    <n v="30419000000"/>
    <n v="10591647"/>
    <b v="0"/>
    <n v="1"/>
  </r>
  <r>
    <b v="1"/>
    <x v="0"/>
    <x v="0"/>
    <x v="2"/>
    <x v="0"/>
    <x v="1"/>
    <x v="14"/>
    <n v="0"/>
    <x v="29"/>
    <s v="9fc875791e3143a1bb3f864a304e8185"/>
    <s v="Green Bond 2017 - Davivienda"/>
    <x v="0"/>
    <x v="7"/>
    <s v="Residential"/>
    <s v="Residential Building #13"/>
    <s v="Colombia"/>
    <d v="2021-12-31T00:00:00"/>
    <d v="2021-12-31T00:00:00"/>
    <s v="COP"/>
    <n v="-10350000000"/>
    <n v="-7097112969"/>
    <s v="COP"/>
    <n v="-7097112969"/>
    <n v="-2471156"/>
    <b v="0"/>
    <n v="1"/>
  </r>
  <r>
    <b v="1"/>
    <x v="0"/>
    <x v="0"/>
    <x v="2"/>
    <x v="0"/>
    <x v="1"/>
    <x v="14"/>
    <n v="0"/>
    <x v="29"/>
    <s v="9fc875791e3143a1bb3f864a304e8185"/>
    <s v="Green Bond 2017 - Davivienda"/>
    <x v="0"/>
    <x v="7"/>
    <s v="Residential"/>
    <s v="Residential Building #13"/>
    <s v="Colombia"/>
    <d v="2019-07-26T00:00:00"/>
    <d v="2020-09-22T00:00:00"/>
    <s v="COP"/>
    <n v="19500000000"/>
    <n v="10350000000"/>
    <s v="COP"/>
    <n v="10350000000"/>
    <n v="3603785"/>
    <b v="0"/>
    <n v="1"/>
  </r>
  <r>
    <b v="1"/>
    <x v="0"/>
    <x v="0"/>
    <x v="2"/>
    <x v="0"/>
    <x v="1"/>
    <x v="14"/>
    <n v="0"/>
    <x v="29"/>
    <s v="9fc875791e3143a1bb3f864a304e8185"/>
    <s v="Green Bond 2017 - Davivienda"/>
    <x v="1"/>
    <x v="8"/>
    <s v="Residential"/>
    <s v="Residential Building #13"/>
    <s v="Colombia"/>
    <d v="2021-12-31T00:00:00"/>
    <d v="2021-12-31T00:00:00"/>
    <s v="COP"/>
    <n v="-10350000000"/>
    <n v="-7097112969"/>
    <s v="COP"/>
    <n v="-7097112969"/>
    <n v="-2471156"/>
    <b v="0"/>
    <n v="1"/>
  </r>
  <r>
    <b v="1"/>
    <x v="0"/>
    <x v="0"/>
    <x v="2"/>
    <x v="0"/>
    <x v="1"/>
    <x v="14"/>
    <n v="0"/>
    <x v="29"/>
    <s v="9fc875791e3143a1bb3f864a304e8185"/>
    <s v="Green Bond 2017 - Davivienda"/>
    <x v="1"/>
    <x v="8"/>
    <s v="Residential"/>
    <s v="Residential Building #13"/>
    <s v="Colombia"/>
    <d v="2019-07-26T00:00:00"/>
    <d v="2020-09-22T00:00:00"/>
    <s v="COP"/>
    <n v="19500000000"/>
    <n v="10350000000"/>
    <s v="COP"/>
    <n v="10350000000"/>
    <n v="3603785"/>
    <b v="0"/>
    <n v="1"/>
  </r>
  <r>
    <b v="1"/>
    <x v="0"/>
    <x v="0"/>
    <x v="2"/>
    <x v="0"/>
    <x v="1"/>
    <x v="14"/>
    <n v="0"/>
    <x v="29"/>
    <s v="9fc875791e3143a1bb3f864a304e8185"/>
    <s v="Green Bond 2017 - Davivienda"/>
    <x v="2"/>
    <x v="9"/>
    <s v="Unspecified"/>
    <s v="Residential Building #13"/>
    <s v="Colombia"/>
    <d v="2021-12-31T00:00:00"/>
    <d v="2021-12-31T00:00:00"/>
    <s v="COP"/>
    <n v="-10350000000"/>
    <n v="-7097112969"/>
    <s v="COP"/>
    <n v="-7097112969"/>
    <n v="-2471156"/>
    <b v="0"/>
    <n v="1"/>
  </r>
  <r>
    <b v="1"/>
    <x v="0"/>
    <x v="0"/>
    <x v="2"/>
    <x v="0"/>
    <x v="1"/>
    <x v="14"/>
    <n v="0"/>
    <x v="29"/>
    <s v="9fc875791e3143a1bb3f864a304e8185"/>
    <s v="Green Bond 2017 - Davivienda"/>
    <x v="2"/>
    <x v="9"/>
    <s v="Unspecified"/>
    <s v="Residential Building #13"/>
    <s v="Colombia"/>
    <d v="2019-07-26T00:00:00"/>
    <d v="2020-09-22T00:00:00"/>
    <s v="COP"/>
    <n v="19500000000"/>
    <n v="10350000000"/>
    <s v="COP"/>
    <n v="10350000000"/>
    <n v="3603785"/>
    <b v="0"/>
    <n v="1"/>
  </r>
  <r>
    <b v="1"/>
    <x v="0"/>
    <x v="0"/>
    <x v="2"/>
    <x v="0"/>
    <x v="1"/>
    <x v="14"/>
    <n v="0"/>
    <x v="29"/>
    <s v="9fc875791e3143a1bb3f864a304e8185"/>
    <s v="Green Bond 2017 - Davivienda"/>
    <x v="3"/>
    <x v="9"/>
    <s v="Unspecified"/>
    <s v="Residential Building #13"/>
    <s v="Colombia"/>
    <d v="2021-12-31T00:00:00"/>
    <d v="2021-12-31T00:00:00"/>
    <s v="COP"/>
    <n v="-10350000000"/>
    <n v="-7097112969"/>
    <s v="COP"/>
    <n v="-7097112969"/>
    <n v="-2471156"/>
    <b v="0"/>
    <n v="1"/>
  </r>
  <r>
    <b v="1"/>
    <x v="0"/>
    <x v="0"/>
    <x v="2"/>
    <x v="0"/>
    <x v="1"/>
    <x v="14"/>
    <n v="0"/>
    <x v="29"/>
    <s v="9fc875791e3143a1bb3f864a304e8185"/>
    <s v="Green Bond 2017 - Davivienda"/>
    <x v="3"/>
    <x v="9"/>
    <s v="Unspecified"/>
    <s v="Residential Building #13"/>
    <s v="Colombia"/>
    <d v="2019-07-26T00:00:00"/>
    <d v="2020-09-22T00:00:00"/>
    <s v="COP"/>
    <n v="19500000000"/>
    <n v="10350000000"/>
    <s v="COP"/>
    <n v="10350000000"/>
    <n v="3603785"/>
    <b v="0"/>
    <n v="1"/>
  </r>
  <r>
    <b v="1"/>
    <x v="0"/>
    <x v="0"/>
    <x v="2"/>
    <x v="0"/>
    <x v="1"/>
    <x v="14"/>
    <n v="0"/>
    <x v="29"/>
    <s v="9fc875791e3143a1bb3f864a304e8185"/>
    <s v="Green Bond 2017 - Davivienda"/>
    <x v="0"/>
    <x v="7"/>
    <s v="Residential"/>
    <s v="Residential Building #14"/>
    <s v="Colombia"/>
    <d v="2021-12-31T00:00:00"/>
    <d v="2021-12-31T00:00:00"/>
    <s v="COP"/>
    <n v="-20454000000"/>
    <n v="-19502893958"/>
    <s v="COP"/>
    <n v="-19502893958"/>
    <n v="-6790748"/>
    <b v="0"/>
    <n v="1"/>
  </r>
  <r>
    <b v="1"/>
    <x v="0"/>
    <x v="0"/>
    <x v="2"/>
    <x v="0"/>
    <x v="1"/>
    <x v="14"/>
    <n v="0"/>
    <x v="29"/>
    <s v="9fc875791e3143a1bb3f864a304e8185"/>
    <s v="Green Bond 2017 - Davivienda"/>
    <x v="0"/>
    <x v="7"/>
    <s v="Residential"/>
    <s v="Residential Building #14"/>
    <s v="Colombia"/>
    <d v="2019-09-03T00:00:00"/>
    <d v="2020-09-28T00:00:00"/>
    <s v="COP"/>
    <n v="20454000000"/>
    <n v="20454000000"/>
    <s v="COP"/>
    <n v="20454000000"/>
    <n v="7121915"/>
    <b v="0"/>
    <n v="1"/>
  </r>
  <r>
    <b v="1"/>
    <x v="0"/>
    <x v="0"/>
    <x v="2"/>
    <x v="0"/>
    <x v="1"/>
    <x v="14"/>
    <n v="0"/>
    <x v="29"/>
    <s v="9fc875791e3143a1bb3f864a304e8185"/>
    <s v="Green Bond 2017 - Davivienda"/>
    <x v="1"/>
    <x v="8"/>
    <s v="Residential"/>
    <s v="Residential Building #14"/>
    <s v="Colombia"/>
    <d v="2021-12-31T00:00:00"/>
    <d v="2021-12-31T00:00:00"/>
    <s v="COP"/>
    <n v="-20454000000"/>
    <n v="-19502893958"/>
    <s v="COP"/>
    <n v="-19502893958"/>
    <n v="-6790748"/>
    <b v="0"/>
    <n v="1"/>
  </r>
  <r>
    <b v="1"/>
    <x v="0"/>
    <x v="0"/>
    <x v="2"/>
    <x v="0"/>
    <x v="1"/>
    <x v="14"/>
    <n v="0"/>
    <x v="29"/>
    <s v="9fc875791e3143a1bb3f864a304e8185"/>
    <s v="Green Bond 2017 - Davivienda"/>
    <x v="1"/>
    <x v="8"/>
    <s v="Residential"/>
    <s v="Residential Building #14"/>
    <s v="Colombia"/>
    <d v="2019-09-03T00:00:00"/>
    <d v="2020-09-28T00:00:00"/>
    <s v="COP"/>
    <n v="20454000000"/>
    <n v="20454000000"/>
    <s v="COP"/>
    <n v="20454000000"/>
    <n v="7121915"/>
    <b v="0"/>
    <n v="1"/>
  </r>
  <r>
    <b v="1"/>
    <x v="0"/>
    <x v="0"/>
    <x v="2"/>
    <x v="0"/>
    <x v="1"/>
    <x v="14"/>
    <n v="0"/>
    <x v="29"/>
    <s v="9fc875791e3143a1bb3f864a304e8185"/>
    <s v="Green Bond 2017 - Davivienda"/>
    <x v="2"/>
    <x v="9"/>
    <s v="Unspecified"/>
    <s v="Residential Building #14"/>
    <s v="Colombia"/>
    <d v="2021-12-31T00:00:00"/>
    <d v="2021-12-31T00:00:00"/>
    <s v="COP"/>
    <n v="-20454000000"/>
    <n v="-19502893958"/>
    <s v="COP"/>
    <n v="-19502893958"/>
    <n v="-6790748"/>
    <b v="0"/>
    <n v="1"/>
  </r>
  <r>
    <b v="1"/>
    <x v="0"/>
    <x v="0"/>
    <x v="2"/>
    <x v="0"/>
    <x v="1"/>
    <x v="14"/>
    <n v="0"/>
    <x v="29"/>
    <s v="9fc875791e3143a1bb3f864a304e8185"/>
    <s v="Green Bond 2017 - Davivienda"/>
    <x v="2"/>
    <x v="9"/>
    <s v="Unspecified"/>
    <s v="Residential Building #14"/>
    <s v="Colombia"/>
    <d v="2019-09-03T00:00:00"/>
    <d v="2020-09-28T00:00:00"/>
    <s v="COP"/>
    <n v="20454000000"/>
    <n v="20454000000"/>
    <s v="COP"/>
    <n v="20454000000"/>
    <n v="7121915"/>
    <b v="0"/>
    <n v="1"/>
  </r>
  <r>
    <b v="1"/>
    <x v="0"/>
    <x v="0"/>
    <x v="2"/>
    <x v="0"/>
    <x v="1"/>
    <x v="14"/>
    <n v="0"/>
    <x v="29"/>
    <s v="9fc875791e3143a1bb3f864a304e8185"/>
    <s v="Green Bond 2017 - Davivienda"/>
    <x v="3"/>
    <x v="9"/>
    <s v="Unspecified"/>
    <s v="Residential Building #14"/>
    <s v="Colombia"/>
    <d v="2021-12-31T00:00:00"/>
    <d v="2021-12-31T00:00:00"/>
    <s v="COP"/>
    <n v="-20454000000"/>
    <n v="-19502893958"/>
    <s v="COP"/>
    <n v="-19502893958"/>
    <n v="-6790748"/>
    <b v="0"/>
    <n v="1"/>
  </r>
  <r>
    <b v="1"/>
    <x v="0"/>
    <x v="0"/>
    <x v="2"/>
    <x v="0"/>
    <x v="1"/>
    <x v="14"/>
    <n v="0"/>
    <x v="29"/>
    <s v="9fc875791e3143a1bb3f864a304e8185"/>
    <s v="Green Bond 2017 - Davivienda"/>
    <x v="3"/>
    <x v="9"/>
    <s v="Unspecified"/>
    <s v="Residential Building #14"/>
    <s v="Colombia"/>
    <d v="2019-09-03T00:00:00"/>
    <d v="2020-09-28T00:00:00"/>
    <s v="COP"/>
    <n v="20454000000"/>
    <n v="20454000000"/>
    <s v="COP"/>
    <n v="20454000000"/>
    <n v="7121915"/>
    <b v="0"/>
    <n v="1"/>
  </r>
  <r>
    <b v="1"/>
    <x v="0"/>
    <x v="0"/>
    <x v="2"/>
    <x v="0"/>
    <x v="1"/>
    <x v="14"/>
    <n v="0"/>
    <x v="29"/>
    <s v="9fc875791e3143a1bb3f864a304e8185"/>
    <s v="Green Bond 2017 - Davivienda"/>
    <x v="0"/>
    <x v="7"/>
    <s v="Residential"/>
    <s v="Residential Building #15 SEt 1"/>
    <s v="Colombia"/>
    <d v="2021-12-31T00:00:00"/>
    <d v="2021-12-31T00:00:00"/>
    <s v="COP"/>
    <n v="-31977822133"/>
    <n v="-22619097506"/>
    <s v="COP"/>
    <n v="-22619097506"/>
    <n v="-7875785"/>
    <b v="0"/>
    <n v="1"/>
  </r>
  <r>
    <b v="1"/>
    <x v="0"/>
    <x v="0"/>
    <x v="2"/>
    <x v="0"/>
    <x v="1"/>
    <x v="14"/>
    <n v="0"/>
    <x v="29"/>
    <s v="9fc875791e3143a1bb3f864a304e8185"/>
    <s v="Green Bond 2017 - Davivienda"/>
    <x v="0"/>
    <x v="7"/>
    <s v="Residential"/>
    <s v="Residential Building #15 SEt 1"/>
    <s v="Colombia"/>
    <d v="2019-09-25T00:00:00"/>
    <d v="2020-02-27T00:00:00"/>
    <s v="COP"/>
    <n v="39550000000"/>
    <n v="31977822133"/>
    <s v="COP"/>
    <n v="31977822133"/>
    <n v="11134416"/>
    <b v="0"/>
    <n v="1"/>
  </r>
  <r>
    <b v="1"/>
    <x v="0"/>
    <x v="0"/>
    <x v="2"/>
    <x v="0"/>
    <x v="1"/>
    <x v="14"/>
    <n v="0"/>
    <x v="29"/>
    <s v="9fc875791e3143a1bb3f864a304e8185"/>
    <s v="Green Bond 2017 - Davivienda"/>
    <x v="1"/>
    <x v="8"/>
    <s v="Residential"/>
    <s v="Residential Building #15 SEt 1"/>
    <s v="Colombia"/>
    <d v="2021-12-31T00:00:00"/>
    <d v="2021-12-31T00:00:00"/>
    <s v="COP"/>
    <n v="-31977822133"/>
    <n v="-22619097506"/>
    <s v="COP"/>
    <n v="-22619097506"/>
    <n v="-7875785"/>
    <b v="0"/>
    <n v="1"/>
  </r>
  <r>
    <b v="1"/>
    <x v="0"/>
    <x v="0"/>
    <x v="2"/>
    <x v="0"/>
    <x v="1"/>
    <x v="14"/>
    <n v="0"/>
    <x v="29"/>
    <s v="9fc875791e3143a1bb3f864a304e8185"/>
    <s v="Green Bond 2017 - Davivienda"/>
    <x v="1"/>
    <x v="8"/>
    <s v="Residential"/>
    <s v="Residential Building #15 SEt 1"/>
    <s v="Colombia"/>
    <d v="2019-09-25T00:00:00"/>
    <d v="2020-02-27T00:00:00"/>
    <s v="COP"/>
    <n v="39550000000"/>
    <n v="31977822133"/>
    <s v="COP"/>
    <n v="31977822133"/>
    <n v="11134416"/>
    <b v="0"/>
    <n v="1"/>
  </r>
  <r>
    <b v="1"/>
    <x v="0"/>
    <x v="0"/>
    <x v="2"/>
    <x v="0"/>
    <x v="1"/>
    <x v="14"/>
    <n v="0"/>
    <x v="29"/>
    <s v="9fc875791e3143a1bb3f864a304e8185"/>
    <s v="Green Bond 2017 - Davivienda"/>
    <x v="2"/>
    <x v="9"/>
    <s v="Unspecified"/>
    <s v="Residential Building #15 SEt 1"/>
    <s v="Colombia"/>
    <d v="2021-12-31T00:00:00"/>
    <d v="2021-12-31T00:00:00"/>
    <s v="COP"/>
    <n v="-31977822133"/>
    <n v="-22619097506"/>
    <s v="COP"/>
    <n v="-22619097506"/>
    <n v="-7875785"/>
    <b v="0"/>
    <n v="1"/>
  </r>
  <r>
    <b v="1"/>
    <x v="0"/>
    <x v="0"/>
    <x v="2"/>
    <x v="0"/>
    <x v="1"/>
    <x v="14"/>
    <n v="0"/>
    <x v="29"/>
    <s v="9fc875791e3143a1bb3f864a304e8185"/>
    <s v="Green Bond 2017 - Davivienda"/>
    <x v="2"/>
    <x v="9"/>
    <s v="Unspecified"/>
    <s v="Residential Building #15 SEt 1"/>
    <s v="Colombia"/>
    <d v="2019-09-25T00:00:00"/>
    <d v="2020-02-27T00:00:00"/>
    <s v="COP"/>
    <n v="39550000000"/>
    <n v="31977822133"/>
    <s v="COP"/>
    <n v="31977822133"/>
    <n v="11134416"/>
    <b v="0"/>
    <n v="1"/>
  </r>
  <r>
    <b v="1"/>
    <x v="0"/>
    <x v="0"/>
    <x v="2"/>
    <x v="0"/>
    <x v="1"/>
    <x v="14"/>
    <n v="0"/>
    <x v="29"/>
    <s v="9fc875791e3143a1bb3f864a304e8185"/>
    <s v="Green Bond 2017 - Davivienda"/>
    <x v="3"/>
    <x v="9"/>
    <s v="Unspecified"/>
    <s v="Residential Building #15 SEt 1"/>
    <s v="Colombia"/>
    <d v="2021-12-31T00:00:00"/>
    <d v="2021-12-31T00:00:00"/>
    <s v="COP"/>
    <n v="-31977822133"/>
    <n v="-22619097506"/>
    <s v="COP"/>
    <n v="-22619097506"/>
    <n v="-7875785"/>
    <b v="0"/>
    <n v="1"/>
  </r>
  <r>
    <b v="1"/>
    <x v="0"/>
    <x v="0"/>
    <x v="2"/>
    <x v="0"/>
    <x v="1"/>
    <x v="14"/>
    <n v="0"/>
    <x v="29"/>
    <s v="9fc875791e3143a1bb3f864a304e8185"/>
    <s v="Green Bond 2017 - Davivienda"/>
    <x v="3"/>
    <x v="9"/>
    <s v="Unspecified"/>
    <s v="Residential Building #15 SEt 1"/>
    <s v="Colombia"/>
    <d v="2019-09-25T00:00:00"/>
    <d v="2020-02-27T00:00:00"/>
    <s v="COP"/>
    <n v="39550000000"/>
    <n v="31977822133"/>
    <s v="COP"/>
    <n v="31977822133"/>
    <n v="11134416"/>
    <b v="0"/>
    <n v="1"/>
  </r>
  <r>
    <b v="1"/>
    <x v="0"/>
    <x v="0"/>
    <x v="2"/>
    <x v="0"/>
    <x v="1"/>
    <x v="14"/>
    <n v="0"/>
    <x v="29"/>
    <s v="9fc875791e3143a1bb3f864a304e8185"/>
    <s v="Green Bond 2017 - Davivienda"/>
    <x v="0"/>
    <x v="7"/>
    <s v="Residential"/>
    <s v="Residential Building #16"/>
    <s v="Colombia"/>
    <d v="2021-12-31T00:00:00"/>
    <d v="2021-12-31T00:00:00"/>
    <s v="COP"/>
    <n v="-14494000000"/>
    <n v="-14468536551"/>
    <s v="COP"/>
    <n v="-14468536551"/>
    <n v="-5037826"/>
    <b v="0"/>
    <n v="1"/>
  </r>
  <r>
    <b v="1"/>
    <x v="0"/>
    <x v="0"/>
    <x v="2"/>
    <x v="0"/>
    <x v="1"/>
    <x v="14"/>
    <n v="0"/>
    <x v="29"/>
    <s v="9fc875791e3143a1bb3f864a304e8185"/>
    <s v="Green Bond 2017 - Davivienda"/>
    <x v="0"/>
    <x v="7"/>
    <s v="Residential"/>
    <s v="Residential Building #16"/>
    <s v="Colombia"/>
    <d v="2020-01-28T00:00:00"/>
    <d v="2020-07-30T00:00:00"/>
    <s v="COP"/>
    <n v="14494000000"/>
    <n v="14494000000"/>
    <s v="COP"/>
    <n v="14494000000"/>
    <n v="5046692"/>
    <b v="0"/>
    <n v="1"/>
  </r>
  <r>
    <b v="1"/>
    <x v="0"/>
    <x v="0"/>
    <x v="2"/>
    <x v="0"/>
    <x v="1"/>
    <x v="14"/>
    <n v="0"/>
    <x v="29"/>
    <s v="9fc875791e3143a1bb3f864a304e8185"/>
    <s v="Green Bond 2017 - Davivienda"/>
    <x v="1"/>
    <x v="8"/>
    <s v="Residential"/>
    <s v="Residential Building #16"/>
    <s v="Colombia"/>
    <d v="2021-12-31T00:00:00"/>
    <d v="2021-12-31T00:00:00"/>
    <s v="COP"/>
    <n v="-14494000000"/>
    <n v="-14468536551"/>
    <s v="COP"/>
    <n v="-14468536551"/>
    <n v="-5037826"/>
    <b v="0"/>
    <n v="1"/>
  </r>
  <r>
    <b v="1"/>
    <x v="0"/>
    <x v="0"/>
    <x v="2"/>
    <x v="0"/>
    <x v="1"/>
    <x v="14"/>
    <n v="0"/>
    <x v="29"/>
    <s v="9fc875791e3143a1bb3f864a304e8185"/>
    <s v="Green Bond 2017 - Davivienda"/>
    <x v="1"/>
    <x v="8"/>
    <s v="Residential"/>
    <s v="Residential Building #16"/>
    <s v="Colombia"/>
    <d v="2020-01-28T00:00:00"/>
    <d v="2020-07-30T00:00:00"/>
    <s v="COP"/>
    <n v="14494000000"/>
    <n v="14494000000"/>
    <s v="COP"/>
    <n v="14494000000"/>
    <n v="5046692"/>
    <b v="0"/>
    <n v="1"/>
  </r>
  <r>
    <b v="1"/>
    <x v="0"/>
    <x v="0"/>
    <x v="2"/>
    <x v="0"/>
    <x v="1"/>
    <x v="14"/>
    <n v="0"/>
    <x v="29"/>
    <s v="9fc875791e3143a1bb3f864a304e8185"/>
    <s v="Green Bond 2017 - Davivienda"/>
    <x v="2"/>
    <x v="9"/>
    <s v="Unspecified"/>
    <s v="Residential Building #16"/>
    <s v="Colombia"/>
    <d v="2021-12-31T00:00:00"/>
    <d v="2021-12-31T00:00:00"/>
    <s v="COP"/>
    <n v="-14494000000"/>
    <n v="-14468536551"/>
    <s v="COP"/>
    <n v="-14468536551"/>
    <n v="-5037826"/>
    <b v="0"/>
    <n v="1"/>
  </r>
  <r>
    <b v="1"/>
    <x v="0"/>
    <x v="0"/>
    <x v="2"/>
    <x v="0"/>
    <x v="1"/>
    <x v="14"/>
    <n v="0"/>
    <x v="29"/>
    <s v="9fc875791e3143a1bb3f864a304e8185"/>
    <s v="Green Bond 2017 - Davivienda"/>
    <x v="2"/>
    <x v="9"/>
    <s v="Unspecified"/>
    <s v="Residential Building #16"/>
    <s v="Colombia"/>
    <d v="2020-01-28T00:00:00"/>
    <d v="2020-07-30T00:00:00"/>
    <s v="COP"/>
    <n v="14494000000"/>
    <n v="14494000000"/>
    <s v="COP"/>
    <n v="14494000000"/>
    <n v="5046692"/>
    <b v="0"/>
    <n v="1"/>
  </r>
  <r>
    <b v="1"/>
    <x v="0"/>
    <x v="0"/>
    <x v="2"/>
    <x v="0"/>
    <x v="1"/>
    <x v="14"/>
    <n v="0"/>
    <x v="29"/>
    <s v="9fc875791e3143a1bb3f864a304e8185"/>
    <s v="Green Bond 2017 - Davivienda"/>
    <x v="3"/>
    <x v="9"/>
    <s v="Unspecified"/>
    <s v="Residential Building #16"/>
    <s v="Colombia"/>
    <d v="2021-12-31T00:00:00"/>
    <d v="2021-12-31T00:00:00"/>
    <s v="COP"/>
    <n v="-14494000000"/>
    <n v="-14468536551"/>
    <s v="COP"/>
    <n v="-14468536551"/>
    <n v="-5037826"/>
    <b v="0"/>
    <n v="1"/>
  </r>
  <r>
    <b v="1"/>
    <x v="0"/>
    <x v="0"/>
    <x v="2"/>
    <x v="0"/>
    <x v="1"/>
    <x v="14"/>
    <n v="0"/>
    <x v="29"/>
    <s v="9fc875791e3143a1bb3f864a304e8185"/>
    <s v="Green Bond 2017 - Davivienda"/>
    <x v="3"/>
    <x v="9"/>
    <s v="Unspecified"/>
    <s v="Residential Building #16"/>
    <s v="Colombia"/>
    <d v="2020-01-28T00:00:00"/>
    <d v="2020-07-30T00:00:00"/>
    <s v="COP"/>
    <n v="14494000000"/>
    <n v="14494000000"/>
    <s v="COP"/>
    <n v="14494000000"/>
    <n v="5046692"/>
    <b v="0"/>
    <n v="1"/>
  </r>
  <r>
    <b v="1"/>
    <x v="0"/>
    <x v="0"/>
    <x v="2"/>
    <x v="0"/>
    <x v="1"/>
    <x v="14"/>
    <n v="0"/>
    <x v="29"/>
    <s v="9fc875791e3143a1bb3f864a304e8185"/>
    <s v="Green Bond 2017 - Davivienda"/>
    <x v="0"/>
    <x v="7"/>
    <s v="Residential"/>
    <s v="Residential Building #17 Et2"/>
    <s v="Colombia"/>
    <d v="2019-06-18T00:00:00"/>
    <d v="2019-12-30T00:00:00"/>
    <s v="COP"/>
    <n v="12500000000"/>
    <n v="11912466329"/>
    <s v="COP"/>
    <n v="11912466329"/>
    <n v="4147823"/>
    <b v="0"/>
    <n v="1"/>
  </r>
  <r>
    <b v="1"/>
    <x v="0"/>
    <x v="0"/>
    <x v="2"/>
    <x v="0"/>
    <x v="1"/>
    <x v="14"/>
    <n v="0"/>
    <x v="29"/>
    <s v="9fc875791e3143a1bb3f864a304e8185"/>
    <s v="Green Bond 2017 - Davivienda"/>
    <x v="1"/>
    <x v="8"/>
    <s v="Residential"/>
    <s v="Residential Building #17 Et2"/>
    <s v="Colombia"/>
    <d v="2019-06-18T00:00:00"/>
    <d v="2019-12-30T00:00:00"/>
    <s v="COP"/>
    <n v="12500000000"/>
    <n v="11912466329"/>
    <s v="COP"/>
    <n v="11912466329"/>
    <n v="4147823"/>
    <b v="0"/>
    <n v="1"/>
  </r>
  <r>
    <b v="1"/>
    <x v="0"/>
    <x v="0"/>
    <x v="2"/>
    <x v="0"/>
    <x v="1"/>
    <x v="14"/>
    <n v="0"/>
    <x v="29"/>
    <s v="9fc875791e3143a1bb3f864a304e8185"/>
    <s v="Green Bond 2017 - Davivienda"/>
    <x v="2"/>
    <x v="9"/>
    <s v="Unspecified"/>
    <s v="Residential Building #17 Et2"/>
    <s v="Colombia"/>
    <d v="2019-06-18T00:00:00"/>
    <d v="2019-12-30T00:00:00"/>
    <s v="COP"/>
    <n v="12500000000"/>
    <n v="11912466329"/>
    <s v="COP"/>
    <n v="11912466329"/>
    <n v="4147823"/>
    <b v="0"/>
    <n v="1"/>
  </r>
  <r>
    <b v="1"/>
    <x v="0"/>
    <x v="0"/>
    <x v="2"/>
    <x v="0"/>
    <x v="1"/>
    <x v="14"/>
    <n v="0"/>
    <x v="29"/>
    <s v="9fc875791e3143a1bb3f864a304e8185"/>
    <s v="Green Bond 2017 - Davivienda"/>
    <x v="3"/>
    <x v="9"/>
    <s v="Unspecified"/>
    <s v="Residential Building #17 Et2"/>
    <s v="Colombia"/>
    <d v="2019-06-18T00:00:00"/>
    <d v="2019-12-30T00:00:00"/>
    <s v="COP"/>
    <n v="12500000000"/>
    <n v="11912466329"/>
    <s v="COP"/>
    <n v="11912466329"/>
    <n v="4147823"/>
    <b v="0"/>
    <n v="1"/>
  </r>
  <r>
    <b v="1"/>
    <x v="0"/>
    <x v="0"/>
    <x v="2"/>
    <x v="0"/>
    <x v="1"/>
    <x v="14"/>
    <n v="0"/>
    <x v="29"/>
    <s v="9fc875791e3143a1bb3f864a304e8185"/>
    <s v="Green Bond 2017 - Davivienda"/>
    <x v="0"/>
    <x v="7"/>
    <s v="Residential"/>
    <s v="Residential Building #18"/>
    <s v="Colombia"/>
    <d v="2021-09-30T00:00:00"/>
    <d v="2020-12-14T00:00:00"/>
    <s v="COP"/>
    <n v="25700000000"/>
    <n v="8008000000"/>
    <s v="COP"/>
    <n v="8008000000"/>
    <n v="2788320"/>
    <b v="0"/>
    <n v="1"/>
  </r>
  <r>
    <b v="1"/>
    <x v="0"/>
    <x v="0"/>
    <x v="2"/>
    <x v="0"/>
    <x v="1"/>
    <x v="14"/>
    <n v="0"/>
    <x v="29"/>
    <s v="9fc875791e3143a1bb3f864a304e8185"/>
    <s v="Green Bond 2017 - Davivienda"/>
    <x v="1"/>
    <x v="8"/>
    <s v="Residential"/>
    <s v="Residential Building #18"/>
    <s v="Colombia"/>
    <d v="2021-09-30T00:00:00"/>
    <d v="2020-12-14T00:00:00"/>
    <s v="COP"/>
    <n v="25700000000"/>
    <n v="8008000000"/>
    <s v="COP"/>
    <n v="8008000000"/>
    <n v="2788320"/>
    <b v="0"/>
    <n v="1"/>
  </r>
  <r>
    <b v="1"/>
    <x v="0"/>
    <x v="0"/>
    <x v="2"/>
    <x v="0"/>
    <x v="1"/>
    <x v="14"/>
    <n v="0"/>
    <x v="29"/>
    <s v="9fc875791e3143a1bb3f864a304e8185"/>
    <s v="Green Bond 2017 - Davivienda"/>
    <x v="2"/>
    <x v="9"/>
    <s v="Unspecified"/>
    <s v="Residential Building #18"/>
    <s v="Colombia"/>
    <d v="2021-09-30T00:00:00"/>
    <d v="2020-12-14T00:00:00"/>
    <s v="COP"/>
    <n v="25700000000"/>
    <n v="8008000000"/>
    <s v="COP"/>
    <n v="8008000000"/>
    <n v="2788320"/>
    <b v="0"/>
    <n v="1"/>
  </r>
  <r>
    <b v="1"/>
    <x v="0"/>
    <x v="0"/>
    <x v="2"/>
    <x v="0"/>
    <x v="1"/>
    <x v="14"/>
    <n v="0"/>
    <x v="29"/>
    <s v="9fc875791e3143a1bb3f864a304e8185"/>
    <s v="Green Bond 2017 - Davivienda"/>
    <x v="3"/>
    <x v="9"/>
    <s v="Unspecified"/>
    <s v="Residential Building #18"/>
    <s v="Colombia"/>
    <d v="2021-09-30T00:00:00"/>
    <d v="2020-12-14T00:00:00"/>
    <s v="COP"/>
    <n v="25700000000"/>
    <n v="8008000000"/>
    <s v="COP"/>
    <n v="8008000000"/>
    <n v="2788320"/>
    <b v="0"/>
    <n v="1"/>
  </r>
  <r>
    <b v="1"/>
    <x v="0"/>
    <x v="0"/>
    <x v="2"/>
    <x v="0"/>
    <x v="1"/>
    <x v="14"/>
    <n v="0"/>
    <x v="29"/>
    <s v="9fc875791e3143a1bb3f864a304e8185"/>
    <s v="Green Bond 2017 - Davivienda"/>
    <x v="0"/>
    <x v="7"/>
    <s v="Residential"/>
    <s v="Residential Building #19"/>
    <s v="Colombia"/>
    <d v="2021-12-31T00:00:00"/>
    <d v="2021-12-31T00:00:00"/>
    <s v="COP"/>
    <n v="-29227142310"/>
    <n v="-25348658595"/>
    <s v="COP"/>
    <n v="-25348658595"/>
    <n v="-8826196"/>
    <b v="0"/>
    <n v="1"/>
  </r>
  <r>
    <b v="1"/>
    <x v="0"/>
    <x v="0"/>
    <x v="2"/>
    <x v="0"/>
    <x v="1"/>
    <x v="14"/>
    <n v="0"/>
    <x v="29"/>
    <s v="9fc875791e3143a1bb3f864a304e8185"/>
    <s v="Green Bond 2017 - Davivienda"/>
    <x v="0"/>
    <x v="7"/>
    <s v="Residential"/>
    <s v="Residential Building #19"/>
    <s v="Colombia"/>
    <d v="2019-03-26T00:00:00"/>
    <d v="2021-06-01T00:00:00"/>
    <s v="COP"/>
    <n v="33500000000"/>
    <n v="29227142310"/>
    <s v="COP"/>
    <n v="29227142310"/>
    <n v="10176652"/>
    <b v="0"/>
    <n v="1"/>
  </r>
  <r>
    <b v="1"/>
    <x v="0"/>
    <x v="0"/>
    <x v="2"/>
    <x v="0"/>
    <x v="1"/>
    <x v="14"/>
    <n v="0"/>
    <x v="29"/>
    <s v="9fc875791e3143a1bb3f864a304e8185"/>
    <s v="Green Bond 2017 - Davivienda"/>
    <x v="1"/>
    <x v="8"/>
    <s v="Residential"/>
    <s v="Residential Building #19"/>
    <s v="Colombia"/>
    <d v="2021-12-31T00:00:00"/>
    <d v="2021-12-31T00:00:00"/>
    <s v="COP"/>
    <n v="-29227142310"/>
    <n v="-25348658595"/>
    <s v="COP"/>
    <n v="-25348658595"/>
    <n v="-8826196"/>
    <b v="0"/>
    <n v="1"/>
  </r>
  <r>
    <b v="1"/>
    <x v="0"/>
    <x v="0"/>
    <x v="2"/>
    <x v="0"/>
    <x v="1"/>
    <x v="14"/>
    <n v="0"/>
    <x v="29"/>
    <s v="9fc875791e3143a1bb3f864a304e8185"/>
    <s v="Green Bond 2017 - Davivienda"/>
    <x v="1"/>
    <x v="8"/>
    <s v="Residential"/>
    <s v="Residential Building #19"/>
    <s v="Colombia"/>
    <d v="2019-03-26T00:00:00"/>
    <d v="2021-06-01T00:00:00"/>
    <s v="COP"/>
    <n v="33500000000"/>
    <n v="29227142310"/>
    <s v="COP"/>
    <n v="29227142310"/>
    <n v="10176652"/>
    <b v="0"/>
    <n v="1"/>
  </r>
  <r>
    <b v="1"/>
    <x v="0"/>
    <x v="0"/>
    <x v="2"/>
    <x v="0"/>
    <x v="1"/>
    <x v="14"/>
    <n v="0"/>
    <x v="29"/>
    <s v="9fc875791e3143a1bb3f864a304e8185"/>
    <s v="Green Bond 2017 - Davivienda"/>
    <x v="2"/>
    <x v="9"/>
    <s v="Unspecified"/>
    <s v="Residential Building #19"/>
    <s v="Colombia"/>
    <d v="2021-12-31T00:00:00"/>
    <d v="2021-12-31T00:00:00"/>
    <s v="COP"/>
    <n v="-29227142310"/>
    <n v="-25348658595"/>
    <s v="COP"/>
    <n v="-25348658595"/>
    <n v="-8826196"/>
    <b v="0"/>
    <n v="1"/>
  </r>
  <r>
    <b v="1"/>
    <x v="0"/>
    <x v="0"/>
    <x v="2"/>
    <x v="0"/>
    <x v="1"/>
    <x v="14"/>
    <n v="0"/>
    <x v="29"/>
    <s v="9fc875791e3143a1bb3f864a304e8185"/>
    <s v="Green Bond 2017 - Davivienda"/>
    <x v="2"/>
    <x v="9"/>
    <s v="Unspecified"/>
    <s v="Residential Building #19"/>
    <s v="Colombia"/>
    <d v="2019-03-26T00:00:00"/>
    <d v="2021-06-01T00:00:00"/>
    <s v="COP"/>
    <n v="33500000000"/>
    <n v="29227142310"/>
    <s v="COP"/>
    <n v="29227142310"/>
    <n v="10176652"/>
    <b v="0"/>
    <n v="1"/>
  </r>
  <r>
    <b v="1"/>
    <x v="0"/>
    <x v="0"/>
    <x v="2"/>
    <x v="0"/>
    <x v="1"/>
    <x v="14"/>
    <n v="0"/>
    <x v="29"/>
    <s v="9fc875791e3143a1bb3f864a304e8185"/>
    <s v="Green Bond 2017 - Davivienda"/>
    <x v="3"/>
    <x v="9"/>
    <s v="Unspecified"/>
    <s v="Residential Building #19"/>
    <s v="Colombia"/>
    <d v="2021-12-31T00:00:00"/>
    <d v="2021-12-31T00:00:00"/>
    <s v="COP"/>
    <n v="-29227142310"/>
    <n v="-25348658595"/>
    <s v="COP"/>
    <n v="-25348658595"/>
    <n v="-8826196"/>
    <b v="0"/>
    <n v="1"/>
  </r>
  <r>
    <b v="1"/>
    <x v="0"/>
    <x v="0"/>
    <x v="2"/>
    <x v="0"/>
    <x v="1"/>
    <x v="14"/>
    <n v="0"/>
    <x v="29"/>
    <s v="9fc875791e3143a1bb3f864a304e8185"/>
    <s v="Green Bond 2017 - Davivienda"/>
    <x v="3"/>
    <x v="9"/>
    <s v="Unspecified"/>
    <s v="Residential Building #19"/>
    <s v="Colombia"/>
    <d v="2019-03-26T00:00:00"/>
    <d v="2021-06-01T00:00:00"/>
    <s v="COP"/>
    <n v="33500000000"/>
    <n v="29227142310"/>
    <s v="COP"/>
    <n v="29227142310"/>
    <n v="10176652"/>
    <b v="0"/>
    <n v="1"/>
  </r>
  <r>
    <b v="1"/>
    <x v="0"/>
    <x v="0"/>
    <x v="2"/>
    <x v="0"/>
    <x v="1"/>
    <x v="14"/>
    <n v="0"/>
    <x v="29"/>
    <s v="9fc875791e3143a1bb3f864a304e8185"/>
    <s v="Green Bond 2017 - Davivienda"/>
    <x v="0"/>
    <x v="7"/>
    <s v="Residential"/>
    <s v="Residential Building #20"/>
    <s v="Colombia"/>
    <d v="2021-12-31T00:00:00"/>
    <d v="2021-12-31T00:00:00"/>
    <s v="COP"/>
    <n v="-9426000000"/>
    <n v="-3512438117"/>
    <s v="COP"/>
    <n v="-3512438117"/>
    <n v="-1223002"/>
    <b v="0"/>
    <n v="1"/>
  </r>
  <r>
    <b v="1"/>
    <x v="0"/>
    <x v="0"/>
    <x v="2"/>
    <x v="0"/>
    <x v="1"/>
    <x v="14"/>
    <n v="0"/>
    <x v="29"/>
    <s v="9fc875791e3143a1bb3f864a304e8185"/>
    <s v="Green Bond 2017 - Davivienda"/>
    <x v="0"/>
    <x v="7"/>
    <s v="Residential"/>
    <s v="Residential Building #20"/>
    <s v="Colombia"/>
    <d v="2020-01-21T00:00:00"/>
    <d v="2020-09-23T00:00:00"/>
    <s v="COP"/>
    <n v="44840000000"/>
    <n v="9426000000"/>
    <s v="COP"/>
    <n v="9426000000"/>
    <n v="3282056"/>
    <b v="0"/>
    <n v="1"/>
  </r>
  <r>
    <b v="1"/>
    <x v="0"/>
    <x v="0"/>
    <x v="2"/>
    <x v="0"/>
    <x v="1"/>
    <x v="14"/>
    <n v="0"/>
    <x v="29"/>
    <s v="9fc875791e3143a1bb3f864a304e8185"/>
    <s v="Green Bond 2017 - Davivienda"/>
    <x v="1"/>
    <x v="8"/>
    <s v="Residential"/>
    <s v="Residential Building #20"/>
    <s v="Colombia"/>
    <d v="2021-12-31T00:00:00"/>
    <d v="2021-12-31T00:00:00"/>
    <s v="COP"/>
    <n v="-9426000000"/>
    <n v="-3512438117"/>
    <s v="COP"/>
    <n v="-3512438117"/>
    <n v="-1223002"/>
    <b v="0"/>
    <n v="1"/>
  </r>
  <r>
    <b v="1"/>
    <x v="0"/>
    <x v="0"/>
    <x v="2"/>
    <x v="0"/>
    <x v="1"/>
    <x v="14"/>
    <n v="0"/>
    <x v="29"/>
    <s v="9fc875791e3143a1bb3f864a304e8185"/>
    <s v="Green Bond 2017 - Davivienda"/>
    <x v="1"/>
    <x v="8"/>
    <s v="Residential"/>
    <s v="Residential Building #20"/>
    <s v="Colombia"/>
    <d v="2020-01-21T00:00:00"/>
    <d v="2020-09-23T00:00:00"/>
    <s v="COP"/>
    <n v="44840000000"/>
    <n v="9426000000"/>
    <s v="COP"/>
    <n v="9426000000"/>
    <n v="3282056"/>
    <b v="0"/>
    <n v="1"/>
  </r>
  <r>
    <b v="1"/>
    <x v="0"/>
    <x v="0"/>
    <x v="2"/>
    <x v="0"/>
    <x v="1"/>
    <x v="14"/>
    <n v="0"/>
    <x v="29"/>
    <s v="9fc875791e3143a1bb3f864a304e8185"/>
    <s v="Green Bond 2017 - Davivienda"/>
    <x v="2"/>
    <x v="9"/>
    <s v="Unspecified"/>
    <s v="Residential Building #20"/>
    <s v="Colombia"/>
    <d v="2021-12-31T00:00:00"/>
    <d v="2021-12-31T00:00:00"/>
    <s v="COP"/>
    <n v="-9426000000"/>
    <n v="-3512438117"/>
    <s v="COP"/>
    <n v="-3512438117"/>
    <n v="-1223002"/>
    <b v="0"/>
    <n v="1"/>
  </r>
  <r>
    <b v="1"/>
    <x v="0"/>
    <x v="0"/>
    <x v="2"/>
    <x v="0"/>
    <x v="1"/>
    <x v="14"/>
    <n v="0"/>
    <x v="29"/>
    <s v="9fc875791e3143a1bb3f864a304e8185"/>
    <s v="Green Bond 2017 - Davivienda"/>
    <x v="2"/>
    <x v="9"/>
    <s v="Unspecified"/>
    <s v="Residential Building #20"/>
    <s v="Colombia"/>
    <d v="2020-01-21T00:00:00"/>
    <d v="2020-09-23T00:00:00"/>
    <s v="COP"/>
    <n v="44840000000"/>
    <n v="9426000000"/>
    <s v="COP"/>
    <n v="9426000000"/>
    <n v="3282056"/>
    <b v="0"/>
    <n v="1"/>
  </r>
  <r>
    <b v="1"/>
    <x v="0"/>
    <x v="0"/>
    <x v="2"/>
    <x v="0"/>
    <x v="1"/>
    <x v="14"/>
    <n v="0"/>
    <x v="29"/>
    <s v="9fc875791e3143a1bb3f864a304e8185"/>
    <s v="Green Bond 2017 - Davivienda"/>
    <x v="3"/>
    <x v="9"/>
    <s v="Unspecified"/>
    <s v="Residential Building #20"/>
    <s v="Colombia"/>
    <d v="2021-12-31T00:00:00"/>
    <d v="2021-12-31T00:00:00"/>
    <s v="COP"/>
    <n v="-9426000000"/>
    <n v="-3512438117"/>
    <s v="COP"/>
    <n v="-3512438117"/>
    <n v="-1223002"/>
    <b v="0"/>
    <n v="1"/>
  </r>
  <r>
    <b v="1"/>
    <x v="0"/>
    <x v="0"/>
    <x v="2"/>
    <x v="0"/>
    <x v="1"/>
    <x v="14"/>
    <n v="0"/>
    <x v="29"/>
    <s v="9fc875791e3143a1bb3f864a304e8185"/>
    <s v="Green Bond 2017 - Davivienda"/>
    <x v="3"/>
    <x v="9"/>
    <s v="Unspecified"/>
    <s v="Residential Building #20"/>
    <s v="Colombia"/>
    <d v="2020-01-21T00:00:00"/>
    <d v="2020-09-23T00:00:00"/>
    <s v="COP"/>
    <n v="44840000000"/>
    <n v="9426000000"/>
    <s v="COP"/>
    <n v="9426000000"/>
    <n v="3282056"/>
    <b v="0"/>
    <n v="1"/>
  </r>
  <r>
    <b v="1"/>
    <x v="0"/>
    <x v="0"/>
    <x v="2"/>
    <x v="0"/>
    <x v="1"/>
    <x v="14"/>
    <n v="0"/>
    <x v="29"/>
    <s v="9fc875791e3143a1bb3f864a304e8185"/>
    <s v="Green Bond 2017 - Davivienda"/>
    <x v="0"/>
    <x v="7"/>
    <s v="Residential"/>
    <s v="Residential Building #21"/>
    <s v="Colombia"/>
    <d v="2021-11-30T00:00:00"/>
    <d v="2021-11-30T00:00:00"/>
    <s v="COP"/>
    <n v="-4171000000"/>
    <n v="-4171000000"/>
    <s v="COP"/>
    <n v="-4171000000"/>
    <n v="-1452308"/>
    <b v="0"/>
    <n v="1"/>
  </r>
  <r>
    <b v="1"/>
    <x v="0"/>
    <x v="0"/>
    <x v="2"/>
    <x v="0"/>
    <x v="1"/>
    <x v="14"/>
    <n v="0"/>
    <x v="29"/>
    <s v="9fc875791e3143a1bb3f864a304e8185"/>
    <s v="Green Bond 2017 - Davivienda"/>
    <x v="0"/>
    <x v="7"/>
    <s v="Residential"/>
    <s v="Residential Building #21"/>
    <s v="Colombia"/>
    <d v="2020-06-09T00:00:00"/>
    <d v="2020-06-30T00:00:00"/>
    <s v="COP"/>
    <n v="14523000000"/>
    <n v="4171000000"/>
    <s v="COP"/>
    <n v="4171000000"/>
    <n v="1452308"/>
    <b v="0"/>
    <n v="1"/>
  </r>
  <r>
    <b v="1"/>
    <x v="0"/>
    <x v="0"/>
    <x v="2"/>
    <x v="0"/>
    <x v="1"/>
    <x v="14"/>
    <n v="0"/>
    <x v="29"/>
    <s v="9fc875791e3143a1bb3f864a304e8185"/>
    <s v="Green Bond 2017 - Davivienda"/>
    <x v="1"/>
    <x v="8"/>
    <s v="Residential"/>
    <s v="Residential Building #21"/>
    <s v="Colombia"/>
    <d v="2021-11-30T00:00:00"/>
    <d v="2021-11-30T00:00:00"/>
    <s v="COP"/>
    <n v="-4171000000"/>
    <n v="-4171000000"/>
    <s v="COP"/>
    <n v="-4171000000"/>
    <n v="-1452308"/>
    <b v="0"/>
    <n v="1"/>
  </r>
  <r>
    <b v="1"/>
    <x v="0"/>
    <x v="0"/>
    <x v="2"/>
    <x v="0"/>
    <x v="1"/>
    <x v="14"/>
    <n v="0"/>
    <x v="29"/>
    <s v="9fc875791e3143a1bb3f864a304e8185"/>
    <s v="Green Bond 2017 - Davivienda"/>
    <x v="1"/>
    <x v="8"/>
    <s v="Residential"/>
    <s v="Residential Building #21"/>
    <s v="Colombia"/>
    <d v="2020-06-09T00:00:00"/>
    <d v="2020-06-30T00:00:00"/>
    <s v="COP"/>
    <n v="14523000000"/>
    <n v="4171000000"/>
    <s v="COP"/>
    <n v="4171000000"/>
    <n v="1452308"/>
    <b v="0"/>
    <n v="1"/>
  </r>
  <r>
    <b v="1"/>
    <x v="0"/>
    <x v="0"/>
    <x v="2"/>
    <x v="0"/>
    <x v="1"/>
    <x v="14"/>
    <n v="0"/>
    <x v="29"/>
    <s v="9fc875791e3143a1bb3f864a304e8185"/>
    <s v="Green Bond 2017 - Davivienda"/>
    <x v="2"/>
    <x v="9"/>
    <s v="Unspecified"/>
    <s v="Residential Building #21"/>
    <s v="Colombia"/>
    <d v="2021-11-30T00:00:00"/>
    <d v="2021-11-30T00:00:00"/>
    <s v="COP"/>
    <n v="-4171000000"/>
    <n v="-4171000000"/>
    <s v="COP"/>
    <n v="-4171000000"/>
    <n v="-1452308"/>
    <b v="0"/>
    <n v="1"/>
  </r>
  <r>
    <b v="1"/>
    <x v="0"/>
    <x v="0"/>
    <x v="2"/>
    <x v="0"/>
    <x v="1"/>
    <x v="14"/>
    <n v="0"/>
    <x v="29"/>
    <s v="9fc875791e3143a1bb3f864a304e8185"/>
    <s v="Green Bond 2017 - Davivienda"/>
    <x v="2"/>
    <x v="9"/>
    <s v="Unspecified"/>
    <s v="Residential Building #21"/>
    <s v="Colombia"/>
    <d v="2020-06-09T00:00:00"/>
    <d v="2020-06-30T00:00:00"/>
    <s v="COP"/>
    <n v="14523000000"/>
    <n v="4171000000"/>
    <s v="COP"/>
    <n v="4171000000"/>
    <n v="1452308"/>
    <b v="0"/>
    <n v="1"/>
  </r>
  <r>
    <b v="1"/>
    <x v="0"/>
    <x v="0"/>
    <x v="2"/>
    <x v="0"/>
    <x v="1"/>
    <x v="14"/>
    <n v="0"/>
    <x v="29"/>
    <s v="9fc875791e3143a1bb3f864a304e8185"/>
    <s v="Green Bond 2017 - Davivienda"/>
    <x v="3"/>
    <x v="9"/>
    <s v="Unspecified"/>
    <s v="Residential Building #21"/>
    <s v="Colombia"/>
    <d v="2021-11-30T00:00:00"/>
    <d v="2021-11-30T00:00:00"/>
    <s v="COP"/>
    <n v="-4171000000"/>
    <n v="-4171000000"/>
    <s v="COP"/>
    <n v="-4171000000"/>
    <n v="-1452308"/>
    <b v="0"/>
    <n v="1"/>
  </r>
  <r>
    <b v="1"/>
    <x v="0"/>
    <x v="0"/>
    <x v="2"/>
    <x v="0"/>
    <x v="1"/>
    <x v="14"/>
    <n v="0"/>
    <x v="29"/>
    <s v="9fc875791e3143a1bb3f864a304e8185"/>
    <s v="Green Bond 2017 - Davivienda"/>
    <x v="3"/>
    <x v="9"/>
    <s v="Unspecified"/>
    <s v="Residential Building #21"/>
    <s v="Colombia"/>
    <d v="2020-06-09T00:00:00"/>
    <d v="2020-06-30T00:00:00"/>
    <s v="COP"/>
    <n v="14523000000"/>
    <n v="4171000000"/>
    <s v="COP"/>
    <n v="4171000000"/>
    <n v="1452308"/>
    <b v="0"/>
    <n v="1"/>
  </r>
  <r>
    <b v="1"/>
    <x v="0"/>
    <x v="0"/>
    <x v="2"/>
    <x v="0"/>
    <x v="1"/>
    <x v="14"/>
    <n v="0"/>
    <x v="29"/>
    <s v="9fc875791e3143a1bb3f864a304e8185"/>
    <s v="Green Bond 2017 - Davivienda"/>
    <x v="0"/>
    <x v="7"/>
    <s v="Residential"/>
    <s v="Residential Building #22"/>
    <s v="Colombia"/>
    <d v="2021-12-31T00:00:00"/>
    <d v="2021-12-31T00:00:00"/>
    <s v="COP"/>
    <n v="-20568249117"/>
    <n v="-1234153926"/>
    <s v="COP"/>
    <n v="-1234153926"/>
    <n v="-429722"/>
    <b v="0"/>
    <n v="1"/>
  </r>
  <r>
    <b v="1"/>
    <x v="0"/>
    <x v="0"/>
    <x v="2"/>
    <x v="0"/>
    <x v="1"/>
    <x v="14"/>
    <n v="0"/>
    <x v="29"/>
    <s v="9fc875791e3143a1bb3f864a304e8185"/>
    <s v="Green Bond 2017 - Davivienda"/>
    <x v="0"/>
    <x v="7"/>
    <s v="Residential"/>
    <s v="Residential Building #22"/>
    <s v="Colombia"/>
    <d v="2020-08-25T00:00:00"/>
    <d v="2021-05-25T00:00:00"/>
    <s v="COP"/>
    <n v="22500000000"/>
    <n v="20568249117"/>
    <s v="COP"/>
    <n v="20568249117"/>
    <n v="7161696"/>
    <b v="0"/>
    <n v="1"/>
  </r>
  <r>
    <b v="1"/>
    <x v="0"/>
    <x v="0"/>
    <x v="2"/>
    <x v="0"/>
    <x v="1"/>
    <x v="14"/>
    <n v="0"/>
    <x v="29"/>
    <s v="9fc875791e3143a1bb3f864a304e8185"/>
    <s v="Green Bond 2017 - Davivienda"/>
    <x v="1"/>
    <x v="8"/>
    <s v="Residential"/>
    <s v="Residential Building #22"/>
    <s v="Colombia"/>
    <d v="2021-12-31T00:00:00"/>
    <d v="2021-12-31T00:00:00"/>
    <s v="COP"/>
    <n v="-20568249117"/>
    <n v="-1234153926"/>
    <s v="COP"/>
    <n v="-1234153926"/>
    <n v="-429722"/>
    <b v="0"/>
    <n v="1"/>
  </r>
  <r>
    <b v="1"/>
    <x v="0"/>
    <x v="0"/>
    <x v="2"/>
    <x v="0"/>
    <x v="1"/>
    <x v="14"/>
    <n v="0"/>
    <x v="29"/>
    <s v="9fc875791e3143a1bb3f864a304e8185"/>
    <s v="Green Bond 2017 - Davivienda"/>
    <x v="1"/>
    <x v="8"/>
    <s v="Residential"/>
    <s v="Residential Building #22"/>
    <s v="Colombia"/>
    <d v="2020-08-25T00:00:00"/>
    <d v="2021-05-25T00:00:00"/>
    <s v="COP"/>
    <n v="22500000000"/>
    <n v="20568249117"/>
    <s v="COP"/>
    <n v="20568249117"/>
    <n v="7161696"/>
    <b v="0"/>
    <n v="1"/>
  </r>
  <r>
    <b v="1"/>
    <x v="0"/>
    <x v="0"/>
    <x v="2"/>
    <x v="0"/>
    <x v="1"/>
    <x v="14"/>
    <n v="0"/>
    <x v="29"/>
    <s v="9fc875791e3143a1bb3f864a304e8185"/>
    <s v="Green Bond 2017 - Davivienda"/>
    <x v="2"/>
    <x v="9"/>
    <s v="Unspecified"/>
    <s v="Residential Building #22"/>
    <s v="Colombia"/>
    <d v="2021-12-31T00:00:00"/>
    <d v="2021-12-31T00:00:00"/>
    <s v="COP"/>
    <n v="-20568249117"/>
    <n v="-1234153926"/>
    <s v="COP"/>
    <n v="-1234153926"/>
    <n v="-429722"/>
    <b v="0"/>
    <n v="1"/>
  </r>
  <r>
    <b v="1"/>
    <x v="0"/>
    <x v="0"/>
    <x v="2"/>
    <x v="0"/>
    <x v="1"/>
    <x v="14"/>
    <n v="0"/>
    <x v="29"/>
    <s v="9fc875791e3143a1bb3f864a304e8185"/>
    <s v="Green Bond 2017 - Davivienda"/>
    <x v="2"/>
    <x v="9"/>
    <s v="Unspecified"/>
    <s v="Residential Building #22"/>
    <s v="Colombia"/>
    <d v="2020-08-25T00:00:00"/>
    <d v="2021-05-25T00:00:00"/>
    <s v="COP"/>
    <n v="22500000000"/>
    <n v="20568249117"/>
    <s v="COP"/>
    <n v="20568249117"/>
    <n v="7161696"/>
    <b v="0"/>
    <n v="1"/>
  </r>
  <r>
    <b v="1"/>
    <x v="0"/>
    <x v="0"/>
    <x v="2"/>
    <x v="0"/>
    <x v="1"/>
    <x v="14"/>
    <n v="0"/>
    <x v="29"/>
    <s v="9fc875791e3143a1bb3f864a304e8185"/>
    <s v="Green Bond 2017 - Davivienda"/>
    <x v="3"/>
    <x v="9"/>
    <s v="Unspecified"/>
    <s v="Residential Building #22"/>
    <s v="Colombia"/>
    <d v="2021-12-31T00:00:00"/>
    <d v="2021-12-31T00:00:00"/>
    <s v="COP"/>
    <n v="-20568249117"/>
    <n v="-1234153926"/>
    <s v="COP"/>
    <n v="-1234153926"/>
    <n v="-429722"/>
    <b v="0"/>
    <n v="1"/>
  </r>
  <r>
    <b v="1"/>
    <x v="0"/>
    <x v="0"/>
    <x v="2"/>
    <x v="0"/>
    <x v="1"/>
    <x v="14"/>
    <n v="0"/>
    <x v="29"/>
    <s v="9fc875791e3143a1bb3f864a304e8185"/>
    <s v="Green Bond 2017 - Davivienda"/>
    <x v="3"/>
    <x v="9"/>
    <s v="Unspecified"/>
    <s v="Residential Building #22"/>
    <s v="Colombia"/>
    <d v="2020-08-25T00:00:00"/>
    <d v="2021-05-25T00:00:00"/>
    <s v="COP"/>
    <n v="22500000000"/>
    <n v="20568249117"/>
    <s v="COP"/>
    <n v="20568249117"/>
    <n v="7161696"/>
    <b v="0"/>
    <n v="1"/>
  </r>
  <r>
    <b v="1"/>
    <x v="0"/>
    <x v="0"/>
    <x v="2"/>
    <x v="0"/>
    <x v="1"/>
    <x v="14"/>
    <n v="0"/>
    <x v="29"/>
    <s v="9fc875791e3143a1bb3f864a304e8185"/>
    <s v="Green Bond 2017 - Davivienda"/>
    <x v="0"/>
    <x v="7"/>
    <s v="Residential"/>
    <s v="Residential Building #23"/>
    <s v="Colombia"/>
    <d v="2021-12-31T00:00:00"/>
    <d v="2021-12-31T00:00:00"/>
    <s v="COP"/>
    <n v="-24485000000"/>
    <n v="-12236333624"/>
    <s v="COP"/>
    <n v="-12236333624"/>
    <n v="-4260591"/>
    <b v="0"/>
    <n v="1"/>
  </r>
  <r>
    <b v="1"/>
    <x v="0"/>
    <x v="0"/>
    <x v="2"/>
    <x v="0"/>
    <x v="1"/>
    <x v="14"/>
    <n v="0"/>
    <x v="29"/>
    <s v="9fc875791e3143a1bb3f864a304e8185"/>
    <s v="Green Bond 2017 - Davivienda"/>
    <x v="0"/>
    <x v="7"/>
    <s v="Residential"/>
    <s v="Residential Building #23"/>
    <s v="Colombia"/>
    <d v="2020-08-12T00:00:00"/>
    <d v="2021-06-15T00:00:00"/>
    <s v="COP"/>
    <n v="29500000000"/>
    <n v="24485000000"/>
    <s v="COP"/>
    <n v="24485000000"/>
    <n v="8525477"/>
    <b v="0"/>
    <n v="1"/>
  </r>
  <r>
    <b v="1"/>
    <x v="0"/>
    <x v="0"/>
    <x v="2"/>
    <x v="0"/>
    <x v="1"/>
    <x v="14"/>
    <n v="0"/>
    <x v="29"/>
    <s v="9fc875791e3143a1bb3f864a304e8185"/>
    <s v="Green Bond 2017 - Davivienda"/>
    <x v="1"/>
    <x v="8"/>
    <s v="Residential"/>
    <s v="Residential Building #23"/>
    <s v="Colombia"/>
    <d v="2021-12-31T00:00:00"/>
    <d v="2021-12-31T00:00:00"/>
    <s v="COP"/>
    <n v="-24485000000"/>
    <n v="-12236333624"/>
    <s v="COP"/>
    <n v="-12236333624"/>
    <n v="-4260591"/>
    <b v="0"/>
    <n v="1"/>
  </r>
  <r>
    <b v="1"/>
    <x v="0"/>
    <x v="0"/>
    <x v="2"/>
    <x v="0"/>
    <x v="1"/>
    <x v="14"/>
    <n v="0"/>
    <x v="29"/>
    <s v="9fc875791e3143a1bb3f864a304e8185"/>
    <s v="Green Bond 2017 - Davivienda"/>
    <x v="1"/>
    <x v="8"/>
    <s v="Residential"/>
    <s v="Residential Building #23"/>
    <s v="Colombia"/>
    <d v="2020-08-12T00:00:00"/>
    <d v="2021-06-15T00:00:00"/>
    <s v="COP"/>
    <n v="29500000000"/>
    <n v="24485000000"/>
    <s v="COP"/>
    <n v="24485000000"/>
    <n v="8525477"/>
    <b v="0"/>
    <n v="1"/>
  </r>
  <r>
    <b v="1"/>
    <x v="0"/>
    <x v="0"/>
    <x v="2"/>
    <x v="0"/>
    <x v="1"/>
    <x v="14"/>
    <n v="0"/>
    <x v="29"/>
    <s v="9fc875791e3143a1bb3f864a304e8185"/>
    <s v="Green Bond 2017 - Davivienda"/>
    <x v="2"/>
    <x v="9"/>
    <s v="Unspecified"/>
    <s v="Residential Building #23"/>
    <s v="Colombia"/>
    <d v="2021-12-31T00:00:00"/>
    <d v="2021-12-31T00:00:00"/>
    <s v="COP"/>
    <n v="-24485000000"/>
    <n v="-12236333624"/>
    <s v="COP"/>
    <n v="-12236333624"/>
    <n v="-4260591"/>
    <b v="0"/>
    <n v="1"/>
  </r>
  <r>
    <b v="1"/>
    <x v="0"/>
    <x v="0"/>
    <x v="2"/>
    <x v="0"/>
    <x v="1"/>
    <x v="14"/>
    <n v="0"/>
    <x v="29"/>
    <s v="9fc875791e3143a1bb3f864a304e8185"/>
    <s v="Green Bond 2017 - Davivienda"/>
    <x v="2"/>
    <x v="9"/>
    <s v="Unspecified"/>
    <s v="Residential Building #23"/>
    <s v="Colombia"/>
    <d v="2020-08-12T00:00:00"/>
    <d v="2021-06-15T00:00:00"/>
    <s v="COP"/>
    <n v="29500000000"/>
    <n v="24485000000"/>
    <s v="COP"/>
    <n v="24485000000"/>
    <n v="8525477"/>
    <b v="0"/>
    <n v="1"/>
  </r>
  <r>
    <b v="1"/>
    <x v="0"/>
    <x v="0"/>
    <x v="2"/>
    <x v="0"/>
    <x v="1"/>
    <x v="14"/>
    <n v="0"/>
    <x v="29"/>
    <s v="9fc875791e3143a1bb3f864a304e8185"/>
    <s v="Green Bond 2017 - Davivienda"/>
    <x v="3"/>
    <x v="9"/>
    <s v="Unspecified"/>
    <s v="Residential Building #23"/>
    <s v="Colombia"/>
    <d v="2021-12-31T00:00:00"/>
    <d v="2021-12-31T00:00:00"/>
    <s v="COP"/>
    <n v="-24485000000"/>
    <n v="-12236333624"/>
    <s v="COP"/>
    <n v="-12236333624"/>
    <n v="-4260591"/>
    <b v="0"/>
    <n v="1"/>
  </r>
  <r>
    <b v="1"/>
    <x v="0"/>
    <x v="0"/>
    <x v="2"/>
    <x v="0"/>
    <x v="1"/>
    <x v="14"/>
    <n v="0"/>
    <x v="29"/>
    <s v="9fc875791e3143a1bb3f864a304e8185"/>
    <s v="Green Bond 2017 - Davivienda"/>
    <x v="3"/>
    <x v="9"/>
    <s v="Unspecified"/>
    <s v="Residential Building #23"/>
    <s v="Colombia"/>
    <d v="2020-08-12T00:00:00"/>
    <d v="2021-06-15T00:00:00"/>
    <s v="COP"/>
    <n v="29500000000"/>
    <n v="24485000000"/>
    <s v="COP"/>
    <n v="24485000000"/>
    <n v="8525477"/>
    <b v="0"/>
    <n v="1"/>
  </r>
  <r>
    <b v="1"/>
    <x v="0"/>
    <x v="0"/>
    <x v="2"/>
    <x v="0"/>
    <x v="1"/>
    <x v="14"/>
    <n v="0"/>
    <x v="29"/>
    <s v="9fc875791e3143a1bb3f864a304e8185"/>
    <s v="Green Bond 2017 - Davivienda"/>
    <x v="0"/>
    <x v="7"/>
    <s v="Residential"/>
    <s v="Residential Building #24"/>
    <s v="Colombia"/>
    <d v="2021-12-31T00:00:00"/>
    <d v="2021-12-31T00:00:00"/>
    <s v="COP"/>
    <n v="-8200000000"/>
    <n v="-8200000000"/>
    <s v="COP"/>
    <n v="-8200000000"/>
    <n v="-2855173"/>
    <b v="0"/>
    <n v="1"/>
  </r>
  <r>
    <b v="1"/>
    <x v="0"/>
    <x v="0"/>
    <x v="2"/>
    <x v="0"/>
    <x v="1"/>
    <x v="14"/>
    <n v="0"/>
    <x v="29"/>
    <s v="9fc875791e3143a1bb3f864a304e8185"/>
    <s v="Green Bond 2017 - Davivienda"/>
    <x v="0"/>
    <x v="7"/>
    <s v="Residential"/>
    <s v="Residential Building #24"/>
    <s v="Colombia"/>
    <d v="2020-06-09T00:00:00"/>
    <d v="2020-10-23T00:00:00"/>
    <s v="COP"/>
    <n v="37000000000"/>
    <n v="8200000000"/>
    <s v="COP"/>
    <n v="8200000000"/>
    <n v="2855173"/>
    <b v="0"/>
    <n v="1"/>
  </r>
  <r>
    <b v="1"/>
    <x v="0"/>
    <x v="0"/>
    <x v="2"/>
    <x v="0"/>
    <x v="1"/>
    <x v="14"/>
    <n v="0"/>
    <x v="29"/>
    <s v="9fc875791e3143a1bb3f864a304e8185"/>
    <s v="Green Bond 2017 - Davivienda"/>
    <x v="1"/>
    <x v="8"/>
    <s v="Residential"/>
    <s v="Residential Building #24"/>
    <s v="Colombia"/>
    <d v="2021-12-31T00:00:00"/>
    <d v="2021-12-31T00:00:00"/>
    <s v="COP"/>
    <n v="-8200000000"/>
    <n v="-8200000000"/>
    <s v="COP"/>
    <n v="-8200000000"/>
    <n v="-2855173"/>
    <b v="0"/>
    <n v="1"/>
  </r>
  <r>
    <b v="1"/>
    <x v="0"/>
    <x v="0"/>
    <x v="2"/>
    <x v="0"/>
    <x v="1"/>
    <x v="14"/>
    <n v="0"/>
    <x v="29"/>
    <s v="9fc875791e3143a1bb3f864a304e8185"/>
    <s v="Green Bond 2017 - Davivienda"/>
    <x v="1"/>
    <x v="8"/>
    <s v="Residential"/>
    <s v="Residential Building #24"/>
    <s v="Colombia"/>
    <d v="2020-06-09T00:00:00"/>
    <d v="2020-10-23T00:00:00"/>
    <s v="COP"/>
    <n v="37000000000"/>
    <n v="8200000000"/>
    <s v="COP"/>
    <n v="8200000000"/>
    <n v="2855173"/>
    <b v="0"/>
    <n v="1"/>
  </r>
  <r>
    <b v="1"/>
    <x v="0"/>
    <x v="0"/>
    <x v="2"/>
    <x v="0"/>
    <x v="1"/>
    <x v="14"/>
    <n v="0"/>
    <x v="29"/>
    <s v="9fc875791e3143a1bb3f864a304e8185"/>
    <s v="Green Bond 2017 - Davivienda"/>
    <x v="2"/>
    <x v="9"/>
    <s v="Unspecified"/>
    <s v="Residential Building #24"/>
    <s v="Colombia"/>
    <d v="2021-12-31T00:00:00"/>
    <d v="2021-12-31T00:00:00"/>
    <s v="COP"/>
    <n v="-8200000000"/>
    <n v="-8200000000"/>
    <s v="COP"/>
    <n v="-8200000000"/>
    <n v="-2855173"/>
    <b v="0"/>
    <n v="1"/>
  </r>
  <r>
    <b v="1"/>
    <x v="0"/>
    <x v="0"/>
    <x v="2"/>
    <x v="0"/>
    <x v="1"/>
    <x v="14"/>
    <n v="0"/>
    <x v="29"/>
    <s v="9fc875791e3143a1bb3f864a304e8185"/>
    <s v="Green Bond 2017 - Davivienda"/>
    <x v="2"/>
    <x v="9"/>
    <s v="Unspecified"/>
    <s v="Residential Building #24"/>
    <s v="Colombia"/>
    <d v="2020-06-09T00:00:00"/>
    <d v="2020-10-23T00:00:00"/>
    <s v="COP"/>
    <n v="37000000000"/>
    <n v="8200000000"/>
    <s v="COP"/>
    <n v="8200000000"/>
    <n v="2855173"/>
    <b v="0"/>
    <n v="1"/>
  </r>
  <r>
    <b v="1"/>
    <x v="0"/>
    <x v="0"/>
    <x v="2"/>
    <x v="0"/>
    <x v="1"/>
    <x v="14"/>
    <n v="0"/>
    <x v="29"/>
    <s v="9fc875791e3143a1bb3f864a304e8185"/>
    <s v="Green Bond 2017 - Davivienda"/>
    <x v="3"/>
    <x v="9"/>
    <s v="Unspecified"/>
    <s v="Residential Building #24"/>
    <s v="Colombia"/>
    <d v="2021-12-31T00:00:00"/>
    <d v="2021-12-31T00:00:00"/>
    <s v="COP"/>
    <n v="-8200000000"/>
    <n v="-8200000000"/>
    <s v="COP"/>
    <n v="-8200000000"/>
    <n v="-2855173"/>
    <b v="0"/>
    <n v="1"/>
  </r>
  <r>
    <b v="1"/>
    <x v="0"/>
    <x v="0"/>
    <x v="2"/>
    <x v="0"/>
    <x v="1"/>
    <x v="14"/>
    <n v="0"/>
    <x v="29"/>
    <s v="9fc875791e3143a1bb3f864a304e8185"/>
    <s v="Green Bond 2017 - Davivienda"/>
    <x v="3"/>
    <x v="9"/>
    <s v="Unspecified"/>
    <s v="Residential Building #24"/>
    <s v="Colombia"/>
    <d v="2020-06-09T00:00:00"/>
    <d v="2020-10-23T00:00:00"/>
    <s v="COP"/>
    <n v="37000000000"/>
    <n v="8200000000"/>
    <s v="COP"/>
    <n v="8200000000"/>
    <n v="2855173"/>
    <b v="0"/>
    <n v="1"/>
  </r>
  <r>
    <b v="1"/>
    <x v="0"/>
    <x v="0"/>
    <x v="2"/>
    <x v="0"/>
    <x v="1"/>
    <x v="14"/>
    <n v="0"/>
    <x v="29"/>
    <s v="9fc875791e3143a1bb3f864a304e8185"/>
    <s v="Green Bond 2017 - Davivienda"/>
    <x v="0"/>
    <x v="7"/>
    <s v="Residential"/>
    <s v="Residential Building #25"/>
    <s v="Colombia"/>
    <d v="2021-12-31T00:00:00"/>
    <d v="2021-12-31T00:00:00"/>
    <s v="COP"/>
    <n v="-13950000000"/>
    <n v="-12244682566"/>
    <s v="COP"/>
    <n v="-12244682566"/>
    <n v="-4263498"/>
    <b v="0"/>
    <n v="1"/>
  </r>
  <r>
    <b v="1"/>
    <x v="0"/>
    <x v="0"/>
    <x v="2"/>
    <x v="0"/>
    <x v="1"/>
    <x v="14"/>
    <n v="0"/>
    <x v="29"/>
    <s v="9fc875791e3143a1bb3f864a304e8185"/>
    <s v="Green Bond 2017 - Davivienda"/>
    <x v="0"/>
    <x v="7"/>
    <s v="Residential"/>
    <s v="Residential Building #25"/>
    <s v="Colombia"/>
    <d v="2020-05-19T00:00:00"/>
    <d v="2021-03-12T00:00:00"/>
    <s v="COP"/>
    <n v="16388000000"/>
    <n v="13950000000"/>
    <s v="COP"/>
    <n v="13950000000"/>
    <n v="4857276"/>
    <b v="0"/>
    <n v="1"/>
  </r>
  <r>
    <b v="1"/>
    <x v="0"/>
    <x v="0"/>
    <x v="2"/>
    <x v="0"/>
    <x v="1"/>
    <x v="14"/>
    <n v="0"/>
    <x v="29"/>
    <s v="9fc875791e3143a1bb3f864a304e8185"/>
    <s v="Green Bond 2017 - Davivienda"/>
    <x v="1"/>
    <x v="8"/>
    <s v="Residential"/>
    <s v="Residential Building #25"/>
    <s v="Colombia"/>
    <d v="2021-12-31T00:00:00"/>
    <d v="2021-12-31T00:00:00"/>
    <s v="COP"/>
    <n v="-13950000000"/>
    <n v="-12244682566"/>
    <s v="COP"/>
    <n v="-12244682566"/>
    <n v="-4263498"/>
    <b v="0"/>
    <n v="1"/>
  </r>
  <r>
    <b v="1"/>
    <x v="0"/>
    <x v="0"/>
    <x v="2"/>
    <x v="0"/>
    <x v="1"/>
    <x v="14"/>
    <n v="0"/>
    <x v="29"/>
    <s v="9fc875791e3143a1bb3f864a304e8185"/>
    <s v="Green Bond 2017 - Davivienda"/>
    <x v="1"/>
    <x v="8"/>
    <s v="Residential"/>
    <s v="Residential Building #25"/>
    <s v="Colombia"/>
    <d v="2020-05-19T00:00:00"/>
    <d v="2021-03-12T00:00:00"/>
    <s v="COP"/>
    <n v="16388000000"/>
    <n v="13950000000"/>
    <s v="COP"/>
    <n v="13950000000"/>
    <n v="4857276"/>
    <b v="0"/>
    <n v="1"/>
  </r>
  <r>
    <b v="1"/>
    <x v="0"/>
    <x v="0"/>
    <x v="2"/>
    <x v="0"/>
    <x v="1"/>
    <x v="14"/>
    <n v="0"/>
    <x v="29"/>
    <s v="9fc875791e3143a1bb3f864a304e8185"/>
    <s v="Green Bond 2017 - Davivienda"/>
    <x v="2"/>
    <x v="9"/>
    <s v="Unspecified"/>
    <s v="Residential Building #25"/>
    <s v="Colombia"/>
    <d v="2021-12-31T00:00:00"/>
    <d v="2021-12-31T00:00:00"/>
    <s v="COP"/>
    <n v="-13950000000"/>
    <n v="-12244682566"/>
    <s v="COP"/>
    <n v="-12244682566"/>
    <n v="-4263498"/>
    <b v="0"/>
    <n v="1"/>
  </r>
  <r>
    <b v="1"/>
    <x v="0"/>
    <x v="0"/>
    <x v="2"/>
    <x v="0"/>
    <x v="1"/>
    <x v="14"/>
    <n v="0"/>
    <x v="29"/>
    <s v="9fc875791e3143a1bb3f864a304e8185"/>
    <s v="Green Bond 2017 - Davivienda"/>
    <x v="2"/>
    <x v="9"/>
    <s v="Unspecified"/>
    <s v="Residential Building #25"/>
    <s v="Colombia"/>
    <d v="2020-05-19T00:00:00"/>
    <d v="2021-03-12T00:00:00"/>
    <s v="COP"/>
    <n v="16388000000"/>
    <n v="13950000000"/>
    <s v="COP"/>
    <n v="13950000000"/>
    <n v="4857276"/>
    <b v="0"/>
    <n v="1"/>
  </r>
  <r>
    <b v="1"/>
    <x v="0"/>
    <x v="0"/>
    <x v="2"/>
    <x v="0"/>
    <x v="1"/>
    <x v="14"/>
    <n v="0"/>
    <x v="29"/>
    <s v="9fc875791e3143a1bb3f864a304e8185"/>
    <s v="Green Bond 2017 - Davivienda"/>
    <x v="3"/>
    <x v="9"/>
    <s v="Unspecified"/>
    <s v="Residential Building #25"/>
    <s v="Colombia"/>
    <d v="2021-12-31T00:00:00"/>
    <d v="2021-12-31T00:00:00"/>
    <s v="COP"/>
    <n v="-13950000000"/>
    <n v="-12244682566"/>
    <s v="COP"/>
    <n v="-12244682566"/>
    <n v="-4263498"/>
    <b v="0"/>
    <n v="1"/>
  </r>
  <r>
    <b v="1"/>
    <x v="0"/>
    <x v="0"/>
    <x v="2"/>
    <x v="0"/>
    <x v="1"/>
    <x v="14"/>
    <n v="0"/>
    <x v="29"/>
    <s v="9fc875791e3143a1bb3f864a304e8185"/>
    <s v="Green Bond 2017 - Davivienda"/>
    <x v="3"/>
    <x v="9"/>
    <s v="Unspecified"/>
    <s v="Residential Building #25"/>
    <s v="Colombia"/>
    <d v="2020-05-19T00:00:00"/>
    <d v="2021-03-12T00:00:00"/>
    <s v="COP"/>
    <n v="16388000000"/>
    <n v="13950000000"/>
    <s v="COP"/>
    <n v="13950000000"/>
    <n v="4857276"/>
    <b v="0"/>
    <n v="1"/>
  </r>
  <r>
    <b v="1"/>
    <x v="0"/>
    <x v="0"/>
    <x v="2"/>
    <x v="0"/>
    <x v="1"/>
    <x v="14"/>
    <n v="0"/>
    <x v="29"/>
    <s v="9fc875791e3143a1bb3f864a304e8185"/>
    <s v="Green Bond 2017 - Davivienda"/>
    <x v="0"/>
    <x v="7"/>
    <s v="Residential"/>
    <s v="Residential Building #26"/>
    <s v="Colombia"/>
    <d v="2021-12-31T00:00:00"/>
    <d v="2021-12-31T00:00:00"/>
    <s v="COP"/>
    <n v="-5741000000"/>
    <n v="-1485756731"/>
    <s v="COP"/>
    <n v="-1485756731"/>
    <n v="-517328"/>
    <b v="0"/>
    <n v="1"/>
  </r>
  <r>
    <b v="1"/>
    <x v="0"/>
    <x v="0"/>
    <x v="2"/>
    <x v="0"/>
    <x v="1"/>
    <x v="14"/>
    <n v="0"/>
    <x v="29"/>
    <s v="9fc875791e3143a1bb3f864a304e8185"/>
    <s v="Green Bond 2017 - Davivienda"/>
    <x v="0"/>
    <x v="7"/>
    <s v="Residential"/>
    <s v="Residential Building #26"/>
    <s v="Colombia"/>
    <d v="2021-05-25T00:00:00"/>
    <d v="2021-06-15T00:00:00"/>
    <s v="COP"/>
    <n v="7285000000"/>
    <n v="5741000000"/>
    <s v="COP"/>
    <n v="5741000000"/>
    <n v="1998969"/>
    <b v="0"/>
    <n v="1"/>
  </r>
  <r>
    <b v="1"/>
    <x v="0"/>
    <x v="0"/>
    <x v="2"/>
    <x v="0"/>
    <x v="1"/>
    <x v="14"/>
    <n v="0"/>
    <x v="29"/>
    <s v="9fc875791e3143a1bb3f864a304e8185"/>
    <s v="Green Bond 2017 - Davivienda"/>
    <x v="1"/>
    <x v="8"/>
    <s v="Residential"/>
    <s v="Residential Building #26"/>
    <s v="Colombia"/>
    <d v="2021-12-31T00:00:00"/>
    <d v="2021-12-31T00:00:00"/>
    <s v="COP"/>
    <n v="-5741000000"/>
    <n v="-1485756731"/>
    <s v="COP"/>
    <n v="-1485756731"/>
    <n v="-517328"/>
    <b v="0"/>
    <n v="1"/>
  </r>
  <r>
    <b v="1"/>
    <x v="0"/>
    <x v="0"/>
    <x v="2"/>
    <x v="0"/>
    <x v="1"/>
    <x v="14"/>
    <n v="0"/>
    <x v="29"/>
    <s v="9fc875791e3143a1bb3f864a304e8185"/>
    <s v="Green Bond 2017 - Davivienda"/>
    <x v="1"/>
    <x v="8"/>
    <s v="Residential"/>
    <s v="Residential Building #26"/>
    <s v="Colombia"/>
    <d v="2021-05-25T00:00:00"/>
    <d v="2021-06-15T00:00:00"/>
    <s v="COP"/>
    <n v="7285000000"/>
    <n v="5741000000"/>
    <s v="COP"/>
    <n v="5741000000"/>
    <n v="1998969"/>
    <b v="0"/>
    <n v="1"/>
  </r>
  <r>
    <b v="1"/>
    <x v="0"/>
    <x v="0"/>
    <x v="2"/>
    <x v="0"/>
    <x v="1"/>
    <x v="14"/>
    <n v="0"/>
    <x v="29"/>
    <s v="9fc875791e3143a1bb3f864a304e8185"/>
    <s v="Green Bond 2017 - Davivienda"/>
    <x v="2"/>
    <x v="9"/>
    <s v="Unspecified"/>
    <s v="Residential Building #26"/>
    <s v="Colombia"/>
    <d v="2021-12-31T00:00:00"/>
    <d v="2021-12-31T00:00:00"/>
    <s v="COP"/>
    <n v="-5741000000"/>
    <n v="-1485756731"/>
    <s v="COP"/>
    <n v="-1485756731"/>
    <n v="-517328"/>
    <b v="0"/>
    <n v="1"/>
  </r>
  <r>
    <b v="1"/>
    <x v="0"/>
    <x v="0"/>
    <x v="2"/>
    <x v="0"/>
    <x v="1"/>
    <x v="14"/>
    <n v="0"/>
    <x v="29"/>
    <s v="9fc875791e3143a1bb3f864a304e8185"/>
    <s v="Green Bond 2017 - Davivienda"/>
    <x v="2"/>
    <x v="9"/>
    <s v="Unspecified"/>
    <s v="Residential Building #26"/>
    <s v="Colombia"/>
    <d v="2021-05-25T00:00:00"/>
    <d v="2021-06-15T00:00:00"/>
    <s v="COP"/>
    <n v="7285000000"/>
    <n v="5741000000"/>
    <s v="COP"/>
    <n v="5741000000"/>
    <n v="1998969"/>
    <b v="0"/>
    <n v="1"/>
  </r>
  <r>
    <b v="1"/>
    <x v="0"/>
    <x v="0"/>
    <x v="2"/>
    <x v="0"/>
    <x v="1"/>
    <x v="14"/>
    <n v="0"/>
    <x v="29"/>
    <s v="9fc875791e3143a1bb3f864a304e8185"/>
    <s v="Green Bond 2017 - Davivienda"/>
    <x v="3"/>
    <x v="9"/>
    <s v="Unspecified"/>
    <s v="Residential Building #26"/>
    <s v="Colombia"/>
    <d v="2021-12-31T00:00:00"/>
    <d v="2021-12-31T00:00:00"/>
    <s v="COP"/>
    <n v="-5741000000"/>
    <n v="-1485756731"/>
    <s v="COP"/>
    <n v="-1485756731"/>
    <n v="-517328"/>
    <b v="0"/>
    <n v="1"/>
  </r>
  <r>
    <b v="1"/>
    <x v="0"/>
    <x v="0"/>
    <x v="2"/>
    <x v="0"/>
    <x v="1"/>
    <x v="14"/>
    <n v="0"/>
    <x v="29"/>
    <s v="9fc875791e3143a1bb3f864a304e8185"/>
    <s v="Green Bond 2017 - Davivienda"/>
    <x v="3"/>
    <x v="9"/>
    <s v="Unspecified"/>
    <s v="Residential Building #26"/>
    <s v="Colombia"/>
    <d v="2021-05-25T00:00:00"/>
    <d v="2021-06-15T00:00:00"/>
    <s v="COP"/>
    <n v="7285000000"/>
    <n v="5741000000"/>
    <s v="COP"/>
    <n v="5741000000"/>
    <n v="1998969"/>
    <b v="0"/>
    <n v="1"/>
  </r>
  <r>
    <b v="1"/>
    <x v="0"/>
    <x v="0"/>
    <x v="2"/>
    <x v="0"/>
    <x v="1"/>
    <x v="14"/>
    <n v="0"/>
    <x v="29"/>
    <s v="9fc875791e3143a1bb3f864a304e8185"/>
    <s v="Green Bond 2017 - Davivienda"/>
    <x v="0"/>
    <x v="7"/>
    <s v="Residential"/>
    <s v="Residential Building #27"/>
    <s v="Colombia"/>
    <d v="2021-12-31T00:00:00"/>
    <d v="2021-12-31T00:00:00"/>
    <s v="COP"/>
    <n v="-31405000000"/>
    <n v="-23044374025"/>
    <s v="COP"/>
    <n v="-23044374025"/>
    <n v="-8023862"/>
    <b v="0"/>
    <n v="1"/>
  </r>
  <r>
    <b v="1"/>
    <x v="0"/>
    <x v="0"/>
    <x v="2"/>
    <x v="0"/>
    <x v="1"/>
    <x v="14"/>
    <n v="0"/>
    <x v="29"/>
    <s v="9fc875791e3143a1bb3f864a304e8185"/>
    <s v="Green Bond 2017 - Davivienda"/>
    <x v="0"/>
    <x v="7"/>
    <s v="Residential"/>
    <s v="Residential Building #27"/>
    <s v="Colombia"/>
    <d v="2020-08-04T00:00:00"/>
    <d v="2021-04-05T00:00:00"/>
    <s v="COP"/>
    <n v="42200000000"/>
    <n v="31405000000"/>
    <s v="COP"/>
    <n v="31405000000"/>
    <n v="10934964"/>
    <b v="0"/>
    <n v="1"/>
  </r>
  <r>
    <b v="1"/>
    <x v="0"/>
    <x v="0"/>
    <x v="2"/>
    <x v="0"/>
    <x v="1"/>
    <x v="14"/>
    <n v="0"/>
    <x v="29"/>
    <s v="9fc875791e3143a1bb3f864a304e8185"/>
    <s v="Green Bond 2017 - Davivienda"/>
    <x v="1"/>
    <x v="8"/>
    <s v="Residential"/>
    <s v="Residential Building #27"/>
    <s v="Colombia"/>
    <d v="2021-12-31T00:00:00"/>
    <d v="2021-12-31T00:00:00"/>
    <s v="COP"/>
    <n v="-31405000000"/>
    <n v="-23044374025"/>
    <s v="COP"/>
    <n v="-23044374025"/>
    <n v="-8023862"/>
    <b v="0"/>
    <n v="1"/>
  </r>
  <r>
    <b v="1"/>
    <x v="0"/>
    <x v="0"/>
    <x v="2"/>
    <x v="0"/>
    <x v="1"/>
    <x v="14"/>
    <n v="0"/>
    <x v="29"/>
    <s v="9fc875791e3143a1bb3f864a304e8185"/>
    <s v="Green Bond 2017 - Davivienda"/>
    <x v="1"/>
    <x v="8"/>
    <s v="Residential"/>
    <s v="Residential Building #27"/>
    <s v="Colombia"/>
    <d v="2020-08-04T00:00:00"/>
    <d v="2021-04-05T00:00:00"/>
    <s v="COP"/>
    <n v="42200000000"/>
    <n v="31405000000"/>
    <s v="COP"/>
    <n v="31405000000"/>
    <n v="10934964"/>
    <b v="0"/>
    <n v="1"/>
  </r>
  <r>
    <b v="1"/>
    <x v="0"/>
    <x v="0"/>
    <x v="2"/>
    <x v="0"/>
    <x v="1"/>
    <x v="14"/>
    <n v="0"/>
    <x v="29"/>
    <s v="9fc875791e3143a1bb3f864a304e8185"/>
    <s v="Green Bond 2017 - Davivienda"/>
    <x v="2"/>
    <x v="9"/>
    <s v="Unspecified"/>
    <s v="Residential Building #27"/>
    <s v="Colombia"/>
    <d v="2021-12-31T00:00:00"/>
    <d v="2021-12-31T00:00:00"/>
    <s v="COP"/>
    <n v="-31405000000"/>
    <n v="-23044374025"/>
    <s v="COP"/>
    <n v="-23044374025"/>
    <n v="-8023862"/>
    <b v="0"/>
    <n v="1"/>
  </r>
  <r>
    <b v="1"/>
    <x v="0"/>
    <x v="0"/>
    <x v="2"/>
    <x v="0"/>
    <x v="1"/>
    <x v="14"/>
    <n v="0"/>
    <x v="29"/>
    <s v="9fc875791e3143a1bb3f864a304e8185"/>
    <s v="Green Bond 2017 - Davivienda"/>
    <x v="2"/>
    <x v="9"/>
    <s v="Unspecified"/>
    <s v="Residential Building #27"/>
    <s v="Colombia"/>
    <d v="2020-08-04T00:00:00"/>
    <d v="2021-04-05T00:00:00"/>
    <s v="COP"/>
    <n v="42200000000"/>
    <n v="31405000000"/>
    <s v="COP"/>
    <n v="31405000000"/>
    <n v="10934964"/>
    <b v="0"/>
    <n v="1"/>
  </r>
  <r>
    <b v="1"/>
    <x v="0"/>
    <x v="0"/>
    <x v="2"/>
    <x v="0"/>
    <x v="1"/>
    <x v="14"/>
    <n v="0"/>
    <x v="29"/>
    <s v="9fc875791e3143a1bb3f864a304e8185"/>
    <s v="Green Bond 2017 - Davivienda"/>
    <x v="3"/>
    <x v="9"/>
    <s v="Unspecified"/>
    <s v="Residential Building #27"/>
    <s v="Colombia"/>
    <d v="2021-12-31T00:00:00"/>
    <d v="2021-12-31T00:00:00"/>
    <s v="COP"/>
    <n v="-31405000000"/>
    <n v="-23044374025"/>
    <s v="COP"/>
    <n v="-23044374025"/>
    <n v="-8023862"/>
    <b v="0"/>
    <n v="1"/>
  </r>
  <r>
    <b v="1"/>
    <x v="0"/>
    <x v="0"/>
    <x v="2"/>
    <x v="0"/>
    <x v="1"/>
    <x v="14"/>
    <n v="0"/>
    <x v="29"/>
    <s v="9fc875791e3143a1bb3f864a304e8185"/>
    <s v="Green Bond 2017 - Davivienda"/>
    <x v="3"/>
    <x v="9"/>
    <s v="Unspecified"/>
    <s v="Residential Building #27"/>
    <s v="Colombia"/>
    <d v="2020-08-04T00:00:00"/>
    <d v="2021-04-05T00:00:00"/>
    <s v="COP"/>
    <n v="42200000000"/>
    <n v="31405000000"/>
    <s v="COP"/>
    <n v="31405000000"/>
    <n v="10934964"/>
    <b v="0"/>
    <n v="1"/>
  </r>
  <r>
    <b v="1"/>
    <x v="0"/>
    <x v="0"/>
    <x v="2"/>
    <x v="0"/>
    <x v="1"/>
    <x v="14"/>
    <n v="0"/>
    <x v="29"/>
    <s v="9fc875791e3143a1bb3f864a304e8185"/>
    <s v="Green Bond 2017 - Davivienda"/>
    <x v="0"/>
    <x v="7"/>
    <s v="Residential"/>
    <s v="Residential Building #28"/>
    <s v="Colombia"/>
    <d v="2021-12-31T00:00:00"/>
    <d v="2021-12-31T00:00:00"/>
    <s v="COP"/>
    <n v="-11700000000"/>
    <n v="-2972928687"/>
    <s v="COP"/>
    <n v="-2972928687"/>
    <n v="-1035149"/>
    <b v="0"/>
    <n v="1"/>
  </r>
  <r>
    <b v="1"/>
    <x v="0"/>
    <x v="0"/>
    <x v="2"/>
    <x v="0"/>
    <x v="1"/>
    <x v="14"/>
    <n v="0"/>
    <x v="29"/>
    <s v="9fc875791e3143a1bb3f864a304e8185"/>
    <s v="Green Bond 2017 - Davivienda"/>
    <x v="0"/>
    <x v="7"/>
    <s v="Residential"/>
    <s v="Residential Building #28"/>
    <s v="Colombia"/>
    <d v="2020-07-21T00:00:00"/>
    <d v="2021-04-26T00:00:00"/>
    <s v="COP"/>
    <n v="33500000000"/>
    <n v="11700000000"/>
    <s v="COP"/>
    <n v="11700000000"/>
    <n v="4073844"/>
    <b v="0"/>
    <n v="1"/>
  </r>
  <r>
    <b v="1"/>
    <x v="0"/>
    <x v="0"/>
    <x v="2"/>
    <x v="0"/>
    <x v="1"/>
    <x v="14"/>
    <n v="0"/>
    <x v="29"/>
    <s v="9fc875791e3143a1bb3f864a304e8185"/>
    <s v="Green Bond 2017 - Davivienda"/>
    <x v="1"/>
    <x v="8"/>
    <s v="Residential"/>
    <s v="Residential Building #28"/>
    <s v="Colombia"/>
    <d v="2021-12-31T00:00:00"/>
    <d v="2021-12-31T00:00:00"/>
    <s v="COP"/>
    <n v="-11700000000"/>
    <n v="-2972928687"/>
    <s v="COP"/>
    <n v="-2972928687"/>
    <n v="-1035149"/>
    <b v="0"/>
    <n v="1"/>
  </r>
  <r>
    <b v="1"/>
    <x v="0"/>
    <x v="0"/>
    <x v="2"/>
    <x v="0"/>
    <x v="1"/>
    <x v="14"/>
    <n v="0"/>
    <x v="29"/>
    <s v="9fc875791e3143a1bb3f864a304e8185"/>
    <s v="Green Bond 2017 - Davivienda"/>
    <x v="1"/>
    <x v="8"/>
    <s v="Residential"/>
    <s v="Residential Building #28"/>
    <s v="Colombia"/>
    <d v="2020-07-21T00:00:00"/>
    <d v="2021-04-26T00:00:00"/>
    <s v="COP"/>
    <n v="33500000000"/>
    <n v="11700000000"/>
    <s v="COP"/>
    <n v="11700000000"/>
    <n v="4073844"/>
    <b v="0"/>
    <n v="1"/>
  </r>
  <r>
    <b v="1"/>
    <x v="0"/>
    <x v="0"/>
    <x v="2"/>
    <x v="0"/>
    <x v="1"/>
    <x v="14"/>
    <n v="0"/>
    <x v="29"/>
    <s v="9fc875791e3143a1bb3f864a304e8185"/>
    <s v="Green Bond 2017 - Davivienda"/>
    <x v="2"/>
    <x v="9"/>
    <s v="Unspecified"/>
    <s v="Residential Building #28"/>
    <s v="Colombia"/>
    <d v="2021-12-31T00:00:00"/>
    <d v="2021-12-31T00:00:00"/>
    <s v="COP"/>
    <n v="-11700000000"/>
    <n v="-2972928687"/>
    <s v="COP"/>
    <n v="-2972928687"/>
    <n v="-1035149"/>
    <b v="0"/>
    <n v="1"/>
  </r>
  <r>
    <b v="1"/>
    <x v="0"/>
    <x v="0"/>
    <x v="2"/>
    <x v="0"/>
    <x v="1"/>
    <x v="14"/>
    <n v="0"/>
    <x v="29"/>
    <s v="9fc875791e3143a1bb3f864a304e8185"/>
    <s v="Green Bond 2017 - Davivienda"/>
    <x v="2"/>
    <x v="9"/>
    <s v="Unspecified"/>
    <s v="Residential Building #28"/>
    <s v="Colombia"/>
    <d v="2020-07-21T00:00:00"/>
    <d v="2021-04-26T00:00:00"/>
    <s v="COP"/>
    <n v="33500000000"/>
    <n v="11700000000"/>
    <s v="COP"/>
    <n v="11700000000"/>
    <n v="4073844"/>
    <b v="0"/>
    <n v="1"/>
  </r>
  <r>
    <b v="1"/>
    <x v="0"/>
    <x v="0"/>
    <x v="2"/>
    <x v="0"/>
    <x v="1"/>
    <x v="14"/>
    <n v="0"/>
    <x v="29"/>
    <s v="9fc875791e3143a1bb3f864a304e8185"/>
    <s v="Green Bond 2017 - Davivienda"/>
    <x v="3"/>
    <x v="9"/>
    <s v="Unspecified"/>
    <s v="Residential Building #28"/>
    <s v="Colombia"/>
    <d v="2021-12-31T00:00:00"/>
    <d v="2021-12-31T00:00:00"/>
    <s v="COP"/>
    <n v="-11700000000"/>
    <n v="-2972928687"/>
    <s v="COP"/>
    <n v="-2972928687"/>
    <n v="-1035149"/>
    <b v="0"/>
    <n v="1"/>
  </r>
  <r>
    <b v="1"/>
    <x v="0"/>
    <x v="0"/>
    <x v="2"/>
    <x v="0"/>
    <x v="1"/>
    <x v="14"/>
    <n v="0"/>
    <x v="29"/>
    <s v="9fc875791e3143a1bb3f864a304e8185"/>
    <s v="Green Bond 2017 - Davivienda"/>
    <x v="3"/>
    <x v="9"/>
    <s v="Unspecified"/>
    <s v="Residential Building #28"/>
    <s v="Colombia"/>
    <d v="2020-07-21T00:00:00"/>
    <d v="2021-04-26T00:00:00"/>
    <s v="COP"/>
    <n v="33500000000"/>
    <n v="11700000000"/>
    <s v="COP"/>
    <n v="11700000000"/>
    <n v="4073844"/>
    <b v="0"/>
    <n v="1"/>
  </r>
  <r>
    <b v="1"/>
    <x v="0"/>
    <x v="0"/>
    <x v="2"/>
    <x v="0"/>
    <x v="1"/>
    <x v="14"/>
    <n v="0"/>
    <x v="29"/>
    <s v="9fc875791e3143a1bb3f864a304e8185"/>
    <s v="Green Bond 2017 - Davivienda"/>
    <x v="0"/>
    <x v="7"/>
    <s v="Residential"/>
    <s v="Residential Building #29"/>
    <s v="Colombia"/>
    <d v="2020-11-17T00:00:00"/>
    <d v="2021-04-08T00:00:00"/>
    <s v="COP"/>
    <n v="48410000000"/>
    <n v="9230000000"/>
    <s v="COP"/>
    <n v="9230000000"/>
    <n v="3213810"/>
    <b v="0"/>
    <n v="1"/>
  </r>
  <r>
    <b v="1"/>
    <x v="0"/>
    <x v="0"/>
    <x v="2"/>
    <x v="0"/>
    <x v="1"/>
    <x v="14"/>
    <n v="0"/>
    <x v="29"/>
    <s v="9fc875791e3143a1bb3f864a304e8185"/>
    <s v="Green Bond 2017 - Davivienda"/>
    <x v="1"/>
    <x v="8"/>
    <s v="Residential"/>
    <s v="Residential Building #29"/>
    <s v="Colombia"/>
    <d v="2020-11-17T00:00:00"/>
    <d v="2021-04-08T00:00:00"/>
    <s v="COP"/>
    <n v="48410000000"/>
    <n v="9230000000"/>
    <s v="COP"/>
    <n v="9230000000"/>
    <n v="3213810"/>
    <b v="0"/>
    <n v="1"/>
  </r>
  <r>
    <b v="1"/>
    <x v="0"/>
    <x v="0"/>
    <x v="2"/>
    <x v="0"/>
    <x v="1"/>
    <x v="14"/>
    <n v="0"/>
    <x v="29"/>
    <s v="9fc875791e3143a1bb3f864a304e8185"/>
    <s v="Green Bond 2017 - Davivienda"/>
    <x v="2"/>
    <x v="9"/>
    <s v="Unspecified"/>
    <s v="Residential Building #29"/>
    <s v="Colombia"/>
    <d v="2020-11-17T00:00:00"/>
    <d v="2021-04-08T00:00:00"/>
    <s v="COP"/>
    <n v="48410000000"/>
    <n v="9230000000"/>
    <s v="COP"/>
    <n v="9230000000"/>
    <n v="3213810"/>
    <b v="0"/>
    <n v="1"/>
  </r>
  <r>
    <b v="1"/>
    <x v="0"/>
    <x v="0"/>
    <x v="2"/>
    <x v="0"/>
    <x v="1"/>
    <x v="14"/>
    <n v="0"/>
    <x v="29"/>
    <s v="9fc875791e3143a1bb3f864a304e8185"/>
    <s v="Green Bond 2017 - Davivienda"/>
    <x v="3"/>
    <x v="9"/>
    <s v="Unspecified"/>
    <s v="Residential Building #29"/>
    <s v="Colombia"/>
    <d v="2020-11-17T00:00:00"/>
    <d v="2021-04-08T00:00:00"/>
    <s v="COP"/>
    <n v="48410000000"/>
    <n v="9230000000"/>
    <s v="COP"/>
    <n v="9230000000"/>
    <n v="3213810"/>
    <b v="0"/>
    <n v="1"/>
  </r>
  <r>
    <b v="1"/>
    <x v="0"/>
    <x v="0"/>
    <x v="2"/>
    <x v="0"/>
    <x v="1"/>
    <x v="14"/>
    <n v="0"/>
    <x v="29"/>
    <s v="9fc875791e3143a1bb3f864a304e8185"/>
    <s v="Green Bond 2017 - Davivienda"/>
    <x v="0"/>
    <x v="7"/>
    <s v="Residential"/>
    <s v="Residential Building #30"/>
    <s v="Colombia"/>
    <d v="2020-07-04T00:00:00"/>
    <d v="2021-04-09T00:00:00"/>
    <s v="COP"/>
    <n v="10000000000"/>
    <n v="6299000000"/>
    <s v="COP"/>
    <n v="6299000000"/>
    <n v="2193260"/>
    <b v="0"/>
    <n v="1"/>
  </r>
  <r>
    <b v="1"/>
    <x v="0"/>
    <x v="0"/>
    <x v="2"/>
    <x v="0"/>
    <x v="1"/>
    <x v="14"/>
    <n v="0"/>
    <x v="29"/>
    <s v="9fc875791e3143a1bb3f864a304e8185"/>
    <s v="Green Bond 2017 - Davivienda"/>
    <x v="1"/>
    <x v="8"/>
    <s v="Residential"/>
    <s v="Residential Building #30"/>
    <s v="Colombia"/>
    <d v="2020-07-04T00:00:00"/>
    <d v="2021-04-09T00:00:00"/>
    <s v="COP"/>
    <n v="10000000000"/>
    <n v="6299000000"/>
    <s v="COP"/>
    <n v="6299000000"/>
    <n v="2193260"/>
    <b v="0"/>
    <n v="1"/>
  </r>
  <r>
    <b v="1"/>
    <x v="0"/>
    <x v="0"/>
    <x v="2"/>
    <x v="0"/>
    <x v="1"/>
    <x v="14"/>
    <n v="0"/>
    <x v="29"/>
    <s v="9fc875791e3143a1bb3f864a304e8185"/>
    <s v="Green Bond 2017 - Davivienda"/>
    <x v="2"/>
    <x v="9"/>
    <s v="Unspecified"/>
    <s v="Residential Building #30"/>
    <s v="Colombia"/>
    <d v="2020-07-04T00:00:00"/>
    <d v="2021-04-09T00:00:00"/>
    <s v="COP"/>
    <n v="10000000000"/>
    <n v="6299000000"/>
    <s v="COP"/>
    <n v="6299000000"/>
    <n v="2193260"/>
    <b v="0"/>
    <n v="1"/>
  </r>
  <r>
    <b v="1"/>
    <x v="0"/>
    <x v="0"/>
    <x v="2"/>
    <x v="0"/>
    <x v="1"/>
    <x v="14"/>
    <n v="0"/>
    <x v="29"/>
    <s v="9fc875791e3143a1bb3f864a304e8185"/>
    <s v="Green Bond 2017 - Davivienda"/>
    <x v="3"/>
    <x v="9"/>
    <s v="Unspecified"/>
    <s v="Residential Building #30"/>
    <s v="Colombia"/>
    <d v="2020-07-04T00:00:00"/>
    <d v="2021-04-09T00:00:00"/>
    <s v="COP"/>
    <n v="10000000000"/>
    <n v="6299000000"/>
    <s v="COP"/>
    <n v="6299000000"/>
    <n v="2193260"/>
    <b v="0"/>
    <n v="1"/>
  </r>
  <r>
    <b v="1"/>
    <x v="0"/>
    <x v="0"/>
    <x v="2"/>
    <x v="0"/>
    <x v="1"/>
    <x v="14"/>
    <n v="0"/>
    <x v="29"/>
    <s v="9fc875791e3143a1bb3f864a304e8185"/>
    <s v="Green Bond 2017 - Davivienda"/>
    <x v="0"/>
    <x v="7"/>
    <s v="Residential"/>
    <s v="Residential Building #31"/>
    <s v="Colombia"/>
    <d v="2021-12-31T00:00:00"/>
    <d v="2021-12-31T00:00:00"/>
    <s v="COP"/>
    <n v="-10973560000"/>
    <n v="-4915502263"/>
    <s v="COP"/>
    <n v="-4915502263"/>
    <n v="-1711537"/>
    <b v="0"/>
    <n v="1"/>
  </r>
  <r>
    <b v="1"/>
    <x v="0"/>
    <x v="0"/>
    <x v="2"/>
    <x v="0"/>
    <x v="1"/>
    <x v="14"/>
    <n v="0"/>
    <x v="29"/>
    <s v="9fc875791e3143a1bb3f864a304e8185"/>
    <s v="Green Bond 2017 - Davivienda"/>
    <x v="0"/>
    <x v="7"/>
    <s v="Residential"/>
    <s v="Residential Building #31"/>
    <s v="Colombia"/>
    <d v="2020-12-01T00:00:00"/>
    <d v="2021-06-23T00:00:00"/>
    <s v="COP"/>
    <n v="13635000000"/>
    <n v="10973560000"/>
    <s v="COP"/>
    <n v="10973560000"/>
    <n v="3820904"/>
    <b v="0"/>
    <n v="1"/>
  </r>
  <r>
    <b v="1"/>
    <x v="0"/>
    <x v="0"/>
    <x v="2"/>
    <x v="0"/>
    <x v="1"/>
    <x v="14"/>
    <n v="0"/>
    <x v="29"/>
    <s v="9fc875791e3143a1bb3f864a304e8185"/>
    <s v="Green Bond 2017 - Davivienda"/>
    <x v="1"/>
    <x v="8"/>
    <s v="Residential"/>
    <s v="Residential Building #31"/>
    <s v="Colombia"/>
    <d v="2021-12-31T00:00:00"/>
    <d v="2021-12-31T00:00:00"/>
    <s v="COP"/>
    <n v="-10973560000"/>
    <n v="-4915502263"/>
    <s v="COP"/>
    <n v="-4915502263"/>
    <n v="-1711537"/>
    <b v="0"/>
    <n v="1"/>
  </r>
  <r>
    <b v="1"/>
    <x v="0"/>
    <x v="0"/>
    <x v="2"/>
    <x v="0"/>
    <x v="1"/>
    <x v="14"/>
    <n v="0"/>
    <x v="29"/>
    <s v="9fc875791e3143a1bb3f864a304e8185"/>
    <s v="Green Bond 2017 - Davivienda"/>
    <x v="1"/>
    <x v="8"/>
    <s v="Residential"/>
    <s v="Residential Building #31"/>
    <s v="Colombia"/>
    <d v="2020-12-01T00:00:00"/>
    <d v="2021-06-23T00:00:00"/>
    <s v="COP"/>
    <n v="13635000000"/>
    <n v="10973560000"/>
    <s v="COP"/>
    <n v="10973560000"/>
    <n v="3820904"/>
    <b v="0"/>
    <n v="1"/>
  </r>
  <r>
    <b v="1"/>
    <x v="0"/>
    <x v="0"/>
    <x v="2"/>
    <x v="0"/>
    <x v="1"/>
    <x v="14"/>
    <n v="0"/>
    <x v="29"/>
    <s v="9fc875791e3143a1bb3f864a304e8185"/>
    <s v="Green Bond 2017 - Davivienda"/>
    <x v="2"/>
    <x v="9"/>
    <s v="Unspecified"/>
    <s v="Residential Building #31"/>
    <s v="Colombia"/>
    <d v="2021-12-31T00:00:00"/>
    <d v="2021-12-31T00:00:00"/>
    <s v="COP"/>
    <n v="-10973560000"/>
    <n v="-4915502263"/>
    <s v="COP"/>
    <n v="-4915502263"/>
    <n v="-1711537"/>
    <b v="0"/>
    <n v="1"/>
  </r>
  <r>
    <b v="1"/>
    <x v="0"/>
    <x v="0"/>
    <x v="2"/>
    <x v="0"/>
    <x v="1"/>
    <x v="14"/>
    <n v="0"/>
    <x v="29"/>
    <s v="9fc875791e3143a1bb3f864a304e8185"/>
    <s v="Green Bond 2017 - Davivienda"/>
    <x v="2"/>
    <x v="9"/>
    <s v="Unspecified"/>
    <s v="Residential Building #31"/>
    <s v="Colombia"/>
    <d v="2020-12-01T00:00:00"/>
    <d v="2021-06-23T00:00:00"/>
    <s v="COP"/>
    <n v="13635000000"/>
    <n v="10973560000"/>
    <s v="COP"/>
    <n v="10973560000"/>
    <n v="3820904"/>
    <b v="0"/>
    <n v="1"/>
  </r>
  <r>
    <b v="1"/>
    <x v="0"/>
    <x v="0"/>
    <x v="2"/>
    <x v="0"/>
    <x v="1"/>
    <x v="14"/>
    <n v="0"/>
    <x v="29"/>
    <s v="9fc875791e3143a1bb3f864a304e8185"/>
    <s v="Green Bond 2017 - Davivienda"/>
    <x v="3"/>
    <x v="9"/>
    <s v="Unspecified"/>
    <s v="Residential Building #31"/>
    <s v="Colombia"/>
    <d v="2021-12-31T00:00:00"/>
    <d v="2021-12-31T00:00:00"/>
    <s v="COP"/>
    <n v="-10973560000"/>
    <n v="-4915502263"/>
    <s v="COP"/>
    <n v="-4915502263"/>
    <n v="-1711537"/>
    <b v="0"/>
    <n v="1"/>
  </r>
  <r>
    <b v="1"/>
    <x v="0"/>
    <x v="0"/>
    <x v="2"/>
    <x v="0"/>
    <x v="1"/>
    <x v="14"/>
    <n v="0"/>
    <x v="29"/>
    <s v="9fc875791e3143a1bb3f864a304e8185"/>
    <s v="Green Bond 2017 - Davivienda"/>
    <x v="3"/>
    <x v="9"/>
    <s v="Unspecified"/>
    <s v="Residential Building #31"/>
    <s v="Colombia"/>
    <d v="2020-12-01T00:00:00"/>
    <d v="2021-06-23T00:00:00"/>
    <s v="COP"/>
    <n v="13635000000"/>
    <n v="10973560000"/>
    <s v="COP"/>
    <n v="10973560000"/>
    <n v="3820904"/>
    <b v="0"/>
    <n v="1"/>
  </r>
  <r>
    <b v="1"/>
    <x v="0"/>
    <x v="0"/>
    <x v="2"/>
    <x v="0"/>
    <x v="1"/>
    <x v="14"/>
    <n v="0"/>
    <x v="29"/>
    <s v="9fc875791e3143a1bb3f864a304e8185"/>
    <s v="Green Bond 2017 - Davivienda"/>
    <x v="0"/>
    <x v="7"/>
    <s v="Residential"/>
    <s v="Residential Building #32"/>
    <s v="Colombia"/>
    <d v="2020-12-22T00:00:00"/>
    <d v="2021-08-11T00:00:00"/>
    <s v="COP"/>
    <n v="29950000000"/>
    <n v="14450000000"/>
    <s v="COP"/>
    <n v="14450000000"/>
    <n v="5031372"/>
    <b v="0"/>
    <n v="1"/>
  </r>
  <r>
    <b v="1"/>
    <x v="0"/>
    <x v="0"/>
    <x v="2"/>
    <x v="0"/>
    <x v="1"/>
    <x v="14"/>
    <n v="0"/>
    <x v="29"/>
    <s v="9fc875791e3143a1bb3f864a304e8185"/>
    <s v="Green Bond 2017 - Davivienda"/>
    <x v="1"/>
    <x v="8"/>
    <s v="Residential"/>
    <s v="Residential Building #32"/>
    <s v="Colombia"/>
    <d v="2020-12-22T00:00:00"/>
    <d v="2021-08-11T00:00:00"/>
    <s v="COP"/>
    <n v="29950000000"/>
    <n v="14450000000"/>
    <s v="COP"/>
    <n v="14450000000"/>
    <n v="5031372"/>
    <b v="0"/>
    <n v="1"/>
  </r>
  <r>
    <b v="1"/>
    <x v="0"/>
    <x v="0"/>
    <x v="2"/>
    <x v="0"/>
    <x v="1"/>
    <x v="14"/>
    <n v="0"/>
    <x v="29"/>
    <s v="9fc875791e3143a1bb3f864a304e8185"/>
    <s v="Green Bond 2017 - Davivienda"/>
    <x v="2"/>
    <x v="9"/>
    <s v="Unspecified"/>
    <s v="Residential Building #32"/>
    <s v="Colombia"/>
    <d v="2020-12-22T00:00:00"/>
    <d v="2021-08-11T00:00:00"/>
    <s v="COP"/>
    <n v="29950000000"/>
    <n v="14450000000"/>
    <s v="COP"/>
    <n v="14450000000"/>
    <n v="5031372"/>
    <b v="0"/>
    <n v="1"/>
  </r>
  <r>
    <b v="1"/>
    <x v="0"/>
    <x v="0"/>
    <x v="2"/>
    <x v="0"/>
    <x v="1"/>
    <x v="14"/>
    <n v="0"/>
    <x v="29"/>
    <s v="9fc875791e3143a1bb3f864a304e8185"/>
    <s v="Green Bond 2017 - Davivienda"/>
    <x v="3"/>
    <x v="9"/>
    <s v="Unspecified"/>
    <s v="Residential Building #32"/>
    <s v="Colombia"/>
    <d v="2020-12-22T00:00:00"/>
    <d v="2021-08-11T00:00:00"/>
    <s v="COP"/>
    <n v="29950000000"/>
    <n v="14450000000"/>
    <s v="COP"/>
    <n v="14450000000"/>
    <n v="5031372"/>
    <b v="0"/>
    <n v="1"/>
  </r>
  <r>
    <b v="1"/>
    <x v="0"/>
    <x v="0"/>
    <x v="2"/>
    <x v="0"/>
    <x v="1"/>
    <x v="14"/>
    <n v="0"/>
    <x v="29"/>
    <s v="9fc875791e3143a1bb3f864a304e8185"/>
    <s v="Green Bond 2017 - Davivienda"/>
    <x v="0"/>
    <x v="7"/>
    <s v="Residential"/>
    <s v="Residential Building #33"/>
    <s v="Colombia"/>
    <d v="2021-12-31T00:00:00"/>
    <d v="2021-12-31T00:00:00"/>
    <s v="COP"/>
    <n v="-31746000000"/>
    <n v="-9891103564"/>
    <s v="COP"/>
    <n v="-9891103564"/>
    <n v="-3444001"/>
    <b v="0"/>
    <n v="1"/>
  </r>
  <r>
    <b v="1"/>
    <x v="0"/>
    <x v="0"/>
    <x v="2"/>
    <x v="0"/>
    <x v="1"/>
    <x v="14"/>
    <n v="0"/>
    <x v="29"/>
    <s v="9fc875791e3143a1bb3f864a304e8185"/>
    <s v="Green Bond 2017 - Davivienda"/>
    <x v="0"/>
    <x v="7"/>
    <s v="Residential"/>
    <s v="Residential Building #33"/>
    <s v="Colombia"/>
    <d v="2020-12-22T00:00:00"/>
    <d v="2021-10-27T00:00:00"/>
    <s v="COP"/>
    <n v="31746000000"/>
    <n v="31746000000"/>
    <s v="COP"/>
    <n v="31746000000"/>
    <n v="11053698"/>
    <b v="0"/>
    <n v="1"/>
  </r>
  <r>
    <b v="1"/>
    <x v="0"/>
    <x v="0"/>
    <x v="2"/>
    <x v="0"/>
    <x v="1"/>
    <x v="14"/>
    <n v="0"/>
    <x v="29"/>
    <s v="9fc875791e3143a1bb3f864a304e8185"/>
    <s v="Green Bond 2017 - Davivienda"/>
    <x v="1"/>
    <x v="8"/>
    <s v="Residential"/>
    <s v="Residential Building #33"/>
    <s v="Colombia"/>
    <d v="2021-12-31T00:00:00"/>
    <d v="2021-12-31T00:00:00"/>
    <s v="COP"/>
    <n v="-31746000000"/>
    <n v="-9891103564"/>
    <s v="COP"/>
    <n v="-9891103564"/>
    <n v="-3444001"/>
    <b v="0"/>
    <n v="1"/>
  </r>
  <r>
    <b v="1"/>
    <x v="0"/>
    <x v="0"/>
    <x v="2"/>
    <x v="0"/>
    <x v="1"/>
    <x v="14"/>
    <n v="0"/>
    <x v="29"/>
    <s v="9fc875791e3143a1bb3f864a304e8185"/>
    <s v="Green Bond 2017 - Davivienda"/>
    <x v="1"/>
    <x v="8"/>
    <s v="Residential"/>
    <s v="Residential Building #33"/>
    <s v="Colombia"/>
    <d v="2020-12-22T00:00:00"/>
    <d v="2021-10-27T00:00:00"/>
    <s v="COP"/>
    <n v="31746000000"/>
    <n v="31746000000"/>
    <s v="COP"/>
    <n v="31746000000"/>
    <n v="11053698"/>
    <b v="0"/>
    <n v="1"/>
  </r>
  <r>
    <b v="1"/>
    <x v="0"/>
    <x v="0"/>
    <x v="2"/>
    <x v="0"/>
    <x v="1"/>
    <x v="14"/>
    <n v="0"/>
    <x v="29"/>
    <s v="9fc875791e3143a1bb3f864a304e8185"/>
    <s v="Green Bond 2017 - Davivienda"/>
    <x v="2"/>
    <x v="9"/>
    <s v="Unspecified"/>
    <s v="Residential Building #33"/>
    <s v="Colombia"/>
    <d v="2021-12-31T00:00:00"/>
    <d v="2021-12-31T00:00:00"/>
    <s v="COP"/>
    <n v="-31746000000"/>
    <n v="-9891103564"/>
    <s v="COP"/>
    <n v="-9891103564"/>
    <n v="-3444001"/>
    <b v="0"/>
    <n v="1"/>
  </r>
  <r>
    <b v="1"/>
    <x v="0"/>
    <x v="0"/>
    <x v="2"/>
    <x v="0"/>
    <x v="1"/>
    <x v="14"/>
    <n v="0"/>
    <x v="29"/>
    <s v="9fc875791e3143a1bb3f864a304e8185"/>
    <s v="Green Bond 2017 - Davivienda"/>
    <x v="2"/>
    <x v="9"/>
    <s v="Unspecified"/>
    <s v="Residential Building #33"/>
    <s v="Colombia"/>
    <d v="2020-12-22T00:00:00"/>
    <d v="2021-10-27T00:00:00"/>
    <s v="COP"/>
    <n v="31746000000"/>
    <n v="31746000000"/>
    <s v="COP"/>
    <n v="31746000000"/>
    <n v="11053698"/>
    <b v="0"/>
    <n v="1"/>
  </r>
  <r>
    <b v="1"/>
    <x v="0"/>
    <x v="0"/>
    <x v="2"/>
    <x v="0"/>
    <x v="1"/>
    <x v="14"/>
    <n v="0"/>
    <x v="29"/>
    <s v="9fc875791e3143a1bb3f864a304e8185"/>
    <s v="Green Bond 2017 - Davivienda"/>
    <x v="3"/>
    <x v="9"/>
    <s v="Unspecified"/>
    <s v="Residential Building #33"/>
    <s v="Colombia"/>
    <d v="2021-12-31T00:00:00"/>
    <d v="2021-12-31T00:00:00"/>
    <s v="COP"/>
    <n v="-31746000000"/>
    <n v="-9891103564"/>
    <s v="COP"/>
    <n v="-9891103564"/>
    <n v="-3444001"/>
    <b v="0"/>
    <n v="1"/>
  </r>
  <r>
    <b v="1"/>
    <x v="0"/>
    <x v="0"/>
    <x v="2"/>
    <x v="0"/>
    <x v="1"/>
    <x v="14"/>
    <n v="0"/>
    <x v="29"/>
    <s v="9fc875791e3143a1bb3f864a304e8185"/>
    <s v="Green Bond 2017 - Davivienda"/>
    <x v="3"/>
    <x v="9"/>
    <s v="Unspecified"/>
    <s v="Residential Building #33"/>
    <s v="Colombia"/>
    <d v="2020-12-22T00:00:00"/>
    <d v="2021-10-27T00:00:00"/>
    <s v="COP"/>
    <n v="31746000000"/>
    <n v="31746000000"/>
    <s v="COP"/>
    <n v="31746000000"/>
    <n v="11053698"/>
    <b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6AD16F-8CBB-9C44-A635-272AEF745529}" name="PivotTable6" cacheId="21" dataOnRows="1" applyNumberFormats="0" applyBorderFormats="0" applyFontFormats="0" applyPatternFormats="0" applyAlignmentFormats="0" applyWidthHeightFormats="1" dataCaption="Data" showMissing="0" updatedVersion="8" showItems="0" showMultipleLabel="0" showMemberPropertyTips="0" useAutoFormatting="1" subtotalHiddenItems="1" itemPrintTitles="1" indent="0" compact="0" compactData="0" gridDropZones="1">
  <location ref="H8:K292" firstHeaderRow="2" firstDataRow="2" firstDataCol="3" rowPageCount="6" colPageCount="1"/>
  <pivotFields count="26">
    <pivotField compact="0" outline="0" subtotalTop="0" showAll="0" includeNewItemsInFilter="1"/>
    <pivotField axis="axisPage" compact="0" outline="0" subtotalTop="0" showAll="0" includeNewItemsInFilter="1">
      <items count="4">
        <item x="0"/>
        <item h="1" x="2"/>
        <item h="1" x="1"/>
        <item t="default"/>
      </items>
    </pivotField>
    <pivotField axis="axisPage" compact="0" outline="0" subtotalTop="0" showAll="0" includeNewItemsInFilter="1">
      <items count="4">
        <item x="2"/>
        <item x="0"/>
        <item x="1"/>
        <item t="default"/>
      </items>
    </pivotField>
    <pivotField axis="axisPage" compact="0" outline="0" subtotalTop="0" showAll="0" includeNewItemsInFilter="1">
      <items count="5">
        <item x="2"/>
        <item x="1"/>
        <item x="0"/>
        <item x="3"/>
        <item t="default"/>
      </items>
    </pivotField>
    <pivotField axis="axisPage" compact="0" outline="0" subtotalTop="0" showAll="0" includeNewItemsInFilter="1">
      <items count="3">
        <item x="0"/>
        <item x="1"/>
        <item t="default"/>
      </items>
    </pivotField>
    <pivotField axis="axisPage" compact="0" outline="0" subtotalTop="0" showAll="0" includeNewItemsInFilter="1">
      <items count="5">
        <item h="1" x="0"/>
        <item x="1"/>
        <item h="1" x="3"/>
        <item h="1" x="2"/>
        <item t="default"/>
      </items>
    </pivotField>
    <pivotField axis="axisRow" compact="0" outline="0" subtotalTop="0" showAll="0" includeNewItemsInFilter="1" defaultSubtotal="0">
      <items count="62">
        <item x="14"/>
        <item x="27"/>
        <item x="28"/>
        <item x="29"/>
        <item x="30"/>
        <item x="53"/>
        <item x="47"/>
        <item x="55"/>
        <item x="38"/>
        <item x="6"/>
        <item x="43"/>
        <item x="25"/>
        <item x="41"/>
        <item x="58"/>
        <item x="44"/>
        <item x="32"/>
        <item x="54"/>
        <item x="39"/>
        <item x="33"/>
        <item x="42"/>
        <item x="48"/>
        <item x="2"/>
        <item x="17"/>
        <item x="34"/>
        <item x="13"/>
        <item x="40"/>
        <item x="49"/>
        <item x="50"/>
        <item x="51"/>
        <item x="52"/>
        <item x="23"/>
        <item x="24"/>
        <item x="21"/>
        <item x="26"/>
        <item x="56"/>
        <item x="19"/>
        <item x="22"/>
        <item x="31"/>
        <item x="46"/>
        <item x="0"/>
        <item x="3"/>
        <item x="4"/>
        <item x="1"/>
        <item x="18"/>
        <item x="45"/>
        <item x="7"/>
        <item x="8"/>
        <item x="59"/>
        <item x="11"/>
        <item x="16"/>
        <item x="60"/>
        <item x="20"/>
        <item x="61"/>
        <item x="35"/>
        <item x="37"/>
        <item x="36"/>
        <item x="57"/>
        <item x="5"/>
        <item x="9"/>
        <item x="15"/>
        <item x="12"/>
        <item x="10"/>
      </items>
    </pivotField>
    <pivotField compact="0" outline="0" subtotalTop="0" showAll="0" includeNewItemsInFilter="1"/>
    <pivotField axis="axisRow" compact="0" outline="0" subtotalTop="0" showAll="0" includeNewItemsInFilter="1" defaultSubtotal="0">
      <items count="31">
        <item x="0"/>
        <item x="1"/>
        <item x="5"/>
        <item x="23"/>
        <item x="22"/>
        <item x="18"/>
        <item x="24"/>
        <item x="20"/>
        <item x="13"/>
        <item x="14"/>
        <item x="7"/>
        <item x="15"/>
        <item x="8"/>
        <item x="9"/>
        <item x="6"/>
        <item x="10"/>
        <item x="27"/>
        <item x="19"/>
        <item x="28"/>
        <item x="11"/>
        <item x="12"/>
        <item x="16"/>
        <item x="17"/>
        <item x="4"/>
        <item x="29"/>
        <item x="30"/>
        <item x="3"/>
        <item x="25"/>
        <item x="26"/>
        <item x="21"/>
        <item x="2"/>
      </items>
    </pivotField>
    <pivotField compact="0" outline="0" subtotalTop="0" showAll="0" includeNewItemsInFilter="1"/>
    <pivotField compact="0" outline="0" subtotalTop="0" showAll="0" includeNewItemsInFilter="1"/>
    <pivotField axis="axisPage" compact="0" outline="0" subtotalTop="0" showAll="0" includeNewItemsInFilter="1">
      <items count="5">
        <item h="1" x="0"/>
        <item h="1" x="2"/>
        <item x="1"/>
        <item h="1" x="3"/>
        <item t="default"/>
      </items>
    </pivotField>
    <pivotField axis="axisRow" compact="0" outline="0" subtotalTop="0" showAll="0" includeNewItemsInFilter="1">
      <items count="19">
        <item x="7"/>
        <item x="6"/>
        <item x="17"/>
        <item x="16"/>
        <item x="0"/>
        <item x="4"/>
        <item x="11"/>
        <item x="8"/>
        <item x="13"/>
        <item x="10"/>
        <item x="9"/>
        <item x="12"/>
        <item x="1"/>
        <item x="14"/>
        <item x="5"/>
        <item x="15"/>
        <item x="2"/>
        <item x="3"/>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s>
  <rowFields count="3">
    <field x="6"/>
    <field x="8"/>
    <field x="12"/>
  </rowFields>
  <rowItems count="283">
    <i>
      <x/>
      <x v="4"/>
      <x v="4"/>
    </i>
    <i r="2">
      <x v="12"/>
    </i>
    <i r="2">
      <x v="16"/>
    </i>
    <i r="2">
      <x v="17"/>
    </i>
    <i r="1">
      <x v="5"/>
      <x v="1"/>
    </i>
    <i r="2">
      <x v="4"/>
    </i>
    <i r="2">
      <x v="12"/>
    </i>
    <i r="2">
      <x v="14"/>
    </i>
    <i r="2">
      <x v="16"/>
    </i>
    <i r="2">
      <x v="17"/>
    </i>
    <i r="1">
      <x v="6"/>
      <x/>
    </i>
    <i r="2">
      <x v="1"/>
    </i>
    <i r="2">
      <x v="2"/>
    </i>
    <i r="2">
      <x v="4"/>
    </i>
    <i r="2">
      <x v="5"/>
    </i>
    <i r="2">
      <x v="7"/>
    </i>
    <i r="2">
      <x v="12"/>
    </i>
    <i r="2">
      <x v="14"/>
    </i>
    <i r="2">
      <x v="16"/>
    </i>
    <i r="1">
      <x v="10"/>
      <x v="4"/>
    </i>
    <i r="2">
      <x v="12"/>
    </i>
    <i r="1">
      <x v="11"/>
      <x v="4"/>
    </i>
    <i r="2">
      <x v="12"/>
    </i>
    <i r="1">
      <x v="16"/>
      <x v="4"/>
    </i>
    <i r="2">
      <x v="12"/>
    </i>
    <i r="1">
      <x v="21"/>
      <x/>
    </i>
    <i r="2">
      <x v="1"/>
    </i>
    <i r="2">
      <x v="5"/>
    </i>
    <i r="2">
      <x v="6"/>
    </i>
    <i r="2">
      <x v="7"/>
    </i>
    <i r="2">
      <x v="9"/>
    </i>
    <i r="2">
      <x v="10"/>
    </i>
    <i r="2">
      <x v="11"/>
    </i>
    <i r="2">
      <x v="15"/>
    </i>
    <i r="1">
      <x v="22"/>
      <x v="4"/>
    </i>
    <i r="2">
      <x v="12"/>
    </i>
    <i r="1">
      <x v="23"/>
      <x/>
    </i>
    <i r="2">
      <x v="4"/>
    </i>
    <i r="2">
      <x v="5"/>
    </i>
    <i r="2">
      <x v="10"/>
    </i>
    <i r="2">
      <x v="12"/>
    </i>
    <i r="2">
      <x v="13"/>
    </i>
    <i r="1">
      <x v="24"/>
      <x/>
    </i>
    <i r="2">
      <x v="7"/>
    </i>
    <i r="2">
      <x v="10"/>
    </i>
    <i r="1">
      <x v="25"/>
      <x v="4"/>
    </i>
    <i r="2">
      <x v="12"/>
    </i>
    <i r="1">
      <x v="26"/>
      <x v="4"/>
    </i>
    <i r="2">
      <x v="10"/>
    </i>
    <i r="2">
      <x v="12"/>
    </i>
    <i r="1">
      <x v="29"/>
      <x v="4"/>
    </i>
    <i r="2">
      <x v="10"/>
    </i>
    <i r="2">
      <x v="12"/>
    </i>
    <i>
      <x v="1"/>
      <x/>
      <x/>
    </i>
    <i r="2">
      <x v="4"/>
    </i>
    <i r="2">
      <x v="5"/>
    </i>
    <i r="2">
      <x v="6"/>
    </i>
    <i r="2">
      <x v="9"/>
    </i>
    <i r="2">
      <x v="11"/>
    </i>
    <i r="2">
      <x v="12"/>
    </i>
    <i r="2">
      <x v="15"/>
    </i>
    <i>
      <x v="2"/>
      <x/>
      <x v="4"/>
    </i>
    <i r="2">
      <x v="10"/>
    </i>
    <i r="2">
      <x v="12"/>
    </i>
    <i>
      <x v="3"/>
      <x v="19"/>
      <x v="4"/>
    </i>
    <i r="2">
      <x v="12"/>
    </i>
    <i>
      <x v="4"/>
      <x v="20"/>
      <x v="4"/>
    </i>
    <i r="2">
      <x v="12"/>
    </i>
    <i>
      <x v="5"/>
      <x v="27"/>
      <x/>
    </i>
    <i r="2">
      <x v="7"/>
    </i>
    <i r="2">
      <x v="13"/>
    </i>
    <i>
      <x v="6"/>
      <x/>
      <x v="4"/>
    </i>
    <i r="2">
      <x v="12"/>
    </i>
    <i>
      <x v="7"/>
      <x/>
      <x v="4"/>
    </i>
    <i r="2">
      <x v="10"/>
    </i>
    <i r="2">
      <x v="12"/>
    </i>
    <i>
      <x v="8"/>
      <x/>
      <x v="4"/>
    </i>
    <i r="2">
      <x v="12"/>
    </i>
    <i>
      <x v="9"/>
      <x/>
      <x v="16"/>
    </i>
    <i r="2">
      <x v="17"/>
    </i>
    <i>
      <x v="10"/>
      <x v="7"/>
      <x v="4"/>
    </i>
    <i r="2">
      <x v="10"/>
    </i>
    <i r="2">
      <x v="12"/>
    </i>
    <i>
      <x v="11"/>
      <x/>
      <x v="6"/>
    </i>
    <i r="2">
      <x v="9"/>
    </i>
    <i>
      <x v="12"/>
      <x/>
      <x v="4"/>
    </i>
    <i r="2">
      <x v="10"/>
    </i>
    <i r="2">
      <x v="12"/>
    </i>
    <i>
      <x v="13"/>
      <x/>
      <x v="4"/>
    </i>
    <i r="2">
      <x v="12"/>
    </i>
    <i>
      <x v="14"/>
      <x/>
      <x v="4"/>
    </i>
    <i r="2">
      <x v="10"/>
    </i>
    <i r="2">
      <x v="12"/>
    </i>
    <i>
      <x v="15"/>
      <x/>
      <x v="6"/>
    </i>
    <i r="2">
      <x v="9"/>
    </i>
    <i>
      <x v="16"/>
      <x/>
      <x/>
    </i>
    <i r="2">
      <x v="7"/>
    </i>
    <i>
      <x v="17"/>
      <x v="8"/>
      <x v="4"/>
    </i>
    <i r="2">
      <x v="10"/>
    </i>
    <i r="2">
      <x v="12"/>
    </i>
    <i>
      <x v="18"/>
      <x/>
      <x v="10"/>
    </i>
    <i r="2">
      <x v="16"/>
    </i>
    <i r="2">
      <x v="17"/>
    </i>
    <i>
      <x v="19"/>
      <x v="17"/>
      <x v="4"/>
    </i>
    <i r="2">
      <x v="10"/>
    </i>
    <i r="2">
      <x v="12"/>
    </i>
    <i>
      <x v="20"/>
      <x/>
      <x v="4"/>
    </i>
    <i r="2">
      <x v="12"/>
    </i>
    <i>
      <x v="21"/>
      <x/>
      <x v="4"/>
    </i>
    <i r="2">
      <x v="10"/>
    </i>
    <i r="2">
      <x v="12"/>
    </i>
    <i>
      <x v="22"/>
      <x/>
      <x v="4"/>
    </i>
    <i r="2">
      <x v="12"/>
    </i>
    <i>
      <x v="23"/>
      <x/>
      <x v="10"/>
    </i>
    <i r="2">
      <x v="16"/>
    </i>
    <i r="2">
      <x v="17"/>
    </i>
    <i>
      <x v="24"/>
      <x/>
      <x v="11"/>
    </i>
    <i r="2">
      <x v="16"/>
    </i>
    <i>
      <x v="25"/>
      <x v="9"/>
      <x v="4"/>
    </i>
    <i r="2">
      <x v="10"/>
    </i>
    <i r="2">
      <x v="12"/>
    </i>
    <i>
      <x v="26"/>
      <x/>
      <x v="4"/>
    </i>
    <i r="2">
      <x v="12"/>
    </i>
    <i>
      <x v="27"/>
      <x/>
      <x v="4"/>
    </i>
    <i r="2">
      <x v="12"/>
    </i>
    <i>
      <x v="28"/>
      <x/>
      <x v="4"/>
    </i>
    <i r="2">
      <x v="12"/>
    </i>
    <i>
      <x v="29"/>
      <x/>
      <x v="4"/>
    </i>
    <i r="2">
      <x v="12"/>
    </i>
    <i>
      <x v="30"/>
      <x v="12"/>
      <x v="4"/>
    </i>
    <i r="2">
      <x v="12"/>
    </i>
    <i>
      <x v="31"/>
      <x v="13"/>
      <x v="4"/>
    </i>
    <i r="2">
      <x v="12"/>
    </i>
    <i>
      <x v="32"/>
      <x v="14"/>
      <x v="4"/>
    </i>
    <i r="2">
      <x v="12"/>
    </i>
    <i>
      <x v="33"/>
      <x v="15"/>
      <x v="4"/>
    </i>
    <i r="2">
      <x v="12"/>
    </i>
    <i>
      <x v="34"/>
      <x/>
      <x v="4"/>
    </i>
    <i r="2">
      <x v="12"/>
    </i>
    <i>
      <x v="35"/>
      <x/>
      <x v="16"/>
    </i>
    <i r="2">
      <x v="17"/>
    </i>
    <i>
      <x v="36"/>
      <x/>
      <x v="4"/>
    </i>
    <i r="2">
      <x v="12"/>
    </i>
    <i r="2">
      <x v="16"/>
    </i>
    <i r="2">
      <x v="17"/>
    </i>
    <i>
      <x v="37"/>
      <x/>
      <x v="7"/>
    </i>
    <i r="2">
      <x v="8"/>
    </i>
    <i r="2">
      <x v="10"/>
    </i>
    <i>
      <x v="38"/>
      <x/>
      <x/>
    </i>
    <i r="2">
      <x v="1"/>
    </i>
    <i r="2">
      <x v="4"/>
    </i>
    <i r="2">
      <x v="5"/>
    </i>
    <i r="2">
      <x v="7"/>
    </i>
    <i r="2">
      <x v="10"/>
    </i>
    <i r="2">
      <x v="11"/>
    </i>
    <i r="2">
      <x v="12"/>
    </i>
    <i r="2">
      <x v="14"/>
    </i>
    <i r="2">
      <x v="15"/>
    </i>
    <i r="2">
      <x v="16"/>
    </i>
    <i r="2">
      <x v="17"/>
    </i>
    <i>
      <x v="39"/>
      <x/>
      <x/>
    </i>
    <i r="2">
      <x v="4"/>
    </i>
    <i r="2">
      <x v="7"/>
    </i>
    <i r="2">
      <x v="12"/>
    </i>
    <i>
      <x v="40"/>
      <x/>
      <x/>
    </i>
    <i r="2">
      <x v="4"/>
    </i>
    <i r="2">
      <x v="5"/>
    </i>
    <i r="2">
      <x v="7"/>
    </i>
    <i r="2">
      <x v="12"/>
    </i>
    <i>
      <x v="41"/>
      <x/>
      <x/>
    </i>
    <i r="2">
      <x v="5"/>
    </i>
    <i r="2">
      <x v="7"/>
    </i>
    <i r="2">
      <x v="10"/>
    </i>
    <i r="2">
      <x v="13"/>
    </i>
    <i>
      <x v="42"/>
      <x v="1"/>
      <x v="1"/>
    </i>
    <i r="2">
      <x v="4"/>
    </i>
    <i r="2">
      <x v="5"/>
    </i>
    <i r="2">
      <x v="14"/>
    </i>
    <i r="2">
      <x v="16"/>
    </i>
    <i r="2">
      <x v="17"/>
    </i>
    <i>
      <x v="43"/>
      <x v="2"/>
      <x v="1"/>
    </i>
    <i r="2">
      <x v="4"/>
    </i>
    <i r="2">
      <x v="5"/>
    </i>
    <i r="2">
      <x v="10"/>
    </i>
    <i r="2">
      <x v="13"/>
    </i>
    <i r="2">
      <x v="14"/>
    </i>
    <i r="2">
      <x v="16"/>
    </i>
    <i r="2">
      <x v="17"/>
    </i>
    <i>
      <x v="44"/>
      <x v="3"/>
      <x v="16"/>
    </i>
    <i r="2">
      <x v="17"/>
    </i>
    <i>
      <x v="45"/>
      <x/>
      <x v="6"/>
    </i>
    <i r="2">
      <x v="9"/>
    </i>
    <i>
      <x v="46"/>
      <x/>
      <x v="4"/>
    </i>
    <i r="2">
      <x v="6"/>
    </i>
    <i r="2">
      <x v="9"/>
    </i>
    <i r="2">
      <x v="12"/>
    </i>
    <i>
      <x v="47"/>
      <x/>
      <x v="4"/>
    </i>
    <i r="2">
      <x v="5"/>
    </i>
    <i r="2">
      <x v="6"/>
    </i>
    <i r="2">
      <x v="9"/>
    </i>
    <i r="2">
      <x v="12"/>
    </i>
    <i r="2">
      <x v="16"/>
    </i>
    <i r="2">
      <x v="17"/>
    </i>
    <i>
      <x v="48"/>
      <x/>
      <x v="4"/>
    </i>
    <i r="2">
      <x v="12"/>
    </i>
    <i>
      <x v="49"/>
      <x/>
      <x v="5"/>
    </i>
    <i r="2">
      <x v="8"/>
    </i>
    <i r="2">
      <x v="10"/>
    </i>
    <i r="2">
      <x v="16"/>
    </i>
    <i r="2">
      <x v="17"/>
    </i>
    <i>
      <x v="50"/>
      <x/>
      <x v="4"/>
    </i>
    <i r="2">
      <x v="10"/>
    </i>
    <i r="2">
      <x v="12"/>
    </i>
    <i>
      <x v="51"/>
      <x/>
      <x/>
    </i>
    <i r="2">
      <x v="3"/>
    </i>
    <i r="2">
      <x v="6"/>
    </i>
    <i r="2">
      <x v="9"/>
    </i>
    <i r="2">
      <x v="16"/>
    </i>
    <i r="2">
      <x v="17"/>
    </i>
    <i>
      <x v="52"/>
      <x v="18"/>
      <x v="3"/>
    </i>
    <i r="2">
      <x v="4"/>
    </i>
    <i r="2">
      <x v="10"/>
    </i>
    <i r="2">
      <x v="12"/>
    </i>
    <i r="2">
      <x v="15"/>
    </i>
    <i r="2">
      <x v="17"/>
    </i>
    <i>
      <x v="53"/>
      <x/>
      <x v="4"/>
    </i>
    <i r="2">
      <x v="12"/>
    </i>
    <i>
      <x v="54"/>
      <x/>
      <x/>
    </i>
    <i r="2">
      <x v="3"/>
    </i>
    <i r="2">
      <x v="10"/>
    </i>
    <i r="2">
      <x v="11"/>
    </i>
    <i r="2">
      <x v="12"/>
    </i>
    <i r="2">
      <x v="16"/>
    </i>
    <i r="2">
      <x v="17"/>
    </i>
    <i>
      <x v="55"/>
      <x/>
      <x/>
    </i>
    <i r="2">
      <x v="1"/>
    </i>
    <i r="2">
      <x v="2"/>
    </i>
    <i r="2">
      <x v="3"/>
    </i>
    <i r="2">
      <x v="4"/>
    </i>
    <i r="2">
      <x v="5"/>
    </i>
    <i r="2">
      <x v="6"/>
    </i>
    <i r="2">
      <x v="9"/>
    </i>
    <i r="2">
      <x v="10"/>
    </i>
    <i r="2">
      <x v="11"/>
    </i>
    <i r="2">
      <x v="12"/>
    </i>
    <i r="2">
      <x v="14"/>
    </i>
    <i r="2">
      <x v="15"/>
    </i>
    <i r="2">
      <x v="16"/>
    </i>
    <i r="2">
      <x v="17"/>
    </i>
    <i>
      <x v="56"/>
      <x v="28"/>
      <x v="1"/>
    </i>
    <i r="2">
      <x v="10"/>
    </i>
    <i r="2">
      <x v="14"/>
    </i>
    <i>
      <x v="57"/>
      <x/>
      <x v="4"/>
    </i>
    <i r="2">
      <x v="10"/>
    </i>
    <i r="2">
      <x v="12"/>
    </i>
    <i>
      <x v="58"/>
      <x/>
      <x v="4"/>
    </i>
    <i r="2">
      <x v="12"/>
    </i>
    <i>
      <x v="59"/>
      <x/>
      <x v="5"/>
    </i>
    <i r="2">
      <x v="6"/>
    </i>
    <i r="2">
      <x v="9"/>
    </i>
    <i r="2">
      <x v="10"/>
    </i>
    <i r="2">
      <x v="11"/>
    </i>
    <i r="2">
      <x v="14"/>
    </i>
    <i r="2">
      <x v="16"/>
    </i>
    <i r="2">
      <x v="17"/>
    </i>
    <i>
      <x v="60"/>
      <x/>
      <x v="4"/>
    </i>
    <i r="2">
      <x v="12"/>
    </i>
    <i r="2">
      <x v="16"/>
    </i>
    <i r="2">
      <x v="17"/>
    </i>
    <i>
      <x v="61"/>
      <x v="30"/>
      <x/>
    </i>
    <i r="2">
      <x v="4"/>
    </i>
    <i r="2">
      <x v="5"/>
    </i>
    <i r="2">
      <x v="6"/>
    </i>
    <i r="2">
      <x v="7"/>
    </i>
    <i r="2">
      <x v="8"/>
    </i>
    <i r="2">
      <x v="9"/>
    </i>
    <i r="2">
      <x v="10"/>
    </i>
    <i r="2">
      <x v="11"/>
    </i>
    <i r="2">
      <x v="12"/>
    </i>
    <i r="2">
      <x v="15"/>
    </i>
    <i r="2">
      <x v="16"/>
    </i>
    <i r="2">
      <x v="17"/>
    </i>
    <i t="grand">
      <x/>
    </i>
  </rowItems>
  <colItems count="1">
    <i/>
  </colItems>
  <pageFields count="6">
    <pageField fld="11" hier="0"/>
    <pageField fld="1" hier="0"/>
    <pageField fld="2" hier="0"/>
    <pageField fld="3" hier="0"/>
    <pageField fld="4" hier="0"/>
    <pageField fld="5" hier="0"/>
  </pageFields>
  <dataFields count="1">
    <dataField name="Sum of disbursed_usd" fld="23" baseField="0" baseItem="0" numFmtId="3"/>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A67810-F248-9C4F-BDB1-51B406C4D483}" name="PivotTable5" cacheId="21" dataOnRows="1" applyNumberFormats="0" applyBorderFormats="0" applyFontFormats="0" applyPatternFormats="0" applyAlignmentFormats="0" applyWidthHeightFormats="1" dataCaption="Data" showMissing="0" updatedVersion="8" showItems="0" showMultipleLabel="0" showMemberPropertyTips="0" useAutoFormatting="1" subtotalHiddenItems="1" itemPrintTitles="1" indent="0" compact="0" compactData="0" gridDropZones="1">
  <location ref="A8:D292" firstHeaderRow="2" firstDataRow="2" firstDataCol="3" rowPageCount="6" colPageCount="1"/>
  <pivotFields count="26">
    <pivotField compact="0" outline="0" subtotalTop="0" showAll="0" includeNewItemsInFilter="1"/>
    <pivotField axis="axisPage" compact="0" outline="0" subtotalTop="0" showAll="0" includeNewItemsInFilter="1">
      <items count="4">
        <item x="0"/>
        <item x="2"/>
        <item x="1"/>
        <item t="default"/>
      </items>
    </pivotField>
    <pivotField axis="axisPage" compact="0" outline="0" subtotalTop="0" showAll="0" includeNewItemsInFilter="1">
      <items count="4">
        <item x="2"/>
        <item x="0"/>
        <item x="1"/>
        <item t="default"/>
      </items>
    </pivotField>
    <pivotField axis="axisPage" compact="0" outline="0" subtotalTop="0" showAll="0" includeNewItemsInFilter="1">
      <items count="5">
        <item h="1" x="2"/>
        <item h="1" x="1"/>
        <item x="0"/>
        <item h="1" x="3"/>
        <item t="default"/>
      </items>
    </pivotField>
    <pivotField axis="axisPage" compact="0" outline="0" subtotalTop="0" showAll="0" includeNewItemsInFilter="1">
      <items count="3">
        <item x="0"/>
        <item x="1"/>
        <item t="default"/>
      </items>
    </pivotField>
    <pivotField axis="axisPage" compact="0" outline="0" subtotalTop="0" showAll="0" includeNewItemsInFilter="1">
      <items count="5">
        <item h="1" x="0"/>
        <item x="1"/>
        <item h="1" x="3"/>
        <item h="1" x="2"/>
        <item t="default"/>
      </items>
    </pivotField>
    <pivotField axis="axisRow" compact="0" outline="0" subtotalTop="0" showAll="0" includeNewItemsInFilter="1" defaultSubtotal="0">
      <items count="62">
        <item x="14"/>
        <item x="27"/>
        <item x="28"/>
        <item x="29"/>
        <item x="30"/>
        <item x="53"/>
        <item x="47"/>
        <item x="55"/>
        <item x="38"/>
        <item x="6"/>
        <item x="43"/>
        <item x="25"/>
        <item x="41"/>
        <item x="58"/>
        <item x="44"/>
        <item x="32"/>
        <item x="54"/>
        <item x="39"/>
        <item x="33"/>
        <item x="42"/>
        <item x="48"/>
        <item x="2"/>
        <item x="17"/>
        <item x="34"/>
        <item x="13"/>
        <item x="40"/>
        <item x="49"/>
        <item x="50"/>
        <item x="51"/>
        <item x="52"/>
        <item x="23"/>
        <item x="24"/>
        <item x="21"/>
        <item x="26"/>
        <item x="56"/>
        <item x="19"/>
        <item x="22"/>
        <item x="31"/>
        <item x="46"/>
        <item x="0"/>
        <item x="3"/>
        <item x="4"/>
        <item x="1"/>
        <item x="18"/>
        <item x="45"/>
        <item x="7"/>
        <item x="8"/>
        <item x="59"/>
        <item x="11"/>
        <item x="16"/>
        <item x="60"/>
        <item x="20"/>
        <item x="61"/>
        <item x="35"/>
        <item x="37"/>
        <item x="36"/>
        <item x="57"/>
        <item x="5"/>
        <item x="9"/>
        <item x="15"/>
        <item x="12"/>
        <item x="10"/>
      </items>
    </pivotField>
    <pivotField compact="0" outline="0" subtotalTop="0" showAll="0" includeNewItemsInFilter="1"/>
    <pivotField axis="axisRow" compact="0" outline="0" subtotalTop="0" showAll="0" includeNewItemsInFilter="1" defaultSubtotal="0">
      <items count="31">
        <item x="0"/>
        <item x="1"/>
        <item x="5"/>
        <item x="23"/>
        <item x="22"/>
        <item x="18"/>
        <item x="24"/>
        <item x="20"/>
        <item x="13"/>
        <item x="14"/>
        <item x="7"/>
        <item x="15"/>
        <item x="8"/>
        <item x="9"/>
        <item x="6"/>
        <item x="10"/>
        <item x="27"/>
        <item x="19"/>
        <item x="28"/>
        <item x="11"/>
        <item x="12"/>
        <item x="16"/>
        <item x="17"/>
        <item x="4"/>
        <item x="29"/>
        <item x="30"/>
        <item x="3"/>
        <item x="25"/>
        <item x="26"/>
        <item x="21"/>
        <item x="2"/>
      </items>
    </pivotField>
    <pivotField compact="0" outline="0" subtotalTop="0" showAll="0" includeNewItemsInFilter="1"/>
    <pivotField compact="0" outline="0" subtotalTop="0" showAll="0" includeNewItemsInFilter="1"/>
    <pivotField axis="axisPage" compact="0" outline="0" subtotalTop="0" showAll="0" includeNewItemsInFilter="1">
      <items count="5">
        <item h="1" x="0"/>
        <item h="1" x="2"/>
        <item x="1"/>
        <item h="1" x="3"/>
        <item t="default"/>
      </items>
    </pivotField>
    <pivotField axis="axisRow" compact="0" outline="0" subtotalTop="0" showAll="0" includeNewItemsInFilter="1">
      <items count="19">
        <item x="7"/>
        <item x="6"/>
        <item x="17"/>
        <item x="16"/>
        <item x="0"/>
        <item x="4"/>
        <item x="11"/>
        <item x="8"/>
        <item x="13"/>
        <item x="10"/>
        <item x="9"/>
        <item x="12"/>
        <item x="1"/>
        <item x="14"/>
        <item x="5"/>
        <item x="15"/>
        <item x="2"/>
        <item x="3"/>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s>
  <rowFields count="3">
    <field x="6"/>
    <field x="8"/>
    <field x="12"/>
  </rowFields>
  <rowItems count="283">
    <i>
      <x/>
      <x v="4"/>
      <x v="4"/>
    </i>
    <i r="2">
      <x v="12"/>
    </i>
    <i r="2">
      <x v="16"/>
    </i>
    <i r="2">
      <x v="17"/>
    </i>
    <i r="1">
      <x v="5"/>
      <x v="1"/>
    </i>
    <i r="2">
      <x v="4"/>
    </i>
    <i r="2">
      <x v="12"/>
    </i>
    <i r="2">
      <x v="14"/>
    </i>
    <i r="2">
      <x v="16"/>
    </i>
    <i r="2">
      <x v="17"/>
    </i>
    <i r="1">
      <x v="6"/>
      <x/>
    </i>
    <i r="2">
      <x v="1"/>
    </i>
    <i r="2">
      <x v="2"/>
    </i>
    <i r="2">
      <x v="4"/>
    </i>
    <i r="2">
      <x v="5"/>
    </i>
    <i r="2">
      <x v="7"/>
    </i>
    <i r="2">
      <x v="12"/>
    </i>
    <i r="2">
      <x v="14"/>
    </i>
    <i r="2">
      <x v="16"/>
    </i>
    <i r="1">
      <x v="10"/>
      <x v="4"/>
    </i>
    <i r="2">
      <x v="12"/>
    </i>
    <i r="1">
      <x v="11"/>
      <x v="4"/>
    </i>
    <i r="2">
      <x v="12"/>
    </i>
    <i r="1">
      <x v="16"/>
      <x v="4"/>
    </i>
    <i r="2">
      <x v="12"/>
    </i>
    <i r="1">
      <x v="21"/>
      <x/>
    </i>
    <i r="2">
      <x v="1"/>
    </i>
    <i r="2">
      <x v="5"/>
    </i>
    <i r="2">
      <x v="6"/>
    </i>
    <i r="2">
      <x v="7"/>
    </i>
    <i r="2">
      <x v="9"/>
    </i>
    <i r="2">
      <x v="10"/>
    </i>
    <i r="2">
      <x v="11"/>
    </i>
    <i r="2">
      <x v="15"/>
    </i>
    <i r="1">
      <x v="22"/>
      <x v="4"/>
    </i>
    <i r="2">
      <x v="12"/>
    </i>
    <i r="1">
      <x v="23"/>
      <x/>
    </i>
    <i r="2">
      <x v="4"/>
    </i>
    <i r="2">
      <x v="5"/>
    </i>
    <i r="2">
      <x v="10"/>
    </i>
    <i r="2">
      <x v="12"/>
    </i>
    <i r="2">
      <x v="13"/>
    </i>
    <i r="1">
      <x v="24"/>
      <x/>
    </i>
    <i r="2">
      <x v="7"/>
    </i>
    <i r="2">
      <x v="10"/>
    </i>
    <i r="1">
      <x v="25"/>
      <x v="4"/>
    </i>
    <i r="2">
      <x v="12"/>
    </i>
    <i r="1">
      <x v="26"/>
      <x v="4"/>
    </i>
    <i r="2">
      <x v="10"/>
    </i>
    <i r="2">
      <x v="12"/>
    </i>
    <i r="1">
      <x v="29"/>
      <x v="4"/>
    </i>
    <i r="2">
      <x v="10"/>
    </i>
    <i r="2">
      <x v="12"/>
    </i>
    <i>
      <x v="1"/>
      <x/>
      <x/>
    </i>
    <i r="2">
      <x v="4"/>
    </i>
    <i r="2">
      <x v="5"/>
    </i>
    <i r="2">
      <x v="6"/>
    </i>
    <i r="2">
      <x v="9"/>
    </i>
    <i r="2">
      <x v="11"/>
    </i>
    <i r="2">
      <x v="12"/>
    </i>
    <i r="2">
      <x v="15"/>
    </i>
    <i>
      <x v="2"/>
      <x/>
      <x v="4"/>
    </i>
    <i r="2">
      <x v="10"/>
    </i>
    <i r="2">
      <x v="12"/>
    </i>
    <i>
      <x v="3"/>
      <x v="19"/>
      <x v="4"/>
    </i>
    <i r="2">
      <x v="12"/>
    </i>
    <i>
      <x v="4"/>
      <x v="20"/>
      <x v="4"/>
    </i>
    <i r="2">
      <x v="12"/>
    </i>
    <i>
      <x v="5"/>
      <x v="27"/>
      <x/>
    </i>
    <i r="2">
      <x v="7"/>
    </i>
    <i r="2">
      <x v="13"/>
    </i>
    <i>
      <x v="6"/>
      <x/>
      <x v="4"/>
    </i>
    <i r="2">
      <x v="12"/>
    </i>
    <i>
      <x v="7"/>
      <x/>
      <x v="4"/>
    </i>
    <i r="2">
      <x v="10"/>
    </i>
    <i r="2">
      <x v="12"/>
    </i>
    <i>
      <x v="8"/>
      <x/>
      <x v="4"/>
    </i>
    <i r="2">
      <x v="12"/>
    </i>
    <i>
      <x v="9"/>
      <x/>
      <x v="16"/>
    </i>
    <i r="2">
      <x v="17"/>
    </i>
    <i>
      <x v="10"/>
      <x v="7"/>
      <x v="4"/>
    </i>
    <i r="2">
      <x v="10"/>
    </i>
    <i r="2">
      <x v="12"/>
    </i>
    <i>
      <x v="11"/>
      <x/>
      <x v="6"/>
    </i>
    <i r="2">
      <x v="9"/>
    </i>
    <i>
      <x v="12"/>
      <x/>
      <x v="4"/>
    </i>
    <i r="2">
      <x v="10"/>
    </i>
    <i r="2">
      <x v="12"/>
    </i>
    <i>
      <x v="13"/>
      <x/>
      <x v="4"/>
    </i>
    <i r="2">
      <x v="12"/>
    </i>
    <i>
      <x v="14"/>
      <x/>
      <x v="4"/>
    </i>
    <i r="2">
      <x v="10"/>
    </i>
    <i r="2">
      <x v="12"/>
    </i>
    <i>
      <x v="15"/>
      <x/>
      <x v="6"/>
    </i>
    <i r="2">
      <x v="9"/>
    </i>
    <i>
      <x v="16"/>
      <x/>
      <x/>
    </i>
    <i r="2">
      <x v="7"/>
    </i>
    <i>
      <x v="17"/>
      <x v="8"/>
      <x v="4"/>
    </i>
    <i r="2">
      <x v="10"/>
    </i>
    <i r="2">
      <x v="12"/>
    </i>
    <i>
      <x v="18"/>
      <x/>
      <x v="10"/>
    </i>
    <i r="2">
      <x v="16"/>
    </i>
    <i r="2">
      <x v="17"/>
    </i>
    <i>
      <x v="19"/>
      <x v="17"/>
      <x v="4"/>
    </i>
    <i r="2">
      <x v="10"/>
    </i>
    <i r="2">
      <x v="12"/>
    </i>
    <i>
      <x v="20"/>
      <x/>
      <x v="4"/>
    </i>
    <i r="2">
      <x v="12"/>
    </i>
    <i>
      <x v="21"/>
      <x/>
      <x v="4"/>
    </i>
    <i r="2">
      <x v="10"/>
    </i>
    <i r="2">
      <x v="12"/>
    </i>
    <i>
      <x v="22"/>
      <x/>
      <x v="4"/>
    </i>
    <i r="2">
      <x v="12"/>
    </i>
    <i>
      <x v="23"/>
      <x/>
      <x v="10"/>
    </i>
    <i r="2">
      <x v="16"/>
    </i>
    <i r="2">
      <x v="17"/>
    </i>
    <i>
      <x v="24"/>
      <x/>
      <x v="11"/>
    </i>
    <i r="2">
      <x v="16"/>
    </i>
    <i>
      <x v="25"/>
      <x v="9"/>
      <x v="4"/>
    </i>
    <i r="2">
      <x v="10"/>
    </i>
    <i r="2">
      <x v="12"/>
    </i>
    <i>
      <x v="26"/>
      <x/>
      <x v="4"/>
    </i>
    <i r="2">
      <x v="12"/>
    </i>
    <i>
      <x v="27"/>
      <x/>
      <x v="4"/>
    </i>
    <i r="2">
      <x v="12"/>
    </i>
    <i>
      <x v="28"/>
      <x/>
      <x v="4"/>
    </i>
    <i r="2">
      <x v="12"/>
    </i>
    <i>
      <x v="29"/>
      <x/>
      <x v="4"/>
    </i>
    <i r="2">
      <x v="12"/>
    </i>
    <i>
      <x v="30"/>
      <x v="12"/>
      <x v="4"/>
    </i>
    <i r="2">
      <x v="12"/>
    </i>
    <i>
      <x v="31"/>
      <x v="13"/>
      <x v="4"/>
    </i>
    <i r="2">
      <x v="12"/>
    </i>
    <i>
      <x v="32"/>
      <x v="14"/>
      <x v="4"/>
    </i>
    <i r="2">
      <x v="12"/>
    </i>
    <i>
      <x v="33"/>
      <x v="15"/>
      <x v="4"/>
    </i>
    <i r="2">
      <x v="12"/>
    </i>
    <i>
      <x v="34"/>
      <x/>
      <x v="4"/>
    </i>
    <i r="2">
      <x v="12"/>
    </i>
    <i>
      <x v="35"/>
      <x/>
      <x v="16"/>
    </i>
    <i r="2">
      <x v="17"/>
    </i>
    <i>
      <x v="36"/>
      <x/>
      <x v="4"/>
    </i>
    <i r="2">
      <x v="12"/>
    </i>
    <i r="2">
      <x v="16"/>
    </i>
    <i r="2">
      <x v="17"/>
    </i>
    <i>
      <x v="37"/>
      <x/>
      <x v="7"/>
    </i>
    <i r="2">
      <x v="8"/>
    </i>
    <i r="2">
      <x v="10"/>
    </i>
    <i>
      <x v="38"/>
      <x/>
      <x/>
    </i>
    <i r="2">
      <x v="1"/>
    </i>
    <i r="2">
      <x v="4"/>
    </i>
    <i r="2">
      <x v="5"/>
    </i>
    <i r="2">
      <x v="7"/>
    </i>
    <i r="2">
      <x v="10"/>
    </i>
    <i r="2">
      <x v="11"/>
    </i>
    <i r="2">
      <x v="12"/>
    </i>
    <i r="2">
      <x v="14"/>
    </i>
    <i r="2">
      <x v="15"/>
    </i>
    <i r="2">
      <x v="16"/>
    </i>
    <i r="2">
      <x v="17"/>
    </i>
    <i>
      <x v="39"/>
      <x/>
      <x/>
    </i>
    <i r="2">
      <x v="4"/>
    </i>
    <i r="2">
      <x v="7"/>
    </i>
    <i r="2">
      <x v="12"/>
    </i>
    <i>
      <x v="40"/>
      <x/>
      <x/>
    </i>
    <i r="2">
      <x v="4"/>
    </i>
    <i r="2">
      <x v="5"/>
    </i>
    <i r="2">
      <x v="7"/>
    </i>
    <i r="2">
      <x v="12"/>
    </i>
    <i>
      <x v="41"/>
      <x/>
      <x/>
    </i>
    <i r="2">
      <x v="5"/>
    </i>
    <i r="2">
      <x v="7"/>
    </i>
    <i r="2">
      <x v="10"/>
    </i>
    <i r="2">
      <x v="13"/>
    </i>
    <i>
      <x v="42"/>
      <x v="1"/>
      <x v="1"/>
    </i>
    <i r="2">
      <x v="4"/>
    </i>
    <i r="2">
      <x v="5"/>
    </i>
    <i r="2">
      <x v="14"/>
    </i>
    <i r="2">
      <x v="16"/>
    </i>
    <i r="2">
      <x v="17"/>
    </i>
    <i>
      <x v="43"/>
      <x v="2"/>
      <x v="1"/>
    </i>
    <i r="2">
      <x v="4"/>
    </i>
    <i r="2">
      <x v="5"/>
    </i>
    <i r="2">
      <x v="10"/>
    </i>
    <i r="2">
      <x v="13"/>
    </i>
    <i r="2">
      <x v="14"/>
    </i>
    <i r="2">
      <x v="16"/>
    </i>
    <i r="2">
      <x v="17"/>
    </i>
    <i>
      <x v="44"/>
      <x v="3"/>
      <x v="16"/>
    </i>
    <i r="2">
      <x v="17"/>
    </i>
    <i>
      <x v="45"/>
      <x/>
      <x v="6"/>
    </i>
    <i r="2">
      <x v="9"/>
    </i>
    <i>
      <x v="46"/>
      <x/>
      <x v="4"/>
    </i>
    <i r="2">
      <x v="6"/>
    </i>
    <i r="2">
      <x v="9"/>
    </i>
    <i r="2">
      <x v="12"/>
    </i>
    <i>
      <x v="47"/>
      <x/>
      <x v="4"/>
    </i>
    <i r="2">
      <x v="5"/>
    </i>
    <i r="2">
      <x v="6"/>
    </i>
    <i r="2">
      <x v="9"/>
    </i>
    <i r="2">
      <x v="12"/>
    </i>
    <i r="2">
      <x v="16"/>
    </i>
    <i r="2">
      <x v="17"/>
    </i>
    <i>
      <x v="48"/>
      <x/>
      <x v="4"/>
    </i>
    <i r="2">
      <x v="12"/>
    </i>
    <i>
      <x v="49"/>
      <x/>
      <x v="5"/>
    </i>
    <i r="2">
      <x v="8"/>
    </i>
    <i r="2">
      <x v="10"/>
    </i>
    <i r="2">
      <x v="16"/>
    </i>
    <i r="2">
      <x v="17"/>
    </i>
    <i>
      <x v="50"/>
      <x/>
      <x v="4"/>
    </i>
    <i r="2">
      <x v="10"/>
    </i>
    <i r="2">
      <x v="12"/>
    </i>
    <i>
      <x v="51"/>
      <x/>
      <x/>
    </i>
    <i r="2">
      <x v="3"/>
    </i>
    <i r="2">
      <x v="6"/>
    </i>
    <i r="2">
      <x v="9"/>
    </i>
    <i r="2">
      <x v="16"/>
    </i>
    <i r="2">
      <x v="17"/>
    </i>
    <i>
      <x v="52"/>
      <x v="18"/>
      <x v="3"/>
    </i>
    <i r="2">
      <x v="4"/>
    </i>
    <i r="2">
      <x v="10"/>
    </i>
    <i r="2">
      <x v="12"/>
    </i>
    <i r="2">
      <x v="15"/>
    </i>
    <i r="2">
      <x v="17"/>
    </i>
    <i>
      <x v="53"/>
      <x/>
      <x v="4"/>
    </i>
    <i r="2">
      <x v="12"/>
    </i>
    <i>
      <x v="54"/>
      <x/>
      <x/>
    </i>
    <i r="2">
      <x v="3"/>
    </i>
    <i r="2">
      <x v="10"/>
    </i>
    <i r="2">
      <x v="11"/>
    </i>
    <i r="2">
      <x v="12"/>
    </i>
    <i r="2">
      <x v="16"/>
    </i>
    <i r="2">
      <x v="17"/>
    </i>
    <i>
      <x v="55"/>
      <x/>
      <x/>
    </i>
    <i r="2">
      <x v="1"/>
    </i>
    <i r="2">
      <x v="2"/>
    </i>
    <i r="2">
      <x v="3"/>
    </i>
    <i r="2">
      <x v="4"/>
    </i>
    <i r="2">
      <x v="5"/>
    </i>
    <i r="2">
      <x v="6"/>
    </i>
    <i r="2">
      <x v="9"/>
    </i>
    <i r="2">
      <x v="10"/>
    </i>
    <i r="2">
      <x v="11"/>
    </i>
    <i r="2">
      <x v="12"/>
    </i>
    <i r="2">
      <x v="14"/>
    </i>
    <i r="2">
      <x v="15"/>
    </i>
    <i r="2">
      <x v="16"/>
    </i>
    <i r="2">
      <x v="17"/>
    </i>
    <i>
      <x v="56"/>
      <x v="28"/>
      <x v="1"/>
    </i>
    <i r="2">
      <x v="10"/>
    </i>
    <i r="2">
      <x v="14"/>
    </i>
    <i>
      <x v="57"/>
      <x/>
      <x v="4"/>
    </i>
    <i r="2">
      <x v="10"/>
    </i>
    <i r="2">
      <x v="12"/>
    </i>
    <i>
      <x v="58"/>
      <x/>
      <x v="4"/>
    </i>
    <i r="2">
      <x v="12"/>
    </i>
    <i>
      <x v="59"/>
      <x/>
      <x v="5"/>
    </i>
    <i r="2">
      <x v="6"/>
    </i>
    <i r="2">
      <x v="9"/>
    </i>
    <i r="2">
      <x v="10"/>
    </i>
    <i r="2">
      <x v="11"/>
    </i>
    <i r="2">
      <x v="14"/>
    </i>
    <i r="2">
      <x v="16"/>
    </i>
    <i r="2">
      <x v="17"/>
    </i>
    <i>
      <x v="60"/>
      <x/>
      <x v="4"/>
    </i>
    <i r="2">
      <x v="12"/>
    </i>
    <i r="2">
      <x v="16"/>
    </i>
    <i r="2">
      <x v="17"/>
    </i>
    <i>
      <x v="61"/>
      <x v="30"/>
      <x/>
    </i>
    <i r="2">
      <x v="4"/>
    </i>
    <i r="2">
      <x v="5"/>
    </i>
    <i r="2">
      <x v="6"/>
    </i>
    <i r="2">
      <x v="7"/>
    </i>
    <i r="2">
      <x v="8"/>
    </i>
    <i r="2">
      <x v="9"/>
    </i>
    <i r="2">
      <x v="10"/>
    </i>
    <i r="2">
      <x v="11"/>
    </i>
    <i r="2">
      <x v="12"/>
    </i>
    <i r="2">
      <x v="15"/>
    </i>
    <i r="2">
      <x v="16"/>
    </i>
    <i r="2">
      <x v="17"/>
    </i>
    <i t="grand">
      <x/>
    </i>
  </rowItems>
  <colItems count="1">
    <i/>
  </colItems>
  <pageFields count="6">
    <pageField fld="11" hier="0"/>
    <pageField fld="1" hier="0"/>
    <pageField fld="2" hier="0"/>
    <pageField fld="3" hier="0"/>
    <pageField fld="4" hier="0"/>
    <pageField fld="5" hier="0"/>
  </pageFields>
  <dataFields count="1">
    <dataField name="Sum of disbursed_usd" fld="23" baseField="0" baseItem="0" numFmtId="3"/>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al_pop" xr10:uid="{5515ED46-AF65-734F-ABA8-9D584768349F}" sourceName="eval_pop">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_of_scope" xr10:uid="{990AB11A-E11D-3145-B1F1-C8AB1C87905C}" sourceName="out_of_scope">
  <extLst>
    <x:ext xmlns:x15="http://schemas.microsoft.com/office/spreadsheetml/2010/11/main" uri="{2F2917AC-EB37-4324-AD4E-5DD8C200BD13}">
      <x15:tableSlicerCache tableId="1" column="7"/>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DF_name" xr10:uid="{4355B473-5639-CD46-B587-3F8E76AFE739}" sourceName="PDF name">
  <extLst>
    <x:ext xmlns:x15="http://schemas.microsoft.com/office/spreadsheetml/2010/11/main" uri="{2F2917AC-EB37-4324-AD4E-5DD8C200BD13}">
      <x15:tableSlicerCache tableId="1" column="2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in_allocs" xr10:uid="{71EBAA34-BC51-2F47-BC95-14C5A45ECEEC}" sourceName="is_in_allocs">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al_pop" xr10:uid="{FF5E63BC-BF0C-E646-81E2-05593399A25C}" cache="Slicer_eval_pop" caption="eval_pop" rowHeight="251883"/>
  <slicer name="out_of_scope" xr10:uid="{AC2AC142-ACD2-B549-B7F4-EAEC1C13A598}" cache="Slicer_out_of_scope" caption="out_of_scope" rowHeight="251883"/>
  <slicer name="PDF name" xr10:uid="{88F7AE13-8F5E-834C-851B-F7FE31C8F99C}" cache="Slicer_PDF_name" caption="PDF name" rowHeight="251883"/>
  <slicer name="is_in_allocs" xr10:uid="{09577445-BC14-0543-B534-23CD37D3E338}" cache="Slicer_is_in_allocs" caption="is_in_alloc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622267-4C9D-ED49-932B-E11F6D6CD63E}" name="Table1" displayName="Table1" ref="A13:AI299" totalsRowShown="0">
  <autoFilter ref="A13:AI299" xr:uid="{AB622267-4C9D-ED49-932B-E11F6D6CD63E}"/>
  <tableColumns count="35">
    <tableColumn id="1" xr3:uid="{E101C33A-6642-2843-86DE-08D613FDB370}" name="Handle"/>
    <tableColumn id="2" xr3:uid="{60F489CB-DF8E-9F41-B87A-373231C26AAE}" name="is_in_allocs"/>
    <tableColumn id="3" xr3:uid="{2A16A85D-AAB9-B444-91AE-35AF2E2FDD16}" name="pipeline_devlt"/>
    <tableColumn id="4" xr3:uid="{34D76F5C-2FF8-244F-ABEF-EC74E68A1147}" name="is_green"/>
    <tableColumn id="5" xr3:uid="{8D487C2F-44D0-9146-A181-9FD14E23F3E1}" name="eval_pop"/>
    <tableColumn id="6" xr3:uid="{F1725595-DE6B-5741-9D97-5EDB1C097A09}" name="testing_refine_pop"/>
    <tableColumn id="7" xr3:uid="{BF42C744-09E0-344C-8337-C48AF8BB3A01}" name="out_of_scope"/>
    <tableColumn id="8" xr3:uid="{2EBBE308-2B2D-5E41-9A58-299490942659}" name="Link"/>
    <tableColumn id="9" xr3:uid="{74170B6E-5F8B-9141-8290-A49A84566BAF}" name="Handle2"/>
    <tableColumn id="10" xr3:uid="{4C4A53FE-EB4B-AB47-AF7A-127B8708954A}" name="ISIN"/>
    <tableColumn id="11" xr3:uid="{7D5F73D2-9317-5C42-B7AD-104D4A6B2247}" name="FIGI"/>
    <tableColumn id="12" xr3:uid="{B1A47024-1EF7-BE43-8A65-F78769E33B0C}" name="CUSIP"/>
    <tableColumn id="13" xr3:uid="{E0D2ADBE-73F3-F74D-B435-C8E9788949BE}" name="Ticker"/>
    <tableColumn id="14" xr3:uid="{E9145A2A-7879-FD49-9466-B7A240AC0D05}" name="Name"/>
    <tableColumn id="15" xr3:uid="{B53EA3DE-53C8-3A4C-9F71-0B839EDBB62B}" name="Fund"/>
    <tableColumn id="16" xr3:uid="{1A55FEF6-008A-364C-B941-915486A3BC34}" name="Fund handle"/>
    <tableColumn id="17" xr3:uid="{A470842B-7C04-014E-A0AB-CDFE4461C041}" name="Fund link"/>
    <tableColumn id="18" xr3:uid="{116FFC83-0945-A84C-ABCC-DF6B4790063C}" name="Issuance date (date)" dataDxfId="19"/>
    <tableColumn id="19" xr3:uid="{7EC3CFE5-B286-8746-8944-31E4DFC081AC}" name="Maturity date (date)" dataDxfId="18"/>
    <tableColumn id="20" xr3:uid="{6D014247-ED01-2A45-85F1-C186DBB916EB}" name="Last published (date)" dataDxfId="17"/>
    <tableColumn id="21" xr3:uid="{2F7A31A1-8FF0-774E-904D-AEBBEF93AC4B}" name="Bond type"/>
    <tableColumn id="22" xr3:uid="{945AA02A-53C1-9643-BF31-492B59035F62}" name="Bond theme"/>
    <tableColumn id="23" xr3:uid="{03924023-A8BE-D54F-B25B-6E467A6D8402}" name="Issuer name"/>
    <tableColumn id="24" xr3:uid="{216BD466-8A84-C946-B330-40D1926FDC4B}" name="Issuer type"/>
    <tableColumn id="25" xr3:uid="{232E69FB-C6A3-5348-BDC4-731CC4A2A4F9}" name="Issuer jurisdiction"/>
    <tableColumn id="26" xr3:uid="{0965A5D9-ECEC-ED4C-B466-795005111608}" name="PDF name"/>
    <tableColumn id="27" xr3:uid="{E2124AAC-1078-DE4F-9074-D4F34516044A}" name="Framework link"/>
    <tableColumn id="28" xr3:uid="{B481D103-C036-A54B-AFB1-BF650BA1F95B}" name="sustainability report" dataDxfId="16">
      <calculatedColumnFormula>AM14</calculatedColumnFormula>
    </tableColumn>
    <tableColumn id="29" xr3:uid="{BA0C6CF8-90B8-CF40-A4A0-2859D76D1916}" name="extract cateogry table" dataDxfId="15"/>
    <tableColumn id="30" xr3:uid="{6144A1BA-4369-474B-8261-5361C4CA1F5F}" name="Find UOP" dataDxfId="14"/>
    <tableColumn id="31" xr3:uid="{217DB38C-B327-6C4A-8148-F783F1714336}" name="find token similarity" dataDxfId="13"/>
    <tableColumn id="32" xr3:uid="{CF906A20-63E1-504F-921B-8A245C168945}" name="non english" dataDxfId="12"/>
    <tableColumn id="33" xr3:uid="{D92DE0A3-2D40-3D4E-8D12-A1562BA33A45}" name="Bond currency"/>
    <tableColumn id="34" xr3:uid="{8D813038-4CBD-9B40-9C69-AE975B0A8118}" name="Volume in bond currency"/>
    <tableColumn id="35" xr3:uid="{A1B54F4F-A911-1F40-9C5C-60D655B8EE62}" name="Volume in US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E74259-99FB-4B4F-B302-F0C4A8667CF7}" name="Table4" displayName="Table4" ref="A2:N325" totalsRowShown="0">
  <autoFilter ref="A2:N325" xr:uid="{B3E74259-99FB-4B4F-B302-F0C4A8667CF7}">
    <filterColumn colId="3">
      <filters>
        <filter val="TRUE - Wave 1"/>
      </filters>
    </filterColumn>
    <filterColumn colId="12">
      <filters>
        <filter val="ICMA Green Bonds Principles Project Categories"/>
      </filters>
    </filterColumn>
  </autoFilter>
  <tableColumns count="14">
    <tableColumn id="1" xr3:uid="{0DFACDB8-E415-904A-B0B2-165356015F1A}" name="is_in_allocs"/>
    <tableColumn id="2" xr3:uid="{A07BE814-9D4F-714C-BCA6-65BA3FD23479}" name="pipeline_devlt"/>
    <tableColumn id="3" xr3:uid="{3E485B19-6115-674F-A78D-8B2637C41A12}" name="is_green"/>
    <tableColumn id="4" xr3:uid="{32F2544F-213D-4441-871D-7E2F00A2B433}" name="eval_pop"/>
    <tableColumn id="5" xr3:uid="{CC21D3EB-D970-2641-B377-30A431E89AAD}" name="testing_refine_pop"/>
    <tableColumn id="6" xr3:uid="{07E82DBB-4C71-2B47-AB3B-0B8D2EFE5A18}" name="out_of_scope"/>
    <tableColumn id="7" xr3:uid="{841D7D63-CE05-D242-92BC-5C279D78FF54}" name="PDF name"/>
    <tableColumn id="8" xr3:uid="{39BEFC41-5758-2C42-B3B9-6AADD29A2BA1}" name="ISIN"/>
    <tableColumn id="9" xr3:uid="{DD1154FB-FEC1-DD4F-8BE4-65CC084BCF8F}" name="FIGI"/>
    <tableColumn id="10" xr3:uid="{166D434D-0303-FB44-A062-0DBF4CA33B3A}" name="Ticker"/>
    <tableColumn id="11" xr3:uid="{C25A5D5F-6B96-A144-9727-8AD077F3D267}" name="bond_handle"/>
    <tableColumn id="12" xr3:uid="{99DD1AA2-0C28-EE4C-85F4-089AE61B9946}" name="bond_name"/>
    <tableColumn id="13" xr3:uid="{67468B0D-04C5-6548-A5FC-6EB63E462EA2}" name="nomenclature"/>
    <tableColumn id="14" xr3:uid="{60E15575-F460-BF4D-B8B7-68D96ED8E350}" name="catego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D12778-9E79-E54F-B4D8-7FC1CC24F617}" name="Table13" displayName="Table13" ref="A1:AM287" totalsRowShown="0">
  <autoFilter ref="A1:AM287" xr:uid="{A1D12778-9E79-E54F-B4D8-7FC1CC24F617}">
    <filterColumn colId="4">
      <filters>
        <filter val="TRUE - Wave 1"/>
      </filters>
    </filterColumn>
    <filterColumn colId="29">
      <filters>
        <filter val="no"/>
        <filter val="yes"/>
      </filters>
    </filterColumn>
    <filterColumn colId="34">
      <filters>
        <filter val="FALSE - ppl needs correcting to re-set ES tbl indicators between pdf runs_x000a_2nd run TRUE"/>
        <filter val="TRUE"/>
      </filters>
    </filterColumn>
  </autoFilter>
  <tableColumns count="39">
    <tableColumn id="1" xr3:uid="{3F871604-EA79-4C46-91D6-E5E7827DA577}" name="Handle"/>
    <tableColumn id="2" xr3:uid="{DA65299E-CD6C-6C4C-8C45-ADCF0227ED74}" name="is_in_allocs"/>
    <tableColumn id="3" xr3:uid="{629F15AB-F719-8148-9FBD-3984EB059859}" name="pipeline_devlt"/>
    <tableColumn id="4" xr3:uid="{4A3422A9-1F2E-F741-A78B-649CDCC85369}" name="is_green"/>
    <tableColumn id="5" xr3:uid="{824F2644-4896-D14D-9CF5-E010AA772927}" name="eval_pop"/>
    <tableColumn id="6" xr3:uid="{64A4CBD4-1235-334B-ADDF-C9135CD65878}" name="testing_refine_pop"/>
    <tableColumn id="7" xr3:uid="{D2999433-B7FC-1C48-B0B7-4AF2B39A6AB9}" name="out_of_scope"/>
    <tableColumn id="8" xr3:uid="{FFCA1293-2881-F04B-8667-14D0CE4678A1}" name="Link"/>
    <tableColumn id="9" xr3:uid="{96030A83-8938-0146-B6D3-CCE3F855D69A}" name="Handle2"/>
    <tableColumn id="10" xr3:uid="{C43FCB79-0504-7C49-B252-D91D7FBB5C2F}" name="ISIN"/>
    <tableColumn id="11" xr3:uid="{9A149133-479B-B445-9232-74038D0EDAFC}" name="FIGI"/>
    <tableColumn id="12" xr3:uid="{D3F4D61D-5A09-B14A-94C1-4F7E9CBE1523}" name="CUSIP"/>
    <tableColumn id="13" xr3:uid="{4B93C1B0-3C1A-9346-938E-A3B514B121FD}" name="Ticker"/>
    <tableColumn id="14" xr3:uid="{AF120393-AC6C-D545-A020-A6FB6E551B0E}" name="Name"/>
    <tableColumn id="15" xr3:uid="{67B65710-BBCF-AB4C-9705-220781C49DC5}" name="Fund"/>
    <tableColumn id="16" xr3:uid="{CF26F799-241F-2848-B12D-859161303D5F}" name="Fund handle"/>
    <tableColumn id="17" xr3:uid="{1352E53B-4065-7647-B3CA-4A8565EF9D36}" name="Fund link"/>
    <tableColumn id="18" xr3:uid="{DEE1199B-405A-F349-B9C4-1BCF04767E93}" name="Issuance date (date)" dataDxfId="11"/>
    <tableColumn id="19" xr3:uid="{4DE9F248-AC24-AB43-B6FE-BCE9FCA4C37C}" name="Maturity date (date)" dataDxfId="10"/>
    <tableColumn id="20" xr3:uid="{4EC21512-E193-D542-AF61-1EF4D3DF353B}" name="Last published (date)" dataDxfId="9"/>
    <tableColumn id="21" xr3:uid="{E06F5309-6586-164A-8E7A-05A5BBF5AF93}" name="Bond type"/>
    <tableColumn id="22" xr3:uid="{6E2CF76B-5385-D145-9A78-6FC0D81A7641}" name="Bond theme"/>
    <tableColumn id="23" xr3:uid="{6715AEE0-28C2-A343-81B7-F90137B8E3F5}" name="Issuer name"/>
    <tableColumn id="24" xr3:uid="{4E6687ED-5D08-A847-B629-1287AA374F18}" name="Issuer type"/>
    <tableColumn id="25" xr3:uid="{75C3B2A8-1E03-FF47-A286-C2ED69663A6D}" name="Issuer jurisdiction"/>
    <tableColumn id="26" xr3:uid="{8A06972C-7CC0-C14E-A448-4A2D0E753EA3}" name="PDF name"/>
    <tableColumn id="27" xr3:uid="{23358518-E32D-AC48-AAE2-CE1822D2E922}" name="Framework link"/>
    <tableColumn id="28" xr3:uid="{15ABAD5E-8684-E547-9BD1-A67EB92185E7}" name="sustainability report" dataDxfId="8">
      <calculatedColumnFormula>AQ2</calculatedColumnFormula>
    </tableColumn>
    <tableColumn id="37" xr3:uid="{23DE7DB8-D9AC-954D-9BA1-ABD1933013E4}" name="ICMA wrdg alignment" dataDxfId="2"/>
    <tableColumn id="29" xr3:uid="{B0DE8849-E264-0846-A5DB-2C6DB8567ED2}" name="cateogry table" dataDxfId="7"/>
    <tableColumn id="30" xr3:uid="{7355D3FD-9F58-364E-AC69-A225B9BD1252}" name="UOP page idx" dataDxfId="6"/>
    <tableColumn id="36" xr3:uid="{9D5BA104-6CC5-4C4B-AE19-CD891C1F7664}" name="ppl tbl" dataDxfId="3"/>
    <tableColumn id="31" xr3:uid="{38630D99-71B2-D540-9C15-9FF93114478C}" name="ppl uop" dataDxfId="5"/>
    <tableColumn id="32" xr3:uid="{877BEDD5-FF18-8B40-8CA6-687C264EB185}" name="non english" dataDxfId="4"/>
    <tableColumn id="38" xr3:uid="{2BED37CD-67EF-7A43-8EF5-54333787F235}" name="rslt_class_lbl" dataDxfId="1"/>
    <tableColumn id="39" xr3:uid="{C1713C4F-7E09-8D47-B3F7-9658658FA9E3}" name="rslt_num_cat_diffs" dataDxfId="0"/>
    <tableColumn id="33" xr3:uid="{B5C136E3-2059-984B-B6BC-5105243501D1}" name="Bond currency"/>
    <tableColumn id="34" xr3:uid="{C0A94071-0EDD-654E-BC94-57A8825B6622}" name="Volume in bond currency"/>
    <tableColumn id="35" xr3:uid="{F5001DF8-1733-4E44-B5E5-08D87A10D6C4}" name="Volume in US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3" dT="2026-06-30T08:26:39.29" personId="{2B7FBC34-97F8-4740-9AF1-EAB30549931C}" id="{0145379E-184F-554D-A39C-F5247F5B0D2C}">
    <text>UOP include Renewable Energy, Energy Efficiency, Water Efficiency &amp; Sustainable Buildings</text>
  </threadedComment>
  <threadedComment ref="R4" dT="2026-06-30T09:02:37.32" personId="{2B7FBC34-97F8-4740-9AF1-EAB30549931C}" id="{CC052EA0-85E3-EA44-8A2E-2E9C03C5920B}">
    <text>UOP include Renewable Energy &amp; Energy Efficiency</text>
  </threadedComment>
  <threadedComment ref="R5" dT="2026-06-30T08:32:51.40" personId="{2B7FBC34-97F8-4740-9AF1-EAB30549931C}" id="{BEAB167B-4359-4F49-BAC7-C89EDCABB3DA}">
    <text>UOP include Energy Efficiency, Sustainable Water &amp; Wastewater Management, Clean Transportation, Green Buildings &amp; renewable Energy</text>
  </threadedComment>
  <threadedComment ref="R6" dT="2026-06-30T09:05:28.00" personId="{2B7FBC34-97F8-4740-9AF1-EAB30549931C}" id="{480743B7-2DA2-B74F-8A6E-7DE8D7FFED2F}">
    <text>UOP include renewable Energy, Flood Defences, Agriculture &amp; Forestry</text>
  </threadedComment>
  <threadedComment ref="R7" dT="2026-06-30T09:07:53.75" personId="{2B7FBC34-97F8-4740-9AF1-EAB30549931C}" id="{E889D926-5384-9D43-BE09-6F5D0768450B}">
    <text>UOP include Renewable Energy, Clean Transportation, Sustainable Management, Waste management, Water Management &amp; Energy Efficiency</text>
  </threadedComment>
  <threadedComment ref="R8" dT="2026-06-29T14:24:06.92" personId="{3BB317D7-67EE-1549-9082-675539A31924}" id="{2C455E6B-A506-C448-95EC-A909314A37D7}">
    <text>UoP categories are: 
Hydropower, Solar Power, Wind Power, Geothermal Power, Co-generation from biomass, waste Management, Treatment of wastewater and effluents, Waste -to-energy from municipal solid waste, Recycling &amp; waste diversion.
I am considering Hydropower, solar power, wind power, geothermal power, co-generation from biomass, and waste-to-energy from municipal solid waste as one category under renewable since it all falls under the renewable category. This leaves 3 categories that do not fall under renewable, resulting in a total of 4 categories.</text>
  </threadedComment>
  <threadedComment ref="P9" dT="2026-06-30T09:10:37.46" personId="{2B7FBC34-97F8-4740-9AF1-EAB30549931C}" id="{AB6472DE-4185-D249-812D-337D2F2D7122}">
    <text>UOP include Renewable Energy</text>
  </threadedComment>
  <threadedComment ref="R10" dT="2026-06-29T10:42:05.31" personId="{2B7FBC34-97F8-4740-9AF1-EAB30549931C}" id="{516055E0-2F26-8344-B136-645E27AF6E0D}">
    <text>UOPs are Water Efficiency, Energy Efficiency, Renewable Energy &amp; Environmentally Sustainable Agriculture</text>
  </threadedComment>
  <threadedComment ref="R10" dT="2026-06-30T09:51:05.00" personId="{CB5ACE96-A5B0-7D4D-970B-938D06F8D252}" id="{3B9F98B6-F66F-A54F-B48E-817784F9B3E8}" parentId="{516055E0-2F26-8344-B136-645E27AF6E0D}">
    <text>Checked no changes</text>
  </threadedComment>
  <threadedComment ref="R11" dT="2026-06-29T11:26:11.87" personId="{2B7FBC34-97F8-4740-9AF1-EAB30549931C}" id="{00ADAAFC-8ABD-BB4E-8D8C-3D02BF5C746E}">
    <text xml:space="preserve">UOPs are Water Efficiency, Energy Efficiency, Renewable Energy &amp; Environmentally Sustainable Agriculture
</text>
  </threadedComment>
  <threadedComment ref="R11" dT="2026-06-30T09:51:17.84" personId="{CB5ACE96-A5B0-7D4D-970B-938D06F8D252}" id="{4D032C57-ADF4-5043-B36A-1062B7545CF3}" parentId="{00ADAAFC-8ABD-BB4E-8D8C-3D02BF5C746E}">
    <text>Checked no changes</text>
  </threadedComment>
  <threadedComment ref="R12" dT="2026-06-29T11:26:19.59" personId="{2B7FBC34-97F8-4740-9AF1-EAB30549931C}" id="{A93490A6-AAA4-2248-8BED-47FB1BB375A5}">
    <text xml:space="preserve">UOPs are Water Efficiency, Energy Efficiency, Renewable Energy &amp; Environmentally Sustainable Agriculture
</text>
  </threadedComment>
  <threadedComment ref="R12" dT="2026-06-30T09:51:31.06" personId="{CB5ACE96-A5B0-7D4D-970B-938D06F8D252}" id="{5BD7CC98-1652-224B-906A-2DAC1050F215}" parentId="{A93490A6-AAA4-2248-8BED-47FB1BB375A5}">
    <text>Checked no changes</text>
  </threadedComment>
  <threadedComment ref="P13" dT="2026-06-29T11:32:08.93" personId="{2B7FBC34-97F8-4740-9AF1-EAB30549931C}" id="{4A625130-7E8A-9B4E-B9C8-2EBEBCF458D8}">
    <text xml:space="preserve">UOP include electric power transmission infrastructures </text>
  </threadedComment>
  <threadedComment ref="P13" dT="2026-06-30T10:01:29.19" personId="{CB5ACE96-A5B0-7D4D-970B-938D06F8D252}" id="{ADA3EA72-3CFE-8F4A-919D-09B8CAB27104}" parentId="{4A625130-7E8A-9B4E-B9C8-2EBEBCF458D8}">
    <text>Agree no change</text>
  </threadedComment>
  <threadedComment ref="P14" dT="2026-06-29T11:32:20.05" personId="{2B7FBC34-97F8-4740-9AF1-EAB30549931C}" id="{BE14DC6E-2D58-874D-891B-3B7A5DB1C57D}">
    <text>UOP include electric power transmission infrastructures</text>
  </threadedComment>
  <threadedComment ref="P14" dT="2026-06-30T10:01:36.33" personId="{CB5ACE96-A5B0-7D4D-970B-938D06F8D252}" id="{4CF29586-DC2F-C34D-8862-F0462BB5FC4F}" parentId="{BE14DC6E-2D58-874D-891B-3B7A5DB1C57D}">
    <text>Agree no change</text>
  </threadedComment>
  <threadedComment ref="P15" dT="2026-06-29T11:32:26.98" personId="{2B7FBC34-97F8-4740-9AF1-EAB30549931C}" id="{1AB3B3D0-CAD4-464D-A2CD-D92C433339AC}">
    <text>UOP include electric power transmission infrastructures</text>
  </threadedComment>
  <threadedComment ref="P15" dT="2026-06-30T10:01:41.46" personId="{CB5ACE96-A5B0-7D4D-970B-938D06F8D252}" id="{86CDAFA6-862C-BB4D-91CF-8149A46D7BCF}" parentId="{1AB3B3D0-CAD4-464D-A2CD-D92C433339AC}">
    <text>Agree no change</text>
  </threadedComment>
  <threadedComment ref="R16" dT="2026-06-29T11:17:39.39" personId="{2B7FBC34-97F8-4740-9AF1-EAB30549931C}" id="{F0ABFC7B-83A3-1D41-99F0-D34DC1FB0744}">
    <text xml:space="preserve">UOP include Energy Efficiency , Sustainable Water Management , Pollution Prevention and Control </text>
  </threadedComment>
  <threadedComment ref="R17" dT="2026-06-29T11:22:06.92" personId="{2B7FBC34-97F8-4740-9AF1-EAB30549931C}" id="{EF865A72-07FA-7240-833D-312B9460C279}">
    <text>UOP include Sustainable Forest Management, Restorative Of Native Forests and Conservation of Biodiversity, Renewable Energy, Clean Transportation, Energy Efficiency, Waste Management, Sustainable Water Management, Eco-Efficient and Circular Economy Adapted Products, Production Tech and Process, Climate Change Adaptation</text>
  </threadedComment>
  <threadedComment ref="R17" dT="2026-06-30T09:53:48.18" personId="{CB5ACE96-A5B0-7D4D-970B-938D06F8D252}" id="{0230C3BC-EE7E-3346-842F-C8134E193F08}" parentId="{EF865A72-07FA-7240-833D-312B9460C279}">
    <text>No changes required</text>
  </threadedComment>
  <threadedComment ref="R18" dT="2026-06-29T11:22:16.45" personId="{2B7FBC34-97F8-4740-9AF1-EAB30549931C}" id="{25611C2E-F7FD-154F-942C-8824141B8674}">
    <text xml:space="preserve">UOP include Sustainable Forest Management, Restorative Of Native Forests and Conservation of Biodiversity, Renewable Energy, Clean Transportation, Energy Efficiency, Waste Management, Sustainable Water Management, Eco-Efficient and Circular Economy Adapted Products, Production Tech and Process, Climate Change Adaptation
</text>
  </threadedComment>
  <threadedComment ref="R18" dT="2026-06-30T09:54:09.30" personId="{CB5ACE96-A5B0-7D4D-970B-938D06F8D252}" id="{4C6B1CDB-15FE-3A41-A27D-4AB59296AD35}" parentId="{25611C2E-F7FD-154F-942C-8824141B8674}">
    <text>Agree no changes required</text>
  </threadedComment>
  <threadedComment ref="R19" dT="2026-06-29T11:38:21.28" personId="{2B7FBC34-97F8-4740-9AF1-EAB30549931C}" id="{22434478-EA82-B046-BD99-4934ADD81F75}">
    <text>UOP include renewable energy, energy efficiency, cleaner production, agriculture, construction, transportation and waste management</text>
  </threadedComment>
  <threadedComment ref="R19" dT="2026-06-30T10:02:09.48" personId="{CB5ACE96-A5B0-7D4D-970B-938D06F8D252}" id="{B96A8B5E-768F-7A4C-8E1C-13963B06B5F7}" parentId="{22434478-EA82-B046-BD99-4934ADD81F75}">
    <text>Agree no change</text>
  </threadedComment>
  <threadedComment ref="R20" dT="2026-06-29T11:03:39.98" personId="{2B7FBC34-97F8-4740-9AF1-EAB30549931C}" id="{F57FBFE0-A00B-5648-8EBB-118C9BFF2A0D}">
    <text>UOP include Potable Water supply and Wastewater treatment</text>
  </threadedComment>
  <threadedComment ref="R20" dT="2026-06-30T10:02:03.01" personId="{CB5ACE96-A5B0-7D4D-970B-938D06F8D252}" id="{2F02A7B4-67CE-8149-8F97-A2DC179ADCB8}" parentId="{F57FBFE0-A00B-5648-8EBB-118C9BFF2A0D}">
    <text>Agree no change</text>
  </threadedComment>
  <threadedComment ref="R21" dT="2026-06-29T10:57:27.65" personId="{2B7FBC34-97F8-4740-9AF1-EAB30549931C}" id="{57260984-3284-E849-9A4A-E4B836B6B78B}">
    <text>UoP include Sustainable forest management, Sustainable water resource management, Preservation of biodiversity and restoration of forest cover of high conservation value, Prevention and control, Energy efficiency</text>
  </threadedComment>
  <threadedComment ref="R21" dT="2026-06-30T09:56:58.33" personId="{CB5ACE96-A5B0-7D4D-970B-938D06F8D252}" id="{2055EC68-D396-0040-8829-FEE77A1F4E45}" parentId="{57260984-3284-E849-9A4A-E4B836B6B78B}">
    <text>Agree no change required</text>
  </threadedComment>
  <threadedComment ref="P22" dT="2026-06-29T10:42:15.37" personId="{CB5ACE96-A5B0-7D4D-970B-938D06F8D252}" id="{4415F625-77FC-144D-A93C-074F686CF8B0}">
    <text xml:space="preserve">allocated towards financing or refinancing new and existing renewable energy projects </text>
  </threadedComment>
  <threadedComment ref="P22" dT="2026-06-29T17:05:33.20" personId="{3BB317D7-67EE-1549-9082-675539A31924}" id="{04EC71EC-45C9-D946-9395-CE6E5D0062F3}" parentId="{4415F625-77FC-144D-A93C-074F686CF8B0}">
    <text>Agree, no change</text>
  </threadedComment>
  <threadedComment ref="R23" dT="2026-06-29T11:09:23.68" personId="{CB5ACE96-A5B0-7D4D-970B-938D06F8D252}" id="{714E5C75-A2DA-EA49-BD5A-18C7767233EE}">
    <text xml:space="preserve">Renewable energy; Efficiency; waste treatment; sustainable agriculture </text>
  </threadedComment>
  <threadedComment ref="R23" dT="2026-06-29T17:28:25.24" personId="{3BB317D7-67EE-1549-9082-675539A31924}" id="{80616A5C-E565-FF47-858D-A53E70435EFD}" parentId="{714E5C75-A2DA-EA49-BD5A-18C7767233EE}">
    <text xml:space="preserve">I got 8 total categories from pages 10-13:
Renewable energy
Energy efficiency
Sustainable Transportation
Sustainable Infrastructure
Green Construction
Water
Handling of Waste
Use of Soil
</text>
  </threadedComment>
  <threadedComment ref="R24" dT="2026-06-29T11:16:04.45" personId="{CB5ACE96-A5B0-7D4D-970B-938D06F8D252}" id="{DCB81AFB-8E57-BB4C-A2B2-6B7B37E459E8}">
    <text>Renewable energy; information &amp; communication technologies; sustainable aquacultural ; agriculture; forest mgmt.; clean transportation; waste water treatment plans</text>
  </threadedComment>
  <threadedComment ref="R24" dT="2026-06-29T17:07:34.75" personId="{3BB317D7-67EE-1549-9082-675539A31924}" id="{34D79488-EAAD-5A44-AF14-28F02DBEE9E9}" parentId="{DCB81AFB-8E57-BB4C-A2B2-6B7B37E459E8}">
    <text>Agree, no change</text>
  </threadedComment>
  <threadedComment ref="R25" dT="2026-06-29T11:03:19.15" personId="{CB5ACE96-A5B0-7D4D-970B-938D06F8D252}" id="{9E3E33F2-02E2-3F45-BD75-1CB76D984853}">
    <text>Clean transportation ; pollution prevention and control</text>
  </threadedComment>
  <threadedComment ref="R25" dT="2026-06-29T17:05:39.85" personId="{3BB317D7-67EE-1549-9082-675539A31924}" id="{BC871D25-AA81-6940-B4B0-B0258A685EF0}" parentId="{9E3E33F2-02E2-3F45-BD75-1CB76D984853}">
    <text>Agree, no change</text>
  </threadedComment>
  <threadedComment ref="R26" dT="2026-06-29T10:58:34.60" personId="{CB5ACE96-A5B0-7D4D-970B-938D06F8D252}" id="{D0CB8269-2B33-8243-B878-0B2A1AD60526}">
    <text>Drinking water solutions; water storage; sanitation and sewage treatment; water and waste water treatment</text>
  </threadedComment>
  <threadedComment ref="R26" dT="2026-06-29T17:05:45.50" personId="{3BB317D7-67EE-1549-9082-675539A31924}" id="{680DEB9C-CECE-0D45-BBE2-EF813E6509E6}" parentId="{D0CB8269-2B33-8243-B878-0B2A1AD60526}">
    <text>Agree, no change</text>
  </threadedComment>
  <threadedComment ref="P27" dT="2026-06-29T17:06:03.31" personId="{3BB317D7-67EE-1549-9082-675539A31924}" id="{C0F716C7-B57D-FF4C-9342-24FB300846DC}">
    <text>Agree, no change</text>
  </threadedComment>
</ThreadedComments>
</file>

<file path=xl/threadedComments/threadedComment2.xml><?xml version="1.0" encoding="utf-8"?>
<ThreadedComments xmlns="http://schemas.microsoft.com/office/spreadsheetml/2018/threadedcomments" xmlns:x="http://schemas.openxmlformats.org/spreadsheetml/2006/main">
  <threadedComment ref="AF135" dT="2026-08-15T14:40:36.75" personId="{3F374D89-5C3C-7E4A-B567-C4354A881813}" id="{EE858CE7-E667-CA4F-A3DB-8F50F6DC4740}">
    <text>distinct cats not on separate rows - cleanup TH too high</text>
  </threadedComment>
</ThreadedComments>
</file>

<file path=xl/threadedComments/threadedComment3.xml><?xml version="1.0" encoding="utf-8"?>
<ThreadedComments xmlns="http://schemas.microsoft.com/office/spreadsheetml/2018/threadedcomments" xmlns:x="http://schemas.openxmlformats.org/spreadsheetml/2006/main">
  <threadedComment ref="F1" dT="2026-07-30T18:22:45.63" personId="{3F374D89-5C3C-7E4A-B567-C4354A881813}" id="{8EA154A8-5B63-8C4F-BFA4-C31579AA81A2}">
    <text>where ES is partial</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8" Type="http://schemas.openxmlformats.org/officeDocument/2006/relationships/hyperlink" Target="https://sostenibilidad.davivienda.com/assets/pdf/en/greenbondsprogramme.pdf" TargetMode="External"/><Relationship Id="rId13" Type="http://schemas.openxmlformats.org/officeDocument/2006/relationships/hyperlink" Target="https://www.greenbondtransparency.com/download-document/?entity=Framework&amp;handle=95b3eb28144a4ce6a75c1665a0a4d887" TargetMode="External"/><Relationship Id="rId18" Type="http://schemas.microsoft.com/office/2007/relationships/slicer" Target="../slicers/slicer1.xml"/><Relationship Id="rId3" Type="http://schemas.openxmlformats.org/officeDocument/2006/relationships/hyperlink" Target="https://www.greenbondtransparency.com/download-document/?entity=Framework&amp;handle=db1cda571f7a40d78a10fa816b44c3d0" TargetMode="External"/><Relationship Id="rId7" Type="http://schemas.openxmlformats.org/officeDocument/2006/relationships/hyperlink" Target="https://www.greenbondtransparency.com/download-document/?entity=Framework&amp;handle=70c67210b92a4b7690c983e47607acea" TargetMode="External"/><Relationship Id="rId12" Type="http://schemas.openxmlformats.org/officeDocument/2006/relationships/hyperlink" Target="https://s23.q4cdn.com/927837516/files/doc_financials/annual/Integrated-Report-2017.pdf" TargetMode="External"/><Relationship Id="rId17" Type="http://schemas.openxmlformats.org/officeDocument/2006/relationships/table" Target="../tables/table1.xml"/><Relationship Id="rId2" Type="http://schemas.openxmlformats.org/officeDocument/2006/relationships/hyperlink" Target="https://www.greenbondtransparency.com/download-document/?entity=Framework&amp;handle=a15f538c621d460dac7d16f40b18d701" TargetMode="External"/><Relationship Id="rId16" Type="http://schemas.openxmlformats.org/officeDocument/2006/relationships/drawing" Target="../drawings/drawing1.xml"/><Relationship Id="rId1" Type="http://schemas.openxmlformats.org/officeDocument/2006/relationships/hyperlink" Target="https://www.greenbondtransparency.com/download-document/?entity=Framework&amp;handle=8248830a582148988b2d374bbe06b15d" TargetMode="External"/><Relationship Id="rId6" Type="http://schemas.openxmlformats.org/officeDocument/2006/relationships/hyperlink" Target="https://www.greenbondtransparency.com/download-document/?entity=Framework&amp;handle=d8dd0247138a43a6abc81107430dc6c1" TargetMode="External"/><Relationship Id="rId11" Type="http://schemas.openxmlformats.org/officeDocument/2006/relationships/hyperlink" Target="https://www.greenbondtransparency.com/download-document/?entity=Framework&amp;handle=e7422ceebd5f4b049171588f9f404b91" TargetMode="External"/><Relationship Id="rId5" Type="http://schemas.openxmlformats.org/officeDocument/2006/relationships/hyperlink" Target="https://www.greenbondtransparency.com/download-document/?entity=Framework&amp;handle=5ed0f5af81e743d59f6cc5245e8d8fd0" TargetMode="External"/><Relationship Id="rId15" Type="http://schemas.openxmlformats.org/officeDocument/2006/relationships/hyperlink" Target="https://www.greenbondtransparency.com/download-document/?entity=Framework&amp;handle=0ca1bbf86b2045aba7e8ff9a179c2758" TargetMode="External"/><Relationship Id="rId10" Type="http://schemas.openxmlformats.org/officeDocument/2006/relationships/hyperlink" Target="https://mstar-sustops-cdn-mainwebsite-s3.s3.amazonaws.com/docs/default-source/spos/wcc-green-bond-second-party-opinion-05222019.pdf?sfvrsn=88756a8d_3" TargetMode="External"/><Relationship Id="rId4" Type="http://schemas.openxmlformats.org/officeDocument/2006/relationships/hyperlink" Target="https://www.greenbondtransparency.com/download-document/?entity=Framework&amp;handle=e791ce8ea3eb4c6897df799280b78881" TargetMode="External"/><Relationship Id="rId9" Type="http://schemas.openxmlformats.org/officeDocument/2006/relationships/hyperlink" Target="https://www.aes.com/sites/vault/files/2025-05/AES-Green-Financing-Framework-Reporting-May-2025.pdf" TargetMode="External"/><Relationship Id="rId14" Type="http://schemas.openxmlformats.org/officeDocument/2006/relationships/hyperlink" Target="https://www.greenbondtransparency.com/download-document/?entity=Framework&amp;handle=e7161c8807ca44e085439ddf548d7489" TargetMode="Externa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8" Type="http://schemas.openxmlformats.org/officeDocument/2006/relationships/hyperlink" Target="https://sostenibilidad.davivienda.com/assets/pdf/en/greenbondsprogramme.pdf" TargetMode="External"/><Relationship Id="rId13" Type="http://schemas.openxmlformats.org/officeDocument/2006/relationships/hyperlink" Target="https://www.greenbondtransparency.com/download-document/?entity=Framework&amp;handle=95b3eb28144a4ce6a75c1665a0a4d887" TargetMode="External"/><Relationship Id="rId18" Type="http://schemas.openxmlformats.org/officeDocument/2006/relationships/comments" Target="../comments2.xml"/><Relationship Id="rId3" Type="http://schemas.openxmlformats.org/officeDocument/2006/relationships/hyperlink" Target="https://www.greenbondtransparency.com/download-document/?entity=Framework&amp;handle=db1cda571f7a40d78a10fa816b44c3d0" TargetMode="External"/><Relationship Id="rId7" Type="http://schemas.openxmlformats.org/officeDocument/2006/relationships/hyperlink" Target="https://www.greenbondtransparency.com/download-document/?entity=Framework&amp;handle=70c67210b92a4b7690c983e47607acea" TargetMode="External"/><Relationship Id="rId12" Type="http://schemas.openxmlformats.org/officeDocument/2006/relationships/hyperlink" Target="https://s23.q4cdn.com/927837516/files/doc_financials/annual/Integrated-Report-2017.pdf" TargetMode="External"/><Relationship Id="rId17" Type="http://schemas.openxmlformats.org/officeDocument/2006/relationships/table" Target="../tables/table3.xml"/><Relationship Id="rId2" Type="http://schemas.openxmlformats.org/officeDocument/2006/relationships/hyperlink" Target="https://www.greenbondtransparency.com/download-document/?entity=Framework&amp;handle=a15f538c621d460dac7d16f40b18d701" TargetMode="External"/><Relationship Id="rId16" Type="http://schemas.openxmlformats.org/officeDocument/2006/relationships/vmlDrawing" Target="../drawings/vmlDrawing2.vml"/><Relationship Id="rId1" Type="http://schemas.openxmlformats.org/officeDocument/2006/relationships/hyperlink" Target="https://www.greenbondtransparency.com/download-document/?entity=Framework&amp;handle=8248830a582148988b2d374bbe06b15d" TargetMode="External"/><Relationship Id="rId6" Type="http://schemas.openxmlformats.org/officeDocument/2006/relationships/hyperlink" Target="https://www.greenbondtransparency.com/download-document/?entity=Framework&amp;handle=d8dd0247138a43a6abc81107430dc6c1" TargetMode="External"/><Relationship Id="rId11" Type="http://schemas.openxmlformats.org/officeDocument/2006/relationships/hyperlink" Target="https://www.greenbondtransparency.com/download-document/?entity=Framework&amp;handle=e7422ceebd5f4b049171588f9f404b91" TargetMode="External"/><Relationship Id="rId5" Type="http://schemas.openxmlformats.org/officeDocument/2006/relationships/hyperlink" Target="https://www.greenbondtransparency.com/download-document/?entity=Framework&amp;handle=5ed0f5af81e743d59f6cc5245e8d8fd0" TargetMode="External"/><Relationship Id="rId15" Type="http://schemas.openxmlformats.org/officeDocument/2006/relationships/hyperlink" Target="https://www.greenbondtransparency.com/download-document/?entity=Framework&amp;handle=0ca1bbf86b2045aba7e8ff9a179c2758" TargetMode="External"/><Relationship Id="rId10" Type="http://schemas.openxmlformats.org/officeDocument/2006/relationships/hyperlink" Target="https://mstar-sustops-cdn-mainwebsite-s3.s3.amazonaws.com/docs/default-source/spos/wcc-green-bond-second-party-opinion-05222019.pdf?sfvrsn=88756a8d_3" TargetMode="External"/><Relationship Id="rId19" Type="http://schemas.microsoft.com/office/2017/10/relationships/threadedComment" Target="../threadedComments/threadedComment2.xml"/><Relationship Id="rId4" Type="http://schemas.openxmlformats.org/officeDocument/2006/relationships/hyperlink" Target="https://www.greenbondtransparency.com/download-document/?entity=Framework&amp;handle=e791ce8ea3eb4c6897df799280b78881" TargetMode="External"/><Relationship Id="rId9" Type="http://schemas.openxmlformats.org/officeDocument/2006/relationships/hyperlink" Target="https://www.aes.com/sites/vault/files/2025-05/AES-Green-Financing-Framework-Reporting-May-2025.pdf" TargetMode="External"/><Relationship Id="rId14" Type="http://schemas.openxmlformats.org/officeDocument/2006/relationships/hyperlink" Target="https://www.greenbondtransparency.com/download-document/?entity=Framework&amp;handle=e7161c8807ca44e085439ddf548d7489" TargetMode="Externa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75C06-7FBA-D548-914E-83A1EF597C32}">
  <dimension ref="A3:C33"/>
  <sheetViews>
    <sheetView zoomScale="112" zoomScaleNormal="112" workbookViewId="0">
      <selection activeCell="B10" sqref="B10"/>
    </sheetView>
  </sheetViews>
  <sheetFormatPr baseColWidth="10" defaultColWidth="11" defaultRowHeight="16" x14ac:dyDescent="0.2"/>
  <cols>
    <col min="2" max="2" width="76" bestFit="1" customWidth="1"/>
  </cols>
  <sheetData>
    <row r="3" spans="1:3" x14ac:dyDescent="0.2">
      <c r="B3" s="28" t="s">
        <v>2811</v>
      </c>
    </row>
    <row r="4" spans="1:3" x14ac:dyDescent="0.2">
      <c r="A4" s="73" t="s">
        <v>2810</v>
      </c>
      <c r="B4" t="s">
        <v>2809</v>
      </c>
    </row>
    <row r="5" spans="1:3" x14ac:dyDescent="0.2">
      <c r="A5" s="73"/>
      <c r="B5" t="s">
        <v>2808</v>
      </c>
    </row>
    <row r="6" spans="1:3" x14ac:dyDescent="0.2">
      <c r="A6" s="73"/>
      <c r="B6" t="s">
        <v>2807</v>
      </c>
    </row>
    <row r="7" spans="1:3" x14ac:dyDescent="0.2">
      <c r="A7" s="73"/>
      <c r="B7" s="59" t="s">
        <v>2806</v>
      </c>
    </row>
    <row r="8" spans="1:3" x14ac:dyDescent="0.2">
      <c r="A8" s="73"/>
      <c r="B8" s="59" t="s">
        <v>2805</v>
      </c>
    </row>
    <row r="9" spans="1:3" x14ac:dyDescent="0.2">
      <c r="A9" s="73"/>
      <c r="B9" s="59" t="s">
        <v>2804</v>
      </c>
    </row>
    <row r="10" spans="1:3" x14ac:dyDescent="0.2">
      <c r="A10" s="73"/>
      <c r="B10" t="s">
        <v>2803</v>
      </c>
    </row>
    <row r="11" spans="1:3" x14ac:dyDescent="0.2">
      <c r="A11" s="58"/>
    </row>
    <row r="12" spans="1:3" x14ac:dyDescent="0.2">
      <c r="A12" s="73" t="s">
        <v>2802</v>
      </c>
      <c r="B12" t="s">
        <v>2801</v>
      </c>
    </row>
    <row r="13" spans="1:3" x14ac:dyDescent="0.2">
      <c r="A13" s="73"/>
      <c r="B13" s="61" t="s">
        <v>2800</v>
      </c>
      <c r="C13" s="60" t="s">
        <v>2799</v>
      </c>
    </row>
    <row r="14" spans="1:3" x14ac:dyDescent="0.2">
      <c r="A14" s="73"/>
      <c r="B14" s="61" t="s">
        <v>2798</v>
      </c>
      <c r="C14" s="60" t="s">
        <v>2797</v>
      </c>
    </row>
    <row r="15" spans="1:3" x14ac:dyDescent="0.2">
      <c r="A15" s="73"/>
      <c r="B15" s="61" t="s">
        <v>2796</v>
      </c>
      <c r="C15" s="60" t="s">
        <v>2795</v>
      </c>
    </row>
    <row r="16" spans="1:3" x14ac:dyDescent="0.2">
      <c r="A16" s="73"/>
      <c r="B16" s="61" t="s">
        <v>2794</v>
      </c>
      <c r="C16" s="60" t="s">
        <v>2793</v>
      </c>
    </row>
    <row r="17" spans="1:2" x14ac:dyDescent="0.2">
      <c r="A17" s="73"/>
      <c r="B17" t="s">
        <v>2792</v>
      </c>
    </row>
    <row r="18" spans="1:2" x14ac:dyDescent="0.2">
      <c r="A18" s="73"/>
      <c r="B18" t="s">
        <v>2791</v>
      </c>
    </row>
    <row r="19" spans="1:2" x14ac:dyDescent="0.2">
      <c r="A19" s="73"/>
      <c r="B19" s="26" t="s">
        <v>2790</v>
      </c>
    </row>
    <row r="20" spans="1:2" x14ac:dyDescent="0.2">
      <c r="A20" s="73"/>
      <c r="B20" s="59" t="s">
        <v>2789</v>
      </c>
    </row>
    <row r="21" spans="1:2" x14ac:dyDescent="0.2">
      <c r="A21" s="58"/>
    </row>
    <row r="22" spans="1:2" x14ac:dyDescent="0.2">
      <c r="A22" s="73" t="s">
        <v>2788</v>
      </c>
      <c r="B22" t="s">
        <v>2787</v>
      </c>
    </row>
    <row r="23" spans="1:2" x14ac:dyDescent="0.2">
      <c r="A23" s="73"/>
      <c r="B23" t="s">
        <v>2786</v>
      </c>
    </row>
    <row r="24" spans="1:2" x14ac:dyDescent="0.2">
      <c r="A24" s="73"/>
      <c r="B24" t="s">
        <v>2785</v>
      </c>
    </row>
    <row r="25" spans="1:2" x14ac:dyDescent="0.2">
      <c r="A25" s="73"/>
      <c r="B25" t="s">
        <v>2784</v>
      </c>
    </row>
    <row r="26" spans="1:2" x14ac:dyDescent="0.2">
      <c r="A26" s="73"/>
      <c r="B26" t="s">
        <v>2783</v>
      </c>
    </row>
    <row r="27" spans="1:2" x14ac:dyDescent="0.2">
      <c r="A27" s="73"/>
      <c r="B27" t="s">
        <v>2782</v>
      </c>
    </row>
    <row r="28" spans="1:2" x14ac:dyDescent="0.2">
      <c r="A28" s="58"/>
    </row>
    <row r="29" spans="1:2" ht="16" customHeight="1" x14ac:dyDescent="0.2">
      <c r="A29" s="73" t="s">
        <v>2781</v>
      </c>
      <c r="B29" t="s">
        <v>2780</v>
      </c>
    </row>
    <row r="30" spans="1:2" x14ac:dyDescent="0.2">
      <c r="A30" s="73"/>
      <c r="B30" t="s">
        <v>2779</v>
      </c>
    </row>
    <row r="31" spans="1:2" x14ac:dyDescent="0.2">
      <c r="A31" s="73"/>
      <c r="B31" t="s">
        <v>2778</v>
      </c>
    </row>
    <row r="32" spans="1:2" x14ac:dyDescent="0.2">
      <c r="A32" s="73"/>
      <c r="B32" t="s">
        <v>2777</v>
      </c>
    </row>
    <row r="33" spans="1:2" x14ac:dyDescent="0.2">
      <c r="A33" s="73"/>
      <c r="B33" t="s">
        <v>2776</v>
      </c>
    </row>
  </sheetData>
  <mergeCells count="4">
    <mergeCell ref="A4:A10"/>
    <mergeCell ref="A12:A20"/>
    <mergeCell ref="A22:A27"/>
    <mergeCell ref="A29:A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357E-522A-C641-8FDD-929C0C184D4C}">
  <dimension ref="A1:T27"/>
  <sheetViews>
    <sheetView topLeftCell="K1" zoomScale="90" zoomScaleNormal="90" workbookViewId="0">
      <selection activeCell="J16" sqref="A16:XFD16"/>
    </sheetView>
  </sheetViews>
  <sheetFormatPr baseColWidth="10" defaultColWidth="10.83203125" defaultRowHeight="16" x14ac:dyDescent="0.2"/>
  <cols>
    <col min="1" max="1" width="14.5" bestFit="1" customWidth="1"/>
    <col min="2" max="2" width="15" bestFit="1" customWidth="1"/>
    <col min="3" max="3" width="10.6640625" bestFit="1" customWidth="1"/>
    <col min="4" max="4" width="15.83203125" bestFit="1" customWidth="1"/>
    <col min="5" max="5" width="24.6640625" customWidth="1"/>
    <col min="6" max="6" width="15.1640625" bestFit="1" customWidth="1"/>
    <col min="7" max="7" width="17.5" bestFit="1" customWidth="1"/>
    <col min="8" max="8" width="20.6640625" customWidth="1"/>
    <col min="9" max="9" width="21.6640625" bestFit="1" customWidth="1"/>
    <col min="10" max="10" width="15.5" bestFit="1" customWidth="1"/>
    <col min="11" max="11" width="54.6640625" customWidth="1"/>
    <col min="12" max="12" width="11.1640625" bestFit="1" customWidth="1"/>
    <col min="13" max="13" width="9.1640625" customWidth="1"/>
    <col min="14" max="14" width="17" customWidth="1"/>
    <col min="15" max="15" width="14.6640625" customWidth="1"/>
    <col min="16" max="16" width="21" bestFit="1" customWidth="1"/>
    <col min="17" max="17" width="23.83203125" bestFit="1" customWidth="1"/>
    <col min="18" max="18" width="21.6640625" bestFit="1" customWidth="1"/>
    <col min="19" max="19" width="17.83203125" bestFit="1" customWidth="1"/>
    <col min="20" max="20" width="36" bestFit="1" customWidth="1"/>
  </cols>
  <sheetData>
    <row r="1" spans="1:20" s="5" customFormat="1" ht="42.75" customHeight="1" x14ac:dyDescent="0.2">
      <c r="A1" s="65" t="s">
        <v>221</v>
      </c>
      <c r="B1" s="65" t="s">
        <v>222</v>
      </c>
      <c r="C1" s="65" t="s">
        <v>223</v>
      </c>
      <c r="D1" s="65" t="s">
        <v>224</v>
      </c>
      <c r="E1" s="65" t="s">
        <v>225</v>
      </c>
      <c r="F1" s="65" t="s">
        <v>229</v>
      </c>
      <c r="G1" s="65" t="s">
        <v>230</v>
      </c>
      <c r="H1" s="65" t="s">
        <v>234</v>
      </c>
      <c r="I1" s="65" t="s">
        <v>235</v>
      </c>
      <c r="J1" s="65" t="s">
        <v>236</v>
      </c>
      <c r="K1" s="65" t="s">
        <v>237</v>
      </c>
      <c r="L1" s="65" t="s">
        <v>2823</v>
      </c>
      <c r="M1" s="65" t="s">
        <v>244</v>
      </c>
      <c r="N1" s="65" t="s">
        <v>245</v>
      </c>
      <c r="O1" s="65" t="s">
        <v>2822</v>
      </c>
      <c r="P1" s="65" t="s">
        <v>2821</v>
      </c>
      <c r="Q1" s="65" t="s">
        <v>2820</v>
      </c>
      <c r="R1" s="65" t="s">
        <v>2819</v>
      </c>
      <c r="S1" s="65" t="s">
        <v>2818</v>
      </c>
      <c r="T1" s="65" t="s">
        <v>2817</v>
      </c>
    </row>
    <row r="2" spans="1:20" x14ac:dyDescent="0.2">
      <c r="A2" t="s">
        <v>1139</v>
      </c>
      <c r="E2" t="s">
        <v>1140</v>
      </c>
      <c r="F2" s="1">
        <v>43879</v>
      </c>
      <c r="G2" s="1">
        <v>44153</v>
      </c>
      <c r="H2" t="s">
        <v>1141</v>
      </c>
      <c r="I2" t="s">
        <v>256</v>
      </c>
      <c r="J2" t="s">
        <v>269</v>
      </c>
      <c r="K2" t="s">
        <v>1142</v>
      </c>
      <c r="L2">
        <v>1</v>
      </c>
      <c r="M2" t="s">
        <v>270</v>
      </c>
      <c r="N2" s="63">
        <v>48450360</v>
      </c>
      <c r="O2" s="62"/>
      <c r="P2" s="62">
        <v>1</v>
      </c>
      <c r="Q2" s="62"/>
      <c r="R2" s="62"/>
      <c r="S2" s="62" t="s">
        <v>2001</v>
      </c>
      <c r="T2" s="62" t="s">
        <v>1955</v>
      </c>
    </row>
    <row r="3" spans="1:20" x14ac:dyDescent="0.2">
      <c r="D3" t="s">
        <v>930</v>
      </c>
      <c r="E3" t="s">
        <v>931</v>
      </c>
      <c r="F3" s="1">
        <v>42850</v>
      </c>
      <c r="G3" s="1">
        <v>46502</v>
      </c>
      <c r="H3" t="s">
        <v>932</v>
      </c>
      <c r="I3" t="s">
        <v>278</v>
      </c>
      <c r="J3" t="s">
        <v>384</v>
      </c>
      <c r="K3" t="s">
        <v>933</v>
      </c>
      <c r="L3">
        <v>1</v>
      </c>
      <c r="M3" t="s">
        <v>386</v>
      </c>
      <c r="N3" s="63">
        <v>433000000000</v>
      </c>
      <c r="O3" s="62"/>
      <c r="P3" s="62"/>
      <c r="Q3" s="62">
        <v>1</v>
      </c>
      <c r="R3" s="62">
        <v>4</v>
      </c>
      <c r="S3" s="62"/>
      <c r="T3" s="62"/>
    </row>
    <row r="4" spans="1:20" x14ac:dyDescent="0.2">
      <c r="D4" t="s">
        <v>1366</v>
      </c>
      <c r="E4" t="s">
        <v>1367</v>
      </c>
      <c r="F4" s="1">
        <v>43441</v>
      </c>
      <c r="G4" s="1">
        <v>45266</v>
      </c>
      <c r="H4" t="s">
        <v>1368</v>
      </c>
      <c r="I4" t="s">
        <v>305</v>
      </c>
      <c r="J4" t="s">
        <v>269</v>
      </c>
      <c r="K4" t="s">
        <v>2816</v>
      </c>
      <c r="L4">
        <v>1</v>
      </c>
      <c r="M4" t="s">
        <v>270</v>
      </c>
      <c r="N4" s="63">
        <v>30000000</v>
      </c>
      <c r="O4" s="62"/>
      <c r="P4" s="62"/>
      <c r="Q4" s="62">
        <v>1</v>
      </c>
      <c r="R4" s="62">
        <v>2</v>
      </c>
      <c r="S4" s="62"/>
      <c r="T4" s="62"/>
    </row>
    <row r="5" spans="1:20" x14ac:dyDescent="0.2">
      <c r="D5" t="s">
        <v>1413</v>
      </c>
      <c r="E5" t="s">
        <v>1414</v>
      </c>
      <c r="G5" s="1">
        <v>46033</v>
      </c>
      <c r="H5" t="s">
        <v>506</v>
      </c>
      <c r="I5" t="s">
        <v>278</v>
      </c>
      <c r="J5" t="s">
        <v>257</v>
      </c>
      <c r="K5" t="s">
        <v>1415</v>
      </c>
      <c r="L5">
        <v>1</v>
      </c>
      <c r="M5" t="s">
        <v>270</v>
      </c>
      <c r="N5" s="63"/>
      <c r="O5" s="62"/>
      <c r="P5" s="62"/>
      <c r="Q5" s="62">
        <v>1</v>
      </c>
      <c r="R5" s="62">
        <v>5</v>
      </c>
      <c r="S5" s="62"/>
      <c r="T5" s="62"/>
    </row>
    <row r="6" spans="1:20" x14ac:dyDescent="0.2">
      <c r="A6" t="s">
        <v>72</v>
      </c>
      <c r="B6" t="s">
        <v>1314</v>
      </c>
      <c r="E6" t="s">
        <v>1315</v>
      </c>
      <c r="F6" s="1">
        <v>43769</v>
      </c>
      <c r="G6" s="1">
        <v>45611</v>
      </c>
      <c r="H6" t="s">
        <v>304</v>
      </c>
      <c r="I6" t="s">
        <v>305</v>
      </c>
      <c r="J6" t="s">
        <v>306</v>
      </c>
      <c r="K6" t="s">
        <v>1316</v>
      </c>
      <c r="L6">
        <v>1</v>
      </c>
      <c r="M6" t="s">
        <v>270</v>
      </c>
      <c r="N6" s="63">
        <v>375000000</v>
      </c>
      <c r="O6" s="62"/>
      <c r="P6" s="62"/>
      <c r="Q6" s="62">
        <v>1</v>
      </c>
      <c r="R6" s="62">
        <v>4</v>
      </c>
      <c r="S6" s="62"/>
      <c r="T6" s="62"/>
    </row>
    <row r="7" spans="1:20" x14ac:dyDescent="0.2">
      <c r="D7" t="s">
        <v>649</v>
      </c>
      <c r="E7" t="s">
        <v>650</v>
      </c>
      <c r="H7" t="s">
        <v>467</v>
      </c>
      <c r="I7" t="s">
        <v>305</v>
      </c>
      <c r="J7" t="s">
        <v>306</v>
      </c>
      <c r="K7" t="s">
        <v>651</v>
      </c>
      <c r="L7">
        <v>1</v>
      </c>
      <c r="M7" t="s">
        <v>270</v>
      </c>
      <c r="N7" s="63"/>
      <c r="O7" s="62"/>
      <c r="P7" s="62"/>
      <c r="Q7" s="62">
        <v>1</v>
      </c>
      <c r="R7" s="62">
        <v>6</v>
      </c>
      <c r="S7" s="62"/>
      <c r="T7" s="62"/>
    </row>
    <row r="8" spans="1:20" ht="34" x14ac:dyDescent="0.2">
      <c r="D8" t="s">
        <v>1070</v>
      </c>
      <c r="E8" t="s">
        <v>1071</v>
      </c>
      <c r="H8" t="s">
        <v>277</v>
      </c>
      <c r="I8" t="s">
        <v>278</v>
      </c>
      <c r="J8" t="s">
        <v>279</v>
      </c>
      <c r="K8" t="s">
        <v>1072</v>
      </c>
      <c r="L8">
        <v>1</v>
      </c>
      <c r="M8" t="s">
        <v>270</v>
      </c>
      <c r="N8" s="63"/>
      <c r="O8" s="62"/>
      <c r="P8" s="62"/>
      <c r="Q8" s="62">
        <v>1</v>
      </c>
      <c r="R8" s="62">
        <v>4</v>
      </c>
      <c r="S8" s="64" t="s">
        <v>2815</v>
      </c>
      <c r="T8" s="64" t="s">
        <v>2814</v>
      </c>
    </row>
    <row r="9" spans="1:20" x14ac:dyDescent="0.2">
      <c r="A9" s="60"/>
      <c r="D9" t="s">
        <v>1554</v>
      </c>
      <c r="E9" t="s">
        <v>1555</v>
      </c>
      <c r="F9" s="1">
        <v>44427</v>
      </c>
      <c r="G9" s="1">
        <v>49552</v>
      </c>
      <c r="H9" t="s">
        <v>1030</v>
      </c>
      <c r="I9" t="s">
        <v>256</v>
      </c>
      <c r="J9" t="s">
        <v>257</v>
      </c>
      <c r="K9" t="s">
        <v>1556</v>
      </c>
      <c r="L9">
        <v>1</v>
      </c>
      <c r="M9" t="s">
        <v>260</v>
      </c>
      <c r="N9" s="63">
        <v>82850000</v>
      </c>
      <c r="O9" s="62"/>
      <c r="P9" s="62">
        <v>1</v>
      </c>
      <c r="Q9" s="62"/>
      <c r="R9" s="62"/>
      <c r="S9" s="62"/>
      <c r="T9" s="62"/>
    </row>
    <row r="10" spans="1:20" x14ac:dyDescent="0.2">
      <c r="A10" t="s">
        <v>174</v>
      </c>
      <c r="E10" t="s">
        <v>1064</v>
      </c>
      <c r="F10" s="1">
        <v>44008</v>
      </c>
      <c r="G10" s="1">
        <v>45100</v>
      </c>
      <c r="H10" t="s">
        <v>904</v>
      </c>
      <c r="I10" t="s">
        <v>305</v>
      </c>
      <c r="J10" t="s">
        <v>343</v>
      </c>
      <c r="K10" t="s">
        <v>1065</v>
      </c>
      <c r="L10">
        <v>2</v>
      </c>
      <c r="M10" t="s">
        <v>345</v>
      </c>
      <c r="N10" s="63">
        <v>3000000000</v>
      </c>
      <c r="O10" s="62"/>
      <c r="P10" s="62"/>
      <c r="Q10" s="62">
        <v>1</v>
      </c>
      <c r="R10" s="62">
        <v>4</v>
      </c>
      <c r="S10" s="62"/>
      <c r="T10" s="62"/>
    </row>
    <row r="11" spans="1:20" x14ac:dyDescent="0.2">
      <c r="A11" t="s">
        <v>109</v>
      </c>
      <c r="E11" t="s">
        <v>903</v>
      </c>
      <c r="F11" s="1">
        <v>43791</v>
      </c>
      <c r="G11" s="1">
        <v>44967</v>
      </c>
      <c r="H11" t="s">
        <v>904</v>
      </c>
      <c r="I11" t="s">
        <v>305</v>
      </c>
      <c r="J11" t="s">
        <v>343</v>
      </c>
      <c r="K11" t="s">
        <v>905</v>
      </c>
      <c r="L11">
        <v>2</v>
      </c>
      <c r="M11" t="s">
        <v>345</v>
      </c>
      <c r="N11" s="63">
        <v>2500000000</v>
      </c>
      <c r="O11" s="62"/>
      <c r="P11" s="62"/>
      <c r="Q11" s="62">
        <v>1</v>
      </c>
      <c r="R11" s="62">
        <v>4</v>
      </c>
      <c r="S11" s="62"/>
      <c r="T11" s="62"/>
    </row>
    <row r="12" spans="1:20" x14ac:dyDescent="0.2">
      <c r="A12" t="s">
        <v>108</v>
      </c>
      <c r="E12" t="s">
        <v>1714</v>
      </c>
      <c r="F12" s="1">
        <v>43396</v>
      </c>
      <c r="G12" s="1">
        <v>44488</v>
      </c>
      <c r="H12" t="s">
        <v>904</v>
      </c>
      <c r="I12" t="s">
        <v>305</v>
      </c>
      <c r="J12" t="s">
        <v>343</v>
      </c>
      <c r="K12" t="s">
        <v>905</v>
      </c>
      <c r="L12">
        <v>2</v>
      </c>
      <c r="M12" t="s">
        <v>345</v>
      </c>
      <c r="N12" s="63">
        <v>2500000000</v>
      </c>
      <c r="O12" s="62"/>
      <c r="P12" s="62"/>
      <c r="Q12" s="62">
        <v>1</v>
      </c>
      <c r="R12" s="62">
        <v>4</v>
      </c>
      <c r="S12" s="62"/>
      <c r="T12" s="62"/>
    </row>
    <row r="13" spans="1:20" x14ac:dyDescent="0.2">
      <c r="A13" s="60" t="s">
        <v>101</v>
      </c>
      <c r="B13" t="s">
        <v>1395</v>
      </c>
      <c r="D13" t="s">
        <v>1396</v>
      </c>
      <c r="E13" t="s">
        <v>1397</v>
      </c>
      <c r="F13" s="1">
        <v>44237</v>
      </c>
      <c r="G13" s="1">
        <v>52793</v>
      </c>
      <c r="H13" t="s">
        <v>1042</v>
      </c>
      <c r="I13" t="s">
        <v>256</v>
      </c>
      <c r="J13" t="s">
        <v>257</v>
      </c>
      <c r="K13" t="s">
        <v>1398</v>
      </c>
      <c r="L13">
        <v>2</v>
      </c>
      <c r="M13" t="s">
        <v>260</v>
      </c>
      <c r="N13" s="63">
        <v>672500000</v>
      </c>
      <c r="O13" s="62"/>
      <c r="P13" s="62">
        <v>1</v>
      </c>
      <c r="Q13" s="62"/>
      <c r="R13" s="62"/>
      <c r="S13" s="62"/>
      <c r="T13" s="62"/>
    </row>
    <row r="14" spans="1:20" x14ac:dyDescent="0.2">
      <c r="A14" s="60" t="s">
        <v>100</v>
      </c>
      <c r="B14" t="s">
        <v>1509</v>
      </c>
      <c r="D14" t="s">
        <v>1510</v>
      </c>
      <c r="E14" t="s">
        <v>1511</v>
      </c>
      <c r="F14" s="1">
        <v>44172</v>
      </c>
      <c r="G14" s="1">
        <v>52732</v>
      </c>
      <c r="H14" t="s">
        <v>1042</v>
      </c>
      <c r="I14" t="s">
        <v>256</v>
      </c>
      <c r="J14" t="s">
        <v>257</v>
      </c>
      <c r="K14" t="s">
        <v>1398</v>
      </c>
      <c r="L14">
        <v>2</v>
      </c>
      <c r="M14" t="s">
        <v>260</v>
      </c>
      <c r="N14" s="63">
        <v>800000000</v>
      </c>
      <c r="O14" s="62"/>
      <c r="P14" s="62">
        <v>1</v>
      </c>
      <c r="Q14" s="62"/>
      <c r="R14" s="62"/>
      <c r="S14" s="62"/>
      <c r="T14" s="62"/>
    </row>
    <row r="15" spans="1:20" x14ac:dyDescent="0.2">
      <c r="A15" s="60" t="s">
        <v>102</v>
      </c>
      <c r="B15" t="s">
        <v>1911</v>
      </c>
      <c r="E15" t="s">
        <v>1912</v>
      </c>
      <c r="F15" s="1">
        <v>44484</v>
      </c>
      <c r="G15" s="1">
        <v>51058</v>
      </c>
      <c r="H15" t="s">
        <v>1042</v>
      </c>
      <c r="I15" t="s">
        <v>256</v>
      </c>
      <c r="J15" t="s">
        <v>257</v>
      </c>
      <c r="K15" t="s">
        <v>1398</v>
      </c>
      <c r="L15">
        <v>2</v>
      </c>
      <c r="M15" t="s">
        <v>260</v>
      </c>
      <c r="N15" s="63">
        <v>950000000</v>
      </c>
      <c r="O15" s="62"/>
      <c r="P15" s="62">
        <v>1</v>
      </c>
      <c r="Q15" s="62"/>
      <c r="R15" s="62"/>
      <c r="S15" s="62"/>
      <c r="T15" s="62"/>
    </row>
    <row r="16" spans="1:20" x14ac:dyDescent="0.2">
      <c r="A16" s="60" t="s">
        <v>146</v>
      </c>
      <c r="B16" t="s">
        <v>805</v>
      </c>
      <c r="E16" t="s">
        <v>806</v>
      </c>
      <c r="F16" s="1">
        <v>43396</v>
      </c>
      <c r="G16" s="1">
        <v>45588</v>
      </c>
      <c r="H16" t="s">
        <v>807</v>
      </c>
      <c r="I16" t="s">
        <v>256</v>
      </c>
      <c r="J16" t="s">
        <v>808</v>
      </c>
      <c r="K16" t="s">
        <v>2813</v>
      </c>
      <c r="L16">
        <v>2</v>
      </c>
      <c r="M16" t="s">
        <v>811</v>
      </c>
      <c r="N16" s="63">
        <v>100000000</v>
      </c>
      <c r="O16" s="62"/>
      <c r="P16" s="62"/>
      <c r="Q16" s="62"/>
      <c r="R16" s="62">
        <v>3</v>
      </c>
      <c r="S16" s="62"/>
      <c r="T16" s="62"/>
    </row>
    <row r="17" spans="1:20" x14ac:dyDescent="0.2">
      <c r="A17" s="60" t="s">
        <v>124</v>
      </c>
      <c r="B17" t="s">
        <v>1188</v>
      </c>
      <c r="E17" t="s">
        <v>1189</v>
      </c>
      <c r="F17" s="1">
        <v>42997</v>
      </c>
      <c r="G17" s="1">
        <v>46649</v>
      </c>
      <c r="H17" t="s">
        <v>1190</v>
      </c>
      <c r="I17" t="s">
        <v>256</v>
      </c>
      <c r="J17" t="s">
        <v>257</v>
      </c>
      <c r="K17" t="s">
        <v>1191</v>
      </c>
      <c r="L17">
        <v>2</v>
      </c>
      <c r="M17" t="s">
        <v>270</v>
      </c>
      <c r="N17" s="63">
        <v>500000000</v>
      </c>
      <c r="O17" s="62"/>
      <c r="P17" s="62"/>
      <c r="Q17" s="62">
        <v>1</v>
      </c>
      <c r="R17" s="62">
        <v>9</v>
      </c>
      <c r="S17" s="62"/>
      <c r="T17" s="62"/>
    </row>
    <row r="18" spans="1:20" x14ac:dyDescent="0.2">
      <c r="A18" s="60" t="s">
        <v>123</v>
      </c>
      <c r="B18" t="s">
        <v>1799</v>
      </c>
      <c r="E18" t="s">
        <v>1800</v>
      </c>
      <c r="F18" s="1">
        <v>43558</v>
      </c>
      <c r="G18" s="1">
        <v>54516</v>
      </c>
      <c r="H18" t="s">
        <v>1190</v>
      </c>
      <c r="I18" t="s">
        <v>256</v>
      </c>
      <c r="J18" t="s">
        <v>257</v>
      </c>
      <c r="K18" t="s">
        <v>1191</v>
      </c>
      <c r="L18">
        <v>2</v>
      </c>
      <c r="M18" t="s">
        <v>270</v>
      </c>
      <c r="N18" s="63">
        <v>700000000</v>
      </c>
      <c r="O18" s="62"/>
      <c r="P18" s="62"/>
      <c r="Q18" s="62">
        <v>1</v>
      </c>
      <c r="R18" s="62">
        <v>9</v>
      </c>
      <c r="S18" s="62"/>
      <c r="T18" s="62"/>
    </row>
    <row r="19" spans="1:20" x14ac:dyDescent="0.2">
      <c r="B19" t="s">
        <v>524</v>
      </c>
      <c r="D19" t="s">
        <v>525</v>
      </c>
      <c r="E19" t="s">
        <v>526</v>
      </c>
      <c r="F19" s="1">
        <v>43819</v>
      </c>
      <c r="G19" s="1">
        <v>45646</v>
      </c>
      <c r="H19" t="s">
        <v>527</v>
      </c>
      <c r="I19" t="s">
        <v>278</v>
      </c>
      <c r="J19" t="s">
        <v>528</v>
      </c>
      <c r="K19" t="s">
        <v>529</v>
      </c>
      <c r="L19">
        <v>2</v>
      </c>
      <c r="M19" t="s">
        <v>270</v>
      </c>
      <c r="N19" s="63">
        <v>150000000</v>
      </c>
      <c r="O19" s="62"/>
      <c r="P19" s="62"/>
      <c r="Q19" s="62">
        <v>1</v>
      </c>
      <c r="R19" s="62">
        <v>7</v>
      </c>
      <c r="S19" s="62"/>
      <c r="T19" s="62"/>
    </row>
    <row r="20" spans="1:20" x14ac:dyDescent="0.2">
      <c r="A20" s="60" t="s">
        <v>206</v>
      </c>
      <c r="E20" t="s">
        <v>815</v>
      </c>
      <c r="F20" s="1">
        <v>43208</v>
      </c>
      <c r="G20" s="1">
        <v>45730</v>
      </c>
      <c r="H20" t="s">
        <v>286</v>
      </c>
      <c r="I20" t="s">
        <v>256</v>
      </c>
      <c r="J20" t="s">
        <v>287</v>
      </c>
      <c r="K20" t="s">
        <v>816</v>
      </c>
      <c r="L20">
        <v>2</v>
      </c>
      <c r="M20" t="s">
        <v>290</v>
      </c>
      <c r="N20" s="63">
        <v>1500000</v>
      </c>
      <c r="O20" s="62">
        <v>1</v>
      </c>
      <c r="P20" s="62"/>
      <c r="Q20" s="62"/>
      <c r="R20" s="62">
        <v>2</v>
      </c>
      <c r="S20" s="62"/>
      <c r="T20" s="62"/>
    </row>
    <row r="21" spans="1:20" x14ac:dyDescent="0.2">
      <c r="A21" t="s">
        <v>1842</v>
      </c>
      <c r="B21" t="s">
        <v>1843</v>
      </c>
      <c r="E21" t="s">
        <v>1844</v>
      </c>
      <c r="F21" s="1">
        <v>42829</v>
      </c>
      <c r="G21" s="1">
        <v>46481</v>
      </c>
      <c r="H21" t="s">
        <v>1845</v>
      </c>
      <c r="I21" t="s">
        <v>256</v>
      </c>
      <c r="J21" t="s">
        <v>287</v>
      </c>
      <c r="K21" t="s">
        <v>1846</v>
      </c>
      <c r="L21">
        <v>2</v>
      </c>
      <c r="M21" t="s">
        <v>270</v>
      </c>
      <c r="N21" s="63">
        <v>500000000</v>
      </c>
      <c r="O21" s="62">
        <v>1</v>
      </c>
      <c r="P21" s="62"/>
      <c r="Q21" s="62"/>
      <c r="R21" s="62">
        <v>5</v>
      </c>
      <c r="S21" s="62"/>
      <c r="T21" s="62"/>
    </row>
    <row r="22" spans="1:20" x14ac:dyDescent="0.2">
      <c r="A22" t="s">
        <v>184</v>
      </c>
      <c r="B22" t="s">
        <v>572</v>
      </c>
      <c r="C22" t="s">
        <v>573</v>
      </c>
      <c r="E22" t="s">
        <v>574</v>
      </c>
      <c r="F22" s="1">
        <v>42864</v>
      </c>
      <c r="G22" s="1">
        <v>45421</v>
      </c>
      <c r="H22" t="s">
        <v>576</v>
      </c>
      <c r="I22" t="s">
        <v>305</v>
      </c>
      <c r="J22" t="s">
        <v>257</v>
      </c>
      <c r="K22" t="s">
        <v>577</v>
      </c>
      <c r="L22">
        <v>3</v>
      </c>
      <c r="M22" t="s">
        <v>270</v>
      </c>
      <c r="N22" s="63">
        <v>1000000000</v>
      </c>
      <c r="O22" s="62"/>
      <c r="P22" s="62">
        <v>1</v>
      </c>
      <c r="Q22" s="62"/>
      <c r="R22" s="62"/>
      <c r="S22" s="62"/>
      <c r="T22" s="62"/>
    </row>
    <row r="23" spans="1:20" x14ac:dyDescent="0.2">
      <c r="A23" t="s">
        <v>198</v>
      </c>
      <c r="C23" t="s">
        <v>1635</v>
      </c>
      <c r="E23" t="s">
        <v>1636</v>
      </c>
      <c r="F23" s="1">
        <v>44098</v>
      </c>
      <c r="G23" s="1">
        <v>45924</v>
      </c>
      <c r="H23" t="s">
        <v>1637</v>
      </c>
      <c r="I23" t="s">
        <v>278</v>
      </c>
      <c r="J23" t="s">
        <v>384</v>
      </c>
      <c r="K23" t="s">
        <v>2812</v>
      </c>
      <c r="L23">
        <v>3</v>
      </c>
      <c r="M23" t="s">
        <v>386</v>
      </c>
      <c r="N23" s="63">
        <v>300000000000</v>
      </c>
      <c r="O23" s="62"/>
      <c r="P23" s="62"/>
      <c r="Q23">
        <v>1</v>
      </c>
      <c r="R23" s="62">
        <v>8</v>
      </c>
      <c r="S23" s="62"/>
      <c r="T23" s="62"/>
    </row>
    <row r="24" spans="1:20" x14ac:dyDescent="0.2">
      <c r="A24" t="s">
        <v>164</v>
      </c>
      <c r="B24" t="s">
        <v>1515</v>
      </c>
      <c r="E24" t="s">
        <v>1516</v>
      </c>
      <c r="F24" s="1">
        <v>43581</v>
      </c>
      <c r="G24" s="1">
        <v>44677</v>
      </c>
      <c r="H24" t="s">
        <v>1517</v>
      </c>
      <c r="I24" t="s">
        <v>305</v>
      </c>
      <c r="J24" t="s">
        <v>808</v>
      </c>
      <c r="K24" t="s">
        <v>1518</v>
      </c>
      <c r="L24">
        <v>3</v>
      </c>
      <c r="M24" t="s">
        <v>811</v>
      </c>
      <c r="N24" s="63">
        <v>100000000</v>
      </c>
      <c r="O24" s="62"/>
      <c r="P24" s="62"/>
      <c r="Q24" s="62">
        <v>1</v>
      </c>
      <c r="R24" s="62">
        <v>7</v>
      </c>
      <c r="S24" s="62"/>
      <c r="T24" s="62"/>
    </row>
    <row r="25" spans="1:20" x14ac:dyDescent="0.2">
      <c r="A25" s="60" t="s">
        <v>152</v>
      </c>
      <c r="B25" t="s">
        <v>1131</v>
      </c>
      <c r="D25" t="s">
        <v>1132</v>
      </c>
      <c r="E25" t="s">
        <v>1133</v>
      </c>
      <c r="F25" s="1">
        <v>44012</v>
      </c>
      <c r="G25" s="1">
        <v>46762</v>
      </c>
      <c r="H25" t="s">
        <v>1134</v>
      </c>
      <c r="I25" t="s">
        <v>256</v>
      </c>
      <c r="J25" t="s">
        <v>257</v>
      </c>
      <c r="K25" t="s">
        <v>1135</v>
      </c>
      <c r="L25">
        <v>3</v>
      </c>
      <c r="M25" t="s">
        <v>270</v>
      </c>
      <c r="N25" s="63">
        <v>500000000</v>
      </c>
      <c r="O25" s="62">
        <v>1</v>
      </c>
      <c r="P25" s="62"/>
      <c r="Q25" s="62"/>
      <c r="R25" s="62">
        <v>2</v>
      </c>
      <c r="S25" s="62"/>
      <c r="T25" s="62"/>
    </row>
    <row r="26" spans="1:20" x14ac:dyDescent="0.2">
      <c r="A26" s="60" t="s">
        <v>200</v>
      </c>
      <c r="B26" t="s">
        <v>1851</v>
      </c>
      <c r="D26" t="s">
        <v>1852</v>
      </c>
      <c r="E26" t="s">
        <v>1853</v>
      </c>
      <c r="F26" s="1">
        <v>42914</v>
      </c>
      <c r="G26" s="1">
        <v>46566</v>
      </c>
      <c r="H26" t="s">
        <v>1854</v>
      </c>
      <c r="I26" t="s">
        <v>256</v>
      </c>
      <c r="J26" t="s">
        <v>343</v>
      </c>
      <c r="K26" t="s">
        <v>1855</v>
      </c>
      <c r="L26">
        <v>3</v>
      </c>
      <c r="M26" t="s">
        <v>345</v>
      </c>
      <c r="N26" s="63">
        <v>4600000000</v>
      </c>
      <c r="O26" s="62">
        <v>1</v>
      </c>
      <c r="P26" s="62"/>
      <c r="Q26" s="62"/>
      <c r="R26" s="62">
        <v>4</v>
      </c>
      <c r="S26" s="62"/>
      <c r="T26" s="62"/>
    </row>
    <row r="27" spans="1:20" x14ac:dyDescent="0.2">
      <c r="D27" t="s">
        <v>1322</v>
      </c>
      <c r="E27" t="s">
        <v>1323</v>
      </c>
      <c r="H27" t="s">
        <v>399</v>
      </c>
      <c r="I27" t="s">
        <v>256</v>
      </c>
      <c r="J27" t="s">
        <v>400</v>
      </c>
      <c r="K27" t="s">
        <v>1324</v>
      </c>
      <c r="L27">
        <v>3</v>
      </c>
      <c r="M27" t="s">
        <v>401</v>
      </c>
      <c r="N27" s="63"/>
      <c r="O27" s="62"/>
      <c r="P27" s="62">
        <v>1</v>
      </c>
      <c r="Q27" s="62"/>
      <c r="R27" s="62"/>
      <c r="S27" s="62"/>
      <c r="T27" s="62"/>
    </row>
  </sheetData>
  <autoFilter ref="A1:T27" xr:uid="{E1BA12E0-3E88-FB4E-A7BC-492A46BC9F94}"/>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2D7A2-98C6-1949-AE15-A4D970228BA8}">
  <dimension ref="A5:A14"/>
  <sheetViews>
    <sheetView workbookViewId="0">
      <selection activeCell="B10" sqref="B10"/>
    </sheetView>
  </sheetViews>
  <sheetFormatPr baseColWidth="10" defaultColWidth="11" defaultRowHeight="16" x14ac:dyDescent="0.2"/>
  <cols>
    <col min="1" max="1" width="197.33203125" bestFit="1" customWidth="1"/>
  </cols>
  <sheetData>
    <row r="5" spans="1:1" x14ac:dyDescent="0.2">
      <c r="A5" s="66" t="s">
        <v>2833</v>
      </c>
    </row>
    <row r="6" spans="1:1" x14ac:dyDescent="0.2">
      <c r="A6" s="66" t="s">
        <v>2832</v>
      </c>
    </row>
    <row r="7" spans="1:1" x14ac:dyDescent="0.2">
      <c r="A7" s="66" t="s">
        <v>2831</v>
      </c>
    </row>
    <row r="8" spans="1:1" x14ac:dyDescent="0.2">
      <c r="A8" s="66" t="s">
        <v>2830</v>
      </c>
    </row>
    <row r="9" spans="1:1" x14ac:dyDescent="0.2">
      <c r="A9" s="66" t="s">
        <v>2829</v>
      </c>
    </row>
    <row r="10" spans="1:1" x14ac:dyDescent="0.2">
      <c r="A10" s="66" t="s">
        <v>2828</v>
      </c>
    </row>
    <row r="11" spans="1:1" x14ac:dyDescent="0.2">
      <c r="A11" s="66" t="s">
        <v>2827</v>
      </c>
    </row>
    <row r="12" spans="1:1" x14ac:dyDescent="0.2">
      <c r="A12" s="66" t="s">
        <v>2826</v>
      </c>
    </row>
    <row r="13" spans="1:1" x14ac:dyDescent="0.2">
      <c r="A13" s="66" t="s">
        <v>2825</v>
      </c>
    </row>
    <row r="14" spans="1:1" x14ac:dyDescent="0.2">
      <c r="A14" s="66" t="s">
        <v>2824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9052A-D4BB-2A44-ADC9-8EFE71F4B7DA}">
  <dimension ref="B2:I9"/>
  <sheetViews>
    <sheetView zoomScale="133" zoomScaleNormal="133" workbookViewId="0">
      <selection activeCell="B10" sqref="B10"/>
    </sheetView>
  </sheetViews>
  <sheetFormatPr baseColWidth="10" defaultColWidth="11" defaultRowHeight="16" x14ac:dyDescent="0.2"/>
  <cols>
    <col min="4" max="4" width="11.6640625" bestFit="1" customWidth="1"/>
    <col min="5" max="5" width="12.33203125" bestFit="1" customWidth="1"/>
    <col min="6" max="6" width="11.6640625" bestFit="1" customWidth="1"/>
    <col min="7" max="7" width="12.33203125" bestFit="1" customWidth="1"/>
    <col min="8" max="8" width="11.6640625" bestFit="1" customWidth="1"/>
    <col min="9" max="9" width="12.33203125" bestFit="1" customWidth="1"/>
  </cols>
  <sheetData>
    <row r="2" spans="2:9" x14ac:dyDescent="0.2">
      <c r="D2" s="75" t="s">
        <v>2841</v>
      </c>
      <c r="E2" s="75"/>
      <c r="F2" s="75" t="s">
        <v>2840</v>
      </c>
      <c r="G2" s="75"/>
      <c r="H2" s="75" t="s">
        <v>2839</v>
      </c>
      <c r="I2" s="75"/>
    </row>
    <row r="3" spans="2:9" x14ac:dyDescent="0.2">
      <c r="D3" s="28" t="s">
        <v>2838</v>
      </c>
      <c r="E3" s="28" t="s">
        <v>2837</v>
      </c>
      <c r="F3" s="28" t="s">
        <v>2838</v>
      </c>
      <c r="G3" s="28" t="s">
        <v>2837</v>
      </c>
      <c r="H3" s="28" t="s">
        <v>2838</v>
      </c>
      <c r="I3" s="28" t="s">
        <v>2837</v>
      </c>
    </row>
    <row r="4" spans="2:9" x14ac:dyDescent="0.2">
      <c r="C4" s="28" t="s">
        <v>2835</v>
      </c>
      <c r="D4" s="67">
        <v>0.62708333333333333</v>
      </c>
      <c r="E4" s="67">
        <v>0.54166666666666663</v>
      </c>
      <c r="F4" s="62">
        <v>16.079999999999998</v>
      </c>
      <c r="G4" s="62">
        <v>13.52</v>
      </c>
      <c r="H4" s="62">
        <v>16.09</v>
      </c>
      <c r="I4" s="62">
        <v>15.19</v>
      </c>
    </row>
    <row r="5" spans="2:9" x14ac:dyDescent="0.2">
      <c r="C5" s="28" t="s">
        <v>2834</v>
      </c>
      <c r="D5" s="67">
        <v>0.64236111111111116</v>
      </c>
      <c r="E5" s="67">
        <v>0.56111111111111112</v>
      </c>
      <c r="F5" s="62">
        <v>17.57</v>
      </c>
      <c r="G5" s="62">
        <v>14.29</v>
      </c>
      <c r="H5" s="62">
        <v>16.45</v>
      </c>
      <c r="I5" s="62">
        <v>15.32</v>
      </c>
    </row>
    <row r="6" spans="2:9" x14ac:dyDescent="0.2">
      <c r="B6" s="74" t="s">
        <v>2836</v>
      </c>
      <c r="C6" s="28" t="s">
        <v>2835</v>
      </c>
      <c r="D6" s="67"/>
      <c r="E6" s="62"/>
      <c r="F6" s="62"/>
      <c r="G6" s="62"/>
      <c r="H6" s="62"/>
      <c r="I6" s="62"/>
    </row>
    <row r="7" spans="2:9" x14ac:dyDescent="0.2">
      <c r="B7" s="74"/>
      <c r="C7" s="28" t="s">
        <v>2834</v>
      </c>
      <c r="D7" s="67"/>
      <c r="E7" s="62"/>
      <c r="F7" s="62"/>
      <c r="G7" s="62"/>
      <c r="H7" s="62"/>
      <c r="I7" s="62"/>
    </row>
    <row r="8" spans="2:9" x14ac:dyDescent="0.2">
      <c r="B8" s="74" t="s">
        <v>2836</v>
      </c>
      <c r="C8" s="28" t="s">
        <v>2835</v>
      </c>
      <c r="D8" s="62"/>
      <c r="E8" s="62"/>
      <c r="F8" s="62"/>
      <c r="G8" s="62"/>
      <c r="H8" s="62"/>
      <c r="I8" s="62"/>
    </row>
    <row r="9" spans="2:9" x14ac:dyDescent="0.2">
      <c r="B9" s="74"/>
      <c r="C9" s="28" t="s">
        <v>2834</v>
      </c>
      <c r="D9" s="62"/>
      <c r="E9" s="62"/>
      <c r="F9" s="62"/>
      <c r="G9" s="62"/>
      <c r="H9" s="62"/>
      <c r="I9" s="62"/>
    </row>
  </sheetData>
  <mergeCells count="5">
    <mergeCell ref="B6:B7"/>
    <mergeCell ref="D2:E2"/>
    <mergeCell ref="F2:G2"/>
    <mergeCell ref="H2:I2"/>
    <mergeCell ref="B8:B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21642-2CCC-AF4C-853A-9ECB08CFE6A5}">
  <dimension ref="A3:B228"/>
  <sheetViews>
    <sheetView topLeftCell="A95" workbookViewId="0">
      <selection activeCell="A143" sqref="A143:A144"/>
    </sheetView>
  </sheetViews>
  <sheetFormatPr baseColWidth="10" defaultRowHeight="16" x14ac:dyDescent="0.2"/>
  <cols>
    <col min="1" max="1" width="35.83203125" customWidth="1"/>
    <col min="2" max="2" width="11.83203125" customWidth="1"/>
  </cols>
  <sheetData>
    <row r="3" spans="1:2" x14ac:dyDescent="0.2">
      <c r="A3" s="25" t="s">
        <v>0</v>
      </c>
      <c r="B3" t="s">
        <v>1</v>
      </c>
    </row>
    <row r="4" spans="1:2" x14ac:dyDescent="0.2">
      <c r="A4" s="26" t="s">
        <v>2</v>
      </c>
      <c r="B4">
        <v>23</v>
      </c>
    </row>
    <row r="5" spans="1:2" x14ac:dyDescent="0.2">
      <c r="A5" s="26" t="s">
        <v>3</v>
      </c>
      <c r="B5">
        <v>1</v>
      </c>
    </row>
    <row r="6" spans="1:2" x14ac:dyDescent="0.2">
      <c r="A6" s="26" t="s">
        <v>4</v>
      </c>
      <c r="B6">
        <v>1</v>
      </c>
    </row>
    <row r="7" spans="1:2" x14ac:dyDescent="0.2">
      <c r="A7" s="26" t="s">
        <v>5</v>
      </c>
      <c r="B7">
        <v>1</v>
      </c>
    </row>
    <row r="8" spans="1:2" x14ac:dyDescent="0.2">
      <c r="A8" s="26" t="s">
        <v>6</v>
      </c>
      <c r="B8">
        <v>1</v>
      </c>
    </row>
    <row r="9" spans="1:2" x14ac:dyDescent="0.2">
      <c r="A9" s="26" t="s">
        <v>7</v>
      </c>
      <c r="B9">
        <v>1</v>
      </c>
    </row>
    <row r="10" spans="1:2" x14ac:dyDescent="0.2">
      <c r="A10" s="26" t="s">
        <v>8</v>
      </c>
      <c r="B10">
        <v>1</v>
      </c>
    </row>
    <row r="11" spans="1:2" x14ac:dyDescent="0.2">
      <c r="A11" s="26" t="s">
        <v>9</v>
      </c>
      <c r="B11">
        <v>1</v>
      </c>
    </row>
    <row r="12" spans="1:2" x14ac:dyDescent="0.2">
      <c r="A12" s="26" t="s">
        <v>10</v>
      </c>
      <c r="B12">
        <v>1</v>
      </c>
    </row>
    <row r="13" spans="1:2" x14ac:dyDescent="0.2">
      <c r="A13" s="26" t="s">
        <v>11</v>
      </c>
      <c r="B13">
        <v>1</v>
      </c>
    </row>
    <row r="14" spans="1:2" x14ac:dyDescent="0.2">
      <c r="A14" s="26" t="s">
        <v>12</v>
      </c>
      <c r="B14">
        <v>1</v>
      </c>
    </row>
    <row r="15" spans="1:2" x14ac:dyDescent="0.2">
      <c r="A15" s="26" t="s">
        <v>13</v>
      </c>
      <c r="B15">
        <v>1</v>
      </c>
    </row>
    <row r="16" spans="1:2" x14ac:dyDescent="0.2">
      <c r="A16" s="26" t="s">
        <v>14</v>
      </c>
      <c r="B16">
        <v>1</v>
      </c>
    </row>
    <row r="17" spans="1:2" x14ac:dyDescent="0.2">
      <c r="A17" s="26" t="s">
        <v>15</v>
      </c>
      <c r="B17">
        <v>1</v>
      </c>
    </row>
    <row r="18" spans="1:2" x14ac:dyDescent="0.2">
      <c r="A18" s="26" t="s">
        <v>16</v>
      </c>
      <c r="B18">
        <v>1</v>
      </c>
    </row>
    <row r="19" spans="1:2" x14ac:dyDescent="0.2">
      <c r="A19" s="26" t="s">
        <v>17</v>
      </c>
      <c r="B19">
        <v>1</v>
      </c>
    </row>
    <row r="20" spans="1:2" x14ac:dyDescent="0.2">
      <c r="A20" s="26" t="s">
        <v>18</v>
      </c>
      <c r="B20">
        <v>1</v>
      </c>
    </row>
    <row r="21" spans="1:2" x14ac:dyDescent="0.2">
      <c r="A21" s="26" t="s">
        <v>19</v>
      </c>
      <c r="B21">
        <v>1</v>
      </c>
    </row>
    <row r="22" spans="1:2" x14ac:dyDescent="0.2">
      <c r="A22" s="26" t="s">
        <v>20</v>
      </c>
      <c r="B22">
        <v>1</v>
      </c>
    </row>
    <row r="23" spans="1:2" x14ac:dyDescent="0.2">
      <c r="A23" s="26" t="s">
        <v>21</v>
      </c>
      <c r="B23">
        <v>1</v>
      </c>
    </row>
    <row r="24" spans="1:2" x14ac:dyDescent="0.2">
      <c r="A24" s="26" t="s">
        <v>22</v>
      </c>
      <c r="B24">
        <v>1</v>
      </c>
    </row>
    <row r="25" spans="1:2" x14ac:dyDescent="0.2">
      <c r="A25" s="26" t="s">
        <v>23</v>
      </c>
      <c r="B25">
        <v>1</v>
      </c>
    </row>
    <row r="26" spans="1:2" x14ac:dyDescent="0.2">
      <c r="A26" s="26" t="s">
        <v>24</v>
      </c>
      <c r="B26">
        <v>1</v>
      </c>
    </row>
    <row r="27" spans="1:2" x14ac:dyDescent="0.2">
      <c r="A27" s="26" t="s">
        <v>25</v>
      </c>
      <c r="B27">
        <v>1</v>
      </c>
    </row>
    <row r="28" spans="1:2" x14ac:dyDescent="0.2">
      <c r="A28" s="26" t="s">
        <v>26</v>
      </c>
    </row>
    <row r="29" spans="1:2" x14ac:dyDescent="0.2">
      <c r="A29" s="26" t="s">
        <v>27</v>
      </c>
      <c r="B29">
        <v>12</v>
      </c>
    </row>
    <row r="30" spans="1:2" x14ac:dyDescent="0.2">
      <c r="A30" s="26" t="s">
        <v>28</v>
      </c>
      <c r="B30">
        <v>1</v>
      </c>
    </row>
    <row r="31" spans="1:2" x14ac:dyDescent="0.2">
      <c r="A31" s="26" t="s">
        <v>29</v>
      </c>
      <c r="B31">
        <v>1</v>
      </c>
    </row>
    <row r="32" spans="1:2" x14ac:dyDescent="0.2">
      <c r="A32" s="26" t="s">
        <v>30</v>
      </c>
      <c r="B32">
        <v>1</v>
      </c>
    </row>
    <row r="33" spans="1:2" x14ac:dyDescent="0.2">
      <c r="A33" s="26" t="s">
        <v>31</v>
      </c>
      <c r="B33">
        <v>1</v>
      </c>
    </row>
    <row r="34" spans="1:2" x14ac:dyDescent="0.2">
      <c r="A34" s="26" t="s">
        <v>32</v>
      </c>
      <c r="B34">
        <v>1</v>
      </c>
    </row>
    <row r="35" spans="1:2" x14ac:dyDescent="0.2">
      <c r="A35" s="26" t="s">
        <v>33</v>
      </c>
      <c r="B35">
        <v>1</v>
      </c>
    </row>
    <row r="36" spans="1:2" x14ac:dyDescent="0.2">
      <c r="A36" s="26" t="s">
        <v>34</v>
      </c>
      <c r="B36">
        <v>1</v>
      </c>
    </row>
    <row r="37" spans="1:2" x14ac:dyDescent="0.2">
      <c r="A37" s="26" t="s">
        <v>35</v>
      </c>
      <c r="B37">
        <v>1</v>
      </c>
    </row>
    <row r="38" spans="1:2" x14ac:dyDescent="0.2">
      <c r="A38" s="26" t="s">
        <v>36</v>
      </c>
      <c r="B38">
        <v>1</v>
      </c>
    </row>
    <row r="39" spans="1:2" x14ac:dyDescent="0.2">
      <c r="A39" s="26" t="s">
        <v>37</v>
      </c>
      <c r="B39">
        <v>1</v>
      </c>
    </row>
    <row r="40" spans="1:2" x14ac:dyDescent="0.2">
      <c r="A40" s="26" t="s">
        <v>38</v>
      </c>
      <c r="B40">
        <v>1</v>
      </c>
    </row>
    <row r="41" spans="1:2" x14ac:dyDescent="0.2">
      <c r="A41" s="26" t="s">
        <v>39</v>
      </c>
      <c r="B41">
        <v>1</v>
      </c>
    </row>
    <row r="42" spans="1:2" x14ac:dyDescent="0.2">
      <c r="A42" s="26" t="s">
        <v>26</v>
      </c>
    </row>
    <row r="43" spans="1:2" x14ac:dyDescent="0.2">
      <c r="A43" s="26" t="s">
        <v>40</v>
      </c>
      <c r="B43">
        <v>10</v>
      </c>
    </row>
    <row r="44" spans="1:2" x14ac:dyDescent="0.2">
      <c r="A44" s="26" t="s">
        <v>41</v>
      </c>
      <c r="B44">
        <v>1</v>
      </c>
    </row>
    <row r="45" spans="1:2" x14ac:dyDescent="0.2">
      <c r="A45" s="26" t="s">
        <v>42</v>
      </c>
      <c r="B45">
        <v>1</v>
      </c>
    </row>
    <row r="46" spans="1:2" x14ac:dyDescent="0.2">
      <c r="A46" s="26" t="s">
        <v>43</v>
      </c>
      <c r="B46">
        <v>1</v>
      </c>
    </row>
    <row r="47" spans="1:2" x14ac:dyDescent="0.2">
      <c r="A47" s="26" t="s">
        <v>44</v>
      </c>
      <c r="B47">
        <v>1</v>
      </c>
    </row>
    <row r="48" spans="1:2" x14ac:dyDescent="0.2">
      <c r="A48" s="26" t="s">
        <v>45</v>
      </c>
      <c r="B48">
        <v>1</v>
      </c>
    </row>
    <row r="49" spans="1:2" x14ac:dyDescent="0.2">
      <c r="A49" s="26" t="s">
        <v>46</v>
      </c>
      <c r="B49">
        <v>1</v>
      </c>
    </row>
    <row r="50" spans="1:2" x14ac:dyDescent="0.2">
      <c r="A50" s="26" t="s">
        <v>47</v>
      </c>
      <c r="B50">
        <v>1</v>
      </c>
    </row>
    <row r="51" spans="1:2" x14ac:dyDescent="0.2">
      <c r="A51" s="26" t="s">
        <v>48</v>
      </c>
      <c r="B51">
        <v>1</v>
      </c>
    </row>
    <row r="52" spans="1:2" x14ac:dyDescent="0.2">
      <c r="A52" s="26" t="s">
        <v>49</v>
      </c>
      <c r="B52">
        <v>1</v>
      </c>
    </row>
    <row r="53" spans="1:2" x14ac:dyDescent="0.2">
      <c r="A53" s="26" t="s">
        <v>50</v>
      </c>
      <c r="B53">
        <v>1</v>
      </c>
    </row>
    <row r="54" spans="1:2" x14ac:dyDescent="0.2">
      <c r="A54" s="26" t="s">
        <v>26</v>
      </c>
    </row>
    <row r="55" spans="1:2" x14ac:dyDescent="0.2">
      <c r="A55" s="26" t="s">
        <v>51</v>
      </c>
      <c r="B55">
        <v>8</v>
      </c>
    </row>
    <row r="56" spans="1:2" x14ac:dyDescent="0.2">
      <c r="A56" s="26" t="s">
        <v>52</v>
      </c>
      <c r="B56">
        <v>1</v>
      </c>
    </row>
    <row r="57" spans="1:2" x14ac:dyDescent="0.2">
      <c r="A57" s="26" t="s">
        <v>53</v>
      </c>
      <c r="B57">
        <v>1</v>
      </c>
    </row>
    <row r="58" spans="1:2" x14ac:dyDescent="0.2">
      <c r="A58" s="26" t="s">
        <v>54</v>
      </c>
      <c r="B58">
        <v>1</v>
      </c>
    </row>
    <row r="59" spans="1:2" x14ac:dyDescent="0.2">
      <c r="A59" s="26" t="s">
        <v>55</v>
      </c>
      <c r="B59">
        <v>1</v>
      </c>
    </row>
    <row r="60" spans="1:2" x14ac:dyDescent="0.2">
      <c r="A60" s="26" t="s">
        <v>56</v>
      </c>
      <c r="B60">
        <v>1</v>
      </c>
    </row>
    <row r="61" spans="1:2" x14ac:dyDescent="0.2">
      <c r="A61" s="26" t="s">
        <v>57</v>
      </c>
      <c r="B61">
        <v>1</v>
      </c>
    </row>
    <row r="62" spans="1:2" x14ac:dyDescent="0.2">
      <c r="A62" s="26" t="s">
        <v>58</v>
      </c>
      <c r="B62">
        <v>1</v>
      </c>
    </row>
    <row r="63" spans="1:2" x14ac:dyDescent="0.2">
      <c r="A63" s="26" t="s">
        <v>59</v>
      </c>
      <c r="B63">
        <v>1</v>
      </c>
    </row>
    <row r="64" spans="1:2" x14ac:dyDescent="0.2">
      <c r="A64" s="26" t="s">
        <v>60</v>
      </c>
      <c r="B64">
        <v>7</v>
      </c>
    </row>
    <row r="65" spans="1:2" x14ac:dyDescent="0.2">
      <c r="A65" s="26" t="s">
        <v>61</v>
      </c>
      <c r="B65">
        <v>1</v>
      </c>
    </row>
    <row r="66" spans="1:2" x14ac:dyDescent="0.2">
      <c r="A66" s="26" t="s">
        <v>62</v>
      </c>
      <c r="B66">
        <v>1</v>
      </c>
    </row>
    <row r="67" spans="1:2" x14ac:dyDescent="0.2">
      <c r="A67" s="26" t="s">
        <v>63</v>
      </c>
      <c r="B67">
        <v>1</v>
      </c>
    </row>
    <row r="68" spans="1:2" x14ac:dyDescent="0.2">
      <c r="A68" s="26" t="s">
        <v>64</v>
      </c>
      <c r="B68">
        <v>1</v>
      </c>
    </row>
    <row r="69" spans="1:2" x14ac:dyDescent="0.2">
      <c r="A69" s="26" t="s">
        <v>65</v>
      </c>
      <c r="B69">
        <v>1</v>
      </c>
    </row>
    <row r="70" spans="1:2" x14ac:dyDescent="0.2">
      <c r="A70" s="26" t="s">
        <v>66</v>
      </c>
      <c r="B70">
        <v>1</v>
      </c>
    </row>
    <row r="71" spans="1:2" x14ac:dyDescent="0.2">
      <c r="A71" s="26" t="s">
        <v>67</v>
      </c>
      <c r="B71">
        <v>1</v>
      </c>
    </row>
    <row r="72" spans="1:2" x14ac:dyDescent="0.2">
      <c r="A72" s="26" t="s">
        <v>68</v>
      </c>
      <c r="B72">
        <v>5</v>
      </c>
    </row>
    <row r="73" spans="1:2" x14ac:dyDescent="0.2">
      <c r="A73" s="26" t="s">
        <v>69</v>
      </c>
      <c r="B73">
        <v>1</v>
      </c>
    </row>
    <row r="74" spans="1:2" x14ac:dyDescent="0.2">
      <c r="A74" s="26" t="s">
        <v>70</v>
      </c>
      <c r="B74">
        <v>1</v>
      </c>
    </row>
    <row r="75" spans="1:2" x14ac:dyDescent="0.2">
      <c r="A75" s="26" t="s">
        <v>71</v>
      </c>
      <c r="B75">
        <v>1</v>
      </c>
    </row>
    <row r="76" spans="1:2" x14ac:dyDescent="0.2">
      <c r="A76" s="26" t="s">
        <v>72</v>
      </c>
      <c r="B76">
        <v>1</v>
      </c>
    </row>
    <row r="77" spans="1:2" x14ac:dyDescent="0.2">
      <c r="A77" s="26" t="s">
        <v>73</v>
      </c>
      <c r="B77">
        <v>1</v>
      </c>
    </row>
    <row r="78" spans="1:2" x14ac:dyDescent="0.2">
      <c r="A78" s="26" t="s">
        <v>74</v>
      </c>
      <c r="B78">
        <v>4</v>
      </c>
    </row>
    <row r="79" spans="1:2" x14ac:dyDescent="0.2">
      <c r="A79" s="26" t="s">
        <v>75</v>
      </c>
      <c r="B79">
        <v>1</v>
      </c>
    </row>
    <row r="80" spans="1:2" x14ac:dyDescent="0.2">
      <c r="A80" s="26" t="s">
        <v>76</v>
      </c>
      <c r="B80">
        <v>1</v>
      </c>
    </row>
    <row r="81" spans="1:2" x14ac:dyDescent="0.2">
      <c r="A81" s="26" t="s">
        <v>77</v>
      </c>
      <c r="B81">
        <v>1</v>
      </c>
    </row>
    <row r="82" spans="1:2" x14ac:dyDescent="0.2">
      <c r="A82" s="26" t="s">
        <v>78</v>
      </c>
      <c r="B82">
        <v>1</v>
      </c>
    </row>
    <row r="83" spans="1:2" x14ac:dyDescent="0.2">
      <c r="A83" s="26" t="s">
        <v>79</v>
      </c>
      <c r="B83">
        <v>3</v>
      </c>
    </row>
    <row r="84" spans="1:2" x14ac:dyDescent="0.2">
      <c r="A84" s="26" t="s">
        <v>80</v>
      </c>
      <c r="B84">
        <v>1</v>
      </c>
    </row>
    <row r="85" spans="1:2" x14ac:dyDescent="0.2">
      <c r="A85" s="26" t="s">
        <v>81</v>
      </c>
      <c r="B85">
        <v>1</v>
      </c>
    </row>
    <row r="86" spans="1:2" x14ac:dyDescent="0.2">
      <c r="A86" s="26" t="s">
        <v>82</v>
      </c>
      <c r="B86">
        <v>1</v>
      </c>
    </row>
    <row r="87" spans="1:2" x14ac:dyDescent="0.2">
      <c r="A87" s="26" t="s">
        <v>83</v>
      </c>
      <c r="B87">
        <v>3</v>
      </c>
    </row>
    <row r="88" spans="1:2" x14ac:dyDescent="0.2">
      <c r="A88" s="26" t="s">
        <v>84</v>
      </c>
      <c r="B88">
        <v>1</v>
      </c>
    </row>
    <row r="89" spans="1:2" x14ac:dyDescent="0.2">
      <c r="A89" s="26" t="s">
        <v>85</v>
      </c>
      <c r="B89">
        <v>1</v>
      </c>
    </row>
    <row r="90" spans="1:2" x14ac:dyDescent="0.2">
      <c r="A90" s="26" t="s">
        <v>86</v>
      </c>
      <c r="B90">
        <v>1</v>
      </c>
    </row>
    <row r="91" spans="1:2" x14ac:dyDescent="0.2">
      <c r="A91" s="26" t="s">
        <v>87</v>
      </c>
      <c r="B91">
        <v>3</v>
      </c>
    </row>
    <row r="92" spans="1:2" x14ac:dyDescent="0.2">
      <c r="A92" s="26" t="s">
        <v>88</v>
      </c>
      <c r="B92">
        <v>1</v>
      </c>
    </row>
    <row r="93" spans="1:2" x14ac:dyDescent="0.2">
      <c r="A93" s="26" t="s">
        <v>89</v>
      </c>
      <c r="B93">
        <v>1</v>
      </c>
    </row>
    <row r="94" spans="1:2" x14ac:dyDescent="0.2">
      <c r="A94" s="26" t="s">
        <v>90</v>
      </c>
      <c r="B94">
        <v>1</v>
      </c>
    </row>
    <row r="95" spans="1:2" x14ac:dyDescent="0.2">
      <c r="A95" s="26" t="s">
        <v>26</v>
      </c>
    </row>
    <row r="96" spans="1:2" x14ac:dyDescent="0.2">
      <c r="A96" s="26" t="s">
        <v>91</v>
      </c>
      <c r="B96">
        <v>3</v>
      </c>
    </row>
    <row r="97" spans="1:2" x14ac:dyDescent="0.2">
      <c r="A97" s="26" t="s">
        <v>92</v>
      </c>
      <c r="B97">
        <v>1</v>
      </c>
    </row>
    <row r="98" spans="1:2" x14ac:dyDescent="0.2">
      <c r="A98" s="26" t="s">
        <v>93</v>
      </c>
      <c r="B98">
        <v>1</v>
      </c>
    </row>
    <row r="99" spans="1:2" x14ac:dyDescent="0.2">
      <c r="A99" s="26" t="s">
        <v>94</v>
      </c>
      <c r="B99">
        <v>1</v>
      </c>
    </row>
    <row r="100" spans="1:2" x14ac:dyDescent="0.2">
      <c r="A100" s="26" t="s">
        <v>26</v>
      </c>
    </row>
    <row r="101" spans="1:2" x14ac:dyDescent="0.2">
      <c r="A101" s="26" t="s">
        <v>95</v>
      </c>
      <c r="B101">
        <v>3</v>
      </c>
    </row>
    <row r="102" spans="1:2" x14ac:dyDescent="0.2">
      <c r="A102" s="26" t="s">
        <v>96</v>
      </c>
      <c r="B102">
        <v>1</v>
      </c>
    </row>
    <row r="103" spans="1:2" x14ac:dyDescent="0.2">
      <c r="A103" s="26" t="s">
        <v>97</v>
      </c>
      <c r="B103">
        <v>1</v>
      </c>
    </row>
    <row r="104" spans="1:2" x14ac:dyDescent="0.2">
      <c r="A104" s="26" t="s">
        <v>98</v>
      </c>
      <c r="B104">
        <v>1</v>
      </c>
    </row>
    <row r="105" spans="1:2" x14ac:dyDescent="0.2">
      <c r="A105" s="26" t="s">
        <v>26</v>
      </c>
    </row>
    <row r="106" spans="1:2" x14ac:dyDescent="0.2">
      <c r="A106" s="26" t="s">
        <v>99</v>
      </c>
      <c r="B106">
        <v>3</v>
      </c>
    </row>
    <row r="107" spans="1:2" x14ac:dyDescent="0.2">
      <c r="A107" s="26" t="s">
        <v>100</v>
      </c>
      <c r="B107">
        <v>1</v>
      </c>
    </row>
    <row r="108" spans="1:2" x14ac:dyDescent="0.2">
      <c r="A108" s="26" t="s">
        <v>101</v>
      </c>
      <c r="B108">
        <v>1</v>
      </c>
    </row>
    <row r="109" spans="1:2" x14ac:dyDescent="0.2">
      <c r="A109" s="26" t="s">
        <v>102</v>
      </c>
      <c r="B109">
        <v>1</v>
      </c>
    </row>
    <row r="110" spans="1:2" x14ac:dyDescent="0.2">
      <c r="A110" s="26" t="s">
        <v>103</v>
      </c>
      <c r="B110">
        <v>3</v>
      </c>
    </row>
    <row r="111" spans="1:2" x14ac:dyDescent="0.2">
      <c r="A111" s="26" t="s">
        <v>104</v>
      </c>
      <c r="B111">
        <v>1</v>
      </c>
    </row>
    <row r="112" spans="1:2" x14ac:dyDescent="0.2">
      <c r="A112" s="26" t="s">
        <v>105</v>
      </c>
      <c r="B112">
        <v>1</v>
      </c>
    </row>
    <row r="113" spans="1:2" x14ac:dyDescent="0.2">
      <c r="A113" s="26" t="s">
        <v>106</v>
      </c>
      <c r="B113">
        <v>1</v>
      </c>
    </row>
    <row r="114" spans="1:2" x14ac:dyDescent="0.2">
      <c r="A114" s="26" t="s">
        <v>107</v>
      </c>
      <c r="B114">
        <v>2</v>
      </c>
    </row>
    <row r="115" spans="1:2" x14ac:dyDescent="0.2">
      <c r="A115" s="26" t="s">
        <v>108</v>
      </c>
      <c r="B115">
        <v>1</v>
      </c>
    </row>
    <row r="116" spans="1:2" x14ac:dyDescent="0.2">
      <c r="A116" s="26" t="s">
        <v>109</v>
      </c>
      <c r="B116">
        <v>1</v>
      </c>
    </row>
    <row r="117" spans="1:2" x14ac:dyDescent="0.2">
      <c r="A117" s="26" t="s">
        <v>110</v>
      </c>
      <c r="B117">
        <v>2</v>
      </c>
    </row>
    <row r="118" spans="1:2" x14ac:dyDescent="0.2">
      <c r="A118" s="26" t="s">
        <v>111</v>
      </c>
      <c r="B118">
        <v>1</v>
      </c>
    </row>
    <row r="119" spans="1:2" x14ac:dyDescent="0.2">
      <c r="A119" s="26" t="s">
        <v>112</v>
      </c>
      <c r="B119">
        <v>1</v>
      </c>
    </row>
    <row r="120" spans="1:2" x14ac:dyDescent="0.2">
      <c r="A120" s="26" t="s">
        <v>113</v>
      </c>
      <c r="B120">
        <v>2</v>
      </c>
    </row>
    <row r="121" spans="1:2" x14ac:dyDescent="0.2">
      <c r="A121" s="26" t="s">
        <v>114</v>
      </c>
      <c r="B121">
        <v>1</v>
      </c>
    </row>
    <row r="122" spans="1:2" x14ac:dyDescent="0.2">
      <c r="A122" s="26" t="s">
        <v>115</v>
      </c>
      <c r="B122">
        <v>1</v>
      </c>
    </row>
    <row r="123" spans="1:2" x14ac:dyDescent="0.2">
      <c r="A123" s="26" t="s">
        <v>116</v>
      </c>
      <c r="B123">
        <v>2</v>
      </c>
    </row>
    <row r="124" spans="1:2" x14ac:dyDescent="0.2">
      <c r="A124" s="26" t="s">
        <v>117</v>
      </c>
      <c r="B124">
        <v>1</v>
      </c>
    </row>
    <row r="125" spans="1:2" x14ac:dyDescent="0.2">
      <c r="A125" s="26" t="s">
        <v>118</v>
      </c>
      <c r="B125">
        <v>1</v>
      </c>
    </row>
    <row r="126" spans="1:2" x14ac:dyDescent="0.2">
      <c r="A126" s="26" t="s">
        <v>26</v>
      </c>
    </row>
    <row r="127" spans="1:2" x14ac:dyDescent="0.2">
      <c r="A127" s="26" t="s">
        <v>119</v>
      </c>
      <c r="B127">
        <v>2</v>
      </c>
    </row>
    <row r="128" spans="1:2" x14ac:dyDescent="0.2">
      <c r="A128" s="26" t="s">
        <v>120</v>
      </c>
      <c r="B128">
        <v>1</v>
      </c>
    </row>
    <row r="129" spans="1:2" x14ac:dyDescent="0.2">
      <c r="A129" s="26" t="s">
        <v>121</v>
      </c>
      <c r="B129">
        <v>1</v>
      </c>
    </row>
    <row r="130" spans="1:2" x14ac:dyDescent="0.2">
      <c r="A130" s="26" t="s">
        <v>26</v>
      </c>
    </row>
    <row r="131" spans="1:2" x14ac:dyDescent="0.2">
      <c r="A131" s="26" t="s">
        <v>122</v>
      </c>
      <c r="B131">
        <v>2</v>
      </c>
    </row>
    <row r="132" spans="1:2" x14ac:dyDescent="0.2">
      <c r="A132" s="26" t="s">
        <v>123</v>
      </c>
      <c r="B132">
        <v>1</v>
      </c>
    </row>
    <row r="133" spans="1:2" x14ac:dyDescent="0.2">
      <c r="A133" s="26" t="s">
        <v>124</v>
      </c>
      <c r="B133">
        <v>1</v>
      </c>
    </row>
    <row r="134" spans="1:2" x14ac:dyDescent="0.2">
      <c r="A134" s="26" t="s">
        <v>125</v>
      </c>
      <c r="B134">
        <v>2</v>
      </c>
    </row>
    <row r="135" spans="1:2" x14ac:dyDescent="0.2">
      <c r="A135" s="26" t="s">
        <v>126</v>
      </c>
      <c r="B135">
        <v>1</v>
      </c>
    </row>
    <row r="136" spans="1:2" x14ac:dyDescent="0.2">
      <c r="A136" s="26" t="s">
        <v>127</v>
      </c>
      <c r="B136">
        <v>1</v>
      </c>
    </row>
    <row r="137" spans="1:2" x14ac:dyDescent="0.2">
      <c r="A137" s="26" t="s">
        <v>26</v>
      </c>
    </row>
    <row r="138" spans="1:2" x14ac:dyDescent="0.2">
      <c r="A138" s="26" t="s">
        <v>128</v>
      </c>
      <c r="B138">
        <v>2</v>
      </c>
    </row>
    <row r="139" spans="1:2" x14ac:dyDescent="0.2">
      <c r="A139" s="26" t="s">
        <v>129</v>
      </c>
      <c r="B139">
        <v>1</v>
      </c>
    </row>
    <row r="140" spans="1:2" x14ac:dyDescent="0.2">
      <c r="A140" s="26" t="s">
        <v>130</v>
      </c>
      <c r="B140">
        <v>1</v>
      </c>
    </row>
    <row r="141" spans="1:2" x14ac:dyDescent="0.2">
      <c r="A141" s="26" t="s">
        <v>26</v>
      </c>
    </row>
    <row r="142" spans="1:2" x14ac:dyDescent="0.2">
      <c r="A142" s="26" t="s">
        <v>131</v>
      </c>
      <c r="B142">
        <v>2</v>
      </c>
    </row>
    <row r="143" spans="1:2" x14ac:dyDescent="0.2">
      <c r="A143" s="26" t="s">
        <v>132</v>
      </c>
      <c r="B143">
        <v>1</v>
      </c>
    </row>
    <row r="144" spans="1:2" x14ac:dyDescent="0.2">
      <c r="A144" s="26" t="s">
        <v>133</v>
      </c>
      <c r="B144">
        <v>1</v>
      </c>
    </row>
    <row r="145" spans="1:2" x14ac:dyDescent="0.2">
      <c r="A145" s="26" t="s">
        <v>134</v>
      </c>
      <c r="B145">
        <v>2</v>
      </c>
    </row>
    <row r="146" spans="1:2" x14ac:dyDescent="0.2">
      <c r="A146" s="26" t="s">
        <v>135</v>
      </c>
      <c r="B146">
        <v>1</v>
      </c>
    </row>
    <row r="147" spans="1:2" x14ac:dyDescent="0.2">
      <c r="A147" s="26" t="s">
        <v>136</v>
      </c>
      <c r="B147">
        <v>1</v>
      </c>
    </row>
    <row r="148" spans="1:2" x14ac:dyDescent="0.2">
      <c r="A148" s="26" t="s">
        <v>137</v>
      </c>
      <c r="B148">
        <v>1</v>
      </c>
    </row>
    <row r="149" spans="1:2" x14ac:dyDescent="0.2">
      <c r="A149" s="26" t="s">
        <v>138</v>
      </c>
      <c r="B149">
        <v>1</v>
      </c>
    </row>
    <row r="150" spans="1:2" x14ac:dyDescent="0.2">
      <c r="A150" s="26" t="s">
        <v>139</v>
      </c>
      <c r="B150">
        <v>1</v>
      </c>
    </row>
    <row r="151" spans="1:2" x14ac:dyDescent="0.2">
      <c r="A151" s="26" t="s">
        <v>140</v>
      </c>
      <c r="B151">
        <v>1</v>
      </c>
    </row>
    <row r="152" spans="1:2" x14ac:dyDescent="0.2">
      <c r="A152" s="26" t="s">
        <v>141</v>
      </c>
      <c r="B152">
        <v>1</v>
      </c>
    </row>
    <row r="153" spans="1:2" x14ac:dyDescent="0.2">
      <c r="A153" s="26" t="s">
        <v>142</v>
      </c>
      <c r="B153">
        <v>1</v>
      </c>
    </row>
    <row r="154" spans="1:2" x14ac:dyDescent="0.2">
      <c r="A154" s="26" t="s">
        <v>143</v>
      </c>
      <c r="B154">
        <v>1</v>
      </c>
    </row>
    <row r="155" spans="1:2" x14ac:dyDescent="0.2">
      <c r="A155" s="26" t="s">
        <v>144</v>
      </c>
      <c r="B155">
        <v>1</v>
      </c>
    </row>
    <row r="156" spans="1:2" x14ac:dyDescent="0.2">
      <c r="A156" s="26" t="s">
        <v>145</v>
      </c>
      <c r="B156">
        <v>1</v>
      </c>
    </row>
    <row r="157" spans="1:2" x14ac:dyDescent="0.2">
      <c r="A157" s="26" t="s">
        <v>146</v>
      </c>
      <c r="B157">
        <v>1</v>
      </c>
    </row>
    <row r="158" spans="1:2" x14ac:dyDescent="0.2">
      <c r="A158" s="26" t="s">
        <v>147</v>
      </c>
      <c r="B158">
        <v>1</v>
      </c>
    </row>
    <row r="159" spans="1:2" x14ac:dyDescent="0.2">
      <c r="A159" s="26" t="s">
        <v>148</v>
      </c>
      <c r="B159">
        <v>1</v>
      </c>
    </row>
    <row r="160" spans="1:2" x14ac:dyDescent="0.2">
      <c r="A160" s="26" t="s">
        <v>149</v>
      </c>
      <c r="B160">
        <v>1</v>
      </c>
    </row>
    <row r="161" spans="1:2" x14ac:dyDescent="0.2">
      <c r="A161" s="26" t="s">
        <v>150</v>
      </c>
      <c r="B161">
        <v>1</v>
      </c>
    </row>
    <row r="162" spans="1:2" x14ac:dyDescent="0.2">
      <c r="A162" s="26" t="s">
        <v>151</v>
      </c>
      <c r="B162">
        <v>1</v>
      </c>
    </row>
    <row r="163" spans="1:2" x14ac:dyDescent="0.2">
      <c r="A163" s="26" t="s">
        <v>152</v>
      </c>
      <c r="B163">
        <v>1</v>
      </c>
    </row>
    <row r="164" spans="1:2" x14ac:dyDescent="0.2">
      <c r="A164" s="26" t="s">
        <v>153</v>
      </c>
      <c r="B164">
        <v>1</v>
      </c>
    </row>
    <row r="165" spans="1:2" x14ac:dyDescent="0.2">
      <c r="A165" s="26" t="s">
        <v>154</v>
      </c>
      <c r="B165">
        <v>1</v>
      </c>
    </row>
    <row r="166" spans="1:2" x14ac:dyDescent="0.2">
      <c r="A166" s="26" t="s">
        <v>155</v>
      </c>
      <c r="B166">
        <v>1</v>
      </c>
    </row>
    <row r="167" spans="1:2" x14ac:dyDescent="0.2">
      <c r="A167" s="26" t="s">
        <v>156</v>
      </c>
      <c r="B167">
        <v>1</v>
      </c>
    </row>
    <row r="168" spans="1:2" x14ac:dyDescent="0.2">
      <c r="A168" s="26" t="s">
        <v>157</v>
      </c>
      <c r="B168">
        <v>1</v>
      </c>
    </row>
    <row r="169" spans="1:2" x14ac:dyDescent="0.2">
      <c r="A169" s="26" t="s">
        <v>158</v>
      </c>
      <c r="B169">
        <v>1</v>
      </c>
    </row>
    <row r="170" spans="1:2" x14ac:dyDescent="0.2">
      <c r="A170" s="26" t="s">
        <v>159</v>
      </c>
      <c r="B170">
        <v>1</v>
      </c>
    </row>
    <row r="171" spans="1:2" x14ac:dyDescent="0.2">
      <c r="A171" s="26" t="s">
        <v>160</v>
      </c>
      <c r="B171">
        <v>1</v>
      </c>
    </row>
    <row r="172" spans="1:2" x14ac:dyDescent="0.2">
      <c r="A172" s="26" t="s">
        <v>161</v>
      </c>
      <c r="B172">
        <v>1</v>
      </c>
    </row>
    <row r="173" spans="1:2" x14ac:dyDescent="0.2">
      <c r="A173" s="26" t="s">
        <v>162</v>
      </c>
      <c r="B173">
        <v>1</v>
      </c>
    </row>
    <row r="174" spans="1:2" x14ac:dyDescent="0.2">
      <c r="A174" s="26" t="s">
        <v>163</v>
      </c>
      <c r="B174">
        <v>1</v>
      </c>
    </row>
    <row r="175" spans="1:2" x14ac:dyDescent="0.2">
      <c r="A175" s="26" t="s">
        <v>164</v>
      </c>
      <c r="B175">
        <v>1</v>
      </c>
    </row>
    <row r="176" spans="1:2" x14ac:dyDescent="0.2">
      <c r="A176" s="26" t="s">
        <v>165</v>
      </c>
      <c r="B176">
        <v>1</v>
      </c>
    </row>
    <row r="177" spans="1:2" x14ac:dyDescent="0.2">
      <c r="A177" s="26" t="s">
        <v>166</v>
      </c>
      <c r="B177">
        <v>1</v>
      </c>
    </row>
    <row r="178" spans="1:2" x14ac:dyDescent="0.2">
      <c r="A178" s="26" t="s">
        <v>167</v>
      </c>
      <c r="B178">
        <v>1</v>
      </c>
    </row>
    <row r="179" spans="1:2" x14ac:dyDescent="0.2">
      <c r="A179" s="26" t="s">
        <v>168</v>
      </c>
      <c r="B179">
        <v>1</v>
      </c>
    </row>
    <row r="180" spans="1:2" x14ac:dyDescent="0.2">
      <c r="A180" s="26" t="s">
        <v>169</v>
      </c>
      <c r="B180">
        <v>1</v>
      </c>
    </row>
    <row r="181" spans="1:2" x14ac:dyDescent="0.2">
      <c r="A181" s="26" t="s">
        <v>170</v>
      </c>
      <c r="B181">
        <v>1</v>
      </c>
    </row>
    <row r="182" spans="1:2" x14ac:dyDescent="0.2">
      <c r="A182" s="26" t="s">
        <v>171</v>
      </c>
      <c r="B182">
        <v>1</v>
      </c>
    </row>
    <row r="183" spans="1:2" x14ac:dyDescent="0.2">
      <c r="A183" s="26" t="s">
        <v>172</v>
      </c>
      <c r="B183">
        <v>1</v>
      </c>
    </row>
    <row r="184" spans="1:2" x14ac:dyDescent="0.2">
      <c r="A184" s="26" t="s">
        <v>173</v>
      </c>
      <c r="B184">
        <v>1</v>
      </c>
    </row>
    <row r="185" spans="1:2" x14ac:dyDescent="0.2">
      <c r="A185" s="26" t="s">
        <v>174</v>
      </c>
      <c r="B185">
        <v>1</v>
      </c>
    </row>
    <row r="186" spans="1:2" x14ac:dyDescent="0.2">
      <c r="A186" s="26" t="s">
        <v>175</v>
      </c>
      <c r="B186">
        <v>1</v>
      </c>
    </row>
    <row r="187" spans="1:2" x14ac:dyDescent="0.2">
      <c r="A187" s="26" t="s">
        <v>176</v>
      </c>
      <c r="B187">
        <v>1</v>
      </c>
    </row>
    <row r="188" spans="1:2" x14ac:dyDescent="0.2">
      <c r="A188" s="26" t="s">
        <v>177</v>
      </c>
      <c r="B188">
        <v>1</v>
      </c>
    </row>
    <row r="189" spans="1:2" x14ac:dyDescent="0.2">
      <c r="A189" s="26" t="s">
        <v>178</v>
      </c>
      <c r="B189">
        <v>1</v>
      </c>
    </row>
    <row r="190" spans="1:2" x14ac:dyDescent="0.2">
      <c r="A190" s="26" t="s">
        <v>179</v>
      </c>
      <c r="B190">
        <v>1</v>
      </c>
    </row>
    <row r="191" spans="1:2" x14ac:dyDescent="0.2">
      <c r="A191" s="26" t="s">
        <v>180</v>
      </c>
      <c r="B191">
        <v>1</v>
      </c>
    </row>
    <row r="192" spans="1:2" x14ac:dyDescent="0.2">
      <c r="A192" s="26" t="s">
        <v>181</v>
      </c>
      <c r="B192">
        <v>1</v>
      </c>
    </row>
    <row r="193" spans="1:2" x14ac:dyDescent="0.2">
      <c r="A193" s="26" t="s">
        <v>182</v>
      </c>
      <c r="B193">
        <v>1</v>
      </c>
    </row>
    <row r="194" spans="1:2" x14ac:dyDescent="0.2">
      <c r="A194" s="26" t="s">
        <v>183</v>
      </c>
      <c r="B194">
        <v>1</v>
      </c>
    </row>
    <row r="195" spans="1:2" x14ac:dyDescent="0.2">
      <c r="A195" s="26" t="s">
        <v>184</v>
      </c>
      <c r="B195">
        <v>1</v>
      </c>
    </row>
    <row r="196" spans="1:2" x14ac:dyDescent="0.2">
      <c r="A196" s="26" t="s">
        <v>185</v>
      </c>
      <c r="B196">
        <v>1</v>
      </c>
    </row>
    <row r="197" spans="1:2" x14ac:dyDescent="0.2">
      <c r="A197" s="26" t="s">
        <v>186</v>
      </c>
      <c r="B197">
        <v>1</v>
      </c>
    </row>
    <row r="198" spans="1:2" x14ac:dyDescent="0.2">
      <c r="A198" s="26" t="s">
        <v>187</v>
      </c>
      <c r="B198">
        <v>1</v>
      </c>
    </row>
    <row r="199" spans="1:2" x14ac:dyDescent="0.2">
      <c r="A199" s="26" t="s">
        <v>188</v>
      </c>
      <c r="B199">
        <v>1</v>
      </c>
    </row>
    <row r="200" spans="1:2" x14ac:dyDescent="0.2">
      <c r="A200" s="26" t="s">
        <v>189</v>
      </c>
      <c r="B200">
        <v>1</v>
      </c>
    </row>
    <row r="201" spans="1:2" x14ac:dyDescent="0.2">
      <c r="A201" s="26" t="s">
        <v>190</v>
      </c>
      <c r="B201">
        <v>1</v>
      </c>
    </row>
    <row r="202" spans="1:2" x14ac:dyDescent="0.2">
      <c r="A202" s="26" t="s">
        <v>191</v>
      </c>
      <c r="B202">
        <v>1</v>
      </c>
    </row>
    <row r="203" spans="1:2" x14ac:dyDescent="0.2">
      <c r="A203" s="26" t="s">
        <v>192</v>
      </c>
      <c r="B203">
        <v>1</v>
      </c>
    </row>
    <row r="204" spans="1:2" x14ac:dyDescent="0.2">
      <c r="A204" s="26" t="s">
        <v>193</v>
      </c>
      <c r="B204">
        <v>1</v>
      </c>
    </row>
    <row r="205" spans="1:2" x14ac:dyDescent="0.2">
      <c r="A205" s="26" t="s">
        <v>194</v>
      </c>
      <c r="B205">
        <v>1</v>
      </c>
    </row>
    <row r="206" spans="1:2" x14ac:dyDescent="0.2">
      <c r="A206" s="26" t="s">
        <v>195</v>
      </c>
      <c r="B206">
        <v>1</v>
      </c>
    </row>
    <row r="207" spans="1:2" x14ac:dyDescent="0.2">
      <c r="A207" s="26" t="s">
        <v>196</v>
      </c>
      <c r="B207">
        <v>1</v>
      </c>
    </row>
    <row r="208" spans="1:2" x14ac:dyDescent="0.2">
      <c r="A208" s="26" t="s">
        <v>197</v>
      </c>
      <c r="B208">
        <v>1</v>
      </c>
    </row>
    <row r="209" spans="1:2" x14ac:dyDescent="0.2">
      <c r="A209" s="26" t="s">
        <v>198</v>
      </c>
      <c r="B209">
        <v>1</v>
      </c>
    </row>
    <row r="210" spans="1:2" x14ac:dyDescent="0.2">
      <c r="A210" s="26" t="s">
        <v>199</v>
      </c>
      <c r="B210">
        <v>1</v>
      </c>
    </row>
    <row r="211" spans="1:2" x14ac:dyDescent="0.2">
      <c r="A211" s="26" t="s">
        <v>200</v>
      </c>
      <c r="B211">
        <v>1</v>
      </c>
    </row>
    <row r="212" spans="1:2" x14ac:dyDescent="0.2">
      <c r="A212" s="26" t="s">
        <v>201</v>
      </c>
      <c r="B212">
        <v>1</v>
      </c>
    </row>
    <row r="213" spans="1:2" x14ac:dyDescent="0.2">
      <c r="A213" s="26" t="s">
        <v>202</v>
      </c>
      <c r="B213">
        <v>1</v>
      </c>
    </row>
    <row r="214" spans="1:2" x14ac:dyDescent="0.2">
      <c r="A214" s="26" t="s">
        <v>203</v>
      </c>
      <c r="B214">
        <v>1</v>
      </c>
    </row>
    <row r="215" spans="1:2" x14ac:dyDescent="0.2">
      <c r="A215" s="26" t="s">
        <v>204</v>
      </c>
      <c r="B215">
        <v>1</v>
      </c>
    </row>
    <row r="216" spans="1:2" x14ac:dyDescent="0.2">
      <c r="A216" s="26" t="s">
        <v>205</v>
      </c>
      <c r="B216">
        <v>1</v>
      </c>
    </row>
    <row r="217" spans="1:2" x14ac:dyDescent="0.2">
      <c r="A217" s="26" t="s">
        <v>206</v>
      </c>
      <c r="B217">
        <v>1</v>
      </c>
    </row>
    <row r="218" spans="1:2" x14ac:dyDescent="0.2">
      <c r="A218" s="26" t="s">
        <v>207</v>
      </c>
    </row>
    <row r="219" spans="1:2" x14ac:dyDescent="0.2">
      <c r="A219" s="26" t="s">
        <v>26</v>
      </c>
    </row>
    <row r="220" spans="1:2" x14ac:dyDescent="0.2">
      <c r="A220" s="26" t="s">
        <v>208</v>
      </c>
    </row>
    <row r="221" spans="1:2" x14ac:dyDescent="0.2">
      <c r="A221" s="26" t="s">
        <v>26</v>
      </c>
    </row>
    <row r="222" spans="1:2" x14ac:dyDescent="0.2">
      <c r="A222" s="26" t="s">
        <v>209</v>
      </c>
    </row>
    <row r="223" spans="1:2" x14ac:dyDescent="0.2">
      <c r="A223" s="26" t="s">
        <v>26</v>
      </c>
    </row>
    <row r="224" spans="1:2" x14ac:dyDescent="0.2">
      <c r="A224" s="26" t="s">
        <v>210</v>
      </c>
    </row>
    <row r="225" spans="1:2" x14ac:dyDescent="0.2">
      <c r="A225" s="26" t="s">
        <v>26</v>
      </c>
    </row>
    <row r="226" spans="1:2" x14ac:dyDescent="0.2">
      <c r="A226" s="26" t="s">
        <v>211</v>
      </c>
    </row>
    <row r="227" spans="1:2" x14ac:dyDescent="0.2">
      <c r="A227" s="26" t="s">
        <v>26</v>
      </c>
    </row>
    <row r="228" spans="1:2" x14ac:dyDescent="0.2">
      <c r="A228" s="26" t="s">
        <v>212</v>
      </c>
      <c r="B228">
        <v>145</v>
      </c>
    </row>
  </sheetData>
  <pageMargins left="0.7" right="0.7" top="0.75" bottom="0.75" header="0.3" footer="0.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AA481-4AE5-094C-AAA9-D6BFB1EF6BC1}">
  <dimension ref="A13:AP299"/>
  <sheetViews>
    <sheetView workbookViewId="0">
      <selection activeCell="A13" sqref="A13:AI299"/>
    </sheetView>
  </sheetViews>
  <sheetFormatPr baseColWidth="10" defaultRowHeight="16" x14ac:dyDescent="0.2"/>
  <cols>
    <col min="1" max="1" width="33.83203125" customWidth="1"/>
    <col min="2" max="2" width="13.1640625" customWidth="1"/>
    <col min="3" max="3" width="14.83203125" customWidth="1"/>
    <col min="5" max="5" width="12.5" bestFit="1" customWidth="1"/>
    <col min="6" max="6" width="18.83203125" customWidth="1"/>
    <col min="7" max="7" width="14.5" customWidth="1"/>
    <col min="9" max="9" width="33.83203125" customWidth="1"/>
    <col min="10" max="10" width="17.5" customWidth="1"/>
    <col min="13" max="13" width="17.5" customWidth="1"/>
    <col min="14" max="14" width="8.5" customWidth="1"/>
    <col min="15" max="15" width="7.5" customWidth="1"/>
    <col min="16" max="16" width="13.33203125" customWidth="1"/>
    <col min="17" max="17" width="10.83203125" customWidth="1"/>
    <col min="18" max="18" width="20.33203125" customWidth="1"/>
    <col min="19" max="19" width="19.6640625" customWidth="1"/>
    <col min="20" max="20" width="20.83203125" customWidth="1"/>
    <col min="21" max="21" width="11.5" customWidth="1"/>
    <col min="22" max="22" width="31.33203125" customWidth="1"/>
    <col min="23" max="24" width="16.5" customWidth="1"/>
    <col min="25" max="25" width="18.33203125" customWidth="1"/>
    <col min="26" max="26" width="57.83203125" bestFit="1" customWidth="1"/>
    <col min="27" max="27" width="45.5" customWidth="1"/>
    <col min="28" max="32" width="37.33203125" customWidth="1"/>
    <col min="33" max="33" width="15.1640625" customWidth="1"/>
    <col min="34" max="34" width="23.5" customWidth="1"/>
    <col min="35" max="35" width="15.5" customWidth="1"/>
    <col min="39" max="39" width="97" customWidth="1"/>
  </cols>
  <sheetData>
    <row r="13" spans="1:39" x14ac:dyDescent="0.2">
      <c r="A13" t="s">
        <v>213</v>
      </c>
      <c r="B13" t="s">
        <v>214</v>
      </c>
      <c r="C13" t="s">
        <v>215</v>
      </c>
      <c r="D13" t="s">
        <v>216</v>
      </c>
      <c r="E13" t="s">
        <v>217</v>
      </c>
      <c r="F13" t="s">
        <v>218</v>
      </c>
      <c r="G13" t="s">
        <v>219</v>
      </c>
      <c r="H13" t="s">
        <v>220</v>
      </c>
      <c r="I13" t="s">
        <v>2765</v>
      </c>
      <c r="J13" t="s">
        <v>221</v>
      </c>
      <c r="K13" t="s">
        <v>222</v>
      </c>
      <c r="L13" t="s">
        <v>223</v>
      </c>
      <c r="M13" t="s">
        <v>224</v>
      </c>
      <c r="N13" t="s">
        <v>225</v>
      </c>
      <c r="O13" t="s">
        <v>226</v>
      </c>
      <c r="P13" t="s">
        <v>227</v>
      </c>
      <c r="Q13" t="s">
        <v>228</v>
      </c>
      <c r="R13" t="s">
        <v>229</v>
      </c>
      <c r="S13" t="s">
        <v>230</v>
      </c>
      <c r="T13" t="s">
        <v>231</v>
      </c>
      <c r="U13" t="s">
        <v>232</v>
      </c>
      <c r="V13" t="s">
        <v>233</v>
      </c>
      <c r="W13" t="s">
        <v>234</v>
      </c>
      <c r="X13" t="s">
        <v>235</v>
      </c>
      <c r="Y13" t="s">
        <v>236</v>
      </c>
      <c r="Z13" t="s">
        <v>237</v>
      </c>
      <c r="AA13" t="s">
        <v>238</v>
      </c>
      <c r="AB13" t="s">
        <v>239</v>
      </c>
      <c r="AC13" t="s">
        <v>240</v>
      </c>
      <c r="AD13" t="s">
        <v>241</v>
      </c>
      <c r="AE13" t="s">
        <v>242</v>
      </c>
      <c r="AF13" t="s">
        <v>243</v>
      </c>
      <c r="AG13" t="s">
        <v>244</v>
      </c>
      <c r="AH13" t="s">
        <v>245</v>
      </c>
      <c r="AI13" t="s">
        <v>246</v>
      </c>
    </row>
    <row r="14" spans="1:39" x14ac:dyDescent="0.2">
      <c r="A14" t="s">
        <v>247</v>
      </c>
      <c r="B14" t="b">
        <v>1</v>
      </c>
      <c r="C14" t="b">
        <v>0</v>
      </c>
      <c r="D14" t="b">
        <v>1</v>
      </c>
      <c r="E14" t="s">
        <v>248</v>
      </c>
      <c r="F14" t="b">
        <v>0</v>
      </c>
      <c r="G14" t="b">
        <v>0</v>
      </c>
      <c r="H14" t="s">
        <v>249</v>
      </c>
      <c r="I14" t="s">
        <v>247</v>
      </c>
      <c r="J14" t="s">
        <v>250</v>
      </c>
      <c r="N14" t="s">
        <v>251</v>
      </c>
      <c r="O14" t="s">
        <v>252</v>
      </c>
      <c r="R14" s="1">
        <v>43876</v>
      </c>
      <c r="S14" s="1">
        <v>50298</v>
      </c>
      <c r="T14" s="2">
        <v>44938.616716122684</v>
      </c>
      <c r="U14" t="s">
        <v>253</v>
      </c>
      <c r="V14" t="s">
        <v>254</v>
      </c>
      <c r="W14" t="s">
        <v>255</v>
      </c>
      <c r="X14" t="s">
        <v>256</v>
      </c>
      <c r="Y14" t="s">
        <v>257</v>
      </c>
      <c r="AA14" s="6" t="s">
        <v>258</v>
      </c>
      <c r="AB14" s="6" t="s">
        <v>259</v>
      </c>
      <c r="AC14" s="6"/>
      <c r="AD14" s="6"/>
      <c r="AE14" s="6"/>
      <c r="AF14" s="6"/>
      <c r="AG14" t="s">
        <v>260</v>
      </c>
      <c r="AH14">
        <v>280000000</v>
      </c>
      <c r="AI14" s="3" t="s">
        <v>261</v>
      </c>
      <c r="AM14" s="6"/>
    </row>
    <row r="15" spans="1:39" x14ac:dyDescent="0.2">
      <c r="A15" t="s">
        <v>262</v>
      </c>
      <c r="B15" t="b">
        <v>0</v>
      </c>
      <c r="C15" t="b">
        <v>0</v>
      </c>
      <c r="D15" t="b">
        <v>1</v>
      </c>
      <c r="E15" t="b">
        <v>0</v>
      </c>
      <c r="F15" t="b">
        <v>1</v>
      </c>
      <c r="G15" t="s">
        <v>361</v>
      </c>
      <c r="H15" t="s">
        <v>263</v>
      </c>
      <c r="I15" t="s">
        <v>262</v>
      </c>
      <c r="J15" t="s">
        <v>264</v>
      </c>
      <c r="M15" t="s">
        <v>265</v>
      </c>
      <c r="N15" t="s">
        <v>266</v>
      </c>
      <c r="O15" t="s">
        <v>252</v>
      </c>
      <c r="R15" s="1">
        <v>44993</v>
      </c>
      <c r="S15" s="1">
        <v>48281</v>
      </c>
      <c r="T15" s="2">
        <v>45026.646237361114</v>
      </c>
      <c r="U15" t="s">
        <v>253</v>
      </c>
      <c r="V15" t="s">
        <v>267</v>
      </c>
      <c r="W15" t="s">
        <v>268</v>
      </c>
      <c r="X15" t="s">
        <v>256</v>
      </c>
      <c r="Y15" t="s">
        <v>269</v>
      </c>
      <c r="AG15" t="s">
        <v>270</v>
      </c>
      <c r="AH15">
        <v>60000000</v>
      </c>
      <c r="AI15" s="3" t="s">
        <v>271</v>
      </c>
    </row>
    <row r="16" spans="1:39" x14ac:dyDescent="0.2">
      <c r="A16" t="s">
        <v>272</v>
      </c>
      <c r="B16" t="b">
        <v>0</v>
      </c>
      <c r="C16" t="b">
        <v>0</v>
      </c>
      <c r="D16" t="b">
        <v>1</v>
      </c>
      <c r="E16" t="b">
        <v>0</v>
      </c>
      <c r="F16" t="b">
        <v>1</v>
      </c>
      <c r="G16" t="b">
        <v>0</v>
      </c>
      <c r="H16" t="s">
        <v>273</v>
      </c>
      <c r="I16" t="s">
        <v>272</v>
      </c>
      <c r="J16" t="s">
        <v>12</v>
      </c>
      <c r="N16" t="s">
        <v>274</v>
      </c>
      <c r="O16" t="s">
        <v>252</v>
      </c>
      <c r="P16" t="s">
        <v>275</v>
      </c>
      <c r="Q16" t="s">
        <v>276</v>
      </c>
      <c r="R16" s="1">
        <v>44130</v>
      </c>
      <c r="S16" s="1">
        <v>45227</v>
      </c>
      <c r="T16" s="2">
        <v>45960.676123819445</v>
      </c>
      <c r="U16" t="s">
        <v>253</v>
      </c>
      <c r="V16" t="s">
        <v>267</v>
      </c>
      <c r="W16" t="s">
        <v>277</v>
      </c>
      <c r="X16" t="s">
        <v>278</v>
      </c>
      <c r="Y16" t="s">
        <v>279</v>
      </c>
      <c r="Z16" s="32" t="s">
        <v>1072</v>
      </c>
      <c r="AA16" s="7" t="s">
        <v>280</v>
      </c>
      <c r="AB16" s="23" t="str">
        <f t="shared" ref="AB16:AB21" si="0">AM16</f>
        <v>4d55cd98379640de90be2eb2fa9aba1f</v>
      </c>
      <c r="AC16" s="23"/>
      <c r="AD16" s="23"/>
      <c r="AE16" s="23"/>
      <c r="AF16" s="23"/>
      <c r="AG16" t="s">
        <v>270</v>
      </c>
      <c r="AH16">
        <v>2000000</v>
      </c>
      <c r="AI16" s="3" t="s">
        <v>281</v>
      </c>
      <c r="AM16" s="21" t="s">
        <v>2</v>
      </c>
    </row>
    <row r="17" spans="1:39" s="9" customFormat="1" x14ac:dyDescent="0.2">
      <c r="A17" s="9" t="s">
        <v>282</v>
      </c>
      <c r="B17" s="9" t="b">
        <v>1</v>
      </c>
      <c r="C17" s="9" t="b">
        <v>1</v>
      </c>
      <c r="D17" s="9" t="b">
        <v>1</v>
      </c>
      <c r="E17" s="9" t="b">
        <v>0</v>
      </c>
      <c r="F17" s="9" t="b">
        <v>0</v>
      </c>
      <c r="G17" s="9" t="b">
        <v>0</v>
      </c>
      <c r="H17" s="9" t="s">
        <v>283</v>
      </c>
      <c r="I17" s="9" t="s">
        <v>282</v>
      </c>
      <c r="J17" s="10" t="s">
        <v>196</v>
      </c>
      <c r="N17" s="9" t="s">
        <v>284</v>
      </c>
      <c r="O17" s="9" t="s">
        <v>252</v>
      </c>
      <c r="R17" s="11">
        <v>43566</v>
      </c>
      <c r="S17" s="11">
        <v>52671</v>
      </c>
      <c r="U17" s="9" t="s">
        <v>285</v>
      </c>
      <c r="V17" s="9" t="s">
        <v>254</v>
      </c>
      <c r="W17" s="9" t="s">
        <v>286</v>
      </c>
      <c r="X17" s="9" t="s">
        <v>256</v>
      </c>
      <c r="Y17" s="9" t="s">
        <v>287</v>
      </c>
      <c r="Z17" s="32" t="s">
        <v>288</v>
      </c>
      <c r="AA17" s="9" t="s">
        <v>289</v>
      </c>
      <c r="AB17" s="23" t="str">
        <f t="shared" si="0"/>
        <v>44e38dbb4e334294b5534acaf9930631</v>
      </c>
      <c r="AC17" s="23"/>
      <c r="AD17" s="23"/>
      <c r="AE17" s="23"/>
      <c r="AF17" s="23"/>
      <c r="AG17" s="9" t="s">
        <v>290</v>
      </c>
      <c r="AH17" s="9">
        <v>2000000</v>
      </c>
      <c r="AI17" s="12" t="s">
        <v>291</v>
      </c>
      <c r="AM17" s="22" t="s">
        <v>195</v>
      </c>
    </row>
    <row r="18" spans="1:39" x14ac:dyDescent="0.2">
      <c r="A18" t="s">
        <v>292</v>
      </c>
      <c r="B18" t="b">
        <v>0</v>
      </c>
      <c r="C18" t="b">
        <v>0</v>
      </c>
      <c r="D18" t="b">
        <v>0</v>
      </c>
      <c r="E18" t="b">
        <v>0</v>
      </c>
      <c r="F18" t="b">
        <v>0</v>
      </c>
      <c r="G18" t="b">
        <v>1</v>
      </c>
      <c r="H18" t="s">
        <v>293</v>
      </c>
      <c r="I18" t="s">
        <v>292</v>
      </c>
      <c r="J18" t="s">
        <v>112</v>
      </c>
      <c r="N18" t="s">
        <v>294</v>
      </c>
      <c r="O18" t="s">
        <v>252</v>
      </c>
      <c r="R18" s="1">
        <v>44734</v>
      </c>
      <c r="S18" s="1">
        <v>45830</v>
      </c>
      <c r="T18" s="2">
        <v>46077.763666261577</v>
      </c>
      <c r="U18" t="s">
        <v>253</v>
      </c>
      <c r="V18" t="s">
        <v>295</v>
      </c>
      <c r="W18" t="s">
        <v>296</v>
      </c>
      <c r="X18" t="s">
        <v>278</v>
      </c>
      <c r="Y18" t="s">
        <v>257</v>
      </c>
      <c r="AA18" t="s">
        <v>297</v>
      </c>
      <c r="AB18" s="23" t="str">
        <f t="shared" si="0"/>
        <v>3335c7c5d57a40b1a9abcb760293f7c1</v>
      </c>
      <c r="AC18" s="23"/>
      <c r="AD18" s="23"/>
      <c r="AE18" s="23"/>
      <c r="AF18" s="23"/>
      <c r="AG18" t="s">
        <v>260</v>
      </c>
      <c r="AH18">
        <v>572400000</v>
      </c>
      <c r="AI18" s="3" t="s">
        <v>298</v>
      </c>
      <c r="AM18" s="23" t="s">
        <v>110</v>
      </c>
    </row>
    <row r="19" spans="1:39" x14ac:dyDescent="0.2">
      <c r="A19" t="s">
        <v>299</v>
      </c>
      <c r="B19" t="b">
        <v>0</v>
      </c>
      <c r="C19" t="b">
        <v>0</v>
      </c>
      <c r="D19" t="b">
        <v>1</v>
      </c>
      <c r="E19" t="b">
        <v>0</v>
      </c>
      <c r="F19" t="b">
        <v>1</v>
      </c>
      <c r="G19" t="b">
        <v>0</v>
      </c>
      <c r="H19" t="s">
        <v>300</v>
      </c>
      <c r="I19" t="s">
        <v>299</v>
      </c>
      <c r="J19" t="s">
        <v>70</v>
      </c>
      <c r="K19" t="s">
        <v>301</v>
      </c>
      <c r="M19" t="s">
        <v>302</v>
      </c>
      <c r="N19" t="s">
        <v>303</v>
      </c>
      <c r="O19" t="s">
        <v>252</v>
      </c>
      <c r="R19" s="1">
        <v>44742</v>
      </c>
      <c r="S19" s="1">
        <v>46356</v>
      </c>
      <c r="T19" s="2">
        <v>44952.904067407406</v>
      </c>
      <c r="U19" t="s">
        <v>253</v>
      </c>
      <c r="V19" t="s">
        <v>267</v>
      </c>
      <c r="W19" t="s">
        <v>304</v>
      </c>
      <c r="X19" t="s">
        <v>305</v>
      </c>
      <c r="Y19" t="s">
        <v>306</v>
      </c>
      <c r="Z19" s="32" t="s">
        <v>1316</v>
      </c>
      <c r="AA19" s="7" t="s">
        <v>307</v>
      </c>
      <c r="AB19" s="23" t="str">
        <f t="shared" si="0"/>
        <v>54743cb2f07c4d9f923a5c04c2547bb4</v>
      </c>
      <c r="AC19" s="23"/>
      <c r="AD19" s="23"/>
      <c r="AE19" s="23"/>
      <c r="AF19" s="23"/>
      <c r="AG19" t="s">
        <v>308</v>
      </c>
      <c r="AH19">
        <v>155000000</v>
      </c>
      <c r="AI19" s="3" t="s">
        <v>309</v>
      </c>
      <c r="AM19" s="21" t="s">
        <v>68</v>
      </c>
    </row>
    <row r="20" spans="1:39" x14ac:dyDescent="0.2">
      <c r="A20" t="s">
        <v>310</v>
      </c>
      <c r="B20" t="b">
        <v>0</v>
      </c>
      <c r="C20" t="b">
        <v>0</v>
      </c>
      <c r="D20" t="b">
        <v>1</v>
      </c>
      <c r="E20" t="b">
        <v>0</v>
      </c>
      <c r="F20" t="b">
        <v>1</v>
      </c>
      <c r="G20" t="b">
        <v>0</v>
      </c>
      <c r="H20" t="s">
        <v>311</v>
      </c>
      <c r="I20" t="s">
        <v>310</v>
      </c>
      <c r="J20" t="s">
        <v>178</v>
      </c>
      <c r="N20" t="s">
        <v>312</v>
      </c>
      <c r="O20" t="s">
        <v>252</v>
      </c>
      <c r="R20" s="1">
        <v>45504</v>
      </c>
      <c r="S20" s="1">
        <v>47331</v>
      </c>
      <c r="T20" s="2">
        <v>46086.922778298613</v>
      </c>
      <c r="U20" t="s">
        <v>253</v>
      </c>
      <c r="V20" t="s">
        <v>267</v>
      </c>
      <c r="W20" t="s">
        <v>313</v>
      </c>
      <c r="X20" t="s">
        <v>278</v>
      </c>
      <c r="Y20" t="s">
        <v>287</v>
      </c>
      <c r="Z20" s="32" t="s">
        <v>2754</v>
      </c>
      <c r="AA20" s="7" t="s">
        <v>314</v>
      </c>
      <c r="AB20" s="23" t="str">
        <f t="shared" si="0"/>
        <v>4eac0cad7e8548e0a253795fe4e7343b</v>
      </c>
      <c r="AC20" s="23"/>
      <c r="AD20" s="23"/>
      <c r="AE20" s="23"/>
      <c r="AF20" s="23"/>
      <c r="AG20" t="s">
        <v>270</v>
      </c>
      <c r="AH20">
        <v>20000000</v>
      </c>
      <c r="AI20" s="3" t="s">
        <v>315</v>
      </c>
      <c r="AM20" s="21" t="s">
        <v>177</v>
      </c>
    </row>
    <row r="21" spans="1:39" x14ac:dyDescent="0.2">
      <c r="A21" t="s">
        <v>316</v>
      </c>
      <c r="B21" t="b">
        <v>0</v>
      </c>
      <c r="C21" t="b">
        <v>0</v>
      </c>
      <c r="D21" t="b">
        <v>1</v>
      </c>
      <c r="E21" t="b">
        <v>0</v>
      </c>
      <c r="F21" t="b">
        <v>1</v>
      </c>
      <c r="G21" t="b">
        <v>0</v>
      </c>
      <c r="H21" t="s">
        <v>317</v>
      </c>
      <c r="I21" t="s">
        <v>316</v>
      </c>
      <c r="J21" t="s">
        <v>48</v>
      </c>
      <c r="N21" t="s">
        <v>318</v>
      </c>
      <c r="O21" t="s">
        <v>252</v>
      </c>
      <c r="R21" s="1">
        <v>45121</v>
      </c>
      <c r="S21" s="1">
        <v>45852</v>
      </c>
      <c r="T21" s="2">
        <v>46059.639393240737</v>
      </c>
      <c r="U21" t="s">
        <v>253</v>
      </c>
      <c r="V21" t="s">
        <v>267</v>
      </c>
      <c r="W21" t="s">
        <v>319</v>
      </c>
      <c r="X21" t="s">
        <v>256</v>
      </c>
      <c r="Y21" t="s">
        <v>269</v>
      </c>
      <c r="Z21" s="32" t="s">
        <v>2755</v>
      </c>
      <c r="AA21" s="7" t="s">
        <v>320</v>
      </c>
      <c r="AB21" s="23" t="str">
        <f t="shared" si="0"/>
        <v>0861b552d06e4b9799ebc7a3b1aa7e2a</v>
      </c>
      <c r="AC21" s="23"/>
      <c r="AD21" s="23"/>
      <c r="AE21" s="23"/>
      <c r="AF21" s="23"/>
      <c r="AG21" t="s">
        <v>270</v>
      </c>
      <c r="AH21">
        <v>10867627</v>
      </c>
      <c r="AI21" s="3" t="s">
        <v>321</v>
      </c>
      <c r="AM21" s="21" t="s">
        <v>40</v>
      </c>
    </row>
    <row r="22" spans="1:39" x14ac:dyDescent="0.2">
      <c r="A22" t="s">
        <v>322</v>
      </c>
      <c r="B22" t="b">
        <v>0</v>
      </c>
      <c r="C22" t="b">
        <v>0</v>
      </c>
      <c r="D22" t="b">
        <v>1</v>
      </c>
      <c r="E22" t="b">
        <v>0</v>
      </c>
      <c r="F22" t="b">
        <v>1</v>
      </c>
      <c r="G22" t="s">
        <v>361</v>
      </c>
      <c r="H22" t="s">
        <v>323</v>
      </c>
      <c r="I22" t="s">
        <v>322</v>
      </c>
      <c r="J22" t="s">
        <v>324</v>
      </c>
      <c r="M22" t="s">
        <v>325</v>
      </c>
      <c r="N22" t="s">
        <v>326</v>
      </c>
      <c r="O22" t="s">
        <v>252</v>
      </c>
      <c r="R22" s="1">
        <v>44741</v>
      </c>
      <c r="S22" s="1">
        <v>46020</v>
      </c>
      <c r="T22" s="2">
        <v>44896.683726261574</v>
      </c>
      <c r="U22" t="s">
        <v>253</v>
      </c>
      <c r="V22" t="s">
        <v>267</v>
      </c>
      <c r="W22" t="s">
        <v>268</v>
      </c>
      <c r="X22" t="s">
        <v>256</v>
      </c>
      <c r="Y22" t="s">
        <v>269</v>
      </c>
      <c r="AG22" t="s">
        <v>270</v>
      </c>
      <c r="AH22">
        <v>20000000</v>
      </c>
      <c r="AI22" s="3" t="s">
        <v>315</v>
      </c>
    </row>
    <row r="23" spans="1:39" x14ac:dyDescent="0.2">
      <c r="A23" t="s">
        <v>327</v>
      </c>
      <c r="B23" t="b">
        <v>0</v>
      </c>
      <c r="C23" t="b">
        <v>0</v>
      </c>
      <c r="D23" t="b">
        <v>1</v>
      </c>
      <c r="E23" t="b">
        <v>0</v>
      </c>
      <c r="F23" t="b">
        <v>1</v>
      </c>
      <c r="G23" t="b">
        <v>0</v>
      </c>
      <c r="H23" t="s">
        <v>328</v>
      </c>
      <c r="I23" t="s">
        <v>327</v>
      </c>
      <c r="J23" t="s">
        <v>53</v>
      </c>
      <c r="K23" t="s">
        <v>329</v>
      </c>
      <c r="N23" t="s">
        <v>330</v>
      </c>
      <c r="O23" t="s">
        <v>252</v>
      </c>
      <c r="P23" t="s">
        <v>331</v>
      </c>
      <c r="Q23" t="s">
        <v>332</v>
      </c>
      <c r="R23" s="1">
        <v>43852</v>
      </c>
      <c r="S23" s="1">
        <v>48240</v>
      </c>
      <c r="T23" s="2">
        <v>44923.64825071759</v>
      </c>
      <c r="U23" t="s">
        <v>253</v>
      </c>
      <c r="V23" t="s">
        <v>267</v>
      </c>
      <c r="W23" t="s">
        <v>333</v>
      </c>
      <c r="X23" t="s">
        <v>334</v>
      </c>
      <c r="Y23" t="s">
        <v>287</v>
      </c>
      <c r="Z23" s="32" t="s">
        <v>2759</v>
      </c>
      <c r="AA23" s="7" t="s">
        <v>335</v>
      </c>
      <c r="AB23" s="23" t="str">
        <f>AM23</f>
        <v>b25746bc73674469a979cd1218fc9355</v>
      </c>
      <c r="AC23" s="23"/>
      <c r="AD23" s="23"/>
      <c r="AE23" s="23"/>
      <c r="AF23" s="23"/>
      <c r="AG23" t="s">
        <v>270</v>
      </c>
      <c r="AH23">
        <v>1500000000</v>
      </c>
      <c r="AI23" s="3" t="s">
        <v>336</v>
      </c>
      <c r="AM23" s="21" t="s">
        <v>51</v>
      </c>
    </row>
    <row r="24" spans="1:39" x14ac:dyDescent="0.2">
      <c r="A24" t="s">
        <v>337</v>
      </c>
      <c r="B24" t="b">
        <v>0</v>
      </c>
      <c r="C24" t="b">
        <v>0</v>
      </c>
      <c r="D24" t="b">
        <v>0</v>
      </c>
      <c r="E24" t="b">
        <v>0</v>
      </c>
      <c r="F24" t="b">
        <v>0</v>
      </c>
      <c r="G24" t="b">
        <v>1</v>
      </c>
      <c r="H24" t="s">
        <v>338</v>
      </c>
      <c r="I24" t="s">
        <v>337</v>
      </c>
      <c r="J24" t="s">
        <v>38</v>
      </c>
      <c r="N24" t="s">
        <v>339</v>
      </c>
      <c r="O24" t="s">
        <v>252</v>
      </c>
      <c r="P24" t="s">
        <v>340</v>
      </c>
      <c r="Q24" t="s">
        <v>341</v>
      </c>
      <c r="R24" s="1">
        <v>45217</v>
      </c>
      <c r="S24" s="1">
        <v>48859</v>
      </c>
      <c r="T24" s="2">
        <v>45233.796936064813</v>
      </c>
      <c r="U24" t="s">
        <v>253</v>
      </c>
      <c r="V24" t="s">
        <v>295</v>
      </c>
      <c r="W24" t="s">
        <v>342</v>
      </c>
      <c r="X24" t="s">
        <v>305</v>
      </c>
      <c r="Y24" t="s">
        <v>343</v>
      </c>
      <c r="AA24" t="s">
        <v>344</v>
      </c>
      <c r="AB24" s="23" t="str">
        <f>AM24</f>
        <v>41f78746078d444787f9a1f78b30153c</v>
      </c>
      <c r="AC24" s="23"/>
      <c r="AD24" s="23"/>
      <c r="AE24" s="23"/>
      <c r="AF24" s="23"/>
      <c r="AG24" t="s">
        <v>345</v>
      </c>
      <c r="AH24">
        <v>5948000000</v>
      </c>
      <c r="AI24" s="3" t="s">
        <v>346</v>
      </c>
      <c r="AM24" s="23" t="s">
        <v>27</v>
      </c>
    </row>
    <row r="25" spans="1:39" x14ac:dyDescent="0.2">
      <c r="A25" t="s">
        <v>347</v>
      </c>
      <c r="B25" t="b">
        <v>0</v>
      </c>
      <c r="C25" t="b">
        <v>0</v>
      </c>
      <c r="D25" t="b">
        <v>1</v>
      </c>
      <c r="E25" t="b">
        <v>0</v>
      </c>
      <c r="F25" t="b">
        <v>1</v>
      </c>
      <c r="G25" t="b">
        <v>0</v>
      </c>
      <c r="H25" t="s">
        <v>348</v>
      </c>
      <c r="I25" t="s">
        <v>347</v>
      </c>
      <c r="J25" t="s">
        <v>170</v>
      </c>
      <c r="N25" t="s">
        <v>349</v>
      </c>
      <c r="O25" t="s">
        <v>252</v>
      </c>
      <c r="R25" s="1">
        <v>45526</v>
      </c>
      <c r="S25" s="1">
        <v>49178</v>
      </c>
      <c r="T25" s="2">
        <v>46126.882648310188</v>
      </c>
      <c r="U25" t="s">
        <v>253</v>
      </c>
      <c r="V25" t="s">
        <v>267</v>
      </c>
      <c r="W25" t="s">
        <v>350</v>
      </c>
      <c r="X25" t="s">
        <v>305</v>
      </c>
      <c r="Y25" t="s">
        <v>351</v>
      </c>
      <c r="Z25" s="32" t="s">
        <v>2758</v>
      </c>
      <c r="AA25" s="7" t="s">
        <v>352</v>
      </c>
      <c r="AB25" s="23" t="str">
        <f>AM25</f>
        <v>277b6ad349f343c0861b25da64e6f9e1</v>
      </c>
      <c r="AC25" s="23"/>
      <c r="AD25" s="23"/>
      <c r="AE25" s="23"/>
      <c r="AF25" s="23"/>
      <c r="AG25" t="s">
        <v>270</v>
      </c>
      <c r="AH25">
        <v>50000000</v>
      </c>
      <c r="AI25" s="3" t="s">
        <v>353</v>
      </c>
      <c r="AM25" s="21" t="s">
        <v>169</v>
      </c>
    </row>
    <row r="26" spans="1:39" x14ac:dyDescent="0.2">
      <c r="A26" t="s">
        <v>354</v>
      </c>
      <c r="B26" t="b">
        <v>0</v>
      </c>
      <c r="C26" t="b">
        <v>0</v>
      </c>
      <c r="D26" t="b">
        <v>1</v>
      </c>
      <c r="E26" t="b">
        <v>0</v>
      </c>
      <c r="F26" t="b">
        <v>1</v>
      </c>
      <c r="G26" t="s">
        <v>361</v>
      </c>
      <c r="H26" t="s">
        <v>355</v>
      </c>
      <c r="I26" t="s">
        <v>354</v>
      </c>
      <c r="J26" t="s">
        <v>356</v>
      </c>
      <c r="N26" t="s">
        <v>357</v>
      </c>
      <c r="O26" t="s">
        <v>252</v>
      </c>
      <c r="R26" s="1">
        <v>44176</v>
      </c>
      <c r="S26" s="1">
        <v>46006</v>
      </c>
      <c r="U26" t="s">
        <v>253</v>
      </c>
      <c r="V26" t="s">
        <v>254</v>
      </c>
      <c r="W26" t="s">
        <v>358</v>
      </c>
      <c r="X26" t="s">
        <v>256</v>
      </c>
      <c r="Y26" t="s">
        <v>257</v>
      </c>
      <c r="AG26" t="s">
        <v>260</v>
      </c>
      <c r="AH26">
        <v>480000000</v>
      </c>
      <c r="AI26" s="3" t="s">
        <v>359</v>
      </c>
    </row>
    <row r="27" spans="1:39" x14ac:dyDescent="0.2">
      <c r="A27" t="s">
        <v>360</v>
      </c>
      <c r="B27" t="b">
        <v>1</v>
      </c>
      <c r="C27" t="b">
        <v>0</v>
      </c>
      <c r="D27" t="b">
        <v>1</v>
      </c>
      <c r="E27" t="b">
        <v>0</v>
      </c>
      <c r="F27" t="b">
        <v>0</v>
      </c>
      <c r="G27" t="s">
        <v>361</v>
      </c>
      <c r="H27" t="s">
        <v>362</v>
      </c>
      <c r="I27" t="s">
        <v>360</v>
      </c>
      <c r="J27" t="s">
        <v>363</v>
      </c>
      <c r="K27" t="s">
        <v>364</v>
      </c>
      <c r="N27" t="s">
        <v>365</v>
      </c>
      <c r="O27" t="s">
        <v>252</v>
      </c>
      <c r="R27" s="1">
        <v>44027</v>
      </c>
      <c r="S27" s="1">
        <v>47679</v>
      </c>
      <c r="T27" s="2">
        <v>44981.737543796298</v>
      </c>
      <c r="U27" t="s">
        <v>253</v>
      </c>
      <c r="V27" t="s">
        <v>254</v>
      </c>
      <c r="W27" t="s">
        <v>366</v>
      </c>
      <c r="X27" t="s">
        <v>256</v>
      </c>
      <c r="Y27" t="s">
        <v>257</v>
      </c>
      <c r="AA27" s="6" t="s">
        <v>367</v>
      </c>
      <c r="AB27" s="6"/>
      <c r="AC27" s="6"/>
      <c r="AD27" s="6"/>
      <c r="AE27" s="6"/>
      <c r="AF27" s="6"/>
      <c r="AG27" t="s">
        <v>260</v>
      </c>
      <c r="AH27">
        <v>259804000</v>
      </c>
      <c r="AI27" s="3" t="s">
        <v>368</v>
      </c>
      <c r="AM27" s="6"/>
    </row>
    <row r="28" spans="1:39" x14ac:dyDescent="0.2">
      <c r="A28" t="s">
        <v>369</v>
      </c>
      <c r="B28" t="b">
        <v>1</v>
      </c>
      <c r="C28" t="b">
        <v>0</v>
      </c>
      <c r="D28" t="b">
        <v>1</v>
      </c>
      <c r="E28" t="b">
        <v>0</v>
      </c>
      <c r="F28" t="b">
        <v>0</v>
      </c>
      <c r="G28" t="s">
        <v>361</v>
      </c>
      <c r="H28" t="s">
        <v>370</v>
      </c>
      <c r="I28" t="s">
        <v>369</v>
      </c>
      <c r="J28" t="s">
        <v>371</v>
      </c>
      <c r="M28" t="s">
        <v>372</v>
      </c>
      <c r="N28" t="s">
        <v>373</v>
      </c>
      <c r="O28" t="s">
        <v>252</v>
      </c>
      <c r="R28" s="1">
        <v>43286</v>
      </c>
      <c r="S28" s="1">
        <v>46871</v>
      </c>
      <c r="U28" t="s">
        <v>253</v>
      </c>
      <c r="V28" t="s">
        <v>254</v>
      </c>
      <c r="W28" t="s">
        <v>374</v>
      </c>
      <c r="X28" t="s">
        <v>256</v>
      </c>
      <c r="Y28" t="s">
        <v>257</v>
      </c>
      <c r="AA28" s="6" t="s">
        <v>375</v>
      </c>
      <c r="AB28" s="6" t="s">
        <v>376</v>
      </c>
      <c r="AC28" s="6"/>
      <c r="AD28" s="6"/>
      <c r="AE28" s="6"/>
      <c r="AF28" s="6"/>
      <c r="AG28" t="s">
        <v>260</v>
      </c>
      <c r="AH28">
        <v>16000000</v>
      </c>
      <c r="AI28" s="3" t="s">
        <v>377</v>
      </c>
      <c r="AM28" s="6"/>
    </row>
    <row r="29" spans="1:39" x14ac:dyDescent="0.2">
      <c r="A29" t="s">
        <v>378</v>
      </c>
      <c r="B29" t="b">
        <v>0</v>
      </c>
      <c r="C29" t="b">
        <v>0</v>
      </c>
      <c r="D29" t="b">
        <v>1</v>
      </c>
      <c r="E29" t="b">
        <v>0</v>
      </c>
      <c r="F29" t="b">
        <v>1</v>
      </c>
      <c r="G29" t="b">
        <v>0</v>
      </c>
      <c r="H29" t="s">
        <v>379</v>
      </c>
      <c r="I29" t="s">
        <v>378</v>
      </c>
      <c r="M29" t="s">
        <v>380</v>
      </c>
      <c r="N29" t="s">
        <v>381</v>
      </c>
      <c r="O29" t="s">
        <v>382</v>
      </c>
      <c r="T29" s="2">
        <v>44900.9807319213</v>
      </c>
      <c r="U29" t="s">
        <v>253</v>
      </c>
      <c r="V29" t="s">
        <v>267</v>
      </c>
      <c r="W29" t="s">
        <v>383</v>
      </c>
      <c r="X29" t="s">
        <v>278</v>
      </c>
      <c r="Y29" t="s">
        <v>384</v>
      </c>
      <c r="Z29" s="32" t="s">
        <v>2756</v>
      </c>
      <c r="AA29" s="7" t="s">
        <v>385</v>
      </c>
      <c r="AB29" s="23" t="str">
        <f>AM29</f>
        <v>46bc90cd9f664b57a297ff3b221857bd</v>
      </c>
      <c r="AC29" s="23"/>
      <c r="AD29" s="23"/>
      <c r="AE29" s="23"/>
      <c r="AF29" s="23"/>
      <c r="AG29" t="s">
        <v>386</v>
      </c>
      <c r="AM29" s="21" t="s">
        <v>128</v>
      </c>
    </row>
    <row r="30" spans="1:39" x14ac:dyDescent="0.2">
      <c r="A30" t="s">
        <v>387</v>
      </c>
      <c r="B30" t="b">
        <v>0</v>
      </c>
      <c r="C30" t="b">
        <v>0</v>
      </c>
      <c r="D30" t="b">
        <v>0</v>
      </c>
      <c r="E30" t="b">
        <v>0</v>
      </c>
      <c r="F30" t="b">
        <v>0</v>
      </c>
      <c r="G30" t="b">
        <v>1</v>
      </c>
      <c r="H30" t="s">
        <v>388</v>
      </c>
      <c r="I30" t="s">
        <v>387</v>
      </c>
      <c r="M30" t="s">
        <v>389</v>
      </c>
      <c r="N30" t="s">
        <v>390</v>
      </c>
      <c r="O30" t="s">
        <v>382</v>
      </c>
      <c r="T30" s="2">
        <v>44889.790690173613</v>
      </c>
      <c r="U30" t="s">
        <v>253</v>
      </c>
      <c r="V30" t="s">
        <v>295</v>
      </c>
      <c r="W30" t="s">
        <v>391</v>
      </c>
      <c r="X30" t="s">
        <v>305</v>
      </c>
      <c r="Y30" t="s">
        <v>384</v>
      </c>
      <c r="AA30" t="s">
        <v>392</v>
      </c>
      <c r="AB30" s="23" t="str">
        <f>AM30</f>
        <v>588f4584351c4b9ea59518b315bbf51d</v>
      </c>
      <c r="AC30" s="23"/>
      <c r="AD30" s="23"/>
      <c r="AE30" s="23"/>
      <c r="AF30" s="23"/>
      <c r="AG30" t="s">
        <v>386</v>
      </c>
      <c r="AM30" s="23" t="s">
        <v>116</v>
      </c>
    </row>
    <row r="31" spans="1:39" x14ac:dyDescent="0.2">
      <c r="A31" t="s">
        <v>393</v>
      </c>
      <c r="B31" t="b">
        <v>0</v>
      </c>
      <c r="C31" t="b">
        <v>0</v>
      </c>
      <c r="D31" t="b">
        <v>1</v>
      </c>
      <c r="E31" t="b">
        <v>0</v>
      </c>
      <c r="F31" t="b">
        <v>1</v>
      </c>
      <c r="G31" t="s">
        <v>361</v>
      </c>
      <c r="H31" t="s">
        <v>394</v>
      </c>
      <c r="I31" t="s">
        <v>393</v>
      </c>
      <c r="M31" t="s">
        <v>395</v>
      </c>
      <c r="N31" t="s">
        <v>396</v>
      </c>
      <c r="O31" t="s">
        <v>252</v>
      </c>
      <c r="P31" t="s">
        <v>397</v>
      </c>
      <c r="Q31" t="s">
        <v>398</v>
      </c>
      <c r="R31" s="1">
        <v>44012</v>
      </c>
      <c r="S31" s="1">
        <v>45473</v>
      </c>
      <c r="U31" t="s">
        <v>253</v>
      </c>
      <c r="V31" t="s">
        <v>254</v>
      </c>
      <c r="W31" t="s">
        <v>399</v>
      </c>
      <c r="X31" t="s">
        <v>256</v>
      </c>
      <c r="Y31" t="s">
        <v>400</v>
      </c>
      <c r="AG31" t="s">
        <v>401</v>
      </c>
      <c r="AH31">
        <v>4000000</v>
      </c>
      <c r="AI31" s="3" t="s">
        <v>281</v>
      </c>
    </row>
    <row r="32" spans="1:39" x14ac:dyDescent="0.2">
      <c r="A32" t="s">
        <v>402</v>
      </c>
      <c r="B32" t="b">
        <v>0</v>
      </c>
      <c r="C32" t="b">
        <v>0</v>
      </c>
      <c r="D32" t="b">
        <v>1</v>
      </c>
      <c r="E32" t="b">
        <v>0</v>
      </c>
      <c r="F32" t="b">
        <v>1</v>
      </c>
      <c r="G32" t="s">
        <v>361</v>
      </c>
      <c r="H32" t="s">
        <v>403</v>
      </c>
      <c r="I32" t="s">
        <v>402</v>
      </c>
      <c r="M32" t="s">
        <v>404</v>
      </c>
      <c r="N32" t="s">
        <v>405</v>
      </c>
      <c r="O32" t="s">
        <v>252</v>
      </c>
      <c r="R32" s="1">
        <v>44407</v>
      </c>
      <c r="S32" s="1">
        <v>46951</v>
      </c>
      <c r="T32" s="2">
        <v>44984.424582106483</v>
      </c>
      <c r="U32" t="s">
        <v>253</v>
      </c>
      <c r="V32" t="s">
        <v>267</v>
      </c>
      <c r="W32" t="s">
        <v>406</v>
      </c>
      <c r="X32" t="s">
        <v>256</v>
      </c>
      <c r="Y32" t="s">
        <v>257</v>
      </c>
      <c r="AG32" t="s">
        <v>260</v>
      </c>
      <c r="AH32">
        <v>100000000</v>
      </c>
      <c r="AI32" s="3" t="s">
        <v>407</v>
      </c>
    </row>
    <row r="33" spans="1:39" x14ac:dyDescent="0.2">
      <c r="A33" t="s">
        <v>408</v>
      </c>
      <c r="B33" t="b">
        <v>1</v>
      </c>
      <c r="C33" t="b">
        <v>0</v>
      </c>
      <c r="D33" t="b">
        <v>1</v>
      </c>
      <c r="E33" t="s">
        <v>248</v>
      </c>
      <c r="F33" t="b">
        <v>0</v>
      </c>
      <c r="G33" t="b">
        <v>0</v>
      </c>
      <c r="H33" t="s">
        <v>409</v>
      </c>
      <c r="I33" t="s">
        <v>408</v>
      </c>
      <c r="J33" t="s">
        <v>410</v>
      </c>
      <c r="K33" t="s">
        <v>411</v>
      </c>
      <c r="M33" t="s">
        <v>412</v>
      </c>
      <c r="N33" t="s">
        <v>413</v>
      </c>
      <c r="O33" t="s">
        <v>252</v>
      </c>
      <c r="R33" s="1">
        <v>43327</v>
      </c>
      <c r="S33" s="1">
        <v>48684</v>
      </c>
      <c r="U33" t="s">
        <v>253</v>
      </c>
      <c r="V33" t="s">
        <v>254</v>
      </c>
      <c r="W33" t="s">
        <v>414</v>
      </c>
      <c r="X33" t="s">
        <v>256</v>
      </c>
      <c r="Y33" t="s">
        <v>257</v>
      </c>
      <c r="AA33" s="6" t="s">
        <v>415</v>
      </c>
      <c r="AB33" s="6"/>
      <c r="AC33" s="6"/>
      <c r="AD33" s="6"/>
      <c r="AE33" s="6"/>
      <c r="AF33" s="6"/>
      <c r="AG33" t="s">
        <v>260</v>
      </c>
      <c r="AH33">
        <v>127780000</v>
      </c>
      <c r="AI33" s="3" t="s">
        <v>416</v>
      </c>
      <c r="AM33" s="6"/>
    </row>
    <row r="34" spans="1:39" x14ac:dyDescent="0.2">
      <c r="A34" t="s">
        <v>417</v>
      </c>
      <c r="B34" t="b">
        <v>0</v>
      </c>
      <c r="C34" t="b">
        <v>0</v>
      </c>
      <c r="D34" t="b">
        <v>1</v>
      </c>
      <c r="E34" t="b">
        <v>0</v>
      </c>
      <c r="F34" t="b">
        <v>1</v>
      </c>
      <c r="G34" t="b">
        <v>0</v>
      </c>
      <c r="H34" t="s">
        <v>418</v>
      </c>
      <c r="I34" t="s">
        <v>417</v>
      </c>
      <c r="J34" t="s">
        <v>50</v>
      </c>
      <c r="K34" t="s">
        <v>419</v>
      </c>
      <c r="L34" t="s">
        <v>420</v>
      </c>
      <c r="N34" t="s">
        <v>421</v>
      </c>
      <c r="O34" t="s">
        <v>252</v>
      </c>
      <c r="R34" s="1">
        <v>44441</v>
      </c>
      <c r="S34" s="1">
        <v>46632</v>
      </c>
      <c r="T34" s="2">
        <v>46057.610439131946</v>
      </c>
      <c r="U34" t="s">
        <v>253</v>
      </c>
      <c r="V34" t="s">
        <v>267</v>
      </c>
      <c r="W34" t="s">
        <v>319</v>
      </c>
      <c r="X34" t="s">
        <v>256</v>
      </c>
      <c r="Y34" t="s">
        <v>269</v>
      </c>
      <c r="Z34" s="32" t="s">
        <v>2755</v>
      </c>
      <c r="AA34" s="7" t="s">
        <v>320</v>
      </c>
      <c r="AB34" s="23" t="str">
        <f>AM34</f>
        <v>0861b552d06e4b9799ebc7a3b1aa7e2a</v>
      </c>
      <c r="AC34" s="23"/>
      <c r="AD34" s="23"/>
      <c r="AE34" s="23"/>
      <c r="AF34" s="23"/>
      <c r="AG34" t="s">
        <v>270</v>
      </c>
      <c r="AH34">
        <v>366118638</v>
      </c>
      <c r="AI34" s="3" t="s">
        <v>422</v>
      </c>
      <c r="AM34" s="21" t="s">
        <v>40</v>
      </c>
    </row>
    <row r="35" spans="1:39" x14ac:dyDescent="0.2">
      <c r="A35" t="s">
        <v>423</v>
      </c>
      <c r="B35" t="b">
        <v>0</v>
      </c>
      <c r="C35" t="b">
        <v>0</v>
      </c>
      <c r="D35" t="b">
        <v>1</v>
      </c>
      <c r="E35" t="b">
        <v>0</v>
      </c>
      <c r="F35" t="b">
        <v>1</v>
      </c>
      <c r="G35" t="b">
        <v>0</v>
      </c>
      <c r="H35" t="s">
        <v>424</v>
      </c>
      <c r="I35" t="s">
        <v>423</v>
      </c>
      <c r="J35" t="s">
        <v>78</v>
      </c>
      <c r="N35" t="s">
        <v>425</v>
      </c>
      <c r="O35" t="s">
        <v>252</v>
      </c>
      <c r="R35" s="1">
        <v>43873</v>
      </c>
      <c r="S35" s="1">
        <v>46006</v>
      </c>
      <c r="U35" t="s">
        <v>253</v>
      </c>
      <c r="V35" t="s">
        <v>254</v>
      </c>
      <c r="W35" t="s">
        <v>426</v>
      </c>
      <c r="X35" t="s">
        <v>256</v>
      </c>
      <c r="Y35" t="s">
        <v>257</v>
      </c>
      <c r="Z35" s="32" t="s">
        <v>2757</v>
      </c>
      <c r="AA35" s="7" t="s">
        <v>427</v>
      </c>
      <c r="AB35" s="23" t="str">
        <f>AM35</f>
        <v>06916bad6f3d4631a2127d3f46ff766d</v>
      </c>
      <c r="AC35" s="23"/>
      <c r="AD35" s="23"/>
      <c r="AE35" s="23"/>
      <c r="AF35" s="23"/>
      <c r="AG35" t="s">
        <v>270</v>
      </c>
      <c r="AH35">
        <v>680000000</v>
      </c>
      <c r="AI35" s="3" t="s">
        <v>428</v>
      </c>
      <c r="AM35" s="21" t="s">
        <v>74</v>
      </c>
    </row>
    <row r="36" spans="1:39" x14ac:dyDescent="0.2">
      <c r="A36" t="s">
        <v>429</v>
      </c>
      <c r="B36" t="b">
        <v>0</v>
      </c>
      <c r="C36" t="b">
        <v>0</v>
      </c>
      <c r="D36" t="b">
        <v>1</v>
      </c>
      <c r="E36" t="b">
        <v>0</v>
      </c>
      <c r="F36" t="b">
        <v>1</v>
      </c>
      <c r="G36" t="s">
        <v>361</v>
      </c>
      <c r="H36" t="s">
        <v>430</v>
      </c>
      <c r="I36" t="s">
        <v>429</v>
      </c>
      <c r="J36" t="s">
        <v>431</v>
      </c>
      <c r="N36" t="s">
        <v>432</v>
      </c>
      <c r="O36" t="s">
        <v>252</v>
      </c>
      <c r="P36" t="s">
        <v>433</v>
      </c>
      <c r="Q36" t="s">
        <v>434</v>
      </c>
      <c r="R36" s="1">
        <v>44056</v>
      </c>
      <c r="S36" s="1">
        <v>51361</v>
      </c>
      <c r="U36" t="s">
        <v>253</v>
      </c>
      <c r="V36" t="s">
        <v>254</v>
      </c>
      <c r="W36" t="s">
        <v>435</v>
      </c>
      <c r="X36" t="s">
        <v>256</v>
      </c>
      <c r="Y36" t="s">
        <v>384</v>
      </c>
      <c r="AG36" t="s">
        <v>386</v>
      </c>
      <c r="AH36">
        <v>139997669786</v>
      </c>
      <c r="AI36" s="3" t="s">
        <v>436</v>
      </c>
    </row>
    <row r="37" spans="1:39" x14ac:dyDescent="0.2">
      <c r="A37" t="s">
        <v>437</v>
      </c>
      <c r="B37" t="b">
        <v>1</v>
      </c>
      <c r="C37" t="b">
        <v>0</v>
      </c>
      <c r="D37" t="b">
        <v>1</v>
      </c>
      <c r="E37" t="s">
        <v>248</v>
      </c>
      <c r="F37" t="b">
        <v>0</v>
      </c>
      <c r="G37" t="b">
        <v>0</v>
      </c>
      <c r="H37" t="s">
        <v>438</v>
      </c>
      <c r="I37" t="s">
        <v>437</v>
      </c>
      <c r="J37" t="s">
        <v>439</v>
      </c>
      <c r="N37" t="s">
        <v>440</v>
      </c>
      <c r="O37" t="s">
        <v>252</v>
      </c>
      <c r="R37" s="1">
        <v>42699</v>
      </c>
      <c r="S37" s="1">
        <v>45621</v>
      </c>
      <c r="U37" t="s">
        <v>441</v>
      </c>
      <c r="V37" t="s">
        <v>254</v>
      </c>
      <c r="W37" t="s">
        <v>442</v>
      </c>
      <c r="X37" t="s">
        <v>256</v>
      </c>
      <c r="Y37" t="s">
        <v>257</v>
      </c>
      <c r="AA37" s="6" t="s">
        <v>415</v>
      </c>
      <c r="AB37" s="6"/>
      <c r="AC37" s="6"/>
      <c r="AD37" s="6"/>
      <c r="AE37" s="6"/>
      <c r="AF37" s="6"/>
      <c r="AG37" t="s">
        <v>260</v>
      </c>
      <c r="AH37">
        <v>1000000000</v>
      </c>
      <c r="AI37" s="3" t="s">
        <v>443</v>
      </c>
      <c r="AM37" s="6"/>
    </row>
    <row r="38" spans="1:39" x14ac:dyDescent="0.2">
      <c r="A38" t="s">
        <v>444</v>
      </c>
      <c r="B38" t="b">
        <v>0</v>
      </c>
      <c r="C38" t="b">
        <v>0</v>
      </c>
      <c r="D38" t="b">
        <v>1</v>
      </c>
      <c r="E38" t="b">
        <v>0</v>
      </c>
      <c r="F38" t="b">
        <v>1</v>
      </c>
      <c r="G38" t="b">
        <v>0</v>
      </c>
      <c r="H38" t="s">
        <v>445</v>
      </c>
      <c r="I38" t="s">
        <v>444</v>
      </c>
      <c r="J38" t="s">
        <v>20</v>
      </c>
      <c r="K38" t="s">
        <v>446</v>
      </c>
      <c r="N38" t="s">
        <v>447</v>
      </c>
      <c r="O38" t="s">
        <v>252</v>
      </c>
      <c r="P38" t="s">
        <v>275</v>
      </c>
      <c r="Q38" t="s">
        <v>276</v>
      </c>
      <c r="R38" s="1">
        <v>45440</v>
      </c>
      <c r="S38" s="1">
        <v>46170</v>
      </c>
      <c r="T38" s="2">
        <v>45960.676935138887</v>
      </c>
      <c r="U38" t="s">
        <v>253</v>
      </c>
      <c r="V38" t="s">
        <v>267</v>
      </c>
      <c r="W38" t="s">
        <v>277</v>
      </c>
      <c r="X38" t="s">
        <v>278</v>
      </c>
      <c r="Y38" t="s">
        <v>279</v>
      </c>
      <c r="Z38" s="32" t="s">
        <v>1072</v>
      </c>
      <c r="AA38" s="7" t="s">
        <v>280</v>
      </c>
      <c r="AB38" s="23" t="str">
        <f>AM38</f>
        <v>4d55cd98379640de90be2eb2fa9aba1f</v>
      </c>
      <c r="AC38" s="23"/>
      <c r="AD38" s="23"/>
      <c r="AE38" s="23"/>
      <c r="AF38" s="23"/>
      <c r="AG38" t="s">
        <v>270</v>
      </c>
      <c r="AH38">
        <v>5800000</v>
      </c>
      <c r="AI38" s="3" t="s">
        <v>448</v>
      </c>
      <c r="AM38" s="21" t="s">
        <v>2</v>
      </c>
    </row>
    <row r="39" spans="1:39" x14ac:dyDescent="0.2">
      <c r="A39" t="s">
        <v>449</v>
      </c>
      <c r="B39" t="b">
        <v>0</v>
      </c>
      <c r="C39" t="b">
        <v>0</v>
      </c>
      <c r="D39" t="b">
        <v>1</v>
      </c>
      <c r="E39" t="b">
        <v>0</v>
      </c>
      <c r="F39" t="b">
        <v>1</v>
      </c>
      <c r="G39" t="s">
        <v>361</v>
      </c>
      <c r="H39" t="s">
        <v>450</v>
      </c>
      <c r="I39" t="s">
        <v>449</v>
      </c>
      <c r="J39" t="s">
        <v>451</v>
      </c>
      <c r="K39" t="s">
        <v>452</v>
      </c>
      <c r="M39" t="s">
        <v>453</v>
      </c>
      <c r="N39" t="s">
        <v>454</v>
      </c>
      <c r="O39" t="s">
        <v>252</v>
      </c>
      <c r="R39" s="1">
        <v>42580</v>
      </c>
      <c r="S39" s="1">
        <v>44056</v>
      </c>
      <c r="U39" t="s">
        <v>253</v>
      </c>
      <c r="V39" t="s">
        <v>254</v>
      </c>
      <c r="W39" t="s">
        <v>304</v>
      </c>
      <c r="X39" t="s">
        <v>305</v>
      </c>
      <c r="Y39" t="s">
        <v>306</v>
      </c>
      <c r="AG39" t="s">
        <v>455</v>
      </c>
      <c r="AH39">
        <v>1032000000</v>
      </c>
      <c r="AI39" s="3" t="s">
        <v>456</v>
      </c>
    </row>
    <row r="40" spans="1:39" x14ac:dyDescent="0.2">
      <c r="A40" t="s">
        <v>457</v>
      </c>
      <c r="B40" t="b">
        <v>0</v>
      </c>
      <c r="C40" t="b">
        <v>0</v>
      </c>
      <c r="D40" t="b">
        <v>1</v>
      </c>
      <c r="E40" t="b">
        <v>0</v>
      </c>
      <c r="F40" t="b">
        <v>1</v>
      </c>
      <c r="G40" t="b">
        <v>0</v>
      </c>
      <c r="H40" t="s">
        <v>458</v>
      </c>
      <c r="I40" t="s">
        <v>457</v>
      </c>
      <c r="J40" t="s">
        <v>129</v>
      </c>
      <c r="N40" t="s">
        <v>459</v>
      </c>
      <c r="O40" t="s">
        <v>252</v>
      </c>
      <c r="P40" t="s">
        <v>378</v>
      </c>
      <c r="Q40" t="s">
        <v>379</v>
      </c>
      <c r="R40" s="1">
        <v>44637</v>
      </c>
      <c r="S40" s="1">
        <v>45733</v>
      </c>
      <c r="T40" s="2">
        <v>44900.980065243057</v>
      </c>
      <c r="U40" t="s">
        <v>253</v>
      </c>
      <c r="V40" t="s">
        <v>267</v>
      </c>
      <c r="W40" t="s">
        <v>383</v>
      </c>
      <c r="X40" t="s">
        <v>278</v>
      </c>
      <c r="Y40" t="s">
        <v>384</v>
      </c>
      <c r="Z40" s="32" t="s">
        <v>2756</v>
      </c>
      <c r="AA40" s="7" t="s">
        <v>385</v>
      </c>
      <c r="AB40" s="23" t="str">
        <f>AM40</f>
        <v>46bc90cd9f664b57a297ff3b221857bd</v>
      </c>
      <c r="AC40" s="23"/>
      <c r="AD40" s="23"/>
      <c r="AE40" s="23"/>
      <c r="AF40" s="23"/>
      <c r="AG40" t="s">
        <v>386</v>
      </c>
      <c r="AH40">
        <v>47121000000</v>
      </c>
      <c r="AI40" s="3" t="s">
        <v>460</v>
      </c>
      <c r="AM40" s="21" t="s">
        <v>128</v>
      </c>
    </row>
    <row r="41" spans="1:39" x14ac:dyDescent="0.2">
      <c r="A41" t="s">
        <v>461</v>
      </c>
      <c r="B41" t="b">
        <v>0</v>
      </c>
      <c r="C41" t="b">
        <v>0</v>
      </c>
      <c r="D41" t="b">
        <v>1</v>
      </c>
      <c r="E41" t="b">
        <v>0</v>
      </c>
      <c r="F41" t="b">
        <v>1</v>
      </c>
      <c r="G41" t="b">
        <v>0</v>
      </c>
      <c r="H41" t="s">
        <v>462</v>
      </c>
      <c r="I41" t="s">
        <v>461</v>
      </c>
      <c r="J41" t="s">
        <v>88</v>
      </c>
      <c r="K41" t="s">
        <v>463</v>
      </c>
      <c r="N41" t="s">
        <v>464</v>
      </c>
      <c r="O41" t="s">
        <v>252</v>
      </c>
      <c r="P41" t="s">
        <v>465</v>
      </c>
      <c r="Q41" t="s">
        <v>466</v>
      </c>
      <c r="R41" s="1">
        <v>44078</v>
      </c>
      <c r="S41" s="1">
        <v>45904</v>
      </c>
      <c r="U41" t="s">
        <v>253</v>
      </c>
      <c r="V41" t="s">
        <v>254</v>
      </c>
      <c r="W41" t="s">
        <v>467</v>
      </c>
      <c r="X41" t="s">
        <v>305</v>
      </c>
      <c r="Y41" t="s">
        <v>306</v>
      </c>
      <c r="Z41" s="32" t="s">
        <v>651</v>
      </c>
      <c r="AA41" s="7" t="s">
        <v>468</v>
      </c>
      <c r="AB41" s="23" t="str">
        <f>AM41</f>
        <v>20ab6a5a7a89447fa8ffc6208696d342</v>
      </c>
      <c r="AC41" s="23"/>
      <c r="AD41" s="23"/>
      <c r="AE41" s="23"/>
      <c r="AF41" s="23"/>
      <c r="AG41" t="s">
        <v>308</v>
      </c>
      <c r="AH41">
        <v>350000000</v>
      </c>
      <c r="AI41" s="3" t="s">
        <v>469</v>
      </c>
      <c r="AM41" s="21" t="s">
        <v>87</v>
      </c>
    </row>
    <row r="42" spans="1:39" x14ac:dyDescent="0.2">
      <c r="A42" t="s">
        <v>470</v>
      </c>
      <c r="B42" t="b">
        <v>0</v>
      </c>
      <c r="C42" t="b">
        <v>0</v>
      </c>
      <c r="D42" t="b">
        <v>1</v>
      </c>
      <c r="E42" t="b">
        <v>0</v>
      </c>
      <c r="F42" t="b">
        <v>1</v>
      </c>
      <c r="G42" t="b">
        <v>0</v>
      </c>
      <c r="H42" t="s">
        <v>471</v>
      </c>
      <c r="I42" t="s">
        <v>470</v>
      </c>
      <c r="J42" t="s">
        <v>106</v>
      </c>
      <c r="K42" t="s">
        <v>472</v>
      </c>
      <c r="L42" t="s">
        <v>473</v>
      </c>
      <c r="M42" t="s">
        <v>474</v>
      </c>
      <c r="N42" t="s">
        <v>475</v>
      </c>
      <c r="O42" t="s">
        <v>252</v>
      </c>
      <c r="P42" t="s">
        <v>476</v>
      </c>
      <c r="Q42" t="s">
        <v>477</v>
      </c>
      <c r="R42" s="1">
        <v>45966</v>
      </c>
      <c r="S42" s="1">
        <v>49618</v>
      </c>
      <c r="T42" s="2">
        <v>46111.823175474536</v>
      </c>
      <c r="U42" t="s">
        <v>253</v>
      </c>
      <c r="V42" t="s">
        <v>267</v>
      </c>
      <c r="W42" t="s">
        <v>478</v>
      </c>
      <c r="X42" t="s">
        <v>479</v>
      </c>
      <c r="Y42" t="s">
        <v>384</v>
      </c>
      <c r="Z42" s="32" t="s">
        <v>2753</v>
      </c>
      <c r="AA42" s="7" t="s">
        <v>480</v>
      </c>
      <c r="AB42" s="23" t="str">
        <f>AM42</f>
        <v>79973950fccc4bf18841836cb416b80c</v>
      </c>
      <c r="AC42" s="23"/>
      <c r="AD42" s="23"/>
      <c r="AE42" s="23"/>
      <c r="AF42" s="23"/>
      <c r="AG42" t="s">
        <v>386</v>
      </c>
      <c r="AH42">
        <v>2130928000000</v>
      </c>
      <c r="AI42" s="3" t="s">
        <v>481</v>
      </c>
      <c r="AM42" s="21" t="s">
        <v>103</v>
      </c>
    </row>
    <row r="43" spans="1:39" x14ac:dyDescent="0.2">
      <c r="A43" t="s">
        <v>482</v>
      </c>
      <c r="B43" t="b">
        <v>0</v>
      </c>
      <c r="C43" t="b">
        <v>0</v>
      </c>
      <c r="D43" t="b">
        <v>1</v>
      </c>
      <c r="E43" t="b">
        <v>0</v>
      </c>
      <c r="F43" t="b">
        <v>1</v>
      </c>
      <c r="G43" t="s">
        <v>361</v>
      </c>
      <c r="H43" t="s">
        <v>483</v>
      </c>
      <c r="I43" t="s">
        <v>482</v>
      </c>
      <c r="J43" t="s">
        <v>484</v>
      </c>
      <c r="K43" t="s">
        <v>485</v>
      </c>
      <c r="N43" t="s">
        <v>486</v>
      </c>
      <c r="O43" t="s">
        <v>252</v>
      </c>
      <c r="R43" s="1">
        <v>44547</v>
      </c>
      <c r="S43" s="1">
        <v>45643</v>
      </c>
      <c r="U43" t="s">
        <v>253</v>
      </c>
      <c r="V43" t="s">
        <v>267</v>
      </c>
      <c r="W43" t="s">
        <v>487</v>
      </c>
      <c r="X43" t="s">
        <v>256</v>
      </c>
      <c r="Y43" t="s">
        <v>269</v>
      </c>
      <c r="AG43" t="s">
        <v>488</v>
      </c>
      <c r="AH43">
        <v>115000000</v>
      </c>
      <c r="AI43" s="3" t="s">
        <v>489</v>
      </c>
    </row>
    <row r="44" spans="1:39" x14ac:dyDescent="0.2">
      <c r="A44" t="s">
        <v>490</v>
      </c>
      <c r="B44" t="b">
        <v>0</v>
      </c>
      <c r="C44" t="b">
        <v>0</v>
      </c>
      <c r="D44" t="b">
        <v>1</v>
      </c>
      <c r="E44" t="b">
        <v>0</v>
      </c>
      <c r="F44" t="b">
        <v>1</v>
      </c>
      <c r="G44" t="s">
        <v>361</v>
      </c>
      <c r="H44" t="s">
        <v>491</v>
      </c>
      <c r="I44" t="s">
        <v>490</v>
      </c>
      <c r="J44" t="s">
        <v>492</v>
      </c>
      <c r="M44" t="s">
        <v>493</v>
      </c>
      <c r="N44" t="s">
        <v>493</v>
      </c>
      <c r="O44" t="s">
        <v>252</v>
      </c>
      <c r="R44" s="1">
        <v>43023</v>
      </c>
      <c r="S44" s="1">
        <v>47467</v>
      </c>
      <c r="U44" t="s">
        <v>253</v>
      </c>
      <c r="V44" t="s">
        <v>254</v>
      </c>
      <c r="W44" t="s">
        <v>494</v>
      </c>
      <c r="X44" t="s">
        <v>256</v>
      </c>
      <c r="Y44" t="s">
        <v>257</v>
      </c>
      <c r="AG44" t="s">
        <v>260</v>
      </c>
      <c r="AH44">
        <v>220000000</v>
      </c>
      <c r="AI44" s="3" t="s">
        <v>495</v>
      </c>
    </row>
    <row r="45" spans="1:39" x14ac:dyDescent="0.2">
      <c r="A45" t="s">
        <v>496</v>
      </c>
      <c r="B45" t="b">
        <v>0</v>
      </c>
      <c r="C45" t="b">
        <v>0</v>
      </c>
      <c r="D45" t="b">
        <v>0</v>
      </c>
      <c r="E45" t="b">
        <v>0</v>
      </c>
      <c r="F45" t="b">
        <v>0</v>
      </c>
      <c r="G45" t="b">
        <v>1</v>
      </c>
      <c r="H45" t="s">
        <v>497</v>
      </c>
      <c r="I45" t="s">
        <v>496</v>
      </c>
      <c r="J45" t="s">
        <v>37</v>
      </c>
      <c r="N45" t="s">
        <v>498</v>
      </c>
      <c r="O45" t="s">
        <v>252</v>
      </c>
      <c r="P45" t="s">
        <v>340</v>
      </c>
      <c r="Q45" t="s">
        <v>341</v>
      </c>
      <c r="R45" s="1">
        <v>45217</v>
      </c>
      <c r="S45" s="1">
        <v>46311</v>
      </c>
      <c r="T45" s="2">
        <v>45233.799360370373</v>
      </c>
      <c r="U45" t="s">
        <v>253</v>
      </c>
      <c r="V45" t="s">
        <v>295</v>
      </c>
      <c r="W45" t="s">
        <v>342</v>
      </c>
      <c r="X45" t="s">
        <v>305</v>
      </c>
      <c r="Y45" t="s">
        <v>343</v>
      </c>
      <c r="AA45" t="s">
        <v>344</v>
      </c>
      <c r="AB45" s="23" t="str">
        <f>AM45</f>
        <v>41f78746078d444787f9a1f78b30153c</v>
      </c>
      <c r="AC45" s="23"/>
      <c r="AD45" s="23"/>
      <c r="AE45" s="23"/>
      <c r="AF45" s="23"/>
      <c r="AG45" t="s">
        <v>345</v>
      </c>
      <c r="AH45">
        <v>4835000000</v>
      </c>
      <c r="AI45" s="3" t="s">
        <v>499</v>
      </c>
      <c r="AM45" s="23" t="s">
        <v>27</v>
      </c>
    </row>
    <row r="46" spans="1:39" x14ac:dyDescent="0.2">
      <c r="A46" t="s">
        <v>500</v>
      </c>
      <c r="B46" t="b">
        <v>0</v>
      </c>
      <c r="C46" t="b">
        <v>0</v>
      </c>
      <c r="D46" t="b">
        <v>1</v>
      </c>
      <c r="E46" t="b">
        <v>0</v>
      </c>
      <c r="F46" t="b">
        <v>1</v>
      </c>
      <c r="G46" t="b">
        <v>0</v>
      </c>
      <c r="H46" t="s">
        <v>501</v>
      </c>
      <c r="I46" t="s">
        <v>500</v>
      </c>
      <c r="J46" t="s">
        <v>127</v>
      </c>
      <c r="K46" t="s">
        <v>502</v>
      </c>
      <c r="N46" t="s">
        <v>503</v>
      </c>
      <c r="O46" t="s">
        <v>252</v>
      </c>
      <c r="P46" t="s">
        <v>504</v>
      </c>
      <c r="Q46" t="s">
        <v>505</v>
      </c>
      <c r="R46" s="1">
        <v>44165</v>
      </c>
      <c r="S46" s="1">
        <v>45991</v>
      </c>
      <c r="T46" s="2">
        <v>45099.925569375002</v>
      </c>
      <c r="U46" t="s">
        <v>253</v>
      </c>
      <c r="V46" t="s">
        <v>267</v>
      </c>
      <c r="W46" t="s">
        <v>506</v>
      </c>
      <c r="X46" t="s">
        <v>278</v>
      </c>
      <c r="Y46" t="s">
        <v>257</v>
      </c>
      <c r="Z46" s="32" t="s">
        <v>1415</v>
      </c>
      <c r="AA46" s="7" t="s">
        <v>507</v>
      </c>
      <c r="AB46" s="23" t="str">
        <f>AM46</f>
        <v>4fe1e360ebb54d2881c324702c05ca4c</v>
      </c>
      <c r="AC46" s="23"/>
      <c r="AD46" s="23"/>
      <c r="AE46" s="23"/>
      <c r="AF46" s="23"/>
      <c r="AG46" t="s">
        <v>270</v>
      </c>
      <c r="AH46">
        <v>50000000</v>
      </c>
      <c r="AI46" s="3" t="s">
        <v>353</v>
      </c>
      <c r="AM46" s="21" t="s">
        <v>125</v>
      </c>
    </row>
    <row r="47" spans="1:39" x14ac:dyDescent="0.2">
      <c r="A47" t="s">
        <v>508</v>
      </c>
      <c r="B47" t="b">
        <v>0</v>
      </c>
      <c r="C47" t="b">
        <v>0</v>
      </c>
      <c r="D47" t="b">
        <v>1</v>
      </c>
      <c r="E47" t="b">
        <v>0</v>
      </c>
      <c r="F47" t="b">
        <v>1</v>
      </c>
      <c r="G47" t="b">
        <v>0</v>
      </c>
      <c r="H47" t="s">
        <v>509</v>
      </c>
      <c r="I47" t="s">
        <v>508</v>
      </c>
      <c r="J47" t="s">
        <v>16</v>
      </c>
      <c r="K47" t="s">
        <v>510</v>
      </c>
      <c r="N47" t="s">
        <v>511</v>
      </c>
      <c r="O47" t="s">
        <v>252</v>
      </c>
      <c r="P47" t="s">
        <v>275</v>
      </c>
      <c r="Q47" t="s">
        <v>276</v>
      </c>
      <c r="R47" s="1">
        <v>45166</v>
      </c>
      <c r="S47" s="1">
        <v>45897</v>
      </c>
      <c r="T47" s="2">
        <v>45960.676532256941</v>
      </c>
      <c r="U47" t="s">
        <v>253</v>
      </c>
      <c r="V47" t="s">
        <v>267</v>
      </c>
      <c r="W47" t="s">
        <v>277</v>
      </c>
      <c r="X47" t="s">
        <v>278</v>
      </c>
      <c r="Y47" t="s">
        <v>279</v>
      </c>
      <c r="Z47" s="32" t="s">
        <v>1072</v>
      </c>
      <c r="AA47" s="7" t="s">
        <v>280</v>
      </c>
      <c r="AB47" s="23" t="str">
        <f>AM47</f>
        <v>4d55cd98379640de90be2eb2fa9aba1f</v>
      </c>
      <c r="AC47" s="23"/>
      <c r="AD47" s="23"/>
      <c r="AE47" s="23"/>
      <c r="AF47" s="23"/>
      <c r="AG47" t="s">
        <v>270</v>
      </c>
      <c r="AH47">
        <v>2000000</v>
      </c>
      <c r="AI47" s="3" t="s">
        <v>281</v>
      </c>
      <c r="AM47" s="21" t="s">
        <v>2</v>
      </c>
    </row>
    <row r="48" spans="1:39" x14ac:dyDescent="0.2">
      <c r="A48" t="s">
        <v>512</v>
      </c>
      <c r="B48" t="b">
        <v>1</v>
      </c>
      <c r="C48" t="b">
        <v>0</v>
      </c>
      <c r="D48" t="b">
        <v>1</v>
      </c>
      <c r="E48" t="s">
        <v>248</v>
      </c>
      <c r="F48" t="b">
        <v>0</v>
      </c>
      <c r="G48" t="b">
        <v>0</v>
      </c>
      <c r="H48" t="s">
        <v>513</v>
      </c>
      <c r="I48" t="s">
        <v>512</v>
      </c>
      <c r="J48" t="s">
        <v>514</v>
      </c>
      <c r="K48" t="s">
        <v>515</v>
      </c>
      <c r="M48" t="s">
        <v>516</v>
      </c>
      <c r="N48" t="s">
        <v>517</v>
      </c>
      <c r="O48" t="s">
        <v>252</v>
      </c>
      <c r="R48" s="1">
        <v>42857</v>
      </c>
      <c r="S48" s="1">
        <v>47102</v>
      </c>
      <c r="U48" t="s">
        <v>253</v>
      </c>
      <c r="V48" t="s">
        <v>254</v>
      </c>
      <c r="W48" t="s">
        <v>414</v>
      </c>
      <c r="X48" t="s">
        <v>256</v>
      </c>
      <c r="Y48" t="s">
        <v>257</v>
      </c>
      <c r="AA48" s="6" t="s">
        <v>518</v>
      </c>
      <c r="AB48" s="7" t="s">
        <v>519</v>
      </c>
      <c r="AC48" s="7"/>
      <c r="AD48" s="7"/>
      <c r="AE48" s="7"/>
      <c r="AF48" s="7"/>
      <c r="AG48" t="s">
        <v>260</v>
      </c>
      <c r="AH48">
        <v>111760000</v>
      </c>
      <c r="AI48" s="3" t="s">
        <v>520</v>
      </c>
      <c r="AM48" s="6"/>
    </row>
    <row r="49" spans="1:39" x14ac:dyDescent="0.2">
      <c r="A49" s="4" t="s">
        <v>521</v>
      </c>
      <c r="B49" t="b">
        <v>1</v>
      </c>
      <c r="C49" t="b">
        <v>0</v>
      </c>
      <c r="D49" t="b">
        <v>1</v>
      </c>
      <c r="E49" t="s">
        <v>522</v>
      </c>
      <c r="F49" t="b">
        <v>0</v>
      </c>
      <c r="G49" t="b">
        <v>0</v>
      </c>
      <c r="H49" t="s">
        <v>523</v>
      </c>
      <c r="I49" s="4" t="s">
        <v>521</v>
      </c>
      <c r="K49" s="20" t="s">
        <v>524</v>
      </c>
      <c r="M49" t="s">
        <v>525</v>
      </c>
      <c r="N49" t="s">
        <v>526</v>
      </c>
      <c r="O49" t="s">
        <v>252</v>
      </c>
      <c r="R49" s="1">
        <v>43819</v>
      </c>
      <c r="S49" s="1">
        <v>45646</v>
      </c>
      <c r="T49" s="2">
        <v>46150.61309979167</v>
      </c>
      <c r="U49" t="s">
        <v>441</v>
      </c>
      <c r="V49" t="s">
        <v>267</v>
      </c>
      <c r="W49" t="s">
        <v>527</v>
      </c>
      <c r="X49" t="s">
        <v>278</v>
      </c>
      <c r="Y49" t="s">
        <v>528</v>
      </c>
      <c r="Z49" s="35" t="s">
        <v>529</v>
      </c>
      <c r="AA49" s="7" t="s">
        <v>530</v>
      </c>
      <c r="AB49" s="23" t="str">
        <f>AM49</f>
        <v>75a44c0cd7a04d06b490e812b1645147</v>
      </c>
      <c r="AC49" s="23"/>
      <c r="AD49" s="23"/>
      <c r="AE49" s="23"/>
      <c r="AF49" s="23"/>
      <c r="AG49" t="s">
        <v>270</v>
      </c>
      <c r="AH49">
        <v>150000000</v>
      </c>
      <c r="AI49" s="3" t="s">
        <v>531</v>
      </c>
      <c r="AM49" s="21" t="s">
        <v>210</v>
      </c>
    </row>
    <row r="50" spans="1:39" x14ac:dyDescent="0.2">
      <c r="A50" t="s">
        <v>532</v>
      </c>
      <c r="B50" t="b">
        <v>0</v>
      </c>
      <c r="C50" t="b">
        <v>0</v>
      </c>
      <c r="D50" t="b">
        <v>1</v>
      </c>
      <c r="E50" t="b">
        <v>0</v>
      </c>
      <c r="F50" t="b">
        <v>1</v>
      </c>
      <c r="G50" t="s">
        <v>361</v>
      </c>
      <c r="H50" t="s">
        <v>533</v>
      </c>
      <c r="I50" t="s">
        <v>532</v>
      </c>
      <c r="J50" t="s">
        <v>534</v>
      </c>
      <c r="K50" t="s">
        <v>535</v>
      </c>
      <c r="M50" t="s">
        <v>536</v>
      </c>
      <c r="N50" t="s">
        <v>537</v>
      </c>
      <c r="O50" t="s">
        <v>252</v>
      </c>
      <c r="R50" s="1">
        <v>44595</v>
      </c>
      <c r="S50" s="1">
        <v>48247</v>
      </c>
      <c r="U50" t="s">
        <v>253</v>
      </c>
      <c r="V50" t="s">
        <v>254</v>
      </c>
      <c r="W50" t="s">
        <v>538</v>
      </c>
      <c r="X50" t="s">
        <v>256</v>
      </c>
      <c r="Y50" t="s">
        <v>269</v>
      </c>
      <c r="AG50" t="s">
        <v>270</v>
      </c>
      <c r="AH50">
        <v>63900000</v>
      </c>
      <c r="AI50" s="3" t="s">
        <v>539</v>
      </c>
    </row>
    <row r="51" spans="1:39" x14ac:dyDescent="0.2">
      <c r="A51" t="s">
        <v>540</v>
      </c>
      <c r="B51" t="b">
        <v>1</v>
      </c>
      <c r="C51" t="b">
        <v>0</v>
      </c>
      <c r="D51" t="b">
        <v>1</v>
      </c>
      <c r="E51" t="s">
        <v>248</v>
      </c>
      <c r="F51" t="b">
        <v>0</v>
      </c>
      <c r="G51" t="b">
        <v>0</v>
      </c>
      <c r="H51" t="s">
        <v>541</v>
      </c>
      <c r="I51" t="s">
        <v>540</v>
      </c>
      <c r="J51" t="s">
        <v>542</v>
      </c>
      <c r="K51" t="s">
        <v>543</v>
      </c>
      <c r="N51" t="s">
        <v>544</v>
      </c>
      <c r="O51" t="s">
        <v>252</v>
      </c>
      <c r="R51" s="1">
        <v>43814</v>
      </c>
      <c r="S51" s="1">
        <v>52946</v>
      </c>
      <c r="U51" t="s">
        <v>253</v>
      </c>
      <c r="V51" t="s">
        <v>267</v>
      </c>
      <c r="W51" t="s">
        <v>545</v>
      </c>
      <c r="X51" t="s">
        <v>256</v>
      </c>
      <c r="Y51" t="s">
        <v>257</v>
      </c>
      <c r="AA51" s="6" t="s">
        <v>546</v>
      </c>
      <c r="AB51" s="7" t="s">
        <v>547</v>
      </c>
      <c r="AC51" s="7"/>
      <c r="AD51" s="7"/>
      <c r="AE51" s="7"/>
      <c r="AF51" s="7"/>
      <c r="AG51" t="s">
        <v>260</v>
      </c>
      <c r="AH51">
        <v>300000000</v>
      </c>
      <c r="AI51" s="3" t="s">
        <v>548</v>
      </c>
      <c r="AM51" s="6"/>
    </row>
    <row r="52" spans="1:39" x14ac:dyDescent="0.2">
      <c r="A52" t="s">
        <v>549</v>
      </c>
      <c r="B52" t="b">
        <v>0</v>
      </c>
      <c r="C52" t="b">
        <v>0</v>
      </c>
      <c r="D52" t="b">
        <v>1</v>
      </c>
      <c r="E52" t="b">
        <v>0</v>
      </c>
      <c r="F52" t="b">
        <v>1</v>
      </c>
      <c r="G52" t="b">
        <v>0</v>
      </c>
      <c r="H52" t="s">
        <v>550</v>
      </c>
      <c r="I52" t="s">
        <v>549</v>
      </c>
      <c r="J52" t="s">
        <v>19</v>
      </c>
      <c r="K52" t="s">
        <v>551</v>
      </c>
      <c r="N52" t="s">
        <v>552</v>
      </c>
      <c r="O52" t="s">
        <v>252</v>
      </c>
      <c r="P52" t="s">
        <v>275</v>
      </c>
      <c r="Q52" t="s">
        <v>276</v>
      </c>
      <c r="R52" s="1">
        <v>45421</v>
      </c>
      <c r="S52" s="1">
        <v>46151</v>
      </c>
      <c r="T52" s="2">
        <v>45960.678322789354</v>
      </c>
      <c r="U52" t="s">
        <v>253</v>
      </c>
      <c r="V52" t="s">
        <v>267</v>
      </c>
      <c r="W52" t="s">
        <v>277</v>
      </c>
      <c r="X52" t="s">
        <v>278</v>
      </c>
      <c r="Y52" t="s">
        <v>279</v>
      </c>
      <c r="Z52" s="32" t="s">
        <v>1072</v>
      </c>
      <c r="AA52" s="7" t="s">
        <v>280</v>
      </c>
      <c r="AB52" s="23" t="str">
        <f>AM52</f>
        <v>4d55cd98379640de90be2eb2fa9aba1f</v>
      </c>
      <c r="AC52" s="23"/>
      <c r="AD52" s="23"/>
      <c r="AE52" s="23"/>
      <c r="AF52" s="23"/>
      <c r="AG52" t="s">
        <v>270</v>
      </c>
      <c r="AH52">
        <v>750000</v>
      </c>
      <c r="AI52" s="3" t="s">
        <v>553</v>
      </c>
      <c r="AM52" s="21" t="s">
        <v>2</v>
      </c>
    </row>
    <row r="53" spans="1:39" x14ac:dyDescent="0.2">
      <c r="A53" t="s">
        <v>554</v>
      </c>
      <c r="B53" t="b">
        <v>1</v>
      </c>
      <c r="C53" t="b">
        <v>0</v>
      </c>
      <c r="D53" t="b">
        <v>1</v>
      </c>
      <c r="E53" t="b">
        <v>0</v>
      </c>
      <c r="F53" t="b">
        <v>0</v>
      </c>
      <c r="G53" t="s">
        <v>361</v>
      </c>
      <c r="H53" t="s">
        <v>555</v>
      </c>
      <c r="I53" t="s">
        <v>554</v>
      </c>
      <c r="J53" t="s">
        <v>556</v>
      </c>
      <c r="N53" t="s">
        <v>557</v>
      </c>
      <c r="O53" t="s">
        <v>252</v>
      </c>
      <c r="R53" s="1">
        <v>42710</v>
      </c>
      <c r="S53" s="1">
        <v>45265</v>
      </c>
      <c r="U53" t="s">
        <v>253</v>
      </c>
      <c r="V53" t="s">
        <v>254</v>
      </c>
      <c r="W53" t="s">
        <v>558</v>
      </c>
      <c r="X53" t="s">
        <v>278</v>
      </c>
      <c r="Y53" t="s">
        <v>384</v>
      </c>
      <c r="Z53" t="s">
        <v>559</v>
      </c>
      <c r="AA53" t="s">
        <v>560</v>
      </c>
      <c r="AB53" t="s">
        <v>559</v>
      </c>
      <c r="AG53" t="s">
        <v>386</v>
      </c>
      <c r="AH53">
        <v>350000000000</v>
      </c>
      <c r="AI53" s="3" t="s">
        <v>561</v>
      </c>
      <c r="AM53" s="23" t="s">
        <v>562</v>
      </c>
    </row>
    <row r="54" spans="1:39" x14ac:dyDescent="0.2">
      <c r="A54" t="s">
        <v>563</v>
      </c>
      <c r="B54" t="b">
        <v>0</v>
      </c>
      <c r="C54" t="b">
        <v>0</v>
      </c>
      <c r="D54" t="b">
        <v>1</v>
      </c>
      <c r="E54" t="b">
        <v>0</v>
      </c>
      <c r="F54" t="b">
        <v>1</v>
      </c>
      <c r="G54" t="s">
        <v>361</v>
      </c>
      <c r="H54" t="s">
        <v>564</v>
      </c>
      <c r="I54" t="s">
        <v>563</v>
      </c>
      <c r="J54" t="s">
        <v>565</v>
      </c>
      <c r="K54" t="s">
        <v>566</v>
      </c>
      <c r="N54" t="s">
        <v>567</v>
      </c>
      <c r="O54" t="s">
        <v>252</v>
      </c>
      <c r="R54" s="1">
        <v>44861</v>
      </c>
      <c r="S54" s="1">
        <v>45957</v>
      </c>
      <c r="T54" s="2">
        <v>45035.810434930558</v>
      </c>
      <c r="U54" t="s">
        <v>253</v>
      </c>
      <c r="V54" t="s">
        <v>267</v>
      </c>
      <c r="W54" t="s">
        <v>568</v>
      </c>
      <c r="X54" t="s">
        <v>479</v>
      </c>
      <c r="Y54" t="s">
        <v>269</v>
      </c>
      <c r="AG54" t="s">
        <v>488</v>
      </c>
      <c r="AH54">
        <v>2000000000</v>
      </c>
      <c r="AI54" s="3" t="s">
        <v>569</v>
      </c>
    </row>
    <row r="55" spans="1:39" x14ac:dyDescent="0.2">
      <c r="A55" t="s">
        <v>570</v>
      </c>
      <c r="B55" t="b">
        <v>1</v>
      </c>
      <c r="C55" t="b">
        <v>0</v>
      </c>
      <c r="D55" t="b">
        <v>1</v>
      </c>
      <c r="E55" t="s">
        <v>522</v>
      </c>
      <c r="F55" t="b">
        <v>0</v>
      </c>
      <c r="G55" t="b">
        <v>0</v>
      </c>
      <c r="H55" t="s">
        <v>571</v>
      </c>
      <c r="I55" t="s">
        <v>570</v>
      </c>
      <c r="J55" s="20" t="s">
        <v>184</v>
      </c>
      <c r="K55" t="s">
        <v>572</v>
      </c>
      <c r="L55" t="s">
        <v>573</v>
      </c>
      <c r="N55" t="s">
        <v>574</v>
      </c>
      <c r="O55" t="s">
        <v>252</v>
      </c>
      <c r="R55" s="1">
        <v>42864</v>
      </c>
      <c r="S55" s="1">
        <v>45421</v>
      </c>
      <c r="T55" s="2">
        <v>45322.717228935187</v>
      </c>
      <c r="U55" t="s">
        <v>575</v>
      </c>
      <c r="V55" t="s">
        <v>254</v>
      </c>
      <c r="W55" t="s">
        <v>576</v>
      </c>
      <c r="X55" t="s">
        <v>305</v>
      </c>
      <c r="Y55" t="s">
        <v>257</v>
      </c>
      <c r="Z55" s="35" t="s">
        <v>577</v>
      </c>
      <c r="AA55" s="7" t="s">
        <v>578</v>
      </c>
      <c r="AB55" s="23" t="str">
        <f>AM55</f>
        <v>8248830a582148988b2d374bbe06b15d</v>
      </c>
      <c r="AC55" s="23"/>
      <c r="AD55" s="23"/>
      <c r="AE55" s="23"/>
      <c r="AF55" s="23"/>
      <c r="AG55" t="s">
        <v>270</v>
      </c>
      <c r="AH55">
        <v>1000000000</v>
      </c>
      <c r="AI55" s="3" t="s">
        <v>579</v>
      </c>
      <c r="AM55" s="21" t="s">
        <v>183</v>
      </c>
    </row>
    <row r="56" spans="1:39" x14ac:dyDescent="0.2">
      <c r="A56" t="s">
        <v>580</v>
      </c>
      <c r="B56" t="b">
        <v>1</v>
      </c>
      <c r="C56" t="b">
        <v>0</v>
      </c>
      <c r="D56" t="b">
        <v>1</v>
      </c>
      <c r="E56" t="s">
        <v>248</v>
      </c>
      <c r="F56" t="b">
        <v>0</v>
      </c>
      <c r="G56" t="b">
        <v>0</v>
      </c>
      <c r="H56" t="s">
        <v>581</v>
      </c>
      <c r="I56" t="s">
        <v>580</v>
      </c>
      <c r="J56" t="s">
        <v>582</v>
      </c>
      <c r="N56" t="s">
        <v>583</v>
      </c>
      <c r="O56" t="s">
        <v>252</v>
      </c>
      <c r="R56" s="1">
        <v>42752</v>
      </c>
      <c r="S56" s="1">
        <v>46404</v>
      </c>
      <c r="U56" t="s">
        <v>285</v>
      </c>
      <c r="V56" t="s">
        <v>254</v>
      </c>
      <c r="W56" t="s">
        <v>442</v>
      </c>
      <c r="X56" t="s">
        <v>256</v>
      </c>
      <c r="Y56" t="s">
        <v>257</v>
      </c>
      <c r="AA56" s="6" t="s">
        <v>546</v>
      </c>
      <c r="AB56" s="7" t="s">
        <v>584</v>
      </c>
      <c r="AC56" s="7"/>
      <c r="AD56" s="7"/>
      <c r="AE56" s="7"/>
      <c r="AF56" s="7"/>
      <c r="AG56" t="s">
        <v>270</v>
      </c>
      <c r="AH56">
        <v>700000000</v>
      </c>
      <c r="AI56" s="3" t="s">
        <v>585</v>
      </c>
      <c r="AM56" s="6"/>
    </row>
    <row r="57" spans="1:39" x14ac:dyDescent="0.2">
      <c r="A57" t="s">
        <v>586</v>
      </c>
      <c r="B57" t="b">
        <v>0</v>
      </c>
      <c r="C57" t="b">
        <v>0</v>
      </c>
      <c r="D57" t="b">
        <v>0</v>
      </c>
      <c r="E57" t="b">
        <v>0</v>
      </c>
      <c r="F57" t="b">
        <v>0</v>
      </c>
      <c r="G57" t="b">
        <v>1</v>
      </c>
      <c r="H57" t="s">
        <v>587</v>
      </c>
      <c r="I57" t="s">
        <v>586</v>
      </c>
      <c r="J57" t="s">
        <v>84</v>
      </c>
      <c r="N57" t="s">
        <v>588</v>
      </c>
      <c r="O57" t="s">
        <v>252</v>
      </c>
      <c r="R57" s="1">
        <v>44922</v>
      </c>
      <c r="S57" s="1">
        <v>46748</v>
      </c>
      <c r="T57" s="2">
        <v>44952.904264814817</v>
      </c>
      <c r="U57" t="s">
        <v>253</v>
      </c>
      <c r="V57" t="s">
        <v>589</v>
      </c>
      <c r="W57" t="s">
        <v>304</v>
      </c>
      <c r="X57" t="s">
        <v>305</v>
      </c>
      <c r="Y57" t="s">
        <v>306</v>
      </c>
      <c r="AA57" t="s">
        <v>590</v>
      </c>
      <c r="AB57" s="23" t="str">
        <f>AM57</f>
        <v>9baf8156464a428da24a03b589461dec</v>
      </c>
      <c r="AC57" s="23"/>
      <c r="AD57" s="23"/>
      <c r="AE57" s="23"/>
      <c r="AF57" s="23"/>
      <c r="AG57" t="s">
        <v>591</v>
      </c>
      <c r="AH57">
        <v>10000000000</v>
      </c>
      <c r="AI57" s="3" t="s">
        <v>592</v>
      </c>
      <c r="AM57" s="23" t="s">
        <v>83</v>
      </c>
    </row>
    <row r="58" spans="1:39" x14ac:dyDescent="0.2">
      <c r="A58" t="s">
        <v>593</v>
      </c>
      <c r="B58" t="b">
        <v>0</v>
      </c>
      <c r="C58" t="b">
        <v>0</v>
      </c>
      <c r="D58" t="b">
        <v>0</v>
      </c>
      <c r="E58" t="b">
        <v>0</v>
      </c>
      <c r="F58" t="b">
        <v>0</v>
      </c>
      <c r="G58" t="b">
        <v>1</v>
      </c>
      <c r="H58" t="s">
        <v>594</v>
      </c>
      <c r="I58" t="s">
        <v>593</v>
      </c>
      <c r="J58" t="s">
        <v>35</v>
      </c>
      <c r="N58" t="s">
        <v>595</v>
      </c>
      <c r="O58" t="s">
        <v>252</v>
      </c>
      <c r="P58" t="s">
        <v>596</v>
      </c>
      <c r="Q58" t="s">
        <v>597</v>
      </c>
      <c r="R58" s="1">
        <v>44974</v>
      </c>
      <c r="S58" s="1">
        <v>46066</v>
      </c>
      <c r="T58" s="2">
        <v>44977.943740127317</v>
      </c>
      <c r="U58" t="s">
        <v>253</v>
      </c>
      <c r="V58" t="s">
        <v>295</v>
      </c>
      <c r="W58" t="s">
        <v>342</v>
      </c>
      <c r="X58" t="s">
        <v>305</v>
      </c>
      <c r="Y58" t="s">
        <v>343</v>
      </c>
      <c r="AA58" t="s">
        <v>344</v>
      </c>
      <c r="AB58" s="23" t="str">
        <f>AM58</f>
        <v>41f78746078d444787f9a1f78b30153c</v>
      </c>
      <c r="AC58" s="23"/>
      <c r="AD58" s="23"/>
      <c r="AE58" s="23"/>
      <c r="AF58" s="23"/>
      <c r="AG58" t="s">
        <v>345</v>
      </c>
      <c r="AH58">
        <v>4000000000</v>
      </c>
      <c r="AI58" s="3" t="s">
        <v>598</v>
      </c>
      <c r="AM58" s="23" t="s">
        <v>27</v>
      </c>
    </row>
    <row r="59" spans="1:39" x14ac:dyDescent="0.2">
      <c r="A59" t="s">
        <v>599</v>
      </c>
      <c r="B59" t="b">
        <v>0</v>
      </c>
      <c r="C59" t="b">
        <v>0</v>
      </c>
      <c r="D59" t="b">
        <v>1</v>
      </c>
      <c r="E59" t="b">
        <v>0</v>
      </c>
      <c r="F59" t="b">
        <v>1</v>
      </c>
      <c r="G59" t="b">
        <v>0</v>
      </c>
      <c r="H59" t="s">
        <v>600</v>
      </c>
      <c r="I59" t="s">
        <v>599</v>
      </c>
      <c r="J59" t="s">
        <v>49</v>
      </c>
      <c r="N59" t="s">
        <v>601</v>
      </c>
      <c r="O59" t="s">
        <v>252</v>
      </c>
      <c r="R59" s="1">
        <v>45121</v>
      </c>
      <c r="S59" s="1">
        <v>46217</v>
      </c>
      <c r="T59" s="2">
        <v>46059.658434780089</v>
      </c>
      <c r="U59" t="s">
        <v>253</v>
      </c>
      <c r="V59" t="s">
        <v>267</v>
      </c>
      <c r="W59" t="s">
        <v>319</v>
      </c>
      <c r="X59" t="s">
        <v>256</v>
      </c>
      <c r="Y59" t="s">
        <v>269</v>
      </c>
      <c r="Z59" s="32" t="s">
        <v>2755</v>
      </c>
      <c r="AA59" s="7" t="s">
        <v>320</v>
      </c>
      <c r="AB59" s="23" t="str">
        <f>AM59</f>
        <v>0861b552d06e4b9799ebc7a3b1aa7e2a</v>
      </c>
      <c r="AC59" s="23"/>
      <c r="AD59" s="23"/>
      <c r="AE59" s="23"/>
      <c r="AF59" s="23"/>
      <c r="AG59" t="s">
        <v>270</v>
      </c>
      <c r="AH59">
        <v>30000000</v>
      </c>
      <c r="AI59" s="3" t="s">
        <v>602</v>
      </c>
      <c r="AM59" s="21" t="s">
        <v>40</v>
      </c>
    </row>
    <row r="60" spans="1:39" x14ac:dyDescent="0.2">
      <c r="A60" t="s">
        <v>603</v>
      </c>
      <c r="B60" t="b">
        <v>0</v>
      </c>
      <c r="C60" t="b">
        <v>0</v>
      </c>
      <c r="D60" t="b">
        <v>1</v>
      </c>
      <c r="E60" t="b">
        <v>0</v>
      </c>
      <c r="F60" t="b">
        <v>1</v>
      </c>
      <c r="G60" t="s">
        <v>361</v>
      </c>
      <c r="H60" t="s">
        <v>604</v>
      </c>
      <c r="I60" t="s">
        <v>603</v>
      </c>
      <c r="J60" t="s">
        <v>194</v>
      </c>
      <c r="N60" t="s">
        <v>605</v>
      </c>
      <c r="O60" t="s">
        <v>252</v>
      </c>
      <c r="R60" s="1">
        <v>44455</v>
      </c>
      <c r="S60" s="1">
        <v>48838</v>
      </c>
      <c r="U60" t="s">
        <v>253</v>
      </c>
      <c r="V60" t="s">
        <v>254</v>
      </c>
      <c r="W60" t="s">
        <v>558</v>
      </c>
      <c r="X60" t="s">
        <v>278</v>
      </c>
      <c r="Y60" t="s">
        <v>384</v>
      </c>
      <c r="AA60" s="7" t="s">
        <v>606</v>
      </c>
      <c r="AB60" s="23" t="str">
        <f>AM60</f>
        <v>e7161c8807ca44e085439ddf548d7489</v>
      </c>
      <c r="AC60" s="23"/>
      <c r="AD60" s="23"/>
      <c r="AE60" s="23"/>
      <c r="AF60" s="23"/>
      <c r="AG60" t="s">
        <v>386</v>
      </c>
      <c r="AH60">
        <v>600000000000</v>
      </c>
      <c r="AI60" s="3" t="s">
        <v>607</v>
      </c>
      <c r="AM60" s="21" t="s">
        <v>193</v>
      </c>
    </row>
    <row r="61" spans="1:39" x14ac:dyDescent="0.2">
      <c r="A61" t="s">
        <v>608</v>
      </c>
      <c r="B61" t="b">
        <v>1</v>
      </c>
      <c r="C61" t="b">
        <v>0</v>
      </c>
      <c r="D61" t="b">
        <v>1</v>
      </c>
      <c r="E61" t="s">
        <v>248</v>
      </c>
      <c r="F61" t="b">
        <v>0</v>
      </c>
      <c r="G61" t="b">
        <v>0</v>
      </c>
      <c r="H61" t="s">
        <v>609</v>
      </c>
      <c r="I61" t="s">
        <v>608</v>
      </c>
      <c r="J61" t="s">
        <v>610</v>
      </c>
      <c r="N61" t="s">
        <v>611</v>
      </c>
      <c r="O61" t="s">
        <v>252</v>
      </c>
      <c r="R61" s="1">
        <v>44286</v>
      </c>
      <c r="S61" s="1">
        <v>48060</v>
      </c>
      <c r="U61" t="s">
        <v>253</v>
      </c>
      <c r="V61" t="s">
        <v>254</v>
      </c>
      <c r="W61" t="s">
        <v>612</v>
      </c>
      <c r="X61" t="s">
        <v>278</v>
      </c>
      <c r="Y61" t="s">
        <v>257</v>
      </c>
      <c r="AA61" t="s">
        <v>613</v>
      </c>
      <c r="AB61" s="7" t="s">
        <v>614</v>
      </c>
      <c r="AC61" s="7"/>
      <c r="AD61" s="7"/>
      <c r="AE61" s="7"/>
      <c r="AF61" s="7"/>
      <c r="AG61" t="s">
        <v>260</v>
      </c>
      <c r="AH61">
        <v>140389781</v>
      </c>
      <c r="AI61" s="3" t="s">
        <v>615</v>
      </c>
    </row>
    <row r="62" spans="1:39" x14ac:dyDescent="0.2">
      <c r="A62" t="s">
        <v>616</v>
      </c>
      <c r="B62" t="b">
        <v>0</v>
      </c>
      <c r="C62" t="b">
        <v>0</v>
      </c>
      <c r="D62" t="b">
        <v>1</v>
      </c>
      <c r="E62" t="b">
        <v>0</v>
      </c>
      <c r="F62" t="b">
        <v>1</v>
      </c>
      <c r="G62" t="b">
        <v>0</v>
      </c>
      <c r="H62" t="s">
        <v>617</v>
      </c>
      <c r="I62" t="s">
        <v>616</v>
      </c>
      <c r="J62" t="s">
        <v>4</v>
      </c>
      <c r="K62" t="s">
        <v>618</v>
      </c>
      <c r="N62" t="s">
        <v>619</v>
      </c>
      <c r="O62" t="s">
        <v>252</v>
      </c>
      <c r="P62" t="s">
        <v>275</v>
      </c>
      <c r="Q62" t="s">
        <v>276</v>
      </c>
      <c r="R62" s="1">
        <v>43732</v>
      </c>
      <c r="S62" s="1">
        <v>45565</v>
      </c>
      <c r="T62" s="2">
        <v>45960.676335902775</v>
      </c>
      <c r="U62" t="s">
        <v>253</v>
      </c>
      <c r="V62" t="s">
        <v>267</v>
      </c>
      <c r="W62" t="s">
        <v>277</v>
      </c>
      <c r="X62" t="s">
        <v>278</v>
      </c>
      <c r="Y62" t="s">
        <v>279</v>
      </c>
      <c r="Z62" s="32" t="s">
        <v>1072</v>
      </c>
      <c r="AA62" s="7" t="s">
        <v>280</v>
      </c>
      <c r="AB62" s="23" t="str">
        <f>AM62</f>
        <v>4d55cd98379640de90be2eb2fa9aba1f</v>
      </c>
      <c r="AC62" s="23"/>
      <c r="AD62" s="23"/>
      <c r="AE62" s="23"/>
      <c r="AF62" s="23"/>
      <c r="AG62" t="s">
        <v>270</v>
      </c>
      <c r="AH62">
        <v>12000000</v>
      </c>
      <c r="AI62" s="3" t="s">
        <v>620</v>
      </c>
      <c r="AM62" s="21" t="s">
        <v>2</v>
      </c>
    </row>
    <row r="63" spans="1:39" x14ac:dyDescent="0.2">
      <c r="A63" t="s">
        <v>621</v>
      </c>
      <c r="B63" t="b">
        <v>0</v>
      </c>
      <c r="C63" t="b">
        <v>0</v>
      </c>
      <c r="D63" t="b">
        <v>1</v>
      </c>
      <c r="E63" t="b">
        <v>0</v>
      </c>
      <c r="F63" t="b">
        <v>1</v>
      </c>
      <c r="G63" t="s">
        <v>361</v>
      </c>
      <c r="H63" t="s">
        <v>622</v>
      </c>
      <c r="I63" t="s">
        <v>621</v>
      </c>
      <c r="M63" t="s">
        <v>623</v>
      </c>
      <c r="N63" t="s">
        <v>624</v>
      </c>
      <c r="O63" t="s">
        <v>252</v>
      </c>
      <c r="R63" s="1">
        <v>44188</v>
      </c>
      <c r="S63" s="1">
        <v>45131</v>
      </c>
      <c r="U63" t="s">
        <v>625</v>
      </c>
      <c r="V63" t="s">
        <v>267</v>
      </c>
      <c r="W63" t="s">
        <v>626</v>
      </c>
      <c r="X63" t="s">
        <v>278</v>
      </c>
      <c r="Y63" t="s">
        <v>257</v>
      </c>
      <c r="AG63" t="s">
        <v>260</v>
      </c>
      <c r="AH63">
        <v>1200000000</v>
      </c>
      <c r="AI63" s="3" t="s">
        <v>627</v>
      </c>
    </row>
    <row r="64" spans="1:39" x14ac:dyDescent="0.2">
      <c r="A64" t="s">
        <v>628</v>
      </c>
      <c r="B64" t="b">
        <v>1</v>
      </c>
      <c r="C64" t="b">
        <v>0</v>
      </c>
      <c r="D64" t="b">
        <v>1</v>
      </c>
      <c r="E64" t="s">
        <v>248</v>
      </c>
      <c r="F64" t="b">
        <v>0</v>
      </c>
      <c r="G64" t="b">
        <v>0</v>
      </c>
      <c r="H64" t="s">
        <v>629</v>
      </c>
      <c r="I64" t="s">
        <v>628</v>
      </c>
      <c r="J64" t="s">
        <v>630</v>
      </c>
      <c r="K64" t="s">
        <v>631</v>
      </c>
      <c r="N64" t="s">
        <v>632</v>
      </c>
      <c r="O64" t="s">
        <v>252</v>
      </c>
      <c r="R64" s="1">
        <v>43682</v>
      </c>
      <c r="S64" s="1">
        <v>45509</v>
      </c>
      <c r="U64" t="s">
        <v>625</v>
      </c>
      <c r="V64" t="s">
        <v>254</v>
      </c>
      <c r="W64" t="s">
        <v>633</v>
      </c>
      <c r="X64" t="s">
        <v>256</v>
      </c>
      <c r="Y64" t="s">
        <v>257</v>
      </c>
      <c r="AA64" s="6" t="s">
        <v>634</v>
      </c>
      <c r="AB64" t="s">
        <v>635</v>
      </c>
      <c r="AG64" t="s">
        <v>260</v>
      </c>
      <c r="AH64">
        <v>20000000</v>
      </c>
      <c r="AI64" s="3" t="s">
        <v>636</v>
      </c>
      <c r="AM64" s="6"/>
    </row>
    <row r="65" spans="1:39" x14ac:dyDescent="0.2">
      <c r="A65" t="s">
        <v>637</v>
      </c>
      <c r="B65" t="b">
        <v>0</v>
      </c>
      <c r="C65" t="b">
        <v>0</v>
      </c>
      <c r="D65" t="b">
        <v>1</v>
      </c>
      <c r="E65" t="b">
        <v>0</v>
      </c>
      <c r="F65" t="b">
        <v>1</v>
      </c>
      <c r="G65" t="b">
        <v>0</v>
      </c>
      <c r="H65" t="s">
        <v>638</v>
      </c>
      <c r="I65" t="s">
        <v>637</v>
      </c>
      <c r="J65" t="s">
        <v>11</v>
      </c>
      <c r="N65" t="s">
        <v>639</v>
      </c>
      <c r="O65" t="s">
        <v>252</v>
      </c>
      <c r="P65" t="s">
        <v>275</v>
      </c>
      <c r="Q65" t="s">
        <v>276</v>
      </c>
      <c r="R65" s="1">
        <v>44106</v>
      </c>
      <c r="S65" s="1">
        <v>44840</v>
      </c>
      <c r="T65" s="2">
        <v>45960.673860208335</v>
      </c>
      <c r="U65" t="s">
        <v>253</v>
      </c>
      <c r="V65" t="s">
        <v>267</v>
      </c>
      <c r="W65" t="s">
        <v>277</v>
      </c>
      <c r="X65" t="s">
        <v>278</v>
      </c>
      <c r="Y65" t="s">
        <v>279</v>
      </c>
      <c r="Z65" s="32" t="s">
        <v>1072</v>
      </c>
      <c r="AA65" s="7" t="s">
        <v>280</v>
      </c>
      <c r="AB65" s="23" t="str">
        <f>AM65</f>
        <v>4d55cd98379640de90be2eb2fa9aba1f</v>
      </c>
      <c r="AC65" s="23"/>
      <c r="AD65" s="23"/>
      <c r="AE65" s="23"/>
      <c r="AF65" s="23"/>
      <c r="AG65" t="s">
        <v>270</v>
      </c>
      <c r="AH65">
        <v>4000000</v>
      </c>
      <c r="AI65" s="3" t="s">
        <v>640</v>
      </c>
      <c r="AM65" s="21" t="s">
        <v>2</v>
      </c>
    </row>
    <row r="66" spans="1:39" x14ac:dyDescent="0.2">
      <c r="A66" t="s">
        <v>641</v>
      </c>
      <c r="B66" t="b">
        <v>0</v>
      </c>
      <c r="C66" t="b">
        <v>0</v>
      </c>
      <c r="D66" t="b">
        <v>1</v>
      </c>
      <c r="E66" t="b">
        <v>0</v>
      </c>
      <c r="F66" t="b">
        <v>1</v>
      </c>
      <c r="G66" t="b">
        <v>0</v>
      </c>
      <c r="H66" t="s">
        <v>642</v>
      </c>
      <c r="I66" t="s">
        <v>641</v>
      </c>
      <c r="J66" t="s">
        <v>62</v>
      </c>
      <c r="M66" t="s">
        <v>643</v>
      </c>
      <c r="N66" t="s">
        <v>644</v>
      </c>
      <c r="O66" t="s">
        <v>252</v>
      </c>
      <c r="R66" s="1">
        <v>44770</v>
      </c>
      <c r="S66" s="1">
        <v>46596</v>
      </c>
      <c r="T66" s="2">
        <v>46153.778729143516</v>
      </c>
      <c r="U66" t="s">
        <v>253</v>
      </c>
      <c r="V66" t="s">
        <v>267</v>
      </c>
      <c r="W66" t="s">
        <v>645</v>
      </c>
      <c r="X66" t="s">
        <v>256</v>
      </c>
      <c r="Y66" t="s">
        <v>351</v>
      </c>
      <c r="Z66" s="32" t="s">
        <v>2752</v>
      </c>
      <c r="AA66" s="7" t="s">
        <v>646</v>
      </c>
      <c r="AB66" s="23" t="str">
        <f>AM66</f>
        <v>e6873103865949bdb9e863d906f83c74</v>
      </c>
      <c r="AC66" s="23"/>
      <c r="AD66" s="23"/>
      <c r="AE66" s="23"/>
      <c r="AF66" s="23"/>
      <c r="AG66" t="s">
        <v>647</v>
      </c>
      <c r="AH66">
        <v>4060000000</v>
      </c>
      <c r="AI66" s="3" t="s">
        <v>648</v>
      </c>
      <c r="AM66" s="21" t="s">
        <v>60</v>
      </c>
    </row>
    <row r="67" spans="1:39" x14ac:dyDescent="0.2">
      <c r="A67" t="s">
        <v>465</v>
      </c>
      <c r="B67" t="b">
        <v>1</v>
      </c>
      <c r="C67" t="b">
        <v>0</v>
      </c>
      <c r="D67" t="b">
        <v>1</v>
      </c>
      <c r="E67" t="s">
        <v>522</v>
      </c>
      <c r="F67" t="b">
        <v>0</v>
      </c>
      <c r="G67" t="b">
        <v>0</v>
      </c>
      <c r="H67" t="s">
        <v>466</v>
      </c>
      <c r="I67" t="s">
        <v>465</v>
      </c>
      <c r="M67" t="s">
        <v>649</v>
      </c>
      <c r="N67" t="s">
        <v>650</v>
      </c>
      <c r="O67" t="s">
        <v>382</v>
      </c>
      <c r="U67" t="s">
        <v>253</v>
      </c>
      <c r="V67" t="s">
        <v>254</v>
      </c>
      <c r="W67" t="s">
        <v>467</v>
      </c>
      <c r="X67" t="s">
        <v>305</v>
      </c>
      <c r="Y67" t="s">
        <v>306</v>
      </c>
      <c r="Z67" s="35" t="s">
        <v>651</v>
      </c>
      <c r="AA67" t="s">
        <v>468</v>
      </c>
      <c r="AB67" s="23" t="str">
        <f>AM67</f>
        <v>20ab6a5a7a89447fa8ffc6208696d342</v>
      </c>
      <c r="AC67" s="23"/>
      <c r="AD67" s="23"/>
      <c r="AE67" s="23"/>
      <c r="AF67" s="23"/>
      <c r="AG67" t="s">
        <v>270</v>
      </c>
      <c r="AM67" s="23" t="s">
        <v>87</v>
      </c>
    </row>
    <row r="68" spans="1:39" x14ac:dyDescent="0.2">
      <c r="A68" t="s">
        <v>652</v>
      </c>
      <c r="B68" t="b">
        <v>0</v>
      </c>
      <c r="C68" t="b">
        <v>0</v>
      </c>
      <c r="D68" t="b">
        <v>1</v>
      </c>
      <c r="E68" t="b">
        <v>0</v>
      </c>
      <c r="F68" t="b">
        <v>1</v>
      </c>
      <c r="G68" t="b">
        <v>0</v>
      </c>
      <c r="H68" t="s">
        <v>653</v>
      </c>
      <c r="I68" t="s">
        <v>652</v>
      </c>
      <c r="J68" t="s">
        <v>114</v>
      </c>
      <c r="K68" t="s">
        <v>654</v>
      </c>
      <c r="L68" t="s">
        <v>655</v>
      </c>
      <c r="M68" t="s">
        <v>656</v>
      </c>
      <c r="N68" t="s">
        <v>657</v>
      </c>
      <c r="O68" t="s">
        <v>252</v>
      </c>
      <c r="R68" s="1">
        <v>44356</v>
      </c>
      <c r="S68" s="1">
        <v>48745</v>
      </c>
      <c r="U68" t="s">
        <v>253</v>
      </c>
      <c r="V68" t="s">
        <v>254</v>
      </c>
      <c r="W68" t="s">
        <v>658</v>
      </c>
      <c r="X68" t="s">
        <v>256</v>
      </c>
      <c r="Y68" t="s">
        <v>287</v>
      </c>
      <c r="Z68" s="32" t="s">
        <v>2751</v>
      </c>
      <c r="AA68" s="7" t="s">
        <v>659</v>
      </c>
      <c r="AB68" s="23" t="str">
        <f>AM68</f>
        <v>a40381fb70654535ada4454c2ff5e808</v>
      </c>
      <c r="AC68" s="23"/>
      <c r="AD68" s="23"/>
      <c r="AE68" s="23"/>
      <c r="AF68" s="23"/>
      <c r="AG68" t="s">
        <v>270</v>
      </c>
      <c r="AH68">
        <v>153670000</v>
      </c>
      <c r="AI68" s="3" t="s">
        <v>660</v>
      </c>
      <c r="AM68" s="21" t="s">
        <v>113</v>
      </c>
    </row>
    <row r="69" spans="1:39" x14ac:dyDescent="0.2">
      <c r="A69" t="s">
        <v>661</v>
      </c>
      <c r="B69" t="b">
        <v>0</v>
      </c>
      <c r="C69" t="b">
        <v>0</v>
      </c>
      <c r="D69" t="b">
        <v>1</v>
      </c>
      <c r="E69" t="b">
        <v>0</v>
      </c>
      <c r="F69" t="b">
        <v>1</v>
      </c>
      <c r="G69" t="s">
        <v>361</v>
      </c>
      <c r="H69" t="s">
        <v>662</v>
      </c>
      <c r="I69" t="s">
        <v>661</v>
      </c>
      <c r="J69" t="s">
        <v>663</v>
      </c>
      <c r="M69" t="s">
        <v>664</v>
      </c>
      <c r="N69" t="s">
        <v>665</v>
      </c>
      <c r="O69" t="s">
        <v>252</v>
      </c>
      <c r="R69" s="1">
        <v>44377</v>
      </c>
      <c r="S69" s="1">
        <v>48015</v>
      </c>
      <c r="T69" s="2">
        <v>45089.753906944446</v>
      </c>
      <c r="U69" t="s">
        <v>253</v>
      </c>
      <c r="V69" t="s">
        <v>254</v>
      </c>
      <c r="W69" t="s">
        <v>666</v>
      </c>
      <c r="X69" t="s">
        <v>256</v>
      </c>
      <c r="Y69" t="s">
        <v>257</v>
      </c>
      <c r="AG69" t="s">
        <v>260</v>
      </c>
      <c r="AH69">
        <v>500000000</v>
      </c>
      <c r="AI69" s="3" t="s">
        <v>667</v>
      </c>
    </row>
    <row r="70" spans="1:39" x14ac:dyDescent="0.2">
      <c r="A70" t="s">
        <v>668</v>
      </c>
      <c r="B70" t="b">
        <v>1</v>
      </c>
      <c r="C70" t="b">
        <v>0</v>
      </c>
      <c r="D70" t="b">
        <v>1</v>
      </c>
      <c r="E70" t="s">
        <v>248</v>
      </c>
      <c r="F70" t="b">
        <v>0</v>
      </c>
      <c r="G70" t="b">
        <v>0</v>
      </c>
      <c r="H70" t="s">
        <v>669</v>
      </c>
      <c r="I70" t="s">
        <v>668</v>
      </c>
      <c r="J70" t="s">
        <v>670</v>
      </c>
      <c r="K70" t="s">
        <v>671</v>
      </c>
      <c r="N70" t="s">
        <v>672</v>
      </c>
      <c r="O70" t="s">
        <v>252</v>
      </c>
      <c r="R70" s="1">
        <v>43763</v>
      </c>
      <c r="S70" s="1">
        <v>52855</v>
      </c>
      <c r="U70" t="s">
        <v>253</v>
      </c>
      <c r="V70" t="s">
        <v>267</v>
      </c>
      <c r="W70" t="s">
        <v>545</v>
      </c>
      <c r="X70" t="s">
        <v>256</v>
      </c>
      <c r="Y70" t="s">
        <v>257</v>
      </c>
      <c r="AA70" s="6" t="s">
        <v>673</v>
      </c>
      <c r="AB70" s="7" t="s">
        <v>674</v>
      </c>
      <c r="AC70" s="7"/>
      <c r="AD70" s="7"/>
      <c r="AE70" s="7"/>
      <c r="AF70" s="7"/>
      <c r="AG70" t="s">
        <v>260</v>
      </c>
      <c r="AH70">
        <v>508960000</v>
      </c>
      <c r="AI70" s="3" t="s">
        <v>675</v>
      </c>
      <c r="AM70" s="6"/>
    </row>
    <row r="71" spans="1:39" x14ac:dyDescent="0.2">
      <c r="A71" t="s">
        <v>676</v>
      </c>
      <c r="B71" t="b">
        <v>0</v>
      </c>
      <c r="C71" t="b">
        <v>0</v>
      </c>
      <c r="D71" t="b">
        <v>1</v>
      </c>
      <c r="E71" t="b">
        <v>0</v>
      </c>
      <c r="F71" t="b">
        <v>1</v>
      </c>
      <c r="G71" t="s">
        <v>361</v>
      </c>
      <c r="H71" t="s">
        <v>677</v>
      </c>
      <c r="I71" t="s">
        <v>676</v>
      </c>
      <c r="J71" t="s">
        <v>678</v>
      </c>
      <c r="N71" t="s">
        <v>679</v>
      </c>
      <c r="O71" t="s">
        <v>252</v>
      </c>
      <c r="R71" s="1">
        <v>43962</v>
      </c>
      <c r="S71" s="1">
        <v>46155</v>
      </c>
      <c r="U71" t="s">
        <v>680</v>
      </c>
      <c r="V71" t="s">
        <v>254</v>
      </c>
      <c r="W71" t="s">
        <v>681</v>
      </c>
      <c r="X71" t="s">
        <v>278</v>
      </c>
      <c r="Y71" t="s">
        <v>257</v>
      </c>
      <c r="AG71" t="s">
        <v>260</v>
      </c>
      <c r="AH71">
        <v>1500000</v>
      </c>
      <c r="AI71" s="3" t="s">
        <v>682</v>
      </c>
    </row>
    <row r="72" spans="1:39" x14ac:dyDescent="0.2">
      <c r="A72" t="s">
        <v>683</v>
      </c>
      <c r="B72" t="b">
        <v>1</v>
      </c>
      <c r="C72" t="b">
        <v>0</v>
      </c>
      <c r="D72" t="b">
        <v>1</v>
      </c>
      <c r="E72" t="b">
        <v>0</v>
      </c>
      <c r="F72" t="b">
        <v>0</v>
      </c>
      <c r="G72" t="s">
        <v>361</v>
      </c>
      <c r="H72" t="s">
        <v>684</v>
      </c>
      <c r="I72" t="s">
        <v>683</v>
      </c>
      <c r="J72" t="s">
        <v>685</v>
      </c>
      <c r="K72" t="s">
        <v>686</v>
      </c>
      <c r="N72" t="s">
        <v>687</v>
      </c>
      <c r="O72" t="s">
        <v>252</v>
      </c>
      <c r="R72" s="1">
        <v>43747</v>
      </c>
      <c r="S72" s="1">
        <v>46310</v>
      </c>
      <c r="U72" t="s">
        <v>575</v>
      </c>
      <c r="V72" t="s">
        <v>254</v>
      </c>
      <c r="W72" t="s">
        <v>688</v>
      </c>
      <c r="X72" t="s">
        <v>256</v>
      </c>
      <c r="Y72" t="s">
        <v>257</v>
      </c>
      <c r="AA72" s="6" t="s">
        <v>689</v>
      </c>
      <c r="AG72" t="s">
        <v>260</v>
      </c>
      <c r="AH72">
        <v>55000000</v>
      </c>
      <c r="AI72" s="3" t="s">
        <v>690</v>
      </c>
      <c r="AM72" s="6"/>
    </row>
    <row r="73" spans="1:39" x14ac:dyDescent="0.2">
      <c r="A73" t="s">
        <v>691</v>
      </c>
      <c r="B73" t="b">
        <v>0</v>
      </c>
      <c r="C73" t="b">
        <v>0</v>
      </c>
      <c r="D73" t="b">
        <v>0</v>
      </c>
      <c r="E73" t="b">
        <v>0</v>
      </c>
      <c r="F73" t="b">
        <v>0</v>
      </c>
      <c r="G73" t="b">
        <v>1</v>
      </c>
      <c r="H73" t="s">
        <v>692</v>
      </c>
      <c r="I73" t="s">
        <v>691</v>
      </c>
      <c r="J73" t="s">
        <v>29</v>
      </c>
      <c r="K73" t="s">
        <v>693</v>
      </c>
      <c r="M73" t="s">
        <v>694</v>
      </c>
      <c r="N73" t="s">
        <v>695</v>
      </c>
      <c r="O73" t="s">
        <v>252</v>
      </c>
      <c r="P73" t="s">
        <v>696</v>
      </c>
      <c r="Q73" t="s">
        <v>697</v>
      </c>
      <c r="R73" s="1">
        <v>44495</v>
      </c>
      <c r="S73" s="1">
        <v>45590</v>
      </c>
      <c r="T73" s="2">
        <v>44937.850156712964</v>
      </c>
      <c r="U73" t="s">
        <v>253</v>
      </c>
      <c r="V73" t="s">
        <v>295</v>
      </c>
      <c r="W73" t="s">
        <v>342</v>
      </c>
      <c r="X73" t="s">
        <v>305</v>
      </c>
      <c r="Y73" t="s">
        <v>343</v>
      </c>
      <c r="AA73" t="s">
        <v>344</v>
      </c>
      <c r="AB73" s="23" t="str">
        <f>AM73</f>
        <v>41f78746078d444787f9a1f78b30153c</v>
      </c>
      <c r="AC73" s="23"/>
      <c r="AD73" s="23"/>
      <c r="AE73" s="23"/>
      <c r="AF73" s="23"/>
      <c r="AG73" t="s">
        <v>345</v>
      </c>
      <c r="AH73">
        <v>3000000000</v>
      </c>
      <c r="AI73" s="3" t="s">
        <v>698</v>
      </c>
      <c r="AM73" s="23" t="s">
        <v>27</v>
      </c>
    </row>
    <row r="74" spans="1:39" x14ac:dyDescent="0.2">
      <c r="A74" t="s">
        <v>699</v>
      </c>
      <c r="B74" t="b">
        <v>0</v>
      </c>
      <c r="C74" t="b">
        <v>0</v>
      </c>
      <c r="D74" t="b">
        <v>1</v>
      </c>
      <c r="E74" t="b">
        <v>0</v>
      </c>
      <c r="F74" t="b">
        <v>1</v>
      </c>
      <c r="G74" t="b">
        <v>0</v>
      </c>
      <c r="H74" t="s">
        <v>700</v>
      </c>
      <c r="I74" t="s">
        <v>699</v>
      </c>
      <c r="J74" t="s">
        <v>160</v>
      </c>
      <c r="M74" t="s">
        <v>701</v>
      </c>
      <c r="N74" t="s">
        <v>702</v>
      </c>
      <c r="O74" t="s">
        <v>252</v>
      </c>
      <c r="R74" s="1">
        <v>44454</v>
      </c>
      <c r="S74" s="1">
        <v>47376</v>
      </c>
      <c r="T74" s="2">
        <v>45124.52618148148</v>
      </c>
      <c r="U74" t="s">
        <v>253</v>
      </c>
      <c r="V74" t="s">
        <v>254</v>
      </c>
      <c r="W74" t="s">
        <v>703</v>
      </c>
      <c r="X74" t="s">
        <v>256</v>
      </c>
      <c r="Y74" t="s">
        <v>257</v>
      </c>
      <c r="Z74" s="32" t="s">
        <v>1191</v>
      </c>
      <c r="AA74" s="7" t="s">
        <v>704</v>
      </c>
      <c r="AB74" s="23" t="str">
        <f>AM74</f>
        <v>62947748118b4a87bfa9d3d52dfb49f1</v>
      </c>
      <c r="AC74" s="23"/>
      <c r="AD74" s="23"/>
      <c r="AE74" s="23"/>
      <c r="AF74" s="23"/>
      <c r="AG74" t="s">
        <v>260</v>
      </c>
      <c r="AH74">
        <v>185000000</v>
      </c>
      <c r="AI74" s="3" t="s">
        <v>705</v>
      </c>
      <c r="AM74" s="21" t="s">
        <v>159</v>
      </c>
    </row>
    <row r="75" spans="1:39" x14ac:dyDescent="0.2">
      <c r="A75" s="4" t="s">
        <v>706</v>
      </c>
      <c r="B75" t="b">
        <v>0</v>
      </c>
      <c r="C75" t="b">
        <v>0</v>
      </c>
      <c r="D75" t="b">
        <v>1</v>
      </c>
      <c r="E75" t="b">
        <v>0</v>
      </c>
      <c r="F75" t="b">
        <v>1</v>
      </c>
      <c r="G75" t="s">
        <v>361</v>
      </c>
      <c r="H75" t="s">
        <v>707</v>
      </c>
      <c r="I75" s="4" t="s">
        <v>706</v>
      </c>
      <c r="J75" t="s">
        <v>708</v>
      </c>
      <c r="M75" t="s">
        <v>709</v>
      </c>
      <c r="N75" t="s">
        <v>709</v>
      </c>
      <c r="O75" t="s">
        <v>252</v>
      </c>
      <c r="R75" s="1">
        <v>44089</v>
      </c>
      <c r="S75" s="1">
        <v>47011</v>
      </c>
      <c r="U75" t="s">
        <v>253</v>
      </c>
      <c r="V75" t="s">
        <v>254</v>
      </c>
      <c r="W75" t="s">
        <v>494</v>
      </c>
      <c r="X75" t="s">
        <v>256</v>
      </c>
      <c r="Y75" t="s">
        <v>257</v>
      </c>
      <c r="AG75" t="s">
        <v>260</v>
      </c>
      <c r="AH75">
        <v>50000000</v>
      </c>
      <c r="AI75" s="3" t="s">
        <v>710</v>
      </c>
    </row>
    <row r="76" spans="1:39" x14ac:dyDescent="0.2">
      <c r="A76" t="s">
        <v>711</v>
      </c>
      <c r="B76" t="b">
        <v>0</v>
      </c>
      <c r="C76" t="b">
        <v>0</v>
      </c>
      <c r="D76" t="b">
        <v>1</v>
      </c>
      <c r="E76" t="b">
        <v>0</v>
      </c>
      <c r="F76" t="b">
        <v>1</v>
      </c>
      <c r="G76" t="s">
        <v>361</v>
      </c>
      <c r="H76" t="s">
        <v>712</v>
      </c>
      <c r="I76" t="s">
        <v>711</v>
      </c>
      <c r="J76" t="s">
        <v>713</v>
      </c>
      <c r="M76" t="s">
        <v>714</v>
      </c>
      <c r="N76" t="s">
        <v>715</v>
      </c>
      <c r="O76" t="s">
        <v>252</v>
      </c>
      <c r="R76" s="1">
        <v>45957</v>
      </c>
      <c r="S76" s="1">
        <v>51424</v>
      </c>
      <c r="T76" s="2">
        <v>46139.843939351849</v>
      </c>
      <c r="U76" t="s">
        <v>253</v>
      </c>
      <c r="V76" t="s">
        <v>267</v>
      </c>
      <c r="W76" t="s">
        <v>716</v>
      </c>
      <c r="X76" t="s">
        <v>256</v>
      </c>
      <c r="Y76" t="s">
        <v>257</v>
      </c>
      <c r="AG76" t="s">
        <v>260</v>
      </c>
      <c r="AH76">
        <v>120000000</v>
      </c>
      <c r="AI76" s="3" t="s">
        <v>717</v>
      </c>
    </row>
    <row r="77" spans="1:39" x14ac:dyDescent="0.2">
      <c r="A77" t="s">
        <v>718</v>
      </c>
      <c r="B77" t="b">
        <v>0</v>
      </c>
      <c r="C77" t="b">
        <v>0</v>
      </c>
      <c r="D77" t="b">
        <v>1</v>
      </c>
      <c r="E77" t="b">
        <v>0</v>
      </c>
      <c r="F77" t="b">
        <v>1</v>
      </c>
      <c r="G77" t="b">
        <v>0</v>
      </c>
      <c r="H77" t="s">
        <v>719</v>
      </c>
      <c r="I77" t="s">
        <v>718</v>
      </c>
      <c r="J77" t="s">
        <v>80</v>
      </c>
      <c r="L77" t="s">
        <v>80</v>
      </c>
      <c r="N77" t="s">
        <v>720</v>
      </c>
      <c r="O77" t="s">
        <v>252</v>
      </c>
      <c r="P77" t="s">
        <v>721</v>
      </c>
      <c r="Q77" t="s">
        <v>722</v>
      </c>
      <c r="R77" s="1">
        <v>44559</v>
      </c>
      <c r="S77" s="1">
        <v>49887</v>
      </c>
      <c r="U77" t="s">
        <v>253</v>
      </c>
      <c r="V77" t="s">
        <v>267</v>
      </c>
      <c r="W77" t="s">
        <v>723</v>
      </c>
      <c r="X77" t="s">
        <v>256</v>
      </c>
      <c r="Y77" t="s">
        <v>724</v>
      </c>
      <c r="Z77" s="32" t="s">
        <v>2750</v>
      </c>
      <c r="AA77" s="7" t="s">
        <v>725</v>
      </c>
      <c r="AB77" s="23" t="str">
        <f>AM77</f>
        <v>463bf5e91ed14844b7cce6dafe61cf29</v>
      </c>
      <c r="AC77" s="23"/>
      <c r="AD77" s="23"/>
      <c r="AE77" s="23"/>
      <c r="AF77" s="23"/>
      <c r="AG77" t="s">
        <v>270</v>
      </c>
      <c r="AH77">
        <v>20000000</v>
      </c>
      <c r="AI77" s="3" t="s">
        <v>315</v>
      </c>
      <c r="AM77" s="21" t="s">
        <v>79</v>
      </c>
    </row>
    <row r="78" spans="1:39" x14ac:dyDescent="0.2">
      <c r="A78" t="s">
        <v>726</v>
      </c>
      <c r="B78" t="b">
        <v>0</v>
      </c>
      <c r="C78" t="b">
        <v>0</v>
      </c>
      <c r="D78" t="b">
        <v>0</v>
      </c>
      <c r="E78" t="b">
        <v>0</v>
      </c>
      <c r="F78" t="b">
        <v>0</v>
      </c>
      <c r="G78" t="b">
        <v>1</v>
      </c>
      <c r="H78" t="s">
        <v>727</v>
      </c>
      <c r="I78" t="s">
        <v>726</v>
      </c>
      <c r="J78" t="s">
        <v>33</v>
      </c>
      <c r="K78" t="s">
        <v>728</v>
      </c>
      <c r="M78" t="s">
        <v>729</v>
      </c>
      <c r="N78" t="s">
        <v>730</v>
      </c>
      <c r="O78" t="s">
        <v>252</v>
      </c>
      <c r="P78" t="s">
        <v>731</v>
      </c>
      <c r="Q78" t="s">
        <v>732</v>
      </c>
      <c r="R78" s="1">
        <v>44643</v>
      </c>
      <c r="S78" s="1">
        <v>48289</v>
      </c>
      <c r="T78" s="2">
        <v>45125.780712685184</v>
      </c>
      <c r="U78" t="s">
        <v>253</v>
      </c>
      <c r="V78" t="s">
        <v>295</v>
      </c>
      <c r="W78" t="s">
        <v>342</v>
      </c>
      <c r="X78" t="s">
        <v>305</v>
      </c>
      <c r="Y78" t="s">
        <v>343</v>
      </c>
      <c r="AA78" t="s">
        <v>344</v>
      </c>
      <c r="AB78" s="23" t="str">
        <f>AM78</f>
        <v>41f78746078d444787f9a1f78b30153c</v>
      </c>
      <c r="AC78" s="23"/>
      <c r="AD78" s="23"/>
      <c r="AE78" s="23"/>
      <c r="AF78" s="23"/>
      <c r="AG78" t="s">
        <v>345</v>
      </c>
      <c r="AH78">
        <v>8114000000</v>
      </c>
      <c r="AI78" s="3" t="s">
        <v>733</v>
      </c>
      <c r="AM78" s="23" t="s">
        <v>27</v>
      </c>
    </row>
    <row r="79" spans="1:39" x14ac:dyDescent="0.2">
      <c r="A79" t="s">
        <v>734</v>
      </c>
      <c r="B79" t="b">
        <v>0</v>
      </c>
      <c r="C79" t="b">
        <v>0</v>
      </c>
      <c r="D79" t="b">
        <v>1</v>
      </c>
      <c r="E79" t="b">
        <v>0</v>
      </c>
      <c r="F79" t="b">
        <v>1</v>
      </c>
      <c r="G79" t="b">
        <v>0</v>
      </c>
      <c r="H79" t="s">
        <v>735</v>
      </c>
      <c r="I79" t="s">
        <v>734</v>
      </c>
      <c r="J79" t="s">
        <v>52</v>
      </c>
      <c r="K79" t="s">
        <v>736</v>
      </c>
      <c r="N79" t="s">
        <v>737</v>
      </c>
      <c r="O79" t="s">
        <v>252</v>
      </c>
      <c r="P79" t="s">
        <v>331</v>
      </c>
      <c r="Q79" t="s">
        <v>332</v>
      </c>
      <c r="R79" s="1">
        <v>43633</v>
      </c>
      <c r="S79" s="1">
        <v>54813</v>
      </c>
      <c r="T79" s="2">
        <v>44923.648048020834</v>
      </c>
      <c r="U79" t="s">
        <v>253</v>
      </c>
      <c r="V79" t="s">
        <v>254</v>
      </c>
      <c r="W79" t="s">
        <v>333</v>
      </c>
      <c r="X79" t="s">
        <v>334</v>
      </c>
      <c r="Y79" t="s">
        <v>287</v>
      </c>
      <c r="Z79" s="32" t="s">
        <v>2759</v>
      </c>
      <c r="AA79" s="7" t="s">
        <v>335</v>
      </c>
      <c r="AB79" s="23" t="str">
        <f>AM79</f>
        <v>b25746bc73674469a979cd1218fc9355</v>
      </c>
      <c r="AC79" s="23"/>
      <c r="AD79" s="23"/>
      <c r="AE79" s="23"/>
      <c r="AF79" s="23"/>
      <c r="AG79" t="s">
        <v>270</v>
      </c>
      <c r="AH79">
        <v>2318357000</v>
      </c>
      <c r="AI79" s="3" t="s">
        <v>738</v>
      </c>
      <c r="AM79" s="21" t="s">
        <v>51</v>
      </c>
    </row>
    <row r="80" spans="1:39" x14ac:dyDescent="0.2">
      <c r="A80" t="s">
        <v>739</v>
      </c>
      <c r="B80" t="b">
        <v>1</v>
      </c>
      <c r="C80" t="b">
        <v>0</v>
      </c>
      <c r="D80" t="b">
        <v>1</v>
      </c>
      <c r="E80" t="b">
        <v>0</v>
      </c>
      <c r="F80" t="b">
        <v>0</v>
      </c>
      <c r="G80" t="s">
        <v>361</v>
      </c>
      <c r="H80" t="s">
        <v>740</v>
      </c>
      <c r="I80" t="s">
        <v>739</v>
      </c>
      <c r="J80" t="s">
        <v>741</v>
      </c>
      <c r="N80" t="s">
        <v>742</v>
      </c>
      <c r="O80" t="s">
        <v>252</v>
      </c>
      <c r="R80" s="1">
        <v>44175</v>
      </c>
      <c r="S80" s="1">
        <v>46111</v>
      </c>
      <c r="U80" t="s">
        <v>743</v>
      </c>
      <c r="V80" t="s">
        <v>254</v>
      </c>
      <c r="W80" t="s">
        <v>681</v>
      </c>
      <c r="X80" t="s">
        <v>278</v>
      </c>
      <c r="Y80" t="s">
        <v>257</v>
      </c>
      <c r="AA80" t="s">
        <v>689</v>
      </c>
      <c r="AG80" t="s">
        <v>260</v>
      </c>
      <c r="AH80">
        <v>1050000</v>
      </c>
      <c r="AI80" s="3" t="s">
        <v>744</v>
      </c>
    </row>
    <row r="81" spans="1:39" x14ac:dyDescent="0.2">
      <c r="A81" t="s">
        <v>745</v>
      </c>
      <c r="B81" t="b">
        <v>0</v>
      </c>
      <c r="C81" t="b">
        <v>0</v>
      </c>
      <c r="D81" t="b">
        <v>1</v>
      </c>
      <c r="E81" t="b">
        <v>0</v>
      </c>
      <c r="F81" t="b">
        <v>1</v>
      </c>
      <c r="G81" t="s">
        <v>361</v>
      </c>
      <c r="H81" t="s">
        <v>746</v>
      </c>
      <c r="I81" t="s">
        <v>745</v>
      </c>
      <c r="J81" t="s">
        <v>747</v>
      </c>
      <c r="N81" t="s">
        <v>748</v>
      </c>
      <c r="O81" t="s">
        <v>252</v>
      </c>
      <c r="R81" s="1">
        <v>45050</v>
      </c>
      <c r="S81" s="1">
        <v>45416</v>
      </c>
      <c r="T81" s="2">
        <v>46128.869312650466</v>
      </c>
      <c r="U81" t="s">
        <v>253</v>
      </c>
      <c r="V81" t="s">
        <v>267</v>
      </c>
      <c r="W81" t="s">
        <v>749</v>
      </c>
      <c r="X81" t="s">
        <v>256</v>
      </c>
      <c r="Y81" t="s">
        <v>269</v>
      </c>
      <c r="AG81" t="s">
        <v>488</v>
      </c>
      <c r="AH81">
        <v>5980316325</v>
      </c>
      <c r="AI81" s="3" t="s">
        <v>750</v>
      </c>
    </row>
    <row r="82" spans="1:39" x14ac:dyDescent="0.2">
      <c r="A82" t="s">
        <v>751</v>
      </c>
      <c r="B82" t="b">
        <v>0</v>
      </c>
      <c r="C82" t="b">
        <v>0</v>
      </c>
      <c r="D82" t="b">
        <v>1</v>
      </c>
      <c r="E82" t="b">
        <v>0</v>
      </c>
      <c r="F82" t="b">
        <v>1</v>
      </c>
      <c r="G82" t="b">
        <v>0</v>
      </c>
      <c r="H82" t="s">
        <v>752</v>
      </c>
      <c r="I82" t="s">
        <v>751</v>
      </c>
      <c r="J82" t="s">
        <v>133</v>
      </c>
      <c r="N82" t="s">
        <v>753</v>
      </c>
      <c r="O82" t="s">
        <v>252</v>
      </c>
      <c r="R82" s="1">
        <v>45721</v>
      </c>
      <c r="S82" s="1">
        <v>46817</v>
      </c>
      <c r="T82" s="2">
        <v>46177.580883935188</v>
      </c>
      <c r="U82" t="s">
        <v>253</v>
      </c>
      <c r="V82" t="s">
        <v>267</v>
      </c>
      <c r="W82" t="s">
        <v>319</v>
      </c>
      <c r="X82" t="s">
        <v>256</v>
      </c>
      <c r="Y82" t="s">
        <v>269</v>
      </c>
      <c r="Z82" s="32" t="s">
        <v>2749</v>
      </c>
      <c r="AA82" s="7" t="s">
        <v>754</v>
      </c>
      <c r="AB82" s="23" t="str">
        <f>AM82</f>
        <v>896c5d8cf68641b1899f31ed76479743</v>
      </c>
      <c r="AC82" s="23"/>
      <c r="AD82" s="23"/>
      <c r="AE82" s="23"/>
      <c r="AF82" s="23"/>
      <c r="AG82" t="s">
        <v>270</v>
      </c>
      <c r="AH82">
        <v>27760264</v>
      </c>
      <c r="AI82" s="3" t="s">
        <v>755</v>
      </c>
      <c r="AM82" s="21" t="s">
        <v>131</v>
      </c>
    </row>
    <row r="83" spans="1:39" x14ac:dyDescent="0.2">
      <c r="A83" t="s">
        <v>756</v>
      </c>
      <c r="B83" t="b">
        <v>0</v>
      </c>
      <c r="C83" t="b">
        <v>0</v>
      </c>
      <c r="D83" t="b">
        <v>1</v>
      </c>
      <c r="E83" t="b">
        <v>0</v>
      </c>
      <c r="F83" t="b">
        <v>1</v>
      </c>
      <c r="G83" t="s">
        <v>361</v>
      </c>
      <c r="H83" t="s">
        <v>757</v>
      </c>
      <c r="I83" t="s">
        <v>756</v>
      </c>
      <c r="J83" t="s">
        <v>758</v>
      </c>
      <c r="N83" t="s">
        <v>759</v>
      </c>
      <c r="O83" t="s">
        <v>252</v>
      </c>
      <c r="R83" s="1">
        <v>44365</v>
      </c>
      <c r="S83" s="1">
        <v>46554</v>
      </c>
      <c r="T83" s="2">
        <v>45117.568342951388</v>
      </c>
      <c r="U83" t="s">
        <v>253</v>
      </c>
      <c r="V83" t="s">
        <v>267</v>
      </c>
      <c r="W83" t="s">
        <v>760</v>
      </c>
      <c r="X83" t="s">
        <v>278</v>
      </c>
      <c r="Y83" t="s">
        <v>257</v>
      </c>
      <c r="AG83" t="s">
        <v>260</v>
      </c>
      <c r="AH83">
        <v>416700000</v>
      </c>
      <c r="AI83" s="3" t="s">
        <v>761</v>
      </c>
    </row>
    <row r="84" spans="1:39" x14ac:dyDescent="0.2">
      <c r="A84" t="s">
        <v>762</v>
      </c>
      <c r="B84" t="b">
        <v>0</v>
      </c>
      <c r="C84" t="b">
        <v>0</v>
      </c>
      <c r="D84" t="b">
        <v>1</v>
      </c>
      <c r="E84" t="b">
        <v>0</v>
      </c>
      <c r="F84" t="b">
        <v>1</v>
      </c>
      <c r="G84" t="b">
        <v>0</v>
      </c>
      <c r="H84" t="s">
        <v>763</v>
      </c>
      <c r="I84" t="s">
        <v>762</v>
      </c>
      <c r="J84" t="s">
        <v>10</v>
      </c>
      <c r="N84" t="s">
        <v>764</v>
      </c>
      <c r="O84" t="s">
        <v>252</v>
      </c>
      <c r="P84" t="s">
        <v>275</v>
      </c>
      <c r="Q84" t="s">
        <v>276</v>
      </c>
      <c r="R84" s="1">
        <v>44072</v>
      </c>
      <c r="S84" s="1">
        <v>44524</v>
      </c>
      <c r="T84" s="2">
        <v>45960.690112766206</v>
      </c>
      <c r="U84" t="s">
        <v>253</v>
      </c>
      <c r="V84" t="s">
        <v>267</v>
      </c>
      <c r="W84" t="s">
        <v>277</v>
      </c>
      <c r="X84" t="s">
        <v>278</v>
      </c>
      <c r="Y84" t="s">
        <v>279</v>
      </c>
      <c r="Z84" s="32" t="s">
        <v>1072</v>
      </c>
      <c r="AA84" s="7" t="s">
        <v>280</v>
      </c>
      <c r="AB84" s="23" t="str">
        <f>AM84</f>
        <v>4d55cd98379640de90be2eb2fa9aba1f</v>
      </c>
      <c r="AC84" s="23"/>
      <c r="AD84" s="23"/>
      <c r="AE84" s="23"/>
      <c r="AF84" s="23"/>
      <c r="AG84" t="s">
        <v>270</v>
      </c>
      <c r="AH84">
        <v>1000000</v>
      </c>
      <c r="AI84" s="3" t="s">
        <v>765</v>
      </c>
      <c r="AM84" s="21" t="s">
        <v>2</v>
      </c>
    </row>
    <row r="85" spans="1:39" x14ac:dyDescent="0.2">
      <c r="A85" t="s">
        <v>766</v>
      </c>
      <c r="B85" t="b">
        <v>0</v>
      </c>
      <c r="C85" t="b">
        <v>0</v>
      </c>
      <c r="D85" t="b">
        <v>1</v>
      </c>
      <c r="E85" t="b">
        <v>0</v>
      </c>
      <c r="F85" t="b">
        <v>1</v>
      </c>
      <c r="G85" t="b">
        <v>0</v>
      </c>
      <c r="H85" t="s">
        <v>767</v>
      </c>
      <c r="I85" t="s">
        <v>766</v>
      </c>
      <c r="J85" t="s">
        <v>105</v>
      </c>
      <c r="K85" t="s">
        <v>768</v>
      </c>
      <c r="L85" t="s">
        <v>769</v>
      </c>
      <c r="M85" t="s">
        <v>770</v>
      </c>
      <c r="N85" t="s">
        <v>771</v>
      </c>
      <c r="O85" t="s">
        <v>252</v>
      </c>
      <c r="P85" t="s">
        <v>476</v>
      </c>
      <c r="Q85" t="s">
        <v>477</v>
      </c>
      <c r="R85" s="1">
        <v>45966</v>
      </c>
      <c r="S85" s="1">
        <v>49618</v>
      </c>
      <c r="T85" s="2">
        <v>46111.823309097221</v>
      </c>
      <c r="U85" t="s">
        <v>253</v>
      </c>
      <c r="V85" t="s">
        <v>267</v>
      </c>
      <c r="W85" t="s">
        <v>478</v>
      </c>
      <c r="X85" t="s">
        <v>479</v>
      </c>
      <c r="Y85" t="s">
        <v>384</v>
      </c>
      <c r="Z85" s="32" t="s">
        <v>2753</v>
      </c>
      <c r="AA85" s="7" t="s">
        <v>480</v>
      </c>
      <c r="AB85" s="23" t="str">
        <f>AM85</f>
        <v>79973950fccc4bf18841836cb416b80c</v>
      </c>
      <c r="AC85" s="23"/>
      <c r="AD85" s="23"/>
      <c r="AE85" s="23"/>
      <c r="AF85" s="23"/>
      <c r="AG85" t="s">
        <v>386</v>
      </c>
      <c r="AH85">
        <v>175592000</v>
      </c>
      <c r="AI85" s="3" t="s">
        <v>772</v>
      </c>
      <c r="AM85" s="21" t="s">
        <v>103</v>
      </c>
    </row>
    <row r="86" spans="1:39" x14ac:dyDescent="0.2">
      <c r="A86" t="s">
        <v>773</v>
      </c>
      <c r="B86" t="b">
        <v>0</v>
      </c>
      <c r="C86" t="b">
        <v>0</v>
      </c>
      <c r="D86" t="b">
        <v>1</v>
      </c>
      <c r="E86" t="b">
        <v>0</v>
      </c>
      <c r="F86" t="b">
        <v>1</v>
      </c>
      <c r="G86" t="s">
        <v>361</v>
      </c>
      <c r="H86" t="s">
        <v>774</v>
      </c>
      <c r="I86" t="s">
        <v>773</v>
      </c>
      <c r="J86" t="s">
        <v>775</v>
      </c>
      <c r="N86" t="s">
        <v>776</v>
      </c>
      <c r="O86" t="s">
        <v>252</v>
      </c>
      <c r="R86" s="1">
        <v>44440</v>
      </c>
      <c r="S86" s="1">
        <v>45170</v>
      </c>
      <c r="T86" s="2">
        <v>44973.744121967589</v>
      </c>
      <c r="U86" t="s">
        <v>253</v>
      </c>
      <c r="V86" t="s">
        <v>267</v>
      </c>
      <c r="W86" t="s">
        <v>760</v>
      </c>
      <c r="X86" t="s">
        <v>278</v>
      </c>
      <c r="Y86" t="s">
        <v>257</v>
      </c>
      <c r="AG86" t="s">
        <v>260</v>
      </c>
      <c r="AH86">
        <v>10000000</v>
      </c>
      <c r="AI86" s="3" t="s">
        <v>777</v>
      </c>
    </row>
    <row r="87" spans="1:39" x14ac:dyDescent="0.2">
      <c r="A87" t="s">
        <v>778</v>
      </c>
      <c r="B87" t="b">
        <v>0</v>
      </c>
      <c r="C87" t="b">
        <v>0</v>
      </c>
      <c r="D87" t="b">
        <v>1</v>
      </c>
      <c r="E87" t="b">
        <v>0</v>
      </c>
      <c r="F87" t="b">
        <v>1</v>
      </c>
      <c r="G87" t="b">
        <v>0</v>
      </c>
      <c r="H87" t="s">
        <v>779</v>
      </c>
      <c r="I87" t="s">
        <v>778</v>
      </c>
      <c r="K87" t="s">
        <v>780</v>
      </c>
      <c r="N87" t="s">
        <v>781</v>
      </c>
      <c r="O87" t="s">
        <v>252</v>
      </c>
      <c r="R87" s="1">
        <v>44553</v>
      </c>
      <c r="S87" s="1">
        <v>45649</v>
      </c>
      <c r="T87" s="2">
        <v>45296.606584421294</v>
      </c>
      <c r="U87" t="s">
        <v>253</v>
      </c>
      <c r="V87" t="s">
        <v>267</v>
      </c>
      <c r="W87" t="s">
        <v>319</v>
      </c>
      <c r="X87" t="s">
        <v>256</v>
      </c>
      <c r="Y87" t="s">
        <v>269</v>
      </c>
      <c r="Z87" s="32" t="s">
        <v>2755</v>
      </c>
      <c r="AA87" s="7" t="s">
        <v>320</v>
      </c>
      <c r="AB87" s="23" t="str">
        <f>AM87</f>
        <v>0861b552d06e4b9799ebc7a3b1aa7e2a</v>
      </c>
      <c r="AC87" s="23"/>
      <c r="AD87" s="23"/>
      <c r="AE87" s="23"/>
      <c r="AF87" s="23"/>
      <c r="AG87" t="s">
        <v>270</v>
      </c>
      <c r="AH87">
        <v>38184061</v>
      </c>
      <c r="AI87" s="3" t="s">
        <v>782</v>
      </c>
      <c r="AM87" s="21" t="s">
        <v>40</v>
      </c>
    </row>
    <row r="88" spans="1:39" x14ac:dyDescent="0.2">
      <c r="A88" t="s">
        <v>783</v>
      </c>
      <c r="B88" t="b">
        <v>1</v>
      </c>
      <c r="C88" t="b">
        <v>0</v>
      </c>
      <c r="D88" t="b">
        <v>1</v>
      </c>
      <c r="E88" t="s">
        <v>248</v>
      </c>
      <c r="F88" t="b">
        <v>0</v>
      </c>
      <c r="G88" t="b">
        <v>0</v>
      </c>
      <c r="H88" t="s">
        <v>784</v>
      </c>
      <c r="I88" t="s">
        <v>783</v>
      </c>
      <c r="J88" t="s">
        <v>785</v>
      </c>
      <c r="K88" t="s">
        <v>786</v>
      </c>
      <c r="N88" t="s">
        <v>787</v>
      </c>
      <c r="O88" t="s">
        <v>252</v>
      </c>
      <c r="R88" s="1">
        <v>43656</v>
      </c>
      <c r="S88" s="1">
        <v>48745</v>
      </c>
      <c r="U88" t="s">
        <v>253</v>
      </c>
      <c r="V88" t="s">
        <v>254</v>
      </c>
      <c r="W88" t="s">
        <v>788</v>
      </c>
      <c r="X88" t="s">
        <v>256</v>
      </c>
      <c r="Y88" t="s">
        <v>257</v>
      </c>
      <c r="AA88" s="6" t="s">
        <v>789</v>
      </c>
      <c r="AB88" t="s">
        <v>790</v>
      </c>
      <c r="AG88" t="s">
        <v>260</v>
      </c>
      <c r="AH88">
        <v>1294449000</v>
      </c>
      <c r="AI88" s="3" t="s">
        <v>791</v>
      </c>
      <c r="AM88" s="6"/>
    </row>
    <row r="89" spans="1:39" x14ac:dyDescent="0.2">
      <c r="A89" t="s">
        <v>792</v>
      </c>
      <c r="B89" t="b">
        <v>0</v>
      </c>
      <c r="C89" t="b">
        <v>0</v>
      </c>
      <c r="D89" t="b">
        <v>1</v>
      </c>
      <c r="E89" t="b">
        <v>0</v>
      </c>
      <c r="F89" t="b">
        <v>1</v>
      </c>
      <c r="G89" t="b">
        <v>0</v>
      </c>
      <c r="H89" t="s">
        <v>793</v>
      </c>
      <c r="I89" t="s">
        <v>792</v>
      </c>
      <c r="J89" t="s">
        <v>138</v>
      </c>
      <c r="K89" t="s">
        <v>794</v>
      </c>
      <c r="M89" t="s">
        <v>795</v>
      </c>
      <c r="N89" t="s">
        <v>796</v>
      </c>
      <c r="O89" t="s">
        <v>252</v>
      </c>
      <c r="R89" s="1">
        <v>44180</v>
      </c>
      <c r="S89" s="1">
        <v>46731</v>
      </c>
      <c r="T89" s="2">
        <v>45156.676018923608</v>
      </c>
      <c r="U89" t="s">
        <v>253</v>
      </c>
      <c r="V89" t="s">
        <v>267</v>
      </c>
      <c r="W89" t="s">
        <v>797</v>
      </c>
      <c r="X89" t="s">
        <v>256</v>
      </c>
      <c r="Y89" t="s">
        <v>343</v>
      </c>
      <c r="Z89" s="32" t="s">
        <v>2748</v>
      </c>
      <c r="AA89" s="7" t="s">
        <v>798</v>
      </c>
      <c r="AB89" s="23" t="str">
        <f>AM89</f>
        <v>38a2706058d5487d82e4af8bb087ae84</v>
      </c>
      <c r="AC89" s="23"/>
      <c r="AD89" s="23"/>
      <c r="AE89" s="23"/>
      <c r="AF89" s="23"/>
      <c r="AG89" t="s">
        <v>345</v>
      </c>
      <c r="AH89">
        <v>502100000</v>
      </c>
      <c r="AI89" s="3" t="s">
        <v>799</v>
      </c>
      <c r="AM89" s="21" t="s">
        <v>137</v>
      </c>
    </row>
    <row r="90" spans="1:39" x14ac:dyDescent="0.2">
      <c r="A90" t="s">
        <v>800</v>
      </c>
      <c r="B90" t="b">
        <v>0</v>
      </c>
      <c r="C90" t="b">
        <v>0</v>
      </c>
      <c r="D90" t="b">
        <v>1</v>
      </c>
      <c r="E90" t="b">
        <v>0</v>
      </c>
      <c r="F90" t="b">
        <v>1</v>
      </c>
      <c r="G90" t="b">
        <v>0</v>
      </c>
      <c r="H90" t="s">
        <v>801</v>
      </c>
      <c r="I90" t="s">
        <v>800</v>
      </c>
      <c r="J90" t="s">
        <v>5</v>
      </c>
      <c r="N90" t="s">
        <v>802</v>
      </c>
      <c r="O90" t="s">
        <v>252</v>
      </c>
      <c r="P90" t="s">
        <v>275</v>
      </c>
      <c r="Q90" t="s">
        <v>276</v>
      </c>
      <c r="R90" s="1">
        <v>43794</v>
      </c>
      <c r="S90" s="1">
        <v>45623</v>
      </c>
      <c r="T90" s="2">
        <v>45960.665561655092</v>
      </c>
      <c r="U90" t="s">
        <v>253</v>
      </c>
      <c r="V90" t="s">
        <v>267</v>
      </c>
      <c r="W90" t="s">
        <v>277</v>
      </c>
      <c r="X90" t="s">
        <v>278</v>
      </c>
      <c r="Y90" t="s">
        <v>279</v>
      </c>
      <c r="Z90" s="32" t="s">
        <v>1072</v>
      </c>
      <c r="AA90" s="7" t="s">
        <v>280</v>
      </c>
      <c r="AB90" s="23" t="str">
        <f>AM90</f>
        <v>4d55cd98379640de90be2eb2fa9aba1f</v>
      </c>
      <c r="AC90" s="23"/>
      <c r="AD90" s="23"/>
      <c r="AE90" s="23"/>
      <c r="AF90" s="23"/>
      <c r="AG90" t="s">
        <v>270</v>
      </c>
      <c r="AH90">
        <v>1000000</v>
      </c>
      <c r="AI90" s="3" t="s">
        <v>765</v>
      </c>
      <c r="AM90" s="21" t="s">
        <v>2</v>
      </c>
    </row>
    <row r="91" spans="1:39" s="14" customFormat="1" x14ac:dyDescent="0.2">
      <c r="A91" s="14" t="s">
        <v>803</v>
      </c>
      <c r="B91" s="14" t="b">
        <v>1</v>
      </c>
      <c r="C91" s="14" t="b">
        <v>0</v>
      </c>
      <c r="D91" s="14" t="b">
        <v>1</v>
      </c>
      <c r="E91" s="14" t="s">
        <v>522</v>
      </c>
      <c r="F91" s="14" t="b">
        <v>0</v>
      </c>
      <c r="G91" s="14" t="b">
        <v>0</v>
      </c>
      <c r="H91" s="14" t="s">
        <v>804</v>
      </c>
      <c r="I91" s="14" t="s">
        <v>803</v>
      </c>
      <c r="J91" s="19" t="s">
        <v>146</v>
      </c>
      <c r="K91" s="14" t="s">
        <v>805</v>
      </c>
      <c r="N91" s="14" t="s">
        <v>806</v>
      </c>
      <c r="O91" s="14" t="s">
        <v>252</v>
      </c>
      <c r="R91" s="15">
        <v>43396</v>
      </c>
      <c r="S91" s="15">
        <v>45588</v>
      </c>
      <c r="U91" s="14" t="s">
        <v>253</v>
      </c>
      <c r="V91" s="14" t="s">
        <v>267</v>
      </c>
      <c r="W91" s="14" t="s">
        <v>807</v>
      </c>
      <c r="X91" s="14" t="s">
        <v>256</v>
      </c>
      <c r="Y91" s="14" t="s">
        <v>808</v>
      </c>
      <c r="Z91" s="35" t="s">
        <v>809</v>
      </c>
      <c r="AA91" s="34" t="s">
        <v>810</v>
      </c>
      <c r="AB91" s="23" t="str">
        <f>AM91</f>
        <v>d8dd0247138a43a6abc81107430dc6c1</v>
      </c>
      <c r="AC91" s="23"/>
      <c r="AD91" s="23"/>
      <c r="AE91" s="23"/>
      <c r="AF91" s="23"/>
      <c r="AG91" s="14" t="s">
        <v>811</v>
      </c>
      <c r="AH91" s="14">
        <v>100000000</v>
      </c>
      <c r="AI91" s="16" t="s">
        <v>812</v>
      </c>
      <c r="AM91" s="24" t="s">
        <v>145</v>
      </c>
    </row>
    <row r="92" spans="1:39" s="14" customFormat="1" x14ac:dyDescent="0.2">
      <c r="A92" s="14" t="s">
        <v>813</v>
      </c>
      <c r="B92" s="14" t="b">
        <v>1</v>
      </c>
      <c r="C92" s="14" t="b">
        <v>0</v>
      </c>
      <c r="D92" s="14" t="b">
        <v>1</v>
      </c>
      <c r="E92" s="14" t="s">
        <v>522</v>
      </c>
      <c r="F92" s="14" t="b">
        <v>0</v>
      </c>
      <c r="G92" s="14" t="b">
        <v>0</v>
      </c>
      <c r="H92" s="14" t="s">
        <v>814</v>
      </c>
      <c r="I92" s="14" t="s">
        <v>813</v>
      </c>
      <c r="J92" s="19" t="s">
        <v>206</v>
      </c>
      <c r="N92" s="14" t="s">
        <v>815</v>
      </c>
      <c r="O92" s="14" t="s">
        <v>252</v>
      </c>
      <c r="R92" s="15">
        <v>43208</v>
      </c>
      <c r="S92" s="15">
        <v>45730</v>
      </c>
      <c r="U92" s="14" t="s">
        <v>285</v>
      </c>
      <c r="V92" s="14" t="s">
        <v>254</v>
      </c>
      <c r="W92" s="14" t="s">
        <v>286</v>
      </c>
      <c r="X92" s="14" t="s">
        <v>256</v>
      </c>
      <c r="Y92" s="14" t="s">
        <v>287</v>
      </c>
      <c r="Z92" s="35" t="s">
        <v>816</v>
      </c>
      <c r="AA92" s="34" t="s">
        <v>817</v>
      </c>
      <c r="AB92" s="23" t="str">
        <f>AM92</f>
        <v>70c67210b92a4b7690c983e47607acea</v>
      </c>
      <c r="AC92" s="23"/>
      <c r="AD92" s="23"/>
      <c r="AE92" s="23"/>
      <c r="AF92" s="23"/>
      <c r="AG92" s="14" t="s">
        <v>290</v>
      </c>
      <c r="AH92" s="14">
        <v>1500000</v>
      </c>
      <c r="AI92" s="16" t="s">
        <v>818</v>
      </c>
      <c r="AM92" s="24" t="s">
        <v>205</v>
      </c>
    </row>
    <row r="93" spans="1:39" x14ac:dyDescent="0.2">
      <c r="A93" s="4" t="s">
        <v>819</v>
      </c>
      <c r="B93" t="b">
        <v>0</v>
      </c>
      <c r="C93" t="b">
        <v>0</v>
      </c>
      <c r="D93" t="b">
        <v>1</v>
      </c>
      <c r="E93" t="b">
        <v>0</v>
      </c>
      <c r="F93" t="b">
        <v>1</v>
      </c>
      <c r="G93" t="s">
        <v>361</v>
      </c>
      <c r="H93" t="s">
        <v>820</v>
      </c>
      <c r="I93" s="4" t="s">
        <v>819</v>
      </c>
      <c r="J93" t="s">
        <v>821</v>
      </c>
      <c r="K93" t="s">
        <v>822</v>
      </c>
      <c r="N93" t="s">
        <v>823</v>
      </c>
      <c r="O93" t="s">
        <v>252</v>
      </c>
      <c r="P93" t="s">
        <v>824</v>
      </c>
      <c r="Q93" t="s">
        <v>825</v>
      </c>
      <c r="R93" s="1">
        <v>44666</v>
      </c>
      <c r="S93" s="1">
        <v>50145</v>
      </c>
      <c r="U93" t="s">
        <v>253</v>
      </c>
      <c r="V93" t="s">
        <v>267</v>
      </c>
      <c r="W93" t="s">
        <v>545</v>
      </c>
      <c r="X93" t="s">
        <v>256</v>
      </c>
      <c r="Y93" t="s">
        <v>257</v>
      </c>
      <c r="AG93" t="s">
        <v>260</v>
      </c>
      <c r="AH93">
        <v>318807000</v>
      </c>
      <c r="AI93" s="3" t="s">
        <v>826</v>
      </c>
    </row>
    <row r="94" spans="1:39" x14ac:dyDescent="0.2">
      <c r="A94" t="s">
        <v>827</v>
      </c>
      <c r="B94" t="b">
        <v>0</v>
      </c>
      <c r="C94" t="b">
        <v>0</v>
      </c>
      <c r="D94" t="b">
        <v>1</v>
      </c>
      <c r="E94" t="b">
        <v>0</v>
      </c>
      <c r="F94" t="b">
        <v>1</v>
      </c>
      <c r="G94" t="b">
        <v>0</v>
      </c>
      <c r="H94" t="s">
        <v>828</v>
      </c>
      <c r="I94" t="s">
        <v>827</v>
      </c>
      <c r="J94" t="s">
        <v>73</v>
      </c>
      <c r="N94" t="s">
        <v>829</v>
      </c>
      <c r="O94" t="s">
        <v>252</v>
      </c>
      <c r="R94" s="1">
        <v>44869</v>
      </c>
      <c r="S94" s="1">
        <v>50360</v>
      </c>
      <c r="T94" s="2">
        <v>44952.903385243058</v>
      </c>
      <c r="U94" t="s">
        <v>253</v>
      </c>
      <c r="V94" t="s">
        <v>267</v>
      </c>
      <c r="W94" t="s">
        <v>304</v>
      </c>
      <c r="X94" t="s">
        <v>305</v>
      </c>
      <c r="Y94" t="s">
        <v>306</v>
      </c>
      <c r="Z94" s="32" t="s">
        <v>1316</v>
      </c>
      <c r="AA94" s="7" t="s">
        <v>307</v>
      </c>
      <c r="AB94" s="23" t="str">
        <f>AM94</f>
        <v>54743cb2f07c4d9f923a5c04c2547bb4</v>
      </c>
      <c r="AC94" s="23"/>
      <c r="AD94" s="23"/>
      <c r="AE94" s="23"/>
      <c r="AF94" s="23"/>
      <c r="AG94" t="s">
        <v>830</v>
      </c>
      <c r="AH94">
        <v>25000000</v>
      </c>
      <c r="AI94" s="3" t="s">
        <v>831</v>
      </c>
      <c r="AM94" s="23" t="s">
        <v>68</v>
      </c>
    </row>
    <row r="95" spans="1:39" x14ac:dyDescent="0.2">
      <c r="A95" t="s">
        <v>832</v>
      </c>
      <c r="B95" t="b">
        <v>0</v>
      </c>
      <c r="C95" t="b">
        <v>0</v>
      </c>
      <c r="D95" t="b">
        <v>1</v>
      </c>
      <c r="E95" t="b">
        <v>0</v>
      </c>
      <c r="F95" t="b">
        <v>1</v>
      </c>
      <c r="G95" t="b">
        <v>0</v>
      </c>
      <c r="H95" t="s">
        <v>833</v>
      </c>
      <c r="I95" t="s">
        <v>832</v>
      </c>
      <c r="J95" t="s">
        <v>89</v>
      </c>
      <c r="K95" t="s">
        <v>834</v>
      </c>
      <c r="M95" t="s">
        <v>835</v>
      </c>
      <c r="N95" t="s">
        <v>836</v>
      </c>
      <c r="O95" t="s">
        <v>252</v>
      </c>
      <c r="P95" t="s">
        <v>465</v>
      </c>
      <c r="Q95" t="s">
        <v>466</v>
      </c>
      <c r="R95" s="1">
        <v>44616</v>
      </c>
      <c r="S95" s="1">
        <v>46442</v>
      </c>
      <c r="U95" t="s">
        <v>253</v>
      </c>
      <c r="V95" t="s">
        <v>254</v>
      </c>
      <c r="W95" t="s">
        <v>467</v>
      </c>
      <c r="X95" t="s">
        <v>305</v>
      </c>
      <c r="Y95" t="s">
        <v>306</v>
      </c>
      <c r="Z95" s="32" t="s">
        <v>651</v>
      </c>
      <c r="AA95" s="7" t="s">
        <v>468</v>
      </c>
      <c r="AB95" s="23" t="str">
        <f>AM95</f>
        <v>20ab6a5a7a89447fa8ffc6208696d342</v>
      </c>
      <c r="AC95" s="23"/>
      <c r="AD95" s="23"/>
      <c r="AE95" s="23"/>
      <c r="AF95" s="23"/>
      <c r="AG95" t="s">
        <v>308</v>
      </c>
      <c r="AH95">
        <v>350000000</v>
      </c>
      <c r="AI95" s="3" t="s">
        <v>837</v>
      </c>
      <c r="AM95" s="23" t="s">
        <v>87</v>
      </c>
    </row>
    <row r="96" spans="1:39" x14ac:dyDescent="0.2">
      <c r="A96" t="s">
        <v>596</v>
      </c>
      <c r="B96" t="b">
        <v>0</v>
      </c>
      <c r="C96" t="b">
        <v>0</v>
      </c>
      <c r="D96" t="b">
        <v>0</v>
      </c>
      <c r="E96" t="b">
        <v>0</v>
      </c>
      <c r="F96" t="b">
        <v>0</v>
      </c>
      <c r="G96" t="b">
        <v>1</v>
      </c>
      <c r="H96" t="s">
        <v>597</v>
      </c>
      <c r="I96" t="s">
        <v>596</v>
      </c>
      <c r="J96" t="s">
        <v>28</v>
      </c>
      <c r="N96" t="s">
        <v>838</v>
      </c>
      <c r="O96" t="s">
        <v>382</v>
      </c>
      <c r="S96" s="1">
        <v>47522</v>
      </c>
      <c r="T96" s="2">
        <v>44977.942694305559</v>
      </c>
      <c r="U96" t="s">
        <v>253</v>
      </c>
      <c r="V96" t="s">
        <v>295</v>
      </c>
      <c r="W96" t="s">
        <v>342</v>
      </c>
      <c r="X96" t="s">
        <v>305</v>
      </c>
      <c r="Y96" t="s">
        <v>343</v>
      </c>
      <c r="AA96" t="s">
        <v>344</v>
      </c>
      <c r="AB96" s="23" t="str">
        <f>AM96</f>
        <v>41f78746078d444787f9a1f78b30153c</v>
      </c>
      <c r="AC96" s="23"/>
      <c r="AD96" s="23"/>
      <c r="AE96" s="23"/>
      <c r="AF96" s="23"/>
      <c r="AG96" t="s">
        <v>345</v>
      </c>
      <c r="AM96" s="23" t="s">
        <v>27</v>
      </c>
    </row>
    <row r="97" spans="1:39" x14ac:dyDescent="0.2">
      <c r="A97" t="s">
        <v>839</v>
      </c>
      <c r="B97" t="b">
        <v>1</v>
      </c>
      <c r="C97" t="b">
        <v>0</v>
      </c>
      <c r="D97" t="b">
        <v>1</v>
      </c>
      <c r="E97" t="b">
        <v>0</v>
      </c>
      <c r="F97" t="b">
        <v>0</v>
      </c>
      <c r="G97" t="s">
        <v>361</v>
      </c>
      <c r="H97" t="s">
        <v>840</v>
      </c>
      <c r="I97" t="s">
        <v>839</v>
      </c>
      <c r="J97" t="s">
        <v>841</v>
      </c>
      <c r="K97" t="s">
        <v>842</v>
      </c>
      <c r="L97" t="s">
        <v>843</v>
      </c>
      <c r="N97" t="s">
        <v>844</v>
      </c>
      <c r="O97" t="s">
        <v>252</v>
      </c>
      <c r="R97" s="1">
        <v>43745</v>
      </c>
      <c r="S97" s="1">
        <v>65660</v>
      </c>
      <c r="U97" t="s">
        <v>441</v>
      </c>
      <c r="V97" t="s">
        <v>267</v>
      </c>
      <c r="W97" t="s">
        <v>845</v>
      </c>
      <c r="X97" t="s">
        <v>256</v>
      </c>
      <c r="Y97" t="s">
        <v>287</v>
      </c>
      <c r="AG97" t="s">
        <v>270</v>
      </c>
      <c r="AH97">
        <v>450000000</v>
      </c>
      <c r="AI97" s="3" t="s">
        <v>846</v>
      </c>
    </row>
    <row r="98" spans="1:39" x14ac:dyDescent="0.2">
      <c r="A98" s="4" t="s">
        <v>847</v>
      </c>
      <c r="B98" t="b">
        <v>0</v>
      </c>
      <c r="C98" t="b">
        <v>0</v>
      </c>
      <c r="D98" t="b">
        <v>1</v>
      </c>
      <c r="E98" t="b">
        <v>0</v>
      </c>
      <c r="F98" t="b">
        <v>1</v>
      </c>
      <c r="G98" t="b">
        <v>0</v>
      </c>
      <c r="H98" t="s">
        <v>848</v>
      </c>
      <c r="I98" s="4" t="s">
        <v>847</v>
      </c>
      <c r="J98" t="s">
        <v>93</v>
      </c>
      <c r="K98" t="s">
        <v>849</v>
      </c>
      <c r="N98" t="s">
        <v>850</v>
      </c>
      <c r="O98" t="s">
        <v>252</v>
      </c>
      <c r="P98" t="s">
        <v>851</v>
      </c>
      <c r="Q98" t="s">
        <v>852</v>
      </c>
      <c r="R98" s="1">
        <v>44272</v>
      </c>
      <c r="S98" s="1">
        <v>47455</v>
      </c>
      <c r="T98" s="2">
        <v>45050.650330358796</v>
      </c>
      <c r="U98" t="s">
        <v>253</v>
      </c>
      <c r="V98" t="s">
        <v>267</v>
      </c>
      <c r="W98" t="s">
        <v>853</v>
      </c>
      <c r="X98" t="s">
        <v>278</v>
      </c>
      <c r="Y98" t="s">
        <v>287</v>
      </c>
      <c r="Z98" s="32" t="s">
        <v>2746</v>
      </c>
      <c r="AA98" t="s">
        <v>854</v>
      </c>
      <c r="AB98" s="23" t="str">
        <f>AM98</f>
        <v>8dc563c540c1439a8c930ddbfada75ef</v>
      </c>
      <c r="AC98" s="23"/>
      <c r="AD98" s="23"/>
      <c r="AE98" s="23"/>
      <c r="AF98" s="23"/>
      <c r="AG98" t="s">
        <v>270</v>
      </c>
      <c r="AH98">
        <v>54000000</v>
      </c>
      <c r="AI98" s="3" t="s">
        <v>855</v>
      </c>
      <c r="AM98" s="23" t="s">
        <v>91</v>
      </c>
    </row>
    <row r="99" spans="1:39" x14ac:dyDescent="0.2">
      <c r="A99" t="s">
        <v>856</v>
      </c>
      <c r="B99" t="b">
        <v>0</v>
      </c>
      <c r="C99" t="b">
        <v>0</v>
      </c>
      <c r="D99" t="b">
        <v>0</v>
      </c>
      <c r="E99" t="b">
        <v>0</v>
      </c>
      <c r="F99" t="b">
        <v>0</v>
      </c>
      <c r="G99" t="b">
        <v>1</v>
      </c>
      <c r="H99" t="s">
        <v>857</v>
      </c>
      <c r="I99" t="s">
        <v>856</v>
      </c>
      <c r="J99" t="s">
        <v>98</v>
      </c>
      <c r="N99" t="s">
        <v>858</v>
      </c>
      <c r="O99" t="s">
        <v>252</v>
      </c>
      <c r="P99" t="s">
        <v>859</v>
      </c>
      <c r="Q99" t="s">
        <v>860</v>
      </c>
      <c r="R99" s="1">
        <v>44552</v>
      </c>
      <c r="S99" s="1">
        <v>46382</v>
      </c>
      <c r="T99" s="2">
        <v>45149.694170462964</v>
      </c>
      <c r="U99" t="s">
        <v>253</v>
      </c>
      <c r="V99" t="s">
        <v>295</v>
      </c>
      <c r="W99" t="s">
        <v>861</v>
      </c>
      <c r="X99" t="s">
        <v>278</v>
      </c>
      <c r="Y99" t="s">
        <v>351</v>
      </c>
      <c r="AA99" t="s">
        <v>862</v>
      </c>
      <c r="AB99" s="23" t="str">
        <f>AM99</f>
        <v>538769c825394307acb906d53afb2664</v>
      </c>
      <c r="AC99" s="23"/>
      <c r="AD99" s="23"/>
      <c r="AE99" s="23"/>
      <c r="AF99" s="23"/>
      <c r="AG99" t="s">
        <v>270</v>
      </c>
      <c r="AH99">
        <v>10000000</v>
      </c>
      <c r="AI99" s="3" t="s">
        <v>863</v>
      </c>
      <c r="AM99" s="23" t="s">
        <v>95</v>
      </c>
    </row>
    <row r="100" spans="1:39" x14ac:dyDescent="0.2">
      <c r="A100" t="s">
        <v>864</v>
      </c>
      <c r="B100" t="b">
        <v>0</v>
      </c>
      <c r="C100" t="b">
        <v>0</v>
      </c>
      <c r="D100" t="b">
        <v>1</v>
      </c>
      <c r="E100" t="b">
        <v>0</v>
      </c>
      <c r="F100" t="b">
        <v>1</v>
      </c>
      <c r="G100" t="s">
        <v>361</v>
      </c>
      <c r="H100" t="s">
        <v>865</v>
      </c>
      <c r="I100" t="s">
        <v>864</v>
      </c>
      <c r="M100" t="s">
        <v>866</v>
      </c>
      <c r="N100" t="s">
        <v>867</v>
      </c>
      <c r="O100" t="s">
        <v>252</v>
      </c>
      <c r="R100" s="1">
        <v>43123</v>
      </c>
      <c r="S100" s="1">
        <v>49263</v>
      </c>
      <c r="T100" s="2">
        <v>44981.789174791666</v>
      </c>
      <c r="U100" t="s">
        <v>253</v>
      </c>
      <c r="V100" t="s">
        <v>267</v>
      </c>
      <c r="W100" t="s">
        <v>868</v>
      </c>
      <c r="X100" t="s">
        <v>256</v>
      </c>
      <c r="Y100" t="s">
        <v>869</v>
      </c>
      <c r="AG100" t="s">
        <v>270</v>
      </c>
      <c r="AH100">
        <v>64750000</v>
      </c>
      <c r="AI100" s="3" t="s">
        <v>870</v>
      </c>
    </row>
    <row r="101" spans="1:39" x14ac:dyDescent="0.2">
      <c r="A101" t="s">
        <v>871</v>
      </c>
      <c r="B101" t="b">
        <v>0</v>
      </c>
      <c r="C101" t="b">
        <v>0</v>
      </c>
      <c r="D101" t="b">
        <v>1</v>
      </c>
      <c r="E101" t="b">
        <v>0</v>
      </c>
      <c r="F101" t="b">
        <v>1</v>
      </c>
      <c r="G101" t="b">
        <v>0</v>
      </c>
      <c r="H101" t="s">
        <v>872</v>
      </c>
      <c r="I101" t="s">
        <v>871</v>
      </c>
      <c r="J101" t="s">
        <v>166</v>
      </c>
      <c r="N101" t="s">
        <v>873</v>
      </c>
      <c r="O101" t="s">
        <v>252</v>
      </c>
      <c r="R101" s="1">
        <v>44007</v>
      </c>
      <c r="S101" s="1">
        <v>44979</v>
      </c>
      <c r="U101" t="s">
        <v>253</v>
      </c>
      <c r="V101" t="s">
        <v>254</v>
      </c>
      <c r="W101" t="s">
        <v>426</v>
      </c>
      <c r="X101" t="s">
        <v>256</v>
      </c>
      <c r="Y101" t="s">
        <v>257</v>
      </c>
      <c r="Z101" s="32" t="s">
        <v>2745</v>
      </c>
      <c r="AA101" t="s">
        <v>874</v>
      </c>
      <c r="AB101" s="23" t="str">
        <f>AM101</f>
        <v>56debb04f16d471a921ea472390c8779</v>
      </c>
      <c r="AC101" s="23"/>
      <c r="AD101" s="23"/>
      <c r="AE101" s="23"/>
      <c r="AF101" s="23"/>
      <c r="AG101" t="s">
        <v>260</v>
      </c>
      <c r="AH101">
        <v>138507000</v>
      </c>
      <c r="AI101" s="3" t="s">
        <v>875</v>
      </c>
      <c r="AM101" s="23" t="s">
        <v>165</v>
      </c>
    </row>
    <row r="102" spans="1:39" x14ac:dyDescent="0.2">
      <c r="A102" t="s">
        <v>876</v>
      </c>
      <c r="B102" t="b">
        <v>1</v>
      </c>
      <c r="C102" t="b">
        <v>0</v>
      </c>
      <c r="D102" t="b">
        <v>0</v>
      </c>
      <c r="E102" t="b">
        <v>0</v>
      </c>
      <c r="F102" t="b">
        <v>0</v>
      </c>
      <c r="G102" t="b">
        <v>1</v>
      </c>
      <c r="H102" t="s">
        <v>877</v>
      </c>
      <c r="I102" t="s">
        <v>876</v>
      </c>
      <c r="J102" t="s">
        <v>878</v>
      </c>
      <c r="K102" t="s">
        <v>879</v>
      </c>
      <c r="M102" t="s">
        <v>880</v>
      </c>
      <c r="N102" t="s">
        <v>881</v>
      </c>
      <c r="O102" t="s">
        <v>252</v>
      </c>
      <c r="R102" s="1">
        <v>44251</v>
      </c>
      <c r="S102" s="1">
        <v>45528</v>
      </c>
      <c r="U102" t="s">
        <v>253</v>
      </c>
      <c r="V102" t="s">
        <v>295</v>
      </c>
      <c r="W102" t="s">
        <v>882</v>
      </c>
      <c r="X102" t="s">
        <v>256</v>
      </c>
      <c r="Y102" t="s">
        <v>269</v>
      </c>
      <c r="AG102" t="s">
        <v>883</v>
      </c>
      <c r="AH102">
        <v>26576111</v>
      </c>
      <c r="AI102" s="3" t="s">
        <v>884</v>
      </c>
    </row>
    <row r="103" spans="1:39" x14ac:dyDescent="0.2">
      <c r="A103" t="s">
        <v>885</v>
      </c>
      <c r="B103" t="b">
        <v>0</v>
      </c>
      <c r="C103" t="b">
        <v>0</v>
      </c>
      <c r="D103" t="b">
        <v>1</v>
      </c>
      <c r="E103" t="b">
        <v>0</v>
      </c>
      <c r="F103" t="b">
        <v>1</v>
      </c>
      <c r="G103" t="b">
        <v>0</v>
      </c>
      <c r="H103" t="s">
        <v>886</v>
      </c>
      <c r="I103" t="s">
        <v>885</v>
      </c>
      <c r="J103" t="s">
        <v>14</v>
      </c>
      <c r="K103" t="s">
        <v>887</v>
      </c>
      <c r="N103" t="s">
        <v>888</v>
      </c>
      <c r="O103" t="s">
        <v>252</v>
      </c>
      <c r="P103" t="s">
        <v>275</v>
      </c>
      <c r="Q103" t="s">
        <v>276</v>
      </c>
      <c r="R103" s="1">
        <v>44834</v>
      </c>
      <c r="S103" s="1">
        <v>46295</v>
      </c>
      <c r="T103" s="2">
        <v>45960.678512916667</v>
      </c>
      <c r="U103" t="s">
        <v>253</v>
      </c>
      <c r="V103" t="s">
        <v>267</v>
      </c>
      <c r="W103" t="s">
        <v>277</v>
      </c>
      <c r="X103" t="s">
        <v>278</v>
      </c>
      <c r="Y103" t="s">
        <v>279</v>
      </c>
      <c r="Z103" s="32" t="s">
        <v>1072</v>
      </c>
      <c r="AA103" t="s">
        <v>280</v>
      </c>
      <c r="AB103" s="23" t="str">
        <f>AM103</f>
        <v>4d55cd98379640de90be2eb2fa9aba1f</v>
      </c>
      <c r="AC103" s="23"/>
      <c r="AD103" s="23"/>
      <c r="AE103" s="23"/>
      <c r="AF103" s="23"/>
      <c r="AG103" t="s">
        <v>270</v>
      </c>
      <c r="AH103">
        <v>10229000</v>
      </c>
      <c r="AI103" s="3" t="s">
        <v>889</v>
      </c>
      <c r="AM103" s="23" t="s">
        <v>2</v>
      </c>
    </row>
    <row r="104" spans="1:39" x14ac:dyDescent="0.2">
      <c r="A104" t="s">
        <v>890</v>
      </c>
      <c r="B104" t="b">
        <v>0</v>
      </c>
      <c r="C104" t="b">
        <v>0</v>
      </c>
      <c r="D104" t="b">
        <v>1</v>
      </c>
      <c r="E104" t="b">
        <v>0</v>
      </c>
      <c r="F104" t="b">
        <v>1</v>
      </c>
      <c r="G104" t="s">
        <v>361</v>
      </c>
      <c r="H104" t="s">
        <v>891</v>
      </c>
      <c r="I104" t="s">
        <v>890</v>
      </c>
      <c r="M104" t="s">
        <v>892</v>
      </c>
      <c r="N104" t="s">
        <v>892</v>
      </c>
      <c r="O104" t="s">
        <v>252</v>
      </c>
      <c r="P104" t="s">
        <v>893</v>
      </c>
      <c r="Q104" t="s">
        <v>894</v>
      </c>
      <c r="R104" s="1">
        <v>44232</v>
      </c>
      <c r="S104" s="1">
        <v>45327</v>
      </c>
      <c r="U104" t="s">
        <v>253</v>
      </c>
      <c r="V104" t="s">
        <v>254</v>
      </c>
      <c r="W104" t="s">
        <v>399</v>
      </c>
      <c r="X104" t="s">
        <v>256</v>
      </c>
      <c r="Y104" t="s">
        <v>400</v>
      </c>
      <c r="AG104" t="s">
        <v>401</v>
      </c>
      <c r="AH104">
        <v>14000000</v>
      </c>
      <c r="AI104" s="3" t="s">
        <v>895</v>
      </c>
    </row>
    <row r="105" spans="1:39" x14ac:dyDescent="0.2">
      <c r="A105" t="s">
        <v>896</v>
      </c>
      <c r="B105" t="b">
        <v>0</v>
      </c>
      <c r="C105" t="b">
        <v>0</v>
      </c>
      <c r="D105" t="b">
        <v>1</v>
      </c>
      <c r="E105" t="b">
        <v>0</v>
      </c>
      <c r="F105" t="b">
        <v>1</v>
      </c>
      <c r="G105" t="s">
        <v>361</v>
      </c>
      <c r="H105" t="s">
        <v>897</v>
      </c>
      <c r="I105" t="s">
        <v>896</v>
      </c>
      <c r="M105" t="s">
        <v>898</v>
      </c>
      <c r="N105" t="s">
        <v>899</v>
      </c>
      <c r="O105" t="s">
        <v>382</v>
      </c>
      <c r="T105" s="2">
        <v>44956.754762523145</v>
      </c>
      <c r="U105" t="s">
        <v>253</v>
      </c>
      <c r="V105" t="s">
        <v>267</v>
      </c>
      <c r="W105" t="s">
        <v>900</v>
      </c>
      <c r="X105" t="s">
        <v>256</v>
      </c>
      <c r="Y105" t="s">
        <v>257</v>
      </c>
      <c r="AG105" t="s">
        <v>260</v>
      </c>
    </row>
    <row r="106" spans="1:39" x14ac:dyDescent="0.2">
      <c r="A106" t="s">
        <v>901</v>
      </c>
      <c r="B106" t="b">
        <v>1</v>
      </c>
      <c r="C106" t="b">
        <v>0</v>
      </c>
      <c r="D106" t="b">
        <v>1</v>
      </c>
      <c r="E106" t="s">
        <v>522</v>
      </c>
      <c r="F106" t="b">
        <v>0</v>
      </c>
      <c r="G106" t="b">
        <v>0</v>
      </c>
      <c r="H106" t="s">
        <v>902</v>
      </c>
      <c r="I106" t="s">
        <v>901</v>
      </c>
      <c r="J106" s="20" t="s">
        <v>109</v>
      </c>
      <c r="N106" t="s">
        <v>903</v>
      </c>
      <c r="O106" t="s">
        <v>252</v>
      </c>
      <c r="R106" s="1">
        <v>43791</v>
      </c>
      <c r="S106" s="1">
        <v>44967</v>
      </c>
      <c r="T106" s="2">
        <v>45012.851635740742</v>
      </c>
      <c r="U106" t="s">
        <v>441</v>
      </c>
      <c r="V106" t="s">
        <v>267</v>
      </c>
      <c r="W106" t="s">
        <v>904</v>
      </c>
      <c r="X106" t="s">
        <v>305</v>
      </c>
      <c r="Y106" t="s">
        <v>343</v>
      </c>
      <c r="Z106" s="35" t="s">
        <v>905</v>
      </c>
      <c r="AA106" t="s">
        <v>906</v>
      </c>
      <c r="AB106" s="23" t="str">
        <f>AM106</f>
        <v>db1cda571f7a40d78a10fa816b44c3d0</v>
      </c>
      <c r="AC106" s="23"/>
      <c r="AD106" s="23"/>
      <c r="AE106" s="23"/>
      <c r="AF106" s="23"/>
      <c r="AG106" t="s">
        <v>345</v>
      </c>
      <c r="AH106">
        <v>2500000000</v>
      </c>
      <c r="AI106" s="3" t="s">
        <v>907</v>
      </c>
      <c r="AM106" s="23" t="s">
        <v>107</v>
      </c>
    </row>
    <row r="107" spans="1:39" x14ac:dyDescent="0.2">
      <c r="A107" t="s">
        <v>908</v>
      </c>
      <c r="B107" t="b">
        <v>0</v>
      </c>
      <c r="C107" t="b">
        <v>0</v>
      </c>
      <c r="D107" t="b">
        <v>1</v>
      </c>
      <c r="E107" t="b">
        <v>0</v>
      </c>
      <c r="F107" t="b">
        <v>1</v>
      </c>
      <c r="G107" t="s">
        <v>361</v>
      </c>
      <c r="H107" t="s">
        <v>909</v>
      </c>
      <c r="I107" t="s">
        <v>908</v>
      </c>
      <c r="J107" t="s">
        <v>910</v>
      </c>
      <c r="N107" t="s">
        <v>911</v>
      </c>
      <c r="O107" t="s">
        <v>252</v>
      </c>
      <c r="P107" t="s">
        <v>433</v>
      </c>
      <c r="Q107" t="s">
        <v>434</v>
      </c>
      <c r="R107" s="1">
        <v>44056</v>
      </c>
      <c r="S107" s="1">
        <v>47343</v>
      </c>
      <c r="U107" t="s">
        <v>253</v>
      </c>
      <c r="V107" t="s">
        <v>254</v>
      </c>
      <c r="W107" t="s">
        <v>435</v>
      </c>
      <c r="X107" t="s">
        <v>256</v>
      </c>
      <c r="Y107" t="s">
        <v>384</v>
      </c>
      <c r="AG107" t="s">
        <v>386</v>
      </c>
      <c r="AH107">
        <v>160000000000</v>
      </c>
      <c r="AI107" s="3" t="s">
        <v>912</v>
      </c>
    </row>
    <row r="108" spans="1:39" x14ac:dyDescent="0.2">
      <c r="A108" t="s">
        <v>913</v>
      </c>
      <c r="B108" t="b">
        <v>0</v>
      </c>
      <c r="C108" t="b">
        <v>0</v>
      </c>
      <c r="D108" t="b">
        <v>1</v>
      </c>
      <c r="E108" t="b">
        <v>0</v>
      </c>
      <c r="F108" t="b">
        <v>1</v>
      </c>
      <c r="G108" t="b">
        <v>0</v>
      </c>
      <c r="H108" t="s">
        <v>914</v>
      </c>
      <c r="I108" t="s">
        <v>913</v>
      </c>
      <c r="J108" t="s">
        <v>94</v>
      </c>
      <c r="K108" t="s">
        <v>915</v>
      </c>
      <c r="N108" t="s">
        <v>916</v>
      </c>
      <c r="O108" t="s">
        <v>252</v>
      </c>
      <c r="P108" t="s">
        <v>851</v>
      </c>
      <c r="Q108" t="s">
        <v>852</v>
      </c>
      <c r="R108" s="1">
        <v>44568</v>
      </c>
      <c r="S108" s="1">
        <v>46394</v>
      </c>
      <c r="T108" s="2">
        <v>45050.650130104164</v>
      </c>
      <c r="U108" t="s">
        <v>253</v>
      </c>
      <c r="V108" t="s">
        <v>267</v>
      </c>
      <c r="W108" t="s">
        <v>853</v>
      </c>
      <c r="X108" t="s">
        <v>278</v>
      </c>
      <c r="Y108" t="s">
        <v>287</v>
      </c>
      <c r="Z108" s="32" t="s">
        <v>2746</v>
      </c>
      <c r="AA108" t="s">
        <v>854</v>
      </c>
      <c r="AB108" s="23" t="str">
        <f>AM108</f>
        <v>8dc563c540c1439a8c930ddbfada75ef</v>
      </c>
      <c r="AC108" s="23"/>
      <c r="AD108" s="23"/>
      <c r="AE108" s="23"/>
      <c r="AF108" s="23"/>
      <c r="AG108" t="s">
        <v>591</v>
      </c>
      <c r="AH108">
        <v>5000000000</v>
      </c>
      <c r="AI108" s="3" t="s">
        <v>917</v>
      </c>
      <c r="AM108" s="23" t="s">
        <v>91</v>
      </c>
    </row>
    <row r="109" spans="1:39" x14ac:dyDescent="0.2">
      <c r="A109" t="s">
        <v>918</v>
      </c>
      <c r="B109" t="b">
        <v>0</v>
      </c>
      <c r="C109" t="b">
        <v>0</v>
      </c>
      <c r="D109" t="b">
        <v>1</v>
      </c>
      <c r="E109" t="b">
        <v>0</v>
      </c>
      <c r="F109" t="b">
        <v>1</v>
      </c>
      <c r="G109" t="b">
        <v>0</v>
      </c>
      <c r="H109" t="s">
        <v>919</v>
      </c>
      <c r="I109" t="s">
        <v>918</v>
      </c>
      <c r="J109" t="s">
        <v>126</v>
      </c>
      <c r="K109" t="s">
        <v>920</v>
      </c>
      <c r="N109" t="s">
        <v>921</v>
      </c>
      <c r="O109" t="s">
        <v>252</v>
      </c>
      <c r="P109" t="s">
        <v>504</v>
      </c>
      <c r="Q109" t="s">
        <v>505</v>
      </c>
      <c r="R109" s="1">
        <v>44204</v>
      </c>
      <c r="S109" s="1">
        <v>46033</v>
      </c>
      <c r="T109" s="2">
        <v>45099.925763865744</v>
      </c>
      <c r="U109" t="s">
        <v>253</v>
      </c>
      <c r="V109" t="s">
        <v>267</v>
      </c>
      <c r="W109" t="s">
        <v>506</v>
      </c>
      <c r="X109" t="s">
        <v>278</v>
      </c>
      <c r="Y109" t="s">
        <v>257</v>
      </c>
      <c r="Z109" s="32" t="s">
        <v>1415</v>
      </c>
      <c r="AA109" t="s">
        <v>507</v>
      </c>
      <c r="AB109" s="23" t="str">
        <f>AM109</f>
        <v>4fe1e360ebb54d2881c324702c05ca4c</v>
      </c>
      <c r="AC109" s="23"/>
      <c r="AD109" s="23"/>
      <c r="AE109" s="23"/>
      <c r="AF109" s="23"/>
      <c r="AG109" t="s">
        <v>270</v>
      </c>
      <c r="AH109">
        <v>500000000</v>
      </c>
      <c r="AI109" s="3" t="s">
        <v>922</v>
      </c>
      <c r="AM109" s="23" t="s">
        <v>125</v>
      </c>
    </row>
    <row r="110" spans="1:39" x14ac:dyDescent="0.2">
      <c r="A110" s="4" t="s">
        <v>923</v>
      </c>
      <c r="B110" t="b">
        <v>0</v>
      </c>
      <c r="C110" t="b">
        <v>0</v>
      </c>
      <c r="D110" t="b">
        <v>1</v>
      </c>
      <c r="E110" t="b">
        <v>0</v>
      </c>
      <c r="F110" t="b">
        <v>1</v>
      </c>
      <c r="G110" t="s">
        <v>361</v>
      </c>
      <c r="H110" t="s">
        <v>924</v>
      </c>
      <c r="I110" s="4" t="s">
        <v>923</v>
      </c>
      <c r="J110" t="s">
        <v>925</v>
      </c>
      <c r="K110" t="s">
        <v>926</v>
      </c>
      <c r="N110" t="s">
        <v>927</v>
      </c>
      <c r="O110" t="s">
        <v>252</v>
      </c>
      <c r="R110" s="1">
        <v>44128</v>
      </c>
      <c r="S110" s="1">
        <v>45589</v>
      </c>
      <c r="T110" s="2">
        <v>45029.619226875002</v>
      </c>
      <c r="U110" t="s">
        <v>253</v>
      </c>
      <c r="V110" t="s">
        <v>267</v>
      </c>
      <c r="W110" t="s">
        <v>760</v>
      </c>
      <c r="X110" t="s">
        <v>278</v>
      </c>
      <c r="Y110" t="s">
        <v>257</v>
      </c>
      <c r="AG110" t="s">
        <v>270</v>
      </c>
      <c r="AH110">
        <v>50000000</v>
      </c>
      <c r="AI110" s="3" t="s">
        <v>353</v>
      </c>
    </row>
    <row r="111" spans="1:39" x14ac:dyDescent="0.2">
      <c r="A111" t="s">
        <v>928</v>
      </c>
      <c r="B111" t="b">
        <v>1</v>
      </c>
      <c r="C111" t="b">
        <v>0</v>
      </c>
      <c r="D111" t="b">
        <v>1</v>
      </c>
      <c r="E111" t="s">
        <v>522</v>
      </c>
      <c r="F111" t="b">
        <v>0</v>
      </c>
      <c r="G111" t="b">
        <v>0</v>
      </c>
      <c r="H111" t="s">
        <v>929</v>
      </c>
      <c r="I111" t="s">
        <v>928</v>
      </c>
      <c r="M111" s="20" t="s">
        <v>930</v>
      </c>
      <c r="N111" t="s">
        <v>931</v>
      </c>
      <c r="O111" t="s">
        <v>252</v>
      </c>
      <c r="R111" s="1">
        <v>42850</v>
      </c>
      <c r="S111" s="1">
        <v>46502</v>
      </c>
      <c r="U111" t="s">
        <v>253</v>
      </c>
      <c r="V111" t="s">
        <v>267</v>
      </c>
      <c r="W111" t="s">
        <v>932</v>
      </c>
      <c r="X111" t="s">
        <v>278</v>
      </c>
      <c r="Y111" t="s">
        <v>384</v>
      </c>
      <c r="Z111" s="35" t="s">
        <v>933</v>
      </c>
      <c r="AA111" s="7" t="s">
        <v>934</v>
      </c>
      <c r="AG111" t="s">
        <v>386</v>
      </c>
      <c r="AH111">
        <v>433000000000</v>
      </c>
      <c r="AI111" s="3" t="s">
        <v>531</v>
      </c>
      <c r="AM111" s="7"/>
    </row>
    <row r="112" spans="1:39" x14ac:dyDescent="0.2">
      <c r="A112" t="s">
        <v>935</v>
      </c>
      <c r="B112" t="b">
        <v>0</v>
      </c>
      <c r="C112" t="b">
        <v>0</v>
      </c>
      <c r="D112" t="b">
        <v>1</v>
      </c>
      <c r="E112" t="b">
        <v>0</v>
      </c>
      <c r="F112" t="b">
        <v>1</v>
      </c>
      <c r="G112" t="s">
        <v>361</v>
      </c>
      <c r="H112" t="s">
        <v>936</v>
      </c>
      <c r="I112" t="s">
        <v>935</v>
      </c>
      <c r="J112" t="s">
        <v>937</v>
      </c>
      <c r="K112" t="s">
        <v>938</v>
      </c>
      <c r="M112" t="s">
        <v>939</v>
      </c>
      <c r="N112" t="s">
        <v>940</v>
      </c>
      <c r="O112" t="s">
        <v>252</v>
      </c>
      <c r="R112" s="1">
        <v>44423</v>
      </c>
      <c r="S112" s="1">
        <v>49536</v>
      </c>
      <c r="U112" t="s">
        <v>253</v>
      </c>
      <c r="V112" t="s">
        <v>254</v>
      </c>
      <c r="W112" t="s">
        <v>941</v>
      </c>
      <c r="X112" t="s">
        <v>256</v>
      </c>
      <c r="Y112" t="s">
        <v>257</v>
      </c>
      <c r="AG112" t="s">
        <v>260</v>
      </c>
      <c r="AH112">
        <v>220000000</v>
      </c>
      <c r="AI112" s="3" t="s">
        <v>942</v>
      </c>
    </row>
    <row r="113" spans="1:39" x14ac:dyDescent="0.2">
      <c r="A113" t="s">
        <v>943</v>
      </c>
      <c r="B113" t="b">
        <v>0</v>
      </c>
      <c r="C113" t="b">
        <v>0</v>
      </c>
      <c r="D113" t="b">
        <v>1</v>
      </c>
      <c r="E113" t="b">
        <v>0</v>
      </c>
      <c r="F113" t="b">
        <v>1</v>
      </c>
      <c r="G113" t="s">
        <v>361</v>
      </c>
      <c r="H113" t="s">
        <v>944</v>
      </c>
      <c r="I113" t="s">
        <v>943</v>
      </c>
      <c r="J113" t="s">
        <v>945</v>
      </c>
      <c r="M113" t="s">
        <v>946</v>
      </c>
      <c r="N113" t="s">
        <v>947</v>
      </c>
      <c r="O113" t="s">
        <v>252</v>
      </c>
      <c r="R113" s="1">
        <v>44286</v>
      </c>
      <c r="S113" s="1">
        <v>47467</v>
      </c>
      <c r="T113" s="2">
        <v>44895.814672685185</v>
      </c>
      <c r="U113" t="s">
        <v>253</v>
      </c>
      <c r="V113" t="s">
        <v>267</v>
      </c>
      <c r="W113" t="s">
        <v>716</v>
      </c>
      <c r="X113" t="s">
        <v>256</v>
      </c>
      <c r="Y113" t="s">
        <v>257</v>
      </c>
      <c r="AG113" t="s">
        <v>260</v>
      </c>
      <c r="AH113">
        <v>60000000</v>
      </c>
      <c r="AI113" s="3" t="s">
        <v>948</v>
      </c>
    </row>
    <row r="114" spans="1:39" x14ac:dyDescent="0.2">
      <c r="A114" t="s">
        <v>949</v>
      </c>
      <c r="B114" t="b">
        <v>0</v>
      </c>
      <c r="C114" t="b">
        <v>0</v>
      </c>
      <c r="D114" t="b">
        <v>1</v>
      </c>
      <c r="E114" t="b">
        <v>0</v>
      </c>
      <c r="F114" t="b">
        <v>1</v>
      </c>
      <c r="G114" t="s">
        <v>361</v>
      </c>
      <c r="H114" t="s">
        <v>950</v>
      </c>
      <c r="I114" t="s">
        <v>949</v>
      </c>
      <c r="J114" t="s">
        <v>951</v>
      </c>
      <c r="M114" t="s">
        <v>952</v>
      </c>
      <c r="N114" t="s">
        <v>953</v>
      </c>
      <c r="O114" t="s">
        <v>252</v>
      </c>
      <c r="R114" s="1">
        <v>44848</v>
      </c>
      <c r="S114" s="1">
        <v>46615</v>
      </c>
      <c r="T114" s="2">
        <v>46139.779389756943</v>
      </c>
      <c r="U114" t="s">
        <v>253</v>
      </c>
      <c r="V114" t="s">
        <v>267</v>
      </c>
      <c r="W114" t="s">
        <v>716</v>
      </c>
      <c r="X114" t="s">
        <v>256</v>
      </c>
      <c r="Y114" t="s">
        <v>257</v>
      </c>
      <c r="AG114" t="s">
        <v>260</v>
      </c>
      <c r="AH114">
        <v>486000000</v>
      </c>
      <c r="AI114" s="3" t="s">
        <v>954</v>
      </c>
    </row>
    <row r="115" spans="1:39" x14ac:dyDescent="0.2">
      <c r="A115" t="s">
        <v>824</v>
      </c>
      <c r="B115" t="b">
        <v>0</v>
      </c>
      <c r="C115" t="b">
        <v>0</v>
      </c>
      <c r="D115" t="b">
        <v>1</v>
      </c>
      <c r="E115" t="b">
        <v>0</v>
      </c>
      <c r="F115" t="b">
        <v>1</v>
      </c>
      <c r="G115" t="s">
        <v>361</v>
      </c>
      <c r="H115" t="s">
        <v>825</v>
      </c>
      <c r="I115" t="s">
        <v>824</v>
      </c>
      <c r="M115" t="s">
        <v>955</v>
      </c>
      <c r="N115" t="s">
        <v>956</v>
      </c>
      <c r="O115" t="s">
        <v>382</v>
      </c>
      <c r="U115" t="s">
        <v>253</v>
      </c>
      <c r="V115" t="s">
        <v>267</v>
      </c>
      <c r="W115" t="s">
        <v>545</v>
      </c>
      <c r="X115" t="s">
        <v>256</v>
      </c>
      <c r="Y115" t="s">
        <v>257</v>
      </c>
      <c r="AG115" t="s">
        <v>260</v>
      </c>
    </row>
    <row r="116" spans="1:39" x14ac:dyDescent="0.2">
      <c r="A116" t="s">
        <v>957</v>
      </c>
      <c r="B116" t="b">
        <v>1</v>
      </c>
      <c r="C116" t="b">
        <v>0</v>
      </c>
      <c r="D116" t="b">
        <v>1</v>
      </c>
      <c r="E116" t="s">
        <v>248</v>
      </c>
      <c r="F116" t="b">
        <v>0</v>
      </c>
      <c r="G116" t="b">
        <v>0</v>
      </c>
      <c r="H116" t="s">
        <v>958</v>
      </c>
      <c r="I116" t="s">
        <v>957</v>
      </c>
      <c r="J116" t="s">
        <v>959</v>
      </c>
      <c r="K116" t="s">
        <v>960</v>
      </c>
      <c r="N116" t="s">
        <v>961</v>
      </c>
      <c r="O116" t="s">
        <v>252</v>
      </c>
      <c r="R116" s="1">
        <v>43888</v>
      </c>
      <c r="S116" s="1">
        <v>53008</v>
      </c>
      <c r="U116" t="s">
        <v>253</v>
      </c>
      <c r="V116" t="s">
        <v>254</v>
      </c>
      <c r="W116" t="s">
        <v>788</v>
      </c>
      <c r="X116" t="s">
        <v>256</v>
      </c>
      <c r="Y116" t="s">
        <v>257</v>
      </c>
      <c r="AA116" s="6" t="s">
        <v>789</v>
      </c>
      <c r="AB116" s="8" t="s">
        <v>962</v>
      </c>
      <c r="AC116" s="8"/>
      <c r="AD116" s="8"/>
      <c r="AE116" s="8"/>
      <c r="AF116" s="8"/>
      <c r="AG116" t="s">
        <v>260</v>
      </c>
      <c r="AH116">
        <v>300000000</v>
      </c>
      <c r="AI116" s="3" t="s">
        <v>963</v>
      </c>
      <c r="AM116" s="6"/>
    </row>
    <row r="117" spans="1:39" x14ac:dyDescent="0.2">
      <c r="A117" t="s">
        <v>964</v>
      </c>
      <c r="B117" t="b">
        <v>0</v>
      </c>
      <c r="C117" t="b">
        <v>0</v>
      </c>
      <c r="D117" t="b">
        <v>1</v>
      </c>
      <c r="E117" t="b">
        <v>0</v>
      </c>
      <c r="F117" t="b">
        <v>1</v>
      </c>
      <c r="G117" t="b">
        <v>0</v>
      </c>
      <c r="H117" t="s">
        <v>965</v>
      </c>
      <c r="I117" t="s">
        <v>964</v>
      </c>
      <c r="J117" t="s">
        <v>69</v>
      </c>
      <c r="K117" t="s">
        <v>966</v>
      </c>
      <c r="M117" t="s">
        <v>967</v>
      </c>
      <c r="N117" t="s">
        <v>968</v>
      </c>
      <c r="O117" t="s">
        <v>252</v>
      </c>
      <c r="R117" s="1">
        <v>44522</v>
      </c>
      <c r="S117" s="1">
        <v>47102</v>
      </c>
      <c r="U117" t="s">
        <v>253</v>
      </c>
      <c r="V117" t="s">
        <v>254</v>
      </c>
      <c r="W117" t="s">
        <v>304</v>
      </c>
      <c r="X117" t="s">
        <v>305</v>
      </c>
      <c r="Y117" t="s">
        <v>306</v>
      </c>
      <c r="Z117" s="32" t="s">
        <v>1316</v>
      </c>
      <c r="AA117" t="s">
        <v>307</v>
      </c>
      <c r="AB117" s="23" t="str">
        <f>AM117</f>
        <v>54743cb2f07c4d9f923a5c04c2547bb4</v>
      </c>
      <c r="AC117" s="23"/>
      <c r="AD117" s="23"/>
      <c r="AE117" s="23"/>
      <c r="AF117" s="23"/>
      <c r="AG117" t="s">
        <v>308</v>
      </c>
      <c r="AH117">
        <v>220000000</v>
      </c>
      <c r="AI117" s="3" t="s">
        <v>969</v>
      </c>
      <c r="AM117" s="23" t="s">
        <v>68</v>
      </c>
    </row>
    <row r="118" spans="1:39" x14ac:dyDescent="0.2">
      <c r="A118" s="4" t="s">
        <v>970</v>
      </c>
      <c r="B118" t="b">
        <v>1</v>
      </c>
      <c r="C118" t="b">
        <v>0</v>
      </c>
      <c r="D118" t="b">
        <v>1</v>
      </c>
      <c r="E118" t="b">
        <v>0</v>
      </c>
      <c r="F118" t="b">
        <v>0</v>
      </c>
      <c r="G118" t="s">
        <v>361</v>
      </c>
      <c r="H118" t="s">
        <v>971</v>
      </c>
      <c r="I118" s="4" t="s">
        <v>970</v>
      </c>
      <c r="J118" t="s">
        <v>972</v>
      </c>
      <c r="N118" t="s">
        <v>973</v>
      </c>
      <c r="O118" t="s">
        <v>252</v>
      </c>
      <c r="R118" s="1">
        <v>43731</v>
      </c>
      <c r="S118" s="1">
        <v>48285</v>
      </c>
      <c r="U118" t="s">
        <v>253</v>
      </c>
      <c r="V118" t="s">
        <v>254</v>
      </c>
      <c r="W118" t="s">
        <v>974</v>
      </c>
      <c r="X118" t="s">
        <v>256</v>
      </c>
      <c r="Y118" t="s">
        <v>257</v>
      </c>
      <c r="AA118" s="6" t="s">
        <v>689</v>
      </c>
      <c r="AB118" s="8" t="s">
        <v>975</v>
      </c>
      <c r="AC118" s="8"/>
      <c r="AD118" s="8"/>
      <c r="AE118" s="8"/>
      <c r="AF118" s="8"/>
      <c r="AG118" t="s">
        <v>260</v>
      </c>
      <c r="AH118">
        <v>25247827</v>
      </c>
      <c r="AI118" s="3" t="s">
        <v>976</v>
      </c>
      <c r="AM118" s="6"/>
    </row>
    <row r="119" spans="1:39" x14ac:dyDescent="0.2">
      <c r="A119" t="s">
        <v>977</v>
      </c>
      <c r="B119" t="b">
        <v>0</v>
      </c>
      <c r="C119" t="b">
        <v>0</v>
      </c>
      <c r="D119" t="b">
        <v>0</v>
      </c>
      <c r="E119" t="b">
        <v>0</v>
      </c>
      <c r="F119" t="b">
        <v>0</v>
      </c>
      <c r="G119" t="b">
        <v>1</v>
      </c>
      <c r="H119" t="s">
        <v>978</v>
      </c>
      <c r="I119" t="s">
        <v>977</v>
      </c>
      <c r="J119" t="s">
        <v>117</v>
      </c>
      <c r="K119" t="s">
        <v>979</v>
      </c>
      <c r="M119" t="s">
        <v>980</v>
      </c>
      <c r="N119" t="s">
        <v>981</v>
      </c>
      <c r="O119" t="s">
        <v>252</v>
      </c>
      <c r="P119" t="s">
        <v>387</v>
      </c>
      <c r="Q119" t="s">
        <v>388</v>
      </c>
      <c r="R119" s="1">
        <v>43634</v>
      </c>
      <c r="S119" s="1">
        <v>46191</v>
      </c>
      <c r="T119" s="2">
        <v>44889.687130810184</v>
      </c>
      <c r="U119" t="s">
        <v>253</v>
      </c>
      <c r="V119" t="s">
        <v>295</v>
      </c>
      <c r="W119" t="s">
        <v>391</v>
      </c>
      <c r="X119" t="s">
        <v>305</v>
      </c>
      <c r="Y119" t="s">
        <v>384</v>
      </c>
      <c r="AA119" t="s">
        <v>392</v>
      </c>
      <c r="AB119" s="23" t="str">
        <f>AM119</f>
        <v>588f4584351c4b9ea59518b315bbf51d</v>
      </c>
      <c r="AC119" s="23"/>
      <c r="AD119" s="23"/>
      <c r="AE119" s="23"/>
      <c r="AF119" s="23"/>
      <c r="AG119" t="s">
        <v>386</v>
      </c>
      <c r="AH119">
        <v>267173000000</v>
      </c>
      <c r="AI119" s="3" t="s">
        <v>982</v>
      </c>
      <c r="AM119" s="23" t="s">
        <v>116</v>
      </c>
    </row>
    <row r="120" spans="1:39" x14ac:dyDescent="0.2">
      <c r="A120" t="s">
        <v>983</v>
      </c>
      <c r="B120" t="b">
        <v>0</v>
      </c>
      <c r="C120" t="b">
        <v>0</v>
      </c>
      <c r="D120" t="b">
        <v>1</v>
      </c>
      <c r="E120" t="b">
        <v>0</v>
      </c>
      <c r="F120" t="b">
        <v>1</v>
      </c>
      <c r="G120" t="b">
        <v>0</v>
      </c>
      <c r="H120" t="s">
        <v>984</v>
      </c>
      <c r="I120" t="s">
        <v>983</v>
      </c>
      <c r="J120" t="s">
        <v>156</v>
      </c>
      <c r="N120" t="s">
        <v>985</v>
      </c>
      <c r="O120" t="s">
        <v>252</v>
      </c>
      <c r="R120" s="1">
        <v>44582</v>
      </c>
      <c r="S120" s="1">
        <v>48234</v>
      </c>
      <c r="T120" s="2">
        <v>46077.763330590278</v>
      </c>
      <c r="U120" t="s">
        <v>253</v>
      </c>
      <c r="V120" t="s">
        <v>267</v>
      </c>
      <c r="W120" t="s">
        <v>296</v>
      </c>
      <c r="X120" t="s">
        <v>278</v>
      </c>
      <c r="Y120" t="s">
        <v>257</v>
      </c>
      <c r="Z120" s="32" t="s">
        <v>2744</v>
      </c>
      <c r="AA120" t="s">
        <v>986</v>
      </c>
      <c r="AB120" s="23" t="str">
        <f>AM120</f>
        <v>f77734da4e7947ce9ee14e628edae0c0</v>
      </c>
      <c r="AC120" s="23"/>
      <c r="AD120" s="23"/>
      <c r="AE120" s="23"/>
      <c r="AF120" s="23"/>
      <c r="AG120" t="s">
        <v>270</v>
      </c>
      <c r="AH120">
        <v>100000000</v>
      </c>
      <c r="AI120" s="3" t="s">
        <v>987</v>
      </c>
      <c r="AM120" s="23" t="s">
        <v>155</v>
      </c>
    </row>
    <row r="121" spans="1:39" x14ac:dyDescent="0.2">
      <c r="A121" t="s">
        <v>988</v>
      </c>
      <c r="B121" t="b">
        <v>0</v>
      </c>
      <c r="C121" t="b">
        <v>0</v>
      </c>
      <c r="D121" t="b">
        <v>0</v>
      </c>
      <c r="E121" t="b">
        <v>0</v>
      </c>
      <c r="F121" t="b">
        <v>0</v>
      </c>
      <c r="G121" t="b">
        <v>1</v>
      </c>
      <c r="H121" t="s">
        <v>989</v>
      </c>
      <c r="I121" t="s">
        <v>988</v>
      </c>
      <c r="J121" t="s">
        <v>118</v>
      </c>
      <c r="K121" t="s">
        <v>990</v>
      </c>
      <c r="M121" t="s">
        <v>991</v>
      </c>
      <c r="N121" t="s">
        <v>992</v>
      </c>
      <c r="O121" t="s">
        <v>252</v>
      </c>
      <c r="P121" t="s">
        <v>387</v>
      </c>
      <c r="Q121" t="s">
        <v>388</v>
      </c>
      <c r="R121" s="1">
        <v>43634</v>
      </c>
      <c r="S121" s="1">
        <v>45461</v>
      </c>
      <c r="T121" s="2">
        <v>44889.687600138888</v>
      </c>
      <c r="U121" t="s">
        <v>253</v>
      </c>
      <c r="V121" t="s">
        <v>295</v>
      </c>
      <c r="W121" t="s">
        <v>391</v>
      </c>
      <c r="X121" t="s">
        <v>305</v>
      </c>
      <c r="Y121" t="s">
        <v>384</v>
      </c>
      <c r="AA121" t="s">
        <v>392</v>
      </c>
      <c r="AB121" s="23" t="str">
        <f>AM121</f>
        <v>588f4584351c4b9ea59518b315bbf51d</v>
      </c>
      <c r="AC121" s="23"/>
      <c r="AD121" s="23"/>
      <c r="AE121" s="23"/>
      <c r="AF121" s="23"/>
      <c r="AG121" t="s">
        <v>386</v>
      </c>
      <c r="AH121">
        <v>132827000000</v>
      </c>
      <c r="AI121" s="3" t="s">
        <v>993</v>
      </c>
      <c r="AM121" s="23" t="s">
        <v>116</v>
      </c>
    </row>
    <row r="122" spans="1:39" x14ac:dyDescent="0.2">
      <c r="A122" s="4" t="s">
        <v>994</v>
      </c>
      <c r="B122" t="b">
        <v>0</v>
      </c>
      <c r="C122" t="b">
        <v>0</v>
      </c>
      <c r="D122" t="b">
        <v>0</v>
      </c>
      <c r="E122" t="b">
        <v>0</v>
      </c>
      <c r="F122" t="b">
        <v>0</v>
      </c>
      <c r="G122" t="b">
        <v>1</v>
      </c>
      <c r="H122" t="s">
        <v>995</v>
      </c>
      <c r="I122" s="4" t="s">
        <v>994</v>
      </c>
      <c r="J122" t="s">
        <v>34</v>
      </c>
      <c r="K122" t="s">
        <v>996</v>
      </c>
      <c r="M122" t="s">
        <v>997</v>
      </c>
      <c r="N122" t="s">
        <v>998</v>
      </c>
      <c r="O122" t="s">
        <v>252</v>
      </c>
      <c r="P122" t="s">
        <v>731</v>
      </c>
      <c r="Q122" t="s">
        <v>732</v>
      </c>
      <c r="R122" s="1">
        <v>44643</v>
      </c>
      <c r="S122" s="1">
        <v>45741</v>
      </c>
      <c r="T122" s="2">
        <v>45125.778022268518</v>
      </c>
      <c r="U122" t="s">
        <v>253</v>
      </c>
      <c r="V122" t="s">
        <v>295</v>
      </c>
      <c r="W122" t="s">
        <v>342</v>
      </c>
      <c r="X122" t="s">
        <v>305</v>
      </c>
      <c r="Y122" t="s">
        <v>343</v>
      </c>
      <c r="AA122" t="s">
        <v>344</v>
      </c>
      <c r="AB122" s="23" t="str">
        <f>AM122</f>
        <v>41f78746078d444787f9a1f78b30153c</v>
      </c>
      <c r="AC122" s="23"/>
      <c r="AD122" s="23"/>
      <c r="AE122" s="23"/>
      <c r="AF122" s="23"/>
      <c r="AG122" t="s">
        <v>345</v>
      </c>
      <c r="AH122">
        <v>4985193000</v>
      </c>
      <c r="AI122" s="3" t="s">
        <v>999</v>
      </c>
      <c r="AM122" s="23" t="s">
        <v>27</v>
      </c>
    </row>
    <row r="123" spans="1:39" x14ac:dyDescent="0.2">
      <c r="A123" t="s">
        <v>1000</v>
      </c>
      <c r="B123" t="b">
        <v>1</v>
      </c>
      <c r="C123" t="b">
        <v>0</v>
      </c>
      <c r="D123" t="b">
        <v>1</v>
      </c>
      <c r="E123" t="s">
        <v>248</v>
      </c>
      <c r="F123" t="b">
        <v>0</v>
      </c>
      <c r="G123" t="b">
        <v>0</v>
      </c>
      <c r="H123" t="s">
        <v>1001</v>
      </c>
      <c r="I123" t="s">
        <v>1000</v>
      </c>
      <c r="J123" t="s">
        <v>1002</v>
      </c>
      <c r="N123" t="s">
        <v>1003</v>
      </c>
      <c r="O123" t="s">
        <v>252</v>
      </c>
      <c r="R123" s="1">
        <v>44239</v>
      </c>
      <c r="S123" s="1">
        <v>47914</v>
      </c>
      <c r="U123" t="s">
        <v>253</v>
      </c>
      <c r="V123" t="s">
        <v>254</v>
      </c>
      <c r="W123" t="s">
        <v>612</v>
      </c>
      <c r="X123" t="s">
        <v>278</v>
      </c>
      <c r="Y123" t="s">
        <v>257</v>
      </c>
      <c r="AA123" t="s">
        <v>613</v>
      </c>
      <c r="AB123" s="7" t="s">
        <v>614</v>
      </c>
      <c r="AC123" s="7"/>
      <c r="AD123" s="7"/>
      <c r="AE123" s="7"/>
      <c r="AF123" s="7"/>
      <c r="AG123" t="s">
        <v>260</v>
      </c>
      <c r="AH123">
        <v>64064000</v>
      </c>
      <c r="AI123" s="3" t="s">
        <v>1004</v>
      </c>
    </row>
    <row r="124" spans="1:39" x14ac:dyDescent="0.2">
      <c r="A124" t="s">
        <v>1005</v>
      </c>
      <c r="B124" t="b">
        <v>0</v>
      </c>
      <c r="C124" t="b">
        <v>0</v>
      </c>
      <c r="D124" t="b">
        <v>1</v>
      </c>
      <c r="E124" t="b">
        <v>0</v>
      </c>
      <c r="F124" t="b">
        <v>1</v>
      </c>
      <c r="G124" t="s">
        <v>361</v>
      </c>
      <c r="H124" t="s">
        <v>1006</v>
      </c>
      <c r="I124" t="s">
        <v>1005</v>
      </c>
      <c r="J124" t="s">
        <v>1007</v>
      </c>
      <c r="M124" t="s">
        <v>1008</v>
      </c>
      <c r="N124" t="s">
        <v>1008</v>
      </c>
      <c r="O124" t="s">
        <v>252</v>
      </c>
      <c r="R124" s="1">
        <v>44270</v>
      </c>
      <c r="S124" s="1">
        <v>47192</v>
      </c>
      <c r="U124" t="s">
        <v>253</v>
      </c>
      <c r="V124" t="s">
        <v>254</v>
      </c>
      <c r="W124" t="s">
        <v>494</v>
      </c>
      <c r="X124" t="s">
        <v>256</v>
      </c>
      <c r="Y124" t="s">
        <v>257</v>
      </c>
      <c r="AG124" t="s">
        <v>260</v>
      </c>
      <c r="AH124">
        <v>1050000000</v>
      </c>
      <c r="AI124" s="3" t="s">
        <v>1009</v>
      </c>
    </row>
    <row r="125" spans="1:39" x14ac:dyDescent="0.2">
      <c r="A125" t="s">
        <v>1010</v>
      </c>
      <c r="B125" t="b">
        <v>0</v>
      </c>
      <c r="C125" t="b">
        <v>0</v>
      </c>
      <c r="D125" t="b">
        <v>0</v>
      </c>
      <c r="E125" t="b">
        <v>0</v>
      </c>
      <c r="F125" t="b">
        <v>0</v>
      </c>
      <c r="G125" t="b">
        <v>1</v>
      </c>
      <c r="H125" t="s">
        <v>1011</v>
      </c>
      <c r="I125" t="s">
        <v>1010</v>
      </c>
      <c r="J125" t="s">
        <v>111</v>
      </c>
      <c r="N125" t="s">
        <v>1012</v>
      </c>
      <c r="O125" t="s">
        <v>252</v>
      </c>
      <c r="R125" s="1">
        <v>44768</v>
      </c>
      <c r="S125" s="1">
        <v>45475</v>
      </c>
      <c r="T125" s="2">
        <v>46077.764219097226</v>
      </c>
      <c r="U125" t="s">
        <v>253</v>
      </c>
      <c r="V125" t="s">
        <v>295</v>
      </c>
      <c r="W125" t="s">
        <v>296</v>
      </c>
      <c r="X125" t="s">
        <v>278</v>
      </c>
      <c r="Y125" t="s">
        <v>257</v>
      </c>
      <c r="AA125" t="s">
        <v>297</v>
      </c>
      <c r="AB125" s="23" t="str">
        <f>AM125</f>
        <v>3335c7c5d57a40b1a9abcb760293f7c1</v>
      </c>
      <c r="AC125" s="23"/>
      <c r="AD125" s="23"/>
      <c r="AE125" s="23"/>
      <c r="AF125" s="23"/>
      <c r="AG125" t="s">
        <v>260</v>
      </c>
      <c r="AH125">
        <v>207600000</v>
      </c>
      <c r="AI125" s="3" t="s">
        <v>1013</v>
      </c>
      <c r="AM125" s="23" t="s">
        <v>110</v>
      </c>
    </row>
    <row r="126" spans="1:39" x14ac:dyDescent="0.2">
      <c r="A126" t="s">
        <v>1014</v>
      </c>
      <c r="B126" t="b">
        <v>0</v>
      </c>
      <c r="C126" t="b">
        <v>0</v>
      </c>
      <c r="D126" t="b">
        <v>1</v>
      </c>
      <c r="E126" t="b">
        <v>0</v>
      </c>
      <c r="F126" t="b">
        <v>1</v>
      </c>
      <c r="G126" t="b">
        <v>0</v>
      </c>
      <c r="H126" t="s">
        <v>1015</v>
      </c>
      <c r="I126" t="s">
        <v>1014</v>
      </c>
      <c r="J126" t="s">
        <v>47</v>
      </c>
      <c r="N126" t="s">
        <v>1016</v>
      </c>
      <c r="O126" t="s">
        <v>252</v>
      </c>
      <c r="R126" s="1">
        <v>45121</v>
      </c>
      <c r="S126" s="1">
        <v>46948</v>
      </c>
      <c r="T126" s="2">
        <v>46059.657382766207</v>
      </c>
      <c r="U126" t="s">
        <v>253</v>
      </c>
      <c r="V126" t="s">
        <v>267</v>
      </c>
      <c r="W126" t="s">
        <v>319</v>
      </c>
      <c r="X126" t="s">
        <v>256</v>
      </c>
      <c r="Y126" t="s">
        <v>269</v>
      </c>
      <c r="Z126" s="32" t="s">
        <v>2755</v>
      </c>
      <c r="AA126" t="s">
        <v>320</v>
      </c>
      <c r="AB126" s="23" t="str">
        <f>AM126</f>
        <v>0861b552d06e4b9799ebc7a3b1aa7e2a</v>
      </c>
      <c r="AC126" s="23"/>
      <c r="AD126" s="23"/>
      <c r="AE126" s="23"/>
      <c r="AF126" s="23"/>
      <c r="AG126" t="s">
        <v>270</v>
      </c>
      <c r="AH126">
        <v>30000000</v>
      </c>
      <c r="AI126" s="3" t="s">
        <v>602</v>
      </c>
      <c r="AM126" s="23" t="s">
        <v>40</v>
      </c>
    </row>
    <row r="127" spans="1:39" x14ac:dyDescent="0.2">
      <c r="A127" t="s">
        <v>1017</v>
      </c>
      <c r="B127" t="b">
        <v>0</v>
      </c>
      <c r="C127" t="b">
        <v>0</v>
      </c>
      <c r="D127" t="b">
        <v>1</v>
      </c>
      <c r="E127" t="b">
        <v>0</v>
      </c>
      <c r="F127" t="b">
        <v>1</v>
      </c>
      <c r="G127" t="b">
        <v>0</v>
      </c>
      <c r="H127" t="s">
        <v>1018</v>
      </c>
      <c r="I127" t="s">
        <v>1017</v>
      </c>
      <c r="J127" t="s">
        <v>144</v>
      </c>
      <c r="K127" t="s">
        <v>1019</v>
      </c>
      <c r="L127" t="s">
        <v>1020</v>
      </c>
      <c r="M127" t="s">
        <v>1021</v>
      </c>
      <c r="N127" t="s">
        <v>1022</v>
      </c>
      <c r="O127" t="s">
        <v>252</v>
      </c>
      <c r="R127" s="1">
        <v>43425</v>
      </c>
      <c r="S127" s="1">
        <v>47078</v>
      </c>
      <c r="T127" s="2">
        <v>44951.734472638891</v>
      </c>
      <c r="U127" t="s">
        <v>441</v>
      </c>
      <c r="V127" t="s">
        <v>267</v>
      </c>
      <c r="W127" t="s">
        <v>1023</v>
      </c>
      <c r="X127" t="s">
        <v>479</v>
      </c>
      <c r="Y127" t="s">
        <v>343</v>
      </c>
      <c r="Z127" s="32" t="s">
        <v>2743</v>
      </c>
      <c r="AA127" t="s">
        <v>1024</v>
      </c>
      <c r="AB127" s="23" t="str">
        <f>AM127</f>
        <v>3bed31a8a09f4c65bf9b9e10a3a99d43</v>
      </c>
      <c r="AC127" s="23"/>
      <c r="AD127" s="23"/>
      <c r="AE127" s="23"/>
      <c r="AF127" s="23"/>
      <c r="AG127" t="s">
        <v>345</v>
      </c>
      <c r="AH127">
        <v>1100000000</v>
      </c>
      <c r="AI127" s="3" t="s">
        <v>1025</v>
      </c>
      <c r="AM127" s="23" t="s">
        <v>143</v>
      </c>
    </row>
    <row r="128" spans="1:39" s="9" customFormat="1" x14ac:dyDescent="0.2">
      <c r="A128" s="9" t="s">
        <v>1026</v>
      </c>
      <c r="B128" s="9" t="b">
        <v>1</v>
      </c>
      <c r="C128" s="9" t="b">
        <v>1</v>
      </c>
      <c r="D128" s="9" t="b">
        <v>1</v>
      </c>
      <c r="E128" s="9" t="b">
        <v>0</v>
      </c>
      <c r="F128" s="9" t="b">
        <v>0</v>
      </c>
      <c r="G128" s="9" t="b">
        <v>0</v>
      </c>
      <c r="H128" s="9" t="s">
        <v>1027</v>
      </c>
      <c r="I128" s="9" t="s">
        <v>1026</v>
      </c>
      <c r="M128" s="10" t="s">
        <v>1028</v>
      </c>
      <c r="N128" s="9" t="s">
        <v>1029</v>
      </c>
      <c r="O128" s="9" t="s">
        <v>252</v>
      </c>
      <c r="R128" s="11">
        <v>43665</v>
      </c>
      <c r="S128" s="11">
        <v>44761</v>
      </c>
      <c r="U128" s="9" t="s">
        <v>253</v>
      </c>
      <c r="V128" s="9" t="s">
        <v>254</v>
      </c>
      <c r="W128" s="9" t="s">
        <v>1030</v>
      </c>
      <c r="X128" s="9" t="s">
        <v>256</v>
      </c>
      <c r="Y128" s="9" t="s">
        <v>257</v>
      </c>
      <c r="Z128" s="32" t="s">
        <v>1031</v>
      </c>
      <c r="AA128" s="9" t="s">
        <v>1032</v>
      </c>
      <c r="AB128" s="23" t="str">
        <f>AM128</f>
        <v>50f2b7fafb124d06ab93eef678436e3e</v>
      </c>
      <c r="AC128" s="23"/>
      <c r="AD128" s="23"/>
      <c r="AE128" s="23"/>
      <c r="AF128" s="23"/>
      <c r="AG128" s="9" t="s">
        <v>260</v>
      </c>
      <c r="AH128" s="9">
        <v>40150000</v>
      </c>
      <c r="AI128" s="12" t="s">
        <v>1033</v>
      </c>
      <c r="AM128" s="22" t="s">
        <v>211</v>
      </c>
    </row>
    <row r="129" spans="1:39" x14ac:dyDescent="0.2">
      <c r="A129" t="s">
        <v>433</v>
      </c>
      <c r="B129" t="b">
        <v>1</v>
      </c>
      <c r="C129" t="b">
        <v>0</v>
      </c>
      <c r="D129" t="b">
        <v>1</v>
      </c>
      <c r="E129" t="b">
        <v>0</v>
      </c>
      <c r="F129" t="b">
        <v>0</v>
      </c>
      <c r="G129" t="s">
        <v>361</v>
      </c>
      <c r="H129" t="s">
        <v>434</v>
      </c>
      <c r="I129" t="s">
        <v>433</v>
      </c>
      <c r="M129" t="s">
        <v>1034</v>
      </c>
      <c r="N129" t="s">
        <v>1035</v>
      </c>
      <c r="O129" t="s">
        <v>382</v>
      </c>
      <c r="S129" s="1">
        <v>51361</v>
      </c>
      <c r="U129" t="s">
        <v>253</v>
      </c>
      <c r="V129" t="s">
        <v>254</v>
      </c>
      <c r="W129" t="s">
        <v>435</v>
      </c>
      <c r="X129" t="s">
        <v>256</v>
      </c>
      <c r="Y129" t="s">
        <v>384</v>
      </c>
      <c r="AG129" t="s">
        <v>386</v>
      </c>
    </row>
    <row r="130" spans="1:39" x14ac:dyDescent="0.2">
      <c r="A130" t="s">
        <v>1036</v>
      </c>
      <c r="B130" t="b">
        <v>1</v>
      </c>
      <c r="C130" t="b">
        <v>0</v>
      </c>
      <c r="D130" t="b">
        <v>1</v>
      </c>
      <c r="E130" t="s">
        <v>248</v>
      </c>
      <c r="F130" t="b">
        <v>0</v>
      </c>
      <c r="G130" t="b">
        <v>0</v>
      </c>
      <c r="H130" t="s">
        <v>1037</v>
      </c>
      <c r="I130" t="s">
        <v>1036</v>
      </c>
      <c r="J130" t="s">
        <v>1038</v>
      </c>
      <c r="K130" t="s">
        <v>1039</v>
      </c>
      <c r="M130" t="s">
        <v>1040</v>
      </c>
      <c r="N130" t="s">
        <v>1041</v>
      </c>
      <c r="O130" t="s">
        <v>252</v>
      </c>
      <c r="R130" s="1">
        <v>43222</v>
      </c>
      <c r="S130" s="1">
        <v>45762</v>
      </c>
      <c r="U130" t="s">
        <v>441</v>
      </c>
      <c r="V130" t="s">
        <v>254</v>
      </c>
      <c r="W130" t="s">
        <v>1042</v>
      </c>
      <c r="X130" t="s">
        <v>256</v>
      </c>
      <c r="Y130" t="s">
        <v>257</v>
      </c>
      <c r="AA130" s="6" t="s">
        <v>1043</v>
      </c>
      <c r="AB130" t="s">
        <v>1044</v>
      </c>
      <c r="AG130" t="s">
        <v>260</v>
      </c>
      <c r="AH130">
        <v>621000000</v>
      </c>
      <c r="AI130" s="3" t="s">
        <v>1045</v>
      </c>
      <c r="AM130" s="6"/>
    </row>
    <row r="131" spans="1:39" x14ac:dyDescent="0.2">
      <c r="A131" t="s">
        <v>1046</v>
      </c>
      <c r="B131" t="b">
        <v>0</v>
      </c>
      <c r="C131" t="b">
        <v>0</v>
      </c>
      <c r="D131" t="b">
        <v>1</v>
      </c>
      <c r="E131" t="b">
        <v>0</v>
      </c>
      <c r="F131" t="b">
        <v>1</v>
      </c>
      <c r="G131" t="b">
        <v>0</v>
      </c>
      <c r="H131" t="s">
        <v>1047</v>
      </c>
      <c r="I131" t="s">
        <v>1046</v>
      </c>
      <c r="K131" t="s">
        <v>1048</v>
      </c>
      <c r="N131" t="s">
        <v>1049</v>
      </c>
      <c r="O131" t="s">
        <v>252</v>
      </c>
      <c r="R131" s="1">
        <v>44418</v>
      </c>
      <c r="S131" s="1">
        <v>45514</v>
      </c>
      <c r="T131" s="2">
        <v>46057.583327986111</v>
      </c>
      <c r="U131" t="s">
        <v>253</v>
      </c>
      <c r="V131" t="s">
        <v>267</v>
      </c>
      <c r="W131" t="s">
        <v>319</v>
      </c>
      <c r="X131" t="s">
        <v>256</v>
      </c>
      <c r="Y131" t="s">
        <v>269</v>
      </c>
      <c r="Z131" s="32" t="s">
        <v>2755</v>
      </c>
      <c r="AA131" t="s">
        <v>320</v>
      </c>
      <c r="AB131" s="23" t="str">
        <f>AM131</f>
        <v>0861b552d06e4b9799ebc7a3b1aa7e2a</v>
      </c>
      <c r="AC131" s="23"/>
      <c r="AD131" s="23"/>
      <c r="AE131" s="23"/>
      <c r="AF131" s="23"/>
      <c r="AG131" t="s">
        <v>270</v>
      </c>
      <c r="AH131">
        <v>15605522</v>
      </c>
      <c r="AI131" s="3" t="s">
        <v>1050</v>
      </c>
      <c r="AM131" s="23" t="s">
        <v>40</v>
      </c>
    </row>
    <row r="132" spans="1:39" x14ac:dyDescent="0.2">
      <c r="A132" t="s">
        <v>1051</v>
      </c>
      <c r="B132" t="b">
        <v>0</v>
      </c>
      <c r="C132" t="b">
        <v>0</v>
      </c>
      <c r="D132" t="b">
        <v>1</v>
      </c>
      <c r="E132" t="b">
        <v>0</v>
      </c>
      <c r="F132" t="b">
        <v>1</v>
      </c>
      <c r="G132" t="b">
        <v>0</v>
      </c>
      <c r="H132" t="s">
        <v>1052</v>
      </c>
      <c r="I132" t="s">
        <v>1051</v>
      </c>
      <c r="J132" t="s">
        <v>77</v>
      </c>
      <c r="N132" t="s">
        <v>1053</v>
      </c>
      <c r="O132" t="s">
        <v>252</v>
      </c>
      <c r="R132" s="1">
        <v>44518</v>
      </c>
      <c r="S132" s="1">
        <v>46343</v>
      </c>
      <c r="U132" t="s">
        <v>253</v>
      </c>
      <c r="V132" t="s">
        <v>254</v>
      </c>
      <c r="W132" t="s">
        <v>426</v>
      </c>
      <c r="X132" t="s">
        <v>256</v>
      </c>
      <c r="Y132" t="s">
        <v>257</v>
      </c>
      <c r="Z132" s="32" t="s">
        <v>2757</v>
      </c>
      <c r="AA132" t="s">
        <v>427</v>
      </c>
      <c r="AB132" s="23" t="str">
        <f>AM132</f>
        <v>06916bad6f3d4631a2127d3f46ff766d</v>
      </c>
      <c r="AC132" s="23"/>
      <c r="AD132" s="23"/>
      <c r="AE132" s="23"/>
      <c r="AF132" s="23"/>
      <c r="AG132" t="s">
        <v>260</v>
      </c>
      <c r="AH132">
        <v>16000000</v>
      </c>
      <c r="AI132" s="3" t="s">
        <v>1054</v>
      </c>
      <c r="AM132" s="23" t="s">
        <v>74</v>
      </c>
    </row>
    <row r="133" spans="1:39" x14ac:dyDescent="0.2">
      <c r="A133" t="s">
        <v>1055</v>
      </c>
      <c r="B133" t="b">
        <v>0</v>
      </c>
      <c r="C133" t="b">
        <v>0</v>
      </c>
      <c r="D133" t="b">
        <v>1</v>
      </c>
      <c r="E133" t="b">
        <v>0</v>
      </c>
      <c r="F133" t="b">
        <v>1</v>
      </c>
      <c r="G133" t="b">
        <v>0</v>
      </c>
      <c r="H133" t="s">
        <v>1056</v>
      </c>
      <c r="I133" t="s">
        <v>1055</v>
      </c>
      <c r="J133" t="s">
        <v>115</v>
      </c>
      <c r="K133" t="s">
        <v>1057</v>
      </c>
      <c r="L133" t="s">
        <v>1058</v>
      </c>
      <c r="M133" t="s">
        <v>1059</v>
      </c>
      <c r="N133" t="s">
        <v>1060</v>
      </c>
      <c r="O133" t="s">
        <v>252</v>
      </c>
      <c r="R133" s="1">
        <v>44356</v>
      </c>
      <c r="S133" s="1">
        <v>48745</v>
      </c>
      <c r="U133" t="s">
        <v>253</v>
      </c>
      <c r="V133" t="s">
        <v>254</v>
      </c>
      <c r="W133" t="s">
        <v>658</v>
      </c>
      <c r="X133" t="s">
        <v>256</v>
      </c>
      <c r="Y133" t="s">
        <v>287</v>
      </c>
      <c r="Z133" s="32" t="s">
        <v>2751</v>
      </c>
      <c r="AA133" t="s">
        <v>659</v>
      </c>
      <c r="AB133" s="23" t="str">
        <f>AM133</f>
        <v>a40381fb70654535ada4454c2ff5e808</v>
      </c>
      <c r="AC133" s="23"/>
      <c r="AD133" s="23"/>
      <c r="AE133" s="23"/>
      <c r="AF133" s="23"/>
      <c r="AG133" t="s">
        <v>270</v>
      </c>
      <c r="AH133">
        <v>250230000</v>
      </c>
      <c r="AI133" s="3" t="s">
        <v>1061</v>
      </c>
      <c r="AM133" s="23" t="s">
        <v>113</v>
      </c>
    </row>
    <row r="134" spans="1:39" x14ac:dyDescent="0.2">
      <c r="A134" t="s">
        <v>1062</v>
      </c>
      <c r="B134" t="b">
        <v>1</v>
      </c>
      <c r="C134" t="b">
        <v>0</v>
      </c>
      <c r="D134" t="b">
        <v>1</v>
      </c>
      <c r="E134" t="s">
        <v>522</v>
      </c>
      <c r="F134" t="b">
        <v>0</v>
      </c>
      <c r="G134" t="b">
        <v>0</v>
      </c>
      <c r="H134" t="s">
        <v>1063</v>
      </c>
      <c r="I134" t="s">
        <v>1062</v>
      </c>
      <c r="J134" s="20" t="s">
        <v>174</v>
      </c>
      <c r="N134" t="s">
        <v>1064</v>
      </c>
      <c r="O134" t="s">
        <v>252</v>
      </c>
      <c r="R134" s="1">
        <v>44008</v>
      </c>
      <c r="S134" s="1">
        <v>45100</v>
      </c>
      <c r="T134" s="2">
        <v>45012.853227465275</v>
      </c>
      <c r="U134" t="s">
        <v>253</v>
      </c>
      <c r="V134" t="s">
        <v>267</v>
      </c>
      <c r="W134" t="s">
        <v>904</v>
      </c>
      <c r="X134" t="s">
        <v>305</v>
      </c>
      <c r="Y134" t="s">
        <v>343</v>
      </c>
      <c r="Z134" s="35" t="s">
        <v>1065</v>
      </c>
      <c r="AA134" s="7" t="s">
        <v>1066</v>
      </c>
      <c r="AB134" s="23" t="str">
        <f>AM134</f>
        <v>a15f538c621d460dac7d16f40b18d701</v>
      </c>
      <c r="AC134" s="23"/>
      <c r="AD134" s="23"/>
      <c r="AE134" s="23"/>
      <c r="AF134" s="23"/>
      <c r="AG134" t="s">
        <v>345</v>
      </c>
      <c r="AH134">
        <v>3000000000</v>
      </c>
      <c r="AI134" s="3" t="s">
        <v>1067</v>
      </c>
      <c r="AM134" s="23" t="s">
        <v>173</v>
      </c>
    </row>
    <row r="135" spans="1:39" x14ac:dyDescent="0.2">
      <c r="A135" t="s">
        <v>331</v>
      </c>
      <c r="B135" t="b">
        <v>1</v>
      </c>
      <c r="C135" t="b">
        <v>0</v>
      </c>
      <c r="D135" t="b">
        <v>1</v>
      </c>
      <c r="E135" t="b">
        <v>0</v>
      </c>
      <c r="F135" t="b">
        <v>0</v>
      </c>
      <c r="G135" t="s">
        <v>361</v>
      </c>
      <c r="H135" t="s">
        <v>332</v>
      </c>
      <c r="I135" t="s">
        <v>331</v>
      </c>
      <c r="M135" t="s">
        <v>1068</v>
      </c>
      <c r="N135" t="s">
        <v>1069</v>
      </c>
      <c r="O135" t="s">
        <v>382</v>
      </c>
      <c r="T135" s="2">
        <v>44923.626521018516</v>
      </c>
      <c r="U135" t="s">
        <v>253</v>
      </c>
      <c r="V135" t="s">
        <v>254</v>
      </c>
      <c r="W135" t="s">
        <v>333</v>
      </c>
      <c r="X135" t="s">
        <v>334</v>
      </c>
      <c r="Y135" t="s">
        <v>287</v>
      </c>
      <c r="AG135" t="s">
        <v>270</v>
      </c>
    </row>
    <row r="136" spans="1:39" x14ac:dyDescent="0.2">
      <c r="A136" t="s">
        <v>275</v>
      </c>
      <c r="B136" t="b">
        <v>1</v>
      </c>
      <c r="C136" t="b">
        <v>0</v>
      </c>
      <c r="D136" t="b">
        <v>1</v>
      </c>
      <c r="E136" t="s">
        <v>522</v>
      </c>
      <c r="F136" t="b">
        <v>0</v>
      </c>
      <c r="G136" t="b">
        <v>0</v>
      </c>
      <c r="H136" t="s">
        <v>276</v>
      </c>
      <c r="I136" t="s">
        <v>275</v>
      </c>
      <c r="M136" s="20" t="s">
        <v>1070</v>
      </c>
      <c r="N136" t="s">
        <v>1071</v>
      </c>
      <c r="O136" t="s">
        <v>382</v>
      </c>
      <c r="T136" s="2">
        <v>45960.678060416663</v>
      </c>
      <c r="U136" t="s">
        <v>253</v>
      </c>
      <c r="V136" t="s">
        <v>254</v>
      </c>
      <c r="W136" t="s">
        <v>277</v>
      </c>
      <c r="X136" t="s">
        <v>278</v>
      </c>
      <c r="Y136" t="s">
        <v>279</v>
      </c>
      <c r="Z136" s="35" t="s">
        <v>1072</v>
      </c>
      <c r="AA136" t="s">
        <v>280</v>
      </c>
      <c r="AB136" s="23" t="str">
        <f>AM136</f>
        <v>4d55cd98379640de90be2eb2fa9aba1f</v>
      </c>
      <c r="AC136" s="23"/>
      <c r="AD136" s="23"/>
      <c r="AE136" s="23"/>
      <c r="AF136" s="23"/>
      <c r="AG136" t="s">
        <v>270</v>
      </c>
      <c r="AM136" s="23" t="s">
        <v>2</v>
      </c>
    </row>
    <row r="137" spans="1:39" x14ac:dyDescent="0.2">
      <c r="A137" t="s">
        <v>1073</v>
      </c>
      <c r="B137" t="b">
        <v>0</v>
      </c>
      <c r="C137" t="b">
        <v>0</v>
      </c>
      <c r="D137" t="b">
        <v>1</v>
      </c>
      <c r="E137" t="b">
        <v>0</v>
      </c>
      <c r="F137" t="b">
        <v>1</v>
      </c>
      <c r="G137" t="b">
        <v>0</v>
      </c>
      <c r="H137" t="s">
        <v>1074</v>
      </c>
      <c r="I137" t="s">
        <v>1073</v>
      </c>
      <c r="J137" t="s">
        <v>64</v>
      </c>
      <c r="N137" t="s">
        <v>1075</v>
      </c>
      <c r="O137" t="s">
        <v>252</v>
      </c>
      <c r="P137" t="s">
        <v>1076</v>
      </c>
      <c r="Q137" t="s">
        <v>1077</v>
      </c>
      <c r="R137" s="1">
        <v>45468</v>
      </c>
      <c r="S137" s="1">
        <v>50946</v>
      </c>
      <c r="T137" s="2">
        <v>46153.778920069446</v>
      </c>
      <c r="U137" t="s">
        <v>253</v>
      </c>
      <c r="V137" t="s">
        <v>267</v>
      </c>
      <c r="W137" t="s">
        <v>645</v>
      </c>
      <c r="X137" t="s">
        <v>256</v>
      </c>
      <c r="Y137" t="s">
        <v>351</v>
      </c>
      <c r="Z137" s="32" t="s">
        <v>2752</v>
      </c>
      <c r="AA137" t="s">
        <v>646</v>
      </c>
      <c r="AB137" s="23" t="str">
        <f>AM137</f>
        <v>e6873103865949bdb9e863d906f83c74</v>
      </c>
      <c r="AC137" s="23"/>
      <c r="AD137" s="23"/>
      <c r="AE137" s="23"/>
      <c r="AF137" s="23"/>
      <c r="AG137" t="s">
        <v>647</v>
      </c>
      <c r="AH137">
        <v>6700000000</v>
      </c>
      <c r="AI137" s="3" t="s">
        <v>1078</v>
      </c>
      <c r="AM137" s="23" t="s">
        <v>60</v>
      </c>
    </row>
    <row r="138" spans="1:39" x14ac:dyDescent="0.2">
      <c r="A138" t="s">
        <v>1079</v>
      </c>
      <c r="B138" t="b">
        <v>0</v>
      </c>
      <c r="C138" t="b">
        <v>0</v>
      </c>
      <c r="D138" t="b">
        <v>1</v>
      </c>
      <c r="E138" t="b">
        <v>0</v>
      </c>
      <c r="F138" t="b">
        <v>1</v>
      </c>
      <c r="G138" t="s">
        <v>361</v>
      </c>
      <c r="H138" t="s">
        <v>1080</v>
      </c>
      <c r="I138" t="s">
        <v>1079</v>
      </c>
      <c r="J138" t="s">
        <v>1081</v>
      </c>
      <c r="K138" t="s">
        <v>1082</v>
      </c>
      <c r="M138" t="s">
        <v>1083</v>
      </c>
      <c r="N138" t="s">
        <v>1084</v>
      </c>
      <c r="O138" t="s">
        <v>252</v>
      </c>
      <c r="R138" s="1">
        <v>44497</v>
      </c>
      <c r="S138" s="1">
        <v>45593</v>
      </c>
      <c r="U138" t="s">
        <v>253</v>
      </c>
      <c r="V138" t="s">
        <v>254</v>
      </c>
      <c r="W138" t="s">
        <v>1085</v>
      </c>
      <c r="X138" t="s">
        <v>256</v>
      </c>
      <c r="Y138" t="s">
        <v>269</v>
      </c>
      <c r="AG138" t="s">
        <v>270</v>
      </c>
      <c r="AH138">
        <v>30000000</v>
      </c>
      <c r="AI138" s="3" t="s">
        <v>602</v>
      </c>
    </row>
    <row r="139" spans="1:39" x14ac:dyDescent="0.2">
      <c r="A139" t="s">
        <v>1086</v>
      </c>
      <c r="B139" t="b">
        <v>0</v>
      </c>
      <c r="C139" t="b">
        <v>0</v>
      </c>
      <c r="D139" t="b">
        <v>1</v>
      </c>
      <c r="E139" t="b">
        <v>0</v>
      </c>
      <c r="F139" t="b">
        <v>1</v>
      </c>
      <c r="G139" t="b">
        <v>0</v>
      </c>
      <c r="H139" t="s">
        <v>1087</v>
      </c>
      <c r="I139" t="s">
        <v>1086</v>
      </c>
      <c r="J139" t="s">
        <v>130</v>
      </c>
      <c r="N139" t="s">
        <v>1088</v>
      </c>
      <c r="O139" t="s">
        <v>252</v>
      </c>
      <c r="P139" t="s">
        <v>378</v>
      </c>
      <c r="Q139" t="s">
        <v>379</v>
      </c>
      <c r="R139" s="1">
        <v>44637</v>
      </c>
      <c r="S139" s="1">
        <v>45368</v>
      </c>
      <c r="T139" s="2">
        <v>44900.980550798609</v>
      </c>
      <c r="U139" t="s">
        <v>253</v>
      </c>
      <c r="V139" t="s">
        <v>267</v>
      </c>
      <c r="W139" t="s">
        <v>383</v>
      </c>
      <c r="X139" t="s">
        <v>278</v>
      </c>
      <c r="Y139" t="s">
        <v>384</v>
      </c>
      <c r="Z139" s="32" t="s">
        <v>2756</v>
      </c>
      <c r="AA139" t="s">
        <v>385</v>
      </c>
      <c r="AB139" s="23" t="str">
        <f>AM139</f>
        <v>46bc90cd9f664b57a297ff3b221857bd</v>
      </c>
      <c r="AC139" s="23"/>
      <c r="AD139" s="23"/>
      <c r="AE139" s="23"/>
      <c r="AF139" s="23"/>
      <c r="AG139" t="s">
        <v>386</v>
      </c>
      <c r="AH139">
        <v>80855000000</v>
      </c>
      <c r="AI139" s="3" t="s">
        <v>1089</v>
      </c>
      <c r="AM139" s="23" t="s">
        <v>128</v>
      </c>
    </row>
    <row r="140" spans="1:39" x14ac:dyDescent="0.2">
      <c r="A140" t="s">
        <v>1090</v>
      </c>
      <c r="B140" t="b">
        <v>0</v>
      </c>
      <c r="C140" t="b">
        <v>0</v>
      </c>
      <c r="D140" t="b">
        <v>1</v>
      </c>
      <c r="E140" t="b">
        <v>0</v>
      </c>
      <c r="F140" t="b">
        <v>1</v>
      </c>
      <c r="G140" t="s">
        <v>361</v>
      </c>
      <c r="H140" t="s">
        <v>1091</v>
      </c>
      <c r="I140" t="s">
        <v>1090</v>
      </c>
      <c r="J140" t="s">
        <v>1092</v>
      </c>
      <c r="K140" t="s">
        <v>1093</v>
      </c>
      <c r="M140" t="s">
        <v>1094</v>
      </c>
      <c r="N140" t="s">
        <v>1095</v>
      </c>
      <c r="O140" t="s">
        <v>252</v>
      </c>
      <c r="R140" s="1">
        <v>44490</v>
      </c>
      <c r="S140" s="1">
        <v>48506</v>
      </c>
      <c r="U140" t="s">
        <v>253</v>
      </c>
      <c r="V140" t="s">
        <v>267</v>
      </c>
      <c r="W140" t="s">
        <v>1096</v>
      </c>
      <c r="X140" t="s">
        <v>256</v>
      </c>
      <c r="Y140" t="s">
        <v>287</v>
      </c>
      <c r="AG140" t="s">
        <v>270</v>
      </c>
      <c r="AH140">
        <v>600000000</v>
      </c>
      <c r="AI140" s="3" t="s">
        <v>1097</v>
      </c>
    </row>
    <row r="141" spans="1:39" x14ac:dyDescent="0.2">
      <c r="A141" t="s">
        <v>1098</v>
      </c>
      <c r="B141" t="b">
        <v>0</v>
      </c>
      <c r="C141" t="b">
        <v>0</v>
      </c>
      <c r="D141" t="b">
        <v>1</v>
      </c>
      <c r="E141" t="b">
        <v>0</v>
      </c>
      <c r="F141" t="b">
        <v>1</v>
      </c>
      <c r="G141" t="s">
        <v>361</v>
      </c>
      <c r="H141" t="s">
        <v>1099</v>
      </c>
      <c r="I141" t="s">
        <v>1098</v>
      </c>
      <c r="J141" t="s">
        <v>1100</v>
      </c>
      <c r="N141" t="s">
        <v>1101</v>
      </c>
      <c r="O141" t="s">
        <v>252</v>
      </c>
      <c r="R141" s="1">
        <v>43700</v>
      </c>
      <c r="S141" s="1">
        <v>43700</v>
      </c>
      <c r="U141" t="s">
        <v>253</v>
      </c>
      <c r="V141" t="s">
        <v>267</v>
      </c>
      <c r="W141" t="s">
        <v>1102</v>
      </c>
      <c r="X141" t="s">
        <v>278</v>
      </c>
      <c r="Y141" t="s">
        <v>257</v>
      </c>
      <c r="AG141" t="s">
        <v>260</v>
      </c>
      <c r="AH141">
        <v>79920000</v>
      </c>
      <c r="AI141" s="3" t="s">
        <v>1103</v>
      </c>
    </row>
    <row r="142" spans="1:39" x14ac:dyDescent="0.2">
      <c r="A142" t="s">
        <v>1104</v>
      </c>
      <c r="B142" t="b">
        <v>0</v>
      </c>
      <c r="C142" t="b">
        <v>0</v>
      </c>
      <c r="D142" t="b">
        <v>0</v>
      </c>
      <c r="E142" t="b">
        <v>0</v>
      </c>
      <c r="F142" t="b">
        <v>0</v>
      </c>
      <c r="G142" t="b">
        <v>1</v>
      </c>
      <c r="H142" t="s">
        <v>1105</v>
      </c>
      <c r="I142" t="s">
        <v>1104</v>
      </c>
      <c r="J142" t="s">
        <v>39</v>
      </c>
      <c r="K142" t="s">
        <v>1106</v>
      </c>
      <c r="L142" t="s">
        <v>1107</v>
      </c>
      <c r="M142" t="s">
        <v>1108</v>
      </c>
      <c r="N142" t="s">
        <v>1109</v>
      </c>
      <c r="O142" t="s">
        <v>252</v>
      </c>
      <c r="R142" s="1">
        <v>44419</v>
      </c>
      <c r="S142" s="1">
        <v>48071</v>
      </c>
      <c r="T142" s="2">
        <v>44895.76934190972</v>
      </c>
      <c r="U142" t="s">
        <v>253</v>
      </c>
      <c r="V142" t="s">
        <v>295</v>
      </c>
      <c r="W142" t="s">
        <v>342</v>
      </c>
      <c r="X142" t="s">
        <v>305</v>
      </c>
      <c r="Y142" t="s">
        <v>343</v>
      </c>
      <c r="AA142" t="s">
        <v>344</v>
      </c>
      <c r="AB142" s="23" t="str">
        <f t="shared" ref="AB142:AB147" si="1">AM142</f>
        <v>41f78746078d444787f9a1f78b30153c</v>
      </c>
      <c r="AC142" s="23"/>
      <c r="AD142" s="23"/>
      <c r="AE142" s="23"/>
      <c r="AF142" s="23"/>
      <c r="AG142" t="s">
        <v>270</v>
      </c>
      <c r="AH142">
        <v>500000000</v>
      </c>
      <c r="AI142" s="3" t="s">
        <v>922</v>
      </c>
      <c r="AM142" s="23" t="s">
        <v>27</v>
      </c>
    </row>
    <row r="143" spans="1:39" x14ac:dyDescent="0.2">
      <c r="A143" t="s">
        <v>1110</v>
      </c>
      <c r="B143" t="b">
        <v>0</v>
      </c>
      <c r="C143" t="b">
        <v>0</v>
      </c>
      <c r="D143" t="b">
        <v>0</v>
      </c>
      <c r="E143" t="b">
        <v>0</v>
      </c>
      <c r="F143" t="b">
        <v>0</v>
      </c>
      <c r="G143" t="b">
        <v>1</v>
      </c>
      <c r="H143" t="s">
        <v>1111</v>
      </c>
      <c r="I143" t="s">
        <v>1110</v>
      </c>
      <c r="J143" t="s">
        <v>59</v>
      </c>
      <c r="K143" t="s">
        <v>1112</v>
      </c>
      <c r="N143" t="s">
        <v>1113</v>
      </c>
      <c r="O143" t="s">
        <v>252</v>
      </c>
      <c r="P143" t="s">
        <v>331</v>
      </c>
      <c r="Q143" t="s">
        <v>332</v>
      </c>
      <c r="R143" s="1">
        <v>44301</v>
      </c>
      <c r="S143" s="1">
        <v>55989</v>
      </c>
      <c r="T143" s="2">
        <v>44923.62756306713</v>
      </c>
      <c r="U143" t="s">
        <v>253</v>
      </c>
      <c r="V143" t="s">
        <v>295</v>
      </c>
      <c r="W143" t="s">
        <v>333</v>
      </c>
      <c r="X143" t="s">
        <v>334</v>
      </c>
      <c r="Y143" t="s">
        <v>287</v>
      </c>
      <c r="AA143" t="s">
        <v>335</v>
      </c>
      <c r="AB143" s="23" t="str">
        <f t="shared" si="1"/>
        <v>b25746bc73674469a979cd1218fc9355</v>
      </c>
      <c r="AC143" s="23"/>
      <c r="AD143" s="23"/>
      <c r="AE143" s="23"/>
      <c r="AF143" s="23"/>
      <c r="AG143" t="s">
        <v>270</v>
      </c>
      <c r="AH143">
        <v>1500000000</v>
      </c>
      <c r="AI143" s="3" t="s">
        <v>336</v>
      </c>
      <c r="AM143" s="23" t="s">
        <v>51</v>
      </c>
    </row>
    <row r="144" spans="1:39" x14ac:dyDescent="0.2">
      <c r="A144" s="4" t="s">
        <v>1114</v>
      </c>
      <c r="B144" t="b">
        <v>0</v>
      </c>
      <c r="C144" t="b">
        <v>0</v>
      </c>
      <c r="D144" t="b">
        <v>0</v>
      </c>
      <c r="E144" t="b">
        <v>0</v>
      </c>
      <c r="F144" t="b">
        <v>0</v>
      </c>
      <c r="G144" t="b">
        <v>1</v>
      </c>
      <c r="H144" t="s">
        <v>1115</v>
      </c>
      <c r="I144" s="4" t="s">
        <v>1114</v>
      </c>
      <c r="J144" t="s">
        <v>120</v>
      </c>
      <c r="K144" t="s">
        <v>1116</v>
      </c>
      <c r="N144" t="s">
        <v>1117</v>
      </c>
      <c r="O144" t="s">
        <v>252</v>
      </c>
      <c r="P144" t="s">
        <v>1118</v>
      </c>
      <c r="Q144" t="s">
        <v>1119</v>
      </c>
      <c r="R144" s="1">
        <v>44522</v>
      </c>
      <c r="S144" s="1">
        <v>46342</v>
      </c>
      <c r="T144" s="2">
        <v>45007.989223564815</v>
      </c>
      <c r="U144" t="s">
        <v>253</v>
      </c>
      <c r="V144" t="s">
        <v>295</v>
      </c>
      <c r="W144" t="s">
        <v>1120</v>
      </c>
      <c r="X144" t="s">
        <v>305</v>
      </c>
      <c r="Y144" t="s">
        <v>343</v>
      </c>
      <c r="AA144" t="s">
        <v>1121</v>
      </c>
      <c r="AB144" s="23" t="str">
        <f t="shared" si="1"/>
        <v>cfa387c69d2e4d5494eca57e9ec0f224</v>
      </c>
      <c r="AC144" s="23"/>
      <c r="AD144" s="23"/>
      <c r="AE144" s="23"/>
      <c r="AF144" s="23"/>
      <c r="AG144" t="s">
        <v>345</v>
      </c>
      <c r="AH144">
        <v>1300000000</v>
      </c>
      <c r="AI144" s="3" t="s">
        <v>1122</v>
      </c>
      <c r="AM144" s="23" t="s">
        <v>119</v>
      </c>
    </row>
    <row r="145" spans="1:39" x14ac:dyDescent="0.2">
      <c r="A145" t="s">
        <v>1123</v>
      </c>
      <c r="B145" t="b">
        <v>0</v>
      </c>
      <c r="C145" t="b">
        <v>0</v>
      </c>
      <c r="D145" t="b">
        <v>1</v>
      </c>
      <c r="E145" t="b">
        <v>0</v>
      </c>
      <c r="F145" t="b">
        <v>1</v>
      </c>
      <c r="G145" t="b">
        <v>0</v>
      </c>
      <c r="H145" t="s">
        <v>1124</v>
      </c>
      <c r="I145" t="s">
        <v>1123</v>
      </c>
      <c r="J145" t="s">
        <v>63</v>
      </c>
      <c r="N145" t="s">
        <v>1125</v>
      </c>
      <c r="O145" t="s">
        <v>252</v>
      </c>
      <c r="P145" t="s">
        <v>1076</v>
      </c>
      <c r="Q145" t="s">
        <v>1077</v>
      </c>
      <c r="R145" s="1">
        <v>45468</v>
      </c>
      <c r="S145" s="1">
        <v>49120</v>
      </c>
      <c r="T145" s="2">
        <v>46153.777862951392</v>
      </c>
      <c r="U145" t="s">
        <v>253</v>
      </c>
      <c r="V145" t="s">
        <v>267</v>
      </c>
      <c r="W145" t="s">
        <v>645</v>
      </c>
      <c r="X145" t="s">
        <v>256</v>
      </c>
      <c r="Y145" t="s">
        <v>351</v>
      </c>
      <c r="Z145" s="32" t="s">
        <v>2752</v>
      </c>
      <c r="AA145" t="s">
        <v>646</v>
      </c>
      <c r="AB145" s="23" t="str">
        <f t="shared" si="1"/>
        <v>e6873103865949bdb9e863d906f83c74</v>
      </c>
      <c r="AC145" s="23"/>
      <c r="AD145" s="23"/>
      <c r="AE145" s="23"/>
      <c r="AF145" s="23"/>
      <c r="AG145" t="s">
        <v>647</v>
      </c>
      <c r="AH145">
        <v>3000000000</v>
      </c>
      <c r="AI145" s="3" t="s">
        <v>1126</v>
      </c>
      <c r="AM145" s="23" t="s">
        <v>60</v>
      </c>
    </row>
    <row r="146" spans="1:39" x14ac:dyDescent="0.2">
      <c r="A146" t="s">
        <v>851</v>
      </c>
      <c r="B146" t="b">
        <v>0</v>
      </c>
      <c r="C146" t="b">
        <v>0</v>
      </c>
      <c r="D146" t="b">
        <v>1</v>
      </c>
      <c r="E146" t="b">
        <v>0</v>
      </c>
      <c r="F146" t="b">
        <v>1</v>
      </c>
      <c r="G146" t="b">
        <v>0</v>
      </c>
      <c r="H146" t="s">
        <v>852</v>
      </c>
      <c r="I146" t="s">
        <v>851</v>
      </c>
      <c r="M146" t="s">
        <v>1127</v>
      </c>
      <c r="N146" t="s">
        <v>1128</v>
      </c>
      <c r="O146" t="s">
        <v>382</v>
      </c>
      <c r="T146" s="2">
        <v>45100.782460127317</v>
      </c>
      <c r="U146" t="s">
        <v>253</v>
      </c>
      <c r="V146" t="s">
        <v>267</v>
      </c>
      <c r="W146" t="s">
        <v>853</v>
      </c>
      <c r="X146" t="s">
        <v>278</v>
      </c>
      <c r="Y146" t="s">
        <v>287</v>
      </c>
      <c r="Z146" s="32" t="s">
        <v>2746</v>
      </c>
      <c r="AA146" t="s">
        <v>854</v>
      </c>
      <c r="AB146" s="23" t="str">
        <f t="shared" si="1"/>
        <v>8dc563c540c1439a8c930ddbfada75ef</v>
      </c>
      <c r="AC146" s="23"/>
      <c r="AD146" s="23"/>
      <c r="AE146" s="23"/>
      <c r="AF146" s="23"/>
      <c r="AG146" t="s">
        <v>270</v>
      </c>
      <c r="AM146" s="23" t="s">
        <v>91</v>
      </c>
    </row>
    <row r="147" spans="1:39" s="14" customFormat="1" x14ac:dyDescent="0.2">
      <c r="A147" s="14" t="s">
        <v>1129</v>
      </c>
      <c r="B147" s="14" t="b">
        <v>1</v>
      </c>
      <c r="C147" s="14" t="b">
        <v>0</v>
      </c>
      <c r="D147" s="14" t="b">
        <v>1</v>
      </c>
      <c r="E147" s="14" t="s">
        <v>522</v>
      </c>
      <c r="F147" s="14" t="b">
        <v>0</v>
      </c>
      <c r="G147" s="14" t="b">
        <v>0</v>
      </c>
      <c r="H147" s="14" t="s">
        <v>1130</v>
      </c>
      <c r="I147" s="14" t="s">
        <v>1129</v>
      </c>
      <c r="J147" s="19" t="s">
        <v>152</v>
      </c>
      <c r="K147" s="14" t="s">
        <v>1131</v>
      </c>
      <c r="M147" s="14" t="s">
        <v>1132</v>
      </c>
      <c r="N147" s="14" t="s">
        <v>1133</v>
      </c>
      <c r="O147" s="14" t="s">
        <v>252</v>
      </c>
      <c r="R147" s="15">
        <v>44012</v>
      </c>
      <c r="S147" s="15">
        <v>46762</v>
      </c>
      <c r="U147" s="14" t="s">
        <v>253</v>
      </c>
      <c r="V147" s="14" t="s">
        <v>254</v>
      </c>
      <c r="W147" s="14" t="s">
        <v>1134</v>
      </c>
      <c r="X147" s="14" t="s">
        <v>256</v>
      </c>
      <c r="Y147" s="14" t="s">
        <v>257</v>
      </c>
      <c r="Z147" s="35" t="s">
        <v>1135</v>
      </c>
      <c r="AA147" s="34" t="s">
        <v>1136</v>
      </c>
      <c r="AB147" s="23" t="str">
        <f t="shared" si="1"/>
        <v>5ed0f5af81e743d59f6cc5245e8d8fd0</v>
      </c>
      <c r="AC147" s="23"/>
      <c r="AD147" s="23"/>
      <c r="AE147" s="23"/>
      <c r="AF147" s="23"/>
      <c r="AG147" s="14" t="s">
        <v>270</v>
      </c>
      <c r="AH147" s="14">
        <v>500000000</v>
      </c>
      <c r="AI147" s="16" t="s">
        <v>922</v>
      </c>
      <c r="AM147" s="24" t="s">
        <v>151</v>
      </c>
    </row>
    <row r="148" spans="1:39" x14ac:dyDescent="0.2">
      <c r="A148" t="s">
        <v>1137</v>
      </c>
      <c r="B148" t="b">
        <v>1</v>
      </c>
      <c r="C148" t="b">
        <v>0</v>
      </c>
      <c r="D148" t="b">
        <v>1</v>
      </c>
      <c r="E148" t="s">
        <v>522</v>
      </c>
      <c r="F148" t="b">
        <v>0</v>
      </c>
      <c r="G148" t="b">
        <v>0</v>
      </c>
      <c r="H148" t="s">
        <v>1138</v>
      </c>
      <c r="I148" t="s">
        <v>1137</v>
      </c>
      <c r="J148" s="20" t="s">
        <v>1139</v>
      </c>
      <c r="N148" t="s">
        <v>1140</v>
      </c>
      <c r="O148" t="s">
        <v>252</v>
      </c>
      <c r="R148" s="1">
        <v>43879</v>
      </c>
      <c r="S148" s="1">
        <v>44153</v>
      </c>
      <c r="U148" t="s">
        <v>441</v>
      </c>
      <c r="V148" t="s">
        <v>254</v>
      </c>
      <c r="W148" t="s">
        <v>1141</v>
      </c>
      <c r="X148" t="s">
        <v>256</v>
      </c>
      <c r="Y148" t="s">
        <v>269</v>
      </c>
      <c r="Z148" s="35" t="s">
        <v>1142</v>
      </c>
      <c r="AA148" s="7" t="s">
        <v>1143</v>
      </c>
      <c r="AG148" t="s">
        <v>270</v>
      </c>
      <c r="AH148">
        <v>48450360</v>
      </c>
      <c r="AI148" s="3" t="s">
        <v>1144</v>
      </c>
      <c r="AM148" s="7"/>
    </row>
    <row r="149" spans="1:39" x14ac:dyDescent="0.2">
      <c r="A149" t="s">
        <v>1145</v>
      </c>
      <c r="B149" t="b">
        <v>0</v>
      </c>
      <c r="C149" t="b">
        <v>0</v>
      </c>
      <c r="D149" t="b">
        <v>1</v>
      </c>
      <c r="E149" t="b">
        <v>0</v>
      </c>
      <c r="F149" t="b">
        <v>1</v>
      </c>
      <c r="G149" t="s">
        <v>361</v>
      </c>
      <c r="H149" t="s">
        <v>1146</v>
      </c>
      <c r="I149" t="s">
        <v>1145</v>
      </c>
      <c r="M149" t="s">
        <v>1147</v>
      </c>
      <c r="N149" t="s">
        <v>1148</v>
      </c>
      <c r="O149" t="s">
        <v>252</v>
      </c>
      <c r="P149" t="s">
        <v>397</v>
      </c>
      <c r="Q149" t="s">
        <v>398</v>
      </c>
      <c r="R149" s="1">
        <v>43281</v>
      </c>
      <c r="S149" s="1">
        <v>46203</v>
      </c>
      <c r="U149" t="s">
        <v>253</v>
      </c>
      <c r="V149" t="s">
        <v>254</v>
      </c>
      <c r="W149" t="s">
        <v>399</v>
      </c>
      <c r="X149" t="s">
        <v>256</v>
      </c>
      <c r="Y149" t="s">
        <v>400</v>
      </c>
      <c r="AG149" t="s">
        <v>401</v>
      </c>
      <c r="AH149">
        <v>4000000</v>
      </c>
      <c r="AI149" s="3" t="s">
        <v>281</v>
      </c>
    </row>
    <row r="150" spans="1:39" x14ac:dyDescent="0.2">
      <c r="A150" t="s">
        <v>1118</v>
      </c>
      <c r="B150" t="b">
        <v>0</v>
      </c>
      <c r="C150" t="b">
        <v>0</v>
      </c>
      <c r="D150" t="b">
        <v>0</v>
      </c>
      <c r="E150" t="b">
        <v>0</v>
      </c>
      <c r="F150" t="b">
        <v>0</v>
      </c>
      <c r="G150" t="b">
        <v>1</v>
      </c>
      <c r="H150" t="s">
        <v>1119</v>
      </c>
      <c r="I150" t="s">
        <v>1118</v>
      </c>
      <c r="M150" t="s">
        <v>1149</v>
      </c>
      <c r="N150" t="s">
        <v>1150</v>
      </c>
      <c r="O150" t="s">
        <v>382</v>
      </c>
      <c r="S150" s="1">
        <v>48162</v>
      </c>
      <c r="T150" s="2">
        <v>45007.98883357639</v>
      </c>
      <c r="U150" t="s">
        <v>253</v>
      </c>
      <c r="V150" t="s">
        <v>295</v>
      </c>
      <c r="W150" t="s">
        <v>1120</v>
      </c>
      <c r="X150" t="s">
        <v>305</v>
      </c>
      <c r="Y150" t="s">
        <v>343</v>
      </c>
      <c r="AA150" t="s">
        <v>1121</v>
      </c>
      <c r="AB150" s="23" t="str">
        <f>AM150</f>
        <v>cfa387c69d2e4d5494eca57e9ec0f224</v>
      </c>
      <c r="AC150" s="23"/>
      <c r="AD150" s="23"/>
      <c r="AE150" s="23"/>
      <c r="AF150" s="23"/>
      <c r="AG150" t="s">
        <v>345</v>
      </c>
      <c r="AM150" s="23" t="s">
        <v>119</v>
      </c>
    </row>
    <row r="151" spans="1:39" s="9" customFormat="1" x14ac:dyDescent="0.2">
      <c r="A151" s="13" t="s">
        <v>1151</v>
      </c>
      <c r="B151" s="9" t="b">
        <v>1</v>
      </c>
      <c r="C151" s="9" t="b">
        <v>1</v>
      </c>
      <c r="D151" s="9" t="b">
        <v>1</v>
      </c>
      <c r="E151" s="9" t="b">
        <v>0</v>
      </c>
      <c r="F151" s="9" t="b">
        <v>0</v>
      </c>
      <c r="G151" s="9" t="b">
        <v>0</v>
      </c>
      <c r="H151" s="9" t="s">
        <v>1152</v>
      </c>
      <c r="I151" s="13" t="s">
        <v>1151</v>
      </c>
      <c r="J151" s="10" t="s">
        <v>202</v>
      </c>
      <c r="K151" s="9" t="s">
        <v>1153</v>
      </c>
      <c r="N151" s="9" t="s">
        <v>1154</v>
      </c>
      <c r="O151" s="9" t="s">
        <v>252</v>
      </c>
      <c r="R151" s="11">
        <v>44270</v>
      </c>
      <c r="S151" s="11">
        <v>47557</v>
      </c>
      <c r="U151" s="9" t="s">
        <v>253</v>
      </c>
      <c r="V151" s="9" t="s">
        <v>254</v>
      </c>
      <c r="W151" s="9" t="s">
        <v>1155</v>
      </c>
      <c r="X151" s="9" t="s">
        <v>256</v>
      </c>
      <c r="Y151" s="9" t="s">
        <v>257</v>
      </c>
      <c r="Z151" s="32" t="s">
        <v>1156</v>
      </c>
      <c r="AA151" s="9" t="s">
        <v>1157</v>
      </c>
      <c r="AB151" s="23" t="str">
        <f>AM151</f>
        <v>95bbca5a4dd447cd8e159fa1f8155886</v>
      </c>
      <c r="AC151" s="23"/>
      <c r="AD151" s="23"/>
      <c r="AE151" s="23"/>
      <c r="AF151" s="23"/>
      <c r="AG151" s="9" t="s">
        <v>260</v>
      </c>
      <c r="AH151" s="9">
        <v>150000000</v>
      </c>
      <c r="AI151" s="12" t="s">
        <v>1158</v>
      </c>
      <c r="AM151" s="22" t="s">
        <v>201</v>
      </c>
    </row>
    <row r="152" spans="1:39" x14ac:dyDescent="0.2">
      <c r="A152" t="s">
        <v>1159</v>
      </c>
      <c r="B152" t="b">
        <v>0</v>
      </c>
      <c r="C152" t="b">
        <v>0</v>
      </c>
      <c r="D152" t="b">
        <v>1</v>
      </c>
      <c r="E152" t="b">
        <v>0</v>
      </c>
      <c r="F152" t="b">
        <v>1</v>
      </c>
      <c r="G152" t="s">
        <v>361</v>
      </c>
      <c r="H152" t="s">
        <v>1160</v>
      </c>
      <c r="I152" t="s">
        <v>1159</v>
      </c>
      <c r="J152" t="s">
        <v>1161</v>
      </c>
      <c r="N152" t="s">
        <v>1162</v>
      </c>
      <c r="O152" t="s">
        <v>252</v>
      </c>
      <c r="R152" s="1">
        <v>44253</v>
      </c>
      <c r="S152" s="1">
        <v>44253</v>
      </c>
      <c r="T152" s="2">
        <v>44980.73542045139</v>
      </c>
      <c r="U152" t="s">
        <v>253</v>
      </c>
      <c r="V152" t="s">
        <v>267</v>
      </c>
      <c r="W152" t="s">
        <v>1102</v>
      </c>
      <c r="X152" t="s">
        <v>278</v>
      </c>
      <c r="Y152" t="s">
        <v>257</v>
      </c>
      <c r="AG152" t="s">
        <v>260</v>
      </c>
      <c r="AH152">
        <v>61822000</v>
      </c>
      <c r="AI152" s="3" t="s">
        <v>1163</v>
      </c>
    </row>
    <row r="153" spans="1:39" x14ac:dyDescent="0.2">
      <c r="A153" t="s">
        <v>1164</v>
      </c>
      <c r="B153" t="b">
        <v>0</v>
      </c>
      <c r="C153" t="b">
        <v>0</v>
      </c>
      <c r="D153" t="b">
        <v>1</v>
      </c>
      <c r="E153" t="b">
        <v>0</v>
      </c>
      <c r="F153" t="b">
        <v>1</v>
      </c>
      <c r="G153" t="b">
        <v>0</v>
      </c>
      <c r="H153" t="s">
        <v>1165</v>
      </c>
      <c r="I153" t="s">
        <v>1164</v>
      </c>
      <c r="J153" t="s">
        <v>92</v>
      </c>
      <c r="K153" t="s">
        <v>1166</v>
      </c>
      <c r="N153" t="s">
        <v>1167</v>
      </c>
      <c r="O153" t="s">
        <v>252</v>
      </c>
      <c r="P153" t="s">
        <v>851</v>
      </c>
      <c r="Q153" t="s">
        <v>852</v>
      </c>
      <c r="R153" s="1">
        <v>44587</v>
      </c>
      <c r="S153" s="1">
        <v>46503</v>
      </c>
      <c r="T153" s="2">
        <v>45050.650593020837</v>
      </c>
      <c r="U153" t="s">
        <v>253</v>
      </c>
      <c r="V153" t="s">
        <v>267</v>
      </c>
      <c r="W153" t="s">
        <v>853</v>
      </c>
      <c r="X153" t="s">
        <v>278</v>
      </c>
      <c r="Y153" t="s">
        <v>287</v>
      </c>
      <c r="Z153" s="32" t="s">
        <v>2746</v>
      </c>
      <c r="AA153" t="s">
        <v>854</v>
      </c>
      <c r="AB153" s="23" t="str">
        <f>AM153</f>
        <v>8dc563c540c1439a8c930ddbfada75ef</v>
      </c>
      <c r="AC153" s="23"/>
      <c r="AD153" s="23"/>
      <c r="AE153" s="23"/>
      <c r="AF153" s="23"/>
      <c r="AG153" t="s">
        <v>308</v>
      </c>
      <c r="AH153">
        <v>200000000</v>
      </c>
      <c r="AI153" s="3" t="s">
        <v>1168</v>
      </c>
      <c r="AM153" s="23" t="s">
        <v>91</v>
      </c>
    </row>
    <row r="154" spans="1:39" x14ac:dyDescent="0.2">
      <c r="A154" t="s">
        <v>1169</v>
      </c>
      <c r="B154" t="b">
        <v>0</v>
      </c>
      <c r="C154" t="b">
        <v>0</v>
      </c>
      <c r="D154" t="b">
        <v>1</v>
      </c>
      <c r="E154" t="b">
        <v>0</v>
      </c>
      <c r="F154" t="b">
        <v>1</v>
      </c>
      <c r="G154" t="s">
        <v>361</v>
      </c>
      <c r="H154" t="s">
        <v>1170</v>
      </c>
      <c r="I154" t="s">
        <v>1169</v>
      </c>
      <c r="J154" t="s">
        <v>1171</v>
      </c>
      <c r="K154" t="s">
        <v>1172</v>
      </c>
      <c r="M154" t="s">
        <v>1173</v>
      </c>
      <c r="N154" t="s">
        <v>1174</v>
      </c>
      <c r="O154" t="s">
        <v>252</v>
      </c>
      <c r="R154" s="1">
        <v>43814</v>
      </c>
      <c r="S154" s="1">
        <v>52946</v>
      </c>
      <c r="U154" t="s">
        <v>253</v>
      </c>
      <c r="V154" t="s">
        <v>254</v>
      </c>
      <c r="W154" t="s">
        <v>1175</v>
      </c>
      <c r="X154" t="s">
        <v>256</v>
      </c>
      <c r="Y154" t="s">
        <v>257</v>
      </c>
      <c r="AG154" t="s">
        <v>260</v>
      </c>
      <c r="AH154">
        <v>530000000</v>
      </c>
      <c r="AI154" s="3" t="s">
        <v>1176</v>
      </c>
    </row>
    <row r="155" spans="1:39" x14ac:dyDescent="0.2">
      <c r="A155" t="s">
        <v>1177</v>
      </c>
      <c r="B155" t="b">
        <v>0</v>
      </c>
      <c r="C155" t="b">
        <v>0</v>
      </c>
      <c r="D155" t="b">
        <v>0</v>
      </c>
      <c r="E155" t="b">
        <v>0</v>
      </c>
      <c r="F155" t="b">
        <v>0</v>
      </c>
      <c r="G155" t="b">
        <v>1</v>
      </c>
      <c r="H155" t="s">
        <v>1178</v>
      </c>
      <c r="I155" t="s">
        <v>1177</v>
      </c>
      <c r="J155" t="s">
        <v>32</v>
      </c>
      <c r="K155" t="s">
        <v>1179</v>
      </c>
      <c r="M155" t="s">
        <v>1180</v>
      </c>
      <c r="N155" t="s">
        <v>1181</v>
      </c>
      <c r="O155" t="s">
        <v>252</v>
      </c>
      <c r="P155" t="s">
        <v>731</v>
      </c>
      <c r="Q155" t="s">
        <v>732</v>
      </c>
      <c r="R155" s="1">
        <v>44643</v>
      </c>
      <c r="S155" s="1">
        <v>46469</v>
      </c>
      <c r="T155" s="2">
        <v>45131.945912418982</v>
      </c>
      <c r="U155" t="s">
        <v>253</v>
      </c>
      <c r="V155" t="s">
        <v>295</v>
      </c>
      <c r="W155" t="s">
        <v>342</v>
      </c>
      <c r="X155" t="s">
        <v>305</v>
      </c>
      <c r="Y155" t="s">
        <v>343</v>
      </c>
      <c r="AA155" t="s">
        <v>344</v>
      </c>
      <c r="AB155" s="23" t="str">
        <f>AM155</f>
        <v>41f78746078d444787f9a1f78b30153c</v>
      </c>
      <c r="AC155" s="23"/>
      <c r="AD155" s="23"/>
      <c r="AE155" s="23"/>
      <c r="AF155" s="23"/>
      <c r="AG155" t="s">
        <v>345</v>
      </c>
      <c r="AH155">
        <v>4100000000</v>
      </c>
      <c r="AI155" s="3" t="s">
        <v>1182</v>
      </c>
      <c r="AM155" s="23" t="s">
        <v>27</v>
      </c>
    </row>
    <row r="156" spans="1:39" x14ac:dyDescent="0.2">
      <c r="A156" t="s">
        <v>1183</v>
      </c>
      <c r="B156" t="b">
        <v>0</v>
      </c>
      <c r="C156" t="b">
        <v>0</v>
      </c>
      <c r="D156" t="b">
        <v>1</v>
      </c>
      <c r="E156" t="b">
        <v>0</v>
      </c>
      <c r="F156" t="b">
        <v>1</v>
      </c>
      <c r="G156" t="b">
        <v>0</v>
      </c>
      <c r="H156" t="s">
        <v>1184</v>
      </c>
      <c r="I156" t="s">
        <v>1183</v>
      </c>
      <c r="J156" t="s">
        <v>7</v>
      </c>
      <c r="N156" t="s">
        <v>1185</v>
      </c>
      <c r="O156" t="s">
        <v>252</v>
      </c>
      <c r="P156" t="s">
        <v>275</v>
      </c>
      <c r="Q156" t="s">
        <v>276</v>
      </c>
      <c r="R156" s="1">
        <v>43817</v>
      </c>
      <c r="S156" s="1">
        <v>45652</v>
      </c>
      <c r="T156" s="2">
        <v>45960.674446724537</v>
      </c>
      <c r="U156" t="s">
        <v>253</v>
      </c>
      <c r="V156" t="s">
        <v>267</v>
      </c>
      <c r="W156" t="s">
        <v>277</v>
      </c>
      <c r="X156" t="s">
        <v>278</v>
      </c>
      <c r="Y156" t="s">
        <v>279</v>
      </c>
      <c r="Z156" s="32" t="s">
        <v>1072</v>
      </c>
      <c r="AA156" t="s">
        <v>280</v>
      </c>
      <c r="AB156" s="23" t="str">
        <f>AM156</f>
        <v>4d55cd98379640de90be2eb2fa9aba1f</v>
      </c>
      <c r="AC156" s="23"/>
      <c r="AD156" s="23"/>
      <c r="AE156" s="23"/>
      <c r="AF156" s="23"/>
      <c r="AG156" t="s">
        <v>270</v>
      </c>
      <c r="AH156">
        <v>7000000</v>
      </c>
      <c r="AI156" s="3" t="s">
        <v>895</v>
      </c>
      <c r="AM156" s="23" t="s">
        <v>2</v>
      </c>
    </row>
    <row r="157" spans="1:39" s="14" customFormat="1" x14ac:dyDescent="0.2">
      <c r="A157" s="14" t="s">
        <v>1186</v>
      </c>
      <c r="B157" s="14" t="b">
        <v>1</v>
      </c>
      <c r="C157" s="14" t="b">
        <v>0</v>
      </c>
      <c r="D157" s="14" t="b">
        <v>1</v>
      </c>
      <c r="E157" s="14" t="s">
        <v>522</v>
      </c>
      <c r="F157" s="14" t="b">
        <v>0</v>
      </c>
      <c r="G157" s="14" t="b">
        <v>0</v>
      </c>
      <c r="H157" s="14" t="s">
        <v>1187</v>
      </c>
      <c r="I157" s="14" t="s">
        <v>1186</v>
      </c>
      <c r="J157" s="19" t="s">
        <v>124</v>
      </c>
      <c r="K157" s="14" t="s">
        <v>1188</v>
      </c>
      <c r="N157" s="14" t="s">
        <v>1189</v>
      </c>
      <c r="O157" s="14" t="s">
        <v>252</v>
      </c>
      <c r="R157" s="15">
        <v>42997</v>
      </c>
      <c r="S157" s="15">
        <v>46649</v>
      </c>
      <c r="U157" s="14" t="s">
        <v>253</v>
      </c>
      <c r="V157" s="14" t="s">
        <v>254</v>
      </c>
      <c r="W157" s="14" t="s">
        <v>1190</v>
      </c>
      <c r="X157" s="14" t="s">
        <v>256</v>
      </c>
      <c r="Y157" s="14" t="s">
        <v>257</v>
      </c>
      <c r="Z157" s="35" t="s">
        <v>1191</v>
      </c>
      <c r="AA157" s="14" t="s">
        <v>1192</v>
      </c>
      <c r="AB157" s="23" t="str">
        <f>AM157</f>
        <v>9abfc296b9b74968b8b8bba5571996b7</v>
      </c>
      <c r="AC157" s="23"/>
      <c r="AD157" s="23"/>
      <c r="AE157" s="23"/>
      <c r="AF157" s="23"/>
      <c r="AG157" s="14" t="s">
        <v>270</v>
      </c>
      <c r="AH157" s="14">
        <v>500000000</v>
      </c>
      <c r="AI157" s="16" t="s">
        <v>922</v>
      </c>
      <c r="AM157" s="24" t="s">
        <v>122</v>
      </c>
    </row>
    <row r="158" spans="1:39" x14ac:dyDescent="0.2">
      <c r="A158" t="s">
        <v>1193</v>
      </c>
      <c r="B158" t="b">
        <v>0</v>
      </c>
      <c r="C158" t="b">
        <v>0</v>
      </c>
      <c r="D158" t="b">
        <v>1</v>
      </c>
      <c r="E158" t="b">
        <v>0</v>
      </c>
      <c r="F158" t="b">
        <v>1</v>
      </c>
      <c r="G158" t="s">
        <v>361</v>
      </c>
      <c r="H158" t="s">
        <v>1194</v>
      </c>
      <c r="I158" t="s">
        <v>1193</v>
      </c>
      <c r="J158" t="s">
        <v>1195</v>
      </c>
      <c r="N158" t="s">
        <v>1196</v>
      </c>
      <c r="O158" t="s">
        <v>252</v>
      </c>
      <c r="R158" s="1">
        <v>44686</v>
      </c>
      <c r="S158" s="1">
        <v>45782</v>
      </c>
      <c r="U158" t="s">
        <v>253</v>
      </c>
      <c r="V158" t="s">
        <v>267</v>
      </c>
      <c r="W158" t="s">
        <v>1085</v>
      </c>
      <c r="X158" t="s">
        <v>256</v>
      </c>
      <c r="Y158" t="s">
        <v>269</v>
      </c>
      <c r="AG158" t="s">
        <v>270</v>
      </c>
      <c r="AH158">
        <v>15000000</v>
      </c>
      <c r="AI158" s="3" t="s">
        <v>1197</v>
      </c>
    </row>
    <row r="159" spans="1:39" x14ac:dyDescent="0.2">
      <c r="A159" t="s">
        <v>1198</v>
      </c>
      <c r="B159" t="b">
        <v>0</v>
      </c>
      <c r="C159" t="b">
        <v>0</v>
      </c>
      <c r="D159" t="b">
        <v>1</v>
      </c>
      <c r="E159" t="b">
        <v>0</v>
      </c>
      <c r="F159" t="b">
        <v>1</v>
      </c>
      <c r="G159" t="s">
        <v>361</v>
      </c>
      <c r="H159" t="s">
        <v>1199</v>
      </c>
      <c r="I159" t="s">
        <v>1198</v>
      </c>
      <c r="M159" t="s">
        <v>1200</v>
      </c>
      <c r="N159" t="s">
        <v>1200</v>
      </c>
      <c r="O159" t="s">
        <v>252</v>
      </c>
      <c r="P159" t="s">
        <v>397</v>
      </c>
      <c r="Q159" t="s">
        <v>398</v>
      </c>
      <c r="R159" s="1">
        <v>43646</v>
      </c>
      <c r="S159" s="1">
        <v>45107</v>
      </c>
      <c r="U159" t="s">
        <v>253</v>
      </c>
      <c r="V159" t="s">
        <v>254</v>
      </c>
      <c r="W159" t="s">
        <v>399</v>
      </c>
      <c r="X159" t="s">
        <v>256</v>
      </c>
      <c r="Y159" t="s">
        <v>400</v>
      </c>
      <c r="AG159" t="s">
        <v>401</v>
      </c>
      <c r="AH159">
        <v>3000000</v>
      </c>
      <c r="AI159" s="3" t="s">
        <v>1201</v>
      </c>
    </row>
    <row r="160" spans="1:39" x14ac:dyDescent="0.2">
      <c r="A160" t="s">
        <v>1202</v>
      </c>
      <c r="B160" t="b">
        <v>0</v>
      </c>
      <c r="C160" t="b">
        <v>0</v>
      </c>
      <c r="D160" t="b">
        <v>1</v>
      </c>
      <c r="E160" t="b">
        <v>0</v>
      </c>
      <c r="F160" t="b">
        <v>1</v>
      </c>
      <c r="G160" t="s">
        <v>361</v>
      </c>
      <c r="H160" t="s">
        <v>1203</v>
      </c>
      <c r="I160" t="s">
        <v>1202</v>
      </c>
      <c r="M160" t="s">
        <v>1204</v>
      </c>
      <c r="N160" t="s">
        <v>1205</v>
      </c>
      <c r="O160" t="s">
        <v>252</v>
      </c>
      <c r="R160" s="1">
        <v>44090</v>
      </c>
      <c r="S160" s="1">
        <v>51455</v>
      </c>
      <c r="U160" t="s">
        <v>253</v>
      </c>
      <c r="V160" t="s">
        <v>267</v>
      </c>
      <c r="W160" t="s">
        <v>1206</v>
      </c>
      <c r="X160" t="s">
        <v>256</v>
      </c>
      <c r="Y160" t="s">
        <v>869</v>
      </c>
      <c r="AG160" t="s">
        <v>270</v>
      </c>
      <c r="AH160">
        <v>28071000</v>
      </c>
      <c r="AI160" s="3" t="s">
        <v>1207</v>
      </c>
    </row>
    <row r="161" spans="1:39" x14ac:dyDescent="0.2">
      <c r="A161" t="s">
        <v>1208</v>
      </c>
      <c r="B161" t="b">
        <v>0</v>
      </c>
      <c r="C161" t="b">
        <v>0</v>
      </c>
      <c r="D161" t="b">
        <v>1</v>
      </c>
      <c r="E161" t="b">
        <v>0</v>
      </c>
      <c r="F161" t="b">
        <v>1</v>
      </c>
      <c r="G161" t="b">
        <v>0</v>
      </c>
      <c r="H161" t="s">
        <v>1209</v>
      </c>
      <c r="I161" t="s">
        <v>1208</v>
      </c>
      <c r="J161" t="s">
        <v>9</v>
      </c>
      <c r="N161" t="s">
        <v>1210</v>
      </c>
      <c r="O161" t="s">
        <v>252</v>
      </c>
      <c r="P161" t="s">
        <v>275</v>
      </c>
      <c r="Q161" t="s">
        <v>276</v>
      </c>
      <c r="R161" s="1">
        <v>44067</v>
      </c>
      <c r="S161" s="1">
        <v>45164</v>
      </c>
      <c r="T161" s="2">
        <v>45960.67530584491</v>
      </c>
      <c r="U161" t="s">
        <v>253</v>
      </c>
      <c r="V161" t="s">
        <v>267</v>
      </c>
      <c r="W161" t="s">
        <v>277</v>
      </c>
      <c r="X161" t="s">
        <v>278</v>
      </c>
      <c r="Y161" t="s">
        <v>279</v>
      </c>
      <c r="Z161" s="32" t="s">
        <v>1072</v>
      </c>
      <c r="AA161" t="s">
        <v>280</v>
      </c>
      <c r="AB161" s="23" t="str">
        <f>AM161</f>
        <v>4d55cd98379640de90be2eb2fa9aba1f</v>
      </c>
      <c r="AC161" s="23"/>
      <c r="AD161" s="23"/>
      <c r="AE161" s="23"/>
      <c r="AF161" s="23"/>
      <c r="AG161" t="s">
        <v>270</v>
      </c>
      <c r="AH161">
        <v>1000000</v>
      </c>
      <c r="AI161" s="3" t="s">
        <v>765</v>
      </c>
      <c r="AM161" s="23" t="s">
        <v>2</v>
      </c>
    </row>
    <row r="162" spans="1:39" x14ac:dyDescent="0.2">
      <c r="A162" t="s">
        <v>1211</v>
      </c>
      <c r="B162" t="b">
        <v>0</v>
      </c>
      <c r="C162" t="b">
        <v>0</v>
      </c>
      <c r="D162" t="b">
        <v>1</v>
      </c>
      <c r="E162" t="b">
        <v>0</v>
      </c>
      <c r="F162" t="b">
        <v>1</v>
      </c>
      <c r="G162" t="s">
        <v>361</v>
      </c>
      <c r="H162" t="s">
        <v>1212</v>
      </c>
      <c r="I162" t="s">
        <v>1211</v>
      </c>
      <c r="J162" t="s">
        <v>1213</v>
      </c>
      <c r="N162" t="s">
        <v>1214</v>
      </c>
      <c r="O162" t="s">
        <v>252</v>
      </c>
      <c r="R162" s="1">
        <v>44155</v>
      </c>
      <c r="S162" s="1">
        <v>50729</v>
      </c>
      <c r="U162" t="s">
        <v>253</v>
      </c>
      <c r="V162" t="s">
        <v>254</v>
      </c>
      <c r="W162" t="s">
        <v>1215</v>
      </c>
      <c r="X162" t="s">
        <v>256</v>
      </c>
      <c r="Y162" t="s">
        <v>257</v>
      </c>
      <c r="AG162" t="s">
        <v>260</v>
      </c>
      <c r="AH162">
        <v>410000000</v>
      </c>
      <c r="AI162" s="3" t="s">
        <v>1216</v>
      </c>
    </row>
    <row r="163" spans="1:39" x14ac:dyDescent="0.2">
      <c r="A163" t="s">
        <v>1217</v>
      </c>
      <c r="B163" t="b">
        <v>0</v>
      </c>
      <c r="C163" t="b">
        <v>0</v>
      </c>
      <c r="D163" t="b">
        <v>1</v>
      </c>
      <c r="E163" t="b">
        <v>0</v>
      </c>
      <c r="F163" t="b">
        <v>1</v>
      </c>
      <c r="G163" t="b">
        <v>0</v>
      </c>
      <c r="H163" t="s">
        <v>1218</v>
      </c>
      <c r="I163" t="s">
        <v>1217</v>
      </c>
      <c r="J163" t="s">
        <v>150</v>
      </c>
      <c r="K163" t="s">
        <v>1219</v>
      </c>
      <c r="N163" t="s">
        <v>1220</v>
      </c>
      <c r="O163" t="s">
        <v>252</v>
      </c>
      <c r="R163" s="1">
        <v>42615</v>
      </c>
      <c r="S163" s="1">
        <v>45170</v>
      </c>
      <c r="T163" s="2">
        <v>45026.721045196762</v>
      </c>
      <c r="U163" t="s">
        <v>253</v>
      </c>
      <c r="V163" t="s">
        <v>267</v>
      </c>
      <c r="W163" t="s">
        <v>1120</v>
      </c>
      <c r="X163" t="s">
        <v>305</v>
      </c>
      <c r="Y163" t="s">
        <v>343</v>
      </c>
      <c r="Z163" s="32" t="s">
        <v>2742</v>
      </c>
      <c r="AA163" t="s">
        <v>1221</v>
      </c>
      <c r="AB163" s="23" t="str">
        <f>AM163</f>
        <v>966583712d874a15a4861b2f4a3ebaa5</v>
      </c>
      <c r="AC163" s="23"/>
      <c r="AD163" s="23"/>
      <c r="AE163" s="23"/>
      <c r="AF163" s="23"/>
      <c r="AG163" t="s">
        <v>345</v>
      </c>
      <c r="AH163">
        <v>2000000000</v>
      </c>
      <c r="AI163" s="3" t="s">
        <v>1222</v>
      </c>
      <c r="AM163" s="23" t="s">
        <v>149</v>
      </c>
    </row>
    <row r="164" spans="1:39" x14ac:dyDescent="0.2">
      <c r="A164" t="s">
        <v>1223</v>
      </c>
      <c r="B164" t="b">
        <v>1</v>
      </c>
      <c r="C164" t="b">
        <v>0</v>
      </c>
      <c r="D164" t="b">
        <v>0</v>
      </c>
      <c r="E164" t="b">
        <v>0</v>
      </c>
      <c r="F164" t="b">
        <v>0</v>
      </c>
      <c r="G164" t="b">
        <v>1</v>
      </c>
      <c r="H164" t="s">
        <v>1224</v>
      </c>
      <c r="I164" t="s">
        <v>1223</v>
      </c>
      <c r="J164" t="s">
        <v>186</v>
      </c>
      <c r="K164" t="s">
        <v>1225</v>
      </c>
      <c r="L164" t="s">
        <v>1226</v>
      </c>
      <c r="M164" t="s">
        <v>1227</v>
      </c>
      <c r="N164" t="s">
        <v>1228</v>
      </c>
      <c r="O164" t="s">
        <v>252</v>
      </c>
      <c r="R164" s="1">
        <v>42997</v>
      </c>
      <c r="S164" s="1">
        <v>46819</v>
      </c>
      <c r="U164" t="s">
        <v>441</v>
      </c>
      <c r="V164" t="s">
        <v>295</v>
      </c>
      <c r="W164" t="s">
        <v>1023</v>
      </c>
      <c r="X164" t="s">
        <v>479</v>
      </c>
      <c r="Y164" t="s">
        <v>343</v>
      </c>
      <c r="AA164" t="s">
        <v>1229</v>
      </c>
      <c r="AB164" s="23" t="str">
        <f>AM164</f>
        <v>d20be6c53e8d483da48e9bb992e3d342</v>
      </c>
      <c r="AC164" s="23"/>
      <c r="AD164" s="23"/>
      <c r="AE164" s="23"/>
      <c r="AF164" s="23"/>
      <c r="AG164" t="s">
        <v>345</v>
      </c>
      <c r="AH164">
        <v>2000000000</v>
      </c>
      <c r="AI164" s="3" t="s">
        <v>1230</v>
      </c>
      <c r="AM164" s="23" t="s">
        <v>185</v>
      </c>
    </row>
    <row r="165" spans="1:39" x14ac:dyDescent="0.2">
      <c r="A165" t="s">
        <v>1231</v>
      </c>
      <c r="B165" t="b">
        <v>0</v>
      </c>
      <c r="C165" t="b">
        <v>0</v>
      </c>
      <c r="D165" t="b">
        <v>1</v>
      </c>
      <c r="E165" t="b">
        <v>0</v>
      </c>
      <c r="F165" t="b">
        <v>1</v>
      </c>
      <c r="G165" t="b">
        <v>0</v>
      </c>
      <c r="H165" t="s">
        <v>1232</v>
      </c>
      <c r="I165" t="s">
        <v>1231</v>
      </c>
      <c r="J165" t="s">
        <v>66</v>
      </c>
      <c r="N165" t="s">
        <v>1233</v>
      </c>
      <c r="O165" t="s">
        <v>252</v>
      </c>
      <c r="P165" t="s">
        <v>1076</v>
      </c>
      <c r="Q165" t="s">
        <v>1077</v>
      </c>
      <c r="R165" s="1">
        <v>45476</v>
      </c>
      <c r="S165" s="1">
        <v>52781</v>
      </c>
      <c r="T165" s="2">
        <v>46153.777921157409</v>
      </c>
      <c r="U165" t="s">
        <v>253</v>
      </c>
      <c r="V165" t="s">
        <v>267</v>
      </c>
      <c r="W165" t="s">
        <v>645</v>
      </c>
      <c r="X165" t="s">
        <v>256</v>
      </c>
      <c r="Y165" t="s">
        <v>351</v>
      </c>
      <c r="Z165" s="32" t="s">
        <v>2752</v>
      </c>
      <c r="AA165" t="s">
        <v>646</v>
      </c>
      <c r="AB165" s="23" t="str">
        <f>AM165</f>
        <v>e6873103865949bdb9e863d906f83c74</v>
      </c>
      <c r="AC165" s="23"/>
      <c r="AD165" s="23"/>
      <c r="AE165" s="23"/>
      <c r="AF165" s="23"/>
      <c r="AG165" t="s">
        <v>647</v>
      </c>
      <c r="AH165">
        <v>1500000000</v>
      </c>
      <c r="AI165" s="3" t="s">
        <v>1234</v>
      </c>
      <c r="AM165" s="23" t="s">
        <v>60</v>
      </c>
    </row>
    <row r="166" spans="1:39" x14ac:dyDescent="0.2">
      <c r="A166" t="s">
        <v>1235</v>
      </c>
      <c r="B166" t="b">
        <v>0</v>
      </c>
      <c r="C166" t="b">
        <v>0</v>
      </c>
      <c r="D166" t="b">
        <v>1</v>
      </c>
      <c r="E166" t="b">
        <v>0</v>
      </c>
      <c r="F166" t="b">
        <v>1</v>
      </c>
      <c r="G166" t="s">
        <v>361</v>
      </c>
      <c r="H166" t="s">
        <v>1236</v>
      </c>
      <c r="I166" t="s">
        <v>1235</v>
      </c>
      <c r="J166" t="s">
        <v>1237</v>
      </c>
      <c r="K166" t="s">
        <v>1238</v>
      </c>
      <c r="M166" t="s">
        <v>1239</v>
      </c>
      <c r="N166" t="s">
        <v>1240</v>
      </c>
      <c r="O166" t="s">
        <v>252</v>
      </c>
      <c r="R166" s="1">
        <v>44362</v>
      </c>
      <c r="S166" s="1">
        <v>50936</v>
      </c>
      <c r="T166" s="2">
        <v>45175.76371875</v>
      </c>
      <c r="U166" t="s">
        <v>253</v>
      </c>
      <c r="V166" t="s">
        <v>267</v>
      </c>
      <c r="W166" t="s">
        <v>1241</v>
      </c>
      <c r="X166" t="s">
        <v>256</v>
      </c>
      <c r="Y166" t="s">
        <v>257</v>
      </c>
      <c r="AG166" t="s">
        <v>260</v>
      </c>
      <c r="AH166">
        <v>475000000</v>
      </c>
      <c r="AI166" s="3" t="s">
        <v>1242</v>
      </c>
    </row>
    <row r="167" spans="1:39" x14ac:dyDescent="0.2">
      <c r="A167" t="s">
        <v>1243</v>
      </c>
      <c r="B167" t="b">
        <v>0</v>
      </c>
      <c r="C167" t="b">
        <v>0</v>
      </c>
      <c r="D167" t="b">
        <v>1</v>
      </c>
      <c r="E167" t="b">
        <v>0</v>
      </c>
      <c r="F167" t="b">
        <v>1</v>
      </c>
      <c r="G167" t="b">
        <v>0</v>
      </c>
      <c r="H167" t="s">
        <v>1244</v>
      </c>
      <c r="I167" t="s">
        <v>1243</v>
      </c>
      <c r="J167" t="s">
        <v>180</v>
      </c>
      <c r="K167" t="s">
        <v>1245</v>
      </c>
      <c r="N167" t="s">
        <v>1246</v>
      </c>
      <c r="O167" t="s">
        <v>252</v>
      </c>
      <c r="R167" s="1">
        <v>42313</v>
      </c>
      <c r="S167" s="1">
        <v>44140</v>
      </c>
      <c r="T167" s="2">
        <v>45026.735266585645</v>
      </c>
      <c r="U167" t="s">
        <v>253</v>
      </c>
      <c r="V167" t="s">
        <v>267</v>
      </c>
      <c r="W167" t="s">
        <v>1120</v>
      </c>
      <c r="X167" t="s">
        <v>305</v>
      </c>
      <c r="Y167" t="s">
        <v>343</v>
      </c>
      <c r="Z167" s="32" t="s">
        <v>2741</v>
      </c>
      <c r="AA167" t="s">
        <v>1247</v>
      </c>
      <c r="AB167" s="23" t="str">
        <f t="shared" ref="AB167:AB174" si="2">AM167</f>
        <v>7e876d44cd22441faf1a62083a53b7ad</v>
      </c>
      <c r="AC167" s="23"/>
      <c r="AD167" s="23"/>
      <c r="AE167" s="23"/>
      <c r="AF167" s="23"/>
      <c r="AG167" t="s">
        <v>270</v>
      </c>
      <c r="AH167">
        <v>500000000</v>
      </c>
      <c r="AI167" s="3" t="s">
        <v>922</v>
      </c>
      <c r="AM167" s="23" t="s">
        <v>179</v>
      </c>
    </row>
    <row r="168" spans="1:39" x14ac:dyDescent="0.2">
      <c r="A168" t="s">
        <v>1076</v>
      </c>
      <c r="B168" t="b">
        <v>0</v>
      </c>
      <c r="C168" t="b">
        <v>0</v>
      </c>
      <c r="D168" t="b">
        <v>1</v>
      </c>
      <c r="E168" t="b">
        <v>0</v>
      </c>
      <c r="F168" t="b">
        <v>1</v>
      </c>
      <c r="G168" t="b">
        <v>0</v>
      </c>
      <c r="H168" t="s">
        <v>1077</v>
      </c>
      <c r="I168" t="s">
        <v>1076</v>
      </c>
      <c r="J168" t="s">
        <v>61</v>
      </c>
      <c r="N168" t="s">
        <v>1248</v>
      </c>
      <c r="O168" t="s">
        <v>382</v>
      </c>
      <c r="T168" s="2">
        <v>46153.777791550929</v>
      </c>
      <c r="U168" t="s">
        <v>253</v>
      </c>
      <c r="V168" t="s">
        <v>267</v>
      </c>
      <c r="W168" t="s">
        <v>645</v>
      </c>
      <c r="X168" t="s">
        <v>256</v>
      </c>
      <c r="Y168" t="s">
        <v>351</v>
      </c>
      <c r="Z168" s="32" t="s">
        <v>2752</v>
      </c>
      <c r="AA168" t="s">
        <v>646</v>
      </c>
      <c r="AB168" s="23" t="str">
        <f t="shared" si="2"/>
        <v>e6873103865949bdb9e863d906f83c74</v>
      </c>
      <c r="AC168" s="23"/>
      <c r="AD168" s="23"/>
      <c r="AE168" s="23"/>
      <c r="AF168" s="23"/>
      <c r="AG168" t="s">
        <v>647</v>
      </c>
      <c r="AM168" s="23" t="s">
        <v>60</v>
      </c>
    </row>
    <row r="169" spans="1:39" x14ac:dyDescent="0.2">
      <c r="A169" t="s">
        <v>731</v>
      </c>
      <c r="B169" t="b">
        <v>0</v>
      </c>
      <c r="C169" t="b">
        <v>0</v>
      </c>
      <c r="D169" t="b">
        <v>0</v>
      </c>
      <c r="E169" t="b">
        <v>0</v>
      </c>
      <c r="F169" t="b">
        <v>0</v>
      </c>
      <c r="G169" t="b">
        <v>1</v>
      </c>
      <c r="H169" t="s">
        <v>732</v>
      </c>
      <c r="I169" t="s">
        <v>731</v>
      </c>
      <c r="M169" t="s">
        <v>1249</v>
      </c>
      <c r="N169" t="s">
        <v>1250</v>
      </c>
      <c r="O169" t="s">
        <v>382</v>
      </c>
      <c r="S169" s="1">
        <v>48289</v>
      </c>
      <c r="T169" s="2">
        <v>45125.929056863424</v>
      </c>
      <c r="U169" t="s">
        <v>253</v>
      </c>
      <c r="V169" t="s">
        <v>295</v>
      </c>
      <c r="W169" t="s">
        <v>342</v>
      </c>
      <c r="X169" t="s">
        <v>305</v>
      </c>
      <c r="Y169" t="s">
        <v>343</v>
      </c>
      <c r="AA169" t="s">
        <v>344</v>
      </c>
      <c r="AB169" s="23" t="str">
        <f t="shared" si="2"/>
        <v>41f78746078d444787f9a1f78b30153c</v>
      </c>
      <c r="AC169" s="23"/>
      <c r="AD169" s="23"/>
      <c r="AE169" s="23"/>
      <c r="AF169" s="23"/>
      <c r="AG169" t="s">
        <v>345</v>
      </c>
      <c r="AM169" s="23" t="s">
        <v>27</v>
      </c>
    </row>
    <row r="170" spans="1:39" x14ac:dyDescent="0.2">
      <c r="A170" t="s">
        <v>1251</v>
      </c>
      <c r="B170" t="b">
        <v>0</v>
      </c>
      <c r="C170" t="b">
        <v>0</v>
      </c>
      <c r="D170" t="b">
        <v>1</v>
      </c>
      <c r="E170" t="b">
        <v>0</v>
      </c>
      <c r="F170" t="b">
        <v>1</v>
      </c>
      <c r="G170" t="b">
        <v>0</v>
      </c>
      <c r="H170" t="s">
        <v>1252</v>
      </c>
      <c r="I170" t="s">
        <v>1251</v>
      </c>
      <c r="J170" t="s">
        <v>136</v>
      </c>
      <c r="K170" t="s">
        <v>1253</v>
      </c>
      <c r="L170" t="s">
        <v>1254</v>
      </c>
      <c r="M170" t="s">
        <v>1255</v>
      </c>
      <c r="N170" t="s">
        <v>1256</v>
      </c>
      <c r="O170" t="s">
        <v>252</v>
      </c>
      <c r="R170" s="1">
        <v>45232</v>
      </c>
      <c r="S170" s="1">
        <v>48890</v>
      </c>
      <c r="T170" s="2">
        <v>46156.693664085651</v>
      </c>
      <c r="U170" t="s">
        <v>253</v>
      </c>
      <c r="V170" t="s">
        <v>267</v>
      </c>
      <c r="W170" t="s">
        <v>1257</v>
      </c>
      <c r="X170" t="s">
        <v>256</v>
      </c>
      <c r="Y170" t="s">
        <v>287</v>
      </c>
      <c r="Z170" s="32" t="s">
        <v>2740</v>
      </c>
      <c r="AA170" t="s">
        <v>1258</v>
      </c>
      <c r="AB170" s="23" t="str">
        <f t="shared" si="2"/>
        <v>f9ddf8d55aab4e4298b72383891943eb</v>
      </c>
      <c r="AC170" s="23"/>
      <c r="AD170" s="23"/>
      <c r="AE170" s="23"/>
      <c r="AF170" s="23"/>
      <c r="AG170" t="s">
        <v>270</v>
      </c>
      <c r="AH170">
        <v>750000000</v>
      </c>
      <c r="AI170" s="3" t="s">
        <v>1259</v>
      </c>
      <c r="AM170" s="23" t="s">
        <v>134</v>
      </c>
    </row>
    <row r="171" spans="1:39" x14ac:dyDescent="0.2">
      <c r="A171" t="s">
        <v>1260</v>
      </c>
      <c r="B171" t="b">
        <v>0</v>
      </c>
      <c r="C171" t="b">
        <v>0</v>
      </c>
      <c r="D171" t="b">
        <v>1</v>
      </c>
      <c r="E171" t="b">
        <v>0</v>
      </c>
      <c r="F171" t="b">
        <v>1</v>
      </c>
      <c r="G171" t="b">
        <v>0</v>
      </c>
      <c r="H171" t="s">
        <v>1261</v>
      </c>
      <c r="I171" t="s">
        <v>1260</v>
      </c>
      <c r="J171" t="s">
        <v>17</v>
      </c>
      <c r="K171" t="s">
        <v>1262</v>
      </c>
      <c r="N171" t="s">
        <v>1263</v>
      </c>
      <c r="O171" t="s">
        <v>252</v>
      </c>
      <c r="P171" t="s">
        <v>275</v>
      </c>
      <c r="Q171" t="s">
        <v>276</v>
      </c>
      <c r="R171" s="1">
        <v>45229</v>
      </c>
      <c r="S171" s="1">
        <v>45960</v>
      </c>
      <c r="T171" s="2">
        <v>45960.674849675925</v>
      </c>
      <c r="U171" t="s">
        <v>253</v>
      </c>
      <c r="V171" t="s">
        <v>267</v>
      </c>
      <c r="W171" t="s">
        <v>277</v>
      </c>
      <c r="X171" t="s">
        <v>278</v>
      </c>
      <c r="Y171" t="s">
        <v>279</v>
      </c>
      <c r="Z171" s="32" t="s">
        <v>1072</v>
      </c>
      <c r="AA171" t="s">
        <v>280</v>
      </c>
      <c r="AB171" s="23" t="str">
        <f t="shared" si="2"/>
        <v>4d55cd98379640de90be2eb2fa9aba1f</v>
      </c>
      <c r="AC171" s="23"/>
      <c r="AD171" s="23"/>
      <c r="AE171" s="23"/>
      <c r="AF171" s="23"/>
      <c r="AG171" t="s">
        <v>270</v>
      </c>
      <c r="AH171">
        <v>880000</v>
      </c>
      <c r="AI171" s="3" t="s">
        <v>1264</v>
      </c>
      <c r="AM171" s="23" t="s">
        <v>2</v>
      </c>
    </row>
    <row r="172" spans="1:39" x14ac:dyDescent="0.2">
      <c r="A172" t="s">
        <v>1265</v>
      </c>
      <c r="B172" t="b">
        <v>0</v>
      </c>
      <c r="C172" t="b">
        <v>0</v>
      </c>
      <c r="D172" t="b">
        <v>0</v>
      </c>
      <c r="E172" t="b">
        <v>0</v>
      </c>
      <c r="F172" t="b">
        <v>0</v>
      </c>
      <c r="G172" t="b">
        <v>1</v>
      </c>
      <c r="H172" t="s">
        <v>1266</v>
      </c>
      <c r="I172" t="s">
        <v>1265</v>
      </c>
      <c r="J172" t="s">
        <v>56</v>
      </c>
      <c r="K172" t="s">
        <v>1267</v>
      </c>
      <c r="N172" t="s">
        <v>1268</v>
      </c>
      <c r="O172" t="s">
        <v>252</v>
      </c>
      <c r="P172" t="s">
        <v>331</v>
      </c>
      <c r="Q172" t="s">
        <v>332</v>
      </c>
      <c r="R172" s="1">
        <v>44592</v>
      </c>
      <c r="S172" s="1">
        <v>46418</v>
      </c>
      <c r="T172" s="2">
        <v>44923.626786620371</v>
      </c>
      <c r="U172" t="s">
        <v>253</v>
      </c>
      <c r="V172" t="s">
        <v>295</v>
      </c>
      <c r="W172" t="s">
        <v>333</v>
      </c>
      <c r="X172" t="s">
        <v>334</v>
      </c>
      <c r="Y172" t="s">
        <v>287</v>
      </c>
      <c r="AA172" t="s">
        <v>335</v>
      </c>
      <c r="AB172" s="23" t="str">
        <f t="shared" si="2"/>
        <v>b25746bc73674469a979cd1218fc9355</v>
      </c>
      <c r="AC172" s="23"/>
      <c r="AD172" s="23"/>
      <c r="AE172" s="23"/>
      <c r="AF172" s="23"/>
      <c r="AG172" t="s">
        <v>270</v>
      </c>
      <c r="AH172">
        <v>1500000000</v>
      </c>
      <c r="AI172" s="3" t="s">
        <v>336</v>
      </c>
      <c r="AM172" s="23" t="s">
        <v>51</v>
      </c>
    </row>
    <row r="173" spans="1:39" x14ac:dyDescent="0.2">
      <c r="A173" s="4" t="s">
        <v>1269</v>
      </c>
      <c r="B173" t="b">
        <v>0</v>
      </c>
      <c r="C173" t="b">
        <v>0</v>
      </c>
      <c r="D173" t="b">
        <v>1</v>
      </c>
      <c r="E173" t="b">
        <v>0</v>
      </c>
      <c r="F173" t="b">
        <v>1</v>
      </c>
      <c r="G173" t="b">
        <v>0</v>
      </c>
      <c r="H173" t="s">
        <v>1270</v>
      </c>
      <c r="I173" s="4" t="s">
        <v>1269</v>
      </c>
      <c r="J173" t="s">
        <v>3</v>
      </c>
      <c r="K173" t="s">
        <v>1271</v>
      </c>
      <c r="N173" t="s">
        <v>1272</v>
      </c>
      <c r="O173" t="s">
        <v>252</v>
      </c>
      <c r="P173" t="s">
        <v>275</v>
      </c>
      <c r="Q173" t="s">
        <v>276</v>
      </c>
      <c r="R173" s="1">
        <v>43732</v>
      </c>
      <c r="S173" s="1">
        <v>44834</v>
      </c>
      <c r="T173" s="2">
        <v>45960.674979074072</v>
      </c>
      <c r="U173" t="s">
        <v>253</v>
      </c>
      <c r="V173" t="s">
        <v>267</v>
      </c>
      <c r="W173" t="s">
        <v>277</v>
      </c>
      <c r="X173" t="s">
        <v>278</v>
      </c>
      <c r="Y173" t="s">
        <v>279</v>
      </c>
      <c r="Z173" s="32" t="s">
        <v>1072</v>
      </c>
      <c r="AA173" t="s">
        <v>280</v>
      </c>
      <c r="AB173" s="23" t="str">
        <f t="shared" si="2"/>
        <v>4d55cd98379640de90be2eb2fa9aba1f</v>
      </c>
      <c r="AC173" s="23"/>
      <c r="AD173" s="23"/>
      <c r="AE173" s="23"/>
      <c r="AF173" s="23"/>
      <c r="AG173" t="s">
        <v>270</v>
      </c>
      <c r="AH173">
        <v>15000000</v>
      </c>
      <c r="AI173" s="3" t="s">
        <v>1197</v>
      </c>
      <c r="AM173" s="23" t="s">
        <v>2</v>
      </c>
    </row>
    <row r="174" spans="1:39" x14ac:dyDescent="0.2">
      <c r="A174" t="s">
        <v>1273</v>
      </c>
      <c r="B174" t="b">
        <v>0</v>
      </c>
      <c r="C174" t="b">
        <v>0</v>
      </c>
      <c r="D174" t="b">
        <v>1</v>
      </c>
      <c r="E174" t="b">
        <v>0</v>
      </c>
      <c r="F174" t="b">
        <v>1</v>
      </c>
      <c r="G174" t="b">
        <v>0</v>
      </c>
      <c r="H174" t="s">
        <v>1274</v>
      </c>
      <c r="I174" t="s">
        <v>1273</v>
      </c>
      <c r="M174" t="s">
        <v>1275</v>
      </c>
      <c r="N174" t="s">
        <v>1276</v>
      </c>
      <c r="O174" t="s">
        <v>252</v>
      </c>
      <c r="P174" t="s">
        <v>1277</v>
      </c>
      <c r="Q174" t="s">
        <v>1278</v>
      </c>
      <c r="R174" s="1">
        <v>45280</v>
      </c>
      <c r="S174" s="1">
        <v>46116</v>
      </c>
      <c r="T174" s="2">
        <v>45369.548883391202</v>
      </c>
      <c r="U174" t="s">
        <v>253</v>
      </c>
      <c r="V174" t="s">
        <v>267</v>
      </c>
      <c r="W174" t="s">
        <v>1279</v>
      </c>
      <c r="X174" t="s">
        <v>305</v>
      </c>
      <c r="Y174" t="s">
        <v>1280</v>
      </c>
      <c r="Z174" s="32" t="s">
        <v>2739</v>
      </c>
      <c r="AA174" t="s">
        <v>1281</v>
      </c>
      <c r="AB174" s="23" t="str">
        <f t="shared" si="2"/>
        <v>d6700b8c707544c78fa5f4e5a0b6c1e4</v>
      </c>
      <c r="AC174" s="23"/>
      <c r="AD174" s="23"/>
      <c r="AE174" s="23"/>
      <c r="AF174" s="23"/>
      <c r="AG174" t="s">
        <v>1282</v>
      </c>
      <c r="AH174">
        <v>25725000</v>
      </c>
      <c r="AI174" s="3" t="s">
        <v>1283</v>
      </c>
      <c r="AM174" s="23" t="s">
        <v>209</v>
      </c>
    </row>
    <row r="175" spans="1:39" x14ac:dyDescent="0.2">
      <c r="A175" t="s">
        <v>1284</v>
      </c>
      <c r="B175" t="b">
        <v>0</v>
      </c>
      <c r="C175" t="b">
        <v>0</v>
      </c>
      <c r="D175" t="b">
        <v>1</v>
      </c>
      <c r="E175" t="b">
        <v>0</v>
      </c>
      <c r="F175" t="b">
        <v>1</v>
      </c>
      <c r="G175" t="s">
        <v>361</v>
      </c>
      <c r="H175" t="s">
        <v>1285</v>
      </c>
      <c r="I175" t="s">
        <v>1284</v>
      </c>
      <c r="M175" t="s">
        <v>1286</v>
      </c>
      <c r="N175" t="s">
        <v>1286</v>
      </c>
      <c r="O175" t="s">
        <v>252</v>
      </c>
      <c r="P175" t="s">
        <v>397</v>
      </c>
      <c r="Q175" t="s">
        <v>398</v>
      </c>
      <c r="R175" s="1">
        <v>44196</v>
      </c>
      <c r="S175" s="1">
        <v>44926</v>
      </c>
      <c r="U175" t="s">
        <v>253</v>
      </c>
      <c r="V175" t="s">
        <v>254</v>
      </c>
      <c r="W175" t="s">
        <v>399</v>
      </c>
      <c r="X175" t="s">
        <v>256</v>
      </c>
      <c r="Y175" t="s">
        <v>400</v>
      </c>
      <c r="AG175" t="s">
        <v>401</v>
      </c>
      <c r="AH175">
        <v>4000000</v>
      </c>
      <c r="AI175" s="3" t="s">
        <v>281</v>
      </c>
    </row>
    <row r="176" spans="1:39" x14ac:dyDescent="0.2">
      <c r="A176" t="s">
        <v>859</v>
      </c>
      <c r="B176" t="b">
        <v>0</v>
      </c>
      <c r="C176" t="b">
        <v>0</v>
      </c>
      <c r="D176" t="b">
        <v>0</v>
      </c>
      <c r="E176" t="b">
        <v>0</v>
      </c>
      <c r="F176" t="b">
        <v>0</v>
      </c>
      <c r="G176" t="b">
        <v>1</v>
      </c>
      <c r="H176" t="s">
        <v>860</v>
      </c>
      <c r="I176" t="s">
        <v>859</v>
      </c>
      <c r="M176" t="s">
        <v>1287</v>
      </c>
      <c r="N176" t="s">
        <v>1288</v>
      </c>
      <c r="O176" t="s">
        <v>382</v>
      </c>
      <c r="T176" s="2">
        <v>45149.694307361111</v>
      </c>
      <c r="U176" t="s">
        <v>253</v>
      </c>
      <c r="V176" t="s">
        <v>295</v>
      </c>
      <c r="W176" t="s">
        <v>861</v>
      </c>
      <c r="X176" t="s">
        <v>278</v>
      </c>
      <c r="Y176" t="s">
        <v>351</v>
      </c>
      <c r="AA176" t="s">
        <v>862</v>
      </c>
      <c r="AB176" s="23" t="str">
        <f>AM176</f>
        <v>538769c825394307acb906d53afb2664</v>
      </c>
      <c r="AC176" s="23"/>
      <c r="AD176" s="23"/>
      <c r="AE176" s="23"/>
      <c r="AF176" s="23"/>
      <c r="AG176" t="s">
        <v>270</v>
      </c>
      <c r="AM176" s="23" t="s">
        <v>95</v>
      </c>
    </row>
    <row r="177" spans="1:39" x14ac:dyDescent="0.2">
      <c r="A177" t="s">
        <v>1289</v>
      </c>
      <c r="B177" t="b">
        <v>0</v>
      </c>
      <c r="C177" t="b">
        <v>0</v>
      </c>
      <c r="D177" t="b">
        <v>1</v>
      </c>
      <c r="E177" t="b">
        <v>0</v>
      </c>
      <c r="F177" t="b">
        <v>1</v>
      </c>
      <c r="G177" t="b">
        <v>0</v>
      </c>
      <c r="H177" t="s">
        <v>1290</v>
      </c>
      <c r="I177" t="s">
        <v>1289</v>
      </c>
      <c r="J177" t="s">
        <v>168</v>
      </c>
      <c r="M177" t="s">
        <v>1291</v>
      </c>
      <c r="N177" t="s">
        <v>1292</v>
      </c>
      <c r="O177" t="s">
        <v>252</v>
      </c>
      <c r="R177" s="1">
        <v>44942</v>
      </c>
      <c r="S177" s="1">
        <v>47134</v>
      </c>
      <c r="T177" s="2">
        <v>45070.88728855324</v>
      </c>
      <c r="U177" t="s">
        <v>253</v>
      </c>
      <c r="V177" t="s">
        <v>267</v>
      </c>
      <c r="W177" t="s">
        <v>1293</v>
      </c>
      <c r="X177" t="s">
        <v>256</v>
      </c>
      <c r="Y177" t="s">
        <v>528</v>
      </c>
      <c r="Z177" s="32" t="s">
        <v>2738</v>
      </c>
      <c r="AA177" t="s">
        <v>1294</v>
      </c>
      <c r="AB177" s="23" t="str">
        <f>AM177</f>
        <v>74105bd6a7dd421e81b4531e21ef74af</v>
      </c>
      <c r="AC177" s="23"/>
      <c r="AD177" s="23"/>
      <c r="AE177" s="23"/>
      <c r="AF177" s="23"/>
      <c r="AG177" t="s">
        <v>270</v>
      </c>
      <c r="AH177">
        <v>80000000</v>
      </c>
      <c r="AI177" s="3" t="s">
        <v>1295</v>
      </c>
      <c r="AM177" s="23" t="s">
        <v>167</v>
      </c>
    </row>
    <row r="178" spans="1:39" x14ac:dyDescent="0.2">
      <c r="A178" t="s">
        <v>1296</v>
      </c>
      <c r="B178" t="b">
        <v>0</v>
      </c>
      <c r="C178" t="b">
        <v>0</v>
      </c>
      <c r="D178" t="b">
        <v>1</v>
      </c>
      <c r="E178" t="b">
        <v>0</v>
      </c>
      <c r="F178" t="b">
        <v>1</v>
      </c>
      <c r="G178" t="b">
        <v>0</v>
      </c>
      <c r="H178" t="s">
        <v>1297</v>
      </c>
      <c r="I178" t="s">
        <v>1296</v>
      </c>
      <c r="K178" t="s">
        <v>1298</v>
      </c>
      <c r="N178" t="s">
        <v>1299</v>
      </c>
      <c r="O178" t="s">
        <v>252</v>
      </c>
      <c r="R178" s="1">
        <v>44418</v>
      </c>
      <c r="S178" s="1">
        <v>45148</v>
      </c>
      <c r="T178" s="2">
        <v>45296.606925069442</v>
      </c>
      <c r="U178" t="s">
        <v>253</v>
      </c>
      <c r="V178" t="s">
        <v>267</v>
      </c>
      <c r="W178" t="s">
        <v>319</v>
      </c>
      <c r="X178" t="s">
        <v>256</v>
      </c>
      <c r="Y178" t="s">
        <v>269</v>
      </c>
      <c r="Z178" s="32" t="s">
        <v>2755</v>
      </c>
      <c r="AA178" t="s">
        <v>320</v>
      </c>
      <c r="AB178" s="23" t="str">
        <f>AM178</f>
        <v>0861b552d06e4b9799ebc7a3b1aa7e2a</v>
      </c>
      <c r="AC178" s="23"/>
      <c r="AD178" s="23"/>
      <c r="AE178" s="23"/>
      <c r="AF178" s="23"/>
      <c r="AG178" t="s">
        <v>270</v>
      </c>
      <c r="AH178">
        <v>48971674</v>
      </c>
      <c r="AI178" s="3" t="s">
        <v>1300</v>
      </c>
      <c r="AM178" s="23" t="s">
        <v>40</v>
      </c>
    </row>
    <row r="179" spans="1:39" x14ac:dyDescent="0.2">
      <c r="A179" t="s">
        <v>1301</v>
      </c>
      <c r="B179" t="b">
        <v>0</v>
      </c>
      <c r="C179" t="b">
        <v>0</v>
      </c>
      <c r="D179" t="b">
        <v>1</v>
      </c>
      <c r="E179" t="b">
        <v>0</v>
      </c>
      <c r="F179" t="b">
        <v>1</v>
      </c>
      <c r="G179" t="s">
        <v>361</v>
      </c>
      <c r="H179" t="s">
        <v>1302</v>
      </c>
      <c r="I179" t="s">
        <v>1301</v>
      </c>
      <c r="J179" t="s">
        <v>1303</v>
      </c>
      <c r="K179" t="s">
        <v>1304</v>
      </c>
      <c r="N179" t="s">
        <v>1305</v>
      </c>
      <c r="O179" t="s">
        <v>252</v>
      </c>
      <c r="P179" t="s">
        <v>824</v>
      </c>
      <c r="Q179" t="s">
        <v>825</v>
      </c>
      <c r="R179" s="1">
        <v>44691</v>
      </c>
      <c r="S179" s="1">
        <v>47223</v>
      </c>
      <c r="U179" t="s">
        <v>253</v>
      </c>
      <c r="V179" t="s">
        <v>267</v>
      </c>
      <c r="W179" t="s">
        <v>545</v>
      </c>
      <c r="X179" t="s">
        <v>256</v>
      </c>
      <c r="Y179" t="s">
        <v>257</v>
      </c>
      <c r="AG179" t="s">
        <v>260</v>
      </c>
      <c r="AH179">
        <v>630783000</v>
      </c>
      <c r="AI179" s="3" t="s">
        <v>1306</v>
      </c>
    </row>
    <row r="180" spans="1:39" x14ac:dyDescent="0.2">
      <c r="A180" t="s">
        <v>1307</v>
      </c>
      <c r="B180" t="b">
        <v>0</v>
      </c>
      <c r="C180" t="b">
        <v>0</v>
      </c>
      <c r="D180" t="b">
        <v>1</v>
      </c>
      <c r="E180" t="b">
        <v>0</v>
      </c>
      <c r="F180" t="b">
        <v>1</v>
      </c>
      <c r="G180" t="s">
        <v>361</v>
      </c>
      <c r="H180" t="s">
        <v>1308</v>
      </c>
      <c r="I180" t="s">
        <v>1307</v>
      </c>
      <c r="J180" t="s">
        <v>1309</v>
      </c>
      <c r="M180" t="s">
        <v>1310</v>
      </c>
      <c r="N180" t="s">
        <v>1311</v>
      </c>
      <c r="O180" t="s">
        <v>252</v>
      </c>
      <c r="R180" s="1">
        <v>44993</v>
      </c>
      <c r="S180" s="1">
        <v>45724</v>
      </c>
      <c r="T180" s="2">
        <v>45026.645915960646</v>
      </c>
      <c r="U180" t="s">
        <v>253</v>
      </c>
      <c r="V180" t="s">
        <v>267</v>
      </c>
      <c r="W180" t="s">
        <v>268</v>
      </c>
      <c r="X180" t="s">
        <v>256</v>
      </c>
      <c r="Y180" t="s">
        <v>269</v>
      </c>
      <c r="AG180" t="s">
        <v>270</v>
      </c>
      <c r="AH180">
        <v>20000000</v>
      </c>
      <c r="AI180" s="3" t="s">
        <v>315</v>
      </c>
    </row>
    <row r="181" spans="1:39" x14ac:dyDescent="0.2">
      <c r="A181" t="s">
        <v>1312</v>
      </c>
      <c r="B181" t="b">
        <v>1</v>
      </c>
      <c r="C181" t="b">
        <v>0</v>
      </c>
      <c r="D181" t="b">
        <v>1</v>
      </c>
      <c r="E181" t="s">
        <v>522</v>
      </c>
      <c r="F181" t="b">
        <v>0</v>
      </c>
      <c r="G181" t="b">
        <v>0</v>
      </c>
      <c r="H181" t="s">
        <v>1313</v>
      </c>
      <c r="I181" t="s">
        <v>1312</v>
      </c>
      <c r="J181" s="20" t="s">
        <v>72</v>
      </c>
      <c r="K181" t="s">
        <v>1314</v>
      </c>
      <c r="N181" t="s">
        <v>1315</v>
      </c>
      <c r="O181" t="s">
        <v>252</v>
      </c>
      <c r="R181" s="1">
        <v>43769</v>
      </c>
      <c r="S181" s="1">
        <v>45611</v>
      </c>
      <c r="U181" t="s">
        <v>575</v>
      </c>
      <c r="V181" t="s">
        <v>254</v>
      </c>
      <c r="W181" t="s">
        <v>304</v>
      </c>
      <c r="X181" t="s">
        <v>305</v>
      </c>
      <c r="Y181" t="s">
        <v>306</v>
      </c>
      <c r="Z181" s="35" t="s">
        <v>1316</v>
      </c>
      <c r="AA181" t="s">
        <v>307</v>
      </c>
      <c r="AB181" s="23" t="str">
        <f>AM181</f>
        <v>54743cb2f07c4d9f923a5c04c2547bb4</v>
      </c>
      <c r="AC181" s="23"/>
      <c r="AD181" s="23"/>
      <c r="AE181" s="23"/>
      <c r="AF181" s="23"/>
      <c r="AG181" t="s">
        <v>270</v>
      </c>
      <c r="AH181">
        <v>375000000</v>
      </c>
      <c r="AI181" s="3" t="s">
        <v>1317</v>
      </c>
      <c r="AM181" s="23" t="s">
        <v>68</v>
      </c>
    </row>
    <row r="182" spans="1:39" x14ac:dyDescent="0.2">
      <c r="A182" t="s">
        <v>1318</v>
      </c>
      <c r="B182" t="b">
        <v>0</v>
      </c>
      <c r="C182" t="b">
        <v>0</v>
      </c>
      <c r="D182" t="b">
        <v>1</v>
      </c>
      <c r="E182" t="b">
        <v>0</v>
      </c>
      <c r="F182" t="b">
        <v>1</v>
      </c>
      <c r="G182" t="b">
        <v>0</v>
      </c>
      <c r="H182" t="s">
        <v>1319</v>
      </c>
      <c r="I182" t="s">
        <v>1318</v>
      </c>
      <c r="J182" t="s">
        <v>81</v>
      </c>
      <c r="L182" t="s">
        <v>81</v>
      </c>
      <c r="N182" t="s">
        <v>1320</v>
      </c>
      <c r="O182" t="s">
        <v>252</v>
      </c>
      <c r="P182" t="s">
        <v>721</v>
      </c>
      <c r="Q182" t="s">
        <v>722</v>
      </c>
      <c r="R182" s="1">
        <v>44614</v>
      </c>
      <c r="S182" s="1">
        <v>49887</v>
      </c>
      <c r="U182" t="s">
        <v>253</v>
      </c>
      <c r="V182" t="s">
        <v>267</v>
      </c>
      <c r="W182" t="s">
        <v>723</v>
      </c>
      <c r="X182" t="s">
        <v>256</v>
      </c>
      <c r="Y182" t="s">
        <v>724</v>
      </c>
      <c r="Z182" s="32" t="s">
        <v>2750</v>
      </c>
      <c r="AA182" t="s">
        <v>725</v>
      </c>
      <c r="AB182" s="23" t="str">
        <f>AM182</f>
        <v>463bf5e91ed14844b7cce6dafe61cf29</v>
      </c>
      <c r="AC182" s="23"/>
      <c r="AD182" s="23"/>
      <c r="AE182" s="23"/>
      <c r="AF182" s="23"/>
      <c r="AG182" t="s">
        <v>270</v>
      </c>
      <c r="AH182">
        <v>40000000</v>
      </c>
      <c r="AI182" s="3" t="s">
        <v>1321</v>
      </c>
      <c r="AM182" s="23" t="s">
        <v>79</v>
      </c>
    </row>
    <row r="183" spans="1:39" x14ac:dyDescent="0.2">
      <c r="A183" t="s">
        <v>397</v>
      </c>
      <c r="B183" t="b">
        <v>1</v>
      </c>
      <c r="C183" t="b">
        <v>0</v>
      </c>
      <c r="D183" t="b">
        <v>1</v>
      </c>
      <c r="E183" t="s">
        <v>522</v>
      </c>
      <c r="F183" t="b">
        <v>0</v>
      </c>
      <c r="G183" t="b">
        <v>0</v>
      </c>
      <c r="H183" t="s">
        <v>398</v>
      </c>
      <c r="I183" t="s">
        <v>397</v>
      </c>
      <c r="M183" s="20" t="s">
        <v>1322</v>
      </c>
      <c r="N183" t="s">
        <v>1323</v>
      </c>
      <c r="O183" t="s">
        <v>382</v>
      </c>
      <c r="U183" t="s">
        <v>253</v>
      </c>
      <c r="V183" t="s">
        <v>254</v>
      </c>
      <c r="W183" t="s">
        <v>399</v>
      </c>
      <c r="X183" t="s">
        <v>256</v>
      </c>
      <c r="Y183" t="s">
        <v>400</v>
      </c>
      <c r="Z183" s="35" t="s">
        <v>1324</v>
      </c>
      <c r="AA183" s="7" t="s">
        <v>1325</v>
      </c>
      <c r="AG183" t="s">
        <v>401</v>
      </c>
      <c r="AM183" s="7"/>
    </row>
    <row r="184" spans="1:39" x14ac:dyDescent="0.2">
      <c r="A184" t="s">
        <v>1326</v>
      </c>
      <c r="B184" t="b">
        <v>0</v>
      </c>
      <c r="C184" t="b">
        <v>0</v>
      </c>
      <c r="D184" t="b">
        <v>0</v>
      </c>
      <c r="E184" t="b">
        <v>0</v>
      </c>
      <c r="F184" t="b">
        <v>0</v>
      </c>
      <c r="G184" t="b">
        <v>1</v>
      </c>
      <c r="H184" t="s">
        <v>1327</v>
      </c>
      <c r="I184" t="s">
        <v>1326</v>
      </c>
      <c r="J184" t="s">
        <v>30</v>
      </c>
      <c r="K184" t="s">
        <v>1328</v>
      </c>
      <c r="M184" t="s">
        <v>1329</v>
      </c>
      <c r="N184" t="s">
        <v>1330</v>
      </c>
      <c r="O184" t="s">
        <v>252</v>
      </c>
      <c r="P184" t="s">
        <v>696</v>
      </c>
      <c r="Q184" t="s">
        <v>697</v>
      </c>
      <c r="R184" s="1">
        <v>44495</v>
      </c>
      <c r="S184" s="1">
        <v>46318</v>
      </c>
      <c r="T184" s="2">
        <v>44937.850214432867</v>
      </c>
      <c r="U184" t="s">
        <v>253</v>
      </c>
      <c r="V184" t="s">
        <v>295</v>
      </c>
      <c r="W184" t="s">
        <v>342</v>
      </c>
      <c r="X184" t="s">
        <v>305</v>
      </c>
      <c r="Y184" t="s">
        <v>343</v>
      </c>
      <c r="AA184" t="s">
        <v>344</v>
      </c>
      <c r="AB184" s="23" t="str">
        <f>AM184</f>
        <v>41f78746078d444787f9a1f78b30153c</v>
      </c>
      <c r="AC184" s="23"/>
      <c r="AD184" s="23"/>
      <c r="AE184" s="23"/>
      <c r="AF184" s="23"/>
      <c r="AG184" t="s">
        <v>345</v>
      </c>
      <c r="AH184">
        <v>1000000000</v>
      </c>
      <c r="AI184" s="3" t="s">
        <v>1331</v>
      </c>
      <c r="AM184" s="23" t="s">
        <v>27</v>
      </c>
    </row>
    <row r="185" spans="1:39" x14ac:dyDescent="0.2">
      <c r="A185" t="s">
        <v>1332</v>
      </c>
      <c r="B185" t="b">
        <v>0</v>
      </c>
      <c r="C185" t="b">
        <v>0</v>
      </c>
      <c r="D185" t="b">
        <v>1</v>
      </c>
      <c r="E185" t="b">
        <v>0</v>
      </c>
      <c r="F185" t="b">
        <v>1</v>
      </c>
      <c r="G185" t="s">
        <v>361</v>
      </c>
      <c r="H185" t="s">
        <v>1333</v>
      </c>
      <c r="I185" t="s">
        <v>1332</v>
      </c>
      <c r="J185" t="s">
        <v>1334</v>
      </c>
      <c r="M185" t="s">
        <v>1335</v>
      </c>
      <c r="N185" t="s">
        <v>1336</v>
      </c>
      <c r="O185" t="s">
        <v>252</v>
      </c>
      <c r="R185" s="1">
        <v>45063</v>
      </c>
      <c r="S185" s="1">
        <v>45247</v>
      </c>
      <c r="T185" s="2">
        <v>45089.577341226854</v>
      </c>
      <c r="U185" t="s">
        <v>253</v>
      </c>
      <c r="V185" t="s">
        <v>267</v>
      </c>
      <c r="W185" t="s">
        <v>1337</v>
      </c>
      <c r="X185" t="s">
        <v>479</v>
      </c>
      <c r="Y185" t="s">
        <v>269</v>
      </c>
      <c r="AG185" t="s">
        <v>488</v>
      </c>
      <c r="AH185">
        <v>300000000</v>
      </c>
      <c r="AI185" s="3" t="s">
        <v>1338</v>
      </c>
    </row>
    <row r="186" spans="1:39" x14ac:dyDescent="0.2">
      <c r="A186" t="s">
        <v>1339</v>
      </c>
      <c r="B186" t="b">
        <v>0</v>
      </c>
      <c r="C186" t="b">
        <v>0</v>
      </c>
      <c r="D186" t="b">
        <v>1</v>
      </c>
      <c r="E186" t="b">
        <v>0</v>
      </c>
      <c r="F186" t="b">
        <v>1</v>
      </c>
      <c r="G186" t="b">
        <v>0</v>
      </c>
      <c r="H186" t="s">
        <v>1340</v>
      </c>
      <c r="I186" t="s">
        <v>1339</v>
      </c>
      <c r="J186" t="s">
        <v>45</v>
      </c>
      <c r="K186" t="s">
        <v>1341</v>
      </c>
      <c r="N186" t="s">
        <v>1342</v>
      </c>
      <c r="O186" t="s">
        <v>252</v>
      </c>
      <c r="R186" s="1">
        <v>44876</v>
      </c>
      <c r="S186" s="1">
        <v>46337</v>
      </c>
      <c r="T186" s="2">
        <v>45296.606440023148</v>
      </c>
      <c r="U186" t="s">
        <v>253</v>
      </c>
      <c r="V186" t="s">
        <v>267</v>
      </c>
      <c r="W186" t="s">
        <v>319</v>
      </c>
      <c r="X186" t="s">
        <v>256</v>
      </c>
      <c r="Y186" t="s">
        <v>269</v>
      </c>
      <c r="Z186" s="32" t="s">
        <v>2755</v>
      </c>
      <c r="AA186" t="s">
        <v>320</v>
      </c>
      <c r="AB186" s="23" t="str">
        <f>AM186</f>
        <v>0861b552d06e4b9799ebc7a3b1aa7e2a</v>
      </c>
      <c r="AC186" s="23"/>
      <c r="AD186" s="23"/>
      <c r="AE186" s="23"/>
      <c r="AF186" s="23"/>
      <c r="AG186" t="s">
        <v>270</v>
      </c>
      <c r="AH186">
        <v>29917476</v>
      </c>
      <c r="AI186" s="3" t="s">
        <v>1343</v>
      </c>
      <c r="AM186" s="23" t="s">
        <v>40</v>
      </c>
    </row>
    <row r="187" spans="1:39" x14ac:dyDescent="0.2">
      <c r="A187" t="s">
        <v>1344</v>
      </c>
      <c r="B187" t="b">
        <v>1</v>
      </c>
      <c r="C187" t="b">
        <v>0</v>
      </c>
      <c r="D187" t="b">
        <v>1</v>
      </c>
      <c r="E187" t="b">
        <v>0</v>
      </c>
      <c r="F187" t="b">
        <v>0</v>
      </c>
      <c r="G187" t="s">
        <v>361</v>
      </c>
      <c r="H187" t="s">
        <v>1345</v>
      </c>
      <c r="I187" t="s">
        <v>1344</v>
      </c>
      <c r="J187" t="s">
        <v>158</v>
      </c>
      <c r="K187" t="s">
        <v>1346</v>
      </c>
      <c r="L187" t="s">
        <v>1347</v>
      </c>
      <c r="M187" t="s">
        <v>1348</v>
      </c>
      <c r="N187" t="s">
        <v>1349</v>
      </c>
      <c r="O187" t="s">
        <v>252</v>
      </c>
      <c r="R187" s="1">
        <v>42711</v>
      </c>
      <c r="S187" s="1">
        <v>44537</v>
      </c>
      <c r="U187" t="s">
        <v>743</v>
      </c>
      <c r="V187" t="s">
        <v>267</v>
      </c>
      <c r="W187" t="s">
        <v>1023</v>
      </c>
      <c r="X187" t="s">
        <v>479</v>
      </c>
      <c r="Y187" t="s">
        <v>343</v>
      </c>
      <c r="Z187" t="s">
        <v>1350</v>
      </c>
      <c r="AA187" s="7" t="s">
        <v>1351</v>
      </c>
      <c r="AB187" s="23" t="str">
        <f>AM187</f>
        <v>32a1a5a27135419ca0571c622c7d8237</v>
      </c>
      <c r="AC187" s="23"/>
      <c r="AD187" s="23"/>
      <c r="AE187" s="23"/>
      <c r="AF187" s="23"/>
      <c r="AG187" t="s">
        <v>345</v>
      </c>
      <c r="AH187">
        <v>1000000000</v>
      </c>
      <c r="AI187" s="3" t="s">
        <v>1352</v>
      </c>
      <c r="AM187" s="21" t="s">
        <v>157</v>
      </c>
    </row>
    <row r="188" spans="1:39" x14ac:dyDescent="0.2">
      <c r="A188" t="s">
        <v>1353</v>
      </c>
      <c r="B188" t="b">
        <v>0</v>
      </c>
      <c r="C188" t="b">
        <v>0</v>
      </c>
      <c r="D188" t="b">
        <v>1</v>
      </c>
      <c r="E188" t="b">
        <v>0</v>
      </c>
      <c r="F188" t="b">
        <v>1</v>
      </c>
      <c r="G188" t="s">
        <v>361</v>
      </c>
      <c r="H188" t="s">
        <v>1354</v>
      </c>
      <c r="I188" t="s">
        <v>1353</v>
      </c>
      <c r="M188" t="s">
        <v>1355</v>
      </c>
      <c r="N188" t="s">
        <v>1356</v>
      </c>
      <c r="O188" t="s">
        <v>252</v>
      </c>
      <c r="P188" t="s">
        <v>397</v>
      </c>
      <c r="Q188" t="s">
        <v>398</v>
      </c>
      <c r="R188" s="1">
        <v>44012</v>
      </c>
      <c r="S188" s="1">
        <v>44742</v>
      </c>
      <c r="U188" t="s">
        <v>253</v>
      </c>
      <c r="V188" t="s">
        <v>254</v>
      </c>
      <c r="W188" t="s">
        <v>399</v>
      </c>
      <c r="X188" t="s">
        <v>256</v>
      </c>
      <c r="Y188" t="s">
        <v>400</v>
      </c>
      <c r="AG188" t="s">
        <v>401</v>
      </c>
      <c r="AH188">
        <v>4000000</v>
      </c>
      <c r="AI188" s="3" t="s">
        <v>281</v>
      </c>
    </row>
    <row r="189" spans="1:39" x14ac:dyDescent="0.2">
      <c r="A189" t="s">
        <v>1357</v>
      </c>
      <c r="B189" t="b">
        <v>0</v>
      </c>
      <c r="C189" t="b">
        <v>0</v>
      </c>
      <c r="D189" t="b">
        <v>1</v>
      </c>
      <c r="E189" t="b">
        <v>0</v>
      </c>
      <c r="F189" t="b">
        <v>1</v>
      </c>
      <c r="G189" t="s">
        <v>361</v>
      </c>
      <c r="H189" t="s">
        <v>1358</v>
      </c>
      <c r="I189" t="s">
        <v>1357</v>
      </c>
      <c r="J189" t="s">
        <v>1359</v>
      </c>
      <c r="K189" t="s">
        <v>1360</v>
      </c>
      <c r="N189" t="s">
        <v>1361</v>
      </c>
      <c r="O189" t="s">
        <v>252</v>
      </c>
      <c r="R189" s="1">
        <v>44242</v>
      </c>
      <c r="S189" s="1">
        <v>46798</v>
      </c>
      <c r="U189" t="s">
        <v>253</v>
      </c>
      <c r="V189" t="s">
        <v>254</v>
      </c>
      <c r="W189" t="s">
        <v>1362</v>
      </c>
      <c r="X189" t="s">
        <v>256</v>
      </c>
      <c r="Y189" t="s">
        <v>257</v>
      </c>
      <c r="AG189" t="s">
        <v>260</v>
      </c>
      <c r="AH189">
        <v>115000000</v>
      </c>
      <c r="AI189" s="3" t="s">
        <v>1363</v>
      </c>
    </row>
    <row r="190" spans="1:39" x14ac:dyDescent="0.2">
      <c r="A190" t="s">
        <v>1364</v>
      </c>
      <c r="B190" t="b">
        <v>1</v>
      </c>
      <c r="C190" t="b">
        <v>0</v>
      </c>
      <c r="D190" t="b">
        <v>1</v>
      </c>
      <c r="E190" t="s">
        <v>522</v>
      </c>
      <c r="F190" t="b">
        <v>0</v>
      </c>
      <c r="G190" t="b">
        <v>0</v>
      </c>
      <c r="H190" t="s">
        <v>1365</v>
      </c>
      <c r="I190" t="s">
        <v>1364</v>
      </c>
      <c r="M190" s="20" t="s">
        <v>1366</v>
      </c>
      <c r="N190" t="s">
        <v>1367</v>
      </c>
      <c r="O190" t="s">
        <v>252</v>
      </c>
      <c r="R190" s="1">
        <v>43441</v>
      </c>
      <c r="S190" s="1">
        <v>45266</v>
      </c>
      <c r="U190" t="s">
        <v>625</v>
      </c>
      <c r="V190" t="s">
        <v>254</v>
      </c>
      <c r="W190" t="s">
        <v>1368</v>
      </c>
      <c r="X190" t="s">
        <v>305</v>
      </c>
      <c r="Y190" t="s">
        <v>269</v>
      </c>
      <c r="Z190" s="35" t="s">
        <v>1369</v>
      </c>
      <c r="AA190" s="7" t="s">
        <v>1370</v>
      </c>
      <c r="AB190" s="23" t="str">
        <f>AM190</f>
        <v>e7422ceebd5f4b049171588f9f404b91</v>
      </c>
      <c r="AC190" s="23"/>
      <c r="AD190" s="23"/>
      <c r="AE190" s="23"/>
      <c r="AF190" s="23"/>
      <c r="AG190" t="s">
        <v>270</v>
      </c>
      <c r="AH190">
        <v>30000000</v>
      </c>
      <c r="AI190" s="3" t="s">
        <v>602</v>
      </c>
      <c r="AM190" s="23" t="s">
        <v>208</v>
      </c>
    </row>
    <row r="191" spans="1:39" x14ac:dyDescent="0.2">
      <c r="A191" t="s">
        <v>1371</v>
      </c>
      <c r="B191" t="b">
        <v>0</v>
      </c>
      <c r="C191" t="b">
        <v>0</v>
      </c>
      <c r="D191" t="b">
        <v>1</v>
      </c>
      <c r="E191" t="b">
        <v>0</v>
      </c>
      <c r="F191" t="b">
        <v>1</v>
      </c>
      <c r="G191" t="s">
        <v>361</v>
      </c>
      <c r="H191" t="s">
        <v>1372</v>
      </c>
      <c r="I191" t="s">
        <v>1371</v>
      </c>
      <c r="J191" t="s">
        <v>1373</v>
      </c>
      <c r="N191" t="s">
        <v>1374</v>
      </c>
      <c r="O191" t="s">
        <v>252</v>
      </c>
      <c r="R191" s="1">
        <v>44686</v>
      </c>
      <c r="S191" s="1">
        <v>48339</v>
      </c>
      <c r="U191" t="s">
        <v>253</v>
      </c>
      <c r="V191" t="s">
        <v>267</v>
      </c>
      <c r="W191" t="s">
        <v>1085</v>
      </c>
      <c r="X191" t="s">
        <v>256</v>
      </c>
      <c r="Y191" t="s">
        <v>269</v>
      </c>
      <c r="AG191" t="s">
        <v>270</v>
      </c>
      <c r="AH191">
        <v>62536958</v>
      </c>
      <c r="AI191" s="3" t="s">
        <v>1375</v>
      </c>
    </row>
    <row r="192" spans="1:39" x14ac:dyDescent="0.2">
      <c r="A192" t="s">
        <v>1376</v>
      </c>
      <c r="B192" t="b">
        <v>0</v>
      </c>
      <c r="C192" t="b">
        <v>0</v>
      </c>
      <c r="D192" t="b">
        <v>1</v>
      </c>
      <c r="E192" t="b">
        <v>0</v>
      </c>
      <c r="F192" t="b">
        <v>1</v>
      </c>
      <c r="G192" t="b">
        <v>0</v>
      </c>
      <c r="H192" t="s">
        <v>1377</v>
      </c>
      <c r="I192" t="s">
        <v>1376</v>
      </c>
      <c r="J192" t="s">
        <v>44</v>
      </c>
      <c r="N192" t="s">
        <v>1378</v>
      </c>
      <c r="O192" t="s">
        <v>252</v>
      </c>
      <c r="R192" s="1">
        <v>45359</v>
      </c>
      <c r="S192" s="1">
        <v>46454</v>
      </c>
      <c r="T192" s="2">
        <v>46059.644276967592</v>
      </c>
      <c r="U192" t="s">
        <v>253</v>
      </c>
      <c r="V192" t="s">
        <v>267</v>
      </c>
      <c r="W192" t="s">
        <v>319</v>
      </c>
      <c r="X192" t="s">
        <v>256</v>
      </c>
      <c r="Y192" t="s">
        <v>269</v>
      </c>
      <c r="Z192" s="32" t="s">
        <v>2755</v>
      </c>
      <c r="AA192" t="s">
        <v>320</v>
      </c>
      <c r="AB192" s="23" t="str">
        <f>AM192</f>
        <v>0861b552d06e4b9799ebc7a3b1aa7e2a</v>
      </c>
      <c r="AC192" s="23"/>
      <c r="AD192" s="23"/>
      <c r="AE192" s="23"/>
      <c r="AF192" s="23"/>
      <c r="AG192" t="s">
        <v>270</v>
      </c>
      <c r="AH192">
        <v>20697951</v>
      </c>
      <c r="AI192" s="3" t="s">
        <v>1379</v>
      </c>
      <c r="AM192" s="23" t="s">
        <v>40</v>
      </c>
    </row>
    <row r="193" spans="1:39" x14ac:dyDescent="0.2">
      <c r="A193" t="s">
        <v>1380</v>
      </c>
      <c r="B193" t="b">
        <v>0</v>
      </c>
      <c r="C193" t="b">
        <v>0</v>
      </c>
      <c r="D193" t="b">
        <v>1</v>
      </c>
      <c r="E193" t="b">
        <v>0</v>
      </c>
      <c r="F193" t="b">
        <v>1</v>
      </c>
      <c r="G193" t="s">
        <v>361</v>
      </c>
      <c r="H193" t="s">
        <v>1381</v>
      </c>
      <c r="I193" t="s">
        <v>1380</v>
      </c>
      <c r="J193" t="s">
        <v>1382</v>
      </c>
      <c r="N193" t="s">
        <v>1383</v>
      </c>
      <c r="O193" t="s">
        <v>252</v>
      </c>
      <c r="R193" s="1">
        <v>44365</v>
      </c>
      <c r="S193" s="1">
        <v>45474</v>
      </c>
      <c r="T193" s="2">
        <v>44943.760328865741</v>
      </c>
      <c r="U193" t="s">
        <v>253</v>
      </c>
      <c r="V193" t="s">
        <v>267</v>
      </c>
      <c r="W193" t="s">
        <v>760</v>
      </c>
      <c r="X193" t="s">
        <v>278</v>
      </c>
      <c r="Y193" t="s">
        <v>257</v>
      </c>
      <c r="AG193" t="s">
        <v>260</v>
      </c>
      <c r="AH193">
        <v>83150000</v>
      </c>
      <c r="AI193" s="3" t="s">
        <v>1384</v>
      </c>
    </row>
    <row r="194" spans="1:39" x14ac:dyDescent="0.2">
      <c r="A194" t="s">
        <v>1385</v>
      </c>
      <c r="B194" t="b">
        <v>0</v>
      </c>
      <c r="C194" t="b">
        <v>0</v>
      </c>
      <c r="D194" t="b">
        <v>1</v>
      </c>
      <c r="E194" t="b">
        <v>0</v>
      </c>
      <c r="F194" t="b">
        <v>1</v>
      </c>
      <c r="G194" t="s">
        <v>361</v>
      </c>
      <c r="H194" t="s">
        <v>1386</v>
      </c>
      <c r="I194" t="s">
        <v>1385</v>
      </c>
      <c r="J194" t="s">
        <v>1387</v>
      </c>
      <c r="N194" t="s">
        <v>1388</v>
      </c>
      <c r="O194" t="s">
        <v>252</v>
      </c>
      <c r="R194" s="1">
        <v>44833</v>
      </c>
      <c r="S194" s="1">
        <v>46294</v>
      </c>
      <c r="U194" t="s">
        <v>253</v>
      </c>
      <c r="V194" t="s">
        <v>267</v>
      </c>
      <c r="W194" t="s">
        <v>1085</v>
      </c>
      <c r="X194" t="s">
        <v>256</v>
      </c>
      <c r="Y194" t="s">
        <v>269</v>
      </c>
      <c r="AG194" t="s">
        <v>270</v>
      </c>
      <c r="AH194">
        <v>80000000</v>
      </c>
      <c r="AI194" s="3" t="s">
        <v>1295</v>
      </c>
    </row>
    <row r="195" spans="1:39" x14ac:dyDescent="0.2">
      <c r="A195" t="s">
        <v>1389</v>
      </c>
      <c r="B195" t="b">
        <v>0</v>
      </c>
      <c r="C195" t="b">
        <v>0</v>
      </c>
      <c r="D195" t="b">
        <v>0</v>
      </c>
      <c r="E195" t="b">
        <v>0</v>
      </c>
      <c r="F195" t="b">
        <v>0</v>
      </c>
      <c r="G195" t="b">
        <v>1</v>
      </c>
      <c r="H195" t="s">
        <v>1390</v>
      </c>
      <c r="I195" t="s">
        <v>1389</v>
      </c>
      <c r="J195" t="s">
        <v>86</v>
      </c>
      <c r="N195" t="s">
        <v>1391</v>
      </c>
      <c r="O195" t="s">
        <v>252</v>
      </c>
      <c r="R195" s="1">
        <v>44957</v>
      </c>
      <c r="S195" s="1">
        <v>48610</v>
      </c>
      <c r="T195" s="2">
        <v>44952.903251990741</v>
      </c>
      <c r="U195" t="s">
        <v>253</v>
      </c>
      <c r="V195" t="s">
        <v>589</v>
      </c>
      <c r="W195" t="s">
        <v>304</v>
      </c>
      <c r="X195" t="s">
        <v>305</v>
      </c>
      <c r="Y195" t="s">
        <v>306</v>
      </c>
      <c r="AA195" t="s">
        <v>590</v>
      </c>
      <c r="AB195" s="23" t="str">
        <f>AM195</f>
        <v>9baf8156464a428da24a03b589461dec</v>
      </c>
      <c r="AC195" s="23"/>
      <c r="AD195" s="23"/>
      <c r="AE195" s="23"/>
      <c r="AF195" s="23"/>
      <c r="AG195" t="s">
        <v>591</v>
      </c>
      <c r="AH195">
        <v>7000000000</v>
      </c>
      <c r="AI195" s="3" t="s">
        <v>1392</v>
      </c>
      <c r="AM195" s="23" t="s">
        <v>83</v>
      </c>
    </row>
    <row r="196" spans="1:39" s="14" customFormat="1" x14ac:dyDescent="0.2">
      <c r="A196" s="14" t="s">
        <v>1393</v>
      </c>
      <c r="B196" s="14" t="b">
        <v>1</v>
      </c>
      <c r="C196" s="14" t="b">
        <v>0</v>
      </c>
      <c r="D196" s="14" t="b">
        <v>1</v>
      </c>
      <c r="E196" s="14" t="s">
        <v>522</v>
      </c>
      <c r="F196" s="14" t="b">
        <v>0</v>
      </c>
      <c r="G196" s="14" t="b">
        <v>0</v>
      </c>
      <c r="H196" s="14" t="s">
        <v>1394</v>
      </c>
      <c r="I196" s="14" t="s">
        <v>1393</v>
      </c>
      <c r="J196" s="19" t="s">
        <v>101</v>
      </c>
      <c r="K196" s="14" t="s">
        <v>1395</v>
      </c>
      <c r="M196" s="14" t="s">
        <v>1396</v>
      </c>
      <c r="N196" s="14" t="s">
        <v>1397</v>
      </c>
      <c r="O196" s="14" t="s">
        <v>252</v>
      </c>
      <c r="R196" s="15">
        <v>44237</v>
      </c>
      <c r="S196" s="15">
        <v>52793</v>
      </c>
      <c r="U196" s="14" t="s">
        <v>441</v>
      </c>
      <c r="V196" s="14" t="s">
        <v>267</v>
      </c>
      <c r="W196" s="14" t="s">
        <v>1042</v>
      </c>
      <c r="X196" s="14" t="s">
        <v>256</v>
      </c>
      <c r="Y196" s="14" t="s">
        <v>257</v>
      </c>
      <c r="Z196" s="35" t="s">
        <v>1398</v>
      </c>
      <c r="AA196" s="14" t="s">
        <v>1399</v>
      </c>
      <c r="AB196" s="23" t="str">
        <f>AM196</f>
        <v>e791ce8ea3eb4c6897df799280b78881</v>
      </c>
      <c r="AC196" s="23"/>
      <c r="AD196" s="23"/>
      <c r="AE196" s="23"/>
      <c r="AF196" s="23"/>
      <c r="AG196" s="14" t="s">
        <v>260</v>
      </c>
      <c r="AH196" s="14">
        <v>672500000</v>
      </c>
      <c r="AI196" s="16" t="s">
        <v>1400</v>
      </c>
      <c r="AM196" s="24" t="s">
        <v>99</v>
      </c>
    </row>
    <row r="197" spans="1:39" x14ac:dyDescent="0.2">
      <c r="A197" t="s">
        <v>1401</v>
      </c>
      <c r="B197" t="b">
        <v>0</v>
      </c>
      <c r="C197" t="b">
        <v>0</v>
      </c>
      <c r="D197" t="b">
        <v>1</v>
      </c>
      <c r="E197" t="b">
        <v>0</v>
      </c>
      <c r="F197" t="b">
        <v>1</v>
      </c>
      <c r="G197" t="s">
        <v>361</v>
      </c>
      <c r="H197" t="s">
        <v>1402</v>
      </c>
      <c r="I197" t="s">
        <v>1401</v>
      </c>
      <c r="J197" t="s">
        <v>1403</v>
      </c>
      <c r="M197" t="s">
        <v>1404</v>
      </c>
      <c r="N197" t="s">
        <v>1404</v>
      </c>
      <c r="O197" t="s">
        <v>252</v>
      </c>
      <c r="R197" s="1">
        <v>42809</v>
      </c>
      <c r="S197" s="1">
        <v>46371</v>
      </c>
      <c r="U197" t="s">
        <v>253</v>
      </c>
      <c r="V197" t="s">
        <v>254</v>
      </c>
      <c r="W197" t="s">
        <v>494</v>
      </c>
      <c r="X197" t="s">
        <v>256</v>
      </c>
      <c r="Y197" t="s">
        <v>257</v>
      </c>
      <c r="AG197" t="s">
        <v>260</v>
      </c>
      <c r="AH197">
        <v>42431000</v>
      </c>
      <c r="AI197" s="3" t="s">
        <v>1405</v>
      </c>
    </row>
    <row r="198" spans="1:39" x14ac:dyDescent="0.2">
      <c r="A198" t="s">
        <v>1406</v>
      </c>
      <c r="B198" t="b">
        <v>1</v>
      </c>
      <c r="C198" t="b">
        <v>0</v>
      </c>
      <c r="D198" t="b">
        <v>1</v>
      </c>
      <c r="E198" t="b">
        <v>0</v>
      </c>
      <c r="F198" t="b">
        <v>0</v>
      </c>
      <c r="G198" t="s">
        <v>361</v>
      </c>
      <c r="H198" t="s">
        <v>1407</v>
      </c>
      <c r="I198" t="s">
        <v>1406</v>
      </c>
      <c r="J198" t="s">
        <v>1408</v>
      </c>
      <c r="N198" t="s">
        <v>1409</v>
      </c>
      <c r="O198" t="s">
        <v>252</v>
      </c>
      <c r="R198" s="1">
        <v>43299</v>
      </c>
      <c r="S198" s="1">
        <v>45125</v>
      </c>
      <c r="U198" t="s">
        <v>253</v>
      </c>
      <c r="V198" t="s">
        <v>254</v>
      </c>
      <c r="W198" t="s">
        <v>558</v>
      </c>
      <c r="X198" t="s">
        <v>278</v>
      </c>
      <c r="Y198" t="s">
        <v>384</v>
      </c>
      <c r="Z198" t="s">
        <v>559</v>
      </c>
      <c r="AA198" t="s">
        <v>1410</v>
      </c>
      <c r="AB198" t="s">
        <v>559</v>
      </c>
      <c r="AG198" t="s">
        <v>386</v>
      </c>
      <c r="AH198">
        <v>300000000000</v>
      </c>
      <c r="AI198" s="3" t="s">
        <v>1411</v>
      </c>
      <c r="AM198" s="23" t="s">
        <v>1412</v>
      </c>
    </row>
    <row r="199" spans="1:39" x14ac:dyDescent="0.2">
      <c r="A199" t="s">
        <v>504</v>
      </c>
      <c r="B199" t="b">
        <v>1</v>
      </c>
      <c r="C199" t="b">
        <v>0</v>
      </c>
      <c r="D199" t="b">
        <v>1</v>
      </c>
      <c r="E199" t="s">
        <v>522</v>
      </c>
      <c r="F199" t="b">
        <v>0</v>
      </c>
      <c r="G199" t="b">
        <v>0</v>
      </c>
      <c r="H199" t="s">
        <v>505</v>
      </c>
      <c r="I199" t="s">
        <v>504</v>
      </c>
      <c r="M199" s="20" t="s">
        <v>1413</v>
      </c>
      <c r="N199" t="s">
        <v>1414</v>
      </c>
      <c r="O199" t="s">
        <v>382</v>
      </c>
      <c r="S199" s="1">
        <v>46033</v>
      </c>
      <c r="T199" s="2">
        <v>45099.926049768517</v>
      </c>
      <c r="U199" t="s">
        <v>253</v>
      </c>
      <c r="V199" t="s">
        <v>267</v>
      </c>
      <c r="W199" t="s">
        <v>506</v>
      </c>
      <c r="X199" t="s">
        <v>278</v>
      </c>
      <c r="Y199" t="s">
        <v>257</v>
      </c>
      <c r="Z199" s="35" t="s">
        <v>1415</v>
      </c>
      <c r="AA199" s="7" t="s">
        <v>507</v>
      </c>
      <c r="AB199" s="23" t="str">
        <f>AM199</f>
        <v>4fe1e360ebb54d2881c324702c05ca4c</v>
      </c>
      <c r="AC199" s="23"/>
      <c r="AD199" s="23"/>
      <c r="AE199" s="23"/>
      <c r="AF199" s="23"/>
      <c r="AG199" t="s">
        <v>270</v>
      </c>
      <c r="AM199" s="21" t="s">
        <v>125</v>
      </c>
    </row>
    <row r="200" spans="1:39" x14ac:dyDescent="0.2">
      <c r="A200" t="s">
        <v>1416</v>
      </c>
      <c r="B200" t="b">
        <v>1</v>
      </c>
      <c r="C200" t="b">
        <v>0</v>
      </c>
      <c r="D200" t="b">
        <v>1</v>
      </c>
      <c r="E200" t="b">
        <v>0</v>
      </c>
      <c r="F200" t="b">
        <v>0</v>
      </c>
      <c r="G200" t="s">
        <v>361</v>
      </c>
      <c r="H200" t="s">
        <v>1417</v>
      </c>
      <c r="I200" t="s">
        <v>1416</v>
      </c>
      <c r="J200" t="s">
        <v>1418</v>
      </c>
      <c r="N200" t="s">
        <v>1419</v>
      </c>
      <c r="O200" t="s">
        <v>252</v>
      </c>
      <c r="R200" s="1">
        <v>43665</v>
      </c>
      <c r="S200" s="1">
        <v>45492</v>
      </c>
      <c r="U200" t="s">
        <v>253</v>
      </c>
      <c r="V200" t="s">
        <v>254</v>
      </c>
      <c r="W200" t="s">
        <v>558</v>
      </c>
      <c r="X200" t="s">
        <v>278</v>
      </c>
      <c r="Y200" t="s">
        <v>384</v>
      </c>
      <c r="Z200" t="s">
        <v>559</v>
      </c>
      <c r="AA200" t="s">
        <v>606</v>
      </c>
      <c r="AB200" t="s">
        <v>559</v>
      </c>
      <c r="AG200" t="s">
        <v>386</v>
      </c>
      <c r="AH200">
        <v>657000000000</v>
      </c>
      <c r="AI200" s="3" t="s">
        <v>1420</v>
      </c>
      <c r="AM200" s="23" t="s">
        <v>193</v>
      </c>
    </row>
    <row r="201" spans="1:39" x14ac:dyDescent="0.2">
      <c r="A201" t="s">
        <v>1421</v>
      </c>
      <c r="B201" t="b">
        <v>1</v>
      </c>
      <c r="C201" t="b">
        <v>0</v>
      </c>
      <c r="D201" t="b">
        <v>1</v>
      </c>
      <c r="E201" t="b">
        <v>0</v>
      </c>
      <c r="F201" t="b">
        <v>0</v>
      </c>
      <c r="G201" t="s">
        <v>361</v>
      </c>
      <c r="H201" t="s">
        <v>1422</v>
      </c>
      <c r="I201" t="s">
        <v>1421</v>
      </c>
      <c r="M201" t="s">
        <v>1423</v>
      </c>
      <c r="N201" t="s">
        <v>1424</v>
      </c>
      <c r="O201" t="s">
        <v>252</v>
      </c>
      <c r="R201" s="1">
        <v>43241</v>
      </c>
      <c r="S201" s="1">
        <v>52737</v>
      </c>
      <c r="U201" t="s">
        <v>253</v>
      </c>
      <c r="V201" t="s">
        <v>254</v>
      </c>
      <c r="W201" t="s">
        <v>1425</v>
      </c>
      <c r="X201" t="s">
        <v>256</v>
      </c>
      <c r="Y201" t="s">
        <v>343</v>
      </c>
      <c r="Z201" t="s">
        <v>1426</v>
      </c>
      <c r="AG201" t="s">
        <v>270</v>
      </c>
      <c r="AH201">
        <v>304150000</v>
      </c>
      <c r="AI201" s="3" t="s">
        <v>1427</v>
      </c>
    </row>
    <row r="202" spans="1:39" x14ac:dyDescent="0.2">
      <c r="A202" t="s">
        <v>1428</v>
      </c>
      <c r="B202" t="b">
        <v>0</v>
      </c>
      <c r="C202" t="b">
        <v>0</v>
      </c>
      <c r="D202" t="b">
        <v>1</v>
      </c>
      <c r="E202" t="b">
        <v>0</v>
      </c>
      <c r="F202" t="b">
        <v>1</v>
      </c>
      <c r="G202" t="s">
        <v>361</v>
      </c>
      <c r="H202" t="s">
        <v>1429</v>
      </c>
      <c r="I202" t="s">
        <v>1428</v>
      </c>
      <c r="J202" t="s">
        <v>1430</v>
      </c>
      <c r="N202" t="s">
        <v>1431</v>
      </c>
      <c r="O202" t="s">
        <v>252</v>
      </c>
      <c r="R202" s="1">
        <v>43873</v>
      </c>
      <c r="S202" s="1">
        <v>44981</v>
      </c>
      <c r="U202" t="s">
        <v>253</v>
      </c>
      <c r="V202" t="s">
        <v>267</v>
      </c>
      <c r="W202" t="s">
        <v>1102</v>
      </c>
      <c r="X202" t="s">
        <v>278</v>
      </c>
      <c r="Y202" t="s">
        <v>257</v>
      </c>
      <c r="AG202" t="s">
        <v>260</v>
      </c>
      <c r="AH202">
        <v>210267000</v>
      </c>
      <c r="AI202" s="3" t="s">
        <v>1432</v>
      </c>
    </row>
    <row r="203" spans="1:39" x14ac:dyDescent="0.2">
      <c r="A203" t="s">
        <v>1433</v>
      </c>
      <c r="B203" t="b">
        <v>0</v>
      </c>
      <c r="C203" t="b">
        <v>0</v>
      </c>
      <c r="D203" t="b">
        <v>1</v>
      </c>
      <c r="E203" t="b">
        <v>0</v>
      </c>
      <c r="F203" t="b">
        <v>1</v>
      </c>
      <c r="G203" t="s">
        <v>361</v>
      </c>
      <c r="H203" t="s">
        <v>1434</v>
      </c>
      <c r="I203" t="s">
        <v>1433</v>
      </c>
      <c r="J203" t="s">
        <v>1435</v>
      </c>
      <c r="N203" t="s">
        <v>1436</v>
      </c>
      <c r="O203" t="s">
        <v>252</v>
      </c>
      <c r="R203" s="1">
        <v>44516</v>
      </c>
      <c r="S203" s="1">
        <v>45999</v>
      </c>
      <c r="U203" t="s">
        <v>253</v>
      </c>
      <c r="V203" t="s">
        <v>267</v>
      </c>
      <c r="W203" t="s">
        <v>1437</v>
      </c>
      <c r="X203" t="s">
        <v>256</v>
      </c>
      <c r="Y203" t="s">
        <v>257</v>
      </c>
      <c r="AG203" t="s">
        <v>260</v>
      </c>
      <c r="AH203">
        <v>100000000</v>
      </c>
      <c r="AI203" s="3" t="s">
        <v>1438</v>
      </c>
    </row>
    <row r="204" spans="1:39" x14ac:dyDescent="0.2">
      <c r="A204" t="s">
        <v>1439</v>
      </c>
      <c r="B204" t="b">
        <v>0</v>
      </c>
      <c r="C204" t="b">
        <v>0</v>
      </c>
      <c r="D204" t="b">
        <v>0</v>
      </c>
      <c r="E204" t="b">
        <v>0</v>
      </c>
      <c r="F204" t="b">
        <v>0</v>
      </c>
      <c r="G204" t="b">
        <v>1</v>
      </c>
      <c r="H204" t="s">
        <v>1440</v>
      </c>
      <c r="I204" t="s">
        <v>1439</v>
      </c>
      <c r="J204" t="s">
        <v>85</v>
      </c>
      <c r="N204" t="s">
        <v>1441</v>
      </c>
      <c r="O204" t="s">
        <v>252</v>
      </c>
      <c r="R204" s="1">
        <v>44924</v>
      </c>
      <c r="S204" s="1">
        <v>46750</v>
      </c>
      <c r="T204" s="2">
        <v>44952.903572743053</v>
      </c>
      <c r="U204" t="s">
        <v>253</v>
      </c>
      <c r="V204" t="s">
        <v>589</v>
      </c>
      <c r="W204" t="s">
        <v>304</v>
      </c>
      <c r="X204" t="s">
        <v>305</v>
      </c>
      <c r="Y204" t="s">
        <v>306</v>
      </c>
      <c r="AA204" t="s">
        <v>590</v>
      </c>
      <c r="AB204" s="23" t="str">
        <f t="shared" ref="AB204:AB211" si="3">AM204</f>
        <v>9baf8156464a428da24a03b589461dec</v>
      </c>
      <c r="AC204" s="23"/>
      <c r="AD204" s="23"/>
      <c r="AE204" s="23"/>
      <c r="AF204" s="23"/>
      <c r="AG204" t="s">
        <v>1442</v>
      </c>
      <c r="AH204">
        <v>30000000</v>
      </c>
      <c r="AI204" s="3" t="s">
        <v>1443</v>
      </c>
      <c r="AM204" s="23" t="s">
        <v>83</v>
      </c>
    </row>
    <row r="205" spans="1:39" x14ac:dyDescent="0.2">
      <c r="A205" t="s">
        <v>1444</v>
      </c>
      <c r="B205" t="b">
        <v>0</v>
      </c>
      <c r="C205" t="b">
        <v>0</v>
      </c>
      <c r="D205" t="b">
        <v>1</v>
      </c>
      <c r="E205" t="b">
        <v>0</v>
      </c>
      <c r="F205" t="b">
        <v>1</v>
      </c>
      <c r="G205" t="b">
        <v>0</v>
      </c>
      <c r="H205" t="s">
        <v>1445</v>
      </c>
      <c r="I205" t="s">
        <v>1444</v>
      </c>
      <c r="J205" t="s">
        <v>58</v>
      </c>
      <c r="K205" t="s">
        <v>1446</v>
      </c>
      <c r="N205" t="s">
        <v>1447</v>
      </c>
      <c r="O205" t="s">
        <v>252</v>
      </c>
      <c r="P205" t="s">
        <v>331</v>
      </c>
      <c r="Q205" t="s">
        <v>332</v>
      </c>
      <c r="R205" s="1">
        <v>43853</v>
      </c>
      <c r="S205" s="1">
        <v>51164</v>
      </c>
      <c r="T205" s="2">
        <v>44923.626993194448</v>
      </c>
      <c r="U205" t="s">
        <v>253</v>
      </c>
      <c r="V205" t="s">
        <v>254</v>
      </c>
      <c r="W205" t="s">
        <v>333</v>
      </c>
      <c r="X205" t="s">
        <v>334</v>
      </c>
      <c r="Y205" t="s">
        <v>287</v>
      </c>
      <c r="Z205" s="32" t="s">
        <v>2759</v>
      </c>
      <c r="AA205" t="s">
        <v>335</v>
      </c>
      <c r="AB205" s="23" t="str">
        <f t="shared" si="3"/>
        <v>b25746bc73674469a979cd1218fc9355</v>
      </c>
      <c r="AC205" s="23"/>
      <c r="AD205" s="23"/>
      <c r="AE205" s="23"/>
      <c r="AF205" s="23"/>
      <c r="AG205" t="s">
        <v>830</v>
      </c>
      <c r="AH205">
        <v>1269017000</v>
      </c>
      <c r="AI205" s="3" t="s">
        <v>1448</v>
      </c>
      <c r="AM205" s="23" t="s">
        <v>51</v>
      </c>
    </row>
    <row r="206" spans="1:39" x14ac:dyDescent="0.2">
      <c r="A206" t="s">
        <v>1277</v>
      </c>
      <c r="B206" t="b">
        <v>0</v>
      </c>
      <c r="C206" t="b">
        <v>0</v>
      </c>
      <c r="D206" t="b">
        <v>1</v>
      </c>
      <c r="E206" t="b">
        <v>0</v>
      </c>
      <c r="F206" t="b">
        <v>1</v>
      </c>
      <c r="G206" t="b">
        <v>0</v>
      </c>
      <c r="H206" t="s">
        <v>1278</v>
      </c>
      <c r="I206" t="s">
        <v>1277</v>
      </c>
      <c r="M206" t="s">
        <v>1449</v>
      </c>
      <c r="N206" t="s">
        <v>1450</v>
      </c>
      <c r="O206" t="s">
        <v>382</v>
      </c>
      <c r="S206" s="1">
        <v>48160</v>
      </c>
      <c r="T206" s="2">
        <v>45369.548675532409</v>
      </c>
      <c r="U206" t="s">
        <v>253</v>
      </c>
      <c r="V206" t="s">
        <v>267</v>
      </c>
      <c r="W206" t="s">
        <v>1279</v>
      </c>
      <c r="X206" t="s">
        <v>305</v>
      </c>
      <c r="Y206" t="s">
        <v>1280</v>
      </c>
      <c r="Z206" s="32" t="s">
        <v>2739</v>
      </c>
      <c r="AA206" t="s">
        <v>1281</v>
      </c>
      <c r="AB206" s="23" t="str">
        <f t="shared" si="3"/>
        <v>d6700b8c707544c78fa5f4e5a0b6c1e4</v>
      </c>
      <c r="AC206" s="23"/>
      <c r="AD206" s="23"/>
      <c r="AE206" s="23"/>
      <c r="AF206" s="23"/>
      <c r="AG206" t="s">
        <v>1282</v>
      </c>
      <c r="AM206" s="23" t="s">
        <v>209</v>
      </c>
    </row>
    <row r="207" spans="1:39" x14ac:dyDescent="0.2">
      <c r="A207" t="s">
        <v>1451</v>
      </c>
      <c r="B207" t="b">
        <v>0</v>
      </c>
      <c r="C207" t="b">
        <v>0</v>
      </c>
      <c r="D207" t="b">
        <v>1</v>
      </c>
      <c r="E207" t="b">
        <v>0</v>
      </c>
      <c r="F207" t="b">
        <v>1</v>
      </c>
      <c r="G207" t="b">
        <v>0</v>
      </c>
      <c r="H207" t="s">
        <v>1452</v>
      </c>
      <c r="I207" t="s">
        <v>1451</v>
      </c>
      <c r="J207" t="s">
        <v>57</v>
      </c>
      <c r="K207" t="s">
        <v>1453</v>
      </c>
      <c r="N207" t="s">
        <v>1454</v>
      </c>
      <c r="O207" t="s">
        <v>252</v>
      </c>
      <c r="P207" t="s">
        <v>331</v>
      </c>
      <c r="Q207" t="s">
        <v>332</v>
      </c>
      <c r="R207" s="1">
        <v>43641</v>
      </c>
      <c r="S207" s="1">
        <v>48031</v>
      </c>
      <c r="T207" s="2">
        <v>44923.627495104163</v>
      </c>
      <c r="U207" t="s">
        <v>253</v>
      </c>
      <c r="V207" t="s">
        <v>254</v>
      </c>
      <c r="W207" t="s">
        <v>333</v>
      </c>
      <c r="X207" t="s">
        <v>334</v>
      </c>
      <c r="Y207" t="s">
        <v>287</v>
      </c>
      <c r="Z207" s="32" t="s">
        <v>2759</v>
      </c>
      <c r="AA207" t="s">
        <v>335</v>
      </c>
      <c r="AB207" s="23" t="str">
        <f t="shared" si="3"/>
        <v>b25746bc73674469a979cd1218fc9355</v>
      </c>
      <c r="AC207" s="23"/>
      <c r="AD207" s="23"/>
      <c r="AE207" s="23"/>
      <c r="AF207" s="23"/>
      <c r="AG207" t="s">
        <v>830</v>
      </c>
      <c r="AH207">
        <v>1954685000</v>
      </c>
      <c r="AI207" s="3" t="s">
        <v>1455</v>
      </c>
      <c r="AM207" s="23" t="s">
        <v>51</v>
      </c>
    </row>
    <row r="208" spans="1:39" x14ac:dyDescent="0.2">
      <c r="A208" t="s">
        <v>1456</v>
      </c>
      <c r="B208" t="b">
        <v>0</v>
      </c>
      <c r="C208" t="b">
        <v>0</v>
      </c>
      <c r="D208" t="b">
        <v>1</v>
      </c>
      <c r="E208" t="b">
        <v>0</v>
      </c>
      <c r="F208" t="b">
        <v>1</v>
      </c>
      <c r="G208" t="b">
        <v>0</v>
      </c>
      <c r="H208" t="s">
        <v>1457</v>
      </c>
      <c r="I208" t="s">
        <v>1456</v>
      </c>
      <c r="J208" t="s">
        <v>42</v>
      </c>
      <c r="N208" t="s">
        <v>1458</v>
      </c>
      <c r="O208" t="s">
        <v>252</v>
      </c>
      <c r="R208" s="1">
        <v>45359</v>
      </c>
      <c r="S208" s="1">
        <v>46089</v>
      </c>
      <c r="T208" s="2">
        <v>46059.641546018516</v>
      </c>
      <c r="U208" t="s">
        <v>253</v>
      </c>
      <c r="V208" t="s">
        <v>267</v>
      </c>
      <c r="W208" t="s">
        <v>319</v>
      </c>
      <c r="X208" t="s">
        <v>256</v>
      </c>
      <c r="Y208" t="s">
        <v>269</v>
      </c>
      <c r="Z208" s="32" t="s">
        <v>2755</v>
      </c>
      <c r="AA208" t="s">
        <v>320</v>
      </c>
      <c r="AB208" s="23" t="str">
        <f t="shared" si="3"/>
        <v>0861b552d06e4b9799ebc7a3b1aa7e2a</v>
      </c>
      <c r="AC208" s="23"/>
      <c r="AD208" s="23"/>
      <c r="AE208" s="23"/>
      <c r="AF208" s="23"/>
      <c r="AG208" t="s">
        <v>270</v>
      </c>
      <c r="AH208">
        <v>12502792</v>
      </c>
      <c r="AI208" s="3" t="s">
        <v>1459</v>
      </c>
      <c r="AM208" s="23" t="s">
        <v>40</v>
      </c>
    </row>
    <row r="209" spans="1:39" x14ac:dyDescent="0.2">
      <c r="A209" t="s">
        <v>1460</v>
      </c>
      <c r="B209" t="b">
        <v>0</v>
      </c>
      <c r="C209" t="b">
        <v>0</v>
      </c>
      <c r="D209" t="b">
        <v>1</v>
      </c>
      <c r="E209" t="b">
        <v>0</v>
      </c>
      <c r="F209" t="b">
        <v>1</v>
      </c>
      <c r="G209" t="b">
        <v>0</v>
      </c>
      <c r="H209" t="s">
        <v>1461</v>
      </c>
      <c r="I209" t="s">
        <v>1460</v>
      </c>
      <c r="J209" t="s">
        <v>154</v>
      </c>
      <c r="K209" t="s">
        <v>1462</v>
      </c>
      <c r="M209" t="s">
        <v>1463</v>
      </c>
      <c r="N209" t="s">
        <v>1464</v>
      </c>
      <c r="O209" t="s">
        <v>252</v>
      </c>
      <c r="R209" s="1">
        <v>44468</v>
      </c>
      <c r="S209" s="1">
        <v>47933</v>
      </c>
      <c r="U209" t="s">
        <v>253</v>
      </c>
      <c r="V209" t="s">
        <v>254</v>
      </c>
      <c r="W209" t="s">
        <v>1465</v>
      </c>
      <c r="X209" t="s">
        <v>334</v>
      </c>
      <c r="Y209" t="s">
        <v>384</v>
      </c>
      <c r="Z209" s="32" t="s">
        <v>2737</v>
      </c>
      <c r="AA209" t="s">
        <v>1466</v>
      </c>
      <c r="AB209" s="23" t="str">
        <f t="shared" si="3"/>
        <v>2b5263d9a5ad4526a9d1719870519eec</v>
      </c>
      <c r="AC209" s="23"/>
      <c r="AD209" s="23"/>
      <c r="AE209" s="23"/>
      <c r="AF209" s="23"/>
      <c r="AG209" t="s">
        <v>386</v>
      </c>
      <c r="AH209">
        <v>1985525463369</v>
      </c>
      <c r="AI209" s="3" t="s">
        <v>1467</v>
      </c>
      <c r="AM209" s="23" t="s">
        <v>153</v>
      </c>
    </row>
    <row r="210" spans="1:39" s="9" customFormat="1" x14ac:dyDescent="0.2">
      <c r="A210" s="9" t="s">
        <v>1468</v>
      </c>
      <c r="B210" s="9" t="b">
        <v>1</v>
      </c>
      <c r="C210" s="9" t="b">
        <v>1</v>
      </c>
      <c r="D210" s="9" t="b">
        <v>1</v>
      </c>
      <c r="E210" s="9" t="b">
        <v>0</v>
      </c>
      <c r="F210" s="9" t="b">
        <v>0</v>
      </c>
      <c r="G210" s="9" t="b">
        <v>0</v>
      </c>
      <c r="H210" s="9" t="s">
        <v>1469</v>
      </c>
      <c r="I210" s="9" t="s">
        <v>1468</v>
      </c>
      <c r="J210" s="18" t="s">
        <v>172</v>
      </c>
      <c r="K210" s="9" t="s">
        <v>1470</v>
      </c>
      <c r="M210" s="9" t="s">
        <v>1471</v>
      </c>
      <c r="N210" s="9" t="s">
        <v>1472</v>
      </c>
      <c r="O210" s="9" t="s">
        <v>252</v>
      </c>
      <c r="R210" s="11">
        <v>44075</v>
      </c>
      <c r="S210" s="11">
        <v>48458</v>
      </c>
      <c r="U210" s="9" t="s">
        <v>575</v>
      </c>
      <c r="V210" s="9" t="s">
        <v>254</v>
      </c>
      <c r="W210" s="9" t="s">
        <v>1473</v>
      </c>
      <c r="X210" s="9" t="s">
        <v>256</v>
      </c>
      <c r="Y210" s="9" t="s">
        <v>343</v>
      </c>
      <c r="Z210" s="32" t="s">
        <v>1474</v>
      </c>
      <c r="AA210" s="9" t="s">
        <v>1475</v>
      </c>
      <c r="AB210" s="23" t="str">
        <f t="shared" si="3"/>
        <v>766cfab46e8a4f4c9ad6466bfd582707</v>
      </c>
      <c r="AC210" s="23"/>
      <c r="AD210" s="23"/>
      <c r="AE210" s="23"/>
      <c r="AF210" s="23"/>
      <c r="AG210" s="9" t="s">
        <v>270</v>
      </c>
      <c r="AH210" s="9">
        <v>705000000</v>
      </c>
      <c r="AI210" s="12" t="s">
        <v>1476</v>
      </c>
      <c r="AM210" s="22" t="s">
        <v>171</v>
      </c>
    </row>
    <row r="211" spans="1:39" x14ac:dyDescent="0.2">
      <c r="A211" t="s">
        <v>1477</v>
      </c>
      <c r="B211" t="b">
        <v>0</v>
      </c>
      <c r="C211" t="b">
        <v>0</v>
      </c>
      <c r="D211" t="b">
        <v>1</v>
      </c>
      <c r="E211" t="b">
        <v>0</v>
      </c>
      <c r="F211" t="b">
        <v>1</v>
      </c>
      <c r="G211" t="b">
        <v>0</v>
      </c>
      <c r="H211" t="s">
        <v>1478</v>
      </c>
      <c r="I211" t="s">
        <v>1477</v>
      </c>
      <c r="J211" t="s">
        <v>43</v>
      </c>
      <c r="N211" t="s">
        <v>1479</v>
      </c>
      <c r="O211" t="s">
        <v>252</v>
      </c>
      <c r="R211" s="1">
        <v>45246</v>
      </c>
      <c r="S211" s="1">
        <v>46523</v>
      </c>
      <c r="T211" s="2">
        <v>46059.656189479167</v>
      </c>
      <c r="U211" t="s">
        <v>253</v>
      </c>
      <c r="V211" t="s">
        <v>267</v>
      </c>
      <c r="W211" t="s">
        <v>319</v>
      </c>
      <c r="X211" t="s">
        <v>256</v>
      </c>
      <c r="Y211" t="s">
        <v>269</v>
      </c>
      <c r="Z211" s="32" t="s">
        <v>2755</v>
      </c>
      <c r="AA211" t="s">
        <v>320</v>
      </c>
      <c r="AB211" s="23" t="str">
        <f t="shared" si="3"/>
        <v>0861b552d06e4b9799ebc7a3b1aa7e2a</v>
      </c>
      <c r="AC211" s="23"/>
      <c r="AD211" s="23"/>
      <c r="AE211" s="23"/>
      <c r="AF211" s="23"/>
      <c r="AG211" t="s">
        <v>270</v>
      </c>
      <c r="AH211">
        <v>15196669</v>
      </c>
      <c r="AI211" s="3" t="s">
        <v>1480</v>
      </c>
      <c r="AM211" s="23" t="s">
        <v>40</v>
      </c>
    </row>
    <row r="212" spans="1:39" x14ac:dyDescent="0.2">
      <c r="A212" t="s">
        <v>1481</v>
      </c>
      <c r="B212" t="b">
        <v>1</v>
      </c>
      <c r="C212" t="b">
        <v>0</v>
      </c>
      <c r="D212" t="b">
        <v>1</v>
      </c>
      <c r="E212" t="b">
        <v>0</v>
      </c>
      <c r="F212" t="b">
        <v>0</v>
      </c>
      <c r="G212" t="s">
        <v>361</v>
      </c>
      <c r="H212" t="s">
        <v>1482</v>
      </c>
      <c r="I212" t="s">
        <v>1481</v>
      </c>
      <c r="J212" t="s">
        <v>1483</v>
      </c>
      <c r="M212" t="s">
        <v>1484</v>
      </c>
      <c r="N212" t="s">
        <v>1485</v>
      </c>
      <c r="O212" t="s">
        <v>252</v>
      </c>
      <c r="R212" s="1">
        <v>43286</v>
      </c>
      <c r="S212" s="1">
        <v>46871</v>
      </c>
      <c r="U212" t="s">
        <v>253</v>
      </c>
      <c r="V212" t="s">
        <v>254</v>
      </c>
      <c r="W212" t="s">
        <v>374</v>
      </c>
      <c r="X212" t="s">
        <v>256</v>
      </c>
      <c r="Y212" t="s">
        <v>257</v>
      </c>
      <c r="AA212" s="6" t="s">
        <v>375</v>
      </c>
      <c r="AB212" s="6" t="s">
        <v>376</v>
      </c>
      <c r="AC212" s="6"/>
      <c r="AD212" s="6"/>
      <c r="AE212" s="6"/>
      <c r="AF212" s="6"/>
      <c r="AG212" t="s">
        <v>260</v>
      </c>
      <c r="AH212">
        <v>14000000</v>
      </c>
      <c r="AI212" s="3" t="s">
        <v>1486</v>
      </c>
      <c r="AM212" s="6"/>
    </row>
    <row r="213" spans="1:39" x14ac:dyDescent="0.2">
      <c r="A213" t="s">
        <v>1487</v>
      </c>
      <c r="B213" t="b">
        <v>0</v>
      </c>
      <c r="C213" t="b">
        <v>0</v>
      </c>
      <c r="D213" t="b">
        <v>0</v>
      </c>
      <c r="E213" t="b">
        <v>0</v>
      </c>
      <c r="F213" t="b">
        <v>0</v>
      </c>
      <c r="G213" t="b">
        <v>1</v>
      </c>
      <c r="H213" t="s">
        <v>1488</v>
      </c>
      <c r="I213" t="s">
        <v>1487</v>
      </c>
      <c r="J213" t="s">
        <v>176</v>
      </c>
      <c r="K213" t="s">
        <v>1489</v>
      </c>
      <c r="L213" t="s">
        <v>1490</v>
      </c>
      <c r="N213" t="s">
        <v>1491</v>
      </c>
      <c r="O213" t="s">
        <v>252</v>
      </c>
      <c r="R213" s="1">
        <v>44224</v>
      </c>
      <c r="S213" s="1">
        <v>46780</v>
      </c>
      <c r="T213" s="2">
        <v>45149.560605729166</v>
      </c>
      <c r="U213" t="s">
        <v>253</v>
      </c>
      <c r="V213" t="s">
        <v>295</v>
      </c>
      <c r="W213" t="s">
        <v>1492</v>
      </c>
      <c r="X213" t="s">
        <v>256</v>
      </c>
      <c r="Y213" t="s">
        <v>257</v>
      </c>
      <c r="AA213" t="s">
        <v>1493</v>
      </c>
      <c r="AB213" s="23" t="str">
        <f>AM213</f>
        <v>3dacbafde8ad4f978ac7ddb77457ec42</v>
      </c>
      <c r="AC213" s="23"/>
      <c r="AD213" s="23"/>
      <c r="AE213" s="23"/>
      <c r="AF213" s="23"/>
      <c r="AG213" t="s">
        <v>270</v>
      </c>
      <c r="AH213">
        <v>750000000</v>
      </c>
      <c r="AI213" s="3" t="s">
        <v>1259</v>
      </c>
      <c r="AM213" s="23" t="s">
        <v>175</v>
      </c>
    </row>
    <row r="214" spans="1:39" x14ac:dyDescent="0.2">
      <c r="A214" t="s">
        <v>1494</v>
      </c>
      <c r="B214" t="b">
        <v>1</v>
      </c>
      <c r="C214" t="b">
        <v>0</v>
      </c>
      <c r="D214" t="b">
        <v>1</v>
      </c>
      <c r="E214" t="s">
        <v>248</v>
      </c>
      <c r="F214" t="b">
        <v>0</v>
      </c>
      <c r="G214" t="b">
        <v>0</v>
      </c>
      <c r="H214" t="s">
        <v>1495</v>
      </c>
      <c r="I214" t="s">
        <v>1494</v>
      </c>
      <c r="J214" t="s">
        <v>1496</v>
      </c>
      <c r="N214" t="s">
        <v>1497</v>
      </c>
      <c r="O214" t="s">
        <v>252</v>
      </c>
      <c r="R214" s="1">
        <v>42901</v>
      </c>
      <c r="S214" s="1">
        <v>48014</v>
      </c>
      <c r="U214" t="s">
        <v>253</v>
      </c>
      <c r="V214" t="s">
        <v>254</v>
      </c>
      <c r="W214" t="s">
        <v>1498</v>
      </c>
      <c r="X214" t="s">
        <v>256</v>
      </c>
      <c r="Y214" t="s">
        <v>257</v>
      </c>
      <c r="AA214" s="6" t="s">
        <v>1499</v>
      </c>
      <c r="AB214" s="7" t="s">
        <v>1500</v>
      </c>
      <c r="AC214" s="7"/>
      <c r="AD214" s="7"/>
      <c r="AE214" s="7"/>
      <c r="AF214" s="7"/>
      <c r="AG214" t="s">
        <v>260</v>
      </c>
      <c r="AH214">
        <v>48000000</v>
      </c>
      <c r="AI214" s="3" t="s">
        <v>1501</v>
      </c>
      <c r="AM214" s="6"/>
    </row>
    <row r="215" spans="1:39" x14ac:dyDescent="0.2">
      <c r="A215" t="s">
        <v>1502</v>
      </c>
      <c r="B215" t="b">
        <v>0</v>
      </c>
      <c r="C215" t="b">
        <v>0</v>
      </c>
      <c r="D215" t="b">
        <v>1</v>
      </c>
      <c r="E215" t="b">
        <v>0</v>
      </c>
      <c r="F215" t="b">
        <v>1</v>
      </c>
      <c r="G215" t="b">
        <v>0</v>
      </c>
      <c r="H215" t="s">
        <v>1503</v>
      </c>
      <c r="I215" t="s">
        <v>1502</v>
      </c>
      <c r="J215" t="s">
        <v>90</v>
      </c>
      <c r="K215" t="s">
        <v>1504</v>
      </c>
      <c r="N215" t="s">
        <v>1505</v>
      </c>
      <c r="O215" t="s">
        <v>252</v>
      </c>
      <c r="P215" t="s">
        <v>465</v>
      </c>
      <c r="Q215" t="s">
        <v>466</v>
      </c>
      <c r="R215" s="1">
        <v>43789</v>
      </c>
      <c r="S215" s="1">
        <v>46346</v>
      </c>
      <c r="U215" t="s">
        <v>253</v>
      </c>
      <c r="V215" t="s">
        <v>254</v>
      </c>
      <c r="W215" t="s">
        <v>467</v>
      </c>
      <c r="X215" t="s">
        <v>305</v>
      </c>
      <c r="Y215" t="s">
        <v>306</v>
      </c>
      <c r="Z215" s="32" t="s">
        <v>651</v>
      </c>
      <c r="AA215" t="s">
        <v>468</v>
      </c>
      <c r="AB215" s="23" t="str">
        <f>AM215</f>
        <v>20ab6a5a7a89447fa8ffc6208696d342</v>
      </c>
      <c r="AC215" s="23"/>
      <c r="AD215" s="23"/>
      <c r="AE215" s="23"/>
      <c r="AF215" s="23"/>
      <c r="AG215" t="s">
        <v>830</v>
      </c>
      <c r="AH215">
        <v>750000000</v>
      </c>
      <c r="AI215" s="3" t="s">
        <v>1506</v>
      </c>
      <c r="AM215" s="23" t="s">
        <v>87</v>
      </c>
    </row>
    <row r="216" spans="1:39" s="14" customFormat="1" x14ac:dyDescent="0.2">
      <c r="A216" s="14" t="s">
        <v>1507</v>
      </c>
      <c r="B216" s="14" t="b">
        <v>1</v>
      </c>
      <c r="C216" s="14" t="b">
        <v>0</v>
      </c>
      <c r="D216" s="14" t="b">
        <v>1</v>
      </c>
      <c r="E216" s="14" t="s">
        <v>522</v>
      </c>
      <c r="F216" s="14" t="b">
        <v>0</v>
      </c>
      <c r="G216" s="14" t="b">
        <v>0</v>
      </c>
      <c r="H216" s="14" t="s">
        <v>1508</v>
      </c>
      <c r="I216" s="14" t="s">
        <v>1507</v>
      </c>
      <c r="J216" s="19" t="s">
        <v>100</v>
      </c>
      <c r="K216" s="14" t="s">
        <v>1509</v>
      </c>
      <c r="M216" s="14" t="s">
        <v>1510</v>
      </c>
      <c r="N216" s="14" t="s">
        <v>1511</v>
      </c>
      <c r="O216" s="14" t="s">
        <v>252</v>
      </c>
      <c r="R216" s="15">
        <v>44172</v>
      </c>
      <c r="S216" s="15">
        <v>52732</v>
      </c>
      <c r="U216" s="14" t="s">
        <v>441</v>
      </c>
      <c r="V216" s="14" t="s">
        <v>267</v>
      </c>
      <c r="W216" s="14" t="s">
        <v>1042</v>
      </c>
      <c r="X216" s="14" t="s">
        <v>256</v>
      </c>
      <c r="Y216" s="14" t="s">
        <v>257</v>
      </c>
      <c r="Z216" s="35" t="s">
        <v>1398</v>
      </c>
      <c r="AA216" s="14" t="s">
        <v>1399</v>
      </c>
      <c r="AB216" s="23" t="str">
        <f>AM216</f>
        <v>e791ce8ea3eb4c6897df799280b78881</v>
      </c>
      <c r="AC216" s="23"/>
      <c r="AD216" s="23"/>
      <c r="AE216" s="23"/>
      <c r="AF216" s="23"/>
      <c r="AG216" s="14" t="s">
        <v>260</v>
      </c>
      <c r="AH216" s="14">
        <v>800000000</v>
      </c>
      <c r="AI216" s="16" t="s">
        <v>1512</v>
      </c>
      <c r="AM216" s="24" t="s">
        <v>99</v>
      </c>
    </row>
    <row r="217" spans="1:39" x14ac:dyDescent="0.2">
      <c r="A217" t="s">
        <v>1513</v>
      </c>
      <c r="B217" t="b">
        <v>1</v>
      </c>
      <c r="C217" t="b">
        <v>0</v>
      </c>
      <c r="D217" t="b">
        <v>1</v>
      </c>
      <c r="E217" t="s">
        <v>522</v>
      </c>
      <c r="F217" t="b">
        <v>0</v>
      </c>
      <c r="G217" t="b">
        <v>0</v>
      </c>
      <c r="H217" t="s">
        <v>1514</v>
      </c>
      <c r="I217" t="s">
        <v>1513</v>
      </c>
      <c r="J217" s="20" t="s">
        <v>164</v>
      </c>
      <c r="K217" t="s">
        <v>1515</v>
      </c>
      <c r="N217" t="s">
        <v>1516</v>
      </c>
      <c r="O217" t="s">
        <v>252</v>
      </c>
      <c r="R217" s="1">
        <v>43581</v>
      </c>
      <c r="S217" s="1">
        <v>44677</v>
      </c>
      <c r="U217" t="s">
        <v>253</v>
      </c>
      <c r="V217" t="s">
        <v>254</v>
      </c>
      <c r="W217" t="s">
        <v>1517</v>
      </c>
      <c r="X217" t="s">
        <v>305</v>
      </c>
      <c r="Y217" t="s">
        <v>808</v>
      </c>
      <c r="Z217" s="35" t="s">
        <v>1518</v>
      </c>
      <c r="AA217" t="s">
        <v>1519</v>
      </c>
      <c r="AB217" s="23" t="str">
        <f>AM217</f>
        <v>04e21c087086494eb8ed28a377b70eee</v>
      </c>
      <c r="AC217" s="23"/>
      <c r="AD217" s="23"/>
      <c r="AE217" s="23"/>
      <c r="AF217" s="23"/>
      <c r="AG217" t="s">
        <v>811</v>
      </c>
      <c r="AH217">
        <v>100000000</v>
      </c>
      <c r="AI217" s="3" t="s">
        <v>1520</v>
      </c>
      <c r="AM217" s="23" t="s">
        <v>163</v>
      </c>
    </row>
    <row r="218" spans="1:39" x14ac:dyDescent="0.2">
      <c r="A218" t="s">
        <v>1521</v>
      </c>
      <c r="B218" t="b">
        <v>0</v>
      </c>
      <c r="C218" t="b">
        <v>0</v>
      </c>
      <c r="D218" t="b">
        <v>1</v>
      </c>
      <c r="E218" t="b">
        <v>0</v>
      </c>
      <c r="F218" t="b">
        <v>1</v>
      </c>
      <c r="G218" t="s">
        <v>361</v>
      </c>
      <c r="H218" t="s">
        <v>1522</v>
      </c>
      <c r="I218" t="s">
        <v>1521</v>
      </c>
      <c r="M218" t="s">
        <v>1523</v>
      </c>
      <c r="N218" t="s">
        <v>1523</v>
      </c>
      <c r="O218" t="s">
        <v>252</v>
      </c>
      <c r="P218" t="s">
        <v>397</v>
      </c>
      <c r="Q218" t="s">
        <v>398</v>
      </c>
      <c r="R218" s="1">
        <v>43799</v>
      </c>
      <c r="S218" s="1">
        <v>45260</v>
      </c>
      <c r="U218" t="s">
        <v>253</v>
      </c>
      <c r="V218" t="s">
        <v>254</v>
      </c>
      <c r="W218" t="s">
        <v>399</v>
      </c>
      <c r="X218" t="s">
        <v>256</v>
      </c>
      <c r="Y218" t="s">
        <v>400</v>
      </c>
      <c r="AG218" t="s">
        <v>401</v>
      </c>
      <c r="AH218">
        <v>4500000</v>
      </c>
      <c r="AI218" s="3" t="s">
        <v>1524</v>
      </c>
    </row>
    <row r="219" spans="1:39" s="9" customFormat="1" x14ac:dyDescent="0.2">
      <c r="A219" s="9" t="s">
        <v>1525</v>
      </c>
      <c r="B219" s="9" t="b">
        <v>1</v>
      </c>
      <c r="C219" s="9" t="b">
        <v>1</v>
      </c>
      <c r="D219" s="9" t="b">
        <v>1</v>
      </c>
      <c r="E219" s="9" t="b">
        <v>0</v>
      </c>
      <c r="F219" s="9" t="b">
        <v>0</v>
      </c>
      <c r="G219" s="9" t="b">
        <v>0</v>
      </c>
      <c r="H219" s="9" t="s">
        <v>1526</v>
      </c>
      <c r="I219" s="9" t="s">
        <v>1525</v>
      </c>
      <c r="J219" s="10" t="s">
        <v>182</v>
      </c>
      <c r="N219" s="9" t="s">
        <v>1527</v>
      </c>
      <c r="O219" s="9" t="s">
        <v>252</v>
      </c>
      <c r="R219" s="11">
        <v>43755</v>
      </c>
      <c r="S219" s="11">
        <v>45566</v>
      </c>
      <c r="U219" s="9" t="s">
        <v>285</v>
      </c>
      <c r="V219" s="9" t="s">
        <v>254</v>
      </c>
      <c r="W219" s="9" t="s">
        <v>1528</v>
      </c>
      <c r="X219" s="9" t="s">
        <v>256</v>
      </c>
      <c r="Y219" s="9" t="s">
        <v>287</v>
      </c>
      <c r="Z219" s="32" t="s">
        <v>1529</v>
      </c>
      <c r="AA219" s="9" t="s">
        <v>1530</v>
      </c>
      <c r="AB219" s="23" t="str">
        <f>AM219</f>
        <v>b64652431f724d2f81550871f0d9a6e1</v>
      </c>
      <c r="AC219" s="23"/>
      <c r="AD219" s="23"/>
      <c r="AE219" s="23"/>
      <c r="AF219" s="23"/>
      <c r="AG219" s="9" t="s">
        <v>290</v>
      </c>
      <c r="AH219" s="9">
        <v>1500000</v>
      </c>
      <c r="AI219" s="12" t="s">
        <v>1531</v>
      </c>
      <c r="AM219" s="22" t="s">
        <v>181</v>
      </c>
    </row>
    <row r="220" spans="1:39" x14ac:dyDescent="0.2">
      <c r="A220" t="s">
        <v>1532</v>
      </c>
      <c r="B220" t="b">
        <v>0</v>
      </c>
      <c r="C220" t="b">
        <v>0</v>
      </c>
      <c r="D220" t="b">
        <v>1</v>
      </c>
      <c r="E220" t="b">
        <v>0</v>
      </c>
      <c r="F220" t="b">
        <v>1</v>
      </c>
      <c r="G220" t="s">
        <v>361</v>
      </c>
      <c r="H220" t="s">
        <v>1533</v>
      </c>
      <c r="I220" t="s">
        <v>1532</v>
      </c>
      <c r="J220" t="s">
        <v>1534</v>
      </c>
      <c r="M220" t="s">
        <v>1535</v>
      </c>
      <c r="N220" t="s">
        <v>1536</v>
      </c>
      <c r="O220" t="s">
        <v>252</v>
      </c>
      <c r="R220" s="1">
        <v>44614</v>
      </c>
      <c r="S220" s="1">
        <v>50055</v>
      </c>
      <c r="U220" t="s">
        <v>253</v>
      </c>
      <c r="V220" t="s">
        <v>254</v>
      </c>
      <c r="W220" t="s">
        <v>666</v>
      </c>
      <c r="X220" t="s">
        <v>256</v>
      </c>
      <c r="Y220" t="s">
        <v>257</v>
      </c>
      <c r="AG220" t="s">
        <v>260</v>
      </c>
      <c r="AH220">
        <v>492884000</v>
      </c>
      <c r="AI220" s="3" t="s">
        <v>1537</v>
      </c>
    </row>
    <row r="221" spans="1:39" x14ac:dyDescent="0.2">
      <c r="A221" t="s">
        <v>1538</v>
      </c>
      <c r="B221" t="b">
        <v>0</v>
      </c>
      <c r="C221" t="b">
        <v>0</v>
      </c>
      <c r="D221" t="b">
        <v>1</v>
      </c>
      <c r="E221" t="b">
        <v>0</v>
      </c>
      <c r="F221" t="b">
        <v>1</v>
      </c>
      <c r="G221" t="b">
        <v>0</v>
      </c>
      <c r="H221" t="s">
        <v>1539</v>
      </c>
      <c r="I221" t="s">
        <v>1538</v>
      </c>
      <c r="J221" t="s">
        <v>8</v>
      </c>
      <c r="N221" t="s">
        <v>1540</v>
      </c>
      <c r="O221" t="s">
        <v>252</v>
      </c>
      <c r="P221" t="s">
        <v>275</v>
      </c>
      <c r="Q221" t="s">
        <v>276</v>
      </c>
      <c r="R221" s="1">
        <v>43887</v>
      </c>
      <c r="S221" s="1">
        <v>44985</v>
      </c>
      <c r="T221" s="2">
        <v>45960.665353252312</v>
      </c>
      <c r="U221" t="s">
        <v>253</v>
      </c>
      <c r="V221" t="s">
        <v>267</v>
      </c>
      <c r="W221" t="s">
        <v>277</v>
      </c>
      <c r="X221" t="s">
        <v>278</v>
      </c>
      <c r="Y221" t="s">
        <v>279</v>
      </c>
      <c r="Z221" s="32" t="s">
        <v>1072</v>
      </c>
      <c r="AA221" t="s">
        <v>280</v>
      </c>
      <c r="AB221" s="23" t="str">
        <f t="shared" ref="AB221:AB226" si="4">AM221</f>
        <v>4d55cd98379640de90be2eb2fa9aba1f</v>
      </c>
      <c r="AC221" s="23"/>
      <c r="AD221" s="23"/>
      <c r="AE221" s="23"/>
      <c r="AF221" s="23"/>
      <c r="AG221" t="s">
        <v>270</v>
      </c>
      <c r="AH221">
        <v>1000000</v>
      </c>
      <c r="AI221" s="3" t="s">
        <v>765</v>
      </c>
      <c r="AM221" s="23" t="s">
        <v>2</v>
      </c>
    </row>
    <row r="222" spans="1:39" x14ac:dyDescent="0.2">
      <c r="A222" t="s">
        <v>1541</v>
      </c>
      <c r="B222" t="b">
        <v>0</v>
      </c>
      <c r="C222" t="b">
        <v>0</v>
      </c>
      <c r="D222" t="b">
        <v>1</v>
      </c>
      <c r="E222" t="b">
        <v>0</v>
      </c>
      <c r="F222" t="b">
        <v>1</v>
      </c>
      <c r="G222" t="b">
        <v>0</v>
      </c>
      <c r="H222" t="s">
        <v>1542</v>
      </c>
      <c r="I222" t="s">
        <v>1541</v>
      </c>
      <c r="M222" t="s">
        <v>1543</v>
      </c>
      <c r="N222" t="s">
        <v>1544</v>
      </c>
      <c r="O222" t="s">
        <v>252</v>
      </c>
      <c r="P222" t="s">
        <v>1277</v>
      </c>
      <c r="Q222" t="s">
        <v>1278</v>
      </c>
      <c r="R222" s="1">
        <v>45280</v>
      </c>
      <c r="S222" s="1">
        <v>47080</v>
      </c>
      <c r="T222" s="2">
        <v>45369.549036342592</v>
      </c>
      <c r="U222" t="s">
        <v>253</v>
      </c>
      <c r="V222" t="s">
        <v>267</v>
      </c>
      <c r="W222" t="s">
        <v>1279</v>
      </c>
      <c r="X222" t="s">
        <v>305</v>
      </c>
      <c r="Y222" t="s">
        <v>1280</v>
      </c>
      <c r="Z222" s="32" t="s">
        <v>2739</v>
      </c>
      <c r="AA222" t="s">
        <v>1281</v>
      </c>
      <c r="AB222" s="23" t="str">
        <f t="shared" si="4"/>
        <v>d6700b8c707544c78fa5f4e5a0b6c1e4</v>
      </c>
      <c r="AC222" s="23"/>
      <c r="AD222" s="23"/>
      <c r="AE222" s="23"/>
      <c r="AF222" s="23"/>
      <c r="AG222" t="s">
        <v>1282</v>
      </c>
      <c r="AH222">
        <v>30870000</v>
      </c>
      <c r="AI222" s="3" t="s">
        <v>1545</v>
      </c>
      <c r="AM222" s="23" t="s">
        <v>209</v>
      </c>
    </row>
    <row r="223" spans="1:39" x14ac:dyDescent="0.2">
      <c r="A223" t="s">
        <v>1546</v>
      </c>
      <c r="B223" t="b">
        <v>0</v>
      </c>
      <c r="C223" t="b">
        <v>0</v>
      </c>
      <c r="D223" t="b">
        <v>1</v>
      </c>
      <c r="E223" t="b">
        <v>0</v>
      </c>
      <c r="F223" t="b">
        <v>1</v>
      </c>
      <c r="G223" t="b">
        <v>0</v>
      </c>
      <c r="H223" t="s">
        <v>1547</v>
      </c>
      <c r="I223" t="s">
        <v>1546</v>
      </c>
      <c r="J223" t="s">
        <v>162</v>
      </c>
      <c r="N223" t="s">
        <v>1548</v>
      </c>
      <c r="O223" t="s">
        <v>252</v>
      </c>
      <c r="R223" s="1">
        <v>44508</v>
      </c>
      <c r="S223" s="1">
        <v>46989</v>
      </c>
      <c r="T223" s="2">
        <v>46163.839127488427</v>
      </c>
      <c r="U223" t="s">
        <v>253</v>
      </c>
      <c r="V223" t="s">
        <v>267</v>
      </c>
      <c r="W223" t="s">
        <v>1549</v>
      </c>
      <c r="X223" t="s">
        <v>256</v>
      </c>
      <c r="Y223" t="s">
        <v>351</v>
      </c>
      <c r="Z223" s="32" t="s">
        <v>2747</v>
      </c>
      <c r="AA223" t="s">
        <v>1550</v>
      </c>
      <c r="AB223" s="23" t="str">
        <f t="shared" si="4"/>
        <v>540e3b9e7ad24ec29091bc6c98dbbc0a</v>
      </c>
      <c r="AC223" s="23"/>
      <c r="AD223" s="23"/>
      <c r="AE223" s="23"/>
      <c r="AF223" s="23"/>
      <c r="AG223" t="s">
        <v>647</v>
      </c>
      <c r="AH223">
        <v>14443000000</v>
      </c>
      <c r="AI223" s="3" t="s">
        <v>1551</v>
      </c>
      <c r="AM223" s="23" t="s">
        <v>161</v>
      </c>
    </row>
    <row r="224" spans="1:39" s="14" customFormat="1" x14ac:dyDescent="0.2">
      <c r="A224" s="14" t="s">
        <v>1552</v>
      </c>
      <c r="B224" s="14" t="b">
        <v>1</v>
      </c>
      <c r="C224" s="14" t="b">
        <v>0</v>
      </c>
      <c r="D224" s="14" t="b">
        <v>1</v>
      </c>
      <c r="E224" s="14" t="s">
        <v>522</v>
      </c>
      <c r="F224" s="14" t="b">
        <v>0</v>
      </c>
      <c r="G224" s="14" t="b">
        <v>0</v>
      </c>
      <c r="H224" s="14" t="s">
        <v>1553</v>
      </c>
      <c r="I224" s="14" t="s">
        <v>1552</v>
      </c>
      <c r="J224" s="17"/>
      <c r="M224" s="20" t="s">
        <v>1554</v>
      </c>
      <c r="N224" s="14" t="s">
        <v>1555</v>
      </c>
      <c r="O224" s="14" t="s">
        <v>252</v>
      </c>
      <c r="R224" s="15">
        <v>44427</v>
      </c>
      <c r="S224" s="15">
        <v>49552</v>
      </c>
      <c r="U224" s="14" t="s">
        <v>253</v>
      </c>
      <c r="V224" s="14" t="s">
        <v>254</v>
      </c>
      <c r="W224" s="14" t="s">
        <v>1030</v>
      </c>
      <c r="X224" s="14" t="s">
        <v>256</v>
      </c>
      <c r="Y224" s="14" t="s">
        <v>257</v>
      </c>
      <c r="Z224" s="35" t="s">
        <v>1556</v>
      </c>
      <c r="AA224" s="14" t="s">
        <v>1557</v>
      </c>
      <c r="AB224" s="23" t="str">
        <f t="shared" si="4"/>
        <v>d583c1a1b1f2463ebec5379b3985a990</v>
      </c>
      <c r="AC224" s="23"/>
      <c r="AD224" s="23"/>
      <c r="AE224" s="23"/>
      <c r="AF224" s="23"/>
      <c r="AG224" s="14" t="s">
        <v>260</v>
      </c>
      <c r="AH224" s="14">
        <v>82850000</v>
      </c>
      <c r="AI224" s="16" t="s">
        <v>1558</v>
      </c>
      <c r="AM224" s="24" t="s">
        <v>207</v>
      </c>
    </row>
    <row r="225" spans="1:39" x14ac:dyDescent="0.2">
      <c r="A225" t="s">
        <v>696</v>
      </c>
      <c r="B225" t="b">
        <v>0</v>
      </c>
      <c r="C225" t="b">
        <v>0</v>
      </c>
      <c r="D225" t="b">
        <v>0</v>
      </c>
      <c r="E225" t="b">
        <v>0</v>
      </c>
      <c r="F225" t="b">
        <v>0</v>
      </c>
      <c r="G225" t="b">
        <v>1</v>
      </c>
      <c r="H225" t="s">
        <v>697</v>
      </c>
      <c r="I225" t="s">
        <v>696</v>
      </c>
      <c r="M225" t="s">
        <v>1559</v>
      </c>
      <c r="N225" t="s">
        <v>1560</v>
      </c>
      <c r="O225" t="s">
        <v>382</v>
      </c>
      <c r="S225" s="1">
        <v>48138</v>
      </c>
      <c r="T225" s="2">
        <v>44937.850349166663</v>
      </c>
      <c r="U225" t="s">
        <v>253</v>
      </c>
      <c r="V225" t="s">
        <v>295</v>
      </c>
      <c r="W225" t="s">
        <v>342</v>
      </c>
      <c r="X225" t="s">
        <v>305</v>
      </c>
      <c r="Y225" t="s">
        <v>343</v>
      </c>
      <c r="AA225" t="s">
        <v>344</v>
      </c>
      <c r="AB225" s="23" t="str">
        <f t="shared" si="4"/>
        <v>41f78746078d444787f9a1f78b30153c</v>
      </c>
      <c r="AC225" s="23"/>
      <c r="AD225" s="23"/>
      <c r="AE225" s="23"/>
      <c r="AF225" s="23"/>
      <c r="AG225" t="s">
        <v>345</v>
      </c>
      <c r="AM225" s="23" t="s">
        <v>27</v>
      </c>
    </row>
    <row r="226" spans="1:39" x14ac:dyDescent="0.2">
      <c r="A226" t="s">
        <v>1561</v>
      </c>
      <c r="B226" t="b">
        <v>0</v>
      </c>
      <c r="C226" t="b">
        <v>0</v>
      </c>
      <c r="D226" t="b">
        <v>1</v>
      </c>
      <c r="E226" t="b">
        <v>0</v>
      </c>
      <c r="F226" t="b">
        <v>1</v>
      </c>
      <c r="G226" t="b">
        <v>0</v>
      </c>
      <c r="H226" t="s">
        <v>1562</v>
      </c>
      <c r="I226" t="s">
        <v>1561</v>
      </c>
      <c r="J226" t="s">
        <v>24</v>
      </c>
      <c r="K226" t="s">
        <v>1563</v>
      </c>
      <c r="N226" t="s">
        <v>1564</v>
      </c>
      <c r="O226" t="s">
        <v>252</v>
      </c>
      <c r="P226" t="s">
        <v>275</v>
      </c>
      <c r="Q226" t="s">
        <v>276</v>
      </c>
      <c r="R226" s="1">
        <v>45572</v>
      </c>
      <c r="S226" s="1">
        <v>46667</v>
      </c>
      <c r="T226" s="2">
        <v>45960.676731828702</v>
      </c>
      <c r="U226" t="s">
        <v>253</v>
      </c>
      <c r="V226" t="s">
        <v>267</v>
      </c>
      <c r="W226" t="s">
        <v>277</v>
      </c>
      <c r="X226" t="s">
        <v>278</v>
      </c>
      <c r="Y226" t="s">
        <v>279</v>
      </c>
      <c r="Z226" s="32" t="s">
        <v>1072</v>
      </c>
      <c r="AA226" t="s">
        <v>280</v>
      </c>
      <c r="AB226" s="23" t="str">
        <f t="shared" si="4"/>
        <v>4d55cd98379640de90be2eb2fa9aba1f</v>
      </c>
      <c r="AC226" s="23"/>
      <c r="AD226" s="23"/>
      <c r="AE226" s="23"/>
      <c r="AF226" s="23"/>
      <c r="AG226" t="s">
        <v>270</v>
      </c>
      <c r="AH226">
        <v>2000000</v>
      </c>
      <c r="AI226" s="3" t="s">
        <v>281</v>
      </c>
      <c r="AM226" s="23" t="s">
        <v>2</v>
      </c>
    </row>
    <row r="227" spans="1:39" x14ac:dyDescent="0.2">
      <c r="A227" t="s">
        <v>1565</v>
      </c>
      <c r="B227" t="b">
        <v>0</v>
      </c>
      <c r="C227" t="b">
        <v>0</v>
      </c>
      <c r="D227" t="b">
        <v>1</v>
      </c>
      <c r="E227" t="b">
        <v>0</v>
      </c>
      <c r="F227" t="b">
        <v>1</v>
      </c>
      <c r="G227" t="s">
        <v>361</v>
      </c>
      <c r="H227" t="s">
        <v>1566</v>
      </c>
      <c r="I227" t="s">
        <v>1565</v>
      </c>
      <c r="J227" t="s">
        <v>1567</v>
      </c>
      <c r="N227" t="s">
        <v>1568</v>
      </c>
      <c r="O227" t="s">
        <v>252</v>
      </c>
      <c r="P227" t="s">
        <v>896</v>
      </c>
      <c r="Q227" t="s">
        <v>897</v>
      </c>
      <c r="R227" s="1">
        <v>44298</v>
      </c>
      <c r="S227" s="1">
        <v>45986</v>
      </c>
      <c r="T227" s="2">
        <v>44946.54771327546</v>
      </c>
      <c r="U227" t="s">
        <v>253</v>
      </c>
      <c r="V227" t="s">
        <v>267</v>
      </c>
      <c r="W227" t="s">
        <v>900</v>
      </c>
      <c r="X227" t="s">
        <v>256</v>
      </c>
      <c r="Y227" t="s">
        <v>257</v>
      </c>
      <c r="AG227" t="s">
        <v>260</v>
      </c>
      <c r="AH227">
        <v>35000000</v>
      </c>
      <c r="AI227" s="3" t="s">
        <v>1569</v>
      </c>
    </row>
    <row r="228" spans="1:39" x14ac:dyDescent="0.2">
      <c r="A228" t="s">
        <v>1570</v>
      </c>
      <c r="B228" t="b">
        <v>0</v>
      </c>
      <c r="C228" t="b">
        <v>0</v>
      </c>
      <c r="D228" t="b">
        <v>0</v>
      </c>
      <c r="E228" t="b">
        <v>0</v>
      </c>
      <c r="F228" t="b">
        <v>0</v>
      </c>
      <c r="G228" t="b">
        <v>1</v>
      </c>
      <c r="H228" t="s">
        <v>1571</v>
      </c>
      <c r="I228" t="s">
        <v>1570</v>
      </c>
      <c r="J228" t="s">
        <v>97</v>
      </c>
      <c r="N228" t="s">
        <v>1572</v>
      </c>
      <c r="O228" t="s">
        <v>252</v>
      </c>
      <c r="P228" t="s">
        <v>859</v>
      </c>
      <c r="Q228" t="s">
        <v>860</v>
      </c>
      <c r="R228" s="1">
        <v>44462</v>
      </c>
      <c r="S228" s="1">
        <v>46288</v>
      </c>
      <c r="T228" s="2">
        <v>45149.69504712963</v>
      </c>
      <c r="U228" t="s">
        <v>253</v>
      </c>
      <c r="V228" t="s">
        <v>295</v>
      </c>
      <c r="W228" t="s">
        <v>861</v>
      </c>
      <c r="X228" t="s">
        <v>278</v>
      </c>
      <c r="Y228" t="s">
        <v>351</v>
      </c>
      <c r="AA228" t="s">
        <v>862</v>
      </c>
      <c r="AB228" s="23" t="str">
        <f>AM228</f>
        <v>538769c825394307acb906d53afb2664</v>
      </c>
      <c r="AC228" s="23"/>
      <c r="AD228" s="23"/>
      <c r="AE228" s="23"/>
      <c r="AF228" s="23"/>
      <c r="AG228" t="s">
        <v>270</v>
      </c>
      <c r="AH228">
        <v>10000000</v>
      </c>
      <c r="AI228" s="3" t="s">
        <v>863</v>
      </c>
      <c r="AM228" s="23" t="s">
        <v>95</v>
      </c>
    </row>
    <row r="229" spans="1:39" x14ac:dyDescent="0.2">
      <c r="A229" t="s">
        <v>1573</v>
      </c>
      <c r="B229" t="b">
        <v>1</v>
      </c>
      <c r="C229" t="b">
        <v>0</v>
      </c>
      <c r="D229" t="b">
        <v>1</v>
      </c>
      <c r="E229" t="s">
        <v>248</v>
      </c>
      <c r="F229" t="b">
        <v>0</v>
      </c>
      <c r="G229" t="b">
        <v>0</v>
      </c>
      <c r="H229" t="s">
        <v>1574</v>
      </c>
      <c r="I229" t="s">
        <v>1573</v>
      </c>
      <c r="J229" t="s">
        <v>1575</v>
      </c>
      <c r="M229" t="s">
        <v>1576</v>
      </c>
      <c r="N229" t="s">
        <v>1577</v>
      </c>
      <c r="O229" t="s">
        <v>252</v>
      </c>
      <c r="R229" s="1">
        <v>44076</v>
      </c>
      <c r="S229" s="1">
        <v>44441</v>
      </c>
      <c r="U229" t="s">
        <v>743</v>
      </c>
      <c r="V229" t="s">
        <v>254</v>
      </c>
      <c r="W229" t="s">
        <v>1578</v>
      </c>
      <c r="X229" t="s">
        <v>256</v>
      </c>
      <c r="Y229" t="s">
        <v>269</v>
      </c>
      <c r="AA229" t="s">
        <v>1579</v>
      </c>
      <c r="AB229" s="7" t="s">
        <v>1580</v>
      </c>
      <c r="AC229" s="7"/>
      <c r="AD229" s="7"/>
      <c r="AE229" s="7"/>
      <c r="AF229" s="7"/>
      <c r="AG229" t="s">
        <v>488</v>
      </c>
      <c r="AH229">
        <v>1109925000</v>
      </c>
      <c r="AI229" s="3" t="s">
        <v>1197</v>
      </c>
    </row>
    <row r="230" spans="1:39" x14ac:dyDescent="0.2">
      <c r="A230" t="s">
        <v>1581</v>
      </c>
      <c r="B230" t="b">
        <v>0</v>
      </c>
      <c r="C230" t="b">
        <v>0</v>
      </c>
      <c r="D230" t="b">
        <v>0</v>
      </c>
      <c r="E230" t="b">
        <v>0</v>
      </c>
      <c r="F230" t="b">
        <v>0</v>
      </c>
      <c r="G230" t="b">
        <v>1</v>
      </c>
      <c r="H230" t="s">
        <v>1582</v>
      </c>
      <c r="I230" t="s">
        <v>1581</v>
      </c>
      <c r="J230" t="s">
        <v>55</v>
      </c>
      <c r="K230" t="s">
        <v>1583</v>
      </c>
      <c r="N230" t="s">
        <v>1584</v>
      </c>
      <c r="O230" t="s">
        <v>252</v>
      </c>
      <c r="P230" t="s">
        <v>331</v>
      </c>
      <c r="Q230" t="s">
        <v>332</v>
      </c>
      <c r="R230" s="1">
        <v>44592</v>
      </c>
      <c r="S230" s="1">
        <v>55549</v>
      </c>
      <c r="T230" s="2">
        <v>44923.627622106484</v>
      </c>
      <c r="U230" t="s">
        <v>253</v>
      </c>
      <c r="V230" t="s">
        <v>295</v>
      </c>
      <c r="W230" t="s">
        <v>333</v>
      </c>
      <c r="X230" t="s">
        <v>334</v>
      </c>
      <c r="Y230" t="s">
        <v>287</v>
      </c>
      <c r="AA230" t="s">
        <v>335</v>
      </c>
      <c r="AB230" s="23" t="str">
        <f>AM230</f>
        <v>b25746bc73674469a979cd1218fc9355</v>
      </c>
      <c r="AC230" s="23"/>
      <c r="AD230" s="23"/>
      <c r="AE230" s="23"/>
      <c r="AF230" s="23"/>
      <c r="AG230" t="s">
        <v>270</v>
      </c>
      <c r="AH230">
        <v>1000000000</v>
      </c>
      <c r="AI230" s="3" t="s">
        <v>579</v>
      </c>
      <c r="AM230" s="23" t="s">
        <v>51</v>
      </c>
    </row>
    <row r="231" spans="1:39" x14ac:dyDescent="0.2">
      <c r="A231" t="s">
        <v>1585</v>
      </c>
      <c r="B231" t="b">
        <v>0</v>
      </c>
      <c r="C231" t="b">
        <v>0</v>
      </c>
      <c r="D231" t="b">
        <v>1</v>
      </c>
      <c r="E231" t="b">
        <v>0</v>
      </c>
      <c r="F231" t="b">
        <v>1</v>
      </c>
      <c r="G231" t="b">
        <v>0</v>
      </c>
      <c r="H231" t="s">
        <v>1586</v>
      </c>
      <c r="I231" t="s">
        <v>1585</v>
      </c>
      <c r="J231" t="s">
        <v>46</v>
      </c>
      <c r="N231" t="s">
        <v>1587</v>
      </c>
      <c r="O231" t="s">
        <v>252</v>
      </c>
      <c r="R231" s="1">
        <v>44967</v>
      </c>
      <c r="S231" s="1">
        <v>48620</v>
      </c>
      <c r="T231" s="2">
        <v>46059.651967025464</v>
      </c>
      <c r="U231" t="s">
        <v>253</v>
      </c>
      <c r="V231" t="s">
        <v>267</v>
      </c>
      <c r="W231" t="s">
        <v>319</v>
      </c>
      <c r="X231" t="s">
        <v>256</v>
      </c>
      <c r="Y231" t="s">
        <v>269</v>
      </c>
      <c r="Z231" s="32" t="s">
        <v>2755</v>
      </c>
      <c r="AA231" t="s">
        <v>320</v>
      </c>
      <c r="AB231" s="23" t="str">
        <f>AM231</f>
        <v>0861b552d06e4b9799ebc7a3b1aa7e2a</v>
      </c>
      <c r="AC231" s="23"/>
      <c r="AD231" s="23"/>
      <c r="AE231" s="23"/>
      <c r="AF231" s="23"/>
      <c r="AG231" t="s">
        <v>270</v>
      </c>
      <c r="AH231">
        <v>73432000</v>
      </c>
      <c r="AI231" s="3" t="s">
        <v>1588</v>
      </c>
      <c r="AM231" s="23" t="s">
        <v>40</v>
      </c>
    </row>
    <row r="232" spans="1:39" x14ac:dyDescent="0.2">
      <c r="A232" t="s">
        <v>1589</v>
      </c>
      <c r="B232" t="b">
        <v>0</v>
      </c>
      <c r="C232" t="b">
        <v>0</v>
      </c>
      <c r="D232" t="b">
        <v>1</v>
      </c>
      <c r="E232" t="b">
        <v>0</v>
      </c>
      <c r="F232" t="b">
        <v>1</v>
      </c>
      <c r="G232" t="s">
        <v>361</v>
      </c>
      <c r="H232" t="s">
        <v>1590</v>
      </c>
      <c r="I232" t="s">
        <v>1589</v>
      </c>
      <c r="J232" t="s">
        <v>1591</v>
      </c>
      <c r="K232" t="s">
        <v>1592</v>
      </c>
      <c r="N232" t="s">
        <v>1593</v>
      </c>
      <c r="O232" t="s">
        <v>252</v>
      </c>
      <c r="R232" s="1">
        <v>44242</v>
      </c>
      <c r="S232" s="1">
        <v>47894</v>
      </c>
      <c r="U232" t="s">
        <v>253</v>
      </c>
      <c r="V232" t="s">
        <v>254</v>
      </c>
      <c r="W232" t="s">
        <v>1362</v>
      </c>
      <c r="X232" t="s">
        <v>256</v>
      </c>
      <c r="Y232" t="s">
        <v>257</v>
      </c>
      <c r="AG232" t="s">
        <v>260</v>
      </c>
      <c r="AH232">
        <v>335000000</v>
      </c>
      <c r="AI232" s="3" t="s">
        <v>1594</v>
      </c>
    </row>
    <row r="233" spans="1:39" x14ac:dyDescent="0.2">
      <c r="A233" t="s">
        <v>1595</v>
      </c>
      <c r="B233" t="b">
        <v>1</v>
      </c>
      <c r="C233" t="b">
        <v>0</v>
      </c>
      <c r="D233" t="b">
        <v>1</v>
      </c>
      <c r="E233" t="b">
        <v>0</v>
      </c>
      <c r="F233" t="b">
        <v>0</v>
      </c>
      <c r="G233" t="s">
        <v>361</v>
      </c>
      <c r="H233" t="s">
        <v>1596</v>
      </c>
      <c r="I233" t="s">
        <v>1595</v>
      </c>
      <c r="J233" t="s">
        <v>1597</v>
      </c>
      <c r="K233" t="s">
        <v>1598</v>
      </c>
      <c r="N233" t="s">
        <v>1599</v>
      </c>
      <c r="O233" t="s">
        <v>252</v>
      </c>
      <c r="R233" s="1">
        <v>44027</v>
      </c>
      <c r="S233" s="1">
        <v>49140</v>
      </c>
      <c r="T233" s="2">
        <v>44981.729049178241</v>
      </c>
      <c r="U233" t="s">
        <v>253</v>
      </c>
      <c r="V233" t="s">
        <v>254</v>
      </c>
      <c r="W233" t="s">
        <v>366</v>
      </c>
      <c r="X233" t="s">
        <v>256</v>
      </c>
      <c r="Y233" t="s">
        <v>257</v>
      </c>
      <c r="AA233" s="6" t="s">
        <v>367</v>
      </c>
      <c r="AG233" t="s">
        <v>260</v>
      </c>
      <c r="AH233">
        <v>620486000</v>
      </c>
      <c r="AI233" s="3" t="s">
        <v>1600</v>
      </c>
      <c r="AM233" s="6"/>
    </row>
    <row r="234" spans="1:39" x14ac:dyDescent="0.2">
      <c r="A234" t="s">
        <v>476</v>
      </c>
      <c r="B234" t="b">
        <v>0</v>
      </c>
      <c r="C234" t="b">
        <v>0</v>
      </c>
      <c r="D234" t="b">
        <v>1</v>
      </c>
      <c r="E234" t="b">
        <v>0</v>
      </c>
      <c r="F234" t="b">
        <v>1</v>
      </c>
      <c r="G234" t="b">
        <v>0</v>
      </c>
      <c r="H234" t="s">
        <v>477</v>
      </c>
      <c r="I234" t="s">
        <v>476</v>
      </c>
      <c r="J234" t="s">
        <v>104</v>
      </c>
      <c r="N234" t="s">
        <v>1601</v>
      </c>
      <c r="O234" t="s">
        <v>382</v>
      </c>
      <c r="S234" s="1">
        <v>49618</v>
      </c>
      <c r="T234" s="2">
        <v>46111.82235829861</v>
      </c>
      <c r="U234" t="s">
        <v>253</v>
      </c>
      <c r="V234" t="s">
        <v>267</v>
      </c>
      <c r="W234" t="s">
        <v>478</v>
      </c>
      <c r="X234" t="s">
        <v>479</v>
      </c>
      <c r="Y234" t="s">
        <v>384</v>
      </c>
      <c r="Z234" s="32" t="s">
        <v>2753</v>
      </c>
      <c r="AA234" t="s">
        <v>480</v>
      </c>
      <c r="AB234" s="23" t="str">
        <f>AM234</f>
        <v>79973950fccc4bf18841836cb416b80c</v>
      </c>
      <c r="AC234" s="23"/>
      <c r="AD234" s="23"/>
      <c r="AE234" s="23"/>
      <c r="AF234" s="23"/>
      <c r="AG234" t="s">
        <v>386</v>
      </c>
      <c r="AM234" s="23" t="s">
        <v>103</v>
      </c>
    </row>
    <row r="235" spans="1:39" x14ac:dyDescent="0.2">
      <c r="A235" t="s">
        <v>1602</v>
      </c>
      <c r="B235" t="b">
        <v>0</v>
      </c>
      <c r="C235" t="b">
        <v>0</v>
      </c>
      <c r="D235" t="b">
        <v>1</v>
      </c>
      <c r="E235" t="b">
        <v>0</v>
      </c>
      <c r="F235" t="b">
        <v>1</v>
      </c>
      <c r="G235" t="s">
        <v>361</v>
      </c>
      <c r="H235" t="s">
        <v>1603</v>
      </c>
      <c r="I235" t="s">
        <v>1602</v>
      </c>
      <c r="J235" t="s">
        <v>1604</v>
      </c>
      <c r="K235" t="s">
        <v>1605</v>
      </c>
      <c r="M235" t="s">
        <v>1606</v>
      </c>
      <c r="N235" t="s">
        <v>1607</v>
      </c>
      <c r="O235" t="s">
        <v>252</v>
      </c>
      <c r="R235" s="1">
        <v>43679</v>
      </c>
      <c r="S235" s="1">
        <v>45857</v>
      </c>
      <c r="T235" s="2">
        <v>44895.813733935189</v>
      </c>
      <c r="U235" t="s">
        <v>253</v>
      </c>
      <c r="V235" t="s">
        <v>267</v>
      </c>
      <c r="W235" t="s">
        <v>716</v>
      </c>
      <c r="X235" t="s">
        <v>256</v>
      </c>
      <c r="Y235" t="s">
        <v>257</v>
      </c>
      <c r="AG235" t="s">
        <v>260</v>
      </c>
      <c r="AH235">
        <v>505000000</v>
      </c>
      <c r="AI235" s="3" t="s">
        <v>1608</v>
      </c>
    </row>
    <row r="236" spans="1:39" x14ac:dyDescent="0.2">
      <c r="A236" t="s">
        <v>1609</v>
      </c>
      <c r="B236" t="b">
        <v>0</v>
      </c>
      <c r="C236" t="b">
        <v>0</v>
      </c>
      <c r="D236" t="b">
        <v>1</v>
      </c>
      <c r="E236" t="b">
        <v>0</v>
      </c>
      <c r="F236" t="b">
        <v>1</v>
      </c>
      <c r="G236" t="s">
        <v>361</v>
      </c>
      <c r="H236" t="s">
        <v>1610</v>
      </c>
      <c r="I236" t="s">
        <v>1609</v>
      </c>
      <c r="J236" t="s">
        <v>1611</v>
      </c>
      <c r="M236" t="s">
        <v>1612</v>
      </c>
      <c r="N236" t="s">
        <v>1613</v>
      </c>
      <c r="O236" t="s">
        <v>252</v>
      </c>
      <c r="R236" s="1">
        <v>44211</v>
      </c>
      <c r="S236" s="1">
        <v>48197</v>
      </c>
      <c r="U236" t="s">
        <v>253</v>
      </c>
      <c r="V236" t="s">
        <v>254</v>
      </c>
      <c r="W236" t="s">
        <v>1614</v>
      </c>
      <c r="X236" t="s">
        <v>256</v>
      </c>
      <c r="Y236" t="s">
        <v>257</v>
      </c>
      <c r="AG236" t="s">
        <v>260</v>
      </c>
      <c r="AH236">
        <v>1200000000</v>
      </c>
      <c r="AI236" s="3" t="s">
        <v>1615</v>
      </c>
    </row>
    <row r="237" spans="1:39" x14ac:dyDescent="0.2">
      <c r="A237" t="s">
        <v>1616</v>
      </c>
      <c r="B237" t="b">
        <v>0</v>
      </c>
      <c r="C237" t="b">
        <v>0</v>
      </c>
      <c r="D237" t="b">
        <v>1</v>
      </c>
      <c r="E237" t="b">
        <v>0</v>
      </c>
      <c r="F237" t="b">
        <v>1</v>
      </c>
      <c r="G237" t="s">
        <v>361</v>
      </c>
      <c r="H237" t="s">
        <v>1617</v>
      </c>
      <c r="I237" t="s">
        <v>1616</v>
      </c>
      <c r="J237" t="s">
        <v>1618</v>
      </c>
      <c r="N237" t="s">
        <v>1619</v>
      </c>
      <c r="O237" t="s">
        <v>252</v>
      </c>
      <c r="R237" s="1">
        <v>43878</v>
      </c>
      <c r="S237" s="1">
        <v>44244</v>
      </c>
      <c r="U237" t="s">
        <v>253</v>
      </c>
      <c r="V237" t="s">
        <v>267</v>
      </c>
      <c r="W237" t="s">
        <v>1620</v>
      </c>
      <c r="X237" t="s">
        <v>256</v>
      </c>
      <c r="Y237" t="s">
        <v>269</v>
      </c>
      <c r="AG237" t="s">
        <v>270</v>
      </c>
      <c r="AH237">
        <v>36962246</v>
      </c>
      <c r="AI237" s="3" t="s">
        <v>1621</v>
      </c>
    </row>
    <row r="238" spans="1:39" x14ac:dyDescent="0.2">
      <c r="A238" t="s">
        <v>1622</v>
      </c>
      <c r="B238" t="b">
        <v>0</v>
      </c>
      <c r="C238" t="b">
        <v>0</v>
      </c>
      <c r="D238" t="b">
        <v>1</v>
      </c>
      <c r="E238" t="b">
        <v>0</v>
      </c>
      <c r="F238" t="b">
        <v>1</v>
      </c>
      <c r="G238" t="s">
        <v>361</v>
      </c>
      <c r="H238" t="s">
        <v>1623</v>
      </c>
      <c r="I238" t="s">
        <v>1622</v>
      </c>
      <c r="J238" t="s">
        <v>1624</v>
      </c>
      <c r="N238" t="s">
        <v>1625</v>
      </c>
      <c r="O238" t="s">
        <v>252</v>
      </c>
      <c r="R238" s="1">
        <v>44523</v>
      </c>
      <c r="S238" s="1">
        <v>47073</v>
      </c>
      <c r="U238" t="s">
        <v>253</v>
      </c>
      <c r="V238" t="s">
        <v>254</v>
      </c>
      <c r="W238" t="s">
        <v>1626</v>
      </c>
      <c r="X238" t="s">
        <v>256</v>
      </c>
      <c r="Y238" t="s">
        <v>257</v>
      </c>
      <c r="AG238" t="s">
        <v>260</v>
      </c>
      <c r="AH238">
        <v>150000000</v>
      </c>
      <c r="AI238" s="3" t="s">
        <v>1627</v>
      </c>
    </row>
    <row r="239" spans="1:39" x14ac:dyDescent="0.2">
      <c r="A239" t="s">
        <v>1628</v>
      </c>
      <c r="B239" t="b">
        <v>0</v>
      </c>
      <c r="C239" t="b">
        <v>0</v>
      </c>
      <c r="D239" t="b">
        <v>1</v>
      </c>
      <c r="E239" t="b">
        <v>0</v>
      </c>
      <c r="F239" t="b">
        <v>1</v>
      </c>
      <c r="G239" t="s">
        <v>361</v>
      </c>
      <c r="H239" t="s">
        <v>1629</v>
      </c>
      <c r="I239" t="s">
        <v>1628</v>
      </c>
      <c r="M239" t="s">
        <v>1630</v>
      </c>
      <c r="N239" t="s">
        <v>1631</v>
      </c>
      <c r="O239" t="s">
        <v>252</v>
      </c>
      <c r="R239" s="1">
        <v>44419</v>
      </c>
      <c r="S239" s="1">
        <v>53036</v>
      </c>
      <c r="U239" t="s">
        <v>253</v>
      </c>
      <c r="V239" t="s">
        <v>267</v>
      </c>
      <c r="W239" t="s">
        <v>868</v>
      </c>
      <c r="X239" t="s">
        <v>256</v>
      </c>
      <c r="Y239" t="s">
        <v>869</v>
      </c>
      <c r="AG239" t="s">
        <v>270</v>
      </c>
      <c r="AH239">
        <v>55539288.960000001</v>
      </c>
      <c r="AI239" s="3" t="s">
        <v>1632</v>
      </c>
    </row>
    <row r="240" spans="1:39" x14ac:dyDescent="0.2">
      <c r="A240" t="s">
        <v>1633</v>
      </c>
      <c r="B240" t="b">
        <v>1</v>
      </c>
      <c r="C240" t="b">
        <v>0</v>
      </c>
      <c r="D240" t="b">
        <v>1</v>
      </c>
      <c r="E240" t="s">
        <v>522</v>
      </c>
      <c r="F240" t="b">
        <v>0</v>
      </c>
      <c r="G240" t="b">
        <v>0</v>
      </c>
      <c r="H240" t="s">
        <v>1634</v>
      </c>
      <c r="I240" t="s">
        <v>1633</v>
      </c>
      <c r="J240" s="20" t="s">
        <v>198</v>
      </c>
      <c r="L240" t="s">
        <v>1635</v>
      </c>
      <c r="N240" t="s">
        <v>1636</v>
      </c>
      <c r="O240" t="s">
        <v>252</v>
      </c>
      <c r="R240" s="1">
        <v>44098</v>
      </c>
      <c r="S240" s="1">
        <v>45924</v>
      </c>
      <c r="U240" t="s">
        <v>253</v>
      </c>
      <c r="V240" t="s">
        <v>254</v>
      </c>
      <c r="W240" t="s">
        <v>1637</v>
      </c>
      <c r="X240" t="s">
        <v>278</v>
      </c>
      <c r="Y240" t="s">
        <v>384</v>
      </c>
      <c r="Z240" s="35" t="s">
        <v>1638</v>
      </c>
      <c r="AA240" t="s">
        <v>1639</v>
      </c>
      <c r="AB240" s="23" t="str">
        <f>AM240</f>
        <v>f3dbd2a2f86048d3b238e68cedcb70fa</v>
      </c>
      <c r="AC240" s="23"/>
      <c r="AD240" s="23"/>
      <c r="AE240" s="23"/>
      <c r="AF240" s="23"/>
      <c r="AG240" t="s">
        <v>386</v>
      </c>
      <c r="AH240">
        <v>300000000000</v>
      </c>
      <c r="AI240" s="3" t="s">
        <v>1640</v>
      </c>
      <c r="AM240" s="23" t="s">
        <v>197</v>
      </c>
    </row>
    <row r="241" spans="1:42" x14ac:dyDescent="0.2">
      <c r="A241" t="s">
        <v>1641</v>
      </c>
      <c r="B241" t="b">
        <v>1</v>
      </c>
      <c r="C241" t="b">
        <v>0</v>
      </c>
      <c r="D241" t="b">
        <v>1</v>
      </c>
      <c r="E241" t="s">
        <v>248</v>
      </c>
      <c r="F241" t="b">
        <v>0</v>
      </c>
      <c r="G241" t="b">
        <v>0</v>
      </c>
      <c r="H241" t="s">
        <v>1642</v>
      </c>
      <c r="I241" t="s">
        <v>1641</v>
      </c>
      <c r="J241" t="s">
        <v>1643</v>
      </c>
      <c r="K241" t="s">
        <v>1644</v>
      </c>
      <c r="N241" t="s">
        <v>1645</v>
      </c>
      <c r="O241" t="s">
        <v>252</v>
      </c>
      <c r="R241" s="1">
        <v>44183</v>
      </c>
      <c r="S241" s="1">
        <v>50679</v>
      </c>
      <c r="U241" t="s">
        <v>253</v>
      </c>
      <c r="V241" t="s">
        <v>254</v>
      </c>
      <c r="W241" t="s">
        <v>1646</v>
      </c>
      <c r="X241" t="s">
        <v>256</v>
      </c>
      <c r="Y241" t="s">
        <v>279</v>
      </c>
      <c r="Z241" t="s">
        <v>1647</v>
      </c>
      <c r="AA241" s="7" t="s">
        <v>1648</v>
      </c>
      <c r="AB241" t="s">
        <v>1649</v>
      </c>
      <c r="AG241" t="s">
        <v>270</v>
      </c>
      <c r="AH241">
        <v>262664000</v>
      </c>
      <c r="AI241" s="3" t="s">
        <v>1650</v>
      </c>
      <c r="AM241" s="7"/>
    </row>
    <row r="242" spans="1:42" x14ac:dyDescent="0.2">
      <c r="A242" t="s">
        <v>1651</v>
      </c>
      <c r="B242" t="b">
        <v>0</v>
      </c>
      <c r="C242" t="b">
        <v>0</v>
      </c>
      <c r="D242" t="b">
        <v>1</v>
      </c>
      <c r="E242" t="b">
        <v>0</v>
      </c>
      <c r="F242" t="b">
        <v>1</v>
      </c>
      <c r="G242" t="b">
        <v>0</v>
      </c>
      <c r="H242" t="s">
        <v>1652</v>
      </c>
      <c r="I242" t="s">
        <v>1651</v>
      </c>
      <c r="J242" t="s">
        <v>71</v>
      </c>
      <c r="N242" t="s">
        <v>1653</v>
      </c>
      <c r="O242" t="s">
        <v>252</v>
      </c>
      <c r="R242" s="1">
        <v>44908</v>
      </c>
      <c r="S242" s="1">
        <v>46734</v>
      </c>
      <c r="T242" s="2">
        <v>44952.903512974539</v>
      </c>
      <c r="U242" t="s">
        <v>253</v>
      </c>
      <c r="V242" t="s">
        <v>267</v>
      </c>
      <c r="W242" t="s">
        <v>304</v>
      </c>
      <c r="X242" t="s">
        <v>305</v>
      </c>
      <c r="Y242" t="s">
        <v>306</v>
      </c>
      <c r="Z242" s="32" t="s">
        <v>1316</v>
      </c>
      <c r="AA242" t="s">
        <v>307</v>
      </c>
      <c r="AB242" s="23" t="str">
        <f>AM242</f>
        <v>54743cb2f07c4d9f923a5c04c2547bb4</v>
      </c>
      <c r="AC242" s="23"/>
      <c r="AD242" s="23"/>
      <c r="AE242" s="23"/>
      <c r="AF242" s="23"/>
      <c r="AG242" t="s">
        <v>308</v>
      </c>
      <c r="AH242">
        <v>110000000</v>
      </c>
      <c r="AI242" s="3" t="s">
        <v>1654</v>
      </c>
      <c r="AM242" s="23" t="s">
        <v>68</v>
      </c>
    </row>
    <row r="243" spans="1:42" x14ac:dyDescent="0.2">
      <c r="A243" t="s">
        <v>1655</v>
      </c>
      <c r="B243" t="b">
        <v>0</v>
      </c>
      <c r="C243" t="b">
        <v>0</v>
      </c>
      <c r="D243" t="b">
        <v>1</v>
      </c>
      <c r="E243" t="b">
        <v>0</v>
      </c>
      <c r="F243" t="b">
        <v>1</v>
      </c>
      <c r="G243" t="b">
        <v>0</v>
      </c>
      <c r="H243" t="s">
        <v>1656</v>
      </c>
      <c r="I243" t="s">
        <v>1655</v>
      </c>
      <c r="J243" t="s">
        <v>192</v>
      </c>
      <c r="K243" t="s">
        <v>1657</v>
      </c>
      <c r="N243" t="s">
        <v>1658</v>
      </c>
      <c r="O243" t="s">
        <v>252</v>
      </c>
      <c r="R243" s="1">
        <v>44403</v>
      </c>
      <c r="S243" s="1">
        <v>57161</v>
      </c>
      <c r="T243" s="2">
        <v>44960.608868888892</v>
      </c>
      <c r="U243" t="s">
        <v>253</v>
      </c>
      <c r="V243" t="s">
        <v>267</v>
      </c>
      <c r="W243" t="s">
        <v>1659</v>
      </c>
      <c r="X243" t="s">
        <v>256</v>
      </c>
      <c r="Y243" t="s">
        <v>287</v>
      </c>
      <c r="Z243" s="32" t="s">
        <v>2736</v>
      </c>
      <c r="AA243" t="s">
        <v>1660</v>
      </c>
      <c r="AB243" s="23" t="str">
        <f>AM243</f>
        <v>23874d9911cb4bc4b0376a3d29a0a700</v>
      </c>
      <c r="AC243" s="23"/>
      <c r="AD243" s="23"/>
      <c r="AE243" s="23"/>
      <c r="AF243" s="23"/>
      <c r="AG243" t="s">
        <v>270</v>
      </c>
      <c r="AH243">
        <v>1200000000</v>
      </c>
      <c r="AI243" s="3" t="s">
        <v>1661</v>
      </c>
      <c r="AM243" s="23" t="s">
        <v>191</v>
      </c>
    </row>
    <row r="244" spans="1:42" x14ac:dyDescent="0.2">
      <c r="A244" t="s">
        <v>1662</v>
      </c>
      <c r="B244" t="b">
        <v>1</v>
      </c>
      <c r="C244" t="b">
        <v>0</v>
      </c>
      <c r="D244" t="b">
        <v>1</v>
      </c>
      <c r="E244" t="s">
        <v>248</v>
      </c>
      <c r="F244" t="b">
        <v>0</v>
      </c>
      <c r="G244" t="b">
        <v>0</v>
      </c>
      <c r="H244" t="s">
        <v>1663</v>
      </c>
      <c r="I244" t="s">
        <v>1662</v>
      </c>
      <c r="J244" t="s">
        <v>1664</v>
      </c>
      <c r="M244" t="s">
        <v>1665</v>
      </c>
      <c r="N244" t="s">
        <v>1666</v>
      </c>
      <c r="O244" t="s">
        <v>252</v>
      </c>
      <c r="R244" s="1">
        <v>44076</v>
      </c>
      <c r="S244" s="1">
        <v>45171</v>
      </c>
      <c r="U244" t="s">
        <v>743</v>
      </c>
      <c r="V244" t="s">
        <v>254</v>
      </c>
      <c r="W244" t="s">
        <v>1578</v>
      </c>
      <c r="X244" t="s">
        <v>256</v>
      </c>
      <c r="Y244" t="s">
        <v>269</v>
      </c>
      <c r="AA244" t="s">
        <v>1579</v>
      </c>
      <c r="AB244" s="7" t="s">
        <v>1580</v>
      </c>
      <c r="AC244" s="7"/>
      <c r="AD244" s="7"/>
      <c r="AE244" s="7"/>
      <c r="AF244" s="7"/>
      <c r="AG244" t="s">
        <v>270</v>
      </c>
      <c r="AH244">
        <v>35160000</v>
      </c>
      <c r="AI244" s="3" t="s">
        <v>1667</v>
      </c>
    </row>
    <row r="245" spans="1:42" x14ac:dyDescent="0.2">
      <c r="A245" t="s">
        <v>1668</v>
      </c>
      <c r="B245" t="b">
        <v>0</v>
      </c>
      <c r="C245" t="b">
        <v>0</v>
      </c>
      <c r="D245" t="b">
        <v>1</v>
      </c>
      <c r="E245" t="b">
        <v>0</v>
      </c>
      <c r="F245" t="b">
        <v>1</v>
      </c>
      <c r="G245" t="b">
        <v>0</v>
      </c>
      <c r="H245" t="s">
        <v>1669</v>
      </c>
      <c r="I245" t="s">
        <v>1668</v>
      </c>
      <c r="J245" t="s">
        <v>22</v>
      </c>
      <c r="K245" t="s">
        <v>1670</v>
      </c>
      <c r="N245" t="s">
        <v>1671</v>
      </c>
      <c r="O245" t="s">
        <v>252</v>
      </c>
      <c r="P245" t="s">
        <v>275</v>
      </c>
      <c r="Q245" t="s">
        <v>276</v>
      </c>
      <c r="R245" s="1">
        <v>45593</v>
      </c>
      <c r="S245" s="1">
        <v>46688</v>
      </c>
      <c r="T245" s="2">
        <v>45960.678736203707</v>
      </c>
      <c r="U245" t="s">
        <v>253</v>
      </c>
      <c r="V245" t="s">
        <v>267</v>
      </c>
      <c r="W245" t="s">
        <v>277</v>
      </c>
      <c r="X245" t="s">
        <v>278</v>
      </c>
      <c r="Y245" t="s">
        <v>279</v>
      </c>
      <c r="Z245" s="32" t="s">
        <v>1072</v>
      </c>
      <c r="AA245" t="s">
        <v>280</v>
      </c>
      <c r="AB245" s="23" t="str">
        <f>AM245</f>
        <v>4d55cd98379640de90be2eb2fa9aba1f</v>
      </c>
      <c r="AC245" s="23"/>
      <c r="AD245" s="23"/>
      <c r="AE245" s="23"/>
      <c r="AF245" s="23"/>
      <c r="AG245" t="s">
        <v>270</v>
      </c>
      <c r="AH245">
        <v>570000</v>
      </c>
      <c r="AI245" s="3" t="s">
        <v>1672</v>
      </c>
      <c r="AM245" s="23" t="s">
        <v>2</v>
      </c>
    </row>
    <row r="246" spans="1:42" x14ac:dyDescent="0.2">
      <c r="A246" t="s">
        <v>1673</v>
      </c>
      <c r="B246" t="b">
        <v>0</v>
      </c>
      <c r="C246" t="b">
        <v>0</v>
      </c>
      <c r="D246" t="b">
        <v>1</v>
      </c>
      <c r="E246" t="b">
        <v>0</v>
      </c>
      <c r="F246" t="b">
        <v>1</v>
      </c>
      <c r="G246" t="s">
        <v>361</v>
      </c>
      <c r="H246" t="s">
        <v>1674</v>
      </c>
      <c r="I246" t="s">
        <v>1673</v>
      </c>
      <c r="J246" t="s">
        <v>1675</v>
      </c>
      <c r="N246" t="s">
        <v>1676</v>
      </c>
      <c r="O246" t="s">
        <v>252</v>
      </c>
      <c r="R246" s="1">
        <v>44775</v>
      </c>
      <c r="S246" s="1">
        <v>47618</v>
      </c>
      <c r="T246" s="2">
        <v>44966.714454016204</v>
      </c>
      <c r="U246" t="s">
        <v>253</v>
      </c>
      <c r="V246" t="s">
        <v>267</v>
      </c>
      <c r="W246" t="s">
        <v>1626</v>
      </c>
      <c r="X246" t="s">
        <v>256</v>
      </c>
      <c r="Y246" t="s">
        <v>257</v>
      </c>
      <c r="AG246" t="s">
        <v>260</v>
      </c>
      <c r="AH246">
        <v>200000000</v>
      </c>
      <c r="AI246" s="3" t="s">
        <v>1677</v>
      </c>
    </row>
    <row r="247" spans="1:42" x14ac:dyDescent="0.2">
      <c r="A247" t="s">
        <v>1678</v>
      </c>
      <c r="B247" t="b">
        <v>0</v>
      </c>
      <c r="C247" t="b">
        <v>0</v>
      </c>
      <c r="D247" t="b">
        <v>1</v>
      </c>
      <c r="E247" t="b">
        <v>0</v>
      </c>
      <c r="F247" t="b">
        <v>1</v>
      </c>
      <c r="G247" t="b">
        <v>0</v>
      </c>
      <c r="H247" t="s">
        <v>1679</v>
      </c>
      <c r="I247" t="s">
        <v>1678</v>
      </c>
      <c r="J247" t="s">
        <v>67</v>
      </c>
      <c r="N247" t="s">
        <v>1680</v>
      </c>
      <c r="O247" t="s">
        <v>252</v>
      </c>
      <c r="P247" t="s">
        <v>1076</v>
      </c>
      <c r="Q247" t="s">
        <v>1077</v>
      </c>
      <c r="R247" s="1">
        <v>45476</v>
      </c>
      <c r="S247" s="1">
        <v>49128</v>
      </c>
      <c r="T247" s="2">
        <v>46153.779112673612</v>
      </c>
      <c r="U247" t="s">
        <v>253</v>
      </c>
      <c r="V247" t="s">
        <v>267</v>
      </c>
      <c r="W247" t="s">
        <v>645</v>
      </c>
      <c r="X247" t="s">
        <v>256</v>
      </c>
      <c r="Y247" t="s">
        <v>351</v>
      </c>
      <c r="Z247" s="32" t="s">
        <v>2752</v>
      </c>
      <c r="AA247" t="s">
        <v>646</v>
      </c>
      <c r="AB247" s="23" t="str">
        <f>AM247</f>
        <v>e6873103865949bdb9e863d906f83c74</v>
      </c>
      <c r="AC247" s="23"/>
      <c r="AD247" s="23"/>
      <c r="AE247" s="23"/>
      <c r="AF247" s="23"/>
      <c r="AG247" t="s">
        <v>647</v>
      </c>
      <c r="AH247">
        <v>8625000000</v>
      </c>
      <c r="AI247" s="3" t="s">
        <v>1681</v>
      </c>
      <c r="AM247" s="23" t="s">
        <v>60</v>
      </c>
    </row>
    <row r="248" spans="1:42" x14ac:dyDescent="0.2">
      <c r="A248" t="s">
        <v>1682</v>
      </c>
      <c r="B248" t="b">
        <v>1</v>
      </c>
      <c r="C248" t="b">
        <v>0</v>
      </c>
      <c r="D248" t="b">
        <v>1</v>
      </c>
      <c r="E248" t="s">
        <v>248</v>
      </c>
      <c r="F248" t="b">
        <v>0</v>
      </c>
      <c r="G248" t="b">
        <v>0</v>
      </c>
      <c r="H248" t="s">
        <v>1683</v>
      </c>
      <c r="I248" t="s">
        <v>1682</v>
      </c>
      <c r="J248" t="s">
        <v>1684</v>
      </c>
      <c r="K248" t="s">
        <v>1685</v>
      </c>
      <c r="M248" t="s">
        <v>1686</v>
      </c>
      <c r="N248" t="s">
        <v>1687</v>
      </c>
      <c r="O248" t="s">
        <v>252</v>
      </c>
      <c r="R248" s="1">
        <v>43819</v>
      </c>
      <c r="S248" s="1">
        <v>47467</v>
      </c>
      <c r="U248" t="s">
        <v>441</v>
      </c>
      <c r="V248" t="s">
        <v>267</v>
      </c>
      <c r="W248" t="s">
        <v>1042</v>
      </c>
      <c r="X248" t="s">
        <v>256</v>
      </c>
      <c r="Y248" t="s">
        <v>257</v>
      </c>
      <c r="AA248" s="6" t="s">
        <v>1043</v>
      </c>
      <c r="AB248" t="s">
        <v>1044</v>
      </c>
      <c r="AG248" t="s">
        <v>260</v>
      </c>
      <c r="AH248">
        <v>409000000</v>
      </c>
      <c r="AI248" s="3" t="s">
        <v>1688</v>
      </c>
      <c r="AM248" s="6"/>
    </row>
    <row r="249" spans="1:42" x14ac:dyDescent="0.2">
      <c r="A249" t="s">
        <v>1689</v>
      </c>
      <c r="B249" t="b">
        <v>0</v>
      </c>
      <c r="C249" t="b">
        <v>0</v>
      </c>
      <c r="D249" t="b">
        <v>1</v>
      </c>
      <c r="E249" t="b">
        <v>0</v>
      </c>
      <c r="F249" t="b">
        <v>1</v>
      </c>
      <c r="G249" t="s">
        <v>361</v>
      </c>
      <c r="H249" t="s">
        <v>1690</v>
      </c>
      <c r="I249" t="s">
        <v>1689</v>
      </c>
      <c r="J249" t="s">
        <v>1691</v>
      </c>
      <c r="M249" t="s">
        <v>1692</v>
      </c>
      <c r="N249" t="s">
        <v>1692</v>
      </c>
      <c r="O249" t="s">
        <v>252</v>
      </c>
      <c r="R249" s="1">
        <v>44089</v>
      </c>
      <c r="S249" s="1">
        <v>47011</v>
      </c>
      <c r="U249" t="s">
        <v>253</v>
      </c>
      <c r="V249" t="s">
        <v>254</v>
      </c>
      <c r="W249" t="s">
        <v>494</v>
      </c>
      <c r="X249" t="s">
        <v>256</v>
      </c>
      <c r="Y249" t="s">
        <v>257</v>
      </c>
      <c r="AG249" t="s">
        <v>260</v>
      </c>
      <c r="AH249">
        <v>110000000</v>
      </c>
      <c r="AI249" s="3" t="s">
        <v>1693</v>
      </c>
    </row>
    <row r="250" spans="1:42" x14ac:dyDescent="0.2">
      <c r="A250" t="s">
        <v>1694</v>
      </c>
      <c r="B250" t="b">
        <v>0</v>
      </c>
      <c r="C250" t="b">
        <v>0</v>
      </c>
      <c r="D250" t="b">
        <v>1</v>
      </c>
      <c r="E250" t="b">
        <v>0</v>
      </c>
      <c r="F250" t="b">
        <v>1</v>
      </c>
      <c r="G250" t="b">
        <v>0</v>
      </c>
      <c r="H250" t="s">
        <v>1695</v>
      </c>
      <c r="I250" t="s">
        <v>1694</v>
      </c>
      <c r="J250" t="s">
        <v>41</v>
      </c>
      <c r="N250" t="s">
        <v>1696</v>
      </c>
      <c r="O250" t="s">
        <v>252</v>
      </c>
      <c r="R250" s="1">
        <v>45470</v>
      </c>
      <c r="S250" s="1">
        <v>46200</v>
      </c>
      <c r="T250" s="2">
        <v>46059.645272199072</v>
      </c>
      <c r="U250" t="s">
        <v>253</v>
      </c>
      <c r="V250" t="s">
        <v>267</v>
      </c>
      <c r="W250" t="s">
        <v>319</v>
      </c>
      <c r="X250" t="s">
        <v>256</v>
      </c>
      <c r="Y250" t="s">
        <v>269</v>
      </c>
      <c r="Z250" s="32" t="s">
        <v>2755</v>
      </c>
      <c r="AA250" t="s">
        <v>320</v>
      </c>
      <c r="AB250" s="23" t="str">
        <f>AM250</f>
        <v>0861b552d06e4b9799ebc7a3b1aa7e2a</v>
      </c>
      <c r="AC250" s="23"/>
      <c r="AD250" s="23"/>
      <c r="AE250" s="23"/>
      <c r="AF250" s="23"/>
      <c r="AG250" t="s">
        <v>270</v>
      </c>
      <c r="AH250">
        <v>60000000</v>
      </c>
      <c r="AI250" s="3" t="s">
        <v>271</v>
      </c>
      <c r="AM250" s="23" t="s">
        <v>40</v>
      </c>
    </row>
    <row r="251" spans="1:42" x14ac:dyDescent="0.2">
      <c r="A251" t="s">
        <v>1697</v>
      </c>
      <c r="B251" t="b">
        <v>1</v>
      </c>
      <c r="C251" t="b">
        <v>0</v>
      </c>
      <c r="D251" t="b">
        <v>1</v>
      </c>
      <c r="E251" t="b">
        <v>0</v>
      </c>
      <c r="F251" t="b">
        <v>0</v>
      </c>
      <c r="G251" t="s">
        <v>361</v>
      </c>
      <c r="H251" t="s">
        <v>1698</v>
      </c>
      <c r="I251" t="s">
        <v>1697</v>
      </c>
      <c r="J251" t="s">
        <v>1699</v>
      </c>
      <c r="N251" t="s">
        <v>1700</v>
      </c>
      <c r="O251" t="s">
        <v>252</v>
      </c>
      <c r="R251" s="1">
        <v>44328</v>
      </c>
      <c r="S251" s="1">
        <v>45426</v>
      </c>
      <c r="U251" t="s">
        <v>253</v>
      </c>
      <c r="V251" t="s">
        <v>254</v>
      </c>
      <c r="W251" t="s">
        <v>681</v>
      </c>
      <c r="X251" t="s">
        <v>278</v>
      </c>
      <c r="Y251" t="s">
        <v>257</v>
      </c>
      <c r="AA251" t="s">
        <v>689</v>
      </c>
      <c r="AG251" t="s">
        <v>260</v>
      </c>
      <c r="AH251">
        <v>5000000</v>
      </c>
      <c r="AI251" s="3" t="s">
        <v>1701</v>
      </c>
    </row>
    <row r="252" spans="1:42" x14ac:dyDescent="0.2">
      <c r="A252" t="s">
        <v>1702</v>
      </c>
      <c r="B252" t="b">
        <v>0</v>
      </c>
      <c r="C252" t="b">
        <v>0</v>
      </c>
      <c r="D252" t="b">
        <v>1</v>
      </c>
      <c r="E252" t="b">
        <v>0</v>
      </c>
      <c r="F252" t="b">
        <v>1</v>
      </c>
      <c r="G252" t="b">
        <v>0</v>
      </c>
      <c r="H252" t="s">
        <v>1703</v>
      </c>
      <c r="I252" t="s">
        <v>1702</v>
      </c>
      <c r="J252" t="s">
        <v>135</v>
      </c>
      <c r="K252" t="s">
        <v>1704</v>
      </c>
      <c r="L252" t="s">
        <v>1705</v>
      </c>
      <c r="M252" t="s">
        <v>1706</v>
      </c>
      <c r="N252" t="s">
        <v>1707</v>
      </c>
      <c r="O252" t="s">
        <v>252</v>
      </c>
      <c r="R252" s="1">
        <v>44449</v>
      </c>
      <c r="S252" s="1">
        <v>55416</v>
      </c>
      <c r="U252" t="s">
        <v>253</v>
      </c>
      <c r="V252" t="s">
        <v>267</v>
      </c>
      <c r="W252" t="s">
        <v>1257</v>
      </c>
      <c r="X252" t="s">
        <v>256</v>
      </c>
      <c r="Y252" t="s">
        <v>287</v>
      </c>
      <c r="Z252" s="32" t="s">
        <v>2740</v>
      </c>
      <c r="AA252" t="s">
        <v>1258</v>
      </c>
      <c r="AB252" s="23" t="str">
        <f>AM252</f>
        <v>f9ddf8d55aab4e4298b72383891943eb</v>
      </c>
      <c r="AC252" s="23"/>
      <c r="AD252" s="23"/>
      <c r="AE252" s="23"/>
      <c r="AF252" s="23"/>
      <c r="AG252" t="s">
        <v>270</v>
      </c>
      <c r="AH252">
        <v>700000000</v>
      </c>
      <c r="AI252" s="3" t="s">
        <v>585</v>
      </c>
      <c r="AM252" s="23" t="s">
        <v>134</v>
      </c>
    </row>
    <row r="253" spans="1:42" x14ac:dyDescent="0.2">
      <c r="A253" t="s">
        <v>1708</v>
      </c>
      <c r="B253" t="b">
        <v>0</v>
      </c>
      <c r="C253" t="b">
        <v>0</v>
      </c>
      <c r="D253" t="b">
        <v>1</v>
      </c>
      <c r="E253" t="b">
        <v>0</v>
      </c>
      <c r="F253" t="b">
        <v>1</v>
      </c>
      <c r="G253" t="b">
        <v>0</v>
      </c>
      <c r="H253" t="s">
        <v>1709</v>
      </c>
      <c r="I253" t="s">
        <v>1708</v>
      </c>
      <c r="J253" t="s">
        <v>25</v>
      </c>
      <c r="K253" t="s">
        <v>1710</v>
      </c>
      <c r="N253" t="s">
        <v>1711</v>
      </c>
      <c r="O253" t="s">
        <v>252</v>
      </c>
      <c r="P253" t="s">
        <v>275</v>
      </c>
      <c r="Q253" t="s">
        <v>276</v>
      </c>
      <c r="R253" s="1">
        <v>45462</v>
      </c>
      <c r="S253" s="1">
        <v>46923</v>
      </c>
      <c r="T253" s="2">
        <v>45960.674193171297</v>
      </c>
      <c r="U253" t="s">
        <v>253</v>
      </c>
      <c r="V253" t="s">
        <v>267</v>
      </c>
      <c r="W253" t="s">
        <v>277</v>
      </c>
      <c r="X253" t="s">
        <v>278</v>
      </c>
      <c r="Y253" t="s">
        <v>279</v>
      </c>
      <c r="Z253" s="32" t="s">
        <v>1072</v>
      </c>
      <c r="AA253" t="s">
        <v>280</v>
      </c>
      <c r="AB253" s="23" t="str">
        <f>AM253</f>
        <v>4d55cd98379640de90be2eb2fa9aba1f</v>
      </c>
      <c r="AC253" s="23"/>
      <c r="AD253" s="23"/>
      <c r="AE253" s="23"/>
      <c r="AF253" s="23"/>
      <c r="AG253" t="s">
        <v>270</v>
      </c>
      <c r="AH253">
        <v>10000000</v>
      </c>
      <c r="AI253" s="3" t="s">
        <v>863</v>
      </c>
      <c r="AM253" s="23" t="s">
        <v>2</v>
      </c>
    </row>
    <row r="254" spans="1:42" x14ac:dyDescent="0.2">
      <c r="A254" t="s">
        <v>1712</v>
      </c>
      <c r="B254" t="b">
        <v>1</v>
      </c>
      <c r="C254" t="b">
        <v>0</v>
      </c>
      <c r="D254" t="b">
        <v>1</v>
      </c>
      <c r="E254" t="s">
        <v>522</v>
      </c>
      <c r="F254" t="b">
        <v>0</v>
      </c>
      <c r="G254" t="b">
        <v>0</v>
      </c>
      <c r="H254" t="s">
        <v>1713</v>
      </c>
      <c r="I254" t="s">
        <v>1712</v>
      </c>
      <c r="J254" s="20" t="s">
        <v>108</v>
      </c>
      <c r="N254" t="s">
        <v>1714</v>
      </c>
      <c r="O254" t="s">
        <v>252</v>
      </c>
      <c r="R254" s="1">
        <v>43396</v>
      </c>
      <c r="S254" s="1">
        <v>44488</v>
      </c>
      <c r="T254" s="2">
        <v>45050.844610451386</v>
      </c>
      <c r="U254" t="s">
        <v>441</v>
      </c>
      <c r="V254" t="s">
        <v>267</v>
      </c>
      <c r="W254" t="s">
        <v>904</v>
      </c>
      <c r="X254" t="s">
        <v>305</v>
      </c>
      <c r="Y254" t="s">
        <v>343</v>
      </c>
      <c r="Z254" s="35" t="s">
        <v>905</v>
      </c>
      <c r="AA254" s="7" t="s">
        <v>906</v>
      </c>
      <c r="AB254" s="23" t="str">
        <f>AM254</f>
        <v>db1cda571f7a40d78a10fa816b44c3d0</v>
      </c>
      <c r="AC254" s="23"/>
      <c r="AD254" s="23"/>
      <c r="AE254" s="23"/>
      <c r="AF254" s="23"/>
      <c r="AG254" t="s">
        <v>345</v>
      </c>
      <c r="AH254">
        <v>2500000000</v>
      </c>
      <c r="AI254" s="3" t="s">
        <v>1715</v>
      </c>
      <c r="AM254" s="21" t="s">
        <v>107</v>
      </c>
    </row>
    <row r="255" spans="1:42" x14ac:dyDescent="0.2">
      <c r="A255" t="s">
        <v>1716</v>
      </c>
      <c r="B255" t="b">
        <v>1</v>
      </c>
      <c r="C255" t="b">
        <v>0</v>
      </c>
      <c r="D255" t="b">
        <v>1</v>
      </c>
      <c r="E255" t="s">
        <v>248</v>
      </c>
      <c r="F255" t="b">
        <v>0</v>
      </c>
      <c r="G255" t="b">
        <v>0</v>
      </c>
      <c r="H255" t="s">
        <v>1717</v>
      </c>
      <c r="I255" t="s">
        <v>1716</v>
      </c>
      <c r="M255" t="s">
        <v>1718</v>
      </c>
      <c r="N255" t="s">
        <v>1719</v>
      </c>
      <c r="O255" t="s">
        <v>252</v>
      </c>
      <c r="R255" s="1">
        <v>43657</v>
      </c>
      <c r="S255" s="1">
        <v>49125</v>
      </c>
      <c r="U255" t="s">
        <v>253</v>
      </c>
      <c r="V255" t="s">
        <v>267</v>
      </c>
      <c r="W255" t="s">
        <v>1720</v>
      </c>
      <c r="X255" t="s">
        <v>256</v>
      </c>
      <c r="Y255" t="s">
        <v>808</v>
      </c>
      <c r="Z255" t="s">
        <v>1721</v>
      </c>
      <c r="AA255" s="7" t="s">
        <v>1722</v>
      </c>
      <c r="AB255" t="s">
        <v>1723</v>
      </c>
      <c r="AG255" t="s">
        <v>270</v>
      </c>
      <c r="AH255">
        <v>219270538</v>
      </c>
      <c r="AI255" s="3" t="s">
        <v>1724</v>
      </c>
      <c r="AM255" s="21" t="s">
        <v>1725</v>
      </c>
      <c r="AN255" t="s">
        <v>1726</v>
      </c>
      <c r="AO255" t="s">
        <v>1727</v>
      </c>
      <c r="AP255" t="s">
        <v>1728</v>
      </c>
    </row>
    <row r="256" spans="1:42" x14ac:dyDescent="0.2">
      <c r="A256" t="s">
        <v>1729</v>
      </c>
      <c r="B256" t="b">
        <v>0</v>
      </c>
      <c r="C256" t="b">
        <v>0</v>
      </c>
      <c r="D256" t="b">
        <v>1</v>
      </c>
      <c r="E256" t="b">
        <v>0</v>
      </c>
      <c r="F256" t="b">
        <v>1</v>
      </c>
      <c r="G256" t="s">
        <v>361</v>
      </c>
      <c r="H256" t="s">
        <v>1730</v>
      </c>
      <c r="I256" t="s">
        <v>1729</v>
      </c>
      <c r="J256" t="s">
        <v>1731</v>
      </c>
      <c r="M256" t="s">
        <v>1732</v>
      </c>
      <c r="N256" t="s">
        <v>1733</v>
      </c>
      <c r="O256" t="s">
        <v>252</v>
      </c>
      <c r="R256" s="1">
        <v>44788</v>
      </c>
      <c r="S256" s="1">
        <v>47345</v>
      </c>
      <c r="T256" s="2">
        <v>46139.779598993053</v>
      </c>
      <c r="U256" t="s">
        <v>253</v>
      </c>
      <c r="V256" t="s">
        <v>267</v>
      </c>
      <c r="W256" t="s">
        <v>716</v>
      </c>
      <c r="X256" t="s">
        <v>256</v>
      </c>
      <c r="Y256" t="s">
        <v>257</v>
      </c>
      <c r="AG256" t="s">
        <v>260</v>
      </c>
      <c r="AH256">
        <v>233000000</v>
      </c>
      <c r="AI256" s="3" t="s">
        <v>1734</v>
      </c>
    </row>
    <row r="257" spans="1:39" x14ac:dyDescent="0.2">
      <c r="A257" t="s">
        <v>1735</v>
      </c>
      <c r="B257" t="b">
        <v>0</v>
      </c>
      <c r="C257" t="b">
        <v>0</v>
      </c>
      <c r="D257" t="b">
        <v>1</v>
      </c>
      <c r="E257" t="b">
        <v>0</v>
      </c>
      <c r="F257" t="b">
        <v>1</v>
      </c>
      <c r="G257" t="b">
        <v>0</v>
      </c>
      <c r="H257" t="s">
        <v>1736</v>
      </c>
      <c r="I257" t="s">
        <v>1735</v>
      </c>
      <c r="J257" t="s">
        <v>18</v>
      </c>
      <c r="K257" t="s">
        <v>1737</v>
      </c>
      <c r="N257" t="s">
        <v>1738</v>
      </c>
      <c r="O257" t="s">
        <v>252</v>
      </c>
      <c r="P257" t="s">
        <v>275</v>
      </c>
      <c r="Q257" t="s">
        <v>276</v>
      </c>
      <c r="R257" s="1">
        <v>45281</v>
      </c>
      <c r="S257" s="1">
        <v>46739</v>
      </c>
      <c r="T257" s="2">
        <v>45960.67471521991</v>
      </c>
      <c r="U257" t="s">
        <v>253</v>
      </c>
      <c r="V257" t="s">
        <v>267</v>
      </c>
      <c r="W257" t="s">
        <v>277</v>
      </c>
      <c r="X257" t="s">
        <v>278</v>
      </c>
      <c r="Y257" t="s">
        <v>279</v>
      </c>
      <c r="Z257" s="32" t="s">
        <v>1072</v>
      </c>
      <c r="AA257" t="s">
        <v>280</v>
      </c>
      <c r="AB257" s="23" t="str">
        <f>AM257</f>
        <v>4d55cd98379640de90be2eb2fa9aba1f</v>
      </c>
      <c r="AC257" s="23"/>
      <c r="AD257" s="23"/>
      <c r="AE257" s="23"/>
      <c r="AF257" s="23"/>
      <c r="AG257" t="s">
        <v>270</v>
      </c>
      <c r="AH257">
        <v>10000000</v>
      </c>
      <c r="AI257" s="3" t="s">
        <v>863</v>
      </c>
      <c r="AM257" s="23" t="s">
        <v>2</v>
      </c>
    </row>
    <row r="258" spans="1:39" x14ac:dyDescent="0.2">
      <c r="A258" t="s">
        <v>1739</v>
      </c>
      <c r="B258" t="b">
        <v>0</v>
      </c>
      <c r="C258" t="b">
        <v>0</v>
      </c>
      <c r="D258" t="b">
        <v>0</v>
      </c>
      <c r="E258" t="b">
        <v>0</v>
      </c>
      <c r="F258" t="b">
        <v>0</v>
      </c>
      <c r="G258" t="b">
        <v>1</v>
      </c>
      <c r="H258" t="s">
        <v>1740</v>
      </c>
      <c r="I258" t="s">
        <v>1739</v>
      </c>
      <c r="J258" t="s">
        <v>1741</v>
      </c>
      <c r="K258" t="s">
        <v>1742</v>
      </c>
      <c r="L258" t="s">
        <v>1743</v>
      </c>
      <c r="N258" t="s">
        <v>1744</v>
      </c>
      <c r="O258" t="s">
        <v>252</v>
      </c>
      <c r="R258" s="1">
        <v>44217</v>
      </c>
      <c r="S258" s="1">
        <v>47953</v>
      </c>
      <c r="U258" t="s">
        <v>253</v>
      </c>
      <c r="V258" t="s">
        <v>295</v>
      </c>
      <c r="W258" t="s">
        <v>1745</v>
      </c>
      <c r="X258" t="s">
        <v>278</v>
      </c>
      <c r="Y258" t="s">
        <v>257</v>
      </c>
      <c r="AG258" t="s">
        <v>270</v>
      </c>
      <c r="AH258">
        <v>500000000</v>
      </c>
      <c r="AI258" s="3" t="s">
        <v>922</v>
      </c>
    </row>
    <row r="259" spans="1:39" x14ac:dyDescent="0.2">
      <c r="A259" t="s">
        <v>1746</v>
      </c>
      <c r="B259" t="b">
        <v>0</v>
      </c>
      <c r="C259" t="b">
        <v>0</v>
      </c>
      <c r="D259" t="b">
        <v>1</v>
      </c>
      <c r="E259" t="b">
        <v>0</v>
      </c>
      <c r="F259" t="b">
        <v>1</v>
      </c>
      <c r="G259" t="b">
        <v>0</v>
      </c>
      <c r="H259" t="s">
        <v>1747</v>
      </c>
      <c r="I259" t="s">
        <v>1746</v>
      </c>
      <c r="J259" t="s">
        <v>21</v>
      </c>
      <c r="K259" t="s">
        <v>1748</v>
      </c>
      <c r="N259" t="s">
        <v>1749</v>
      </c>
      <c r="O259" t="s">
        <v>252</v>
      </c>
      <c r="P259" t="s">
        <v>275</v>
      </c>
      <c r="Q259" t="s">
        <v>276</v>
      </c>
      <c r="R259" s="1">
        <v>45588</v>
      </c>
      <c r="S259" s="1">
        <v>46500</v>
      </c>
      <c r="T259" s="2">
        <v>45960.690248981482</v>
      </c>
      <c r="U259" t="s">
        <v>253</v>
      </c>
      <c r="V259" t="s">
        <v>267</v>
      </c>
      <c r="W259" t="s">
        <v>277</v>
      </c>
      <c r="X259" t="s">
        <v>278</v>
      </c>
      <c r="Y259" t="s">
        <v>279</v>
      </c>
      <c r="Z259" s="32" t="s">
        <v>1072</v>
      </c>
      <c r="AA259" t="s">
        <v>280</v>
      </c>
      <c r="AB259" s="23" t="str">
        <f>AM259</f>
        <v>4d55cd98379640de90be2eb2fa9aba1f</v>
      </c>
      <c r="AC259" s="23"/>
      <c r="AD259" s="23"/>
      <c r="AE259" s="23"/>
      <c r="AF259" s="23"/>
      <c r="AG259" t="s">
        <v>270</v>
      </c>
      <c r="AH259">
        <v>3000000</v>
      </c>
      <c r="AI259" s="3" t="s">
        <v>1750</v>
      </c>
      <c r="AM259" s="23" t="s">
        <v>2</v>
      </c>
    </row>
    <row r="260" spans="1:39" x14ac:dyDescent="0.2">
      <c r="A260" t="s">
        <v>1751</v>
      </c>
      <c r="B260" t="b">
        <v>0</v>
      </c>
      <c r="C260" t="b">
        <v>0</v>
      </c>
      <c r="D260" t="b">
        <v>1</v>
      </c>
      <c r="E260" t="b">
        <v>0</v>
      </c>
      <c r="F260" t="b">
        <v>1</v>
      </c>
      <c r="G260" t="b">
        <v>0</v>
      </c>
      <c r="H260" t="s">
        <v>1752</v>
      </c>
      <c r="I260" t="s">
        <v>1751</v>
      </c>
      <c r="J260" t="s">
        <v>132</v>
      </c>
      <c r="N260" t="s">
        <v>1753</v>
      </c>
      <c r="O260" t="s">
        <v>252</v>
      </c>
      <c r="R260" s="1">
        <v>45582</v>
      </c>
      <c r="S260" s="1">
        <v>47043</v>
      </c>
      <c r="T260" s="2">
        <v>46059.660198726851</v>
      </c>
      <c r="U260" t="s">
        <v>253</v>
      </c>
      <c r="V260" t="s">
        <v>267</v>
      </c>
      <c r="W260" t="s">
        <v>319</v>
      </c>
      <c r="X260" t="s">
        <v>256</v>
      </c>
      <c r="Y260" t="s">
        <v>269</v>
      </c>
      <c r="Z260" s="32" t="s">
        <v>2749</v>
      </c>
      <c r="AA260" t="s">
        <v>754</v>
      </c>
      <c r="AB260" s="23" t="str">
        <f>AM260</f>
        <v>896c5d8cf68641b1899f31ed76479743</v>
      </c>
      <c r="AC260" s="23"/>
      <c r="AD260" s="23"/>
      <c r="AE260" s="23"/>
      <c r="AF260" s="23"/>
      <c r="AG260" t="s">
        <v>270</v>
      </c>
      <c r="AH260">
        <v>48300000</v>
      </c>
      <c r="AI260" s="3" t="s">
        <v>1754</v>
      </c>
      <c r="AM260" s="23" t="s">
        <v>131</v>
      </c>
    </row>
    <row r="261" spans="1:39" x14ac:dyDescent="0.2">
      <c r="A261" t="s">
        <v>721</v>
      </c>
      <c r="B261" t="b">
        <v>0</v>
      </c>
      <c r="C261" t="b">
        <v>0</v>
      </c>
      <c r="D261" t="b">
        <v>1</v>
      </c>
      <c r="E261" t="b">
        <v>0</v>
      </c>
      <c r="F261" t="b">
        <v>1</v>
      </c>
      <c r="G261" t="b">
        <v>0</v>
      </c>
      <c r="H261" t="s">
        <v>722</v>
      </c>
      <c r="I261" t="s">
        <v>721</v>
      </c>
      <c r="J261" t="s">
        <v>82</v>
      </c>
      <c r="N261" t="s">
        <v>1755</v>
      </c>
      <c r="O261" t="s">
        <v>382</v>
      </c>
      <c r="S261" s="1">
        <v>49887</v>
      </c>
      <c r="U261" t="s">
        <v>253</v>
      </c>
      <c r="V261" t="s">
        <v>267</v>
      </c>
      <c r="W261" t="s">
        <v>723</v>
      </c>
      <c r="X261" t="s">
        <v>256</v>
      </c>
      <c r="Y261" t="s">
        <v>724</v>
      </c>
      <c r="Z261" s="32" t="s">
        <v>2750</v>
      </c>
      <c r="AA261" t="s">
        <v>725</v>
      </c>
      <c r="AB261" s="23" t="str">
        <f>AM261</f>
        <v>463bf5e91ed14844b7cce6dafe61cf29</v>
      </c>
      <c r="AC261" s="23"/>
      <c r="AD261" s="23"/>
      <c r="AE261" s="23"/>
      <c r="AF261" s="23"/>
      <c r="AG261" t="s">
        <v>270</v>
      </c>
      <c r="AM261" s="23" t="s">
        <v>79</v>
      </c>
    </row>
    <row r="262" spans="1:39" x14ac:dyDescent="0.2">
      <c r="A262" t="s">
        <v>1756</v>
      </c>
      <c r="B262" t="b">
        <v>0</v>
      </c>
      <c r="C262" t="b">
        <v>0</v>
      </c>
      <c r="D262" t="b">
        <v>0</v>
      </c>
      <c r="E262" t="b">
        <v>0</v>
      </c>
      <c r="F262" t="b">
        <v>0</v>
      </c>
      <c r="G262" t="b">
        <v>1</v>
      </c>
      <c r="H262" t="s">
        <v>1757</v>
      </c>
      <c r="I262" t="s">
        <v>1756</v>
      </c>
      <c r="J262" t="s">
        <v>121</v>
      </c>
      <c r="K262" t="s">
        <v>1758</v>
      </c>
      <c r="N262" t="s">
        <v>1759</v>
      </c>
      <c r="O262" t="s">
        <v>252</v>
      </c>
      <c r="P262" t="s">
        <v>1118</v>
      </c>
      <c r="Q262" t="s">
        <v>1119</v>
      </c>
      <c r="R262" s="1">
        <v>44522</v>
      </c>
      <c r="S262" s="1">
        <v>48162</v>
      </c>
      <c r="T262" s="2">
        <v>45007.989033958336</v>
      </c>
      <c r="U262" t="s">
        <v>253</v>
      </c>
      <c r="V262" t="s">
        <v>295</v>
      </c>
      <c r="W262" t="s">
        <v>1120</v>
      </c>
      <c r="X262" t="s">
        <v>305</v>
      </c>
      <c r="Y262" t="s">
        <v>343</v>
      </c>
      <c r="AA262" t="s">
        <v>1121</v>
      </c>
      <c r="AB262" s="23" t="str">
        <f>AM262</f>
        <v>cfa387c69d2e4d5494eca57e9ec0f224</v>
      </c>
      <c r="AC262" s="23"/>
      <c r="AD262" s="23"/>
      <c r="AE262" s="23"/>
      <c r="AF262" s="23"/>
      <c r="AG262" t="s">
        <v>345</v>
      </c>
      <c r="AH262">
        <v>6500000000</v>
      </c>
      <c r="AI262" s="3" t="s">
        <v>1760</v>
      </c>
      <c r="AM262" s="23" t="s">
        <v>119</v>
      </c>
    </row>
    <row r="263" spans="1:39" x14ac:dyDescent="0.2">
      <c r="A263" t="s">
        <v>1761</v>
      </c>
      <c r="B263" t="b">
        <v>0</v>
      </c>
      <c r="C263" t="b">
        <v>0</v>
      </c>
      <c r="D263" t="b">
        <v>1</v>
      </c>
      <c r="E263" t="b">
        <v>0</v>
      </c>
      <c r="F263" t="b">
        <v>1</v>
      </c>
      <c r="G263" t="b">
        <v>0</v>
      </c>
      <c r="H263" t="s">
        <v>1762</v>
      </c>
      <c r="I263" t="s">
        <v>1761</v>
      </c>
      <c r="J263" t="s">
        <v>75</v>
      </c>
      <c r="K263" t="s">
        <v>1763</v>
      </c>
      <c r="N263" t="s">
        <v>1764</v>
      </c>
      <c r="O263" t="s">
        <v>252</v>
      </c>
      <c r="R263" s="1">
        <v>44442</v>
      </c>
      <c r="S263" s="1">
        <v>45915</v>
      </c>
      <c r="U263" t="s">
        <v>253</v>
      </c>
      <c r="V263" t="s">
        <v>254</v>
      </c>
      <c r="W263" t="s">
        <v>426</v>
      </c>
      <c r="X263" t="s">
        <v>256</v>
      </c>
      <c r="Y263" t="s">
        <v>257</v>
      </c>
      <c r="Z263" s="32" t="s">
        <v>2757</v>
      </c>
      <c r="AA263" t="s">
        <v>427</v>
      </c>
      <c r="AB263" s="23" t="str">
        <f>AM263</f>
        <v>06916bad6f3d4631a2127d3f46ff766d</v>
      </c>
      <c r="AC263" s="23"/>
      <c r="AD263" s="23"/>
      <c r="AE263" s="23"/>
      <c r="AF263" s="23"/>
      <c r="AG263" t="s">
        <v>260</v>
      </c>
      <c r="AH263">
        <v>300000000</v>
      </c>
      <c r="AI263" s="3" t="s">
        <v>1765</v>
      </c>
      <c r="AM263" s="23" t="s">
        <v>74</v>
      </c>
    </row>
    <row r="264" spans="1:39" x14ac:dyDescent="0.2">
      <c r="A264" t="s">
        <v>1766</v>
      </c>
      <c r="B264" t="b">
        <v>1</v>
      </c>
      <c r="C264" t="b">
        <v>0</v>
      </c>
      <c r="D264" t="b">
        <v>1</v>
      </c>
      <c r="E264" t="s">
        <v>248</v>
      </c>
      <c r="F264" t="b">
        <v>0</v>
      </c>
      <c r="G264" t="b">
        <v>0</v>
      </c>
      <c r="H264" t="s">
        <v>1767</v>
      </c>
      <c r="I264" t="s">
        <v>1766</v>
      </c>
      <c r="J264" t="s">
        <v>1768</v>
      </c>
      <c r="K264" t="s">
        <v>1769</v>
      </c>
      <c r="N264" t="s">
        <v>1770</v>
      </c>
      <c r="O264" t="s">
        <v>252</v>
      </c>
      <c r="R264" s="1">
        <v>44335</v>
      </c>
      <c r="S264" s="1">
        <v>49810</v>
      </c>
      <c r="U264" t="s">
        <v>253</v>
      </c>
      <c r="V264" t="s">
        <v>267</v>
      </c>
      <c r="W264" t="s">
        <v>545</v>
      </c>
      <c r="X264" t="s">
        <v>256</v>
      </c>
      <c r="Y264" t="s">
        <v>257</v>
      </c>
      <c r="AA264" s="6" t="s">
        <v>673</v>
      </c>
      <c r="AB264" s="7" t="s">
        <v>674</v>
      </c>
      <c r="AC264" s="7"/>
      <c r="AD264" s="7"/>
      <c r="AE264" s="7"/>
      <c r="AF264" s="7"/>
      <c r="AG264" t="s">
        <v>260</v>
      </c>
      <c r="AH264">
        <v>100000000</v>
      </c>
      <c r="AI264" s="3" t="s">
        <v>1771</v>
      </c>
      <c r="AM264" s="6"/>
    </row>
    <row r="265" spans="1:39" x14ac:dyDescent="0.2">
      <c r="A265" t="s">
        <v>1772</v>
      </c>
      <c r="B265" t="b">
        <v>1</v>
      </c>
      <c r="C265" t="b">
        <v>0</v>
      </c>
      <c r="D265" t="b">
        <v>1</v>
      </c>
      <c r="E265" t="s">
        <v>248</v>
      </c>
      <c r="F265" t="b">
        <v>0</v>
      </c>
      <c r="G265" t="b">
        <v>0</v>
      </c>
      <c r="H265" t="s">
        <v>1773</v>
      </c>
      <c r="I265" t="s">
        <v>1772</v>
      </c>
      <c r="J265" t="s">
        <v>1774</v>
      </c>
      <c r="K265" t="s">
        <v>1775</v>
      </c>
      <c r="N265" t="s">
        <v>1776</v>
      </c>
      <c r="O265" t="s">
        <v>252</v>
      </c>
      <c r="R265" s="1">
        <v>43819</v>
      </c>
      <c r="S265" s="1">
        <v>52946</v>
      </c>
      <c r="U265" t="s">
        <v>253</v>
      </c>
      <c r="V265" t="s">
        <v>267</v>
      </c>
      <c r="W265" t="s">
        <v>545</v>
      </c>
      <c r="X265" t="s">
        <v>256</v>
      </c>
      <c r="Y265" t="s">
        <v>257</v>
      </c>
      <c r="AA265" s="6" t="s">
        <v>673</v>
      </c>
      <c r="AB265" s="7" t="s">
        <v>674</v>
      </c>
      <c r="AC265" s="7"/>
      <c r="AD265" s="7"/>
      <c r="AE265" s="7"/>
      <c r="AF265" s="7"/>
      <c r="AG265" t="s">
        <v>260</v>
      </c>
      <c r="AH265">
        <v>575000000</v>
      </c>
      <c r="AI265" s="3" t="s">
        <v>1777</v>
      </c>
      <c r="AM265" s="6"/>
    </row>
    <row r="266" spans="1:39" x14ac:dyDescent="0.2">
      <c r="A266" t="s">
        <v>1778</v>
      </c>
      <c r="B266" t="b">
        <v>0</v>
      </c>
      <c r="C266" t="b">
        <v>0</v>
      </c>
      <c r="D266" t="b">
        <v>0</v>
      </c>
      <c r="E266" t="b">
        <v>0</v>
      </c>
      <c r="F266" t="b">
        <v>0</v>
      </c>
      <c r="G266" t="b">
        <v>1</v>
      </c>
      <c r="H266" t="s">
        <v>1779</v>
      </c>
      <c r="I266" t="s">
        <v>1778</v>
      </c>
      <c r="J266" t="s">
        <v>96</v>
      </c>
      <c r="M266" t="s">
        <v>1780</v>
      </c>
      <c r="N266" t="s">
        <v>1781</v>
      </c>
      <c r="O266" t="s">
        <v>252</v>
      </c>
      <c r="R266" s="1">
        <v>44223</v>
      </c>
      <c r="S266" s="1">
        <v>44953</v>
      </c>
      <c r="T266" s="2">
        <v>45043.705501192133</v>
      </c>
      <c r="U266" t="s">
        <v>253</v>
      </c>
      <c r="V266" t="s">
        <v>295</v>
      </c>
      <c r="W266" t="s">
        <v>861</v>
      </c>
      <c r="X266" t="s">
        <v>278</v>
      </c>
      <c r="Y266" t="s">
        <v>351</v>
      </c>
      <c r="AA266" t="s">
        <v>862</v>
      </c>
      <c r="AB266" s="23" t="str">
        <f>AM266</f>
        <v>538769c825394307acb906d53afb2664</v>
      </c>
      <c r="AC266" s="23"/>
      <c r="AD266" s="23"/>
      <c r="AE266" s="23"/>
      <c r="AF266" s="23"/>
      <c r="AG266" t="s">
        <v>270</v>
      </c>
      <c r="AH266">
        <v>10000000</v>
      </c>
      <c r="AI266" s="3" t="s">
        <v>863</v>
      </c>
      <c r="AM266" s="23" t="s">
        <v>95</v>
      </c>
    </row>
    <row r="267" spans="1:39" x14ac:dyDescent="0.2">
      <c r="A267" t="s">
        <v>1782</v>
      </c>
      <c r="B267" t="b">
        <v>0</v>
      </c>
      <c r="C267" t="b">
        <v>0</v>
      </c>
      <c r="D267" t="b">
        <v>0</v>
      </c>
      <c r="E267" t="b">
        <v>0</v>
      </c>
      <c r="F267" t="b">
        <v>0</v>
      </c>
      <c r="G267" t="b">
        <v>1</v>
      </c>
      <c r="H267" t="s">
        <v>1783</v>
      </c>
      <c r="I267" t="s">
        <v>1782</v>
      </c>
      <c r="J267" t="s">
        <v>54</v>
      </c>
      <c r="K267" t="s">
        <v>1784</v>
      </c>
      <c r="N267" t="s">
        <v>1785</v>
      </c>
      <c r="O267" t="s">
        <v>252</v>
      </c>
      <c r="P267" t="s">
        <v>331</v>
      </c>
      <c r="Q267" t="s">
        <v>332</v>
      </c>
      <c r="R267" s="1">
        <v>44592</v>
      </c>
      <c r="S267" s="1">
        <v>48975</v>
      </c>
      <c r="T267" s="2">
        <v>44923.647841296297</v>
      </c>
      <c r="U267" t="s">
        <v>253</v>
      </c>
      <c r="V267" t="s">
        <v>295</v>
      </c>
      <c r="W267" t="s">
        <v>333</v>
      </c>
      <c r="X267" t="s">
        <v>334</v>
      </c>
      <c r="Y267" t="s">
        <v>287</v>
      </c>
      <c r="AA267" t="s">
        <v>335</v>
      </c>
      <c r="AB267" s="23" t="str">
        <f>AM267</f>
        <v>b25746bc73674469a979cd1218fc9355</v>
      </c>
      <c r="AC267" s="23"/>
      <c r="AD267" s="23"/>
      <c r="AE267" s="23"/>
      <c r="AF267" s="23"/>
      <c r="AG267" t="s">
        <v>270</v>
      </c>
      <c r="AH267">
        <v>1500000000</v>
      </c>
      <c r="AI267" s="3" t="s">
        <v>336</v>
      </c>
      <c r="AM267" s="23" t="s">
        <v>51</v>
      </c>
    </row>
    <row r="268" spans="1:39" x14ac:dyDescent="0.2">
      <c r="A268" t="s">
        <v>1786</v>
      </c>
      <c r="B268" t="b">
        <v>0</v>
      </c>
      <c r="C268" t="b">
        <v>0</v>
      </c>
      <c r="D268" t="b">
        <v>1</v>
      </c>
      <c r="E268" t="b">
        <v>0</v>
      </c>
      <c r="F268" t="b">
        <v>1</v>
      </c>
      <c r="G268" t="b">
        <v>0</v>
      </c>
      <c r="H268" t="s">
        <v>1787</v>
      </c>
      <c r="I268" t="s">
        <v>1786</v>
      </c>
      <c r="J268" t="s">
        <v>65</v>
      </c>
      <c r="N268" t="s">
        <v>1788</v>
      </c>
      <c r="O268" t="s">
        <v>252</v>
      </c>
      <c r="P268" t="s">
        <v>1076</v>
      </c>
      <c r="Q268" t="s">
        <v>1077</v>
      </c>
      <c r="R268" s="1">
        <v>45476</v>
      </c>
      <c r="S268" s="1">
        <v>50954</v>
      </c>
      <c r="T268" s="2">
        <v>46153.778520717591</v>
      </c>
      <c r="U268" t="s">
        <v>253</v>
      </c>
      <c r="V268" t="s">
        <v>267</v>
      </c>
      <c r="W268" t="s">
        <v>645</v>
      </c>
      <c r="X268" t="s">
        <v>256</v>
      </c>
      <c r="Y268" t="s">
        <v>351</v>
      </c>
      <c r="Z268" s="32" t="s">
        <v>2752</v>
      </c>
      <c r="AA268" t="s">
        <v>646</v>
      </c>
      <c r="AB268" s="23" t="str">
        <f>AM268</f>
        <v>e6873103865949bdb9e863d906f83c74</v>
      </c>
      <c r="AC268" s="23"/>
      <c r="AD268" s="23"/>
      <c r="AE268" s="23"/>
      <c r="AF268" s="23"/>
      <c r="AG268" t="s">
        <v>647</v>
      </c>
      <c r="AH268">
        <v>3375000000</v>
      </c>
      <c r="AI268" s="3" t="s">
        <v>1789</v>
      </c>
      <c r="AM268" s="23" t="s">
        <v>60</v>
      </c>
    </row>
    <row r="269" spans="1:39" x14ac:dyDescent="0.2">
      <c r="A269" s="4" t="s">
        <v>1790</v>
      </c>
      <c r="B269" t="b">
        <v>0</v>
      </c>
      <c r="C269" t="b">
        <v>0</v>
      </c>
      <c r="D269" t="b">
        <v>1</v>
      </c>
      <c r="E269" t="b">
        <v>0</v>
      </c>
      <c r="F269" t="b">
        <v>1</v>
      </c>
      <c r="G269" t="b">
        <v>0</v>
      </c>
      <c r="H269" t="s">
        <v>1791</v>
      </c>
      <c r="I269" s="4" t="s">
        <v>1790</v>
      </c>
      <c r="J269" t="s">
        <v>140</v>
      </c>
      <c r="K269" t="s">
        <v>1792</v>
      </c>
      <c r="N269" t="s">
        <v>1793</v>
      </c>
      <c r="O269" t="s">
        <v>252</v>
      </c>
      <c r="R269" s="1">
        <v>42956</v>
      </c>
      <c r="S269" s="1">
        <v>44782</v>
      </c>
      <c r="U269" t="s">
        <v>253</v>
      </c>
      <c r="V269" t="s">
        <v>267</v>
      </c>
      <c r="W269" t="s">
        <v>1794</v>
      </c>
      <c r="X269" t="s">
        <v>305</v>
      </c>
      <c r="Y269" t="s">
        <v>384</v>
      </c>
      <c r="Z269" s="32" t="s">
        <v>2735</v>
      </c>
      <c r="AA269" t="s">
        <v>1795</v>
      </c>
      <c r="AB269" s="23" t="str">
        <f>AM269</f>
        <v>b49dc523ef1442c78e3ef719dbf815cc</v>
      </c>
      <c r="AC269" s="23"/>
      <c r="AD269" s="23"/>
      <c r="AE269" s="23"/>
      <c r="AF269" s="23"/>
      <c r="AG269" t="s">
        <v>386</v>
      </c>
      <c r="AH269">
        <v>200000000000</v>
      </c>
      <c r="AI269" s="3" t="s">
        <v>1796</v>
      </c>
      <c r="AM269" s="23" t="s">
        <v>139</v>
      </c>
    </row>
    <row r="270" spans="1:39" s="14" customFormat="1" x14ac:dyDescent="0.2">
      <c r="A270" s="14" t="s">
        <v>1797</v>
      </c>
      <c r="B270" s="14" t="b">
        <v>1</v>
      </c>
      <c r="C270" s="14" t="b">
        <v>0</v>
      </c>
      <c r="D270" s="14" t="b">
        <v>1</v>
      </c>
      <c r="E270" s="14" t="s">
        <v>522</v>
      </c>
      <c r="F270" s="14" t="b">
        <v>0</v>
      </c>
      <c r="G270" s="14" t="b">
        <v>0</v>
      </c>
      <c r="H270" s="14" t="s">
        <v>1798</v>
      </c>
      <c r="I270" s="14" t="s">
        <v>1797</v>
      </c>
      <c r="J270" s="19" t="s">
        <v>123</v>
      </c>
      <c r="K270" s="14" t="s">
        <v>1799</v>
      </c>
      <c r="N270" s="14" t="s">
        <v>1800</v>
      </c>
      <c r="O270" s="14" t="s">
        <v>252</v>
      </c>
      <c r="R270" s="15">
        <v>43558</v>
      </c>
      <c r="S270" s="15">
        <v>54516</v>
      </c>
      <c r="U270" s="14" t="s">
        <v>253</v>
      </c>
      <c r="V270" s="14" t="s">
        <v>254</v>
      </c>
      <c r="W270" s="14" t="s">
        <v>1190</v>
      </c>
      <c r="X270" s="14" t="s">
        <v>256</v>
      </c>
      <c r="Y270" s="14" t="s">
        <v>257</v>
      </c>
      <c r="Z270" s="35" t="s">
        <v>1191</v>
      </c>
      <c r="AA270" s="14" t="s">
        <v>1192</v>
      </c>
      <c r="AB270" s="23" t="str">
        <f>AM270</f>
        <v>9abfc296b9b74968b8b8bba5571996b7</v>
      </c>
      <c r="AC270" s="23"/>
      <c r="AD270" s="23"/>
      <c r="AE270" s="23"/>
      <c r="AF270" s="23"/>
      <c r="AG270" s="14" t="s">
        <v>270</v>
      </c>
      <c r="AH270" s="14">
        <v>700000000</v>
      </c>
      <c r="AI270" s="16" t="s">
        <v>585</v>
      </c>
      <c r="AM270" s="24" t="s">
        <v>122</v>
      </c>
    </row>
    <row r="271" spans="1:39" x14ac:dyDescent="0.2">
      <c r="A271" t="s">
        <v>1801</v>
      </c>
      <c r="B271" t="b">
        <v>0</v>
      </c>
      <c r="C271" t="b">
        <v>0</v>
      </c>
      <c r="D271" t="b">
        <v>1</v>
      </c>
      <c r="E271" t="b">
        <v>0</v>
      </c>
      <c r="F271" t="b">
        <v>1</v>
      </c>
      <c r="G271" t="s">
        <v>361</v>
      </c>
      <c r="H271" t="s">
        <v>1802</v>
      </c>
      <c r="I271" t="s">
        <v>1801</v>
      </c>
      <c r="J271" t="s">
        <v>1803</v>
      </c>
      <c r="K271" t="s">
        <v>1804</v>
      </c>
      <c r="N271" t="s">
        <v>1805</v>
      </c>
      <c r="O271" t="s">
        <v>252</v>
      </c>
      <c r="P271" t="s">
        <v>824</v>
      </c>
      <c r="Q271" t="s">
        <v>825</v>
      </c>
      <c r="R271" s="1">
        <v>44666</v>
      </c>
      <c r="S271" s="1">
        <v>48319</v>
      </c>
      <c r="U271" t="s">
        <v>253</v>
      </c>
      <c r="V271" t="s">
        <v>267</v>
      </c>
      <c r="W271" t="s">
        <v>545</v>
      </c>
      <c r="X271" t="s">
        <v>256</v>
      </c>
      <c r="Y271" t="s">
        <v>257</v>
      </c>
      <c r="AG271" t="s">
        <v>260</v>
      </c>
      <c r="AH271">
        <v>300410000</v>
      </c>
      <c r="AI271" s="3" t="s">
        <v>1806</v>
      </c>
    </row>
    <row r="272" spans="1:39" x14ac:dyDescent="0.2">
      <c r="A272" t="s">
        <v>1807</v>
      </c>
      <c r="B272" t="b">
        <v>0</v>
      </c>
      <c r="C272" t="b">
        <v>0</v>
      </c>
      <c r="D272" t="b">
        <v>1</v>
      </c>
      <c r="E272" t="b">
        <v>0</v>
      </c>
      <c r="F272" t="b">
        <v>1</v>
      </c>
      <c r="G272" t="b">
        <v>0</v>
      </c>
      <c r="H272" t="s">
        <v>1808</v>
      </c>
      <c r="I272" t="s">
        <v>1807</v>
      </c>
      <c r="J272" t="s">
        <v>76</v>
      </c>
      <c r="N272" t="s">
        <v>1809</v>
      </c>
      <c r="O272" t="s">
        <v>252</v>
      </c>
      <c r="R272" s="1">
        <v>44518</v>
      </c>
      <c r="S272" s="1">
        <v>46343</v>
      </c>
      <c r="U272" t="s">
        <v>253</v>
      </c>
      <c r="V272" t="s">
        <v>254</v>
      </c>
      <c r="W272" t="s">
        <v>426</v>
      </c>
      <c r="X272" t="s">
        <v>256</v>
      </c>
      <c r="Y272" t="s">
        <v>257</v>
      </c>
      <c r="Z272" s="32" t="s">
        <v>2757</v>
      </c>
      <c r="AA272" t="s">
        <v>427</v>
      </c>
      <c r="AB272" s="23" t="str">
        <f>AM272</f>
        <v>06916bad6f3d4631a2127d3f46ff766d</v>
      </c>
      <c r="AC272" s="23"/>
      <c r="AD272" s="23"/>
      <c r="AE272" s="23"/>
      <c r="AF272" s="23"/>
      <c r="AG272" t="s">
        <v>260</v>
      </c>
      <c r="AH272">
        <v>64000000</v>
      </c>
      <c r="AI272" s="3" t="s">
        <v>1810</v>
      </c>
      <c r="AM272" s="23" t="s">
        <v>74</v>
      </c>
    </row>
    <row r="273" spans="1:39" x14ac:dyDescent="0.2">
      <c r="A273" t="s">
        <v>1811</v>
      </c>
      <c r="B273" t="b">
        <v>0</v>
      </c>
      <c r="C273" t="b">
        <v>0</v>
      </c>
      <c r="D273" t="b">
        <v>1</v>
      </c>
      <c r="E273" t="b">
        <v>0</v>
      </c>
      <c r="F273" t="b">
        <v>1</v>
      </c>
      <c r="G273" t="s">
        <v>361</v>
      </c>
      <c r="H273" t="s">
        <v>1812</v>
      </c>
      <c r="I273" t="s">
        <v>1811</v>
      </c>
      <c r="M273" t="s">
        <v>1813</v>
      </c>
      <c r="N273" t="s">
        <v>1814</v>
      </c>
      <c r="O273" t="s">
        <v>252</v>
      </c>
      <c r="R273" s="1">
        <v>42943</v>
      </c>
      <c r="S273" s="1">
        <v>49996</v>
      </c>
      <c r="T273" s="2">
        <v>44981.788966215281</v>
      </c>
      <c r="U273" t="s">
        <v>253</v>
      </c>
      <c r="V273" t="s">
        <v>267</v>
      </c>
      <c r="W273" t="s">
        <v>868</v>
      </c>
      <c r="X273" t="s">
        <v>256</v>
      </c>
      <c r="Y273" t="s">
        <v>869</v>
      </c>
      <c r="AG273" t="s">
        <v>270</v>
      </c>
      <c r="AH273">
        <v>135810000</v>
      </c>
      <c r="AI273" s="3" t="s">
        <v>1815</v>
      </c>
    </row>
    <row r="274" spans="1:39" x14ac:dyDescent="0.2">
      <c r="A274" t="s">
        <v>1816</v>
      </c>
      <c r="B274" t="b">
        <v>0</v>
      </c>
      <c r="C274" t="b">
        <v>0</v>
      </c>
      <c r="D274" t="b">
        <v>1</v>
      </c>
      <c r="E274" t="b">
        <v>0</v>
      </c>
      <c r="F274" t="b">
        <v>1</v>
      </c>
      <c r="G274" t="s">
        <v>361</v>
      </c>
      <c r="H274" t="s">
        <v>1817</v>
      </c>
      <c r="I274" t="s">
        <v>1816</v>
      </c>
      <c r="J274" t="s">
        <v>1818</v>
      </c>
      <c r="M274" t="s">
        <v>1819</v>
      </c>
      <c r="N274" t="s">
        <v>1820</v>
      </c>
      <c r="O274" t="s">
        <v>252</v>
      </c>
      <c r="R274" s="1">
        <v>44642</v>
      </c>
      <c r="S274" s="1">
        <v>48228</v>
      </c>
      <c r="U274" t="s">
        <v>253</v>
      </c>
      <c r="V274" t="s">
        <v>254</v>
      </c>
      <c r="W274" t="s">
        <v>666</v>
      </c>
      <c r="X274" t="s">
        <v>256</v>
      </c>
      <c r="Y274" t="s">
        <v>257</v>
      </c>
      <c r="AG274" t="s">
        <v>260</v>
      </c>
      <c r="AH274">
        <v>605202000</v>
      </c>
      <c r="AI274" s="3" t="s">
        <v>1821</v>
      </c>
    </row>
    <row r="275" spans="1:39" x14ac:dyDescent="0.2">
      <c r="A275" t="s">
        <v>1822</v>
      </c>
      <c r="B275" t="b">
        <v>0</v>
      </c>
      <c r="C275" t="b">
        <v>0</v>
      </c>
      <c r="D275" t="b">
        <v>1</v>
      </c>
      <c r="E275" t="b">
        <v>0</v>
      </c>
      <c r="F275" t="b">
        <v>1</v>
      </c>
      <c r="G275" t="b">
        <v>0</v>
      </c>
      <c r="H275" t="s">
        <v>1823</v>
      </c>
      <c r="I275" t="s">
        <v>1822</v>
      </c>
      <c r="J275" t="s">
        <v>6</v>
      </c>
      <c r="N275" t="s">
        <v>1824</v>
      </c>
      <c r="O275" t="s">
        <v>252</v>
      </c>
      <c r="P275" t="s">
        <v>275</v>
      </c>
      <c r="Q275" t="s">
        <v>276</v>
      </c>
      <c r="R275" s="1">
        <v>43815</v>
      </c>
      <c r="S275" s="1">
        <v>45644</v>
      </c>
      <c r="T275" s="2">
        <v>45960.689913726848</v>
      </c>
      <c r="U275" t="s">
        <v>253</v>
      </c>
      <c r="V275" t="s">
        <v>267</v>
      </c>
      <c r="W275" t="s">
        <v>277</v>
      </c>
      <c r="X275" t="s">
        <v>278</v>
      </c>
      <c r="Y275" t="s">
        <v>279</v>
      </c>
      <c r="Z275" s="32" t="s">
        <v>1072</v>
      </c>
      <c r="AA275" t="s">
        <v>280</v>
      </c>
      <c r="AB275" s="23" t="str">
        <f>AM275</f>
        <v>4d55cd98379640de90be2eb2fa9aba1f</v>
      </c>
      <c r="AC275" s="23"/>
      <c r="AD275" s="23"/>
      <c r="AE275" s="23"/>
      <c r="AF275" s="23"/>
      <c r="AG275" t="s">
        <v>270</v>
      </c>
      <c r="AH275">
        <v>7000000</v>
      </c>
      <c r="AI275" s="3" t="s">
        <v>895</v>
      </c>
      <c r="AM275" s="23" t="s">
        <v>2</v>
      </c>
    </row>
    <row r="276" spans="1:39" x14ac:dyDescent="0.2">
      <c r="A276" t="s">
        <v>1825</v>
      </c>
      <c r="B276" t="b">
        <v>0</v>
      </c>
      <c r="C276" t="b">
        <v>0</v>
      </c>
      <c r="D276" t="b">
        <v>0</v>
      </c>
      <c r="E276" t="b">
        <v>0</v>
      </c>
      <c r="F276" t="b">
        <v>0</v>
      </c>
      <c r="G276" t="b">
        <v>1</v>
      </c>
      <c r="H276" t="s">
        <v>1826</v>
      </c>
      <c r="I276" t="s">
        <v>1825</v>
      </c>
      <c r="J276" t="s">
        <v>36</v>
      </c>
      <c r="N276" t="s">
        <v>1827</v>
      </c>
      <c r="O276" t="s">
        <v>252</v>
      </c>
      <c r="P276" t="s">
        <v>596</v>
      </c>
      <c r="Q276" t="s">
        <v>597</v>
      </c>
      <c r="R276" s="1">
        <v>44974</v>
      </c>
      <c r="S276" s="1">
        <v>47522</v>
      </c>
      <c r="T276" s="2">
        <v>44977.943542002315</v>
      </c>
      <c r="U276" t="s">
        <v>253</v>
      </c>
      <c r="V276" t="s">
        <v>295</v>
      </c>
      <c r="W276" t="s">
        <v>342</v>
      </c>
      <c r="X276" t="s">
        <v>305</v>
      </c>
      <c r="Y276" t="s">
        <v>343</v>
      </c>
      <c r="AA276" t="s">
        <v>344</v>
      </c>
      <c r="AB276" s="23" t="str">
        <f>AM276</f>
        <v>41f78746078d444787f9a1f78b30153c</v>
      </c>
      <c r="AC276" s="23"/>
      <c r="AD276" s="23"/>
      <c r="AE276" s="23"/>
      <c r="AF276" s="23"/>
      <c r="AG276" t="s">
        <v>345</v>
      </c>
      <c r="AH276">
        <v>6000000000</v>
      </c>
      <c r="AI276" s="3" t="s">
        <v>1828</v>
      </c>
      <c r="AM276" s="23" t="s">
        <v>27</v>
      </c>
    </row>
    <row r="277" spans="1:39" x14ac:dyDescent="0.2">
      <c r="A277" t="s">
        <v>1829</v>
      </c>
      <c r="B277" t="b">
        <v>1</v>
      </c>
      <c r="C277" t="b">
        <v>0</v>
      </c>
      <c r="D277" t="b">
        <v>1</v>
      </c>
      <c r="E277" t="b">
        <v>0</v>
      </c>
      <c r="F277" t="b">
        <v>0</v>
      </c>
      <c r="G277" t="s">
        <v>361</v>
      </c>
      <c r="H277" t="s">
        <v>1830</v>
      </c>
      <c r="I277" t="s">
        <v>1829</v>
      </c>
      <c r="J277" t="s">
        <v>1831</v>
      </c>
      <c r="L277" t="s">
        <v>1832</v>
      </c>
      <c r="N277" t="s">
        <v>1833</v>
      </c>
      <c r="O277" t="s">
        <v>252</v>
      </c>
      <c r="R277" s="1">
        <v>42485</v>
      </c>
      <c r="S277" s="1">
        <v>44311</v>
      </c>
      <c r="T277" s="2">
        <v>46079.826696145836</v>
      </c>
      <c r="U277" t="s">
        <v>743</v>
      </c>
      <c r="V277" t="s">
        <v>267</v>
      </c>
      <c r="W277" t="s">
        <v>350</v>
      </c>
      <c r="X277" t="s">
        <v>305</v>
      </c>
      <c r="Y277" t="s">
        <v>351</v>
      </c>
      <c r="AG277" t="s">
        <v>270</v>
      </c>
      <c r="AH277">
        <v>500000000</v>
      </c>
      <c r="AI277" s="3" t="s">
        <v>922</v>
      </c>
    </row>
    <row r="278" spans="1:39" x14ac:dyDescent="0.2">
      <c r="A278" t="s">
        <v>1834</v>
      </c>
      <c r="B278" t="b">
        <v>0</v>
      </c>
      <c r="C278" t="b">
        <v>0</v>
      </c>
      <c r="D278" t="b">
        <v>1</v>
      </c>
      <c r="E278" t="b">
        <v>0</v>
      </c>
      <c r="F278" t="b">
        <v>1</v>
      </c>
      <c r="G278" t="s">
        <v>361</v>
      </c>
      <c r="H278" t="s">
        <v>1835</v>
      </c>
      <c r="I278" t="s">
        <v>1834</v>
      </c>
      <c r="J278" t="s">
        <v>190</v>
      </c>
      <c r="N278" t="s">
        <v>1836</v>
      </c>
      <c r="O278" t="s">
        <v>252</v>
      </c>
      <c r="R278" s="1">
        <v>44284</v>
      </c>
      <c r="S278" s="1">
        <v>46097</v>
      </c>
      <c r="U278" t="s">
        <v>253</v>
      </c>
      <c r="V278" t="s">
        <v>254</v>
      </c>
      <c r="W278" t="s">
        <v>1837</v>
      </c>
      <c r="X278" t="s">
        <v>256</v>
      </c>
      <c r="Y278" t="s">
        <v>257</v>
      </c>
      <c r="AA278" s="7" t="s">
        <v>1838</v>
      </c>
      <c r="AB278" s="23" t="str">
        <f>AM278</f>
        <v>0ca1bbf86b2045aba7e8ff9a179c2758</v>
      </c>
      <c r="AC278" s="23"/>
      <c r="AD278" s="23"/>
      <c r="AE278" s="23"/>
      <c r="AF278" s="23"/>
      <c r="AG278" t="s">
        <v>260</v>
      </c>
      <c r="AH278">
        <v>347809000</v>
      </c>
      <c r="AI278" s="3" t="s">
        <v>1839</v>
      </c>
      <c r="AM278" s="23" t="s">
        <v>189</v>
      </c>
    </row>
    <row r="279" spans="1:39" x14ac:dyDescent="0.2">
      <c r="A279" t="s">
        <v>1840</v>
      </c>
      <c r="B279" t="b">
        <v>1</v>
      </c>
      <c r="C279" t="b">
        <v>0</v>
      </c>
      <c r="D279" t="b">
        <v>1</v>
      </c>
      <c r="E279" t="s">
        <v>522</v>
      </c>
      <c r="F279" t="b">
        <v>0</v>
      </c>
      <c r="G279" t="b">
        <v>0</v>
      </c>
      <c r="H279" t="s">
        <v>1841</v>
      </c>
      <c r="I279" t="s">
        <v>1840</v>
      </c>
      <c r="J279" s="20" t="s">
        <v>1842</v>
      </c>
      <c r="K279" t="s">
        <v>1843</v>
      </c>
      <c r="N279" t="s">
        <v>1844</v>
      </c>
      <c r="O279" t="s">
        <v>252</v>
      </c>
      <c r="R279" s="1">
        <v>42829</v>
      </c>
      <c r="S279" s="1">
        <v>46481</v>
      </c>
      <c r="T279" s="2">
        <v>45328.828041655092</v>
      </c>
      <c r="U279" t="s">
        <v>253</v>
      </c>
      <c r="V279" t="s">
        <v>267</v>
      </c>
      <c r="W279" t="s">
        <v>1845</v>
      </c>
      <c r="X279" t="s">
        <v>256</v>
      </c>
      <c r="Y279" t="s">
        <v>287</v>
      </c>
      <c r="Z279" s="35" t="s">
        <v>1846</v>
      </c>
      <c r="AA279" s="7" t="s">
        <v>1847</v>
      </c>
      <c r="AB279" s="7" t="s">
        <v>1848</v>
      </c>
      <c r="AC279" s="7"/>
      <c r="AD279" s="7"/>
      <c r="AE279" s="7"/>
      <c r="AF279" s="7"/>
      <c r="AG279" t="s">
        <v>270</v>
      </c>
      <c r="AH279">
        <v>500000000</v>
      </c>
      <c r="AI279" s="3" t="s">
        <v>922</v>
      </c>
      <c r="AM279" s="7"/>
    </row>
    <row r="280" spans="1:39" s="14" customFormat="1" x14ac:dyDescent="0.2">
      <c r="A280" s="14" t="s">
        <v>1849</v>
      </c>
      <c r="B280" s="14" t="b">
        <v>1</v>
      </c>
      <c r="C280" s="14" t="b">
        <v>0</v>
      </c>
      <c r="D280" s="14" t="b">
        <v>1</v>
      </c>
      <c r="E280" s="14" t="s">
        <v>522</v>
      </c>
      <c r="F280" s="14" t="b">
        <v>0</v>
      </c>
      <c r="G280" s="14" t="b">
        <v>0</v>
      </c>
      <c r="H280" s="14" t="s">
        <v>1850</v>
      </c>
      <c r="I280" s="14" t="s">
        <v>1849</v>
      </c>
      <c r="J280" s="19" t="s">
        <v>200</v>
      </c>
      <c r="K280" s="14" t="s">
        <v>1851</v>
      </c>
      <c r="M280" s="14" t="s">
        <v>1852</v>
      </c>
      <c r="N280" s="14" t="s">
        <v>1853</v>
      </c>
      <c r="O280" s="14" t="s">
        <v>252</v>
      </c>
      <c r="R280" s="15">
        <v>42914</v>
      </c>
      <c r="S280" s="15">
        <v>46566</v>
      </c>
      <c r="U280" s="14" t="s">
        <v>253</v>
      </c>
      <c r="V280" s="14" t="s">
        <v>254</v>
      </c>
      <c r="W280" s="14" t="s">
        <v>1854</v>
      </c>
      <c r="X280" s="14" t="s">
        <v>256</v>
      </c>
      <c r="Y280" s="14" t="s">
        <v>343</v>
      </c>
      <c r="Z280" s="35" t="s">
        <v>1855</v>
      </c>
      <c r="AA280" s="34" t="s">
        <v>1856</v>
      </c>
      <c r="AB280" s="23" t="str">
        <f>AM280</f>
        <v>95b3eb28144a4ce6a75c1665a0a4d887</v>
      </c>
      <c r="AC280" s="23"/>
      <c r="AD280" s="23"/>
      <c r="AE280" s="23"/>
      <c r="AF280" s="23"/>
      <c r="AG280" s="14" t="s">
        <v>345</v>
      </c>
      <c r="AH280" s="14">
        <v>4600000000</v>
      </c>
      <c r="AI280" s="16" t="s">
        <v>1857</v>
      </c>
      <c r="AM280" s="24" t="s">
        <v>199</v>
      </c>
    </row>
    <row r="281" spans="1:39" x14ac:dyDescent="0.2">
      <c r="A281" t="s">
        <v>1858</v>
      </c>
      <c r="B281" t="b">
        <v>0</v>
      </c>
      <c r="C281" t="b">
        <v>0</v>
      </c>
      <c r="D281" t="b">
        <v>1</v>
      </c>
      <c r="E281" t="b">
        <v>0</v>
      </c>
      <c r="F281" t="b">
        <v>1</v>
      </c>
      <c r="G281" t="s">
        <v>361</v>
      </c>
      <c r="H281" t="s">
        <v>1859</v>
      </c>
      <c r="I281" t="s">
        <v>1858</v>
      </c>
      <c r="J281" t="s">
        <v>1860</v>
      </c>
      <c r="M281" t="s">
        <v>1861</v>
      </c>
      <c r="N281" t="s">
        <v>1862</v>
      </c>
      <c r="O281" t="s">
        <v>252</v>
      </c>
      <c r="R281" s="1">
        <v>44579</v>
      </c>
      <c r="S281" s="1">
        <v>45125</v>
      </c>
      <c r="T281" s="2">
        <v>46128.878989803241</v>
      </c>
      <c r="U281" t="s">
        <v>253</v>
      </c>
      <c r="V281" t="s">
        <v>254</v>
      </c>
      <c r="W281" t="s">
        <v>749</v>
      </c>
      <c r="X281" t="s">
        <v>256</v>
      </c>
      <c r="Y281" t="s">
        <v>269</v>
      </c>
      <c r="AG281" t="s">
        <v>488</v>
      </c>
      <c r="AH281">
        <v>3107268000</v>
      </c>
      <c r="AI281" s="3" t="s">
        <v>602</v>
      </c>
    </row>
    <row r="282" spans="1:39" x14ac:dyDescent="0.2">
      <c r="A282" t="s">
        <v>1863</v>
      </c>
      <c r="B282" t="b">
        <v>0</v>
      </c>
      <c r="C282" t="b">
        <v>0</v>
      </c>
      <c r="D282" t="b">
        <v>0</v>
      </c>
      <c r="E282" t="b">
        <v>0</v>
      </c>
      <c r="F282" t="b">
        <v>0</v>
      </c>
      <c r="G282" t="b">
        <v>1</v>
      </c>
      <c r="H282" t="s">
        <v>1864</v>
      </c>
      <c r="I282" t="s">
        <v>1863</v>
      </c>
      <c r="J282" t="s">
        <v>31</v>
      </c>
      <c r="K282" t="s">
        <v>1865</v>
      </c>
      <c r="M282" t="s">
        <v>1866</v>
      </c>
      <c r="N282" t="s">
        <v>1867</v>
      </c>
      <c r="O282" t="s">
        <v>252</v>
      </c>
      <c r="P282" t="s">
        <v>696</v>
      </c>
      <c r="Q282" t="s">
        <v>697</v>
      </c>
      <c r="R282" s="1">
        <v>44495</v>
      </c>
      <c r="S282" s="1">
        <v>48138</v>
      </c>
      <c r="T282" s="2">
        <v>44937.850552476855</v>
      </c>
      <c r="U282" t="s">
        <v>253</v>
      </c>
      <c r="V282" t="s">
        <v>295</v>
      </c>
      <c r="W282" t="s">
        <v>342</v>
      </c>
      <c r="X282" t="s">
        <v>305</v>
      </c>
      <c r="Y282" t="s">
        <v>343</v>
      </c>
      <c r="AA282" t="s">
        <v>344</v>
      </c>
      <c r="AB282" s="23" t="str">
        <f>AM282</f>
        <v>41f78746078d444787f9a1f78b30153c</v>
      </c>
      <c r="AC282" s="23"/>
      <c r="AD282" s="23"/>
      <c r="AE282" s="23"/>
      <c r="AF282" s="23"/>
      <c r="AG282" t="s">
        <v>345</v>
      </c>
      <c r="AH282">
        <v>6000000000</v>
      </c>
      <c r="AI282" s="3" t="s">
        <v>1868</v>
      </c>
      <c r="AM282" s="23" t="s">
        <v>27</v>
      </c>
    </row>
    <row r="283" spans="1:39" x14ac:dyDescent="0.2">
      <c r="A283" t="s">
        <v>1869</v>
      </c>
      <c r="B283" t="b">
        <v>1</v>
      </c>
      <c r="C283" t="b">
        <v>0</v>
      </c>
      <c r="D283" t="b">
        <v>1</v>
      </c>
      <c r="E283" t="s">
        <v>248</v>
      </c>
      <c r="F283" t="b">
        <v>0</v>
      </c>
      <c r="G283" t="b">
        <v>0</v>
      </c>
      <c r="H283" t="s">
        <v>1870</v>
      </c>
      <c r="I283" t="s">
        <v>1869</v>
      </c>
      <c r="J283" t="s">
        <v>1871</v>
      </c>
      <c r="K283" t="s">
        <v>1872</v>
      </c>
      <c r="N283" t="s">
        <v>1873</v>
      </c>
      <c r="O283" t="s">
        <v>252</v>
      </c>
      <c r="R283" s="1">
        <v>43609</v>
      </c>
      <c r="S283" s="1">
        <v>52732</v>
      </c>
      <c r="U283" t="s">
        <v>253</v>
      </c>
      <c r="V283" t="s">
        <v>267</v>
      </c>
      <c r="W283" t="s">
        <v>545</v>
      </c>
      <c r="X283" t="s">
        <v>256</v>
      </c>
      <c r="Y283" t="s">
        <v>257</v>
      </c>
      <c r="AA283" s="6" t="s">
        <v>673</v>
      </c>
      <c r="AB283" s="7" t="s">
        <v>674</v>
      </c>
      <c r="AC283" s="7"/>
      <c r="AD283" s="7"/>
      <c r="AE283" s="7"/>
      <c r="AF283" s="7"/>
      <c r="AG283" t="s">
        <v>260</v>
      </c>
      <c r="AH283">
        <v>210000000</v>
      </c>
      <c r="AI283" s="3" t="s">
        <v>1874</v>
      </c>
      <c r="AM283" s="6"/>
    </row>
    <row r="284" spans="1:39" x14ac:dyDescent="0.2">
      <c r="A284" t="s">
        <v>1875</v>
      </c>
      <c r="B284" t="b">
        <v>0</v>
      </c>
      <c r="C284" t="b">
        <v>0</v>
      </c>
      <c r="D284" t="b">
        <v>1</v>
      </c>
      <c r="E284" t="b">
        <v>0</v>
      </c>
      <c r="F284" t="b">
        <v>1</v>
      </c>
      <c r="G284" t="b">
        <v>0</v>
      </c>
      <c r="H284" t="s">
        <v>1876</v>
      </c>
      <c r="I284" t="s">
        <v>1875</v>
      </c>
      <c r="J284" t="s">
        <v>204</v>
      </c>
      <c r="N284" t="s">
        <v>1877</v>
      </c>
      <c r="O284" t="s">
        <v>252</v>
      </c>
      <c r="R284" s="1">
        <v>44344</v>
      </c>
      <c r="S284" s="1">
        <v>46168</v>
      </c>
      <c r="T284" s="2">
        <v>45013.873542199071</v>
      </c>
      <c r="U284" t="s">
        <v>253</v>
      </c>
      <c r="V284" t="s">
        <v>267</v>
      </c>
      <c r="W284" t="s">
        <v>1878</v>
      </c>
      <c r="X284" t="s">
        <v>278</v>
      </c>
      <c r="Y284" t="s">
        <v>351</v>
      </c>
      <c r="Z284" s="32" t="s">
        <v>2734</v>
      </c>
      <c r="AA284" t="s">
        <v>1879</v>
      </c>
      <c r="AB284" s="23" t="str">
        <f>AM284</f>
        <v>616bf483456a4f2584a515fd255ad176</v>
      </c>
      <c r="AC284" s="23"/>
      <c r="AD284" s="23"/>
      <c r="AE284" s="23"/>
      <c r="AF284" s="23"/>
      <c r="AG284" t="s">
        <v>647</v>
      </c>
      <c r="AH284">
        <v>50000000000</v>
      </c>
      <c r="AI284" s="3" t="s">
        <v>1880</v>
      </c>
      <c r="AM284" s="23" t="s">
        <v>203</v>
      </c>
    </row>
    <row r="285" spans="1:39" x14ac:dyDescent="0.2">
      <c r="A285" t="s">
        <v>1881</v>
      </c>
      <c r="B285" t="b">
        <v>0</v>
      </c>
      <c r="C285" t="b">
        <v>0</v>
      </c>
      <c r="D285" t="b">
        <v>0</v>
      </c>
      <c r="E285" t="b">
        <v>0</v>
      </c>
      <c r="F285" t="b">
        <v>0</v>
      </c>
      <c r="G285" t="b">
        <v>1</v>
      </c>
      <c r="H285" t="s">
        <v>1882</v>
      </c>
      <c r="I285" t="s">
        <v>1881</v>
      </c>
      <c r="J285" t="s">
        <v>188</v>
      </c>
      <c r="K285" t="s">
        <v>1883</v>
      </c>
      <c r="N285" t="s">
        <v>1884</v>
      </c>
      <c r="O285" t="s">
        <v>252</v>
      </c>
      <c r="R285" s="1">
        <v>43763</v>
      </c>
      <c r="S285" s="1">
        <v>44859</v>
      </c>
      <c r="T285" s="2">
        <v>45117.903506805553</v>
      </c>
      <c r="U285" t="s">
        <v>253</v>
      </c>
      <c r="V285" t="s">
        <v>295</v>
      </c>
      <c r="W285" t="s">
        <v>1517</v>
      </c>
      <c r="X285" t="s">
        <v>305</v>
      </c>
      <c r="Y285" t="s">
        <v>808</v>
      </c>
      <c r="AA285" t="s">
        <v>1885</v>
      </c>
      <c r="AB285" s="23" t="str">
        <f>AM285</f>
        <v>830cb84d78304b5ca38d002488709460</v>
      </c>
      <c r="AC285" s="23"/>
      <c r="AD285" s="23"/>
      <c r="AE285" s="23"/>
      <c r="AF285" s="23"/>
      <c r="AG285" t="s">
        <v>811</v>
      </c>
      <c r="AH285">
        <v>100000000</v>
      </c>
      <c r="AI285" s="3" t="s">
        <v>1886</v>
      </c>
      <c r="AM285" s="23" t="s">
        <v>187</v>
      </c>
    </row>
    <row r="286" spans="1:39" x14ac:dyDescent="0.2">
      <c r="A286" t="s">
        <v>1887</v>
      </c>
      <c r="B286" t="b">
        <v>1</v>
      </c>
      <c r="C286" t="b">
        <v>0</v>
      </c>
      <c r="D286" t="b">
        <v>1</v>
      </c>
      <c r="E286" t="s">
        <v>248</v>
      </c>
      <c r="F286" t="b">
        <v>0</v>
      </c>
      <c r="G286" t="b">
        <v>0</v>
      </c>
      <c r="H286" t="s">
        <v>1888</v>
      </c>
      <c r="I286" t="s">
        <v>1887</v>
      </c>
      <c r="J286" t="s">
        <v>1889</v>
      </c>
      <c r="L286" t="s">
        <v>1890</v>
      </c>
      <c r="N286" t="s">
        <v>1891</v>
      </c>
      <c r="O286" t="s">
        <v>252</v>
      </c>
      <c r="R286" s="1">
        <v>42565</v>
      </c>
      <c r="S286" s="1">
        <v>46217</v>
      </c>
      <c r="U286" t="s">
        <v>743</v>
      </c>
      <c r="V286" t="s">
        <v>254</v>
      </c>
      <c r="W286" t="s">
        <v>442</v>
      </c>
      <c r="X286" t="s">
        <v>256</v>
      </c>
      <c r="Y286" t="s">
        <v>257</v>
      </c>
      <c r="AA286" s="6" t="s">
        <v>415</v>
      </c>
      <c r="AB286" s="6"/>
      <c r="AC286" s="6"/>
      <c r="AD286" s="6"/>
      <c r="AE286" s="6"/>
      <c r="AF286" s="6"/>
      <c r="AG286" t="s">
        <v>270</v>
      </c>
      <c r="AH286">
        <v>700000000</v>
      </c>
      <c r="AI286" s="3" t="s">
        <v>585</v>
      </c>
      <c r="AM286" s="6"/>
    </row>
    <row r="287" spans="1:39" x14ac:dyDescent="0.2">
      <c r="A287" t="s">
        <v>893</v>
      </c>
      <c r="B287" t="b">
        <v>0</v>
      </c>
      <c r="C287" t="b">
        <v>0</v>
      </c>
      <c r="D287" t="b">
        <v>1</v>
      </c>
      <c r="E287" t="b">
        <v>0</v>
      </c>
      <c r="F287" t="b">
        <v>1</v>
      </c>
      <c r="G287" t="s">
        <v>361</v>
      </c>
      <c r="H287" t="s">
        <v>894</v>
      </c>
      <c r="I287" t="s">
        <v>893</v>
      </c>
      <c r="M287" t="s">
        <v>1892</v>
      </c>
      <c r="N287" t="s">
        <v>1893</v>
      </c>
      <c r="O287" t="s">
        <v>382</v>
      </c>
      <c r="U287" t="s">
        <v>253</v>
      </c>
      <c r="V287" t="s">
        <v>254</v>
      </c>
      <c r="W287" t="s">
        <v>399</v>
      </c>
      <c r="X287" t="s">
        <v>256</v>
      </c>
      <c r="Y287" t="s">
        <v>400</v>
      </c>
      <c r="AG287" t="s">
        <v>401</v>
      </c>
    </row>
    <row r="288" spans="1:39" x14ac:dyDescent="0.2">
      <c r="A288" t="s">
        <v>1894</v>
      </c>
      <c r="B288" t="b">
        <v>0</v>
      </c>
      <c r="C288" t="b">
        <v>0</v>
      </c>
      <c r="D288" t="b">
        <v>1</v>
      </c>
      <c r="E288" t="b">
        <v>0</v>
      </c>
      <c r="F288" t="b">
        <v>1</v>
      </c>
      <c r="G288" t="b">
        <v>0</v>
      </c>
      <c r="H288" t="s">
        <v>1895</v>
      </c>
      <c r="I288" t="s">
        <v>1894</v>
      </c>
      <c r="M288" t="s">
        <v>1896</v>
      </c>
      <c r="N288" t="s">
        <v>1897</v>
      </c>
      <c r="O288" t="s">
        <v>252</v>
      </c>
      <c r="P288" t="s">
        <v>1277</v>
      </c>
      <c r="Q288" t="s">
        <v>1278</v>
      </c>
      <c r="R288" s="1">
        <v>45280</v>
      </c>
      <c r="S288" s="1">
        <v>48160</v>
      </c>
      <c r="T288" s="2">
        <v>45369.549320162034</v>
      </c>
      <c r="U288" t="s">
        <v>253</v>
      </c>
      <c r="V288" t="s">
        <v>267</v>
      </c>
      <c r="W288" t="s">
        <v>1279</v>
      </c>
      <c r="X288" t="s">
        <v>305</v>
      </c>
      <c r="Y288" t="s">
        <v>1280</v>
      </c>
      <c r="Z288" s="32" t="s">
        <v>2739</v>
      </c>
      <c r="AA288" t="s">
        <v>1281</v>
      </c>
      <c r="AB288" s="23" t="str">
        <f>AM288</f>
        <v>d6700b8c707544c78fa5f4e5a0b6c1e4</v>
      </c>
      <c r="AC288" s="23"/>
      <c r="AD288" s="23"/>
      <c r="AE288" s="23"/>
      <c r="AF288" s="23"/>
      <c r="AG288" t="s">
        <v>1282</v>
      </c>
      <c r="AH288">
        <v>46305000</v>
      </c>
      <c r="AI288" s="3" t="s">
        <v>1898</v>
      </c>
      <c r="AM288" s="23" t="s">
        <v>209</v>
      </c>
    </row>
    <row r="289" spans="1:39" x14ac:dyDescent="0.2">
      <c r="A289" t="s">
        <v>1899</v>
      </c>
      <c r="B289" t="b">
        <v>0</v>
      </c>
      <c r="C289" t="b">
        <v>0</v>
      </c>
      <c r="D289" t="b">
        <v>1</v>
      </c>
      <c r="E289" t="b">
        <v>0</v>
      </c>
      <c r="F289" t="b">
        <v>1</v>
      </c>
      <c r="G289" t="b">
        <v>0</v>
      </c>
      <c r="H289" t="s">
        <v>1900</v>
      </c>
      <c r="I289" t="s">
        <v>1899</v>
      </c>
      <c r="J289" t="s">
        <v>13</v>
      </c>
      <c r="N289" t="s">
        <v>1901</v>
      </c>
      <c r="O289" t="s">
        <v>252</v>
      </c>
      <c r="P289" t="s">
        <v>275</v>
      </c>
      <c r="Q289" t="s">
        <v>276</v>
      </c>
      <c r="R289" s="1">
        <v>44181</v>
      </c>
      <c r="S289" s="1">
        <v>44729</v>
      </c>
      <c r="T289" s="2">
        <v>45960.678883263892</v>
      </c>
      <c r="U289" t="s">
        <v>253</v>
      </c>
      <c r="V289" t="s">
        <v>267</v>
      </c>
      <c r="W289" t="s">
        <v>277</v>
      </c>
      <c r="X289" t="s">
        <v>278</v>
      </c>
      <c r="Y289" t="s">
        <v>279</v>
      </c>
      <c r="Z289" s="32" t="s">
        <v>1072</v>
      </c>
      <c r="AA289" t="s">
        <v>280</v>
      </c>
      <c r="AB289" s="23" t="str">
        <f>AM289</f>
        <v>4d55cd98379640de90be2eb2fa9aba1f</v>
      </c>
      <c r="AC289" s="23"/>
      <c r="AD289" s="23"/>
      <c r="AE289" s="23"/>
      <c r="AF289" s="23"/>
      <c r="AG289" t="s">
        <v>270</v>
      </c>
      <c r="AH289">
        <v>1000000</v>
      </c>
      <c r="AI289" s="3" t="s">
        <v>765</v>
      </c>
      <c r="AM289" s="23" t="s">
        <v>2</v>
      </c>
    </row>
    <row r="290" spans="1:39" x14ac:dyDescent="0.2">
      <c r="A290" t="s">
        <v>340</v>
      </c>
      <c r="B290" t="b">
        <v>0</v>
      </c>
      <c r="C290" t="b">
        <v>0</v>
      </c>
      <c r="D290" t="b">
        <v>0</v>
      </c>
      <c r="E290" t="b">
        <v>0</v>
      </c>
      <c r="F290" t="b">
        <v>0</v>
      </c>
      <c r="G290" t="b">
        <v>1</v>
      </c>
      <c r="H290" t="s">
        <v>341</v>
      </c>
      <c r="I290" t="s">
        <v>340</v>
      </c>
      <c r="M290" t="s">
        <v>1902</v>
      </c>
      <c r="N290" t="s">
        <v>1903</v>
      </c>
      <c r="O290" t="s">
        <v>382</v>
      </c>
      <c r="T290" s="2">
        <v>45233.797115057867</v>
      </c>
      <c r="U290" t="s">
        <v>253</v>
      </c>
      <c r="V290" t="s">
        <v>295</v>
      </c>
      <c r="W290" t="s">
        <v>342</v>
      </c>
      <c r="X290" t="s">
        <v>305</v>
      </c>
      <c r="Y290" t="s">
        <v>343</v>
      </c>
      <c r="AA290" t="s">
        <v>344</v>
      </c>
      <c r="AB290" s="23" t="str">
        <f>AM290</f>
        <v>41f78746078d444787f9a1f78b30153c</v>
      </c>
      <c r="AC290" s="23"/>
      <c r="AD290" s="23"/>
      <c r="AE290" s="23"/>
      <c r="AF290" s="23"/>
      <c r="AG290" t="s">
        <v>345</v>
      </c>
      <c r="AM290" s="23" t="s">
        <v>27</v>
      </c>
    </row>
    <row r="291" spans="1:39" x14ac:dyDescent="0.2">
      <c r="A291" t="s">
        <v>1904</v>
      </c>
      <c r="B291" t="b">
        <v>0</v>
      </c>
      <c r="C291" t="b">
        <v>0</v>
      </c>
      <c r="D291" t="b">
        <v>1</v>
      </c>
      <c r="E291" t="b">
        <v>0</v>
      </c>
      <c r="F291" t="b">
        <v>1</v>
      </c>
      <c r="G291" t="s">
        <v>361</v>
      </c>
      <c r="H291" t="s">
        <v>1905</v>
      </c>
      <c r="I291" t="s">
        <v>1904</v>
      </c>
      <c r="M291" t="s">
        <v>1906</v>
      </c>
      <c r="N291" t="s">
        <v>1907</v>
      </c>
      <c r="O291" t="s">
        <v>252</v>
      </c>
      <c r="R291" s="1">
        <v>44183</v>
      </c>
      <c r="S291" s="1">
        <v>46739</v>
      </c>
      <c r="U291" t="s">
        <v>253</v>
      </c>
      <c r="V291" t="s">
        <v>254</v>
      </c>
      <c r="W291" t="s">
        <v>1908</v>
      </c>
      <c r="X291" t="s">
        <v>305</v>
      </c>
      <c r="Y291" t="s">
        <v>257</v>
      </c>
      <c r="AG291" t="s">
        <v>270</v>
      </c>
      <c r="AH291">
        <v>50000000</v>
      </c>
      <c r="AI291" s="3" t="s">
        <v>353</v>
      </c>
    </row>
    <row r="292" spans="1:39" s="14" customFormat="1" x14ac:dyDescent="0.2">
      <c r="A292" s="14" t="s">
        <v>1909</v>
      </c>
      <c r="B292" s="14" t="b">
        <v>1</v>
      </c>
      <c r="C292" s="14" t="b">
        <v>0</v>
      </c>
      <c r="D292" s="14" t="b">
        <v>1</v>
      </c>
      <c r="E292" s="14" t="s">
        <v>522</v>
      </c>
      <c r="F292" s="14" t="b">
        <v>0</v>
      </c>
      <c r="G292" s="14" t="b">
        <v>0</v>
      </c>
      <c r="H292" s="14" t="s">
        <v>1910</v>
      </c>
      <c r="I292" s="14" t="s">
        <v>1909</v>
      </c>
      <c r="J292" s="19" t="s">
        <v>102</v>
      </c>
      <c r="K292" s="14" t="s">
        <v>1911</v>
      </c>
      <c r="N292" s="14" t="s">
        <v>1912</v>
      </c>
      <c r="O292" s="14" t="s">
        <v>252</v>
      </c>
      <c r="R292" s="15">
        <v>44484</v>
      </c>
      <c r="S292" s="15">
        <v>51058</v>
      </c>
      <c r="U292" s="14" t="s">
        <v>253</v>
      </c>
      <c r="V292" s="14" t="s">
        <v>267</v>
      </c>
      <c r="W292" s="14" t="s">
        <v>1042</v>
      </c>
      <c r="X292" s="14" t="s">
        <v>256</v>
      </c>
      <c r="Y292" s="14" t="s">
        <v>257</v>
      </c>
      <c r="Z292" s="35" t="s">
        <v>1398</v>
      </c>
      <c r="AA292" s="34" t="s">
        <v>1399</v>
      </c>
      <c r="AB292" s="23" t="str">
        <f>AM292</f>
        <v>e791ce8ea3eb4c6897df799280b78881</v>
      </c>
      <c r="AC292" s="23"/>
      <c r="AD292" s="23"/>
      <c r="AE292" s="23"/>
      <c r="AF292" s="23"/>
      <c r="AG292" s="14" t="s">
        <v>260</v>
      </c>
      <c r="AH292" s="14">
        <v>950000000</v>
      </c>
      <c r="AI292" s="16" t="s">
        <v>1913</v>
      </c>
      <c r="AM292" s="24" t="s">
        <v>99</v>
      </c>
    </row>
    <row r="293" spans="1:39" x14ac:dyDescent="0.2">
      <c r="A293" t="s">
        <v>1914</v>
      </c>
      <c r="B293" t="b">
        <v>0</v>
      </c>
      <c r="C293" t="b">
        <v>0</v>
      </c>
      <c r="D293" t="b">
        <v>1</v>
      </c>
      <c r="E293" t="b">
        <v>0</v>
      </c>
      <c r="F293" t="b">
        <v>1</v>
      </c>
      <c r="G293" t="b">
        <v>0</v>
      </c>
      <c r="H293" t="s">
        <v>1915</v>
      </c>
      <c r="I293" t="s">
        <v>1914</v>
      </c>
      <c r="J293" t="s">
        <v>15</v>
      </c>
      <c r="K293" t="s">
        <v>1916</v>
      </c>
      <c r="N293" t="s">
        <v>1917</v>
      </c>
      <c r="O293" t="s">
        <v>252</v>
      </c>
      <c r="P293" t="s">
        <v>275</v>
      </c>
      <c r="Q293" t="s">
        <v>276</v>
      </c>
      <c r="R293" s="1">
        <v>44840</v>
      </c>
      <c r="S293" s="1">
        <v>45200</v>
      </c>
      <c r="T293" s="2">
        <v>45960.674062615741</v>
      </c>
      <c r="U293" t="s">
        <v>253</v>
      </c>
      <c r="V293" t="s">
        <v>267</v>
      </c>
      <c r="W293" t="s">
        <v>277</v>
      </c>
      <c r="X293" t="s">
        <v>278</v>
      </c>
      <c r="Y293" t="s">
        <v>279</v>
      </c>
      <c r="Z293" s="32" t="s">
        <v>1072</v>
      </c>
      <c r="AA293" t="s">
        <v>280</v>
      </c>
      <c r="AB293" s="23" t="str">
        <f>AM293</f>
        <v>4d55cd98379640de90be2eb2fa9aba1f</v>
      </c>
      <c r="AC293" s="23"/>
      <c r="AD293" s="23"/>
      <c r="AE293" s="23"/>
      <c r="AF293" s="23"/>
      <c r="AG293" t="s">
        <v>270</v>
      </c>
      <c r="AH293">
        <v>3750000</v>
      </c>
      <c r="AI293" s="3" t="s">
        <v>1918</v>
      </c>
      <c r="AM293" s="23" t="s">
        <v>2</v>
      </c>
    </row>
    <row r="294" spans="1:39" x14ac:dyDescent="0.2">
      <c r="A294" t="s">
        <v>1919</v>
      </c>
      <c r="B294" t="b">
        <v>0</v>
      </c>
      <c r="C294" t="b">
        <v>0</v>
      </c>
      <c r="D294" t="b">
        <v>1</v>
      </c>
      <c r="E294" t="b">
        <v>0</v>
      </c>
      <c r="F294" t="b">
        <v>1</v>
      </c>
      <c r="G294" t="s">
        <v>361</v>
      </c>
      <c r="H294" t="s">
        <v>1920</v>
      </c>
      <c r="I294" t="s">
        <v>1919</v>
      </c>
      <c r="J294" t="s">
        <v>1921</v>
      </c>
      <c r="N294" t="s">
        <v>1922</v>
      </c>
      <c r="O294" t="s">
        <v>252</v>
      </c>
      <c r="P294" t="s">
        <v>896</v>
      </c>
      <c r="Q294" t="s">
        <v>897</v>
      </c>
      <c r="R294" s="1">
        <v>44298</v>
      </c>
      <c r="S294" s="1">
        <v>45986</v>
      </c>
      <c r="T294" s="2">
        <v>44946.546972326389</v>
      </c>
      <c r="U294" t="s">
        <v>253</v>
      </c>
      <c r="V294" t="s">
        <v>267</v>
      </c>
      <c r="W294" t="s">
        <v>900</v>
      </c>
      <c r="X294" t="s">
        <v>256</v>
      </c>
      <c r="Y294" t="s">
        <v>257</v>
      </c>
      <c r="AG294" t="s">
        <v>260</v>
      </c>
      <c r="AH294">
        <v>40000000</v>
      </c>
      <c r="AI294" s="3" t="s">
        <v>1923</v>
      </c>
    </row>
    <row r="295" spans="1:39" x14ac:dyDescent="0.2">
      <c r="A295" t="s">
        <v>1924</v>
      </c>
      <c r="B295" t="b">
        <v>0</v>
      </c>
      <c r="C295" t="b">
        <v>0</v>
      </c>
      <c r="D295" t="b">
        <v>1</v>
      </c>
      <c r="E295" t="b">
        <v>0</v>
      </c>
      <c r="F295" t="b">
        <v>1</v>
      </c>
      <c r="G295" t="s">
        <v>361</v>
      </c>
      <c r="H295" t="s">
        <v>1925</v>
      </c>
      <c r="I295" t="s">
        <v>1924</v>
      </c>
      <c r="J295" t="s">
        <v>1926</v>
      </c>
      <c r="N295" t="s">
        <v>1927</v>
      </c>
      <c r="O295" t="s">
        <v>252</v>
      </c>
      <c r="R295" s="1">
        <v>44305</v>
      </c>
      <c r="S295" s="1">
        <v>44305</v>
      </c>
      <c r="U295" t="s">
        <v>253</v>
      </c>
      <c r="V295" t="s">
        <v>267</v>
      </c>
      <c r="W295" t="s">
        <v>1102</v>
      </c>
      <c r="X295" t="s">
        <v>278</v>
      </c>
      <c r="Y295" t="s">
        <v>257</v>
      </c>
      <c r="AG295" t="s">
        <v>260</v>
      </c>
      <c r="AH295">
        <v>150000000</v>
      </c>
      <c r="AI295" s="3" t="s">
        <v>1928</v>
      </c>
    </row>
    <row r="296" spans="1:39" x14ac:dyDescent="0.2">
      <c r="A296" t="s">
        <v>1929</v>
      </c>
      <c r="B296" t="b">
        <v>0</v>
      </c>
      <c r="C296" t="b">
        <v>0</v>
      </c>
      <c r="D296" t="b">
        <v>1</v>
      </c>
      <c r="E296" t="b">
        <v>0</v>
      </c>
      <c r="F296" t="b">
        <v>1</v>
      </c>
      <c r="G296" t="b">
        <v>0</v>
      </c>
      <c r="H296" t="s">
        <v>1930</v>
      </c>
      <c r="I296" t="s">
        <v>1929</v>
      </c>
      <c r="J296" t="s">
        <v>23</v>
      </c>
      <c r="K296" t="s">
        <v>1931</v>
      </c>
      <c r="N296" t="s">
        <v>1932</v>
      </c>
      <c r="O296" t="s">
        <v>252</v>
      </c>
      <c r="P296" t="s">
        <v>275</v>
      </c>
      <c r="Q296" t="s">
        <v>276</v>
      </c>
      <c r="R296" s="1">
        <v>45678</v>
      </c>
      <c r="S296" s="1">
        <v>46773</v>
      </c>
      <c r="T296" s="2">
        <v>45960.675772499999</v>
      </c>
      <c r="U296" t="s">
        <v>253</v>
      </c>
      <c r="V296" t="s">
        <v>267</v>
      </c>
      <c r="W296" t="s">
        <v>277</v>
      </c>
      <c r="X296" t="s">
        <v>278</v>
      </c>
      <c r="Y296" t="s">
        <v>279</v>
      </c>
      <c r="Z296" s="32" t="s">
        <v>1072</v>
      </c>
      <c r="AA296" t="s">
        <v>280</v>
      </c>
      <c r="AB296" s="23" t="str">
        <f>AM296</f>
        <v>4d55cd98379640de90be2eb2fa9aba1f</v>
      </c>
      <c r="AC296" s="23"/>
      <c r="AD296" s="23"/>
      <c r="AE296" s="23"/>
      <c r="AF296" s="23"/>
      <c r="AG296" t="s">
        <v>270</v>
      </c>
      <c r="AH296">
        <v>998000</v>
      </c>
      <c r="AI296" s="3" t="s">
        <v>1933</v>
      </c>
      <c r="AM296" s="23" t="s">
        <v>2</v>
      </c>
    </row>
    <row r="297" spans="1:39" x14ac:dyDescent="0.2">
      <c r="A297" t="s">
        <v>1934</v>
      </c>
      <c r="B297" t="b">
        <v>0</v>
      </c>
      <c r="C297" t="b">
        <v>0</v>
      </c>
      <c r="D297" t="b">
        <v>0</v>
      </c>
      <c r="E297" t="b">
        <v>0</v>
      </c>
      <c r="F297" t="b">
        <v>0</v>
      </c>
      <c r="G297" t="b">
        <v>1</v>
      </c>
      <c r="H297" t="s">
        <v>1935</v>
      </c>
      <c r="I297" t="s">
        <v>1934</v>
      </c>
      <c r="J297" t="s">
        <v>142</v>
      </c>
      <c r="N297" t="s">
        <v>1936</v>
      </c>
      <c r="O297" t="s">
        <v>252</v>
      </c>
      <c r="R297" s="1">
        <v>45009</v>
      </c>
      <c r="S297" s="1">
        <v>48662</v>
      </c>
      <c r="T297" s="2">
        <v>45112.67046429398</v>
      </c>
      <c r="U297" t="s">
        <v>253</v>
      </c>
      <c r="V297" t="s">
        <v>295</v>
      </c>
      <c r="W297" t="s">
        <v>1637</v>
      </c>
      <c r="X297" t="s">
        <v>278</v>
      </c>
      <c r="Y297" t="s">
        <v>384</v>
      </c>
      <c r="AA297" t="s">
        <v>1937</v>
      </c>
      <c r="AB297" s="23" t="str">
        <f>AM297</f>
        <v>29f98e23a2cc401ab33817cd7d63db29</v>
      </c>
      <c r="AC297" s="23"/>
      <c r="AD297" s="23"/>
      <c r="AE297" s="23"/>
      <c r="AF297" s="23"/>
      <c r="AG297" t="s">
        <v>270</v>
      </c>
      <c r="AH297">
        <v>230000000</v>
      </c>
      <c r="AI297" s="3" t="s">
        <v>1938</v>
      </c>
      <c r="AM297" s="23" t="s">
        <v>141</v>
      </c>
    </row>
    <row r="298" spans="1:39" x14ac:dyDescent="0.2">
      <c r="A298" t="s">
        <v>1939</v>
      </c>
      <c r="B298" t="b">
        <v>0</v>
      </c>
      <c r="C298" t="b">
        <v>0</v>
      </c>
      <c r="D298" t="b">
        <v>1</v>
      </c>
      <c r="E298" t="b">
        <v>0</v>
      </c>
      <c r="F298" t="b">
        <v>1</v>
      </c>
      <c r="G298" t="b">
        <v>0</v>
      </c>
      <c r="H298" t="s">
        <v>1940</v>
      </c>
      <c r="I298" t="s">
        <v>1939</v>
      </c>
      <c r="K298" t="s">
        <v>1941</v>
      </c>
      <c r="N298" t="s">
        <v>1942</v>
      </c>
      <c r="O298" t="s">
        <v>252</v>
      </c>
      <c r="R298" s="1">
        <v>44553</v>
      </c>
      <c r="S298" s="1">
        <v>48205</v>
      </c>
      <c r="T298" s="2">
        <v>45296.606720451389</v>
      </c>
      <c r="U298" t="s">
        <v>253</v>
      </c>
      <c r="V298" t="s">
        <v>267</v>
      </c>
      <c r="W298" t="s">
        <v>319</v>
      </c>
      <c r="X298" t="s">
        <v>256</v>
      </c>
      <c r="Y298" t="s">
        <v>269</v>
      </c>
      <c r="Z298" s="32" t="s">
        <v>2755</v>
      </c>
      <c r="AA298" t="s">
        <v>320</v>
      </c>
      <c r="AB298" s="23" t="str">
        <f>AM298</f>
        <v>0861b552d06e4b9799ebc7a3b1aa7e2a</v>
      </c>
      <c r="AC298" s="23"/>
      <c r="AD298" s="23"/>
      <c r="AE298" s="23"/>
      <c r="AF298" s="23"/>
      <c r="AG298" t="s">
        <v>270</v>
      </c>
      <c r="AH298">
        <v>50000000</v>
      </c>
      <c r="AI298" s="3" t="s">
        <v>353</v>
      </c>
      <c r="AM298" s="23" t="s">
        <v>40</v>
      </c>
    </row>
    <row r="299" spans="1:39" x14ac:dyDescent="0.2">
      <c r="A299" t="s">
        <v>1943</v>
      </c>
      <c r="B299" t="b">
        <v>0</v>
      </c>
      <c r="C299" t="b">
        <v>0</v>
      </c>
      <c r="D299" t="b">
        <v>0</v>
      </c>
      <c r="E299" t="b">
        <v>0</v>
      </c>
      <c r="F299" t="b">
        <v>0</v>
      </c>
      <c r="G299" t="b">
        <v>1</v>
      </c>
      <c r="H299" t="s">
        <v>1944</v>
      </c>
      <c r="I299" t="s">
        <v>1943</v>
      </c>
      <c r="J299" t="s">
        <v>148</v>
      </c>
      <c r="N299" t="s">
        <v>1945</v>
      </c>
      <c r="O299" t="s">
        <v>252</v>
      </c>
      <c r="R299" s="1">
        <v>44610</v>
      </c>
      <c r="S299" s="1">
        <v>48262</v>
      </c>
      <c r="T299" s="2">
        <v>46126.883220277778</v>
      </c>
      <c r="U299" t="s">
        <v>253</v>
      </c>
      <c r="V299" t="s">
        <v>1946</v>
      </c>
      <c r="W299" t="s">
        <v>350</v>
      </c>
      <c r="X299" t="s">
        <v>305</v>
      </c>
      <c r="Y299" t="s">
        <v>351</v>
      </c>
      <c r="AA299" t="s">
        <v>1947</v>
      </c>
      <c r="AB299" s="23" t="str">
        <f>AM299</f>
        <v>58b7e3d2455f4c2bad02912c15d51fc7</v>
      </c>
      <c r="AC299" s="23"/>
      <c r="AD299" s="23"/>
      <c r="AE299" s="23"/>
      <c r="AF299" s="23"/>
      <c r="AG299" t="s">
        <v>270</v>
      </c>
      <c r="AH299">
        <v>75000000</v>
      </c>
      <c r="AI299" s="3" t="s">
        <v>1948</v>
      </c>
      <c r="AM299" s="23" t="s">
        <v>147</v>
      </c>
    </row>
  </sheetData>
  <hyperlinks>
    <hyperlink ref="AA55" r:id="rId1" xr:uid="{A0BA2275-3D0F-3D48-8C2C-5F3681BB5159}"/>
    <hyperlink ref="AA134" r:id="rId2" xr:uid="{90DC0404-603E-5B4E-A910-FEB57728CBF2}"/>
    <hyperlink ref="AA254" r:id="rId3" xr:uid="{13329FC5-DD94-1940-BE62-9C592813BAB9}"/>
    <hyperlink ref="AA292" r:id="rId4" xr:uid="{DFF91D31-C024-B34E-A8AB-3B5ECE5E7C9A}"/>
    <hyperlink ref="AA147" r:id="rId5" xr:uid="{B5C08C71-61A2-DC45-8A8B-CCF1CB7279AA}"/>
    <hyperlink ref="AA91" r:id="rId6" xr:uid="{1E4F4808-1C7C-6044-9878-8647C2C24EDD}"/>
    <hyperlink ref="AA92" r:id="rId7" xr:uid="{C5BB7B0F-A7D6-5844-B42A-663D42CBA534}"/>
    <hyperlink ref="AA111" r:id="rId8" xr:uid="{59677DCA-2DE0-DF41-8110-0F01F961293C}"/>
    <hyperlink ref="AA148" r:id="rId9" xr:uid="{813297CB-2137-C64D-B6D4-DC12AA3B21E4}"/>
    <hyperlink ref="AA183" r:id="rId10" xr:uid="{717EDF64-7E3B-7F4F-9FC2-C40758E335BF}"/>
    <hyperlink ref="AA190" r:id="rId11" xr:uid="{3F2B676B-A747-7346-8550-9F515D221FE7}"/>
    <hyperlink ref="AA279" r:id="rId12" xr:uid="{E23B2D4C-49AE-AF4F-8354-801326D7A302}"/>
    <hyperlink ref="AA280" r:id="rId13" xr:uid="{550440F8-5485-6F44-9F3C-48572F53E705}"/>
    <hyperlink ref="AA60" r:id="rId14" xr:uid="{2F756BB2-07FA-954D-840B-64D4AA81A17C}"/>
    <hyperlink ref="AA278" r:id="rId15" xr:uid="{3FF2FF15-09F5-2D48-AA96-BCEA4E2B232C}"/>
  </hyperlinks>
  <pageMargins left="0.75" right="0.75" top="1" bottom="1" header="0.5" footer="0.5"/>
  <headerFooter alignWithMargins="0"/>
  <drawing r:id="rId16"/>
  <tableParts count="1">
    <tablePart r:id="rId17"/>
  </tableParts>
  <extLst>
    <ext xmlns:x15="http://schemas.microsoft.com/office/spreadsheetml/2010/11/main" uri="{3A4CF648-6AED-40f4-86FF-DC5316D8AED3}">
      <x14:slicerList xmlns:x14="http://schemas.microsoft.com/office/spreadsheetml/2009/9/main">
        <x14:slicer r:id="rId1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85A19-0C0B-2647-A79E-73819E9B1CF4}">
  <dimension ref="A1:R292"/>
  <sheetViews>
    <sheetView workbookViewId="0">
      <selection activeCell="B2" sqref="B2"/>
    </sheetView>
  </sheetViews>
  <sheetFormatPr baseColWidth="10" defaultRowHeight="16" x14ac:dyDescent="0.2"/>
  <cols>
    <col min="1" max="1" width="18.6640625" customWidth="1"/>
    <col min="2" max="2" width="43.1640625" customWidth="1"/>
    <col min="3" max="3" width="24" bestFit="1" customWidth="1"/>
    <col min="4" max="4" width="13.6640625" bestFit="1" customWidth="1"/>
    <col min="8" max="8" width="19.1640625" customWidth="1"/>
    <col min="9" max="9" width="43.1640625" customWidth="1"/>
    <col min="10" max="10" width="24" customWidth="1"/>
    <col min="11" max="11" width="13.6640625" bestFit="1" customWidth="1"/>
  </cols>
  <sheetData>
    <row r="1" spans="1:11" x14ac:dyDescent="0.2">
      <c r="A1" s="50" t="s">
        <v>1949</v>
      </c>
      <c r="B1" s="51" t="s">
        <v>1951</v>
      </c>
      <c r="H1" s="50" t="s">
        <v>1949</v>
      </c>
      <c r="I1" s="51" t="s">
        <v>1951</v>
      </c>
    </row>
    <row r="2" spans="1:11" x14ac:dyDescent="0.2">
      <c r="A2" s="50" t="s">
        <v>215</v>
      </c>
      <c r="B2" s="51" t="s">
        <v>1951</v>
      </c>
      <c r="H2" s="50" t="s">
        <v>215</v>
      </c>
      <c r="I2" s="51" t="s">
        <v>1951</v>
      </c>
    </row>
    <row r="3" spans="1:11" x14ac:dyDescent="0.2">
      <c r="A3" s="50" t="s">
        <v>216</v>
      </c>
      <c r="B3" s="51" t="s">
        <v>1951</v>
      </c>
      <c r="H3" s="50" t="s">
        <v>216</v>
      </c>
      <c r="I3" s="51" t="s">
        <v>1951</v>
      </c>
    </row>
    <row r="4" spans="1:11" x14ac:dyDescent="0.2">
      <c r="A4" s="50" t="s">
        <v>217</v>
      </c>
      <c r="B4" s="51" t="s">
        <v>1951</v>
      </c>
      <c r="H4" s="50" t="s">
        <v>217</v>
      </c>
      <c r="I4" s="51" t="s">
        <v>1951</v>
      </c>
    </row>
    <row r="5" spans="1:11" x14ac:dyDescent="0.2">
      <c r="A5" s="50" t="s">
        <v>218</v>
      </c>
      <c r="B5" s="51" t="s">
        <v>1951</v>
      </c>
      <c r="H5" s="50" t="s">
        <v>218</v>
      </c>
      <c r="I5" s="51" t="s">
        <v>1951</v>
      </c>
    </row>
    <row r="6" spans="1:11" x14ac:dyDescent="0.2">
      <c r="A6" s="50" t="s">
        <v>219</v>
      </c>
      <c r="B6" s="51" t="s">
        <v>1951</v>
      </c>
      <c r="H6" s="50" t="s">
        <v>219</v>
      </c>
      <c r="I6" s="51" t="s">
        <v>1951</v>
      </c>
    </row>
    <row r="8" spans="1:11" x14ac:dyDescent="0.2">
      <c r="A8" s="39" t="s">
        <v>1952</v>
      </c>
      <c r="B8" s="40"/>
      <c r="C8" s="40"/>
      <c r="D8" s="41"/>
      <c r="H8" s="39" t="s">
        <v>1952</v>
      </c>
      <c r="I8" s="40"/>
      <c r="J8" s="40"/>
      <c r="K8" s="41"/>
    </row>
    <row r="9" spans="1:11" x14ac:dyDescent="0.2">
      <c r="A9" s="39" t="s">
        <v>221</v>
      </c>
      <c r="B9" s="39" t="s">
        <v>224</v>
      </c>
      <c r="C9" s="39" t="s">
        <v>1953</v>
      </c>
      <c r="D9" s="41" t="s">
        <v>1954</v>
      </c>
      <c r="H9" s="39" t="s">
        <v>221</v>
      </c>
      <c r="I9" s="39" t="s">
        <v>224</v>
      </c>
      <c r="J9" s="39" t="s">
        <v>1953</v>
      </c>
      <c r="K9" s="41" t="s">
        <v>1954</v>
      </c>
    </row>
    <row r="10" spans="1:11" x14ac:dyDescent="0.2">
      <c r="A10" s="42">
        <v>0</v>
      </c>
      <c r="B10" s="42" t="s">
        <v>1413</v>
      </c>
      <c r="C10" s="42" t="s">
        <v>1986</v>
      </c>
      <c r="D10" s="43">
        <v>234513925</v>
      </c>
      <c r="H10" s="42">
        <v>0</v>
      </c>
      <c r="I10" s="42" t="s">
        <v>1413</v>
      </c>
      <c r="J10" s="42" t="s">
        <v>1986</v>
      </c>
      <c r="K10" s="43">
        <v>234513925</v>
      </c>
    </row>
    <row r="11" spans="1:11" x14ac:dyDescent="0.2">
      <c r="A11" s="44"/>
      <c r="B11" s="44"/>
      <c r="C11" s="45" t="s">
        <v>1955</v>
      </c>
      <c r="D11" s="46">
        <v>234513925</v>
      </c>
      <c r="H11" s="44"/>
      <c r="I11" s="44"/>
      <c r="J11" s="45" t="s">
        <v>1955</v>
      </c>
      <c r="K11" s="46">
        <v>234513925</v>
      </c>
    </row>
    <row r="12" spans="1:11" x14ac:dyDescent="0.2">
      <c r="A12" s="44"/>
      <c r="B12" s="44"/>
      <c r="C12" s="45" t="s">
        <v>1994</v>
      </c>
      <c r="D12" s="46">
        <v>149346662</v>
      </c>
      <c r="H12" s="44"/>
      <c r="I12" s="44"/>
      <c r="J12" s="45" t="s">
        <v>1994</v>
      </c>
      <c r="K12" s="46">
        <v>149346662</v>
      </c>
    </row>
    <row r="13" spans="1:11" x14ac:dyDescent="0.2">
      <c r="A13" s="44"/>
      <c r="B13" s="44"/>
      <c r="C13" s="45" t="s">
        <v>1956</v>
      </c>
      <c r="D13" s="46">
        <v>149346662</v>
      </c>
      <c r="H13" s="44"/>
      <c r="I13" s="44"/>
      <c r="J13" s="45" t="s">
        <v>1956</v>
      </c>
      <c r="K13" s="46">
        <v>149346662</v>
      </c>
    </row>
    <row r="14" spans="1:11" x14ac:dyDescent="0.2">
      <c r="A14" s="44"/>
      <c r="B14" s="42" t="s">
        <v>649</v>
      </c>
      <c r="C14" s="42" t="s">
        <v>1957</v>
      </c>
      <c r="D14" s="43">
        <v>740000000</v>
      </c>
      <c r="H14" s="44"/>
      <c r="I14" s="42" t="s">
        <v>649</v>
      </c>
      <c r="J14" s="42" t="s">
        <v>1957</v>
      </c>
      <c r="K14" s="43">
        <v>740000000</v>
      </c>
    </row>
    <row r="15" spans="1:11" x14ac:dyDescent="0.2">
      <c r="A15" s="44"/>
      <c r="B15" s="44"/>
      <c r="C15" s="45" t="s">
        <v>1986</v>
      </c>
      <c r="D15" s="46">
        <v>50000000</v>
      </c>
      <c r="H15" s="44"/>
      <c r="I15" s="44"/>
      <c r="J15" s="45" t="s">
        <v>1986</v>
      </c>
      <c r="K15" s="46">
        <v>50000000</v>
      </c>
    </row>
    <row r="16" spans="1:11" x14ac:dyDescent="0.2">
      <c r="A16" s="44"/>
      <c r="B16" s="44"/>
      <c r="C16" s="45" t="s">
        <v>1955</v>
      </c>
      <c r="D16" s="46">
        <v>50000000</v>
      </c>
      <c r="H16" s="44"/>
      <c r="I16" s="44"/>
      <c r="J16" s="45" t="s">
        <v>1955</v>
      </c>
      <c r="K16" s="46">
        <v>50000000</v>
      </c>
    </row>
    <row r="17" spans="1:11" x14ac:dyDescent="0.2">
      <c r="A17" s="44"/>
      <c r="B17" s="44"/>
      <c r="C17" s="45" t="s">
        <v>2017</v>
      </c>
      <c r="D17" s="46">
        <v>740000000</v>
      </c>
      <c r="H17" s="44"/>
      <c r="I17" s="44"/>
      <c r="J17" s="45" t="s">
        <v>2017</v>
      </c>
      <c r="K17" s="46">
        <v>740000000</v>
      </c>
    </row>
    <row r="18" spans="1:11" x14ac:dyDescent="0.2">
      <c r="A18" s="44"/>
      <c r="B18" s="44"/>
      <c r="C18" s="45" t="s">
        <v>1994</v>
      </c>
      <c r="D18" s="46">
        <v>416100000</v>
      </c>
      <c r="H18" s="44"/>
      <c r="I18" s="44"/>
      <c r="J18" s="45" t="s">
        <v>1994</v>
      </c>
      <c r="K18" s="46">
        <v>416100000</v>
      </c>
    </row>
    <row r="19" spans="1:11" x14ac:dyDescent="0.2">
      <c r="A19" s="44"/>
      <c r="B19" s="44"/>
      <c r="C19" s="45" t="s">
        <v>1956</v>
      </c>
      <c r="D19" s="46">
        <v>416100000</v>
      </c>
      <c r="H19" s="44"/>
      <c r="I19" s="44"/>
      <c r="J19" s="45" t="s">
        <v>1956</v>
      </c>
      <c r="K19" s="46">
        <v>416100000</v>
      </c>
    </row>
    <row r="20" spans="1:11" x14ac:dyDescent="0.2">
      <c r="A20" s="44"/>
      <c r="B20" s="42" t="s">
        <v>1068</v>
      </c>
      <c r="C20" s="42" t="s">
        <v>2024</v>
      </c>
      <c r="D20" s="43">
        <v>25900000</v>
      </c>
      <c r="H20" s="44"/>
      <c r="I20" s="42" t="s">
        <v>1068</v>
      </c>
      <c r="J20" s="42" t="s">
        <v>2024</v>
      </c>
      <c r="K20" s="43">
        <v>25900000</v>
      </c>
    </row>
    <row r="21" spans="1:11" x14ac:dyDescent="0.2">
      <c r="A21" s="44"/>
      <c r="B21" s="44"/>
      <c r="C21" s="45" t="s">
        <v>1957</v>
      </c>
      <c r="D21" s="46">
        <v>888100000</v>
      </c>
      <c r="H21" s="44"/>
      <c r="I21" s="44"/>
      <c r="J21" s="45" t="s">
        <v>1957</v>
      </c>
      <c r="K21" s="46">
        <v>888100000</v>
      </c>
    </row>
    <row r="22" spans="1:11" x14ac:dyDescent="0.2">
      <c r="A22" s="44"/>
      <c r="B22" s="44"/>
      <c r="C22" s="45" t="s">
        <v>1965</v>
      </c>
      <c r="D22" s="46">
        <v>19200000</v>
      </c>
      <c r="H22" s="44"/>
      <c r="I22" s="44"/>
      <c r="J22" s="45" t="s">
        <v>1965</v>
      </c>
      <c r="K22" s="46">
        <v>19200000</v>
      </c>
    </row>
    <row r="23" spans="1:11" x14ac:dyDescent="0.2">
      <c r="A23" s="44"/>
      <c r="B23" s="44"/>
      <c r="C23" s="45" t="s">
        <v>1986</v>
      </c>
      <c r="D23" s="46">
        <v>1900000</v>
      </c>
      <c r="H23" s="44"/>
      <c r="I23" s="44"/>
      <c r="J23" s="45" t="s">
        <v>1986</v>
      </c>
      <c r="K23" s="46">
        <v>1900000</v>
      </c>
    </row>
    <row r="24" spans="1:11" x14ac:dyDescent="0.2">
      <c r="A24" s="44"/>
      <c r="B24" s="44"/>
      <c r="C24" s="45" t="s">
        <v>1960</v>
      </c>
      <c r="D24" s="46">
        <v>200000</v>
      </c>
      <c r="H24" s="44"/>
      <c r="I24" s="44"/>
      <c r="J24" s="45" t="s">
        <v>1960</v>
      </c>
      <c r="K24" s="46">
        <v>200000</v>
      </c>
    </row>
    <row r="25" spans="1:11" x14ac:dyDescent="0.2">
      <c r="A25" s="44"/>
      <c r="B25" s="44"/>
      <c r="C25" s="45" t="s">
        <v>1958</v>
      </c>
      <c r="D25" s="46">
        <v>25700000</v>
      </c>
      <c r="H25" s="44"/>
      <c r="I25" s="44"/>
      <c r="J25" s="45" t="s">
        <v>1958</v>
      </c>
      <c r="K25" s="46">
        <v>25700000</v>
      </c>
    </row>
    <row r="26" spans="1:11" x14ac:dyDescent="0.2">
      <c r="A26" s="44"/>
      <c r="B26" s="44"/>
      <c r="C26" s="45" t="s">
        <v>1955</v>
      </c>
      <c r="D26" s="46">
        <v>1900000</v>
      </c>
      <c r="H26" s="44"/>
      <c r="I26" s="44"/>
      <c r="J26" s="45" t="s">
        <v>1955</v>
      </c>
      <c r="K26" s="46">
        <v>1900000</v>
      </c>
    </row>
    <row r="27" spans="1:11" x14ac:dyDescent="0.2">
      <c r="A27" s="44"/>
      <c r="B27" s="44"/>
      <c r="C27" s="45" t="s">
        <v>2017</v>
      </c>
      <c r="D27" s="46">
        <v>888100000</v>
      </c>
      <c r="H27" s="44"/>
      <c r="I27" s="44"/>
      <c r="J27" s="45" t="s">
        <v>2017</v>
      </c>
      <c r="K27" s="46">
        <v>888100000</v>
      </c>
    </row>
    <row r="28" spans="1:11" x14ac:dyDescent="0.2">
      <c r="A28" s="44"/>
      <c r="B28" s="44"/>
      <c r="C28" s="45" t="s">
        <v>1994</v>
      </c>
      <c r="D28" s="46">
        <v>19200000</v>
      </c>
      <c r="H28" s="44"/>
      <c r="I28" s="44"/>
      <c r="J28" s="45" t="s">
        <v>1994</v>
      </c>
      <c r="K28" s="46">
        <v>19200000</v>
      </c>
    </row>
    <row r="29" spans="1:11" x14ac:dyDescent="0.2">
      <c r="A29" s="44"/>
      <c r="B29" s="42" t="s">
        <v>1070</v>
      </c>
      <c r="C29" s="42" t="s">
        <v>1986</v>
      </c>
      <c r="D29" s="43">
        <v>54586369</v>
      </c>
      <c r="H29" s="44"/>
      <c r="I29" s="42" t="s">
        <v>1070</v>
      </c>
      <c r="J29" s="42" t="s">
        <v>1986</v>
      </c>
      <c r="K29" s="43">
        <v>54586369</v>
      </c>
    </row>
    <row r="30" spans="1:11" x14ac:dyDescent="0.2">
      <c r="A30" s="44"/>
      <c r="B30" s="44"/>
      <c r="C30" s="45" t="s">
        <v>1955</v>
      </c>
      <c r="D30" s="46">
        <v>54586369</v>
      </c>
      <c r="H30" s="44"/>
      <c r="I30" s="44"/>
      <c r="J30" s="45" t="s">
        <v>1955</v>
      </c>
      <c r="K30" s="46">
        <v>54586369</v>
      </c>
    </row>
    <row r="31" spans="1:11" x14ac:dyDescent="0.2">
      <c r="A31" s="44"/>
      <c r="B31" s="42" t="s">
        <v>1554</v>
      </c>
      <c r="C31" s="42" t="s">
        <v>1986</v>
      </c>
      <c r="D31" s="43">
        <v>15104112</v>
      </c>
      <c r="H31" s="44"/>
      <c r="I31" s="42" t="s">
        <v>1554</v>
      </c>
      <c r="J31" s="42" t="s">
        <v>1986</v>
      </c>
      <c r="K31" s="43">
        <v>15104112</v>
      </c>
    </row>
    <row r="32" spans="1:11" x14ac:dyDescent="0.2">
      <c r="A32" s="44"/>
      <c r="B32" s="44"/>
      <c r="C32" s="45" t="s">
        <v>1955</v>
      </c>
      <c r="D32" s="46">
        <v>15104112</v>
      </c>
      <c r="H32" s="44"/>
      <c r="I32" s="44"/>
      <c r="J32" s="45" t="s">
        <v>1955</v>
      </c>
      <c r="K32" s="46">
        <v>15104112</v>
      </c>
    </row>
    <row r="33" spans="1:11" x14ac:dyDescent="0.2">
      <c r="A33" s="44"/>
      <c r="B33" s="42" t="s">
        <v>1034</v>
      </c>
      <c r="C33" s="42" t="s">
        <v>1986</v>
      </c>
      <c r="D33" s="43">
        <v>159759756</v>
      </c>
      <c r="H33" s="44"/>
      <c r="I33" s="42" t="s">
        <v>1034</v>
      </c>
      <c r="J33" s="42" t="s">
        <v>1986</v>
      </c>
      <c r="K33" s="43">
        <v>159759756</v>
      </c>
    </row>
    <row r="34" spans="1:11" x14ac:dyDescent="0.2">
      <c r="A34" s="44"/>
      <c r="B34" s="44"/>
      <c r="C34" s="45" t="s">
        <v>1955</v>
      </c>
      <c r="D34" s="46">
        <v>159759756</v>
      </c>
      <c r="H34" s="44"/>
      <c r="I34" s="44"/>
      <c r="J34" s="45" t="s">
        <v>1955</v>
      </c>
      <c r="K34" s="46">
        <v>159759756</v>
      </c>
    </row>
    <row r="35" spans="1:11" x14ac:dyDescent="0.2">
      <c r="A35" s="44"/>
      <c r="B35" s="42" t="s">
        <v>525</v>
      </c>
      <c r="C35" s="42" t="s">
        <v>2024</v>
      </c>
      <c r="D35" s="43">
        <v>96325288</v>
      </c>
      <c r="H35" s="44"/>
      <c r="I35" s="42" t="s">
        <v>525</v>
      </c>
      <c r="J35" s="42" t="s">
        <v>2024</v>
      </c>
      <c r="K35" s="43">
        <v>96325288</v>
      </c>
    </row>
    <row r="36" spans="1:11" x14ac:dyDescent="0.2">
      <c r="A36" s="44"/>
      <c r="B36" s="44"/>
      <c r="C36" s="45" t="s">
        <v>1957</v>
      </c>
      <c r="D36" s="46">
        <v>1989344</v>
      </c>
      <c r="H36" s="44"/>
      <c r="I36" s="44"/>
      <c r="J36" s="45" t="s">
        <v>1957</v>
      </c>
      <c r="K36" s="46">
        <v>1989344</v>
      </c>
    </row>
    <row r="37" spans="1:11" x14ac:dyDescent="0.2">
      <c r="A37" s="44"/>
      <c r="B37" s="44"/>
      <c r="C37" s="45" t="s">
        <v>1960</v>
      </c>
      <c r="D37" s="46">
        <v>48469368</v>
      </c>
      <c r="H37" s="44"/>
      <c r="I37" s="44"/>
      <c r="J37" s="45" t="s">
        <v>1960</v>
      </c>
      <c r="K37" s="46">
        <v>48469368</v>
      </c>
    </row>
    <row r="38" spans="1:11" x14ac:dyDescent="0.2">
      <c r="A38" s="44"/>
      <c r="B38" s="44"/>
      <c r="C38" s="45" t="s">
        <v>1961</v>
      </c>
      <c r="D38" s="46">
        <v>6323211</v>
      </c>
      <c r="H38" s="44"/>
      <c r="I38" s="44"/>
      <c r="J38" s="45" t="s">
        <v>1961</v>
      </c>
      <c r="K38" s="46">
        <v>6323211</v>
      </c>
    </row>
    <row r="39" spans="1:11" x14ac:dyDescent="0.2">
      <c r="A39" s="44"/>
      <c r="B39" s="44"/>
      <c r="C39" s="45" t="s">
        <v>1958</v>
      </c>
      <c r="D39" s="46">
        <v>96325288</v>
      </c>
      <c r="H39" s="44"/>
      <c r="I39" s="44"/>
      <c r="J39" s="45" t="s">
        <v>1958</v>
      </c>
      <c r="K39" s="46">
        <v>96325288</v>
      </c>
    </row>
    <row r="40" spans="1:11" x14ac:dyDescent="0.2">
      <c r="A40" s="44"/>
      <c r="B40" s="44"/>
      <c r="C40" s="45" t="s">
        <v>2074</v>
      </c>
      <c r="D40" s="46">
        <v>6323211</v>
      </c>
      <c r="H40" s="44"/>
      <c r="I40" s="44"/>
      <c r="J40" s="45" t="s">
        <v>2074</v>
      </c>
      <c r="K40" s="46">
        <v>6323211</v>
      </c>
    </row>
    <row r="41" spans="1:11" x14ac:dyDescent="0.2">
      <c r="A41" s="44"/>
      <c r="B41" s="44"/>
      <c r="C41" s="45" t="s">
        <v>441</v>
      </c>
      <c r="D41" s="46">
        <v>50458712</v>
      </c>
      <c r="H41" s="44"/>
      <c r="I41" s="44"/>
      <c r="J41" s="45" t="s">
        <v>441</v>
      </c>
      <c r="K41" s="46">
        <v>50458712</v>
      </c>
    </row>
    <row r="42" spans="1:11" x14ac:dyDescent="0.2">
      <c r="A42" s="44"/>
      <c r="B42" s="44"/>
      <c r="C42" s="45" t="s">
        <v>1962</v>
      </c>
      <c r="D42" s="46">
        <v>100000</v>
      </c>
      <c r="H42" s="44"/>
      <c r="I42" s="44"/>
      <c r="J42" s="45" t="s">
        <v>1962</v>
      </c>
      <c r="K42" s="46">
        <v>100000</v>
      </c>
    </row>
    <row r="43" spans="1:11" x14ac:dyDescent="0.2">
      <c r="A43" s="44"/>
      <c r="B43" s="44"/>
      <c r="C43" s="45" t="s">
        <v>2170</v>
      </c>
      <c r="D43" s="46">
        <v>100000</v>
      </c>
      <c r="H43" s="44"/>
      <c r="I43" s="44"/>
      <c r="J43" s="45" t="s">
        <v>2170</v>
      </c>
      <c r="K43" s="46">
        <v>100000</v>
      </c>
    </row>
    <row r="44" spans="1:11" x14ac:dyDescent="0.2">
      <c r="A44" s="44"/>
      <c r="B44" s="42" t="s">
        <v>1028</v>
      </c>
      <c r="C44" s="42" t="s">
        <v>1986</v>
      </c>
      <c r="D44" s="43">
        <v>7532830</v>
      </c>
      <c r="H44" s="44"/>
      <c r="I44" s="42" t="s">
        <v>1028</v>
      </c>
      <c r="J44" s="42" t="s">
        <v>1986</v>
      </c>
      <c r="K44" s="43">
        <v>7532830</v>
      </c>
    </row>
    <row r="45" spans="1:11" x14ac:dyDescent="0.2">
      <c r="A45" s="44"/>
      <c r="B45" s="44"/>
      <c r="C45" s="45" t="s">
        <v>1955</v>
      </c>
      <c r="D45" s="46">
        <v>7532830</v>
      </c>
      <c r="H45" s="44"/>
      <c r="I45" s="44"/>
      <c r="J45" s="45" t="s">
        <v>1955</v>
      </c>
      <c r="K45" s="46">
        <v>7532830</v>
      </c>
    </row>
    <row r="46" spans="1:11" x14ac:dyDescent="0.2">
      <c r="A46" s="44"/>
      <c r="B46" s="42" t="s">
        <v>1366</v>
      </c>
      <c r="C46" s="42" t="s">
        <v>2024</v>
      </c>
      <c r="D46" s="43">
        <v>321988</v>
      </c>
      <c r="H46" s="44"/>
      <c r="I46" s="42" t="s">
        <v>1366</v>
      </c>
      <c r="J46" s="42" t="s">
        <v>2024</v>
      </c>
      <c r="K46" s="43">
        <v>321988</v>
      </c>
    </row>
    <row r="47" spans="1:11" x14ac:dyDescent="0.2">
      <c r="A47" s="44"/>
      <c r="B47" s="44"/>
      <c r="C47" s="45" t="s">
        <v>1986</v>
      </c>
      <c r="D47" s="46">
        <v>6600000</v>
      </c>
      <c r="H47" s="44"/>
      <c r="I47" s="44"/>
      <c r="J47" s="45" t="s">
        <v>1986</v>
      </c>
      <c r="K47" s="46">
        <v>6600000</v>
      </c>
    </row>
    <row r="48" spans="1:11" x14ac:dyDescent="0.2">
      <c r="A48" s="44"/>
      <c r="B48" s="44"/>
      <c r="C48" s="45" t="s">
        <v>1960</v>
      </c>
      <c r="D48" s="46">
        <v>321988</v>
      </c>
      <c r="H48" s="44"/>
      <c r="I48" s="44"/>
      <c r="J48" s="45" t="s">
        <v>1960</v>
      </c>
      <c r="K48" s="46">
        <v>321988</v>
      </c>
    </row>
    <row r="49" spans="1:11" x14ac:dyDescent="0.2">
      <c r="A49" s="44"/>
      <c r="B49" s="44"/>
      <c r="C49" s="45" t="s">
        <v>441</v>
      </c>
      <c r="D49" s="46">
        <v>13200000</v>
      </c>
      <c r="H49" s="44"/>
      <c r="I49" s="44"/>
      <c r="J49" s="45" t="s">
        <v>441</v>
      </c>
      <c r="K49" s="46">
        <v>13200000</v>
      </c>
    </row>
    <row r="50" spans="1:11" x14ac:dyDescent="0.2">
      <c r="A50" s="44"/>
      <c r="B50" s="44"/>
      <c r="C50" s="45" t="s">
        <v>1955</v>
      </c>
      <c r="D50" s="46">
        <v>6600000</v>
      </c>
      <c r="H50" s="44"/>
      <c r="I50" s="44"/>
      <c r="J50" s="45" t="s">
        <v>1955</v>
      </c>
      <c r="K50" s="46">
        <v>6600000</v>
      </c>
    </row>
    <row r="51" spans="1:11" x14ac:dyDescent="0.2">
      <c r="A51" s="44"/>
      <c r="B51" s="44"/>
      <c r="C51" s="45" t="s">
        <v>1946</v>
      </c>
      <c r="D51" s="46">
        <v>46156024</v>
      </c>
      <c r="H51" s="44"/>
      <c r="I51" s="44"/>
      <c r="J51" s="45" t="s">
        <v>1946</v>
      </c>
      <c r="K51" s="46">
        <v>46156024</v>
      </c>
    </row>
    <row r="52" spans="1:11" x14ac:dyDescent="0.2">
      <c r="A52" s="44"/>
      <c r="B52" s="42" t="s">
        <v>930</v>
      </c>
      <c r="C52" s="42" t="s">
        <v>2024</v>
      </c>
      <c r="D52" s="43">
        <v>155605899</v>
      </c>
      <c r="H52" s="44"/>
      <c r="I52" s="42" t="s">
        <v>930</v>
      </c>
      <c r="J52" s="42" t="s">
        <v>2024</v>
      </c>
      <c r="K52" s="43">
        <v>155605899</v>
      </c>
    </row>
    <row r="53" spans="1:11" x14ac:dyDescent="0.2">
      <c r="A53" s="44"/>
      <c r="B53" s="44"/>
      <c r="C53" s="45" t="s">
        <v>1958</v>
      </c>
      <c r="D53" s="46">
        <v>155605899</v>
      </c>
      <c r="H53" s="44"/>
      <c r="I53" s="44"/>
      <c r="J53" s="45" t="s">
        <v>1958</v>
      </c>
      <c r="K53" s="46">
        <v>155605899</v>
      </c>
    </row>
    <row r="54" spans="1:11" x14ac:dyDescent="0.2">
      <c r="A54" s="44"/>
      <c r="B54" s="44"/>
      <c r="C54" s="45" t="s">
        <v>441</v>
      </c>
      <c r="D54" s="46">
        <v>140522930</v>
      </c>
      <c r="H54" s="44"/>
      <c r="I54" s="44"/>
      <c r="J54" s="45" t="s">
        <v>441</v>
      </c>
      <c r="K54" s="46">
        <v>140522930</v>
      </c>
    </row>
    <row r="55" spans="1:11" x14ac:dyDescent="0.2">
      <c r="A55" s="44"/>
      <c r="B55" s="42" t="s">
        <v>1718</v>
      </c>
      <c r="C55" s="42" t="s">
        <v>1986</v>
      </c>
      <c r="D55" s="43">
        <v>219270538</v>
      </c>
      <c r="H55" s="44"/>
      <c r="I55" s="42" t="s">
        <v>1718</v>
      </c>
      <c r="J55" s="42" t="s">
        <v>1986</v>
      </c>
      <c r="K55" s="43">
        <v>219270538</v>
      </c>
    </row>
    <row r="56" spans="1:11" x14ac:dyDescent="0.2">
      <c r="A56" s="44"/>
      <c r="B56" s="44"/>
      <c r="C56" s="45" t="s">
        <v>1955</v>
      </c>
      <c r="D56" s="46">
        <v>219270538</v>
      </c>
      <c r="H56" s="44"/>
      <c r="I56" s="44"/>
      <c r="J56" s="45" t="s">
        <v>1955</v>
      </c>
      <c r="K56" s="46">
        <v>219270538</v>
      </c>
    </row>
    <row r="57" spans="1:11" x14ac:dyDescent="0.2">
      <c r="A57" s="44"/>
      <c r="B57" s="42" t="s">
        <v>1423</v>
      </c>
      <c r="C57" s="42" t="s">
        <v>1986</v>
      </c>
      <c r="D57" s="43">
        <v>304150001</v>
      </c>
      <c r="H57" s="44"/>
      <c r="I57" s="42" t="s">
        <v>1423</v>
      </c>
      <c r="J57" s="42" t="s">
        <v>1986</v>
      </c>
      <c r="K57" s="43">
        <v>304150001</v>
      </c>
    </row>
    <row r="58" spans="1:11" x14ac:dyDescent="0.2">
      <c r="A58" s="44"/>
      <c r="B58" s="44"/>
      <c r="C58" s="45" t="s">
        <v>441</v>
      </c>
      <c r="D58" s="46">
        <v>608300002</v>
      </c>
      <c r="H58" s="44"/>
      <c r="I58" s="44"/>
      <c r="J58" s="45" t="s">
        <v>441</v>
      </c>
      <c r="K58" s="46">
        <v>608300002</v>
      </c>
    </row>
    <row r="59" spans="1:11" x14ac:dyDescent="0.2">
      <c r="A59" s="44"/>
      <c r="B59" s="44"/>
      <c r="C59" s="45" t="s">
        <v>1955</v>
      </c>
      <c r="D59" s="46">
        <v>304150001</v>
      </c>
      <c r="H59" s="44"/>
      <c r="I59" s="44"/>
      <c r="J59" s="45" t="s">
        <v>1955</v>
      </c>
      <c r="K59" s="46">
        <v>304150001</v>
      </c>
    </row>
    <row r="60" spans="1:11" x14ac:dyDescent="0.2">
      <c r="A60" s="44"/>
      <c r="B60" s="42" t="s">
        <v>1322</v>
      </c>
      <c r="C60" s="42" t="s">
        <v>1986</v>
      </c>
      <c r="D60" s="43">
        <v>23500000</v>
      </c>
      <c r="H60" s="44"/>
      <c r="I60" s="42" t="s">
        <v>1322</v>
      </c>
      <c r="J60" s="42" t="s">
        <v>1986</v>
      </c>
      <c r="K60" s="43">
        <v>23500000</v>
      </c>
    </row>
    <row r="61" spans="1:11" x14ac:dyDescent="0.2">
      <c r="A61" s="44"/>
      <c r="B61" s="44"/>
      <c r="C61" s="45" t="s">
        <v>441</v>
      </c>
      <c r="D61" s="46">
        <v>47000000</v>
      </c>
      <c r="H61" s="44"/>
      <c r="I61" s="44"/>
      <c r="J61" s="45" t="s">
        <v>441</v>
      </c>
      <c r="K61" s="46">
        <v>47000000</v>
      </c>
    </row>
    <row r="62" spans="1:11" x14ac:dyDescent="0.2">
      <c r="A62" s="44"/>
      <c r="B62" s="44"/>
      <c r="C62" s="45" t="s">
        <v>1955</v>
      </c>
      <c r="D62" s="46">
        <v>23500000</v>
      </c>
      <c r="H62" s="44"/>
      <c r="I62" s="44"/>
      <c r="J62" s="45" t="s">
        <v>1955</v>
      </c>
      <c r="K62" s="46">
        <v>23500000</v>
      </c>
    </row>
    <row r="63" spans="1:11" x14ac:dyDescent="0.2">
      <c r="A63" s="42" t="s">
        <v>582</v>
      </c>
      <c r="B63" s="42">
        <v>0</v>
      </c>
      <c r="C63" s="42" t="s">
        <v>2024</v>
      </c>
      <c r="D63" s="43">
        <v>2800000</v>
      </c>
      <c r="H63" s="42" t="s">
        <v>582</v>
      </c>
      <c r="I63" s="42">
        <v>0</v>
      </c>
      <c r="J63" s="42" t="s">
        <v>2024</v>
      </c>
      <c r="K63" s="43">
        <v>2800000</v>
      </c>
    </row>
    <row r="64" spans="1:11" x14ac:dyDescent="0.2">
      <c r="A64" s="44"/>
      <c r="B64" s="44"/>
      <c r="C64" s="45" t="s">
        <v>1986</v>
      </c>
      <c r="D64" s="46">
        <v>233333</v>
      </c>
      <c r="H64" s="44"/>
      <c r="I64" s="44"/>
      <c r="J64" s="45" t="s">
        <v>1986</v>
      </c>
      <c r="K64" s="46">
        <v>233333</v>
      </c>
    </row>
    <row r="65" spans="1:18" x14ac:dyDescent="0.2">
      <c r="A65" s="44"/>
      <c r="B65" s="44"/>
      <c r="C65" s="45" t="s">
        <v>1960</v>
      </c>
      <c r="D65" s="46">
        <v>2800000</v>
      </c>
      <c r="H65" s="44"/>
      <c r="I65" s="44"/>
      <c r="J65" s="45" t="s">
        <v>1960</v>
      </c>
      <c r="K65" s="46">
        <v>2800000</v>
      </c>
    </row>
    <row r="66" spans="1:18" x14ac:dyDescent="0.2">
      <c r="A66" s="44"/>
      <c r="B66" s="44"/>
      <c r="C66" s="45" t="s">
        <v>1961</v>
      </c>
      <c r="D66" s="46">
        <v>547000000</v>
      </c>
      <c r="H66" s="44"/>
      <c r="I66" s="44"/>
      <c r="J66" s="45" t="s">
        <v>1961</v>
      </c>
      <c r="K66" s="46">
        <v>547000000</v>
      </c>
    </row>
    <row r="67" spans="1:18" x14ac:dyDescent="0.2">
      <c r="A67" s="44"/>
      <c r="B67" s="44"/>
      <c r="C67" s="45" t="s">
        <v>2074</v>
      </c>
      <c r="D67" s="46">
        <v>547000000</v>
      </c>
      <c r="H67" s="44"/>
      <c r="I67" s="44"/>
      <c r="J67" s="45" t="s">
        <v>2074</v>
      </c>
      <c r="K67" s="46">
        <v>547000000</v>
      </c>
    </row>
    <row r="68" spans="1:18" x14ac:dyDescent="0.2">
      <c r="A68" s="44"/>
      <c r="B68" s="44"/>
      <c r="C68" s="45" t="s">
        <v>1962</v>
      </c>
      <c r="D68" s="46">
        <v>21100000</v>
      </c>
      <c r="H68" s="44"/>
      <c r="I68" s="44"/>
      <c r="J68" s="45" t="s">
        <v>1962</v>
      </c>
      <c r="K68" s="46">
        <v>21100000</v>
      </c>
    </row>
    <row r="69" spans="1:18" x14ac:dyDescent="0.2">
      <c r="A69" s="44"/>
      <c r="B69" s="44"/>
      <c r="C69" s="45" t="s">
        <v>1955</v>
      </c>
      <c r="D69" s="46">
        <v>233333</v>
      </c>
      <c r="H69" s="44"/>
      <c r="I69" s="44"/>
      <c r="J69" s="45" t="s">
        <v>1955</v>
      </c>
      <c r="K69" s="46">
        <v>233333</v>
      </c>
    </row>
    <row r="70" spans="1:18" x14ac:dyDescent="0.2">
      <c r="A70" s="44"/>
      <c r="B70" s="44"/>
      <c r="C70" s="45" t="s">
        <v>2170</v>
      </c>
      <c r="D70" s="46">
        <v>21100000</v>
      </c>
      <c r="H70" s="44"/>
      <c r="I70" s="44"/>
      <c r="J70" s="45" t="s">
        <v>2170</v>
      </c>
      <c r="K70" s="46">
        <v>21100000</v>
      </c>
    </row>
    <row r="71" spans="1:18" x14ac:dyDescent="0.2">
      <c r="A71" s="42" t="s">
        <v>1139</v>
      </c>
      <c r="B71" s="42">
        <v>0</v>
      </c>
      <c r="C71" s="42" t="s">
        <v>1986</v>
      </c>
      <c r="D71" s="43">
        <v>48000000</v>
      </c>
      <c r="H71" s="42" t="s">
        <v>1139</v>
      </c>
      <c r="I71" s="42">
        <v>0</v>
      </c>
      <c r="J71" s="42" t="s">
        <v>1986</v>
      </c>
      <c r="K71" s="43">
        <v>48000000</v>
      </c>
    </row>
    <row r="72" spans="1:18" x14ac:dyDescent="0.2">
      <c r="A72" s="44"/>
      <c r="B72" s="44"/>
      <c r="C72" s="45" t="s">
        <v>441</v>
      </c>
      <c r="D72" s="46">
        <v>96000000</v>
      </c>
      <c r="H72" s="44"/>
      <c r="I72" s="44"/>
      <c r="J72" s="45" t="s">
        <v>441</v>
      </c>
      <c r="K72" s="46">
        <v>96000000</v>
      </c>
    </row>
    <row r="73" spans="1:18" x14ac:dyDescent="0.2">
      <c r="A73" s="44"/>
      <c r="B73" s="44"/>
      <c r="C73" s="45" t="s">
        <v>1955</v>
      </c>
      <c r="D73" s="46">
        <v>48000000</v>
      </c>
      <c r="H73" s="44"/>
      <c r="I73" s="44"/>
      <c r="J73" s="45" t="s">
        <v>1955</v>
      </c>
      <c r="K73" s="46">
        <v>48000000</v>
      </c>
    </row>
    <row r="74" spans="1:18" x14ac:dyDescent="0.2">
      <c r="A74" s="42" t="s">
        <v>1664</v>
      </c>
      <c r="B74" s="42" t="s">
        <v>1665</v>
      </c>
      <c r="C74" s="42" t="s">
        <v>1986</v>
      </c>
      <c r="D74" s="43">
        <v>34689640</v>
      </c>
      <c r="H74" s="42" t="s">
        <v>1664</v>
      </c>
      <c r="I74" s="42" t="s">
        <v>1665</v>
      </c>
      <c r="J74" s="42" t="s">
        <v>1986</v>
      </c>
      <c r="K74" s="43">
        <v>34689640</v>
      </c>
    </row>
    <row r="75" spans="1:18" x14ac:dyDescent="0.2">
      <c r="A75" s="44"/>
      <c r="B75" s="44"/>
      <c r="C75" s="45" t="s">
        <v>1955</v>
      </c>
      <c r="D75" s="46">
        <v>34689640</v>
      </c>
      <c r="H75" s="44"/>
      <c r="I75" s="44"/>
      <c r="J75" s="45" t="s">
        <v>1955</v>
      </c>
      <c r="K75" s="46">
        <v>34689640</v>
      </c>
    </row>
    <row r="76" spans="1:18" x14ac:dyDescent="0.2">
      <c r="A76" s="42" t="s">
        <v>1575</v>
      </c>
      <c r="B76" s="42" t="s">
        <v>1576</v>
      </c>
      <c r="C76" s="42" t="s">
        <v>1986</v>
      </c>
      <c r="D76" s="43">
        <v>14876126</v>
      </c>
      <c r="H76" s="42" t="s">
        <v>1575</v>
      </c>
      <c r="I76" s="42" t="s">
        <v>1576</v>
      </c>
      <c r="J76" s="42" t="s">
        <v>1986</v>
      </c>
      <c r="K76" s="43">
        <v>14876126</v>
      </c>
    </row>
    <row r="77" spans="1:18" x14ac:dyDescent="0.2">
      <c r="A77" s="44"/>
      <c r="B77" s="44"/>
      <c r="C77" s="45" t="s">
        <v>1955</v>
      </c>
      <c r="D77" s="46">
        <v>14876126</v>
      </c>
      <c r="H77" s="44"/>
      <c r="I77" s="44"/>
      <c r="J77" s="45" t="s">
        <v>1955</v>
      </c>
      <c r="K77" s="46">
        <v>14876126</v>
      </c>
      <c r="Q77" t="s">
        <v>1963</v>
      </c>
      <c r="R77" t="s">
        <v>1964</v>
      </c>
    </row>
    <row r="78" spans="1:18" x14ac:dyDescent="0.2">
      <c r="A78" s="42" t="s">
        <v>878</v>
      </c>
      <c r="B78" s="42" t="s">
        <v>880</v>
      </c>
      <c r="C78" s="42" t="s">
        <v>2024</v>
      </c>
      <c r="D78" s="43">
        <v>0</v>
      </c>
      <c r="H78" s="42" t="s">
        <v>878</v>
      </c>
      <c r="I78" s="42" t="s">
        <v>880</v>
      </c>
      <c r="J78" s="42" t="s">
        <v>2024</v>
      </c>
      <c r="K78" s="43">
        <v>0</v>
      </c>
      <c r="R78" t="s">
        <v>54</v>
      </c>
    </row>
    <row r="79" spans="1:18" x14ac:dyDescent="0.2">
      <c r="A79" s="44"/>
      <c r="B79" s="44"/>
      <c r="C79" s="45" t="s">
        <v>1958</v>
      </c>
      <c r="D79" s="46">
        <v>0</v>
      </c>
      <c r="H79" s="44"/>
      <c r="I79" s="44"/>
      <c r="J79" s="45" t="s">
        <v>1958</v>
      </c>
      <c r="K79" s="46">
        <v>0</v>
      </c>
      <c r="R79" t="s">
        <v>55</v>
      </c>
    </row>
    <row r="80" spans="1:18" x14ac:dyDescent="0.2">
      <c r="A80" s="44"/>
      <c r="B80" s="44"/>
      <c r="C80" s="45" t="s">
        <v>1946</v>
      </c>
      <c r="D80" s="46">
        <v>0</v>
      </c>
      <c r="H80" s="44"/>
      <c r="I80" s="44"/>
      <c r="J80" s="45" t="s">
        <v>1946</v>
      </c>
      <c r="K80" s="46">
        <v>0</v>
      </c>
      <c r="R80" t="s">
        <v>56</v>
      </c>
    </row>
    <row r="81" spans="1:18" x14ac:dyDescent="0.2">
      <c r="A81" s="42" t="s">
        <v>610</v>
      </c>
      <c r="B81" s="42">
        <v>0</v>
      </c>
      <c r="C81" s="42" t="s">
        <v>1986</v>
      </c>
      <c r="D81" s="43">
        <v>25759589</v>
      </c>
      <c r="H81" s="42" t="s">
        <v>610</v>
      </c>
      <c r="I81" s="42">
        <v>0</v>
      </c>
      <c r="J81" s="42" t="s">
        <v>1986</v>
      </c>
      <c r="K81" s="43">
        <v>25759589</v>
      </c>
      <c r="R81" t="s">
        <v>57</v>
      </c>
    </row>
    <row r="82" spans="1:18" x14ac:dyDescent="0.2">
      <c r="A82" s="44"/>
      <c r="B82" s="44"/>
      <c r="C82" s="45" t="s">
        <v>1955</v>
      </c>
      <c r="D82" s="46">
        <v>25759589</v>
      </c>
      <c r="H82" s="44"/>
      <c r="I82" s="44"/>
      <c r="J82" s="45" t="s">
        <v>1955</v>
      </c>
      <c r="K82" s="46">
        <v>25759589</v>
      </c>
      <c r="R82" t="s">
        <v>58</v>
      </c>
    </row>
    <row r="83" spans="1:18" x14ac:dyDescent="0.2">
      <c r="A83" s="42" t="s">
        <v>972</v>
      </c>
      <c r="B83" s="42">
        <v>0</v>
      </c>
      <c r="C83" s="42" t="s">
        <v>1986</v>
      </c>
      <c r="D83" s="43">
        <v>4855349</v>
      </c>
      <c r="H83" s="42" t="s">
        <v>972</v>
      </c>
      <c r="I83" s="42">
        <v>0</v>
      </c>
      <c r="J83" s="42" t="s">
        <v>1986</v>
      </c>
      <c r="K83" s="43">
        <v>4855349</v>
      </c>
      <c r="R83" t="s">
        <v>59</v>
      </c>
    </row>
    <row r="84" spans="1:18" x14ac:dyDescent="0.2">
      <c r="A84" s="44"/>
      <c r="B84" s="44"/>
      <c r="C84" s="45" t="s">
        <v>441</v>
      </c>
      <c r="D84" s="46">
        <v>9710698</v>
      </c>
      <c r="H84" s="44"/>
      <c r="I84" s="44"/>
      <c r="J84" s="45" t="s">
        <v>441</v>
      </c>
      <c r="K84" s="46">
        <v>9710698</v>
      </c>
      <c r="R84" t="s">
        <v>1966</v>
      </c>
    </row>
    <row r="85" spans="1:18" x14ac:dyDescent="0.2">
      <c r="A85" s="44"/>
      <c r="B85" s="44"/>
      <c r="C85" s="45" t="s">
        <v>1955</v>
      </c>
      <c r="D85" s="46">
        <v>4855349</v>
      </c>
      <c r="H85" s="44"/>
      <c r="I85" s="44"/>
      <c r="J85" s="45" t="s">
        <v>1955</v>
      </c>
      <c r="K85" s="46">
        <v>4855349</v>
      </c>
      <c r="R85" t="s">
        <v>41</v>
      </c>
    </row>
    <row r="86" spans="1:18" x14ac:dyDescent="0.2">
      <c r="A86" s="42" t="s">
        <v>1002</v>
      </c>
      <c r="B86" s="42">
        <v>0</v>
      </c>
      <c r="C86" s="42" t="s">
        <v>1986</v>
      </c>
      <c r="D86" s="43">
        <v>11743934</v>
      </c>
      <c r="H86" s="42" t="s">
        <v>1002</v>
      </c>
      <c r="I86" s="42">
        <v>0</v>
      </c>
      <c r="J86" s="42" t="s">
        <v>1986</v>
      </c>
      <c r="K86" s="43">
        <v>11743934</v>
      </c>
      <c r="R86" t="s">
        <v>42</v>
      </c>
    </row>
    <row r="87" spans="1:18" x14ac:dyDescent="0.2">
      <c r="A87" s="44"/>
      <c r="B87" s="44"/>
      <c r="C87" s="45" t="s">
        <v>1955</v>
      </c>
      <c r="D87" s="46">
        <v>11743934</v>
      </c>
      <c r="H87" s="44"/>
      <c r="I87" s="44"/>
      <c r="J87" s="45" t="s">
        <v>1955</v>
      </c>
      <c r="K87" s="46">
        <v>11743934</v>
      </c>
      <c r="R87" t="s">
        <v>43</v>
      </c>
    </row>
    <row r="88" spans="1:18" x14ac:dyDescent="0.2">
      <c r="A88" s="42" t="s">
        <v>685</v>
      </c>
      <c r="B88" s="42">
        <v>0</v>
      </c>
      <c r="C88" s="42" t="s">
        <v>1994</v>
      </c>
      <c r="D88" s="43">
        <v>13687380</v>
      </c>
      <c r="H88" s="42" t="s">
        <v>685</v>
      </c>
      <c r="I88" s="42">
        <v>0</v>
      </c>
      <c r="J88" s="42" t="s">
        <v>1994</v>
      </c>
      <c r="K88" s="43">
        <v>13687380</v>
      </c>
      <c r="R88" t="s">
        <v>44</v>
      </c>
    </row>
    <row r="89" spans="1:18" x14ac:dyDescent="0.2">
      <c r="A89" s="44"/>
      <c r="B89" s="44"/>
      <c r="C89" s="45" t="s">
        <v>1956</v>
      </c>
      <c r="D89" s="46">
        <v>13687380</v>
      </c>
      <c r="H89" s="44"/>
      <c r="I89" s="44"/>
      <c r="J89" s="45" t="s">
        <v>1956</v>
      </c>
      <c r="K89" s="46">
        <v>13687380</v>
      </c>
      <c r="R89" t="s">
        <v>45</v>
      </c>
    </row>
    <row r="90" spans="1:18" x14ac:dyDescent="0.2">
      <c r="A90" s="42" t="s">
        <v>410</v>
      </c>
      <c r="B90" s="42" t="s">
        <v>412</v>
      </c>
      <c r="C90" s="42" t="s">
        <v>1986</v>
      </c>
      <c r="D90" s="43">
        <v>32656921</v>
      </c>
      <c r="H90" s="42" t="s">
        <v>410</v>
      </c>
      <c r="I90" s="42" t="s">
        <v>412</v>
      </c>
      <c r="J90" s="42" t="s">
        <v>1986</v>
      </c>
      <c r="K90" s="43">
        <v>32656921</v>
      </c>
      <c r="R90" t="s">
        <v>46</v>
      </c>
    </row>
    <row r="91" spans="1:18" x14ac:dyDescent="0.2">
      <c r="A91" s="44"/>
      <c r="B91" s="44"/>
      <c r="C91" s="45" t="s">
        <v>441</v>
      </c>
      <c r="D91" s="46">
        <v>65313842</v>
      </c>
      <c r="H91" s="44"/>
      <c r="I91" s="44"/>
      <c r="J91" s="45" t="s">
        <v>441</v>
      </c>
      <c r="K91" s="46">
        <v>65313842</v>
      </c>
      <c r="R91" t="s">
        <v>1967</v>
      </c>
    </row>
    <row r="92" spans="1:18" x14ac:dyDescent="0.2">
      <c r="A92" s="44"/>
      <c r="B92" s="44"/>
      <c r="C92" s="45" t="s">
        <v>1955</v>
      </c>
      <c r="D92" s="46">
        <v>32656921</v>
      </c>
      <c r="H92" s="44"/>
      <c r="I92" s="44"/>
      <c r="J92" s="45" t="s">
        <v>1955</v>
      </c>
      <c r="K92" s="46">
        <v>32656921</v>
      </c>
      <c r="R92" t="s">
        <v>1968</v>
      </c>
    </row>
    <row r="93" spans="1:18" x14ac:dyDescent="0.2">
      <c r="A93" s="42" t="s">
        <v>439</v>
      </c>
      <c r="B93" s="42">
        <v>0</v>
      </c>
      <c r="C93" s="42" t="s">
        <v>1961</v>
      </c>
      <c r="D93" s="43">
        <v>323289088</v>
      </c>
      <c r="H93" s="42" t="s">
        <v>439</v>
      </c>
      <c r="I93" s="42">
        <v>0</v>
      </c>
      <c r="J93" s="42" t="s">
        <v>1961</v>
      </c>
      <c r="K93" s="43">
        <v>323289088</v>
      </c>
      <c r="R93" t="s">
        <v>78</v>
      </c>
    </row>
    <row r="94" spans="1:18" x14ac:dyDescent="0.2">
      <c r="A94" s="44"/>
      <c r="B94" s="44"/>
      <c r="C94" s="45" t="s">
        <v>2074</v>
      </c>
      <c r="D94" s="46">
        <v>323289088</v>
      </c>
      <c r="H94" s="44"/>
      <c r="I94" s="44"/>
      <c r="J94" s="45" t="s">
        <v>2074</v>
      </c>
      <c r="K94" s="46">
        <v>323289088</v>
      </c>
      <c r="R94" t="s">
        <v>75</v>
      </c>
    </row>
    <row r="95" spans="1:18" x14ac:dyDescent="0.2">
      <c r="A95" s="42" t="s">
        <v>250</v>
      </c>
      <c r="B95" s="42">
        <v>0</v>
      </c>
      <c r="C95" s="42" t="s">
        <v>1986</v>
      </c>
      <c r="D95" s="43">
        <v>65152642</v>
      </c>
      <c r="H95" s="42" t="s">
        <v>250</v>
      </c>
      <c r="I95" s="42">
        <v>0</v>
      </c>
      <c r="J95" s="42" t="s">
        <v>1986</v>
      </c>
      <c r="K95" s="43">
        <v>65152642</v>
      </c>
      <c r="R95" t="s">
        <v>76</v>
      </c>
    </row>
    <row r="96" spans="1:18" x14ac:dyDescent="0.2">
      <c r="A96" s="44"/>
      <c r="B96" s="44"/>
      <c r="C96" s="45" t="s">
        <v>441</v>
      </c>
      <c r="D96" s="46">
        <v>130305284</v>
      </c>
      <c r="H96" s="44"/>
      <c r="I96" s="44"/>
      <c r="J96" s="45" t="s">
        <v>441</v>
      </c>
      <c r="K96" s="46">
        <v>130305284</v>
      </c>
      <c r="R96" t="s">
        <v>77</v>
      </c>
    </row>
    <row r="97" spans="1:18" x14ac:dyDescent="0.2">
      <c r="A97" s="44"/>
      <c r="B97" s="44"/>
      <c r="C97" s="45" t="s">
        <v>1955</v>
      </c>
      <c r="D97" s="46">
        <v>65152642</v>
      </c>
      <c r="H97" s="44"/>
      <c r="I97" s="44"/>
      <c r="J97" s="45" t="s">
        <v>1955</v>
      </c>
      <c r="K97" s="46">
        <v>65152642</v>
      </c>
      <c r="R97" t="s">
        <v>170</v>
      </c>
    </row>
    <row r="98" spans="1:18" x14ac:dyDescent="0.2">
      <c r="A98" s="42" t="s">
        <v>202</v>
      </c>
      <c r="B98" s="42">
        <v>0</v>
      </c>
      <c r="C98" s="42" t="s">
        <v>1986</v>
      </c>
      <c r="D98" s="43">
        <v>26644849</v>
      </c>
      <c r="H98" s="42" t="s">
        <v>202</v>
      </c>
      <c r="I98" s="42">
        <v>0</v>
      </c>
      <c r="J98" s="42" t="s">
        <v>1986</v>
      </c>
      <c r="K98" s="43">
        <v>26644849</v>
      </c>
      <c r="R98" t="s">
        <v>1969</v>
      </c>
    </row>
    <row r="99" spans="1:18" x14ac:dyDescent="0.2">
      <c r="A99" s="44"/>
      <c r="B99" s="44"/>
      <c r="C99" s="45" t="s">
        <v>1955</v>
      </c>
      <c r="D99" s="46">
        <v>26644849</v>
      </c>
      <c r="H99" s="44"/>
      <c r="I99" s="44"/>
      <c r="J99" s="45" t="s">
        <v>1955</v>
      </c>
      <c r="K99" s="46">
        <v>26644849</v>
      </c>
      <c r="R99" t="s">
        <v>89</v>
      </c>
    </row>
    <row r="100" spans="1:18" x14ac:dyDescent="0.2">
      <c r="A100" s="42" t="s">
        <v>1496</v>
      </c>
      <c r="B100" s="42">
        <v>0</v>
      </c>
      <c r="C100" s="42" t="s">
        <v>1986</v>
      </c>
      <c r="D100" s="43">
        <v>14620773</v>
      </c>
      <c r="H100" s="42" t="s">
        <v>1496</v>
      </c>
      <c r="I100" s="42">
        <v>0</v>
      </c>
      <c r="J100" s="42" t="s">
        <v>1986</v>
      </c>
      <c r="K100" s="43">
        <v>14620773</v>
      </c>
      <c r="R100" t="s">
        <v>90</v>
      </c>
    </row>
    <row r="101" spans="1:18" x14ac:dyDescent="0.2">
      <c r="A101" s="44"/>
      <c r="B101" s="44"/>
      <c r="C101" s="45" t="s">
        <v>441</v>
      </c>
      <c r="D101" s="46">
        <v>29241546</v>
      </c>
      <c r="H101" s="44"/>
      <c r="I101" s="44"/>
      <c r="J101" s="45" t="s">
        <v>441</v>
      </c>
      <c r="K101" s="46">
        <v>29241546</v>
      </c>
      <c r="R101" t="s">
        <v>104</v>
      </c>
    </row>
    <row r="102" spans="1:18" x14ac:dyDescent="0.2">
      <c r="A102" s="44"/>
      <c r="B102" s="44"/>
      <c r="C102" s="45" t="s">
        <v>1955</v>
      </c>
      <c r="D102" s="46">
        <v>14620773</v>
      </c>
      <c r="H102" s="44"/>
      <c r="I102" s="44"/>
      <c r="J102" s="45" t="s">
        <v>1955</v>
      </c>
      <c r="K102" s="46">
        <v>14620773</v>
      </c>
      <c r="R102" t="s">
        <v>105</v>
      </c>
    </row>
    <row r="103" spans="1:18" x14ac:dyDescent="0.2">
      <c r="A103" s="42" t="s">
        <v>741</v>
      </c>
      <c r="B103" s="42">
        <v>0</v>
      </c>
      <c r="C103" s="42" t="s">
        <v>1961</v>
      </c>
      <c r="D103" s="43">
        <v>208416</v>
      </c>
      <c r="H103" s="42" t="s">
        <v>741</v>
      </c>
      <c r="I103" s="42">
        <v>0</v>
      </c>
      <c r="J103" s="42" t="s">
        <v>1961</v>
      </c>
      <c r="K103" s="43">
        <v>208416</v>
      </c>
      <c r="R103" t="s">
        <v>106</v>
      </c>
    </row>
    <row r="104" spans="1:18" x14ac:dyDescent="0.2">
      <c r="A104" s="44"/>
      <c r="B104" s="44"/>
      <c r="C104" s="45" t="s">
        <v>2074</v>
      </c>
      <c r="D104" s="46">
        <v>208416</v>
      </c>
      <c r="H104" s="44"/>
      <c r="I104" s="44"/>
      <c r="J104" s="45" t="s">
        <v>2074</v>
      </c>
      <c r="K104" s="46">
        <v>208416</v>
      </c>
      <c r="R104" t="s">
        <v>126</v>
      </c>
    </row>
    <row r="105" spans="1:18" x14ac:dyDescent="0.2">
      <c r="A105" s="42" t="s">
        <v>1699</v>
      </c>
      <c r="B105" s="42">
        <v>0</v>
      </c>
      <c r="C105" s="42" t="s">
        <v>2024</v>
      </c>
      <c r="D105" s="43">
        <v>932190</v>
      </c>
      <c r="H105" s="42" t="s">
        <v>1699</v>
      </c>
      <c r="I105" s="42">
        <v>0</v>
      </c>
      <c r="J105" s="42" t="s">
        <v>2024</v>
      </c>
      <c r="K105" s="43">
        <v>932190</v>
      </c>
      <c r="R105" t="s">
        <v>127</v>
      </c>
    </row>
    <row r="106" spans="1:18" x14ac:dyDescent="0.2">
      <c r="A106" s="44"/>
      <c r="B106" s="44"/>
      <c r="C106" s="45" t="s">
        <v>1958</v>
      </c>
      <c r="D106" s="46">
        <v>932190</v>
      </c>
      <c r="H106" s="44"/>
      <c r="I106" s="44"/>
      <c r="J106" s="45" t="s">
        <v>1958</v>
      </c>
      <c r="K106" s="46">
        <v>932190</v>
      </c>
      <c r="R106" t="s">
        <v>61</v>
      </c>
    </row>
    <row r="107" spans="1:18" x14ac:dyDescent="0.2">
      <c r="A107" s="42" t="s">
        <v>371</v>
      </c>
      <c r="B107" s="42" t="s">
        <v>372</v>
      </c>
      <c r="C107" s="42" t="s">
        <v>1986</v>
      </c>
      <c r="D107" s="43">
        <v>4266666</v>
      </c>
      <c r="H107" s="42" t="s">
        <v>371</v>
      </c>
      <c r="I107" s="42" t="s">
        <v>372</v>
      </c>
      <c r="J107" s="42" t="s">
        <v>1986</v>
      </c>
      <c r="K107" s="43">
        <v>4266666</v>
      </c>
      <c r="R107" t="s">
        <v>62</v>
      </c>
    </row>
    <row r="108" spans="1:18" x14ac:dyDescent="0.2">
      <c r="A108" s="44"/>
      <c r="B108" s="44"/>
      <c r="C108" s="45" t="s">
        <v>441</v>
      </c>
      <c r="D108" s="46">
        <v>8533332</v>
      </c>
      <c r="H108" s="44"/>
      <c r="I108" s="44"/>
      <c r="J108" s="45" t="s">
        <v>441</v>
      </c>
      <c r="K108" s="46">
        <v>8533332</v>
      </c>
      <c r="R108" t="s">
        <v>63</v>
      </c>
    </row>
    <row r="109" spans="1:18" x14ac:dyDescent="0.2">
      <c r="A109" s="44"/>
      <c r="B109" s="44"/>
      <c r="C109" s="45" t="s">
        <v>1955</v>
      </c>
      <c r="D109" s="46">
        <v>4266666</v>
      </c>
      <c r="H109" s="44"/>
      <c r="I109" s="44"/>
      <c r="J109" s="45" t="s">
        <v>1955</v>
      </c>
      <c r="K109" s="46">
        <v>4266666</v>
      </c>
      <c r="R109" t="s">
        <v>64</v>
      </c>
    </row>
    <row r="110" spans="1:18" x14ac:dyDescent="0.2">
      <c r="A110" s="42" t="s">
        <v>1597</v>
      </c>
      <c r="B110" s="42">
        <v>0</v>
      </c>
      <c r="C110" s="42" t="s">
        <v>441</v>
      </c>
      <c r="D110" s="43">
        <v>238524612</v>
      </c>
      <c r="H110" s="42" t="s">
        <v>1597</v>
      </c>
      <c r="I110" s="42">
        <v>0</v>
      </c>
      <c r="J110" s="42" t="s">
        <v>441</v>
      </c>
      <c r="K110" s="43">
        <v>238524612</v>
      </c>
      <c r="R110" t="s">
        <v>65</v>
      </c>
    </row>
    <row r="111" spans="1:18" x14ac:dyDescent="0.2">
      <c r="A111" s="44"/>
      <c r="B111" s="44"/>
      <c r="C111" s="45" t="s">
        <v>1994</v>
      </c>
      <c r="D111" s="46">
        <v>119262306</v>
      </c>
      <c r="H111" s="44"/>
      <c r="I111" s="44"/>
      <c r="J111" s="45" t="s">
        <v>1994</v>
      </c>
      <c r="K111" s="46">
        <v>119262306</v>
      </c>
      <c r="R111" t="s">
        <v>66</v>
      </c>
    </row>
    <row r="112" spans="1:18" x14ac:dyDescent="0.2">
      <c r="A112" s="44"/>
      <c r="B112" s="44"/>
      <c r="C112" s="45" t="s">
        <v>1956</v>
      </c>
      <c r="D112" s="46">
        <v>119262306</v>
      </c>
      <c r="H112" s="44"/>
      <c r="I112" s="44"/>
      <c r="J112" s="45" t="s">
        <v>1956</v>
      </c>
      <c r="K112" s="46">
        <v>119262306</v>
      </c>
      <c r="R112" t="s">
        <v>67</v>
      </c>
    </row>
    <row r="113" spans="1:18" x14ac:dyDescent="0.2">
      <c r="A113" s="42" t="s">
        <v>514</v>
      </c>
      <c r="B113" s="42" t="s">
        <v>516</v>
      </c>
      <c r="C113" s="42" t="s">
        <v>1986</v>
      </c>
      <c r="D113" s="43">
        <v>35235513</v>
      </c>
      <c r="H113" s="42" t="s">
        <v>514</v>
      </c>
      <c r="I113" s="42" t="s">
        <v>516</v>
      </c>
      <c r="J113" s="42" t="s">
        <v>1986</v>
      </c>
      <c r="K113" s="43">
        <v>35235513</v>
      </c>
      <c r="R113" t="s">
        <v>114</v>
      </c>
    </row>
    <row r="114" spans="1:18" x14ac:dyDescent="0.2">
      <c r="A114" s="44"/>
      <c r="B114" s="44"/>
      <c r="C114" s="45" t="s">
        <v>441</v>
      </c>
      <c r="D114" s="46">
        <v>70471026</v>
      </c>
      <c r="H114" s="44"/>
      <c r="I114" s="44"/>
      <c r="J114" s="45" t="s">
        <v>441</v>
      </c>
      <c r="K114" s="46">
        <v>70471026</v>
      </c>
      <c r="R114" t="s">
        <v>115</v>
      </c>
    </row>
    <row r="115" spans="1:18" x14ac:dyDescent="0.2">
      <c r="A115" s="44"/>
      <c r="B115" s="44"/>
      <c r="C115" s="45" t="s">
        <v>1955</v>
      </c>
      <c r="D115" s="46">
        <v>35235513</v>
      </c>
      <c r="H115" s="44"/>
      <c r="I115" s="44"/>
      <c r="J115" s="45" t="s">
        <v>1955</v>
      </c>
      <c r="K115" s="46">
        <v>35235513</v>
      </c>
      <c r="R115" t="s">
        <v>160</v>
      </c>
    </row>
    <row r="116" spans="1:18" x14ac:dyDescent="0.2">
      <c r="A116" s="42" t="s">
        <v>1774</v>
      </c>
      <c r="B116" s="42">
        <v>0</v>
      </c>
      <c r="C116" s="42" t="s">
        <v>1986</v>
      </c>
      <c r="D116" s="43">
        <v>133008850</v>
      </c>
      <c r="H116" s="42" t="s">
        <v>1774</v>
      </c>
      <c r="I116" s="42">
        <v>0</v>
      </c>
      <c r="J116" s="42" t="s">
        <v>1986</v>
      </c>
      <c r="K116" s="43">
        <v>133008850</v>
      </c>
      <c r="R116" t="s">
        <v>80</v>
      </c>
    </row>
    <row r="117" spans="1:18" x14ac:dyDescent="0.2">
      <c r="A117" s="44"/>
      <c r="B117" s="44"/>
      <c r="C117" s="45" t="s">
        <v>1955</v>
      </c>
      <c r="D117" s="46">
        <v>133008850</v>
      </c>
      <c r="H117" s="44"/>
      <c r="I117" s="44"/>
      <c r="J117" s="45" t="s">
        <v>1955</v>
      </c>
      <c r="K117" s="46">
        <v>133008850</v>
      </c>
      <c r="R117" t="s">
        <v>81</v>
      </c>
    </row>
    <row r="118" spans="1:18" x14ac:dyDescent="0.2">
      <c r="A118" s="42" t="s">
        <v>785</v>
      </c>
      <c r="B118" s="42">
        <v>0</v>
      </c>
      <c r="C118" s="42" t="s">
        <v>1986</v>
      </c>
      <c r="D118" s="43">
        <v>228411346</v>
      </c>
      <c r="H118" s="42" t="s">
        <v>785</v>
      </c>
      <c r="I118" s="42">
        <v>0</v>
      </c>
      <c r="J118" s="42" t="s">
        <v>1986</v>
      </c>
      <c r="K118" s="43">
        <v>228411346</v>
      </c>
      <c r="R118" t="s">
        <v>82</v>
      </c>
    </row>
    <row r="119" spans="1:18" x14ac:dyDescent="0.2">
      <c r="A119" s="44"/>
      <c r="B119" s="44"/>
      <c r="C119" s="45" t="s">
        <v>441</v>
      </c>
      <c r="D119" s="46">
        <v>77016385</v>
      </c>
      <c r="H119" s="44"/>
      <c r="I119" s="44"/>
      <c r="J119" s="45" t="s">
        <v>441</v>
      </c>
      <c r="K119" s="46">
        <v>77016385</v>
      </c>
      <c r="R119" t="s">
        <v>132</v>
      </c>
    </row>
    <row r="120" spans="1:18" x14ac:dyDescent="0.2">
      <c r="A120" s="44"/>
      <c r="B120" s="44"/>
      <c r="C120" s="45" t="s">
        <v>1955</v>
      </c>
      <c r="D120" s="46">
        <v>151394961</v>
      </c>
      <c r="H120" s="44"/>
      <c r="I120" s="44"/>
      <c r="J120" s="45" t="s">
        <v>1955</v>
      </c>
      <c r="K120" s="46">
        <v>151394961</v>
      </c>
      <c r="R120" t="s">
        <v>133</v>
      </c>
    </row>
    <row r="121" spans="1:18" x14ac:dyDescent="0.2">
      <c r="A121" s="42" t="s">
        <v>959</v>
      </c>
      <c r="B121" s="42">
        <v>0</v>
      </c>
      <c r="C121" s="42" t="s">
        <v>1986</v>
      </c>
      <c r="D121" s="43">
        <v>13821390</v>
      </c>
      <c r="H121" s="42" t="s">
        <v>959</v>
      </c>
      <c r="I121" s="42">
        <v>0</v>
      </c>
      <c r="J121" s="42" t="s">
        <v>1986</v>
      </c>
      <c r="K121" s="43">
        <v>13821390</v>
      </c>
    </row>
    <row r="122" spans="1:18" x14ac:dyDescent="0.2">
      <c r="A122" s="44"/>
      <c r="B122" s="44"/>
      <c r="C122" s="45" t="s">
        <v>1955</v>
      </c>
      <c r="D122" s="46">
        <v>13821390</v>
      </c>
      <c r="H122" s="44"/>
      <c r="I122" s="44"/>
      <c r="J122" s="45" t="s">
        <v>1955</v>
      </c>
      <c r="K122" s="46">
        <v>13821390</v>
      </c>
    </row>
    <row r="123" spans="1:18" x14ac:dyDescent="0.2">
      <c r="A123" s="42" t="s">
        <v>363</v>
      </c>
      <c r="B123" s="42">
        <v>0</v>
      </c>
      <c r="C123" s="42" t="s">
        <v>441</v>
      </c>
      <c r="D123" s="43">
        <v>99872758</v>
      </c>
      <c r="H123" s="42" t="s">
        <v>363</v>
      </c>
      <c r="I123" s="42">
        <v>0</v>
      </c>
      <c r="J123" s="42" t="s">
        <v>441</v>
      </c>
      <c r="K123" s="43">
        <v>99872758</v>
      </c>
    </row>
    <row r="124" spans="1:18" x14ac:dyDescent="0.2">
      <c r="A124" s="44"/>
      <c r="B124" s="44"/>
      <c r="C124" s="45" t="s">
        <v>1994</v>
      </c>
      <c r="D124" s="46">
        <v>49936379</v>
      </c>
      <c r="H124" s="44"/>
      <c r="I124" s="44"/>
      <c r="J124" s="45" t="s">
        <v>1994</v>
      </c>
      <c r="K124" s="46">
        <v>49936379</v>
      </c>
    </row>
    <row r="125" spans="1:18" x14ac:dyDescent="0.2">
      <c r="A125" s="44"/>
      <c r="B125" s="44"/>
      <c r="C125" s="45" t="s">
        <v>1956</v>
      </c>
      <c r="D125" s="46">
        <v>49936379</v>
      </c>
      <c r="H125" s="44"/>
      <c r="I125" s="44"/>
      <c r="J125" s="45" t="s">
        <v>1956</v>
      </c>
      <c r="K125" s="46">
        <v>49936379</v>
      </c>
    </row>
    <row r="126" spans="1:18" x14ac:dyDescent="0.2">
      <c r="A126" s="42" t="s">
        <v>630</v>
      </c>
      <c r="B126" s="42">
        <v>0</v>
      </c>
      <c r="C126" s="42" t="s">
        <v>1962</v>
      </c>
      <c r="D126" s="43">
        <v>4895000</v>
      </c>
      <c r="H126" s="42" t="s">
        <v>630</v>
      </c>
      <c r="I126" s="42">
        <v>0</v>
      </c>
      <c r="J126" s="42" t="s">
        <v>1962</v>
      </c>
      <c r="K126" s="43">
        <v>4895000</v>
      </c>
    </row>
    <row r="127" spans="1:18" x14ac:dyDescent="0.2">
      <c r="A127" s="44"/>
      <c r="B127" s="44"/>
      <c r="C127" s="45" t="s">
        <v>1994</v>
      </c>
      <c r="D127" s="46">
        <v>4895000</v>
      </c>
      <c r="H127" s="44"/>
      <c r="I127" s="44"/>
      <c r="J127" s="45" t="s">
        <v>1994</v>
      </c>
      <c r="K127" s="46">
        <v>4895000</v>
      </c>
    </row>
    <row r="128" spans="1:18" x14ac:dyDescent="0.2">
      <c r="A128" s="42" t="s">
        <v>1483</v>
      </c>
      <c r="B128" s="42" t="s">
        <v>1484</v>
      </c>
      <c r="C128" s="42" t="s">
        <v>1986</v>
      </c>
      <c r="D128" s="43">
        <v>3733333</v>
      </c>
      <c r="H128" s="42" t="s">
        <v>1483</v>
      </c>
      <c r="I128" s="42" t="s">
        <v>1484</v>
      </c>
      <c r="J128" s="42" t="s">
        <v>1986</v>
      </c>
      <c r="K128" s="43">
        <v>3733333</v>
      </c>
    </row>
    <row r="129" spans="1:11" x14ac:dyDescent="0.2">
      <c r="A129" s="44"/>
      <c r="B129" s="44"/>
      <c r="C129" s="45" t="s">
        <v>441</v>
      </c>
      <c r="D129" s="46">
        <v>7466666</v>
      </c>
      <c r="H129" s="44"/>
      <c r="I129" s="44"/>
      <c r="J129" s="45" t="s">
        <v>441</v>
      </c>
      <c r="K129" s="46">
        <v>7466666</v>
      </c>
    </row>
    <row r="130" spans="1:11" x14ac:dyDescent="0.2">
      <c r="A130" s="44"/>
      <c r="B130" s="44"/>
      <c r="C130" s="45" t="s">
        <v>1955</v>
      </c>
      <c r="D130" s="46">
        <v>3733333</v>
      </c>
      <c r="H130" s="44"/>
      <c r="I130" s="44"/>
      <c r="J130" s="45" t="s">
        <v>1955</v>
      </c>
      <c r="K130" s="46">
        <v>3733333</v>
      </c>
    </row>
    <row r="131" spans="1:11" x14ac:dyDescent="0.2">
      <c r="A131" s="42" t="s">
        <v>1871</v>
      </c>
      <c r="B131" s="42">
        <v>0</v>
      </c>
      <c r="C131" s="42" t="s">
        <v>1986</v>
      </c>
      <c r="D131" s="43">
        <v>51284404</v>
      </c>
      <c r="H131" s="42" t="s">
        <v>1871</v>
      </c>
      <c r="I131" s="42">
        <v>0</v>
      </c>
      <c r="J131" s="42" t="s">
        <v>1986</v>
      </c>
      <c r="K131" s="43">
        <v>51284404</v>
      </c>
    </row>
    <row r="132" spans="1:11" x14ac:dyDescent="0.2">
      <c r="A132" s="44"/>
      <c r="B132" s="44"/>
      <c r="C132" s="45" t="s">
        <v>1955</v>
      </c>
      <c r="D132" s="46">
        <v>51284404</v>
      </c>
      <c r="H132" s="44"/>
      <c r="I132" s="44"/>
      <c r="J132" s="45" t="s">
        <v>1955</v>
      </c>
      <c r="K132" s="46">
        <v>51284404</v>
      </c>
    </row>
    <row r="133" spans="1:11" x14ac:dyDescent="0.2">
      <c r="A133" s="42" t="s">
        <v>670</v>
      </c>
      <c r="B133" s="42">
        <v>0</v>
      </c>
      <c r="C133" s="42" t="s">
        <v>1986</v>
      </c>
      <c r="D133" s="43">
        <v>118751087</v>
      </c>
      <c r="H133" s="42" t="s">
        <v>670</v>
      </c>
      <c r="I133" s="42">
        <v>0</v>
      </c>
      <c r="J133" s="42" t="s">
        <v>1986</v>
      </c>
      <c r="K133" s="43">
        <v>118751087</v>
      </c>
    </row>
    <row r="134" spans="1:11" x14ac:dyDescent="0.2">
      <c r="A134" s="44"/>
      <c r="B134" s="44"/>
      <c r="C134" s="45" t="s">
        <v>1955</v>
      </c>
      <c r="D134" s="46">
        <v>118751087</v>
      </c>
      <c r="H134" s="44"/>
      <c r="I134" s="44"/>
      <c r="J134" s="45" t="s">
        <v>1955</v>
      </c>
      <c r="K134" s="46">
        <v>118751087</v>
      </c>
    </row>
    <row r="135" spans="1:11" x14ac:dyDescent="0.2">
      <c r="A135" s="42" t="s">
        <v>542</v>
      </c>
      <c r="B135" s="42">
        <v>0</v>
      </c>
      <c r="C135" s="42" t="s">
        <v>1986</v>
      </c>
      <c r="D135" s="43">
        <v>67094434</v>
      </c>
      <c r="H135" s="42" t="s">
        <v>542</v>
      </c>
      <c r="I135" s="42">
        <v>0</v>
      </c>
      <c r="J135" s="42" t="s">
        <v>1986</v>
      </c>
      <c r="K135" s="43">
        <v>67094434</v>
      </c>
    </row>
    <row r="136" spans="1:11" x14ac:dyDescent="0.2">
      <c r="A136" s="44"/>
      <c r="B136" s="44"/>
      <c r="C136" s="45" t="s">
        <v>1955</v>
      </c>
      <c r="D136" s="46">
        <v>67094434</v>
      </c>
      <c r="H136" s="44"/>
      <c r="I136" s="44"/>
      <c r="J136" s="45" t="s">
        <v>1955</v>
      </c>
      <c r="K136" s="46">
        <v>67094434</v>
      </c>
    </row>
    <row r="137" spans="1:11" x14ac:dyDescent="0.2">
      <c r="A137" s="42" t="s">
        <v>1768</v>
      </c>
      <c r="B137" s="42">
        <v>0</v>
      </c>
      <c r="C137" s="42" t="s">
        <v>1986</v>
      </c>
      <c r="D137" s="43">
        <v>18730651</v>
      </c>
      <c r="H137" s="42" t="s">
        <v>1768</v>
      </c>
      <c r="I137" s="42">
        <v>0</v>
      </c>
      <c r="J137" s="42" t="s">
        <v>1986</v>
      </c>
      <c r="K137" s="43">
        <v>18730651</v>
      </c>
    </row>
    <row r="138" spans="1:11" x14ac:dyDescent="0.2">
      <c r="A138" s="44"/>
      <c r="B138" s="44"/>
      <c r="C138" s="45" t="s">
        <v>1955</v>
      </c>
      <c r="D138" s="46">
        <v>18730651</v>
      </c>
      <c r="H138" s="44"/>
      <c r="I138" s="44"/>
      <c r="J138" s="45" t="s">
        <v>1955</v>
      </c>
      <c r="K138" s="46">
        <v>18730651</v>
      </c>
    </row>
    <row r="139" spans="1:11" x14ac:dyDescent="0.2">
      <c r="A139" s="42" t="s">
        <v>1038</v>
      </c>
      <c r="B139" s="42" t="s">
        <v>1040</v>
      </c>
      <c r="C139" s="42" t="s">
        <v>1986</v>
      </c>
      <c r="D139" s="43">
        <v>107423938</v>
      </c>
      <c r="H139" s="42" t="s">
        <v>1038</v>
      </c>
      <c r="I139" s="42" t="s">
        <v>1040</v>
      </c>
      <c r="J139" s="42" t="s">
        <v>1986</v>
      </c>
      <c r="K139" s="43">
        <v>107423938</v>
      </c>
    </row>
    <row r="140" spans="1:11" x14ac:dyDescent="0.2">
      <c r="A140" s="44"/>
      <c r="B140" s="44"/>
      <c r="C140" s="45" t="s">
        <v>1955</v>
      </c>
      <c r="D140" s="46">
        <v>107423938</v>
      </c>
      <c r="H140" s="44"/>
      <c r="I140" s="44"/>
      <c r="J140" s="45" t="s">
        <v>1955</v>
      </c>
      <c r="K140" s="46">
        <v>107423938</v>
      </c>
    </row>
    <row r="141" spans="1:11" x14ac:dyDescent="0.2">
      <c r="A141" s="42" t="s">
        <v>1684</v>
      </c>
      <c r="B141" s="42" t="s">
        <v>1686</v>
      </c>
      <c r="C141" s="42" t="s">
        <v>1986</v>
      </c>
      <c r="D141" s="43">
        <v>73343293</v>
      </c>
      <c r="H141" s="42" t="s">
        <v>1684</v>
      </c>
      <c r="I141" s="42" t="s">
        <v>1686</v>
      </c>
      <c r="J141" s="42" t="s">
        <v>1986</v>
      </c>
      <c r="K141" s="43">
        <v>73343293</v>
      </c>
    </row>
    <row r="142" spans="1:11" x14ac:dyDescent="0.2">
      <c r="A142" s="44"/>
      <c r="B142" s="44"/>
      <c r="C142" s="45" t="s">
        <v>1955</v>
      </c>
      <c r="D142" s="46">
        <v>73343293</v>
      </c>
      <c r="H142" s="44"/>
      <c r="I142" s="44"/>
      <c r="J142" s="45" t="s">
        <v>1955</v>
      </c>
      <c r="K142" s="46">
        <v>73343293</v>
      </c>
    </row>
    <row r="143" spans="1:11" x14ac:dyDescent="0.2">
      <c r="A143" s="42" t="s">
        <v>100</v>
      </c>
      <c r="B143" s="42" t="s">
        <v>1510</v>
      </c>
      <c r="C143" s="42" t="s">
        <v>1986</v>
      </c>
      <c r="D143" s="43">
        <v>132046342</v>
      </c>
      <c r="H143" s="42" t="s">
        <v>100</v>
      </c>
      <c r="I143" s="42" t="s">
        <v>1510</v>
      </c>
      <c r="J143" s="42" t="s">
        <v>1986</v>
      </c>
      <c r="K143" s="43">
        <v>132046342</v>
      </c>
    </row>
    <row r="144" spans="1:11" x14ac:dyDescent="0.2">
      <c r="A144" s="44"/>
      <c r="B144" s="44"/>
      <c r="C144" s="45" t="s">
        <v>1955</v>
      </c>
      <c r="D144" s="46">
        <v>132046342</v>
      </c>
      <c r="H144" s="44"/>
      <c r="I144" s="44"/>
      <c r="J144" s="45" t="s">
        <v>1955</v>
      </c>
      <c r="K144" s="46">
        <v>132046342</v>
      </c>
    </row>
    <row r="145" spans="1:11" x14ac:dyDescent="0.2">
      <c r="A145" s="42" t="s">
        <v>101</v>
      </c>
      <c r="B145" s="42" t="s">
        <v>1396</v>
      </c>
      <c r="C145" s="42" t="s">
        <v>1986</v>
      </c>
      <c r="D145" s="43">
        <v>12599671</v>
      </c>
      <c r="H145" s="42" t="s">
        <v>101</v>
      </c>
      <c r="I145" s="42" t="s">
        <v>1396</v>
      </c>
      <c r="J145" s="42" t="s">
        <v>1986</v>
      </c>
      <c r="K145" s="43">
        <v>12599671</v>
      </c>
    </row>
    <row r="146" spans="1:11" x14ac:dyDescent="0.2">
      <c r="A146" s="44"/>
      <c r="B146" s="44"/>
      <c r="C146" s="45" t="s">
        <v>1955</v>
      </c>
      <c r="D146" s="46">
        <v>12599671</v>
      </c>
      <c r="H146" s="44"/>
      <c r="I146" s="44"/>
      <c r="J146" s="45" t="s">
        <v>1955</v>
      </c>
      <c r="K146" s="46">
        <v>12599671</v>
      </c>
    </row>
    <row r="147" spans="1:11" x14ac:dyDescent="0.2">
      <c r="A147" s="42" t="s">
        <v>102</v>
      </c>
      <c r="B147" s="42">
        <v>0</v>
      </c>
      <c r="C147" s="42" t="s">
        <v>1986</v>
      </c>
      <c r="D147" s="43">
        <v>88824005</v>
      </c>
      <c r="H147" s="42" t="s">
        <v>102</v>
      </c>
      <c r="I147" s="42">
        <v>0</v>
      </c>
      <c r="J147" s="42" t="s">
        <v>1986</v>
      </c>
      <c r="K147" s="43">
        <v>88824005</v>
      </c>
    </row>
    <row r="148" spans="1:11" x14ac:dyDescent="0.2">
      <c r="A148" s="44"/>
      <c r="B148" s="44"/>
      <c r="C148" s="45" t="s">
        <v>1955</v>
      </c>
      <c r="D148" s="46">
        <v>88824005</v>
      </c>
      <c r="H148" s="44"/>
      <c r="I148" s="44"/>
      <c r="J148" s="45" t="s">
        <v>1955</v>
      </c>
      <c r="K148" s="46">
        <v>88824005</v>
      </c>
    </row>
    <row r="149" spans="1:11" x14ac:dyDescent="0.2">
      <c r="A149" s="42" t="s">
        <v>206</v>
      </c>
      <c r="B149" s="42">
        <v>0</v>
      </c>
      <c r="C149" s="42" t="s">
        <v>1994</v>
      </c>
      <c r="D149" s="43">
        <v>58974061</v>
      </c>
      <c r="H149" s="42" t="s">
        <v>206</v>
      </c>
      <c r="I149" s="42">
        <v>0</v>
      </c>
      <c r="J149" s="42" t="s">
        <v>1994</v>
      </c>
      <c r="K149" s="43">
        <v>58974061</v>
      </c>
    </row>
    <row r="150" spans="1:11" x14ac:dyDescent="0.2">
      <c r="A150" s="44"/>
      <c r="B150" s="44"/>
      <c r="C150" s="45" t="s">
        <v>1956</v>
      </c>
      <c r="D150" s="46">
        <v>58974061</v>
      </c>
      <c r="H150" s="44"/>
      <c r="I150" s="44"/>
      <c r="J150" s="45" t="s">
        <v>1956</v>
      </c>
      <c r="K150" s="46">
        <v>58974061</v>
      </c>
    </row>
    <row r="151" spans="1:11" x14ac:dyDescent="0.2">
      <c r="A151" s="42" t="s">
        <v>196</v>
      </c>
      <c r="B151" s="42">
        <v>0</v>
      </c>
      <c r="C151" s="42" t="s">
        <v>1986</v>
      </c>
      <c r="D151" s="43">
        <v>7031151</v>
      </c>
      <c r="H151" s="42" t="s">
        <v>196</v>
      </c>
      <c r="I151" s="42">
        <v>0</v>
      </c>
      <c r="J151" s="42" t="s">
        <v>1986</v>
      </c>
      <c r="K151" s="43">
        <v>7031151</v>
      </c>
    </row>
    <row r="152" spans="1:11" x14ac:dyDescent="0.2">
      <c r="A152" s="44"/>
      <c r="B152" s="44"/>
      <c r="C152" s="45" t="s">
        <v>1955</v>
      </c>
      <c r="D152" s="46">
        <v>7031151</v>
      </c>
      <c r="H152" s="44"/>
      <c r="I152" s="44"/>
      <c r="J152" s="45" t="s">
        <v>1955</v>
      </c>
      <c r="K152" s="46">
        <v>7031151</v>
      </c>
    </row>
    <row r="153" spans="1:11" x14ac:dyDescent="0.2">
      <c r="A153" s="44"/>
      <c r="B153" s="44"/>
      <c r="C153" s="45" t="s">
        <v>1994</v>
      </c>
      <c r="D153" s="46">
        <v>74475181</v>
      </c>
      <c r="H153" s="44"/>
      <c r="I153" s="44"/>
      <c r="J153" s="45" t="s">
        <v>1994</v>
      </c>
      <c r="K153" s="46">
        <v>74475181</v>
      </c>
    </row>
    <row r="154" spans="1:11" x14ac:dyDescent="0.2">
      <c r="A154" s="44"/>
      <c r="B154" s="44"/>
      <c r="C154" s="45" t="s">
        <v>1956</v>
      </c>
      <c r="D154" s="46">
        <v>74475181</v>
      </c>
      <c r="H154" s="44"/>
      <c r="I154" s="44"/>
      <c r="J154" s="45" t="s">
        <v>1956</v>
      </c>
      <c r="K154" s="46">
        <v>74475181</v>
      </c>
    </row>
    <row r="155" spans="1:11" x14ac:dyDescent="0.2">
      <c r="A155" s="42" t="s">
        <v>182</v>
      </c>
      <c r="B155" s="42">
        <v>0</v>
      </c>
      <c r="C155" s="42" t="s">
        <v>1958</v>
      </c>
      <c r="D155" s="43">
        <v>25241154</v>
      </c>
      <c r="H155" s="42" t="s">
        <v>182</v>
      </c>
      <c r="I155" s="42">
        <v>0</v>
      </c>
      <c r="J155" s="42" t="s">
        <v>1958</v>
      </c>
      <c r="K155" s="43">
        <v>25241154</v>
      </c>
    </row>
    <row r="156" spans="1:11" x14ac:dyDescent="0.2">
      <c r="A156" s="44"/>
      <c r="B156" s="44"/>
      <c r="C156" s="45" t="s">
        <v>2145</v>
      </c>
      <c r="D156" s="46">
        <v>25241154</v>
      </c>
      <c r="H156" s="44"/>
      <c r="I156" s="44"/>
      <c r="J156" s="45" t="s">
        <v>2145</v>
      </c>
      <c r="K156" s="46">
        <v>25241154</v>
      </c>
    </row>
    <row r="157" spans="1:11" x14ac:dyDescent="0.2">
      <c r="A157" s="44"/>
      <c r="B157" s="44"/>
      <c r="C157" s="45" t="s">
        <v>441</v>
      </c>
      <c r="D157" s="46">
        <v>50482308</v>
      </c>
      <c r="H157" s="44"/>
      <c r="I157" s="44"/>
      <c r="J157" s="45" t="s">
        <v>441</v>
      </c>
      <c r="K157" s="46">
        <v>50482308</v>
      </c>
    </row>
    <row r="158" spans="1:11" x14ac:dyDescent="0.2">
      <c r="A158" s="42" t="s">
        <v>198</v>
      </c>
      <c r="B158" s="42">
        <v>0</v>
      </c>
      <c r="C158" s="42" t="s">
        <v>2024</v>
      </c>
      <c r="D158" s="43">
        <v>5697507</v>
      </c>
      <c r="H158" s="42" t="s">
        <v>198</v>
      </c>
      <c r="I158" s="42">
        <v>0</v>
      </c>
      <c r="J158" s="42" t="s">
        <v>2024</v>
      </c>
      <c r="K158" s="43">
        <v>5697507</v>
      </c>
    </row>
    <row r="159" spans="1:11" x14ac:dyDescent="0.2">
      <c r="A159" s="44"/>
      <c r="B159" s="44"/>
      <c r="C159" s="45" t="s">
        <v>1957</v>
      </c>
      <c r="D159" s="46">
        <v>29416223</v>
      </c>
      <c r="H159" s="44"/>
      <c r="I159" s="44"/>
      <c r="J159" s="45" t="s">
        <v>1957</v>
      </c>
      <c r="K159" s="46">
        <v>29416223</v>
      </c>
    </row>
    <row r="160" spans="1:11" x14ac:dyDescent="0.2">
      <c r="A160" s="44"/>
      <c r="B160" s="44"/>
      <c r="C160" s="45" t="s">
        <v>1986</v>
      </c>
      <c r="D160" s="46">
        <v>49782451</v>
      </c>
      <c r="H160" s="44"/>
      <c r="I160" s="44"/>
      <c r="J160" s="45" t="s">
        <v>1986</v>
      </c>
      <c r="K160" s="46">
        <v>49782451</v>
      </c>
    </row>
    <row r="161" spans="1:11" x14ac:dyDescent="0.2">
      <c r="A161" s="44"/>
      <c r="B161" s="44"/>
      <c r="C161" s="45" t="s">
        <v>1960</v>
      </c>
      <c r="D161" s="46">
        <v>24460759</v>
      </c>
      <c r="H161" s="44"/>
      <c r="I161" s="44"/>
      <c r="J161" s="45" t="s">
        <v>1960</v>
      </c>
      <c r="K161" s="46">
        <v>24460759</v>
      </c>
    </row>
    <row r="162" spans="1:11" x14ac:dyDescent="0.2">
      <c r="A162" s="44"/>
      <c r="B162" s="44"/>
      <c r="C162" s="45" t="s">
        <v>1958</v>
      </c>
      <c r="D162" s="46">
        <v>3851521</v>
      </c>
      <c r="H162" s="44"/>
      <c r="I162" s="44"/>
      <c r="J162" s="45" t="s">
        <v>1958</v>
      </c>
      <c r="K162" s="46">
        <v>3851521</v>
      </c>
    </row>
    <row r="163" spans="1:11" x14ac:dyDescent="0.2">
      <c r="A163" s="44"/>
      <c r="B163" s="44"/>
      <c r="C163" s="45" t="s">
        <v>441</v>
      </c>
      <c r="D163" s="46">
        <v>22614773</v>
      </c>
      <c r="H163" s="44"/>
      <c r="I163" s="44"/>
      <c r="J163" s="45" t="s">
        <v>441</v>
      </c>
      <c r="K163" s="46">
        <v>22614773</v>
      </c>
    </row>
    <row r="164" spans="1:11" x14ac:dyDescent="0.2">
      <c r="A164" s="44"/>
      <c r="B164" s="44"/>
      <c r="C164" s="45" t="s">
        <v>1962</v>
      </c>
      <c r="D164" s="46">
        <v>3323255</v>
      </c>
      <c r="H164" s="44"/>
      <c r="I164" s="44"/>
      <c r="J164" s="45" t="s">
        <v>1962</v>
      </c>
      <c r="K164" s="46">
        <v>3323255</v>
      </c>
    </row>
    <row r="165" spans="1:11" x14ac:dyDescent="0.2">
      <c r="A165" s="44"/>
      <c r="B165" s="44"/>
      <c r="C165" s="45" t="s">
        <v>1955</v>
      </c>
      <c r="D165" s="46">
        <v>49782451</v>
      </c>
      <c r="H165" s="44"/>
      <c r="I165" s="44"/>
      <c r="J165" s="45" t="s">
        <v>1955</v>
      </c>
      <c r="K165" s="46">
        <v>49782451</v>
      </c>
    </row>
    <row r="166" spans="1:11" x14ac:dyDescent="0.2">
      <c r="A166" s="44"/>
      <c r="B166" s="44"/>
      <c r="C166" s="45" t="s">
        <v>2017</v>
      </c>
      <c r="D166" s="46">
        <v>29416223</v>
      </c>
      <c r="H166" s="44"/>
      <c r="I166" s="44"/>
      <c r="J166" s="45" t="s">
        <v>2017</v>
      </c>
      <c r="K166" s="46">
        <v>29416223</v>
      </c>
    </row>
    <row r="167" spans="1:11" x14ac:dyDescent="0.2">
      <c r="A167" s="44"/>
      <c r="B167" s="44"/>
      <c r="C167" s="45" t="s">
        <v>2170</v>
      </c>
      <c r="D167" s="46">
        <v>3323255</v>
      </c>
      <c r="H167" s="44"/>
      <c r="I167" s="44"/>
      <c r="J167" s="45" t="s">
        <v>2170</v>
      </c>
      <c r="K167" s="46">
        <v>3323255</v>
      </c>
    </row>
    <row r="168" spans="1:11" x14ac:dyDescent="0.2">
      <c r="A168" s="44"/>
      <c r="B168" s="44"/>
      <c r="C168" s="45" t="s">
        <v>1994</v>
      </c>
      <c r="D168" s="46">
        <v>109017</v>
      </c>
      <c r="H168" s="44"/>
      <c r="I168" s="44"/>
      <c r="J168" s="45" t="s">
        <v>1994</v>
      </c>
      <c r="K168" s="46">
        <v>109017</v>
      </c>
    </row>
    <row r="169" spans="1:11" x14ac:dyDescent="0.2">
      <c r="A169" s="44"/>
      <c r="B169" s="44"/>
      <c r="C169" s="45" t="s">
        <v>1956</v>
      </c>
      <c r="D169" s="46">
        <v>109017</v>
      </c>
      <c r="H169" s="44"/>
      <c r="I169" s="44"/>
      <c r="J169" s="45" t="s">
        <v>1956</v>
      </c>
      <c r="K169" s="46">
        <v>109017</v>
      </c>
    </row>
    <row r="170" spans="1:11" x14ac:dyDescent="0.2">
      <c r="A170" s="42" t="s">
        <v>556</v>
      </c>
      <c r="B170" s="42">
        <v>0</v>
      </c>
      <c r="C170" s="42" t="s">
        <v>2024</v>
      </c>
      <c r="D170" s="43">
        <v>51135805</v>
      </c>
      <c r="H170" s="42" t="s">
        <v>556</v>
      </c>
      <c r="I170" s="42">
        <v>0</v>
      </c>
      <c r="J170" s="42" t="s">
        <v>2024</v>
      </c>
      <c r="K170" s="43">
        <v>51135805</v>
      </c>
    </row>
    <row r="171" spans="1:11" x14ac:dyDescent="0.2">
      <c r="A171" s="44"/>
      <c r="B171" s="44"/>
      <c r="C171" s="45" t="s">
        <v>1986</v>
      </c>
      <c r="D171" s="46">
        <v>63204417</v>
      </c>
      <c r="H171" s="44"/>
      <c r="I171" s="44"/>
      <c r="J171" s="45" t="s">
        <v>1986</v>
      </c>
      <c r="K171" s="46">
        <v>63204417</v>
      </c>
    </row>
    <row r="172" spans="1:11" x14ac:dyDescent="0.2">
      <c r="A172" s="44"/>
      <c r="B172" s="44"/>
      <c r="C172" s="45" t="s">
        <v>1958</v>
      </c>
      <c r="D172" s="46">
        <v>51135805</v>
      </c>
      <c r="H172" s="44"/>
      <c r="I172" s="44"/>
      <c r="J172" s="45" t="s">
        <v>1958</v>
      </c>
      <c r="K172" s="46">
        <v>51135805</v>
      </c>
    </row>
    <row r="173" spans="1:11" x14ac:dyDescent="0.2">
      <c r="A173" s="44"/>
      <c r="B173" s="44"/>
      <c r="C173" s="45" t="s">
        <v>1955</v>
      </c>
      <c r="D173" s="46">
        <v>63204417</v>
      </c>
      <c r="H173" s="44"/>
      <c r="I173" s="44"/>
      <c r="J173" s="45" t="s">
        <v>1955</v>
      </c>
      <c r="K173" s="46">
        <v>63204417</v>
      </c>
    </row>
    <row r="174" spans="1:11" x14ac:dyDescent="0.2">
      <c r="A174" s="42" t="s">
        <v>1408</v>
      </c>
      <c r="B174" s="42">
        <v>0</v>
      </c>
      <c r="C174" s="42" t="s">
        <v>2024</v>
      </c>
      <c r="D174" s="43">
        <v>31349936</v>
      </c>
      <c r="H174" s="42" t="s">
        <v>1408</v>
      </c>
      <c r="I174" s="42">
        <v>0</v>
      </c>
      <c r="J174" s="42" t="s">
        <v>2024</v>
      </c>
      <c r="K174" s="43">
        <v>31349936</v>
      </c>
    </row>
    <row r="175" spans="1:11" x14ac:dyDescent="0.2">
      <c r="A175" s="44"/>
      <c r="B175" s="44"/>
      <c r="C175" s="45" t="s">
        <v>1986</v>
      </c>
      <c r="D175" s="46">
        <v>72878977</v>
      </c>
      <c r="H175" s="44"/>
      <c r="I175" s="44"/>
      <c r="J175" s="45" t="s">
        <v>1986</v>
      </c>
      <c r="K175" s="46">
        <v>72878977</v>
      </c>
    </row>
    <row r="176" spans="1:11" x14ac:dyDescent="0.2">
      <c r="A176" s="44"/>
      <c r="B176" s="44"/>
      <c r="C176" s="45" t="s">
        <v>1960</v>
      </c>
      <c r="D176" s="46">
        <v>11527083</v>
      </c>
      <c r="H176" s="44"/>
      <c r="I176" s="44"/>
      <c r="J176" s="45" t="s">
        <v>1960</v>
      </c>
      <c r="K176" s="46">
        <v>11527083</v>
      </c>
    </row>
    <row r="177" spans="1:11" x14ac:dyDescent="0.2">
      <c r="A177" s="44"/>
      <c r="B177" s="44"/>
      <c r="C177" s="45" t="s">
        <v>1958</v>
      </c>
      <c r="D177" s="46">
        <v>31349936</v>
      </c>
      <c r="H177" s="44"/>
      <c r="I177" s="44"/>
      <c r="J177" s="45" t="s">
        <v>1958</v>
      </c>
      <c r="K177" s="46">
        <v>31349936</v>
      </c>
    </row>
    <row r="178" spans="1:11" x14ac:dyDescent="0.2">
      <c r="A178" s="44"/>
      <c r="B178" s="44"/>
      <c r="C178" s="45" t="s">
        <v>1955</v>
      </c>
      <c r="D178" s="46">
        <v>61351894</v>
      </c>
      <c r="H178" s="44"/>
      <c r="I178" s="44"/>
      <c r="J178" s="45" t="s">
        <v>1955</v>
      </c>
      <c r="K178" s="46">
        <v>61351894</v>
      </c>
    </row>
    <row r="179" spans="1:11" x14ac:dyDescent="0.2">
      <c r="A179" s="42" t="s">
        <v>1418</v>
      </c>
      <c r="B179" s="42">
        <v>0</v>
      </c>
      <c r="C179" s="42" t="s">
        <v>2024</v>
      </c>
      <c r="D179" s="43">
        <v>144487137</v>
      </c>
      <c r="H179" s="42" t="s">
        <v>1418</v>
      </c>
      <c r="I179" s="42">
        <v>0</v>
      </c>
      <c r="J179" s="42" t="s">
        <v>2024</v>
      </c>
      <c r="K179" s="43">
        <v>144487137</v>
      </c>
    </row>
    <row r="180" spans="1:11" x14ac:dyDescent="0.2">
      <c r="A180" s="44"/>
      <c r="B180" s="44"/>
      <c r="C180" s="45" t="s">
        <v>1960</v>
      </c>
      <c r="D180" s="46">
        <v>7540033</v>
      </c>
      <c r="H180" s="44"/>
      <c r="I180" s="44"/>
      <c r="J180" s="45" t="s">
        <v>1960</v>
      </c>
      <c r="K180" s="46">
        <v>7540033</v>
      </c>
    </row>
    <row r="181" spans="1:11" x14ac:dyDescent="0.2">
      <c r="A181" s="44"/>
      <c r="B181" s="44"/>
      <c r="C181" s="45" t="s">
        <v>1958</v>
      </c>
      <c r="D181" s="46">
        <v>144487137</v>
      </c>
      <c r="H181" s="44"/>
      <c r="I181" s="44"/>
      <c r="J181" s="45" t="s">
        <v>1958</v>
      </c>
      <c r="K181" s="46">
        <v>144487137</v>
      </c>
    </row>
    <row r="182" spans="1:11" x14ac:dyDescent="0.2">
      <c r="A182" s="44"/>
      <c r="B182" s="44"/>
      <c r="C182" s="45" t="s">
        <v>441</v>
      </c>
      <c r="D182" s="46">
        <v>116302493</v>
      </c>
      <c r="H182" s="44"/>
      <c r="I182" s="44"/>
      <c r="J182" s="45" t="s">
        <v>441</v>
      </c>
      <c r="K182" s="46">
        <v>116302493</v>
      </c>
    </row>
    <row r="183" spans="1:11" x14ac:dyDescent="0.2">
      <c r="A183" s="44"/>
      <c r="B183" s="44"/>
      <c r="C183" s="45" t="s">
        <v>1946</v>
      </c>
      <c r="D183" s="46">
        <v>108762460</v>
      </c>
      <c r="H183" s="44"/>
      <c r="I183" s="44"/>
      <c r="J183" s="45" t="s">
        <v>1946</v>
      </c>
      <c r="K183" s="46">
        <v>108762460</v>
      </c>
    </row>
    <row r="184" spans="1:11" x14ac:dyDescent="0.2">
      <c r="A184" s="42" t="s">
        <v>158</v>
      </c>
      <c r="B184" s="42" t="s">
        <v>1348</v>
      </c>
      <c r="C184" s="42" t="s">
        <v>1957</v>
      </c>
      <c r="D184" s="43">
        <v>30651450</v>
      </c>
      <c r="H184" s="42" t="s">
        <v>158</v>
      </c>
      <c r="I184" s="42" t="s">
        <v>1348</v>
      </c>
      <c r="J184" s="42" t="s">
        <v>1957</v>
      </c>
      <c r="K184" s="43">
        <v>30651450</v>
      </c>
    </row>
    <row r="185" spans="1:11" x14ac:dyDescent="0.2">
      <c r="A185" s="44"/>
      <c r="B185" s="44"/>
      <c r="C185" s="45" t="s">
        <v>1986</v>
      </c>
      <c r="D185" s="46">
        <v>3437856</v>
      </c>
      <c r="H185" s="44"/>
      <c r="I185" s="44"/>
      <c r="J185" s="45" t="s">
        <v>1986</v>
      </c>
      <c r="K185" s="46">
        <v>3437856</v>
      </c>
    </row>
    <row r="186" spans="1:11" x14ac:dyDescent="0.2">
      <c r="A186" s="44"/>
      <c r="B186" s="44"/>
      <c r="C186" s="45" t="s">
        <v>1960</v>
      </c>
      <c r="D186" s="46">
        <v>3437856</v>
      </c>
      <c r="H186" s="44"/>
      <c r="I186" s="44"/>
      <c r="J186" s="45" t="s">
        <v>1960</v>
      </c>
      <c r="K186" s="46">
        <v>3437856</v>
      </c>
    </row>
    <row r="187" spans="1:11" x14ac:dyDescent="0.2">
      <c r="A187" s="44"/>
      <c r="B187" s="44"/>
      <c r="C187" s="45" t="s">
        <v>2017</v>
      </c>
      <c r="D187" s="46">
        <v>30651450</v>
      </c>
      <c r="H187" s="44"/>
      <c r="I187" s="44"/>
      <c r="J187" s="45" t="s">
        <v>2017</v>
      </c>
      <c r="K187" s="46">
        <v>30651450</v>
      </c>
    </row>
    <row r="188" spans="1:11" x14ac:dyDescent="0.2">
      <c r="A188" s="44"/>
      <c r="B188" s="44"/>
      <c r="C188" s="45" t="s">
        <v>1994</v>
      </c>
      <c r="D188" s="46">
        <v>18782708</v>
      </c>
      <c r="H188" s="44"/>
      <c r="I188" s="44"/>
      <c r="J188" s="45" t="s">
        <v>1994</v>
      </c>
      <c r="K188" s="46">
        <v>18782708</v>
      </c>
    </row>
    <row r="189" spans="1:11" x14ac:dyDescent="0.2">
      <c r="A189" s="44"/>
      <c r="B189" s="44"/>
      <c r="C189" s="45" t="s">
        <v>1956</v>
      </c>
      <c r="D189" s="46">
        <v>18782708</v>
      </c>
      <c r="H189" s="44"/>
      <c r="I189" s="44"/>
      <c r="J189" s="45" t="s">
        <v>1956</v>
      </c>
      <c r="K189" s="46">
        <v>18782708</v>
      </c>
    </row>
    <row r="190" spans="1:11" x14ac:dyDescent="0.2">
      <c r="A190" s="42" t="s">
        <v>186</v>
      </c>
      <c r="B190" s="42" t="s">
        <v>1227</v>
      </c>
      <c r="C190" s="42" t="s">
        <v>1957</v>
      </c>
      <c r="D190" s="43">
        <v>66580267</v>
      </c>
      <c r="H190" s="42" t="s">
        <v>186</v>
      </c>
      <c r="I190" s="42" t="s">
        <v>1227</v>
      </c>
      <c r="J190" s="42" t="s">
        <v>1957</v>
      </c>
      <c r="K190" s="43">
        <v>66580267</v>
      </c>
    </row>
    <row r="191" spans="1:11" x14ac:dyDescent="0.2">
      <c r="A191" s="44"/>
      <c r="B191" s="44"/>
      <c r="C191" s="45" t="s">
        <v>1986</v>
      </c>
      <c r="D191" s="46">
        <v>14962717</v>
      </c>
      <c r="H191" s="44"/>
      <c r="I191" s="44"/>
      <c r="J191" s="45" t="s">
        <v>1986</v>
      </c>
      <c r="K191" s="46">
        <v>14962717</v>
      </c>
    </row>
    <row r="192" spans="1:11" x14ac:dyDescent="0.2">
      <c r="A192" s="44"/>
      <c r="B192" s="44"/>
      <c r="C192" s="45" t="s">
        <v>1960</v>
      </c>
      <c r="D192" s="46">
        <v>14962717</v>
      </c>
      <c r="H192" s="44"/>
      <c r="I192" s="44"/>
      <c r="J192" s="45" t="s">
        <v>1960</v>
      </c>
      <c r="K192" s="46">
        <v>14962717</v>
      </c>
    </row>
    <row r="193" spans="1:11" x14ac:dyDescent="0.2">
      <c r="A193" s="44"/>
      <c r="B193" s="44"/>
      <c r="C193" s="45" t="s">
        <v>441</v>
      </c>
      <c r="D193" s="46">
        <v>37520556</v>
      </c>
      <c r="H193" s="44"/>
      <c r="I193" s="44"/>
      <c r="J193" s="45" t="s">
        <v>441</v>
      </c>
      <c r="K193" s="46">
        <v>37520556</v>
      </c>
    </row>
    <row r="194" spans="1:11" x14ac:dyDescent="0.2">
      <c r="A194" s="44"/>
      <c r="B194" s="44"/>
      <c r="C194" s="45" t="s">
        <v>1946</v>
      </c>
      <c r="D194" s="46">
        <v>7595122</v>
      </c>
      <c r="H194" s="44"/>
      <c r="I194" s="44"/>
      <c r="J194" s="45" t="s">
        <v>1946</v>
      </c>
      <c r="K194" s="46">
        <v>7595122</v>
      </c>
    </row>
    <row r="195" spans="1:11" x14ac:dyDescent="0.2">
      <c r="A195" s="44"/>
      <c r="B195" s="44"/>
      <c r="C195" s="45" t="s">
        <v>2017</v>
      </c>
      <c r="D195" s="46">
        <v>66580267</v>
      </c>
      <c r="H195" s="44"/>
      <c r="I195" s="44"/>
      <c r="J195" s="45" t="s">
        <v>2017</v>
      </c>
      <c r="K195" s="46">
        <v>66580267</v>
      </c>
    </row>
    <row r="196" spans="1:11" x14ac:dyDescent="0.2">
      <c r="A196" s="44"/>
      <c r="B196" s="44"/>
      <c r="C196" s="45" t="s">
        <v>1994</v>
      </c>
      <c r="D196" s="46">
        <v>18559453</v>
      </c>
      <c r="H196" s="44"/>
      <c r="I196" s="44"/>
      <c r="J196" s="45" t="s">
        <v>1994</v>
      </c>
      <c r="K196" s="46">
        <v>18559453</v>
      </c>
    </row>
    <row r="197" spans="1:11" x14ac:dyDescent="0.2">
      <c r="A197" s="44"/>
      <c r="B197" s="44"/>
      <c r="C197" s="45" t="s">
        <v>1956</v>
      </c>
      <c r="D197" s="46">
        <v>18559453</v>
      </c>
      <c r="H197" s="44"/>
      <c r="I197" s="44"/>
      <c r="J197" s="45" t="s">
        <v>1956</v>
      </c>
      <c r="K197" s="46">
        <v>18559453</v>
      </c>
    </row>
    <row r="198" spans="1:11" x14ac:dyDescent="0.2">
      <c r="A198" s="42" t="s">
        <v>200</v>
      </c>
      <c r="B198" s="42" t="s">
        <v>1852</v>
      </c>
      <c r="C198" s="42" t="s">
        <v>1994</v>
      </c>
      <c r="D198" s="43">
        <v>135023957</v>
      </c>
      <c r="H198" s="42" t="s">
        <v>200</v>
      </c>
      <c r="I198" s="42" t="s">
        <v>1852</v>
      </c>
      <c r="J198" s="42" t="s">
        <v>1994</v>
      </c>
      <c r="K198" s="43">
        <v>135023957</v>
      </c>
    </row>
    <row r="199" spans="1:11" x14ac:dyDescent="0.2">
      <c r="A199" s="44"/>
      <c r="B199" s="44"/>
      <c r="C199" s="45" t="s">
        <v>1956</v>
      </c>
      <c r="D199" s="46">
        <v>135023957</v>
      </c>
      <c r="H199" s="44"/>
      <c r="I199" s="44"/>
      <c r="J199" s="45" t="s">
        <v>1956</v>
      </c>
      <c r="K199" s="46">
        <v>135023957</v>
      </c>
    </row>
    <row r="200" spans="1:11" x14ac:dyDescent="0.2">
      <c r="A200" s="42" t="s">
        <v>108</v>
      </c>
      <c r="B200" s="42">
        <v>0</v>
      </c>
      <c r="C200" s="42" t="s">
        <v>1961</v>
      </c>
      <c r="D200" s="43">
        <v>128887743</v>
      </c>
      <c r="H200" s="42" t="s">
        <v>108</v>
      </c>
      <c r="I200" s="42">
        <v>0</v>
      </c>
      <c r="J200" s="42" t="s">
        <v>1961</v>
      </c>
      <c r="K200" s="43">
        <v>128887743</v>
      </c>
    </row>
    <row r="201" spans="1:11" x14ac:dyDescent="0.2">
      <c r="A201" s="44"/>
      <c r="B201" s="44"/>
      <c r="C201" s="45" t="s">
        <v>2074</v>
      </c>
      <c r="D201" s="46">
        <v>128887743</v>
      </c>
      <c r="H201" s="44"/>
      <c r="I201" s="44"/>
      <c r="J201" s="45" t="s">
        <v>2074</v>
      </c>
      <c r="K201" s="46">
        <v>128887743</v>
      </c>
    </row>
    <row r="202" spans="1:11" x14ac:dyDescent="0.2">
      <c r="A202" s="42" t="s">
        <v>109</v>
      </c>
      <c r="B202" s="42">
        <v>0</v>
      </c>
      <c r="C202" s="42" t="s">
        <v>1986</v>
      </c>
      <c r="D202" s="43">
        <v>17240845</v>
      </c>
      <c r="H202" s="42" t="s">
        <v>109</v>
      </c>
      <c r="I202" s="42">
        <v>0</v>
      </c>
      <c r="J202" s="42" t="s">
        <v>1986</v>
      </c>
      <c r="K202" s="43">
        <v>17240845</v>
      </c>
    </row>
    <row r="203" spans="1:11" x14ac:dyDescent="0.2">
      <c r="A203" s="44"/>
      <c r="B203" s="44"/>
      <c r="C203" s="45" t="s">
        <v>1961</v>
      </c>
      <c r="D203" s="46">
        <v>62073232</v>
      </c>
      <c r="H203" s="44"/>
      <c r="I203" s="44"/>
      <c r="J203" s="45" t="s">
        <v>1961</v>
      </c>
      <c r="K203" s="46">
        <v>62073232</v>
      </c>
    </row>
    <row r="204" spans="1:11" x14ac:dyDescent="0.2">
      <c r="A204" s="44"/>
      <c r="B204" s="44"/>
      <c r="C204" s="45" t="s">
        <v>2074</v>
      </c>
      <c r="D204" s="46">
        <v>62073232</v>
      </c>
      <c r="H204" s="44"/>
      <c r="I204" s="44"/>
      <c r="J204" s="45" t="s">
        <v>2074</v>
      </c>
      <c r="K204" s="46">
        <v>62073232</v>
      </c>
    </row>
    <row r="205" spans="1:11" x14ac:dyDescent="0.2">
      <c r="A205" s="44"/>
      <c r="B205" s="44"/>
      <c r="C205" s="45" t="s">
        <v>1955</v>
      </c>
      <c r="D205" s="46">
        <v>17240845</v>
      </c>
      <c r="H205" s="44"/>
      <c r="I205" s="44"/>
      <c r="J205" s="45" t="s">
        <v>1955</v>
      </c>
      <c r="K205" s="46">
        <v>17240845</v>
      </c>
    </row>
    <row r="206" spans="1:11" x14ac:dyDescent="0.2">
      <c r="A206" s="42" t="s">
        <v>174</v>
      </c>
      <c r="B206" s="42">
        <v>0</v>
      </c>
      <c r="C206" s="42" t="s">
        <v>1986</v>
      </c>
      <c r="D206" s="43">
        <v>9743775</v>
      </c>
      <c r="H206" s="42" t="s">
        <v>174</v>
      </c>
      <c r="I206" s="42">
        <v>0</v>
      </c>
      <c r="J206" s="42" t="s">
        <v>1986</v>
      </c>
      <c r="K206" s="43">
        <v>9743775</v>
      </c>
    </row>
    <row r="207" spans="1:11" x14ac:dyDescent="0.2">
      <c r="A207" s="44"/>
      <c r="B207" s="44"/>
      <c r="C207" s="45" t="s">
        <v>1960</v>
      </c>
      <c r="D207" s="46">
        <v>6069467</v>
      </c>
      <c r="H207" s="44"/>
      <c r="I207" s="44"/>
      <c r="J207" s="45" t="s">
        <v>1960</v>
      </c>
      <c r="K207" s="46">
        <v>6069467</v>
      </c>
    </row>
    <row r="208" spans="1:11" x14ac:dyDescent="0.2">
      <c r="A208" s="44"/>
      <c r="B208" s="44"/>
      <c r="C208" s="45" t="s">
        <v>1961</v>
      </c>
      <c r="D208" s="46">
        <v>119858451</v>
      </c>
      <c r="H208" s="44"/>
      <c r="I208" s="44"/>
      <c r="J208" s="45" t="s">
        <v>1961</v>
      </c>
      <c r="K208" s="46">
        <v>119858451</v>
      </c>
    </row>
    <row r="209" spans="1:11" x14ac:dyDescent="0.2">
      <c r="A209" s="44"/>
      <c r="B209" s="44"/>
      <c r="C209" s="45" t="s">
        <v>2074</v>
      </c>
      <c r="D209" s="46">
        <v>119858451</v>
      </c>
      <c r="H209" s="44"/>
      <c r="I209" s="44"/>
      <c r="J209" s="45" t="s">
        <v>2074</v>
      </c>
      <c r="K209" s="46">
        <v>119858451</v>
      </c>
    </row>
    <row r="210" spans="1:11" x14ac:dyDescent="0.2">
      <c r="A210" s="44"/>
      <c r="B210" s="44"/>
      <c r="C210" s="45" t="s">
        <v>1955</v>
      </c>
      <c r="D210" s="46">
        <v>3674308</v>
      </c>
      <c r="H210" s="44"/>
      <c r="I210" s="44"/>
      <c r="J210" s="45" t="s">
        <v>1955</v>
      </c>
      <c r="K210" s="46">
        <v>3674308</v>
      </c>
    </row>
    <row r="211" spans="1:11" x14ac:dyDescent="0.2">
      <c r="A211" s="44"/>
      <c r="B211" s="44"/>
      <c r="C211" s="45" t="s">
        <v>1994</v>
      </c>
      <c r="D211" s="46">
        <v>1140223</v>
      </c>
      <c r="H211" s="44"/>
      <c r="I211" s="44"/>
      <c r="J211" s="45" t="s">
        <v>1994</v>
      </c>
      <c r="K211" s="46">
        <v>1140223</v>
      </c>
    </row>
    <row r="212" spans="1:11" x14ac:dyDescent="0.2">
      <c r="A212" s="44"/>
      <c r="B212" s="44"/>
      <c r="C212" s="45" t="s">
        <v>1956</v>
      </c>
      <c r="D212" s="46">
        <v>1140223</v>
      </c>
      <c r="H212" s="44"/>
      <c r="I212" s="44"/>
      <c r="J212" s="45" t="s">
        <v>1956</v>
      </c>
      <c r="K212" s="46">
        <v>1140223</v>
      </c>
    </row>
    <row r="213" spans="1:11" x14ac:dyDescent="0.2">
      <c r="A213" s="42" t="s">
        <v>164</v>
      </c>
      <c r="B213" s="42">
        <v>0</v>
      </c>
      <c r="C213" s="42" t="s">
        <v>1986</v>
      </c>
      <c r="D213" s="43">
        <v>30000000</v>
      </c>
      <c r="H213" s="42" t="s">
        <v>164</v>
      </c>
      <c r="I213" s="42">
        <v>0</v>
      </c>
      <c r="J213" s="42" t="s">
        <v>1986</v>
      </c>
      <c r="K213" s="43">
        <v>30000000</v>
      </c>
    </row>
    <row r="214" spans="1:11" x14ac:dyDescent="0.2">
      <c r="A214" s="44"/>
      <c r="B214" s="44"/>
      <c r="C214" s="45" t="s">
        <v>1955</v>
      </c>
      <c r="D214" s="46">
        <v>30000000</v>
      </c>
      <c r="H214" s="44"/>
      <c r="I214" s="44"/>
      <c r="J214" s="45" t="s">
        <v>1955</v>
      </c>
      <c r="K214" s="46">
        <v>30000000</v>
      </c>
    </row>
    <row r="215" spans="1:11" x14ac:dyDescent="0.2">
      <c r="A215" s="42" t="s">
        <v>146</v>
      </c>
      <c r="B215" s="42">
        <v>0</v>
      </c>
      <c r="C215" s="42" t="s">
        <v>1960</v>
      </c>
      <c r="D215" s="43">
        <v>26361196</v>
      </c>
      <c r="H215" s="42" t="s">
        <v>146</v>
      </c>
      <c r="I215" s="42">
        <v>0</v>
      </c>
      <c r="J215" s="42" t="s">
        <v>1960</v>
      </c>
      <c r="K215" s="43">
        <v>26361196</v>
      </c>
    </row>
    <row r="216" spans="1:11" x14ac:dyDescent="0.2">
      <c r="A216" s="44"/>
      <c r="B216" s="44"/>
      <c r="C216" s="45" t="s">
        <v>2145</v>
      </c>
      <c r="D216" s="46">
        <v>26361196</v>
      </c>
      <c r="H216" s="44"/>
      <c r="I216" s="44"/>
      <c r="J216" s="45" t="s">
        <v>2145</v>
      </c>
      <c r="K216" s="46">
        <v>26361196</v>
      </c>
    </row>
    <row r="217" spans="1:11" x14ac:dyDescent="0.2">
      <c r="A217" s="44"/>
      <c r="B217" s="44"/>
      <c r="C217" s="45" t="s">
        <v>441</v>
      </c>
      <c r="D217" s="46">
        <v>61349690</v>
      </c>
      <c r="H217" s="44"/>
      <c r="I217" s="44"/>
      <c r="J217" s="45" t="s">
        <v>441</v>
      </c>
      <c r="K217" s="46">
        <v>61349690</v>
      </c>
    </row>
    <row r="218" spans="1:11" x14ac:dyDescent="0.2">
      <c r="A218" s="44"/>
      <c r="B218" s="44"/>
      <c r="C218" s="45" t="s">
        <v>1994</v>
      </c>
      <c r="D218" s="46">
        <v>4313649</v>
      </c>
      <c r="H218" s="44"/>
      <c r="I218" s="44"/>
      <c r="J218" s="45" t="s">
        <v>1994</v>
      </c>
      <c r="K218" s="46">
        <v>4313649</v>
      </c>
    </row>
    <row r="219" spans="1:11" x14ac:dyDescent="0.2">
      <c r="A219" s="44"/>
      <c r="B219" s="44"/>
      <c r="C219" s="45" t="s">
        <v>1956</v>
      </c>
      <c r="D219" s="46">
        <v>4313649</v>
      </c>
      <c r="H219" s="44"/>
      <c r="I219" s="44"/>
      <c r="J219" s="45" t="s">
        <v>1956</v>
      </c>
      <c r="K219" s="46">
        <v>4313649</v>
      </c>
    </row>
    <row r="220" spans="1:11" x14ac:dyDescent="0.2">
      <c r="A220" s="42" t="s">
        <v>841</v>
      </c>
      <c r="B220" s="42">
        <v>0</v>
      </c>
      <c r="C220" s="42" t="s">
        <v>1986</v>
      </c>
      <c r="D220" s="43">
        <v>449998776</v>
      </c>
      <c r="H220" s="42" t="s">
        <v>841</v>
      </c>
      <c r="I220" s="42">
        <v>0</v>
      </c>
      <c r="J220" s="42" t="s">
        <v>1986</v>
      </c>
      <c r="K220" s="43">
        <v>449998776</v>
      </c>
    </row>
    <row r="221" spans="1:11" x14ac:dyDescent="0.2">
      <c r="A221" s="44"/>
      <c r="B221" s="44"/>
      <c r="C221" s="45" t="s">
        <v>441</v>
      </c>
      <c r="D221" s="46">
        <v>899997552</v>
      </c>
      <c r="H221" s="44"/>
      <c r="I221" s="44"/>
      <c r="J221" s="45" t="s">
        <v>441</v>
      </c>
      <c r="K221" s="46">
        <v>899997552</v>
      </c>
    </row>
    <row r="222" spans="1:11" x14ac:dyDescent="0.2">
      <c r="A222" s="44"/>
      <c r="B222" s="44"/>
      <c r="C222" s="45" t="s">
        <v>1955</v>
      </c>
      <c r="D222" s="46">
        <v>449998776</v>
      </c>
      <c r="H222" s="44"/>
      <c r="I222" s="44"/>
      <c r="J222" s="45" t="s">
        <v>1955</v>
      </c>
      <c r="K222" s="46">
        <v>449998776</v>
      </c>
    </row>
    <row r="223" spans="1:11" x14ac:dyDescent="0.2">
      <c r="A223" s="42" t="s">
        <v>1889</v>
      </c>
      <c r="B223" s="42">
        <v>0</v>
      </c>
      <c r="C223" s="42" t="s">
        <v>2024</v>
      </c>
      <c r="D223" s="43">
        <v>42017476</v>
      </c>
      <c r="H223" s="42" t="s">
        <v>1889</v>
      </c>
      <c r="I223" s="42">
        <v>0</v>
      </c>
      <c r="J223" s="42" t="s">
        <v>2024</v>
      </c>
      <c r="K223" s="43">
        <v>42017476</v>
      </c>
    </row>
    <row r="224" spans="1:11" x14ac:dyDescent="0.2">
      <c r="A224" s="44"/>
      <c r="B224" s="44"/>
      <c r="C224" s="45" t="s">
        <v>1959</v>
      </c>
      <c r="D224" s="46">
        <v>42017476</v>
      </c>
      <c r="H224" s="44"/>
      <c r="I224" s="44"/>
      <c r="J224" s="45" t="s">
        <v>1959</v>
      </c>
      <c r="K224" s="46">
        <v>42017476</v>
      </c>
    </row>
    <row r="225" spans="1:11" x14ac:dyDescent="0.2">
      <c r="A225" s="44"/>
      <c r="B225" s="44"/>
      <c r="C225" s="45" t="s">
        <v>1961</v>
      </c>
      <c r="D225" s="46">
        <v>650363229</v>
      </c>
      <c r="H225" s="44"/>
      <c r="I225" s="44"/>
      <c r="J225" s="45" t="s">
        <v>1961</v>
      </c>
      <c r="K225" s="46">
        <v>650363229</v>
      </c>
    </row>
    <row r="226" spans="1:11" x14ac:dyDescent="0.2">
      <c r="A226" s="44"/>
      <c r="B226" s="44"/>
      <c r="C226" s="45" t="s">
        <v>2074</v>
      </c>
      <c r="D226" s="46">
        <v>650363229</v>
      </c>
      <c r="H226" s="44"/>
      <c r="I226" s="44"/>
      <c r="J226" s="45" t="s">
        <v>2074</v>
      </c>
      <c r="K226" s="46">
        <v>650363229</v>
      </c>
    </row>
    <row r="227" spans="1:11" x14ac:dyDescent="0.2">
      <c r="A227" s="44"/>
      <c r="B227" s="44"/>
      <c r="C227" s="45" t="s">
        <v>1994</v>
      </c>
      <c r="D227" s="46">
        <v>22644893</v>
      </c>
      <c r="H227" s="44"/>
      <c r="I227" s="44"/>
      <c r="J227" s="45" t="s">
        <v>1994</v>
      </c>
      <c r="K227" s="46">
        <v>22644893</v>
      </c>
    </row>
    <row r="228" spans="1:11" x14ac:dyDescent="0.2">
      <c r="A228" s="44"/>
      <c r="B228" s="44"/>
      <c r="C228" s="45" t="s">
        <v>1956</v>
      </c>
      <c r="D228" s="46">
        <v>22644893</v>
      </c>
      <c r="H228" s="44"/>
      <c r="I228" s="44"/>
      <c r="J228" s="45" t="s">
        <v>1956</v>
      </c>
      <c r="K228" s="46">
        <v>22644893</v>
      </c>
    </row>
    <row r="229" spans="1:11" x14ac:dyDescent="0.2">
      <c r="A229" s="42" t="s">
        <v>172</v>
      </c>
      <c r="B229" s="42" t="s">
        <v>1471</v>
      </c>
      <c r="C229" s="42" t="s">
        <v>1959</v>
      </c>
      <c r="D229" s="43">
        <v>328670000</v>
      </c>
      <c r="H229" s="42" t="s">
        <v>172</v>
      </c>
      <c r="I229" s="42" t="s">
        <v>1471</v>
      </c>
      <c r="J229" s="42" t="s">
        <v>1959</v>
      </c>
      <c r="K229" s="43">
        <v>328670000</v>
      </c>
    </row>
    <row r="230" spans="1:11" x14ac:dyDescent="0.2">
      <c r="A230" s="44"/>
      <c r="B230" s="44"/>
      <c r="C230" s="45" t="s">
        <v>1986</v>
      </c>
      <c r="D230" s="46">
        <v>5970000</v>
      </c>
      <c r="H230" s="44"/>
      <c r="I230" s="44"/>
      <c r="J230" s="45" t="s">
        <v>1986</v>
      </c>
      <c r="K230" s="46">
        <v>5970000</v>
      </c>
    </row>
    <row r="231" spans="1:11" x14ac:dyDescent="0.2">
      <c r="A231" s="44"/>
      <c r="B231" s="44"/>
      <c r="C231" s="45" t="s">
        <v>441</v>
      </c>
      <c r="D231" s="46">
        <v>25860000</v>
      </c>
      <c r="H231" s="44"/>
      <c r="I231" s="44"/>
      <c r="J231" s="45" t="s">
        <v>441</v>
      </c>
      <c r="K231" s="46">
        <v>25860000</v>
      </c>
    </row>
    <row r="232" spans="1:11" x14ac:dyDescent="0.2">
      <c r="A232" s="44"/>
      <c r="B232" s="44"/>
      <c r="C232" s="45" t="s">
        <v>1955</v>
      </c>
      <c r="D232" s="46">
        <v>5970000</v>
      </c>
      <c r="H232" s="44"/>
      <c r="I232" s="44"/>
      <c r="J232" s="45" t="s">
        <v>1955</v>
      </c>
      <c r="K232" s="46">
        <v>5970000</v>
      </c>
    </row>
    <row r="233" spans="1:11" x14ac:dyDescent="0.2">
      <c r="A233" s="44"/>
      <c r="B233" s="44"/>
      <c r="C233" s="45" t="s">
        <v>2170</v>
      </c>
      <c r="D233" s="46">
        <v>328670000</v>
      </c>
      <c r="H233" s="44"/>
      <c r="I233" s="44"/>
      <c r="J233" s="45" t="s">
        <v>2170</v>
      </c>
      <c r="K233" s="46">
        <v>328670000</v>
      </c>
    </row>
    <row r="234" spans="1:11" x14ac:dyDescent="0.2">
      <c r="A234" s="44"/>
      <c r="B234" s="44"/>
      <c r="C234" s="45" t="s">
        <v>1956</v>
      </c>
      <c r="D234" s="46">
        <v>25860000</v>
      </c>
      <c r="H234" s="44"/>
      <c r="I234" s="44"/>
      <c r="J234" s="45" t="s">
        <v>1956</v>
      </c>
      <c r="K234" s="46">
        <v>25860000</v>
      </c>
    </row>
    <row r="235" spans="1:11" x14ac:dyDescent="0.2">
      <c r="A235" s="42" t="s">
        <v>1643</v>
      </c>
      <c r="B235" s="42">
        <v>0</v>
      </c>
      <c r="C235" s="42" t="s">
        <v>1986</v>
      </c>
      <c r="D235" s="43">
        <v>262664000</v>
      </c>
      <c r="H235" s="42" t="s">
        <v>1643</v>
      </c>
      <c r="I235" s="42">
        <v>0</v>
      </c>
      <c r="J235" s="42" t="s">
        <v>1986</v>
      </c>
      <c r="K235" s="43">
        <v>262664000</v>
      </c>
    </row>
    <row r="236" spans="1:11" x14ac:dyDescent="0.2">
      <c r="A236" s="44"/>
      <c r="B236" s="44"/>
      <c r="C236" s="45" t="s">
        <v>1955</v>
      </c>
      <c r="D236" s="46">
        <v>262664000</v>
      </c>
      <c r="H236" s="44"/>
      <c r="I236" s="44"/>
      <c r="J236" s="45" t="s">
        <v>1955</v>
      </c>
      <c r="K236" s="46">
        <v>262664000</v>
      </c>
    </row>
    <row r="237" spans="1:11" x14ac:dyDescent="0.2">
      <c r="A237" s="42" t="s">
        <v>123</v>
      </c>
      <c r="B237" s="42">
        <v>0</v>
      </c>
      <c r="C237" s="42" t="s">
        <v>2024</v>
      </c>
      <c r="D237" s="43">
        <v>7877038</v>
      </c>
      <c r="H237" s="42" t="s">
        <v>123</v>
      </c>
      <c r="I237" s="42">
        <v>0</v>
      </c>
      <c r="J237" s="42" t="s">
        <v>2024</v>
      </c>
      <c r="K237" s="43">
        <v>7877038</v>
      </c>
    </row>
    <row r="238" spans="1:11" x14ac:dyDescent="0.2">
      <c r="A238" s="44"/>
      <c r="B238" s="44"/>
      <c r="C238" s="45" t="s">
        <v>1959</v>
      </c>
      <c r="D238" s="46">
        <v>1009000</v>
      </c>
      <c r="H238" s="44"/>
      <c r="I238" s="44"/>
      <c r="J238" s="45" t="s">
        <v>1959</v>
      </c>
      <c r="K238" s="46">
        <v>1009000</v>
      </c>
    </row>
    <row r="239" spans="1:11" x14ac:dyDescent="0.2">
      <c r="A239" s="44"/>
      <c r="B239" s="44"/>
      <c r="C239" s="45" t="s">
        <v>441</v>
      </c>
      <c r="D239" s="46">
        <v>1009000</v>
      </c>
      <c r="H239" s="44"/>
      <c r="I239" s="44"/>
      <c r="J239" s="45" t="s">
        <v>441</v>
      </c>
      <c r="K239" s="46">
        <v>1009000</v>
      </c>
    </row>
    <row r="240" spans="1:11" x14ac:dyDescent="0.2">
      <c r="A240" s="44"/>
      <c r="B240" s="44"/>
      <c r="C240" s="45" t="s">
        <v>1962</v>
      </c>
      <c r="D240" s="46">
        <v>136000</v>
      </c>
      <c r="H240" s="44"/>
      <c r="I240" s="44"/>
      <c r="J240" s="45" t="s">
        <v>1962</v>
      </c>
      <c r="K240" s="46">
        <v>136000</v>
      </c>
    </row>
    <row r="241" spans="1:11" x14ac:dyDescent="0.2">
      <c r="A241" s="44"/>
      <c r="B241" s="44"/>
      <c r="C241" s="45" t="s">
        <v>1955</v>
      </c>
      <c r="D241" s="46">
        <v>7741038</v>
      </c>
      <c r="H241" s="44"/>
      <c r="I241" s="44"/>
      <c r="J241" s="45" t="s">
        <v>1955</v>
      </c>
      <c r="K241" s="46">
        <v>7741038</v>
      </c>
    </row>
    <row r="242" spans="1:11" x14ac:dyDescent="0.2">
      <c r="A242" s="44"/>
      <c r="B242" s="44"/>
      <c r="C242" s="45" t="s">
        <v>1994</v>
      </c>
      <c r="D242" s="46">
        <v>4789000</v>
      </c>
      <c r="H242" s="44"/>
      <c r="I242" s="44"/>
      <c r="J242" s="45" t="s">
        <v>1994</v>
      </c>
      <c r="K242" s="46">
        <v>4789000</v>
      </c>
    </row>
    <row r="243" spans="1:11" x14ac:dyDescent="0.2">
      <c r="A243" s="44"/>
      <c r="B243" s="44"/>
      <c r="C243" s="45" t="s">
        <v>1956</v>
      </c>
      <c r="D243" s="46">
        <v>4789000</v>
      </c>
      <c r="H243" s="44"/>
      <c r="I243" s="44"/>
      <c r="J243" s="45" t="s">
        <v>1956</v>
      </c>
      <c r="K243" s="46">
        <v>4789000</v>
      </c>
    </row>
    <row r="244" spans="1:11" x14ac:dyDescent="0.2">
      <c r="A244" s="42" t="s">
        <v>124</v>
      </c>
      <c r="B244" s="42">
        <v>0</v>
      </c>
      <c r="C244" s="42" t="s">
        <v>2024</v>
      </c>
      <c r="D244" s="43">
        <v>46206781</v>
      </c>
      <c r="H244" s="42" t="s">
        <v>124</v>
      </c>
      <c r="I244" s="42">
        <v>0</v>
      </c>
      <c r="J244" s="42" t="s">
        <v>2024</v>
      </c>
      <c r="K244" s="43">
        <v>46206781</v>
      </c>
    </row>
    <row r="245" spans="1:11" x14ac:dyDescent="0.2">
      <c r="A245" s="44"/>
      <c r="B245" s="44"/>
      <c r="C245" s="45" t="s">
        <v>1957</v>
      </c>
      <c r="D245" s="46">
        <v>23858720</v>
      </c>
      <c r="H245" s="44"/>
      <c r="I245" s="44"/>
      <c r="J245" s="45" t="s">
        <v>1957</v>
      </c>
      <c r="K245" s="46">
        <v>23858720</v>
      </c>
    </row>
    <row r="246" spans="1:11" x14ac:dyDescent="0.2">
      <c r="A246" s="44"/>
      <c r="B246" s="44"/>
      <c r="C246" s="45" t="s">
        <v>1965</v>
      </c>
      <c r="D246" s="46">
        <v>7683000</v>
      </c>
      <c r="H246" s="44"/>
      <c r="I246" s="44"/>
      <c r="J246" s="45" t="s">
        <v>1965</v>
      </c>
      <c r="K246" s="46">
        <v>7683000</v>
      </c>
    </row>
    <row r="247" spans="1:11" x14ac:dyDescent="0.2">
      <c r="A247" s="44"/>
      <c r="B247" s="44"/>
      <c r="C247" s="45" t="s">
        <v>1959</v>
      </c>
      <c r="D247" s="46">
        <v>3643000</v>
      </c>
      <c r="H247" s="44"/>
      <c r="I247" s="44"/>
      <c r="J247" s="45" t="s">
        <v>1959</v>
      </c>
      <c r="K247" s="46">
        <v>3643000</v>
      </c>
    </row>
    <row r="248" spans="1:11" x14ac:dyDescent="0.2">
      <c r="A248" s="44"/>
      <c r="B248" s="44"/>
      <c r="C248" s="45" t="s">
        <v>1986</v>
      </c>
      <c r="D248" s="46">
        <v>2593229</v>
      </c>
      <c r="H248" s="44"/>
      <c r="I248" s="44"/>
      <c r="J248" s="45" t="s">
        <v>1986</v>
      </c>
      <c r="K248" s="46">
        <v>2593229</v>
      </c>
    </row>
    <row r="249" spans="1:11" x14ac:dyDescent="0.2">
      <c r="A249" s="44"/>
      <c r="B249" s="44"/>
      <c r="C249" s="45" t="s">
        <v>1960</v>
      </c>
      <c r="D249" s="46">
        <v>31502091</v>
      </c>
      <c r="H249" s="44"/>
      <c r="I249" s="44"/>
      <c r="J249" s="45" t="s">
        <v>1960</v>
      </c>
      <c r="K249" s="46">
        <v>31502091</v>
      </c>
    </row>
    <row r="250" spans="1:11" x14ac:dyDescent="0.2">
      <c r="A250" s="44"/>
      <c r="B250" s="44"/>
      <c r="C250" s="45" t="s">
        <v>1961</v>
      </c>
      <c r="D250" s="46">
        <v>288050517</v>
      </c>
      <c r="H250" s="44"/>
      <c r="I250" s="44"/>
      <c r="J250" s="45" t="s">
        <v>1961</v>
      </c>
      <c r="K250" s="46">
        <v>288050517</v>
      </c>
    </row>
    <row r="251" spans="1:11" x14ac:dyDescent="0.2">
      <c r="A251" s="44"/>
      <c r="B251" s="44"/>
      <c r="C251" s="45" t="s">
        <v>2074</v>
      </c>
      <c r="D251" s="46">
        <v>288050517</v>
      </c>
      <c r="H251" s="44"/>
      <c r="I251" s="44"/>
      <c r="J251" s="45" t="s">
        <v>2074</v>
      </c>
      <c r="K251" s="46">
        <v>288050517</v>
      </c>
    </row>
    <row r="252" spans="1:11" x14ac:dyDescent="0.2">
      <c r="A252" s="44"/>
      <c r="B252" s="44"/>
      <c r="C252" s="45" t="s">
        <v>441</v>
      </c>
      <c r="D252" s="46">
        <v>56214230</v>
      </c>
      <c r="H252" s="44"/>
      <c r="I252" s="44"/>
      <c r="J252" s="45" t="s">
        <v>441</v>
      </c>
      <c r="K252" s="46">
        <v>56214230</v>
      </c>
    </row>
    <row r="253" spans="1:11" x14ac:dyDescent="0.2">
      <c r="A253" s="44"/>
      <c r="B253" s="44"/>
      <c r="C253" s="45" t="s">
        <v>1962</v>
      </c>
      <c r="D253" s="46">
        <v>14917690</v>
      </c>
      <c r="H253" s="44"/>
      <c r="I253" s="44"/>
      <c r="J253" s="45" t="s">
        <v>1962</v>
      </c>
      <c r="K253" s="46">
        <v>14917690</v>
      </c>
    </row>
    <row r="254" spans="1:11" x14ac:dyDescent="0.2">
      <c r="A254" s="44"/>
      <c r="B254" s="44"/>
      <c r="C254" s="45" t="s">
        <v>1955</v>
      </c>
      <c r="D254" s="46">
        <v>2518229</v>
      </c>
      <c r="H254" s="44"/>
      <c r="I254" s="44"/>
      <c r="J254" s="45" t="s">
        <v>1955</v>
      </c>
      <c r="K254" s="46">
        <v>2518229</v>
      </c>
    </row>
    <row r="255" spans="1:11" x14ac:dyDescent="0.2">
      <c r="A255" s="44"/>
      <c r="B255" s="44"/>
      <c r="C255" s="45" t="s">
        <v>2017</v>
      </c>
      <c r="D255" s="46">
        <v>23858720</v>
      </c>
      <c r="H255" s="44"/>
      <c r="I255" s="44"/>
      <c r="J255" s="45" t="s">
        <v>2017</v>
      </c>
      <c r="K255" s="46">
        <v>23858720</v>
      </c>
    </row>
    <row r="256" spans="1:11" x14ac:dyDescent="0.2">
      <c r="A256" s="44"/>
      <c r="B256" s="44"/>
      <c r="C256" s="45" t="s">
        <v>2170</v>
      </c>
      <c r="D256" s="46">
        <v>1750705</v>
      </c>
      <c r="H256" s="44"/>
      <c r="I256" s="44"/>
      <c r="J256" s="45" t="s">
        <v>2170</v>
      </c>
      <c r="K256" s="46">
        <v>1750705</v>
      </c>
    </row>
    <row r="257" spans="1:11" x14ac:dyDescent="0.2">
      <c r="A257" s="44"/>
      <c r="B257" s="44"/>
      <c r="C257" s="45" t="s">
        <v>1994</v>
      </c>
      <c r="D257" s="46">
        <v>6681784</v>
      </c>
      <c r="H257" s="44"/>
      <c r="I257" s="44"/>
      <c r="J257" s="45" t="s">
        <v>1994</v>
      </c>
      <c r="K257" s="46">
        <v>6681784</v>
      </c>
    </row>
    <row r="258" spans="1:11" x14ac:dyDescent="0.2">
      <c r="A258" s="44"/>
      <c r="B258" s="44"/>
      <c r="C258" s="45" t="s">
        <v>1956</v>
      </c>
      <c r="D258" s="46">
        <v>8432489</v>
      </c>
      <c r="H258" s="44"/>
      <c r="I258" s="44"/>
      <c r="J258" s="45" t="s">
        <v>1956</v>
      </c>
      <c r="K258" s="46">
        <v>8432489</v>
      </c>
    </row>
    <row r="259" spans="1:11" x14ac:dyDescent="0.2">
      <c r="A259" s="42" t="s">
        <v>152</v>
      </c>
      <c r="B259" s="42" t="s">
        <v>1132</v>
      </c>
      <c r="C259" s="42" t="s">
        <v>1957</v>
      </c>
      <c r="D259" s="43">
        <v>51124278</v>
      </c>
      <c r="H259" s="42" t="s">
        <v>152</v>
      </c>
      <c r="I259" s="42" t="s">
        <v>1132</v>
      </c>
      <c r="J259" s="42" t="s">
        <v>1957</v>
      </c>
      <c r="K259" s="43">
        <v>51124278</v>
      </c>
    </row>
    <row r="260" spans="1:11" x14ac:dyDescent="0.2">
      <c r="A260" s="44"/>
      <c r="B260" s="44"/>
      <c r="C260" s="45" t="s">
        <v>441</v>
      </c>
      <c r="D260" s="46">
        <v>7974372</v>
      </c>
      <c r="H260" s="44"/>
      <c r="I260" s="44"/>
      <c r="J260" s="45" t="s">
        <v>441</v>
      </c>
      <c r="K260" s="46">
        <v>7974372</v>
      </c>
    </row>
    <row r="261" spans="1:11" x14ac:dyDescent="0.2">
      <c r="A261" s="44"/>
      <c r="B261" s="44"/>
      <c r="C261" s="45" t="s">
        <v>2017</v>
      </c>
      <c r="D261" s="46">
        <v>51124278</v>
      </c>
      <c r="H261" s="44"/>
      <c r="I261" s="44"/>
      <c r="J261" s="45" t="s">
        <v>2017</v>
      </c>
      <c r="K261" s="46">
        <v>51124278</v>
      </c>
    </row>
    <row r="262" spans="1:11" x14ac:dyDescent="0.2">
      <c r="A262" s="42" t="s">
        <v>184</v>
      </c>
      <c r="B262" s="42">
        <v>0</v>
      </c>
      <c r="C262" s="42" t="s">
        <v>1986</v>
      </c>
      <c r="D262" s="43">
        <v>1107607123</v>
      </c>
      <c r="H262" s="42" t="s">
        <v>184</v>
      </c>
      <c r="I262" s="42">
        <v>0</v>
      </c>
      <c r="J262" s="42" t="s">
        <v>1986</v>
      </c>
      <c r="K262" s="43">
        <v>1107607123</v>
      </c>
    </row>
    <row r="263" spans="1:11" x14ac:dyDescent="0.2">
      <c r="A263" s="44"/>
      <c r="B263" s="44"/>
      <c r="C263" s="45" t="s">
        <v>441</v>
      </c>
      <c r="D263" s="46">
        <v>2215214246</v>
      </c>
      <c r="H263" s="44"/>
      <c r="I263" s="44"/>
      <c r="J263" s="45" t="s">
        <v>441</v>
      </c>
      <c r="K263" s="46">
        <v>2215214246</v>
      </c>
    </row>
    <row r="264" spans="1:11" x14ac:dyDescent="0.2">
      <c r="A264" s="44"/>
      <c r="B264" s="44"/>
      <c r="C264" s="45" t="s">
        <v>1955</v>
      </c>
      <c r="D264" s="46">
        <v>1107607123</v>
      </c>
      <c r="H264" s="44"/>
      <c r="I264" s="44"/>
      <c r="J264" s="45" t="s">
        <v>1955</v>
      </c>
      <c r="K264" s="46">
        <v>1107607123</v>
      </c>
    </row>
    <row r="265" spans="1:11" x14ac:dyDescent="0.2">
      <c r="A265" s="42" t="s">
        <v>1831</v>
      </c>
      <c r="B265" s="42">
        <v>0</v>
      </c>
      <c r="C265" s="42" t="s">
        <v>1986</v>
      </c>
      <c r="D265" s="43">
        <v>498937208</v>
      </c>
      <c r="H265" s="42" t="s">
        <v>1831</v>
      </c>
      <c r="I265" s="42">
        <v>0</v>
      </c>
      <c r="J265" s="42" t="s">
        <v>1986</v>
      </c>
      <c r="K265" s="43">
        <v>498937208</v>
      </c>
    </row>
    <row r="266" spans="1:11" x14ac:dyDescent="0.2">
      <c r="A266" s="44"/>
      <c r="B266" s="44"/>
      <c r="C266" s="45" t="s">
        <v>1955</v>
      </c>
      <c r="D266" s="46">
        <v>498937208</v>
      </c>
      <c r="H266" s="44"/>
      <c r="I266" s="44"/>
      <c r="J266" s="45" t="s">
        <v>1955</v>
      </c>
      <c r="K266" s="46">
        <v>498937208</v>
      </c>
    </row>
    <row r="267" spans="1:11" x14ac:dyDescent="0.2">
      <c r="A267" s="42" t="s">
        <v>1842</v>
      </c>
      <c r="B267" s="42">
        <v>0</v>
      </c>
      <c r="C267" s="42" t="s">
        <v>1960</v>
      </c>
      <c r="D267" s="43">
        <v>14432120</v>
      </c>
      <c r="H267" s="42" t="s">
        <v>1842</v>
      </c>
      <c r="I267" s="42">
        <v>0</v>
      </c>
      <c r="J267" s="42" t="s">
        <v>1960</v>
      </c>
      <c r="K267" s="43">
        <v>14432120</v>
      </c>
    </row>
    <row r="268" spans="1:11" x14ac:dyDescent="0.2">
      <c r="A268" s="44"/>
      <c r="B268" s="44"/>
      <c r="C268" s="45" t="s">
        <v>1961</v>
      </c>
      <c r="D268" s="46">
        <v>445065299</v>
      </c>
      <c r="H268" s="44"/>
      <c r="I268" s="44"/>
      <c r="J268" s="45" t="s">
        <v>1961</v>
      </c>
      <c r="K268" s="46">
        <v>445065299</v>
      </c>
    </row>
    <row r="269" spans="1:11" x14ac:dyDescent="0.2">
      <c r="A269" s="44"/>
      <c r="B269" s="44"/>
      <c r="C269" s="45" t="s">
        <v>2074</v>
      </c>
      <c r="D269" s="46">
        <v>482457622</v>
      </c>
      <c r="H269" s="44"/>
      <c r="I269" s="44"/>
      <c r="J269" s="45" t="s">
        <v>2074</v>
      </c>
      <c r="K269" s="46">
        <v>482457622</v>
      </c>
    </row>
    <row r="270" spans="1:11" x14ac:dyDescent="0.2">
      <c r="A270" s="44"/>
      <c r="B270" s="44"/>
      <c r="C270" s="45" t="s">
        <v>441</v>
      </c>
      <c r="D270" s="46">
        <v>1005651182</v>
      </c>
      <c r="H270" s="44"/>
      <c r="I270" s="44"/>
      <c r="J270" s="45" t="s">
        <v>441</v>
      </c>
      <c r="K270" s="46">
        <v>1005651182</v>
      </c>
    </row>
    <row r="271" spans="1:11" x14ac:dyDescent="0.2">
      <c r="A271" s="44"/>
      <c r="B271" s="44"/>
      <c r="C271" s="45" t="s">
        <v>1962</v>
      </c>
      <c r="D271" s="46">
        <v>37392323</v>
      </c>
      <c r="H271" s="44"/>
      <c r="I271" s="44"/>
      <c r="J271" s="45" t="s">
        <v>1962</v>
      </c>
      <c r="K271" s="46">
        <v>37392323</v>
      </c>
    </row>
    <row r="272" spans="1:11" x14ac:dyDescent="0.2">
      <c r="A272" s="44"/>
      <c r="B272" s="44"/>
      <c r="C272" s="45" t="s">
        <v>2017</v>
      </c>
      <c r="D272" s="46">
        <v>8780938</v>
      </c>
      <c r="H272" s="44"/>
      <c r="I272" s="44"/>
      <c r="J272" s="45" t="s">
        <v>2017</v>
      </c>
      <c r="K272" s="46">
        <v>8780938</v>
      </c>
    </row>
    <row r="273" spans="1:11" x14ac:dyDescent="0.2">
      <c r="A273" s="44"/>
      <c r="B273" s="44"/>
      <c r="C273" s="45" t="s">
        <v>1994</v>
      </c>
      <c r="D273" s="46">
        <v>3110258</v>
      </c>
      <c r="H273" s="44"/>
      <c r="I273" s="44"/>
      <c r="J273" s="45" t="s">
        <v>1994</v>
      </c>
      <c r="K273" s="46">
        <v>3110258</v>
      </c>
    </row>
    <row r="274" spans="1:11" x14ac:dyDescent="0.2">
      <c r="A274" s="44"/>
      <c r="B274" s="44"/>
      <c r="C274" s="45" t="s">
        <v>1956</v>
      </c>
      <c r="D274" s="46">
        <v>3110258</v>
      </c>
      <c r="H274" s="44"/>
      <c r="I274" s="44"/>
      <c r="J274" s="45" t="s">
        <v>1956</v>
      </c>
      <c r="K274" s="46">
        <v>3110258</v>
      </c>
    </row>
    <row r="275" spans="1:11" x14ac:dyDescent="0.2">
      <c r="A275" s="42" t="s">
        <v>72</v>
      </c>
      <c r="B275" s="42">
        <v>0</v>
      </c>
      <c r="C275" s="42" t="s">
        <v>1986</v>
      </c>
      <c r="D275" s="43">
        <v>144584365</v>
      </c>
      <c r="H275" s="42" t="s">
        <v>72</v>
      </c>
      <c r="I275" s="42">
        <v>0</v>
      </c>
      <c r="J275" s="42" t="s">
        <v>1986</v>
      </c>
      <c r="K275" s="43">
        <v>144584365</v>
      </c>
    </row>
    <row r="276" spans="1:11" x14ac:dyDescent="0.2">
      <c r="A276" s="44"/>
      <c r="B276" s="44"/>
      <c r="C276" s="45" t="s">
        <v>1955</v>
      </c>
      <c r="D276" s="46">
        <v>144584365</v>
      </c>
      <c r="H276" s="44"/>
      <c r="I276" s="44"/>
      <c r="J276" s="45" t="s">
        <v>1955</v>
      </c>
      <c r="K276" s="46">
        <v>144584365</v>
      </c>
    </row>
    <row r="277" spans="1:11" x14ac:dyDescent="0.2">
      <c r="A277" s="44"/>
      <c r="B277" s="44"/>
      <c r="C277" s="45" t="s">
        <v>1994</v>
      </c>
      <c r="D277" s="46">
        <v>173046630</v>
      </c>
      <c r="H277" s="44"/>
      <c r="I277" s="44"/>
      <c r="J277" s="45" t="s">
        <v>1994</v>
      </c>
      <c r="K277" s="46">
        <v>173046630</v>
      </c>
    </row>
    <row r="278" spans="1:11" x14ac:dyDescent="0.2">
      <c r="A278" s="44"/>
      <c r="B278" s="44"/>
      <c r="C278" s="45" t="s">
        <v>1956</v>
      </c>
      <c r="D278" s="46">
        <v>173046630</v>
      </c>
      <c r="H278" s="44"/>
      <c r="I278" s="44"/>
      <c r="J278" s="45" t="s">
        <v>1956</v>
      </c>
      <c r="K278" s="46">
        <v>173046630</v>
      </c>
    </row>
    <row r="279" spans="1:11" x14ac:dyDescent="0.2">
      <c r="A279" s="42" t="s">
        <v>2764</v>
      </c>
      <c r="B279" s="42" t="s">
        <v>2764</v>
      </c>
      <c r="C279" s="42" t="s">
        <v>2024</v>
      </c>
      <c r="D279" s="43">
        <v>39082863</v>
      </c>
      <c r="H279" s="42" t="s">
        <v>2764</v>
      </c>
      <c r="I279" s="42" t="s">
        <v>2764</v>
      </c>
      <c r="J279" s="42" t="s">
        <v>2024</v>
      </c>
      <c r="K279" s="43">
        <v>39082863</v>
      </c>
    </row>
    <row r="280" spans="1:11" x14ac:dyDescent="0.2">
      <c r="A280" s="44"/>
      <c r="B280" s="44"/>
      <c r="C280" s="45" t="s">
        <v>1986</v>
      </c>
      <c r="D280" s="46">
        <v>748145585</v>
      </c>
      <c r="H280" s="44"/>
      <c r="I280" s="44"/>
      <c r="J280" s="45" t="s">
        <v>1986</v>
      </c>
      <c r="K280" s="46">
        <v>748145585</v>
      </c>
    </row>
    <row r="281" spans="1:11" x14ac:dyDescent="0.2">
      <c r="A281" s="44"/>
      <c r="B281" s="44"/>
      <c r="C281" s="45" t="s">
        <v>1960</v>
      </c>
      <c r="D281" s="46">
        <v>39152293</v>
      </c>
      <c r="H281" s="44"/>
      <c r="I281" s="44"/>
      <c r="J281" s="45" t="s">
        <v>1960</v>
      </c>
      <c r="K281" s="46">
        <v>39152293</v>
      </c>
    </row>
    <row r="282" spans="1:11" x14ac:dyDescent="0.2">
      <c r="A282" s="44"/>
      <c r="B282" s="44"/>
      <c r="C282" s="45" t="s">
        <v>1961</v>
      </c>
      <c r="D282" s="46">
        <v>28006662</v>
      </c>
      <c r="H282" s="44"/>
      <c r="I282" s="44"/>
      <c r="J282" s="45" t="s">
        <v>1961</v>
      </c>
      <c r="K282" s="46">
        <v>28006662</v>
      </c>
    </row>
    <row r="283" spans="1:11" x14ac:dyDescent="0.2">
      <c r="A283" s="44"/>
      <c r="B283" s="44"/>
      <c r="C283" s="45" t="s">
        <v>1958</v>
      </c>
      <c r="D283" s="46">
        <v>39082863</v>
      </c>
      <c r="H283" s="44"/>
      <c r="I283" s="44"/>
      <c r="J283" s="45" t="s">
        <v>1958</v>
      </c>
      <c r="K283" s="46">
        <v>39082863</v>
      </c>
    </row>
    <row r="284" spans="1:11" x14ac:dyDescent="0.2">
      <c r="A284" s="44"/>
      <c r="B284" s="44"/>
      <c r="C284" s="45" t="s">
        <v>2145</v>
      </c>
      <c r="D284" s="46">
        <v>5415249</v>
      </c>
      <c r="H284" s="44"/>
      <c r="I284" s="44"/>
      <c r="J284" s="45" t="s">
        <v>2145</v>
      </c>
      <c r="K284" s="46">
        <v>5415249</v>
      </c>
    </row>
    <row r="285" spans="1:11" x14ac:dyDescent="0.2">
      <c r="A285" s="44"/>
      <c r="B285" s="44"/>
      <c r="C285" s="45" t="s">
        <v>2074</v>
      </c>
      <c r="D285" s="46">
        <v>28006662</v>
      </c>
      <c r="H285" s="44"/>
      <c r="I285" s="44"/>
      <c r="J285" s="45" t="s">
        <v>2074</v>
      </c>
      <c r="K285" s="46">
        <v>28006662</v>
      </c>
    </row>
    <row r="286" spans="1:11" x14ac:dyDescent="0.2">
      <c r="A286" s="44"/>
      <c r="B286" s="44"/>
      <c r="C286" s="45" t="s">
        <v>441</v>
      </c>
      <c r="D286" s="46">
        <v>246718314</v>
      </c>
      <c r="H286" s="44"/>
      <c r="I286" s="44"/>
      <c r="J286" s="45" t="s">
        <v>441</v>
      </c>
      <c r="K286" s="46">
        <v>246718314</v>
      </c>
    </row>
    <row r="287" spans="1:11" x14ac:dyDescent="0.2">
      <c r="A287" s="44"/>
      <c r="B287" s="44"/>
      <c r="C287" s="45" t="s">
        <v>1962</v>
      </c>
      <c r="D287" s="46">
        <v>6721294</v>
      </c>
      <c r="H287" s="44"/>
      <c r="I287" s="44"/>
      <c r="J287" s="45" t="s">
        <v>1962</v>
      </c>
      <c r="K287" s="46">
        <v>6721294</v>
      </c>
    </row>
    <row r="288" spans="1:11" x14ac:dyDescent="0.2">
      <c r="A288" s="44"/>
      <c r="B288" s="44"/>
      <c r="C288" s="45" t="s">
        <v>1955</v>
      </c>
      <c r="D288" s="46">
        <v>708993292</v>
      </c>
      <c r="H288" s="44"/>
      <c r="I288" s="44"/>
      <c r="J288" s="45" t="s">
        <v>1955</v>
      </c>
      <c r="K288" s="46">
        <v>708993292</v>
      </c>
    </row>
    <row r="289" spans="1:11" x14ac:dyDescent="0.2">
      <c r="A289" s="44"/>
      <c r="B289" s="44"/>
      <c r="C289" s="45" t="s">
        <v>2170</v>
      </c>
      <c r="D289" s="46">
        <v>1306045</v>
      </c>
      <c r="H289" s="44"/>
      <c r="I289" s="44"/>
      <c r="J289" s="45" t="s">
        <v>2170</v>
      </c>
      <c r="K289" s="46">
        <v>1306045</v>
      </c>
    </row>
    <row r="290" spans="1:11" x14ac:dyDescent="0.2">
      <c r="A290" s="44"/>
      <c r="B290" s="44"/>
      <c r="C290" s="45" t="s">
        <v>1994</v>
      </c>
      <c r="D290" s="46">
        <v>948019</v>
      </c>
      <c r="H290" s="44"/>
      <c r="I290" s="44"/>
      <c r="J290" s="45" t="s">
        <v>1994</v>
      </c>
      <c r="K290" s="46">
        <v>948019</v>
      </c>
    </row>
    <row r="291" spans="1:11" x14ac:dyDescent="0.2">
      <c r="A291" s="44"/>
      <c r="B291" s="44"/>
      <c r="C291" s="45" t="s">
        <v>1956</v>
      </c>
      <c r="D291" s="46">
        <v>948019</v>
      </c>
      <c r="H291" s="44"/>
      <c r="I291" s="44"/>
      <c r="J291" s="45" t="s">
        <v>1956</v>
      </c>
      <c r="K291" s="46">
        <v>948019</v>
      </c>
    </row>
    <row r="292" spans="1:11" x14ac:dyDescent="0.2">
      <c r="A292" s="47" t="s">
        <v>212</v>
      </c>
      <c r="B292" s="48"/>
      <c r="C292" s="48"/>
      <c r="D292" s="49">
        <v>32182085838</v>
      </c>
      <c r="H292" s="47" t="s">
        <v>212</v>
      </c>
      <c r="I292" s="48"/>
      <c r="J292" s="48"/>
      <c r="K292" s="49">
        <v>32182085838</v>
      </c>
    </row>
  </sheetData>
  <pageMargins left="0.7" right="0.7" top="0.75" bottom="0.75" header="0.3" footer="0.3"/>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A9CA-D0D5-9742-AABC-7A7BBF8F4B00}">
  <dimension ref="A2:AC2280"/>
  <sheetViews>
    <sheetView topLeftCell="F1" zoomScale="133" workbookViewId="0">
      <selection activeCell="N2" sqref="N2:N321"/>
    </sheetView>
  </sheetViews>
  <sheetFormatPr baseColWidth="10" defaultRowHeight="16" x14ac:dyDescent="0.2"/>
  <cols>
    <col min="1" max="1" width="11.83203125" customWidth="1"/>
    <col min="2" max="2" width="13.83203125" customWidth="1"/>
    <col min="5" max="5" width="17.5" customWidth="1"/>
    <col min="6" max="6" width="13.33203125" customWidth="1"/>
    <col min="7" max="7" width="11" customWidth="1"/>
    <col min="8" max="8" width="14.6640625" customWidth="1"/>
    <col min="11" max="11" width="12.83203125" customWidth="1"/>
    <col min="12" max="12" width="12" customWidth="1"/>
    <col min="13" max="13" width="14" customWidth="1"/>
    <col min="23" max="23" width="17.6640625" style="27" customWidth="1"/>
  </cols>
  <sheetData>
    <row r="2" spans="1:29" x14ac:dyDescent="0.2">
      <c r="A2" t="s">
        <v>214</v>
      </c>
      <c r="B2" t="s">
        <v>215</v>
      </c>
      <c r="C2" t="s">
        <v>216</v>
      </c>
      <c r="D2" t="s">
        <v>217</v>
      </c>
      <c r="E2" t="s">
        <v>218</v>
      </c>
      <c r="F2" t="s">
        <v>219</v>
      </c>
      <c r="G2" t="s">
        <v>237</v>
      </c>
      <c r="H2" t="s">
        <v>221</v>
      </c>
      <c r="I2" t="s">
        <v>222</v>
      </c>
      <c r="J2" t="s">
        <v>224</v>
      </c>
      <c r="K2" t="s">
        <v>1970</v>
      </c>
      <c r="L2" t="s">
        <v>1971</v>
      </c>
      <c r="M2" t="s">
        <v>1949</v>
      </c>
      <c r="N2" t="s">
        <v>1953</v>
      </c>
      <c r="Q2" t="s">
        <v>1972</v>
      </c>
      <c r="R2" t="s">
        <v>1973</v>
      </c>
      <c r="S2" t="s">
        <v>1974</v>
      </c>
      <c r="T2" t="s">
        <v>1975</v>
      </c>
      <c r="U2" t="s">
        <v>1976</v>
      </c>
      <c r="V2" t="s">
        <v>1977</v>
      </c>
      <c r="W2" s="27" t="s">
        <v>1978</v>
      </c>
      <c r="X2" t="s">
        <v>1979</v>
      </c>
      <c r="Y2" t="s">
        <v>1980</v>
      </c>
      <c r="Z2" t="s">
        <v>1981</v>
      </c>
      <c r="AA2" t="s">
        <v>1982</v>
      </c>
      <c r="AB2" t="s">
        <v>1983</v>
      </c>
      <c r="AC2" t="s">
        <v>1984</v>
      </c>
    </row>
    <row r="3" spans="1:29" hidden="1" x14ac:dyDescent="0.2">
      <c r="A3" t="b">
        <v>1</v>
      </c>
      <c r="B3" t="b">
        <v>0</v>
      </c>
      <c r="C3" t="b">
        <v>1</v>
      </c>
      <c r="D3" t="b">
        <v>0</v>
      </c>
      <c r="E3" t="b">
        <v>0</v>
      </c>
      <c r="F3" t="s">
        <v>361</v>
      </c>
      <c r="G3" t="s">
        <v>559</v>
      </c>
      <c r="H3" t="s">
        <v>556</v>
      </c>
      <c r="I3">
        <v>0</v>
      </c>
      <c r="J3">
        <v>0</v>
      </c>
      <c r="K3" t="s">
        <v>554</v>
      </c>
      <c r="L3" t="s">
        <v>557</v>
      </c>
      <c r="M3" t="s">
        <v>1985</v>
      </c>
      <c r="N3" t="s">
        <v>1986</v>
      </c>
      <c r="Q3" t="s">
        <v>1987</v>
      </c>
      <c r="R3" t="s">
        <v>1988</v>
      </c>
      <c r="S3" t="s">
        <v>384</v>
      </c>
      <c r="T3" s="1">
        <v>42709</v>
      </c>
      <c r="U3" s="1">
        <v>42709</v>
      </c>
      <c r="V3" t="s">
        <v>386</v>
      </c>
      <c r="W3">
        <v>5271430000</v>
      </c>
      <c r="X3">
        <v>5271430000</v>
      </c>
      <c r="Y3" t="s">
        <v>386</v>
      </c>
      <c r="Z3">
        <v>5271430000</v>
      </c>
      <c r="AA3">
        <v>1722104</v>
      </c>
      <c r="AB3" t="b">
        <v>1</v>
      </c>
      <c r="AC3">
        <v>0.92</v>
      </c>
    </row>
    <row r="4" spans="1:29" hidden="1" x14ac:dyDescent="0.2">
      <c r="A4" t="b">
        <v>1</v>
      </c>
      <c r="B4" t="b">
        <v>0</v>
      </c>
      <c r="C4" t="b">
        <v>1</v>
      </c>
      <c r="D4" t="b">
        <v>0</v>
      </c>
      <c r="E4" t="b">
        <v>0</v>
      </c>
      <c r="F4" t="s">
        <v>361</v>
      </c>
      <c r="G4" t="s">
        <v>559</v>
      </c>
      <c r="H4" t="s">
        <v>556</v>
      </c>
      <c r="I4">
        <v>0</v>
      </c>
      <c r="J4">
        <v>0</v>
      </c>
      <c r="K4" t="s">
        <v>554</v>
      </c>
      <c r="L4" t="s">
        <v>557</v>
      </c>
      <c r="M4" t="s">
        <v>1950</v>
      </c>
      <c r="N4" t="s">
        <v>1955</v>
      </c>
      <c r="Q4" t="s">
        <v>1989</v>
      </c>
      <c r="R4" t="s">
        <v>1988</v>
      </c>
      <c r="S4" t="s">
        <v>384</v>
      </c>
      <c r="T4" s="1">
        <v>42709</v>
      </c>
      <c r="U4" s="1">
        <v>42709</v>
      </c>
      <c r="V4" t="s">
        <v>386</v>
      </c>
      <c r="W4">
        <v>5271430000</v>
      </c>
      <c r="X4">
        <v>5271430000</v>
      </c>
      <c r="Y4" t="s">
        <v>386</v>
      </c>
      <c r="Z4">
        <v>5271430000</v>
      </c>
      <c r="AA4">
        <v>1722104</v>
      </c>
      <c r="AB4" t="b">
        <v>1</v>
      </c>
      <c r="AC4">
        <v>0.92</v>
      </c>
    </row>
    <row r="5" spans="1:29" hidden="1" x14ac:dyDescent="0.2">
      <c r="A5" t="b">
        <v>1</v>
      </c>
      <c r="B5" t="b">
        <v>0</v>
      </c>
      <c r="C5" t="b">
        <v>1</v>
      </c>
      <c r="D5" t="b">
        <v>0</v>
      </c>
      <c r="E5" t="b">
        <v>0</v>
      </c>
      <c r="F5" t="s">
        <v>361</v>
      </c>
      <c r="G5" t="s">
        <v>1350</v>
      </c>
      <c r="H5" t="s">
        <v>158</v>
      </c>
      <c r="I5" t="s">
        <v>1346</v>
      </c>
      <c r="J5" t="s">
        <v>1348</v>
      </c>
      <c r="K5" t="s">
        <v>1344</v>
      </c>
      <c r="L5" t="s">
        <v>1349</v>
      </c>
      <c r="M5" t="s">
        <v>1985</v>
      </c>
      <c r="N5" t="s">
        <v>1994</v>
      </c>
      <c r="Q5" t="s">
        <v>1987</v>
      </c>
      <c r="R5" t="s">
        <v>1990</v>
      </c>
      <c r="S5" t="s">
        <v>384</v>
      </c>
      <c r="T5" s="1">
        <v>42709</v>
      </c>
      <c r="U5" s="1">
        <v>42709</v>
      </c>
      <c r="V5" t="s">
        <v>386</v>
      </c>
      <c r="W5">
        <v>2488157000</v>
      </c>
      <c r="X5">
        <v>2488157000</v>
      </c>
      <c r="Y5" t="s">
        <v>386</v>
      </c>
      <c r="Z5">
        <v>2488157000</v>
      </c>
      <c r="AA5">
        <v>812847</v>
      </c>
      <c r="AB5" t="b">
        <v>1</v>
      </c>
      <c r="AC5">
        <v>0.92</v>
      </c>
    </row>
    <row r="6" spans="1:29" hidden="1" x14ac:dyDescent="0.2">
      <c r="A6" t="b">
        <v>1</v>
      </c>
      <c r="B6" t="b">
        <v>0</v>
      </c>
      <c r="C6" t="b">
        <v>1</v>
      </c>
      <c r="D6" t="b">
        <v>0</v>
      </c>
      <c r="E6" t="b">
        <v>0</v>
      </c>
      <c r="F6" t="s">
        <v>361</v>
      </c>
      <c r="G6" t="s">
        <v>1350</v>
      </c>
      <c r="H6" t="s">
        <v>158</v>
      </c>
      <c r="I6" t="s">
        <v>1346</v>
      </c>
      <c r="J6" t="s">
        <v>1348</v>
      </c>
      <c r="K6" t="s">
        <v>1344</v>
      </c>
      <c r="L6" t="s">
        <v>1349</v>
      </c>
      <c r="M6" t="s">
        <v>1950</v>
      </c>
      <c r="N6" t="s">
        <v>1956</v>
      </c>
      <c r="Q6" t="s">
        <v>1989</v>
      </c>
      <c r="R6" t="s">
        <v>1990</v>
      </c>
      <c r="S6" t="s">
        <v>384</v>
      </c>
      <c r="T6" s="1">
        <v>42709</v>
      </c>
      <c r="U6" s="1">
        <v>42709</v>
      </c>
      <c r="V6" t="s">
        <v>386</v>
      </c>
      <c r="W6">
        <v>2488157000</v>
      </c>
      <c r="X6">
        <v>2488157000</v>
      </c>
      <c r="Y6" t="s">
        <v>386</v>
      </c>
      <c r="Z6">
        <v>2488157000</v>
      </c>
      <c r="AA6">
        <v>812847</v>
      </c>
      <c r="AB6" t="b">
        <v>1</v>
      </c>
      <c r="AC6">
        <v>0.92</v>
      </c>
    </row>
    <row r="7" spans="1:29" hidden="1" x14ac:dyDescent="0.2">
      <c r="A7" t="b">
        <v>1</v>
      </c>
      <c r="B7" t="b">
        <v>0</v>
      </c>
      <c r="C7" t="b">
        <v>1</v>
      </c>
      <c r="D7" t="b">
        <v>0</v>
      </c>
      <c r="E7" t="b">
        <v>0</v>
      </c>
      <c r="F7" t="s">
        <v>361</v>
      </c>
      <c r="G7" t="s">
        <v>1350</v>
      </c>
      <c r="H7" t="s">
        <v>158</v>
      </c>
      <c r="I7" t="s">
        <v>1346</v>
      </c>
      <c r="J7" t="s">
        <v>1348</v>
      </c>
      <c r="K7" t="s">
        <v>1344</v>
      </c>
      <c r="L7" t="s">
        <v>1349</v>
      </c>
      <c r="M7" t="s">
        <v>1985</v>
      </c>
      <c r="N7" t="s">
        <v>1986</v>
      </c>
      <c r="Q7" t="s">
        <v>1987</v>
      </c>
      <c r="R7" t="s">
        <v>1991</v>
      </c>
      <c r="S7" t="s">
        <v>384</v>
      </c>
      <c r="T7" s="1">
        <v>42709</v>
      </c>
      <c r="U7" s="1">
        <v>42709</v>
      </c>
      <c r="V7" t="s">
        <v>386</v>
      </c>
      <c r="W7">
        <v>79175253000</v>
      </c>
      <c r="X7">
        <v>79175253000</v>
      </c>
      <c r="Y7" t="s">
        <v>386</v>
      </c>
      <c r="Z7">
        <v>79175253000</v>
      </c>
      <c r="AA7">
        <v>25865474</v>
      </c>
      <c r="AB7" t="b">
        <v>1</v>
      </c>
      <c r="AC7">
        <v>0.92</v>
      </c>
    </row>
    <row r="8" spans="1:29" hidden="1" x14ac:dyDescent="0.2">
      <c r="A8" t="b">
        <v>1</v>
      </c>
      <c r="B8" t="b">
        <v>0</v>
      </c>
      <c r="C8" t="b">
        <v>1</v>
      </c>
      <c r="D8" t="b">
        <v>0</v>
      </c>
      <c r="E8" t="b">
        <v>0</v>
      </c>
      <c r="F8" t="s">
        <v>361</v>
      </c>
      <c r="G8" t="s">
        <v>1350</v>
      </c>
      <c r="H8" t="s">
        <v>158</v>
      </c>
      <c r="I8" t="s">
        <v>1346</v>
      </c>
      <c r="J8" t="s">
        <v>1348</v>
      </c>
      <c r="K8" t="s">
        <v>1344</v>
      </c>
      <c r="L8" t="s">
        <v>1349</v>
      </c>
      <c r="M8" t="s">
        <v>1950</v>
      </c>
      <c r="N8" t="s">
        <v>1960</v>
      </c>
      <c r="Q8" t="s">
        <v>1989</v>
      </c>
      <c r="R8" t="s">
        <v>1991</v>
      </c>
      <c r="S8" t="s">
        <v>384</v>
      </c>
      <c r="T8" s="1">
        <v>42709</v>
      </c>
      <c r="U8" s="1">
        <v>42709</v>
      </c>
      <c r="V8" t="s">
        <v>386</v>
      </c>
      <c r="W8">
        <v>79175253000</v>
      </c>
      <c r="X8">
        <v>79175253000</v>
      </c>
      <c r="Y8" t="s">
        <v>386</v>
      </c>
      <c r="Z8">
        <v>79175253000</v>
      </c>
      <c r="AA8">
        <v>25865474</v>
      </c>
      <c r="AB8" t="b">
        <v>1</v>
      </c>
      <c r="AC8">
        <v>0.92</v>
      </c>
    </row>
    <row r="9" spans="1:29" hidden="1" x14ac:dyDescent="0.2">
      <c r="A9" t="b">
        <v>1</v>
      </c>
      <c r="B9" t="b">
        <v>0</v>
      </c>
      <c r="C9" t="b">
        <v>1</v>
      </c>
      <c r="D9" t="b">
        <v>0</v>
      </c>
      <c r="E9" t="b">
        <v>0</v>
      </c>
      <c r="F9" t="s">
        <v>361</v>
      </c>
      <c r="G9" t="s">
        <v>1350</v>
      </c>
      <c r="H9" t="s">
        <v>158</v>
      </c>
      <c r="I9" t="s">
        <v>1346</v>
      </c>
      <c r="J9" t="s">
        <v>1348</v>
      </c>
      <c r="K9" t="s">
        <v>1344</v>
      </c>
      <c r="L9" t="s">
        <v>1349</v>
      </c>
      <c r="M9" t="s">
        <v>1985</v>
      </c>
      <c r="N9" t="s">
        <v>2017</v>
      </c>
      <c r="Q9" t="s">
        <v>1987</v>
      </c>
      <c r="R9" t="s">
        <v>1992</v>
      </c>
      <c r="S9" t="s">
        <v>384</v>
      </c>
      <c r="T9" s="1">
        <v>42709</v>
      </c>
      <c r="U9" s="1">
        <v>42709</v>
      </c>
      <c r="V9" t="s">
        <v>386</v>
      </c>
      <c r="W9">
        <v>85156698000</v>
      </c>
      <c r="X9">
        <v>85156698000</v>
      </c>
      <c r="Y9" t="s">
        <v>386</v>
      </c>
      <c r="Z9">
        <v>85156698000</v>
      </c>
      <c r="AA9">
        <v>27819531</v>
      </c>
      <c r="AB9" t="b">
        <v>1</v>
      </c>
      <c r="AC9">
        <v>0.92</v>
      </c>
    </row>
    <row r="10" spans="1:29" hidden="1" x14ac:dyDescent="0.2">
      <c r="A10" t="b">
        <v>1</v>
      </c>
      <c r="B10" t="b">
        <v>0</v>
      </c>
      <c r="C10" t="b">
        <v>1</v>
      </c>
      <c r="D10" t="b">
        <v>0</v>
      </c>
      <c r="E10" t="b">
        <v>0</v>
      </c>
      <c r="F10" t="s">
        <v>361</v>
      </c>
      <c r="G10" t="s">
        <v>1350</v>
      </c>
      <c r="H10" t="s">
        <v>158</v>
      </c>
      <c r="I10" t="s">
        <v>1346</v>
      </c>
      <c r="J10" t="s">
        <v>1348</v>
      </c>
      <c r="K10" t="s">
        <v>1344</v>
      </c>
      <c r="L10" t="s">
        <v>1349</v>
      </c>
      <c r="M10" t="s">
        <v>1950</v>
      </c>
      <c r="N10" t="s">
        <v>1957</v>
      </c>
      <c r="Q10" t="s">
        <v>1989</v>
      </c>
      <c r="R10" t="s">
        <v>1992</v>
      </c>
      <c r="S10" t="s">
        <v>384</v>
      </c>
      <c r="T10" s="1">
        <v>42709</v>
      </c>
      <c r="U10" s="1">
        <v>42709</v>
      </c>
      <c r="V10" t="s">
        <v>386</v>
      </c>
      <c r="W10">
        <v>85156698000</v>
      </c>
      <c r="X10">
        <v>85156698000</v>
      </c>
      <c r="Y10" t="s">
        <v>386</v>
      </c>
      <c r="Z10">
        <v>85156698000</v>
      </c>
      <c r="AA10">
        <v>27819531</v>
      </c>
      <c r="AB10" t="b">
        <v>1</v>
      </c>
      <c r="AC10">
        <v>0.92</v>
      </c>
    </row>
    <row r="11" spans="1:29" hidden="1" x14ac:dyDescent="0.2">
      <c r="A11" t="b">
        <v>1</v>
      </c>
      <c r="B11" t="b">
        <v>0</v>
      </c>
      <c r="C11" t="b">
        <v>1</v>
      </c>
      <c r="D11" t="b">
        <v>0</v>
      </c>
      <c r="E11" t="b">
        <v>0</v>
      </c>
      <c r="F11" t="s">
        <v>361</v>
      </c>
      <c r="G11" t="s">
        <v>559</v>
      </c>
      <c r="H11" t="s">
        <v>556</v>
      </c>
      <c r="I11">
        <v>0</v>
      </c>
      <c r="J11">
        <v>0</v>
      </c>
      <c r="K11" t="s">
        <v>554</v>
      </c>
      <c r="L11" t="s">
        <v>557</v>
      </c>
      <c r="M11" t="s">
        <v>1985</v>
      </c>
      <c r="N11" t="s">
        <v>2024</v>
      </c>
      <c r="Q11" t="s">
        <v>1987</v>
      </c>
      <c r="R11" t="s">
        <v>1993</v>
      </c>
      <c r="S11" t="s">
        <v>384</v>
      </c>
      <c r="T11" s="1">
        <v>42709</v>
      </c>
      <c r="U11" s="1">
        <v>42709</v>
      </c>
      <c r="V11" t="s">
        <v>386</v>
      </c>
      <c r="W11">
        <v>21379716000</v>
      </c>
      <c r="X11">
        <v>21379716000</v>
      </c>
      <c r="Y11" t="s">
        <v>386</v>
      </c>
      <c r="Z11">
        <v>21379716000</v>
      </c>
      <c r="AA11">
        <v>6984461</v>
      </c>
      <c r="AB11" t="b">
        <v>1</v>
      </c>
      <c r="AC11">
        <v>0.92</v>
      </c>
    </row>
    <row r="12" spans="1:29" hidden="1" x14ac:dyDescent="0.2">
      <c r="A12" t="b">
        <v>1</v>
      </c>
      <c r="B12" t="b">
        <v>0</v>
      </c>
      <c r="C12" t="b">
        <v>1</v>
      </c>
      <c r="D12" t="b">
        <v>0</v>
      </c>
      <c r="E12" t="b">
        <v>0</v>
      </c>
      <c r="F12" t="s">
        <v>361</v>
      </c>
      <c r="G12" t="s">
        <v>559</v>
      </c>
      <c r="H12" t="s">
        <v>556</v>
      </c>
      <c r="I12">
        <v>0</v>
      </c>
      <c r="J12">
        <v>0</v>
      </c>
      <c r="K12" t="s">
        <v>554</v>
      </c>
      <c r="L12" t="s">
        <v>557</v>
      </c>
      <c r="M12" t="s">
        <v>1950</v>
      </c>
      <c r="N12" t="s">
        <v>1958</v>
      </c>
      <c r="Q12" t="s">
        <v>1989</v>
      </c>
      <c r="R12" t="s">
        <v>1993</v>
      </c>
      <c r="S12" t="s">
        <v>384</v>
      </c>
      <c r="T12" s="1">
        <v>42709</v>
      </c>
      <c r="U12" s="1">
        <v>42709</v>
      </c>
      <c r="V12" t="s">
        <v>386</v>
      </c>
      <c r="W12">
        <v>21379716000</v>
      </c>
      <c r="X12">
        <v>21379716000</v>
      </c>
      <c r="Y12" t="s">
        <v>386</v>
      </c>
      <c r="Z12">
        <v>21379716000</v>
      </c>
      <c r="AA12">
        <v>6984461</v>
      </c>
      <c r="AB12" t="b">
        <v>1</v>
      </c>
      <c r="AC12">
        <v>0.92</v>
      </c>
    </row>
    <row r="13" spans="1:29" hidden="1" x14ac:dyDescent="0.2">
      <c r="A13" t="b">
        <v>1</v>
      </c>
      <c r="B13" t="b">
        <v>0</v>
      </c>
      <c r="C13" t="b">
        <v>1</v>
      </c>
      <c r="D13" t="s">
        <v>248</v>
      </c>
      <c r="E13" t="b">
        <v>0</v>
      </c>
      <c r="F13" t="b">
        <v>0</v>
      </c>
      <c r="G13">
        <v>0</v>
      </c>
      <c r="H13" t="s">
        <v>785</v>
      </c>
      <c r="I13" t="s">
        <v>786</v>
      </c>
      <c r="J13">
        <v>0</v>
      </c>
      <c r="K13" t="s">
        <v>783</v>
      </c>
      <c r="L13" t="s">
        <v>787</v>
      </c>
      <c r="M13" t="s">
        <v>1985</v>
      </c>
      <c r="N13" t="s">
        <v>1986</v>
      </c>
      <c r="Q13" t="s">
        <v>1995</v>
      </c>
      <c r="R13" t="s">
        <v>1996</v>
      </c>
      <c r="S13" t="s">
        <v>343</v>
      </c>
      <c r="T13" s="1">
        <v>42735</v>
      </c>
      <c r="U13" s="1">
        <v>42735</v>
      </c>
      <c r="V13" t="s">
        <v>345</v>
      </c>
      <c r="W13">
        <v>156000000</v>
      </c>
      <c r="X13">
        <v>136861823</v>
      </c>
      <c r="Y13" t="s">
        <v>345</v>
      </c>
      <c r="Z13">
        <v>136861823</v>
      </c>
      <c r="AA13">
        <v>7236160</v>
      </c>
      <c r="AB13" t="b">
        <v>0</v>
      </c>
      <c r="AC13">
        <v>0.24</v>
      </c>
    </row>
    <row r="14" spans="1:29" hidden="1" x14ac:dyDescent="0.2">
      <c r="A14" t="b">
        <v>1</v>
      </c>
      <c r="B14" t="b">
        <v>0</v>
      </c>
      <c r="C14" t="b">
        <v>1</v>
      </c>
      <c r="D14" t="s">
        <v>248</v>
      </c>
      <c r="E14" t="b">
        <v>0</v>
      </c>
      <c r="F14" t="b">
        <v>0</v>
      </c>
      <c r="G14">
        <v>0</v>
      </c>
      <c r="H14" t="s">
        <v>785</v>
      </c>
      <c r="I14" t="s">
        <v>786</v>
      </c>
      <c r="J14">
        <v>0</v>
      </c>
      <c r="K14" t="s">
        <v>783</v>
      </c>
      <c r="L14" t="s">
        <v>787</v>
      </c>
      <c r="M14" t="s">
        <v>1950</v>
      </c>
      <c r="N14" t="s">
        <v>441</v>
      </c>
      <c r="Q14" t="s">
        <v>1997</v>
      </c>
      <c r="R14" t="s">
        <v>1996</v>
      </c>
      <c r="S14" t="s">
        <v>343</v>
      </c>
      <c r="T14" s="1">
        <v>42735</v>
      </c>
      <c r="U14" s="1">
        <v>42735</v>
      </c>
      <c r="V14" t="s">
        <v>345</v>
      </c>
      <c r="W14">
        <v>156000000</v>
      </c>
      <c r="X14">
        <v>136861823</v>
      </c>
      <c r="Y14" t="s">
        <v>345</v>
      </c>
      <c r="Z14">
        <v>136861823</v>
      </c>
      <c r="AA14">
        <v>7236160</v>
      </c>
      <c r="AB14" t="b">
        <v>0</v>
      </c>
      <c r="AC14">
        <v>0.24</v>
      </c>
    </row>
    <row r="15" spans="1:29" hidden="1" x14ac:dyDescent="0.2">
      <c r="A15" t="b">
        <v>1</v>
      </c>
      <c r="B15" t="b">
        <v>0</v>
      </c>
      <c r="C15" t="b">
        <v>1</v>
      </c>
      <c r="D15" t="s">
        <v>248</v>
      </c>
      <c r="E15" t="b">
        <v>0</v>
      </c>
      <c r="F15" t="b">
        <v>0</v>
      </c>
      <c r="G15">
        <v>0</v>
      </c>
      <c r="H15" t="s">
        <v>785</v>
      </c>
      <c r="I15" t="s">
        <v>786</v>
      </c>
      <c r="J15">
        <v>0</v>
      </c>
      <c r="K15" t="s">
        <v>783</v>
      </c>
      <c r="L15" t="s">
        <v>787</v>
      </c>
      <c r="M15" t="s">
        <v>1950</v>
      </c>
      <c r="N15" t="s">
        <v>1955</v>
      </c>
      <c r="Q15" t="s">
        <v>1998</v>
      </c>
      <c r="R15" t="s">
        <v>1999</v>
      </c>
      <c r="S15" t="s">
        <v>343</v>
      </c>
      <c r="T15" s="1">
        <v>42735</v>
      </c>
      <c r="U15" s="1">
        <v>42735</v>
      </c>
      <c r="V15" t="s">
        <v>345</v>
      </c>
      <c r="W15">
        <v>107699998</v>
      </c>
      <c r="X15">
        <v>92711165</v>
      </c>
      <c r="Y15" t="s">
        <v>345</v>
      </c>
      <c r="Z15">
        <v>92711165</v>
      </c>
      <c r="AA15">
        <v>4901826</v>
      </c>
      <c r="AB15" t="b">
        <v>0</v>
      </c>
      <c r="AC15">
        <v>0.45</v>
      </c>
    </row>
    <row r="16" spans="1:29" hidden="1" x14ac:dyDescent="0.2">
      <c r="A16" t="b">
        <v>1</v>
      </c>
      <c r="B16" t="b">
        <v>0</v>
      </c>
      <c r="C16" t="b">
        <v>1</v>
      </c>
      <c r="D16" t="b">
        <v>0</v>
      </c>
      <c r="E16" t="b">
        <v>0</v>
      </c>
      <c r="F16" t="s">
        <v>361</v>
      </c>
      <c r="G16" t="s">
        <v>559</v>
      </c>
      <c r="H16" t="s">
        <v>1408</v>
      </c>
      <c r="I16">
        <v>0</v>
      </c>
      <c r="J16">
        <v>0</v>
      </c>
      <c r="K16" t="s">
        <v>1406</v>
      </c>
      <c r="L16" t="s">
        <v>1409</v>
      </c>
      <c r="M16" t="s">
        <v>1985</v>
      </c>
      <c r="N16" t="s">
        <v>1986</v>
      </c>
      <c r="Q16" t="s">
        <v>2000</v>
      </c>
      <c r="R16" t="s">
        <v>1999</v>
      </c>
      <c r="S16" t="s">
        <v>343</v>
      </c>
      <c r="T16" s="1">
        <v>42735</v>
      </c>
      <c r="U16" s="1">
        <v>42735</v>
      </c>
      <c r="V16" t="s">
        <v>345</v>
      </c>
      <c r="W16">
        <v>107699998</v>
      </c>
      <c r="X16">
        <v>92711165</v>
      </c>
      <c r="Y16" t="s">
        <v>345</v>
      </c>
      <c r="Z16">
        <v>92711165</v>
      </c>
      <c r="AA16">
        <v>4901826</v>
      </c>
      <c r="AB16" t="b">
        <v>0</v>
      </c>
      <c r="AC16">
        <v>0.45</v>
      </c>
    </row>
    <row r="17" spans="1:29" hidden="1" x14ac:dyDescent="0.2">
      <c r="A17" t="b">
        <v>1</v>
      </c>
      <c r="B17" t="b">
        <v>0</v>
      </c>
      <c r="C17" t="b">
        <v>1</v>
      </c>
      <c r="D17" t="b">
        <v>0</v>
      </c>
      <c r="E17" t="b">
        <v>0</v>
      </c>
      <c r="F17" t="s">
        <v>361</v>
      </c>
      <c r="G17" t="s">
        <v>559</v>
      </c>
      <c r="H17" t="s">
        <v>1408</v>
      </c>
      <c r="I17">
        <v>0</v>
      </c>
      <c r="J17">
        <v>0</v>
      </c>
      <c r="K17" t="s">
        <v>1406</v>
      </c>
      <c r="L17" t="s">
        <v>1409</v>
      </c>
      <c r="M17" t="s">
        <v>1950</v>
      </c>
      <c r="N17" t="s">
        <v>1955</v>
      </c>
      <c r="Q17" t="s">
        <v>2001</v>
      </c>
      <c r="R17" t="s">
        <v>2002</v>
      </c>
      <c r="S17" t="s">
        <v>343</v>
      </c>
      <c r="T17" s="1">
        <v>42735</v>
      </c>
      <c r="U17" s="1">
        <v>42735</v>
      </c>
      <c r="V17" t="s">
        <v>345</v>
      </c>
      <c r="W17">
        <v>60080000</v>
      </c>
      <c r="X17">
        <v>45415990</v>
      </c>
      <c r="Y17" t="s">
        <v>345</v>
      </c>
      <c r="Z17">
        <v>45415990</v>
      </c>
      <c r="AA17">
        <v>2401235</v>
      </c>
      <c r="AB17" t="b">
        <v>0</v>
      </c>
      <c r="AC17">
        <v>0.18</v>
      </c>
    </row>
    <row r="18" spans="1:29" hidden="1" x14ac:dyDescent="0.2">
      <c r="A18" t="b">
        <v>1</v>
      </c>
      <c r="B18" t="b">
        <v>0</v>
      </c>
      <c r="C18" t="b">
        <v>1</v>
      </c>
      <c r="D18" t="b">
        <v>0</v>
      </c>
      <c r="E18" t="b">
        <v>0</v>
      </c>
      <c r="F18" t="s">
        <v>361</v>
      </c>
      <c r="G18" t="s">
        <v>559</v>
      </c>
      <c r="H18" t="s">
        <v>1408</v>
      </c>
      <c r="I18">
        <v>0</v>
      </c>
      <c r="J18">
        <v>0</v>
      </c>
      <c r="K18" t="s">
        <v>1406</v>
      </c>
      <c r="L18" t="s">
        <v>1409</v>
      </c>
      <c r="M18" t="s">
        <v>1950</v>
      </c>
      <c r="N18" t="s">
        <v>1960</v>
      </c>
      <c r="Q18" t="s">
        <v>2000</v>
      </c>
      <c r="R18" t="s">
        <v>2002</v>
      </c>
      <c r="S18" t="s">
        <v>343</v>
      </c>
      <c r="T18" s="1">
        <v>42735</v>
      </c>
      <c r="U18" s="1">
        <v>42735</v>
      </c>
      <c r="V18" t="s">
        <v>345</v>
      </c>
      <c r="W18">
        <v>60080000</v>
      </c>
      <c r="X18">
        <v>45415990</v>
      </c>
      <c r="Y18" t="s">
        <v>345</v>
      </c>
      <c r="Z18">
        <v>45415990</v>
      </c>
      <c r="AA18">
        <v>2401235</v>
      </c>
      <c r="AB18" t="b">
        <v>0</v>
      </c>
      <c r="AC18">
        <v>0.18</v>
      </c>
    </row>
    <row r="19" spans="1:29" hidden="1" x14ac:dyDescent="0.2">
      <c r="A19" t="b">
        <v>1</v>
      </c>
      <c r="B19" t="b">
        <v>0</v>
      </c>
      <c r="C19" t="b">
        <v>1</v>
      </c>
      <c r="D19" t="b">
        <v>0</v>
      </c>
      <c r="E19" t="b">
        <v>0</v>
      </c>
      <c r="F19" t="s">
        <v>361</v>
      </c>
      <c r="G19" t="s">
        <v>559</v>
      </c>
      <c r="H19" t="s">
        <v>1408</v>
      </c>
      <c r="I19">
        <v>0</v>
      </c>
      <c r="J19">
        <v>0</v>
      </c>
      <c r="K19" t="s">
        <v>1406</v>
      </c>
      <c r="L19" t="s">
        <v>1409</v>
      </c>
      <c r="M19" t="s">
        <v>1985</v>
      </c>
      <c r="N19" t="s">
        <v>2024</v>
      </c>
      <c r="Q19" t="s">
        <v>2003</v>
      </c>
      <c r="R19" t="s">
        <v>2004</v>
      </c>
      <c r="S19" t="s">
        <v>343</v>
      </c>
      <c r="T19" s="1">
        <v>42735</v>
      </c>
      <c r="U19" s="1">
        <v>42735</v>
      </c>
      <c r="V19" t="s">
        <v>345</v>
      </c>
      <c r="W19">
        <v>32068924</v>
      </c>
      <c r="X19">
        <v>8818972</v>
      </c>
      <c r="Y19" t="s">
        <v>345</v>
      </c>
      <c r="Z19">
        <v>8818972</v>
      </c>
      <c r="AA19">
        <v>466277</v>
      </c>
      <c r="AB19" t="b">
        <v>0</v>
      </c>
      <c r="AC19">
        <v>0.42</v>
      </c>
    </row>
    <row r="20" spans="1:29" hidden="1" x14ac:dyDescent="0.2">
      <c r="A20" t="b">
        <v>1</v>
      </c>
      <c r="B20" t="b">
        <v>0</v>
      </c>
      <c r="C20" t="b">
        <v>1</v>
      </c>
      <c r="D20" t="b">
        <v>0</v>
      </c>
      <c r="E20" t="b">
        <v>0</v>
      </c>
      <c r="F20" t="s">
        <v>361</v>
      </c>
      <c r="G20" t="s">
        <v>559</v>
      </c>
      <c r="H20" t="s">
        <v>1408</v>
      </c>
      <c r="I20">
        <v>0</v>
      </c>
      <c r="J20">
        <v>0</v>
      </c>
      <c r="K20" t="s">
        <v>1406</v>
      </c>
      <c r="L20" t="s">
        <v>1409</v>
      </c>
      <c r="M20" t="s">
        <v>1950</v>
      </c>
      <c r="N20" t="s">
        <v>1958</v>
      </c>
      <c r="Q20" t="s">
        <v>2005</v>
      </c>
      <c r="R20" t="s">
        <v>2004</v>
      </c>
      <c r="S20" t="s">
        <v>343</v>
      </c>
      <c r="T20" s="1">
        <v>42735</v>
      </c>
      <c r="U20" s="1">
        <v>42735</v>
      </c>
      <c r="V20" t="s">
        <v>345</v>
      </c>
      <c r="W20">
        <v>32068924</v>
      </c>
      <c r="X20">
        <v>8818972</v>
      </c>
      <c r="Y20" t="s">
        <v>345</v>
      </c>
      <c r="Z20">
        <v>8818972</v>
      </c>
      <c r="AA20">
        <v>466277</v>
      </c>
      <c r="AB20" t="b">
        <v>0</v>
      </c>
      <c r="AC20">
        <v>0.42</v>
      </c>
    </row>
    <row r="21" spans="1:29" hidden="1" x14ac:dyDescent="0.2">
      <c r="A21" t="b">
        <v>1</v>
      </c>
      <c r="B21" t="b">
        <v>0</v>
      </c>
      <c r="C21" t="b">
        <v>1</v>
      </c>
      <c r="D21" t="b">
        <v>0</v>
      </c>
      <c r="E21" t="b">
        <v>0</v>
      </c>
      <c r="F21" t="s">
        <v>361</v>
      </c>
      <c r="G21" t="s">
        <v>559</v>
      </c>
      <c r="H21" t="s">
        <v>1418</v>
      </c>
      <c r="I21">
        <v>0</v>
      </c>
      <c r="J21">
        <v>0</v>
      </c>
      <c r="K21" t="s">
        <v>1416</v>
      </c>
      <c r="L21" t="s">
        <v>1419</v>
      </c>
      <c r="M21" t="s">
        <v>1985</v>
      </c>
      <c r="N21" t="s">
        <v>2024</v>
      </c>
      <c r="Q21" t="s">
        <v>1998</v>
      </c>
      <c r="R21" t="s">
        <v>2006</v>
      </c>
      <c r="S21" t="s">
        <v>343</v>
      </c>
      <c r="T21" s="1">
        <v>42735</v>
      </c>
      <c r="U21" s="1">
        <v>42735</v>
      </c>
      <c r="V21" t="s">
        <v>345</v>
      </c>
      <c r="W21">
        <v>30000000</v>
      </c>
      <c r="X21">
        <v>28170777</v>
      </c>
      <c r="Y21" t="s">
        <v>345</v>
      </c>
      <c r="Z21">
        <v>28170777</v>
      </c>
      <c r="AA21">
        <v>1489446</v>
      </c>
      <c r="AB21" t="b">
        <v>0</v>
      </c>
      <c r="AC21">
        <v>0.35</v>
      </c>
    </row>
    <row r="22" spans="1:29" hidden="1" x14ac:dyDescent="0.2">
      <c r="A22" t="b">
        <v>1</v>
      </c>
      <c r="B22" t="b">
        <v>0</v>
      </c>
      <c r="C22" t="b">
        <v>1</v>
      </c>
      <c r="D22" t="b">
        <v>0</v>
      </c>
      <c r="E22" t="b">
        <v>0</v>
      </c>
      <c r="F22" t="s">
        <v>361</v>
      </c>
      <c r="G22" t="s">
        <v>559</v>
      </c>
      <c r="H22" t="s">
        <v>1418</v>
      </c>
      <c r="I22">
        <v>0</v>
      </c>
      <c r="J22">
        <v>0</v>
      </c>
      <c r="K22" t="s">
        <v>1416</v>
      </c>
      <c r="L22" t="s">
        <v>1419</v>
      </c>
      <c r="M22" t="s">
        <v>1950</v>
      </c>
      <c r="N22" t="s">
        <v>1958</v>
      </c>
      <c r="Q22" t="s">
        <v>2000</v>
      </c>
      <c r="R22" t="s">
        <v>2006</v>
      </c>
      <c r="S22" t="s">
        <v>343</v>
      </c>
      <c r="T22" s="1">
        <v>42735</v>
      </c>
      <c r="U22" s="1">
        <v>42735</v>
      </c>
      <c r="V22" t="s">
        <v>345</v>
      </c>
      <c r="W22">
        <v>30000000</v>
      </c>
      <c r="X22">
        <v>28170777</v>
      </c>
      <c r="Y22" t="s">
        <v>345</v>
      </c>
      <c r="Z22">
        <v>28170777</v>
      </c>
      <c r="AA22">
        <v>1489446</v>
      </c>
      <c r="AB22" t="b">
        <v>0</v>
      </c>
      <c r="AC22">
        <v>0.35</v>
      </c>
    </row>
    <row r="23" spans="1:29" hidden="1" x14ac:dyDescent="0.2">
      <c r="A23" t="b">
        <v>1</v>
      </c>
      <c r="B23" t="b">
        <v>0</v>
      </c>
      <c r="C23" t="b">
        <v>1</v>
      </c>
      <c r="D23" t="s">
        <v>522</v>
      </c>
      <c r="E23" t="b">
        <v>0</v>
      </c>
      <c r="F23" t="b">
        <v>0</v>
      </c>
      <c r="G23" t="s">
        <v>577</v>
      </c>
      <c r="H23" t="s">
        <v>184</v>
      </c>
      <c r="I23" t="s">
        <v>572</v>
      </c>
      <c r="J23">
        <v>0</v>
      </c>
      <c r="K23" t="s">
        <v>570</v>
      </c>
      <c r="L23" t="s">
        <v>574</v>
      </c>
      <c r="M23" t="s">
        <v>1985</v>
      </c>
      <c r="N23" t="s">
        <v>1986</v>
      </c>
      <c r="Q23" t="s">
        <v>1995</v>
      </c>
      <c r="R23" t="s">
        <v>2007</v>
      </c>
      <c r="S23" t="s">
        <v>343</v>
      </c>
      <c r="T23" s="1">
        <v>42735</v>
      </c>
      <c r="U23" s="1">
        <v>42735</v>
      </c>
      <c r="V23" t="s">
        <v>345</v>
      </c>
      <c r="W23">
        <v>21000000</v>
      </c>
      <c r="X23">
        <v>610359</v>
      </c>
      <c r="Y23" t="s">
        <v>345</v>
      </c>
      <c r="Z23">
        <v>610359</v>
      </c>
      <c r="AA23">
        <v>32271</v>
      </c>
      <c r="AB23" t="b">
        <v>0</v>
      </c>
      <c r="AC23">
        <v>0.21</v>
      </c>
    </row>
    <row r="24" spans="1:29" x14ac:dyDescent="0.2">
      <c r="A24" t="b">
        <v>1</v>
      </c>
      <c r="B24" t="b">
        <v>0</v>
      </c>
      <c r="C24" t="b">
        <v>1</v>
      </c>
      <c r="D24" t="s">
        <v>522</v>
      </c>
      <c r="E24" t="b">
        <v>0</v>
      </c>
      <c r="F24" t="b">
        <v>0</v>
      </c>
      <c r="G24" t="s">
        <v>577</v>
      </c>
      <c r="H24" t="s">
        <v>184</v>
      </c>
      <c r="I24" t="s">
        <v>572</v>
      </c>
      <c r="J24">
        <v>0</v>
      </c>
      <c r="K24" t="s">
        <v>570</v>
      </c>
      <c r="L24" t="s">
        <v>574</v>
      </c>
      <c r="M24" t="s">
        <v>1950</v>
      </c>
      <c r="N24" t="s">
        <v>1955</v>
      </c>
      <c r="Q24" t="s">
        <v>1997</v>
      </c>
      <c r="R24" t="s">
        <v>2007</v>
      </c>
      <c r="S24" t="s">
        <v>343</v>
      </c>
      <c r="T24" s="1">
        <v>42735</v>
      </c>
      <c r="U24" s="1">
        <v>42735</v>
      </c>
      <c r="V24" t="s">
        <v>345</v>
      </c>
      <c r="W24">
        <v>21000000</v>
      </c>
      <c r="X24">
        <v>610359</v>
      </c>
      <c r="Y24" t="s">
        <v>345</v>
      </c>
      <c r="Z24">
        <v>610359</v>
      </c>
      <c r="AA24">
        <v>32271</v>
      </c>
      <c r="AB24" t="b">
        <v>0</v>
      </c>
      <c r="AC24">
        <v>0.21</v>
      </c>
    </row>
    <row r="25" spans="1:29" hidden="1" x14ac:dyDescent="0.2">
      <c r="A25" t="b">
        <v>1</v>
      </c>
      <c r="B25" t="b">
        <v>0</v>
      </c>
      <c r="C25" t="b">
        <v>1</v>
      </c>
      <c r="D25" t="s">
        <v>522</v>
      </c>
      <c r="E25" t="b">
        <v>0</v>
      </c>
      <c r="F25" t="b">
        <v>0</v>
      </c>
      <c r="G25" t="s">
        <v>577</v>
      </c>
      <c r="H25" t="s">
        <v>184</v>
      </c>
      <c r="I25" t="s">
        <v>572</v>
      </c>
      <c r="J25">
        <v>0</v>
      </c>
      <c r="K25" t="s">
        <v>570</v>
      </c>
      <c r="L25" t="s">
        <v>574</v>
      </c>
      <c r="M25" t="s">
        <v>2063</v>
      </c>
      <c r="N25" t="s">
        <v>441</v>
      </c>
      <c r="Q25" t="s">
        <v>2003</v>
      </c>
      <c r="R25" t="s">
        <v>2008</v>
      </c>
      <c r="S25" t="s">
        <v>343</v>
      </c>
      <c r="T25" s="1">
        <v>42735</v>
      </c>
      <c r="U25" s="1">
        <v>42735</v>
      </c>
      <c r="V25" t="s">
        <v>345</v>
      </c>
      <c r="W25">
        <v>20000000</v>
      </c>
      <c r="X25">
        <v>19965051</v>
      </c>
      <c r="Y25" t="s">
        <v>345</v>
      </c>
      <c r="Z25">
        <v>19965051</v>
      </c>
      <c r="AA25">
        <v>1055592</v>
      </c>
      <c r="AB25" t="b">
        <v>0</v>
      </c>
      <c r="AC25">
        <v>0.34</v>
      </c>
    </row>
    <row r="26" spans="1:29" hidden="1" x14ac:dyDescent="0.2">
      <c r="A26" t="b">
        <v>1</v>
      </c>
      <c r="B26" t="b">
        <v>0</v>
      </c>
      <c r="C26" t="b">
        <v>1</v>
      </c>
      <c r="D26" t="s">
        <v>522</v>
      </c>
      <c r="E26" t="b">
        <v>0</v>
      </c>
      <c r="F26" t="b">
        <v>0</v>
      </c>
      <c r="G26" t="s">
        <v>577</v>
      </c>
      <c r="H26" t="s">
        <v>184</v>
      </c>
      <c r="I26" t="s">
        <v>572</v>
      </c>
      <c r="J26">
        <v>0</v>
      </c>
      <c r="K26" t="s">
        <v>570</v>
      </c>
      <c r="L26" t="s">
        <v>574</v>
      </c>
      <c r="M26" t="s">
        <v>2064</v>
      </c>
      <c r="N26" t="s">
        <v>441</v>
      </c>
      <c r="Q26" t="s">
        <v>2005</v>
      </c>
      <c r="R26" t="s">
        <v>2008</v>
      </c>
      <c r="S26" t="s">
        <v>343</v>
      </c>
      <c r="T26" s="1">
        <v>42735</v>
      </c>
      <c r="U26" s="1">
        <v>42735</v>
      </c>
      <c r="V26" t="s">
        <v>345</v>
      </c>
      <c r="W26">
        <v>20000000</v>
      </c>
      <c r="X26">
        <v>19965051</v>
      </c>
      <c r="Y26" t="s">
        <v>345</v>
      </c>
      <c r="Z26">
        <v>19965051</v>
      </c>
      <c r="AA26">
        <v>1055592</v>
      </c>
      <c r="AB26" t="b">
        <v>0</v>
      </c>
      <c r="AC26">
        <v>0.34</v>
      </c>
    </row>
    <row r="27" spans="1:29" hidden="1" x14ac:dyDescent="0.2">
      <c r="A27" t="b">
        <v>1</v>
      </c>
      <c r="B27" t="b">
        <v>0</v>
      </c>
      <c r="C27" t="b">
        <v>1</v>
      </c>
      <c r="D27" t="b">
        <v>0</v>
      </c>
      <c r="E27" t="b">
        <v>0</v>
      </c>
      <c r="F27" t="s">
        <v>361</v>
      </c>
      <c r="G27">
        <v>0</v>
      </c>
      <c r="H27" t="s">
        <v>685</v>
      </c>
      <c r="I27" t="s">
        <v>686</v>
      </c>
      <c r="J27">
        <v>0</v>
      </c>
      <c r="K27" t="s">
        <v>683</v>
      </c>
      <c r="L27" t="s">
        <v>687</v>
      </c>
      <c r="M27" t="s">
        <v>1985</v>
      </c>
      <c r="N27" t="s">
        <v>1994</v>
      </c>
      <c r="Q27" t="s">
        <v>1995</v>
      </c>
      <c r="R27" t="s">
        <v>2009</v>
      </c>
      <c r="S27" t="s">
        <v>343</v>
      </c>
      <c r="T27" s="1">
        <v>42735</v>
      </c>
      <c r="U27" s="1">
        <v>42735</v>
      </c>
      <c r="V27" t="s">
        <v>345</v>
      </c>
      <c r="W27">
        <v>17971011</v>
      </c>
      <c r="X27">
        <v>2791677</v>
      </c>
      <c r="Y27" t="s">
        <v>345</v>
      </c>
      <c r="Z27">
        <v>2791677</v>
      </c>
      <c r="AA27">
        <v>147602</v>
      </c>
      <c r="AB27" t="b">
        <v>0</v>
      </c>
      <c r="AC27">
        <v>0.44</v>
      </c>
    </row>
    <row r="28" spans="1:29" hidden="1" x14ac:dyDescent="0.2">
      <c r="A28" t="b">
        <v>1</v>
      </c>
      <c r="B28" t="b">
        <v>0</v>
      </c>
      <c r="C28" t="b">
        <v>1</v>
      </c>
      <c r="D28" t="b">
        <v>0</v>
      </c>
      <c r="E28" t="b">
        <v>0</v>
      </c>
      <c r="F28" t="s">
        <v>361</v>
      </c>
      <c r="G28">
        <v>0</v>
      </c>
      <c r="H28" t="s">
        <v>685</v>
      </c>
      <c r="I28" t="s">
        <v>686</v>
      </c>
      <c r="J28">
        <v>0</v>
      </c>
      <c r="K28" t="s">
        <v>683</v>
      </c>
      <c r="L28" t="s">
        <v>687</v>
      </c>
      <c r="M28" t="s">
        <v>1950</v>
      </c>
      <c r="N28" t="s">
        <v>1956</v>
      </c>
      <c r="Q28" t="s">
        <v>1997</v>
      </c>
      <c r="R28" t="s">
        <v>2009</v>
      </c>
      <c r="S28" t="s">
        <v>343</v>
      </c>
      <c r="T28" s="1">
        <v>42735</v>
      </c>
      <c r="U28" s="1">
        <v>42735</v>
      </c>
      <c r="V28" t="s">
        <v>345</v>
      </c>
      <c r="W28">
        <v>17971011</v>
      </c>
      <c r="X28">
        <v>2791677</v>
      </c>
      <c r="Y28" t="s">
        <v>345</v>
      </c>
      <c r="Z28">
        <v>2791677</v>
      </c>
      <c r="AA28">
        <v>147602</v>
      </c>
      <c r="AB28" t="b">
        <v>0</v>
      </c>
      <c r="AC28">
        <v>0.44</v>
      </c>
    </row>
    <row r="29" spans="1:29" hidden="1" x14ac:dyDescent="0.2">
      <c r="A29" t="b">
        <v>1</v>
      </c>
      <c r="B29" t="b">
        <v>0</v>
      </c>
      <c r="C29" t="b">
        <v>1</v>
      </c>
      <c r="D29" t="s">
        <v>522</v>
      </c>
      <c r="E29" t="b">
        <v>0</v>
      </c>
      <c r="F29" t="b">
        <v>0</v>
      </c>
      <c r="G29" t="s">
        <v>905</v>
      </c>
      <c r="H29" t="s">
        <v>108</v>
      </c>
      <c r="I29">
        <v>0</v>
      </c>
      <c r="J29">
        <v>0</v>
      </c>
      <c r="K29" t="s">
        <v>1712</v>
      </c>
      <c r="L29" t="s">
        <v>1714</v>
      </c>
      <c r="M29" t="s">
        <v>1985</v>
      </c>
      <c r="N29" t="s">
        <v>2074</v>
      </c>
      <c r="Q29" t="s">
        <v>1995</v>
      </c>
      <c r="R29" t="s">
        <v>2010</v>
      </c>
      <c r="S29" t="s">
        <v>343</v>
      </c>
      <c r="T29" s="1">
        <v>42735</v>
      </c>
      <c r="U29" s="1">
        <v>42735</v>
      </c>
      <c r="V29" t="s">
        <v>345</v>
      </c>
      <c r="W29">
        <v>13500000</v>
      </c>
      <c r="X29">
        <v>7487784</v>
      </c>
      <c r="Y29" t="s">
        <v>345</v>
      </c>
      <c r="Z29">
        <v>7487784</v>
      </c>
      <c r="AA29">
        <v>395894</v>
      </c>
      <c r="AB29" t="b">
        <v>0</v>
      </c>
      <c r="AC29">
        <v>0.13</v>
      </c>
    </row>
    <row r="30" spans="1:29" x14ac:dyDescent="0.2">
      <c r="A30" t="b">
        <v>1</v>
      </c>
      <c r="B30" t="b">
        <v>0</v>
      </c>
      <c r="C30" t="b">
        <v>1</v>
      </c>
      <c r="D30" t="s">
        <v>522</v>
      </c>
      <c r="E30" t="b">
        <v>0</v>
      </c>
      <c r="F30" t="b">
        <v>0</v>
      </c>
      <c r="G30" t="s">
        <v>905</v>
      </c>
      <c r="H30" t="s">
        <v>108</v>
      </c>
      <c r="I30">
        <v>0</v>
      </c>
      <c r="J30">
        <v>0</v>
      </c>
      <c r="K30" t="s">
        <v>1712</v>
      </c>
      <c r="L30" t="s">
        <v>1714</v>
      </c>
      <c r="M30" t="s">
        <v>1950</v>
      </c>
      <c r="N30" t="s">
        <v>1961</v>
      </c>
      <c r="Q30" t="s">
        <v>1997</v>
      </c>
      <c r="R30" t="s">
        <v>2010</v>
      </c>
      <c r="S30" t="s">
        <v>343</v>
      </c>
      <c r="T30" s="1">
        <v>42735</v>
      </c>
      <c r="U30" s="1">
        <v>42735</v>
      </c>
      <c r="V30" t="s">
        <v>345</v>
      </c>
      <c r="W30">
        <v>13500000</v>
      </c>
      <c r="X30">
        <v>7487784</v>
      </c>
      <c r="Y30" t="s">
        <v>345</v>
      </c>
      <c r="Z30">
        <v>7487784</v>
      </c>
      <c r="AA30">
        <v>395894</v>
      </c>
      <c r="AB30" t="b">
        <v>0</v>
      </c>
      <c r="AC30">
        <v>0.13</v>
      </c>
    </row>
    <row r="31" spans="1:29" hidden="1" x14ac:dyDescent="0.2">
      <c r="A31" t="b">
        <v>1</v>
      </c>
      <c r="B31" t="b">
        <v>0</v>
      </c>
      <c r="C31" t="b">
        <v>1</v>
      </c>
      <c r="D31" t="s">
        <v>522</v>
      </c>
      <c r="E31" t="b">
        <v>0</v>
      </c>
      <c r="F31" t="b">
        <v>0</v>
      </c>
      <c r="G31" t="s">
        <v>905</v>
      </c>
      <c r="H31" t="s">
        <v>109</v>
      </c>
      <c r="I31">
        <v>0</v>
      </c>
      <c r="J31">
        <v>0</v>
      </c>
      <c r="K31" t="s">
        <v>901</v>
      </c>
      <c r="L31" t="s">
        <v>903</v>
      </c>
      <c r="M31" t="s">
        <v>1985</v>
      </c>
      <c r="N31" t="s">
        <v>2074</v>
      </c>
      <c r="Q31" t="s">
        <v>1998</v>
      </c>
      <c r="R31" t="s">
        <v>2011</v>
      </c>
      <c r="S31" t="s">
        <v>343</v>
      </c>
      <c r="T31" s="1">
        <v>42735</v>
      </c>
      <c r="U31" s="1">
        <v>42735</v>
      </c>
      <c r="V31" t="s">
        <v>345</v>
      </c>
      <c r="W31">
        <v>6350000</v>
      </c>
      <c r="X31">
        <v>3222523</v>
      </c>
      <c r="Y31" t="s">
        <v>345</v>
      </c>
      <c r="Z31">
        <v>3222523</v>
      </c>
      <c r="AA31">
        <v>170381</v>
      </c>
      <c r="AB31" t="b">
        <v>0</v>
      </c>
      <c r="AC31">
        <v>0.26</v>
      </c>
    </row>
    <row r="32" spans="1:29" x14ac:dyDescent="0.2">
      <c r="A32" t="b">
        <v>1</v>
      </c>
      <c r="B32" t="b">
        <v>0</v>
      </c>
      <c r="C32" t="b">
        <v>1</v>
      </c>
      <c r="D32" t="s">
        <v>522</v>
      </c>
      <c r="E32" t="b">
        <v>0</v>
      </c>
      <c r="F32" t="b">
        <v>0</v>
      </c>
      <c r="G32" t="s">
        <v>905</v>
      </c>
      <c r="H32" t="s">
        <v>109</v>
      </c>
      <c r="I32">
        <v>0</v>
      </c>
      <c r="J32">
        <v>0</v>
      </c>
      <c r="K32" t="s">
        <v>901</v>
      </c>
      <c r="L32" t="s">
        <v>903</v>
      </c>
      <c r="M32" t="s">
        <v>1950</v>
      </c>
      <c r="N32" t="s">
        <v>1961</v>
      </c>
      <c r="Q32" t="s">
        <v>2000</v>
      </c>
      <c r="R32" t="s">
        <v>2011</v>
      </c>
      <c r="S32" t="s">
        <v>343</v>
      </c>
      <c r="T32" s="1">
        <v>42735</v>
      </c>
      <c r="U32" s="1">
        <v>42735</v>
      </c>
      <c r="V32" t="s">
        <v>345</v>
      </c>
      <c r="W32">
        <v>6350000</v>
      </c>
      <c r="X32">
        <v>3222523</v>
      </c>
      <c r="Y32" t="s">
        <v>345</v>
      </c>
      <c r="Z32">
        <v>3222523</v>
      </c>
      <c r="AA32">
        <v>170381</v>
      </c>
      <c r="AB32" t="b">
        <v>0</v>
      </c>
      <c r="AC32">
        <v>0.26</v>
      </c>
    </row>
    <row r="33" spans="1:29" hidden="1" x14ac:dyDescent="0.2">
      <c r="A33" t="b">
        <v>1</v>
      </c>
      <c r="B33" t="b">
        <v>0</v>
      </c>
      <c r="C33" t="b">
        <v>1</v>
      </c>
      <c r="D33" t="b">
        <v>0</v>
      </c>
      <c r="E33" t="b">
        <v>0</v>
      </c>
      <c r="F33" t="s">
        <v>361</v>
      </c>
      <c r="G33">
        <v>0</v>
      </c>
      <c r="H33" t="s">
        <v>1831</v>
      </c>
      <c r="I33">
        <v>0</v>
      </c>
      <c r="J33">
        <v>0</v>
      </c>
      <c r="K33" t="s">
        <v>1829</v>
      </c>
      <c r="L33" t="s">
        <v>2086</v>
      </c>
      <c r="M33" t="s">
        <v>1985</v>
      </c>
      <c r="N33" t="s">
        <v>1986</v>
      </c>
      <c r="Q33" t="s">
        <v>2003</v>
      </c>
      <c r="R33" t="s">
        <v>2012</v>
      </c>
      <c r="S33" t="s">
        <v>343</v>
      </c>
      <c r="T33" s="1">
        <v>42735</v>
      </c>
      <c r="U33" s="1">
        <v>42735</v>
      </c>
      <c r="V33" t="s">
        <v>345</v>
      </c>
      <c r="W33">
        <v>5200000</v>
      </c>
      <c r="X33">
        <v>5106348</v>
      </c>
      <c r="Y33" t="s">
        <v>345</v>
      </c>
      <c r="Z33">
        <v>5106348</v>
      </c>
      <c r="AA33">
        <v>269983</v>
      </c>
      <c r="AB33" t="b">
        <v>0</v>
      </c>
      <c r="AC33">
        <v>0.46</v>
      </c>
    </row>
    <row r="34" spans="1:29" hidden="1" x14ac:dyDescent="0.2">
      <c r="A34" t="b">
        <v>1</v>
      </c>
      <c r="B34" t="b">
        <v>0</v>
      </c>
      <c r="C34" t="b">
        <v>1</v>
      </c>
      <c r="D34" t="b">
        <v>0</v>
      </c>
      <c r="E34" t="b">
        <v>0</v>
      </c>
      <c r="F34" t="s">
        <v>361</v>
      </c>
      <c r="G34">
        <v>0</v>
      </c>
      <c r="H34" t="s">
        <v>1831</v>
      </c>
      <c r="I34">
        <v>0</v>
      </c>
      <c r="J34">
        <v>0</v>
      </c>
      <c r="K34" t="s">
        <v>1829</v>
      </c>
      <c r="L34" t="s">
        <v>2086</v>
      </c>
      <c r="M34" t="s">
        <v>1950</v>
      </c>
      <c r="N34" t="s">
        <v>1955</v>
      </c>
      <c r="Q34" t="s">
        <v>2005</v>
      </c>
      <c r="R34" t="s">
        <v>2012</v>
      </c>
      <c r="S34" t="s">
        <v>343</v>
      </c>
      <c r="T34" s="1">
        <v>42735</v>
      </c>
      <c r="U34" s="1">
        <v>42735</v>
      </c>
      <c r="V34" t="s">
        <v>345</v>
      </c>
      <c r="W34">
        <v>5200000</v>
      </c>
      <c r="X34">
        <v>5106348</v>
      </c>
      <c r="Y34" t="s">
        <v>345</v>
      </c>
      <c r="Z34">
        <v>5106348</v>
      </c>
      <c r="AA34">
        <v>269983</v>
      </c>
      <c r="AB34" t="b">
        <v>0</v>
      </c>
      <c r="AC34">
        <v>0.46</v>
      </c>
    </row>
    <row r="35" spans="1:29" hidden="1" x14ac:dyDescent="0.2">
      <c r="A35" t="e">
        <v>#N/A</v>
      </c>
      <c r="B35" t="e">
        <v>#N/A</v>
      </c>
      <c r="C35" t="e">
        <v>#N/A</v>
      </c>
      <c r="D35" t="e">
        <v>#N/A</v>
      </c>
      <c r="E35" t="e">
        <v>#N/A</v>
      </c>
      <c r="F35" t="e">
        <v>#N/A</v>
      </c>
      <c r="G35" t="e">
        <v>#N/A</v>
      </c>
      <c r="H35" t="e">
        <v>#N/A</v>
      </c>
      <c r="I35" t="e">
        <v>#N/A</v>
      </c>
      <c r="J35" t="e">
        <v>#N/A</v>
      </c>
      <c r="K35" t="s">
        <v>2111</v>
      </c>
      <c r="L35" t="s">
        <v>2112</v>
      </c>
      <c r="M35" t="s">
        <v>1985</v>
      </c>
      <c r="N35" t="s">
        <v>2074</v>
      </c>
      <c r="Q35" t="s">
        <v>1995</v>
      </c>
      <c r="R35" t="s">
        <v>2013</v>
      </c>
      <c r="S35" t="s">
        <v>343</v>
      </c>
      <c r="T35" s="1">
        <v>42735</v>
      </c>
      <c r="U35" s="1">
        <v>42735</v>
      </c>
      <c r="V35" t="s">
        <v>345</v>
      </c>
      <c r="W35">
        <v>4176119</v>
      </c>
      <c r="X35">
        <v>4086116</v>
      </c>
      <c r="Y35" t="s">
        <v>345</v>
      </c>
      <c r="Z35">
        <v>4086116</v>
      </c>
      <c r="AA35">
        <v>216041</v>
      </c>
      <c r="AB35" t="b">
        <v>0</v>
      </c>
      <c r="AC35">
        <v>0.15</v>
      </c>
    </row>
    <row r="36" spans="1:29" hidden="1" x14ac:dyDescent="0.2">
      <c r="A36" t="e">
        <v>#N/A</v>
      </c>
      <c r="B36" t="e">
        <v>#N/A</v>
      </c>
      <c r="C36" t="e">
        <v>#N/A</v>
      </c>
      <c r="D36" t="e">
        <v>#N/A</v>
      </c>
      <c r="E36" t="e">
        <v>#N/A</v>
      </c>
      <c r="F36" t="e">
        <v>#N/A</v>
      </c>
      <c r="G36" t="e">
        <v>#N/A</v>
      </c>
      <c r="H36" t="e">
        <v>#N/A</v>
      </c>
      <c r="I36" t="e">
        <v>#N/A</v>
      </c>
      <c r="J36" t="e">
        <v>#N/A</v>
      </c>
      <c r="K36" t="s">
        <v>2111</v>
      </c>
      <c r="L36" t="s">
        <v>2112</v>
      </c>
      <c r="M36" t="s">
        <v>1950</v>
      </c>
      <c r="N36" t="s">
        <v>1961</v>
      </c>
      <c r="Q36" t="s">
        <v>1997</v>
      </c>
      <c r="R36" t="s">
        <v>2013</v>
      </c>
      <c r="S36" t="s">
        <v>343</v>
      </c>
      <c r="T36" s="1">
        <v>42735</v>
      </c>
      <c r="U36" s="1">
        <v>42735</v>
      </c>
      <c r="V36" t="s">
        <v>345</v>
      </c>
      <c r="W36">
        <v>4176119</v>
      </c>
      <c r="X36">
        <v>4086116</v>
      </c>
      <c r="Y36" t="s">
        <v>345</v>
      </c>
      <c r="Z36">
        <v>4086116</v>
      </c>
      <c r="AA36">
        <v>216041</v>
      </c>
      <c r="AB36" t="b">
        <v>0</v>
      </c>
      <c r="AC36">
        <v>0.15</v>
      </c>
    </row>
    <row r="37" spans="1:29" hidden="1" x14ac:dyDescent="0.2">
      <c r="A37" t="e">
        <v>#N/A</v>
      </c>
      <c r="B37" t="e">
        <v>#N/A</v>
      </c>
      <c r="C37" t="e">
        <v>#N/A</v>
      </c>
      <c r="D37" t="e">
        <v>#N/A</v>
      </c>
      <c r="E37" t="e">
        <v>#N/A</v>
      </c>
      <c r="F37" t="e">
        <v>#N/A</v>
      </c>
      <c r="G37" t="e">
        <v>#N/A</v>
      </c>
      <c r="H37" t="e">
        <v>#N/A</v>
      </c>
      <c r="I37" t="e">
        <v>#N/A</v>
      </c>
      <c r="J37" t="e">
        <v>#N/A</v>
      </c>
      <c r="K37" t="s">
        <v>2114</v>
      </c>
      <c r="L37" t="s">
        <v>2115</v>
      </c>
      <c r="M37" t="s">
        <v>1985</v>
      </c>
      <c r="N37" t="s">
        <v>1986</v>
      </c>
      <c r="Q37" t="s">
        <v>2014</v>
      </c>
      <c r="R37" t="s">
        <v>2015</v>
      </c>
      <c r="S37" t="s">
        <v>343</v>
      </c>
      <c r="T37" s="1">
        <v>42735</v>
      </c>
      <c r="U37" s="1">
        <v>42735</v>
      </c>
      <c r="V37" t="s">
        <v>345</v>
      </c>
      <c r="W37">
        <v>65022222</v>
      </c>
      <c r="X37">
        <v>65022222</v>
      </c>
      <c r="Y37" t="s">
        <v>345</v>
      </c>
      <c r="Z37">
        <v>65022222</v>
      </c>
      <c r="AA37">
        <v>3437856</v>
      </c>
      <c r="AB37" t="b">
        <v>0</v>
      </c>
      <c r="AC37">
        <v>0.03</v>
      </c>
    </row>
    <row r="38" spans="1:29" hidden="1" x14ac:dyDescent="0.2">
      <c r="A38" t="e">
        <v>#N/A</v>
      </c>
      <c r="B38" t="e">
        <v>#N/A</v>
      </c>
      <c r="C38" t="e">
        <v>#N/A</v>
      </c>
      <c r="D38" t="e">
        <v>#N/A</v>
      </c>
      <c r="E38" t="e">
        <v>#N/A</v>
      </c>
      <c r="F38" t="e">
        <v>#N/A</v>
      </c>
      <c r="G38" t="e">
        <v>#N/A</v>
      </c>
      <c r="H38" t="e">
        <v>#N/A</v>
      </c>
      <c r="I38" t="e">
        <v>#N/A</v>
      </c>
      <c r="J38" t="e">
        <v>#N/A</v>
      </c>
      <c r="K38" t="s">
        <v>2114</v>
      </c>
      <c r="L38" t="s">
        <v>2115</v>
      </c>
      <c r="M38" t="s">
        <v>1950</v>
      </c>
      <c r="N38" t="s">
        <v>1960</v>
      </c>
      <c r="Q38" t="s">
        <v>2016</v>
      </c>
      <c r="R38" t="s">
        <v>2015</v>
      </c>
      <c r="S38" t="s">
        <v>343</v>
      </c>
      <c r="T38" s="1">
        <v>42735</v>
      </c>
      <c r="U38" s="1">
        <v>42735</v>
      </c>
      <c r="V38" t="s">
        <v>345</v>
      </c>
      <c r="W38">
        <v>65022222</v>
      </c>
      <c r="X38">
        <v>65022222</v>
      </c>
      <c r="Y38" t="s">
        <v>345</v>
      </c>
      <c r="Z38">
        <v>65022222</v>
      </c>
      <c r="AA38">
        <v>3437856</v>
      </c>
      <c r="AB38" t="b">
        <v>0</v>
      </c>
      <c r="AC38">
        <v>0.03</v>
      </c>
    </row>
    <row r="39" spans="1:29" hidden="1" x14ac:dyDescent="0.2">
      <c r="A39" t="b">
        <v>1</v>
      </c>
      <c r="B39" t="b">
        <v>0</v>
      </c>
      <c r="C39" t="b">
        <v>1</v>
      </c>
      <c r="D39" t="s">
        <v>522</v>
      </c>
      <c r="E39" t="b">
        <v>0</v>
      </c>
      <c r="F39" t="b">
        <v>0</v>
      </c>
      <c r="G39" t="s">
        <v>1518</v>
      </c>
      <c r="H39" t="s">
        <v>164</v>
      </c>
      <c r="I39" t="s">
        <v>1515</v>
      </c>
      <c r="J39">
        <v>0</v>
      </c>
      <c r="K39" t="s">
        <v>1513</v>
      </c>
      <c r="L39" t="s">
        <v>1516</v>
      </c>
      <c r="M39" t="s">
        <v>1985</v>
      </c>
      <c r="N39" t="s">
        <v>1986</v>
      </c>
      <c r="Q39" t="s">
        <v>2018</v>
      </c>
      <c r="R39" t="s">
        <v>2019</v>
      </c>
      <c r="S39" t="s">
        <v>343</v>
      </c>
      <c r="T39" s="1">
        <v>42735</v>
      </c>
      <c r="U39" s="1">
        <v>42735</v>
      </c>
      <c r="V39" t="s">
        <v>345</v>
      </c>
      <c r="W39">
        <v>186825339</v>
      </c>
      <c r="X39">
        <v>158786066</v>
      </c>
      <c r="Y39" t="s">
        <v>345</v>
      </c>
      <c r="Z39">
        <v>158786066</v>
      </c>
      <c r="AA39">
        <v>8395339</v>
      </c>
      <c r="AB39" t="b">
        <v>0</v>
      </c>
      <c r="AC39">
        <v>0.18</v>
      </c>
    </row>
    <row r="40" spans="1:29" x14ac:dyDescent="0.2">
      <c r="A40" t="b">
        <v>1</v>
      </c>
      <c r="B40" t="b">
        <v>0</v>
      </c>
      <c r="C40" t="b">
        <v>1</v>
      </c>
      <c r="D40" t="s">
        <v>522</v>
      </c>
      <c r="E40" t="b">
        <v>0</v>
      </c>
      <c r="F40" t="b">
        <v>0</v>
      </c>
      <c r="G40" t="s">
        <v>1518</v>
      </c>
      <c r="H40" t="s">
        <v>164</v>
      </c>
      <c r="I40" t="s">
        <v>1515</v>
      </c>
      <c r="J40">
        <v>0</v>
      </c>
      <c r="K40" t="s">
        <v>1513</v>
      </c>
      <c r="L40" t="s">
        <v>1516</v>
      </c>
      <c r="M40" t="s">
        <v>1950</v>
      </c>
      <c r="N40" t="s">
        <v>1955</v>
      </c>
      <c r="Q40" t="s">
        <v>2018</v>
      </c>
      <c r="R40" t="s">
        <v>2019</v>
      </c>
      <c r="S40" t="s">
        <v>343</v>
      </c>
      <c r="T40" s="1">
        <v>42735</v>
      </c>
      <c r="U40" s="1">
        <v>42735</v>
      </c>
      <c r="V40" t="s">
        <v>345</v>
      </c>
      <c r="W40">
        <v>186825339</v>
      </c>
      <c r="X40">
        <v>158786066</v>
      </c>
      <c r="Y40" t="s">
        <v>345</v>
      </c>
      <c r="Z40">
        <v>158786066</v>
      </c>
      <c r="AA40">
        <v>8395339</v>
      </c>
      <c r="AB40" t="b">
        <v>0</v>
      </c>
      <c r="AC40">
        <v>0.18</v>
      </c>
    </row>
    <row r="41" spans="1:29" hidden="1" x14ac:dyDescent="0.2">
      <c r="A41" t="b">
        <v>1</v>
      </c>
      <c r="B41" t="b">
        <v>0</v>
      </c>
      <c r="C41" t="b">
        <v>1</v>
      </c>
      <c r="D41" t="s">
        <v>522</v>
      </c>
      <c r="E41" t="b">
        <v>0</v>
      </c>
      <c r="F41" t="b">
        <v>0</v>
      </c>
      <c r="G41" t="s">
        <v>1316</v>
      </c>
      <c r="H41" t="s">
        <v>72</v>
      </c>
      <c r="I41" t="s">
        <v>1314</v>
      </c>
      <c r="J41">
        <v>0</v>
      </c>
      <c r="K41" t="s">
        <v>1312</v>
      </c>
      <c r="L41" t="s">
        <v>1315</v>
      </c>
      <c r="M41" t="s">
        <v>1985</v>
      </c>
      <c r="N41" t="s">
        <v>1986</v>
      </c>
      <c r="Q41" t="s">
        <v>2020</v>
      </c>
      <c r="R41" t="s">
        <v>2021</v>
      </c>
      <c r="S41" t="s">
        <v>343</v>
      </c>
      <c r="T41" s="1">
        <v>42735</v>
      </c>
      <c r="U41" s="1">
        <v>42735</v>
      </c>
      <c r="V41" t="s">
        <v>345</v>
      </c>
      <c r="W41">
        <v>328125000</v>
      </c>
      <c r="X41">
        <v>328125000</v>
      </c>
      <c r="Y41" t="s">
        <v>345</v>
      </c>
      <c r="Z41">
        <v>328125000</v>
      </c>
      <c r="AA41">
        <v>17348630</v>
      </c>
      <c r="AB41" t="b">
        <v>1</v>
      </c>
    </row>
    <row r="42" spans="1:29" x14ac:dyDescent="0.2">
      <c r="A42" t="b">
        <v>1</v>
      </c>
      <c r="B42" t="b">
        <v>0</v>
      </c>
      <c r="C42" t="b">
        <v>1</v>
      </c>
      <c r="D42" t="s">
        <v>522</v>
      </c>
      <c r="E42" t="b">
        <v>0</v>
      </c>
      <c r="F42" t="b">
        <v>0</v>
      </c>
      <c r="G42" t="s">
        <v>1316</v>
      </c>
      <c r="H42" t="s">
        <v>72</v>
      </c>
      <c r="I42" t="s">
        <v>1314</v>
      </c>
      <c r="J42">
        <v>0</v>
      </c>
      <c r="K42" t="s">
        <v>1312</v>
      </c>
      <c r="L42" t="s">
        <v>1315</v>
      </c>
      <c r="M42" t="s">
        <v>1950</v>
      </c>
      <c r="N42" t="s">
        <v>1955</v>
      </c>
      <c r="Q42" t="s">
        <v>2022</v>
      </c>
      <c r="R42" t="s">
        <v>2021</v>
      </c>
      <c r="S42" t="s">
        <v>343</v>
      </c>
      <c r="T42" s="1">
        <v>42735</v>
      </c>
      <c r="U42" s="1">
        <v>42735</v>
      </c>
      <c r="V42" t="s">
        <v>345</v>
      </c>
      <c r="W42">
        <v>328125000</v>
      </c>
      <c r="X42">
        <v>328125000</v>
      </c>
      <c r="Y42" t="s">
        <v>345</v>
      </c>
      <c r="Z42">
        <v>328125000</v>
      </c>
      <c r="AA42">
        <v>17348630</v>
      </c>
      <c r="AB42" t="b">
        <v>1</v>
      </c>
    </row>
    <row r="43" spans="1:29" hidden="1" x14ac:dyDescent="0.2">
      <c r="A43" t="b">
        <v>1</v>
      </c>
      <c r="B43" t="b">
        <v>0</v>
      </c>
      <c r="C43" t="b">
        <v>1</v>
      </c>
      <c r="D43" t="s">
        <v>248</v>
      </c>
      <c r="E43" t="b">
        <v>0</v>
      </c>
      <c r="F43" t="b">
        <v>0</v>
      </c>
      <c r="G43">
        <v>0</v>
      </c>
      <c r="H43" t="s">
        <v>630</v>
      </c>
      <c r="I43" t="s">
        <v>631</v>
      </c>
      <c r="J43">
        <v>0</v>
      </c>
      <c r="K43" t="s">
        <v>628</v>
      </c>
      <c r="L43" t="s">
        <v>632</v>
      </c>
      <c r="M43" t="s">
        <v>1985</v>
      </c>
      <c r="N43" t="s">
        <v>1994</v>
      </c>
      <c r="Q43" t="s">
        <v>2018</v>
      </c>
      <c r="R43" t="s">
        <v>2023</v>
      </c>
      <c r="S43" t="s">
        <v>343</v>
      </c>
      <c r="T43" s="1">
        <v>42735</v>
      </c>
      <c r="U43" s="1">
        <v>42735</v>
      </c>
      <c r="V43" t="s">
        <v>345</v>
      </c>
      <c r="W43">
        <v>113173653</v>
      </c>
      <c r="X43">
        <v>92818127</v>
      </c>
      <c r="Y43" t="s">
        <v>345</v>
      </c>
      <c r="Z43">
        <v>92818127</v>
      </c>
      <c r="AA43">
        <v>4907481</v>
      </c>
      <c r="AB43" t="b">
        <v>1</v>
      </c>
    </row>
    <row r="44" spans="1:29" hidden="1" x14ac:dyDescent="0.2">
      <c r="A44" t="b">
        <v>1</v>
      </c>
      <c r="B44" t="b">
        <v>0</v>
      </c>
      <c r="C44" t="b">
        <v>1</v>
      </c>
      <c r="D44" t="s">
        <v>248</v>
      </c>
      <c r="E44" t="b">
        <v>0</v>
      </c>
      <c r="F44" t="b">
        <v>0</v>
      </c>
      <c r="G44">
        <v>0</v>
      </c>
      <c r="H44" t="s">
        <v>630</v>
      </c>
      <c r="I44" t="s">
        <v>631</v>
      </c>
      <c r="J44">
        <v>0</v>
      </c>
      <c r="K44" t="s">
        <v>628</v>
      </c>
      <c r="L44" t="s">
        <v>632</v>
      </c>
      <c r="M44" t="s">
        <v>1950</v>
      </c>
      <c r="N44" t="s">
        <v>1962</v>
      </c>
      <c r="Q44" t="s">
        <v>2018</v>
      </c>
      <c r="R44" t="s">
        <v>2023</v>
      </c>
      <c r="S44" t="s">
        <v>343</v>
      </c>
      <c r="T44" s="1">
        <v>42735</v>
      </c>
      <c r="U44" s="1">
        <v>42735</v>
      </c>
      <c r="V44" t="s">
        <v>345</v>
      </c>
      <c r="W44">
        <v>113173653</v>
      </c>
      <c r="X44">
        <v>92818127</v>
      </c>
      <c r="Y44" t="s">
        <v>345</v>
      </c>
      <c r="Z44">
        <v>92818127</v>
      </c>
      <c r="AA44">
        <v>4907481</v>
      </c>
      <c r="AB44" t="b">
        <v>1</v>
      </c>
    </row>
    <row r="45" spans="1:29" hidden="1" x14ac:dyDescent="0.2">
      <c r="A45" t="b">
        <v>1</v>
      </c>
      <c r="B45" t="b">
        <v>0</v>
      </c>
      <c r="C45" t="b">
        <v>1</v>
      </c>
      <c r="D45" t="s">
        <v>522</v>
      </c>
      <c r="E45" t="b">
        <v>0</v>
      </c>
      <c r="F45" t="b">
        <v>0</v>
      </c>
      <c r="G45" t="s">
        <v>905</v>
      </c>
      <c r="H45" t="s">
        <v>109</v>
      </c>
      <c r="I45">
        <v>0</v>
      </c>
      <c r="J45">
        <v>0</v>
      </c>
      <c r="K45" t="s">
        <v>901</v>
      </c>
      <c r="L45" t="s">
        <v>903</v>
      </c>
      <c r="M45" t="s">
        <v>1985</v>
      </c>
      <c r="N45" t="s">
        <v>1986</v>
      </c>
      <c r="Q45" t="s">
        <v>2025</v>
      </c>
      <c r="R45" t="s">
        <v>2026</v>
      </c>
      <c r="S45" t="s">
        <v>384</v>
      </c>
      <c r="T45" s="1">
        <v>42709</v>
      </c>
      <c r="U45" s="1">
        <v>42709</v>
      </c>
      <c r="V45" t="s">
        <v>386</v>
      </c>
      <c r="W45">
        <v>78711188000</v>
      </c>
      <c r="X45">
        <v>78711188000</v>
      </c>
      <c r="Y45" t="s">
        <v>386</v>
      </c>
      <c r="Z45">
        <v>78711188000</v>
      </c>
      <c r="AA45">
        <v>25713871</v>
      </c>
      <c r="AB45" t="b">
        <v>0</v>
      </c>
      <c r="AC45">
        <v>0.92</v>
      </c>
    </row>
    <row r="46" spans="1:29" x14ac:dyDescent="0.2">
      <c r="A46" t="b">
        <v>1</v>
      </c>
      <c r="B46" t="b">
        <v>0</v>
      </c>
      <c r="C46" t="b">
        <v>1</v>
      </c>
      <c r="D46" t="s">
        <v>522</v>
      </c>
      <c r="E46" t="b">
        <v>0</v>
      </c>
      <c r="F46" t="b">
        <v>0</v>
      </c>
      <c r="G46" t="s">
        <v>905</v>
      </c>
      <c r="H46" t="s">
        <v>109</v>
      </c>
      <c r="I46">
        <v>0</v>
      </c>
      <c r="J46">
        <v>0</v>
      </c>
      <c r="K46" t="s">
        <v>901</v>
      </c>
      <c r="L46" t="s">
        <v>903</v>
      </c>
      <c r="M46" t="s">
        <v>1950</v>
      </c>
      <c r="N46" t="s">
        <v>1955</v>
      </c>
      <c r="Q46" t="s">
        <v>2025</v>
      </c>
      <c r="R46" t="s">
        <v>2026</v>
      </c>
      <c r="S46" t="s">
        <v>384</v>
      </c>
      <c r="T46" s="1">
        <v>42709</v>
      </c>
      <c r="U46" s="1">
        <v>42709</v>
      </c>
      <c r="V46" t="s">
        <v>386</v>
      </c>
      <c r="W46">
        <v>78711188000</v>
      </c>
      <c r="X46">
        <v>78711188000</v>
      </c>
      <c r="Y46" t="s">
        <v>386</v>
      </c>
      <c r="Z46">
        <v>78711188000</v>
      </c>
      <c r="AA46">
        <v>25713871</v>
      </c>
      <c r="AB46" t="b">
        <v>0</v>
      </c>
      <c r="AC46">
        <v>0.92</v>
      </c>
    </row>
    <row r="47" spans="1:29" hidden="1" x14ac:dyDescent="0.2">
      <c r="A47" t="b">
        <v>1</v>
      </c>
      <c r="B47" t="b">
        <v>0</v>
      </c>
      <c r="C47" t="b">
        <v>1</v>
      </c>
      <c r="D47" t="b">
        <v>0</v>
      </c>
      <c r="E47" t="b">
        <v>0</v>
      </c>
      <c r="F47" t="s">
        <v>361</v>
      </c>
      <c r="G47" t="s">
        <v>1426</v>
      </c>
      <c r="H47">
        <v>0</v>
      </c>
      <c r="I47">
        <v>0</v>
      </c>
      <c r="J47" t="s">
        <v>1423</v>
      </c>
      <c r="K47" t="s">
        <v>1421</v>
      </c>
      <c r="L47" t="s">
        <v>1424</v>
      </c>
      <c r="M47" t="s">
        <v>1985</v>
      </c>
      <c r="N47" t="s">
        <v>1986</v>
      </c>
      <c r="Q47" t="s">
        <v>2025</v>
      </c>
      <c r="R47" t="s">
        <v>2027</v>
      </c>
      <c r="S47" t="s">
        <v>384</v>
      </c>
      <c r="T47" s="1">
        <v>42709</v>
      </c>
      <c r="U47" s="1">
        <v>42709</v>
      </c>
      <c r="V47" t="s">
        <v>386</v>
      </c>
      <c r="W47">
        <v>21195408000</v>
      </c>
      <c r="X47">
        <v>21195408000</v>
      </c>
      <c r="Y47" t="s">
        <v>386</v>
      </c>
      <c r="Z47">
        <v>21195408000</v>
      </c>
      <c r="AA47">
        <v>6924250</v>
      </c>
      <c r="AB47" t="b">
        <v>0</v>
      </c>
      <c r="AC47">
        <v>0.92</v>
      </c>
    </row>
    <row r="48" spans="1:29" hidden="1" x14ac:dyDescent="0.2">
      <c r="A48" t="b">
        <v>1</v>
      </c>
      <c r="B48" t="b">
        <v>0</v>
      </c>
      <c r="C48" t="b">
        <v>1</v>
      </c>
      <c r="D48" t="b">
        <v>0</v>
      </c>
      <c r="E48" t="b">
        <v>0</v>
      </c>
      <c r="F48" t="s">
        <v>361</v>
      </c>
      <c r="G48" t="s">
        <v>1426</v>
      </c>
      <c r="H48">
        <v>0</v>
      </c>
      <c r="I48">
        <v>0</v>
      </c>
      <c r="J48" t="s">
        <v>1423</v>
      </c>
      <c r="K48" t="s">
        <v>1421</v>
      </c>
      <c r="L48" t="s">
        <v>1424</v>
      </c>
      <c r="M48" t="s">
        <v>1950</v>
      </c>
      <c r="N48" t="s">
        <v>1955</v>
      </c>
      <c r="Q48" t="s">
        <v>2025</v>
      </c>
      <c r="R48" t="s">
        <v>2027</v>
      </c>
      <c r="S48" t="s">
        <v>384</v>
      </c>
      <c r="T48" s="1">
        <v>42709</v>
      </c>
      <c r="U48" s="1">
        <v>42709</v>
      </c>
      <c r="V48" t="s">
        <v>386</v>
      </c>
      <c r="W48">
        <v>21195408000</v>
      </c>
      <c r="X48">
        <v>21195408000</v>
      </c>
      <c r="Y48" t="s">
        <v>386</v>
      </c>
      <c r="Z48">
        <v>21195408000</v>
      </c>
      <c r="AA48">
        <v>6924250</v>
      </c>
      <c r="AB48" t="b">
        <v>0</v>
      </c>
      <c r="AC48">
        <v>0.92</v>
      </c>
    </row>
    <row r="49" spans="1:29" hidden="1" x14ac:dyDescent="0.2">
      <c r="A49" t="b">
        <v>1</v>
      </c>
      <c r="B49" t="b">
        <v>0</v>
      </c>
      <c r="C49" t="b">
        <v>1</v>
      </c>
      <c r="D49" t="b">
        <v>0</v>
      </c>
      <c r="E49" t="b">
        <v>0</v>
      </c>
      <c r="F49" t="s">
        <v>361</v>
      </c>
      <c r="G49" t="s">
        <v>1426</v>
      </c>
      <c r="H49">
        <v>0</v>
      </c>
      <c r="I49">
        <v>0</v>
      </c>
      <c r="J49" t="s">
        <v>1423</v>
      </c>
      <c r="K49" t="s">
        <v>1421</v>
      </c>
      <c r="L49" t="s">
        <v>1424</v>
      </c>
      <c r="M49" t="s">
        <v>2063</v>
      </c>
      <c r="N49" t="s">
        <v>441</v>
      </c>
      <c r="Q49" t="s">
        <v>1987</v>
      </c>
      <c r="R49" t="s">
        <v>2028</v>
      </c>
      <c r="S49" t="s">
        <v>257</v>
      </c>
      <c r="T49" s="1">
        <v>43669</v>
      </c>
      <c r="U49" s="1">
        <v>43920</v>
      </c>
      <c r="V49" t="s">
        <v>260</v>
      </c>
      <c r="W49">
        <v>400000000</v>
      </c>
      <c r="X49">
        <v>400000000</v>
      </c>
      <c r="Y49" t="s">
        <v>260</v>
      </c>
      <c r="Z49">
        <v>400000000</v>
      </c>
      <c r="AA49">
        <v>77016385</v>
      </c>
      <c r="AB49" t="b">
        <v>1</v>
      </c>
      <c r="AC49">
        <v>0.17</v>
      </c>
    </row>
    <row r="50" spans="1:29" hidden="1" x14ac:dyDescent="0.2">
      <c r="A50" t="b">
        <v>1</v>
      </c>
      <c r="B50" t="b">
        <v>0</v>
      </c>
      <c r="C50" t="b">
        <v>1</v>
      </c>
      <c r="D50" t="b">
        <v>0</v>
      </c>
      <c r="E50" t="b">
        <v>0</v>
      </c>
      <c r="F50" t="s">
        <v>361</v>
      </c>
      <c r="G50" t="s">
        <v>1426</v>
      </c>
      <c r="H50">
        <v>0</v>
      </c>
      <c r="I50">
        <v>0</v>
      </c>
      <c r="J50" t="s">
        <v>1423</v>
      </c>
      <c r="K50" t="s">
        <v>1421</v>
      </c>
      <c r="L50" t="s">
        <v>1424</v>
      </c>
      <c r="M50" t="s">
        <v>2064</v>
      </c>
      <c r="N50" t="s">
        <v>441</v>
      </c>
      <c r="Q50" t="s">
        <v>2029</v>
      </c>
      <c r="R50" t="s">
        <v>2028</v>
      </c>
      <c r="S50" t="s">
        <v>257</v>
      </c>
      <c r="T50" s="1">
        <v>43669</v>
      </c>
      <c r="U50" s="1">
        <v>43920</v>
      </c>
      <c r="V50" t="s">
        <v>260</v>
      </c>
      <c r="W50">
        <v>400000000</v>
      </c>
      <c r="X50">
        <v>400000000</v>
      </c>
      <c r="Y50" t="s">
        <v>260</v>
      </c>
      <c r="Z50">
        <v>400000000</v>
      </c>
      <c r="AA50">
        <v>77016385</v>
      </c>
      <c r="AB50" t="b">
        <v>1</v>
      </c>
      <c r="AC50">
        <v>0.17</v>
      </c>
    </row>
    <row r="51" spans="1:29" hidden="1" x14ac:dyDescent="0.2">
      <c r="A51" t="b">
        <v>1</v>
      </c>
      <c r="B51" t="b">
        <v>0</v>
      </c>
      <c r="C51" t="b">
        <v>1</v>
      </c>
      <c r="D51" t="b">
        <v>0</v>
      </c>
      <c r="E51" t="b">
        <v>0</v>
      </c>
      <c r="F51" t="s">
        <v>361</v>
      </c>
      <c r="G51" t="s">
        <v>559</v>
      </c>
      <c r="H51" t="s">
        <v>1418</v>
      </c>
      <c r="I51">
        <v>0</v>
      </c>
      <c r="J51">
        <v>0</v>
      </c>
      <c r="K51" t="s">
        <v>1416</v>
      </c>
      <c r="L51" t="s">
        <v>1419</v>
      </c>
      <c r="M51" t="s">
        <v>1985</v>
      </c>
      <c r="N51" t="s">
        <v>441</v>
      </c>
      <c r="Q51" t="s">
        <v>2025</v>
      </c>
      <c r="R51" t="s">
        <v>2030</v>
      </c>
      <c r="S51" t="s">
        <v>384</v>
      </c>
      <c r="T51" s="1">
        <v>42709</v>
      </c>
      <c r="U51" s="1">
        <v>42709</v>
      </c>
      <c r="V51" t="s">
        <v>386</v>
      </c>
      <c r="W51">
        <v>31793112000</v>
      </c>
      <c r="X51">
        <v>31793112000</v>
      </c>
      <c r="Y51" t="s">
        <v>386</v>
      </c>
      <c r="Z51">
        <v>31793112000</v>
      </c>
      <c r="AA51">
        <v>10386376</v>
      </c>
      <c r="AB51" t="b">
        <v>0</v>
      </c>
      <c r="AC51">
        <v>0.92</v>
      </c>
    </row>
    <row r="52" spans="1:29" hidden="1" x14ac:dyDescent="0.2">
      <c r="A52" t="b">
        <v>1</v>
      </c>
      <c r="B52" t="b">
        <v>0</v>
      </c>
      <c r="C52" t="b">
        <v>1</v>
      </c>
      <c r="D52" t="b">
        <v>0</v>
      </c>
      <c r="E52" t="b">
        <v>0</v>
      </c>
      <c r="F52" t="s">
        <v>361</v>
      </c>
      <c r="G52" t="s">
        <v>559</v>
      </c>
      <c r="H52" t="s">
        <v>1418</v>
      </c>
      <c r="I52">
        <v>0</v>
      </c>
      <c r="J52">
        <v>0</v>
      </c>
      <c r="K52" t="s">
        <v>1416</v>
      </c>
      <c r="L52" t="s">
        <v>1419</v>
      </c>
      <c r="M52" t="s">
        <v>1950</v>
      </c>
      <c r="N52" t="s">
        <v>1960</v>
      </c>
      <c r="Q52" t="s">
        <v>2025</v>
      </c>
      <c r="R52" t="s">
        <v>2030</v>
      </c>
      <c r="S52" t="s">
        <v>384</v>
      </c>
      <c r="T52" s="1">
        <v>42709</v>
      </c>
      <c r="U52" s="1">
        <v>42709</v>
      </c>
      <c r="V52" t="s">
        <v>386</v>
      </c>
      <c r="W52">
        <v>31793112000</v>
      </c>
      <c r="X52">
        <v>31793112000</v>
      </c>
      <c r="Y52" t="s">
        <v>386</v>
      </c>
      <c r="Z52">
        <v>31793112000</v>
      </c>
      <c r="AA52">
        <v>10386376</v>
      </c>
      <c r="AB52" t="b">
        <v>0</v>
      </c>
      <c r="AC52">
        <v>0.92</v>
      </c>
    </row>
    <row r="53" spans="1:29" hidden="1" x14ac:dyDescent="0.2">
      <c r="A53" t="b">
        <v>1</v>
      </c>
      <c r="B53" t="b">
        <v>0</v>
      </c>
      <c r="C53" t="b">
        <v>1</v>
      </c>
      <c r="D53" t="b">
        <v>0</v>
      </c>
      <c r="E53" t="b">
        <v>0</v>
      </c>
      <c r="F53" t="s">
        <v>361</v>
      </c>
      <c r="G53" t="s">
        <v>559</v>
      </c>
      <c r="H53" t="s">
        <v>1418</v>
      </c>
      <c r="I53">
        <v>0</v>
      </c>
      <c r="J53">
        <v>0</v>
      </c>
      <c r="K53" t="s">
        <v>1416</v>
      </c>
      <c r="L53" t="s">
        <v>1419</v>
      </c>
      <c r="M53" t="s">
        <v>2063</v>
      </c>
      <c r="N53" t="s">
        <v>441</v>
      </c>
      <c r="Q53" t="s">
        <v>2031</v>
      </c>
      <c r="R53" t="s">
        <v>2032</v>
      </c>
      <c r="S53" t="s">
        <v>257</v>
      </c>
      <c r="T53" s="1">
        <v>43669</v>
      </c>
      <c r="U53" s="1">
        <v>43920</v>
      </c>
      <c r="V53" t="s">
        <v>260</v>
      </c>
      <c r="W53">
        <v>15500000</v>
      </c>
      <c r="X53">
        <v>15500000</v>
      </c>
      <c r="Y53" t="s">
        <v>260</v>
      </c>
      <c r="Z53">
        <v>15500000</v>
      </c>
      <c r="AA53">
        <v>2984385</v>
      </c>
      <c r="AB53" t="b">
        <v>1</v>
      </c>
      <c r="AC53">
        <v>0.1</v>
      </c>
    </row>
    <row r="54" spans="1:29" hidden="1" x14ac:dyDescent="0.2">
      <c r="A54" t="b">
        <v>1</v>
      </c>
      <c r="B54" t="b">
        <v>0</v>
      </c>
      <c r="C54" t="b">
        <v>1</v>
      </c>
      <c r="D54" t="b">
        <v>0</v>
      </c>
      <c r="E54" t="b">
        <v>0</v>
      </c>
      <c r="F54" t="s">
        <v>361</v>
      </c>
      <c r="G54" t="s">
        <v>559</v>
      </c>
      <c r="H54" t="s">
        <v>1418</v>
      </c>
      <c r="I54">
        <v>0</v>
      </c>
      <c r="J54">
        <v>0</v>
      </c>
      <c r="K54" t="s">
        <v>1416</v>
      </c>
      <c r="L54" t="s">
        <v>1419</v>
      </c>
      <c r="M54" t="s">
        <v>2064</v>
      </c>
      <c r="N54" t="s">
        <v>441</v>
      </c>
      <c r="Q54" t="s">
        <v>1989</v>
      </c>
      <c r="R54" t="s">
        <v>2032</v>
      </c>
      <c r="S54" t="s">
        <v>257</v>
      </c>
      <c r="T54" s="1">
        <v>43669</v>
      </c>
      <c r="U54" s="1">
        <v>43920</v>
      </c>
      <c r="V54" t="s">
        <v>260</v>
      </c>
      <c r="W54">
        <v>15500000</v>
      </c>
      <c r="X54">
        <v>15500000</v>
      </c>
      <c r="Y54" t="s">
        <v>260</v>
      </c>
      <c r="Z54">
        <v>15500000</v>
      </c>
      <c r="AA54">
        <v>2984385</v>
      </c>
      <c r="AB54" t="b">
        <v>1</v>
      </c>
      <c r="AC54">
        <v>0.1</v>
      </c>
    </row>
    <row r="55" spans="1:29" hidden="1" x14ac:dyDescent="0.2">
      <c r="A55" t="e">
        <v>#N/A</v>
      </c>
      <c r="B55" t="e">
        <v>#N/A</v>
      </c>
      <c r="C55" t="e">
        <v>#N/A</v>
      </c>
      <c r="D55" t="e">
        <v>#N/A</v>
      </c>
      <c r="E55" t="e">
        <v>#N/A</v>
      </c>
      <c r="F55" t="e">
        <v>#N/A</v>
      </c>
      <c r="G55" t="e">
        <v>#N/A</v>
      </c>
      <c r="H55" t="e">
        <v>#N/A</v>
      </c>
      <c r="I55" t="e">
        <v>#N/A</v>
      </c>
      <c r="J55" t="e">
        <v>#N/A</v>
      </c>
      <c r="K55" t="s">
        <v>2139</v>
      </c>
      <c r="L55" t="s">
        <v>2140</v>
      </c>
      <c r="M55" t="s">
        <v>1985</v>
      </c>
      <c r="N55" t="s">
        <v>2024</v>
      </c>
      <c r="Q55" t="s">
        <v>2025</v>
      </c>
      <c r="R55" t="s">
        <v>2033</v>
      </c>
      <c r="S55" t="s">
        <v>384</v>
      </c>
      <c r="T55" s="1">
        <v>42709</v>
      </c>
      <c r="U55" s="1">
        <v>42709</v>
      </c>
      <c r="V55" t="s">
        <v>386</v>
      </c>
      <c r="W55">
        <v>24829038000</v>
      </c>
      <c r="X55">
        <v>24829038000</v>
      </c>
      <c r="Y55" t="s">
        <v>386</v>
      </c>
      <c r="Z55">
        <v>24829038000</v>
      </c>
      <c r="AA55">
        <v>8111308</v>
      </c>
      <c r="AB55" t="b">
        <v>0</v>
      </c>
      <c r="AC55">
        <v>0.92</v>
      </c>
    </row>
    <row r="56" spans="1:29" hidden="1" x14ac:dyDescent="0.2">
      <c r="A56" t="e">
        <v>#N/A</v>
      </c>
      <c r="B56" t="e">
        <v>#N/A</v>
      </c>
      <c r="C56" t="e">
        <v>#N/A</v>
      </c>
      <c r="D56" t="e">
        <v>#N/A</v>
      </c>
      <c r="E56" t="e">
        <v>#N/A</v>
      </c>
      <c r="F56" t="e">
        <v>#N/A</v>
      </c>
      <c r="G56" t="e">
        <v>#N/A</v>
      </c>
      <c r="H56" t="e">
        <v>#N/A</v>
      </c>
      <c r="I56" t="e">
        <v>#N/A</v>
      </c>
      <c r="J56" t="e">
        <v>#N/A</v>
      </c>
      <c r="K56" t="s">
        <v>2139</v>
      </c>
      <c r="L56" t="s">
        <v>2140</v>
      </c>
      <c r="M56" t="s">
        <v>1950</v>
      </c>
      <c r="N56" t="s">
        <v>1958</v>
      </c>
      <c r="Q56" t="s">
        <v>2025</v>
      </c>
      <c r="R56" t="s">
        <v>2033</v>
      </c>
      <c r="S56" t="s">
        <v>384</v>
      </c>
      <c r="T56" s="1">
        <v>42709</v>
      </c>
      <c r="U56" s="1">
        <v>42709</v>
      </c>
      <c r="V56" t="s">
        <v>386</v>
      </c>
      <c r="W56">
        <v>24829038000</v>
      </c>
      <c r="X56">
        <v>24829038000</v>
      </c>
      <c r="Y56" t="s">
        <v>386</v>
      </c>
      <c r="Z56">
        <v>24829038000</v>
      </c>
      <c r="AA56">
        <v>8111308</v>
      </c>
      <c r="AB56" t="b">
        <v>0</v>
      </c>
      <c r="AC56">
        <v>0.92</v>
      </c>
    </row>
    <row r="57" spans="1:29" hidden="1" x14ac:dyDescent="0.2">
      <c r="A57" t="e">
        <v>#N/A</v>
      </c>
      <c r="B57" t="e">
        <v>#N/A</v>
      </c>
      <c r="C57" t="e">
        <v>#N/A</v>
      </c>
      <c r="D57" t="e">
        <v>#N/A</v>
      </c>
      <c r="E57" t="e">
        <v>#N/A</v>
      </c>
      <c r="F57" t="e">
        <v>#N/A</v>
      </c>
      <c r="G57" t="e">
        <v>#N/A</v>
      </c>
      <c r="H57" t="e">
        <v>#N/A</v>
      </c>
      <c r="I57" t="e">
        <v>#N/A</v>
      </c>
      <c r="J57" t="e">
        <v>#N/A</v>
      </c>
      <c r="K57" t="s">
        <v>2139</v>
      </c>
      <c r="L57" t="s">
        <v>2140</v>
      </c>
      <c r="M57" t="s">
        <v>2063</v>
      </c>
      <c r="N57" t="s">
        <v>441</v>
      </c>
      <c r="Q57" t="s">
        <v>1987</v>
      </c>
      <c r="R57" t="s">
        <v>2034</v>
      </c>
      <c r="S57" t="s">
        <v>384</v>
      </c>
      <c r="T57" s="1">
        <v>43299</v>
      </c>
      <c r="U57" s="1">
        <v>43299</v>
      </c>
      <c r="V57" t="s">
        <v>386</v>
      </c>
      <c r="W57">
        <v>86848745982</v>
      </c>
      <c r="X57">
        <v>86848745982</v>
      </c>
      <c r="Y57" t="s">
        <v>386</v>
      </c>
      <c r="Z57">
        <v>86848745982</v>
      </c>
      <c r="AA57">
        <v>30173835</v>
      </c>
      <c r="AB57" t="b">
        <v>1</v>
      </c>
      <c r="AC57">
        <v>0.98</v>
      </c>
    </row>
    <row r="58" spans="1:29" hidden="1" x14ac:dyDescent="0.2">
      <c r="A58" t="e">
        <v>#N/A</v>
      </c>
      <c r="B58" t="e">
        <v>#N/A</v>
      </c>
      <c r="C58" t="e">
        <v>#N/A</v>
      </c>
      <c r="D58" t="e">
        <v>#N/A</v>
      </c>
      <c r="E58" t="e">
        <v>#N/A</v>
      </c>
      <c r="F58" t="e">
        <v>#N/A</v>
      </c>
      <c r="G58" t="e">
        <v>#N/A</v>
      </c>
      <c r="H58" t="e">
        <v>#N/A</v>
      </c>
      <c r="I58" t="e">
        <v>#N/A</v>
      </c>
      <c r="J58" t="e">
        <v>#N/A</v>
      </c>
      <c r="K58" t="s">
        <v>2139</v>
      </c>
      <c r="L58" t="s">
        <v>2140</v>
      </c>
      <c r="M58" t="s">
        <v>2064</v>
      </c>
      <c r="N58" t="s">
        <v>441</v>
      </c>
      <c r="Q58" t="s">
        <v>1989</v>
      </c>
      <c r="R58" t="s">
        <v>2034</v>
      </c>
      <c r="S58" t="s">
        <v>384</v>
      </c>
      <c r="T58" s="1">
        <v>43299</v>
      </c>
      <c r="U58" s="1">
        <v>43299</v>
      </c>
      <c r="V58" t="s">
        <v>386</v>
      </c>
      <c r="W58">
        <v>86848745982</v>
      </c>
      <c r="X58">
        <v>86848745982</v>
      </c>
      <c r="Y58" t="s">
        <v>386</v>
      </c>
      <c r="Z58">
        <v>86848745982</v>
      </c>
      <c r="AA58">
        <v>30173835</v>
      </c>
      <c r="AB58" t="b">
        <v>1</v>
      </c>
      <c r="AC58">
        <v>0.98</v>
      </c>
    </row>
    <row r="59" spans="1:29" x14ac:dyDescent="0.2">
      <c r="A59" t="b">
        <v>1</v>
      </c>
      <c r="B59" t="b">
        <v>0</v>
      </c>
      <c r="C59" t="b">
        <v>1</v>
      </c>
      <c r="D59" t="s">
        <v>522</v>
      </c>
      <c r="E59" t="b">
        <v>0</v>
      </c>
      <c r="F59" t="b">
        <v>0</v>
      </c>
      <c r="G59" t="s">
        <v>1846</v>
      </c>
      <c r="H59" t="s">
        <v>1842</v>
      </c>
      <c r="I59" t="s">
        <v>1843</v>
      </c>
      <c r="J59">
        <v>0</v>
      </c>
      <c r="K59" t="s">
        <v>1840</v>
      </c>
      <c r="L59" t="s">
        <v>1844</v>
      </c>
      <c r="M59" t="s">
        <v>1950</v>
      </c>
      <c r="N59" t="s">
        <v>1960</v>
      </c>
      <c r="Q59" t="s">
        <v>1987</v>
      </c>
      <c r="R59" t="s">
        <v>2035</v>
      </c>
      <c r="S59" t="s">
        <v>384</v>
      </c>
      <c r="T59" s="1">
        <v>43299</v>
      </c>
      <c r="U59" s="1">
        <v>43299</v>
      </c>
      <c r="V59" t="s">
        <v>386</v>
      </c>
      <c r="W59">
        <v>86323785852</v>
      </c>
      <c r="X59">
        <v>86323785852</v>
      </c>
      <c r="Y59" t="s">
        <v>386</v>
      </c>
      <c r="Z59">
        <v>86323785852</v>
      </c>
      <c r="AA59">
        <v>29991448</v>
      </c>
      <c r="AB59" t="b">
        <v>1</v>
      </c>
      <c r="AC59">
        <v>0.98</v>
      </c>
    </row>
    <row r="60" spans="1:29" hidden="1" x14ac:dyDescent="0.2">
      <c r="A60" t="b">
        <v>1</v>
      </c>
      <c r="B60" t="b">
        <v>0</v>
      </c>
      <c r="C60" t="b">
        <v>1</v>
      </c>
      <c r="D60" t="s">
        <v>522</v>
      </c>
      <c r="E60" t="b">
        <v>0</v>
      </c>
      <c r="F60" t="b">
        <v>0</v>
      </c>
      <c r="G60" t="s">
        <v>1846</v>
      </c>
      <c r="H60" t="s">
        <v>1842</v>
      </c>
      <c r="I60" t="s">
        <v>1843</v>
      </c>
      <c r="J60">
        <v>0</v>
      </c>
      <c r="K60" t="s">
        <v>1840</v>
      </c>
      <c r="L60" t="s">
        <v>1844</v>
      </c>
      <c r="M60" t="s">
        <v>2063</v>
      </c>
      <c r="N60" t="s">
        <v>441</v>
      </c>
      <c r="Q60" t="s">
        <v>2036</v>
      </c>
      <c r="R60" t="s">
        <v>2035</v>
      </c>
      <c r="S60" t="s">
        <v>384</v>
      </c>
      <c r="T60" s="1">
        <v>43299</v>
      </c>
      <c r="U60" s="1">
        <v>43299</v>
      </c>
      <c r="V60" t="s">
        <v>386</v>
      </c>
      <c r="W60">
        <v>86323785852</v>
      </c>
      <c r="X60">
        <v>86323785852</v>
      </c>
      <c r="Y60" t="s">
        <v>386</v>
      </c>
      <c r="Z60">
        <v>86323785852</v>
      </c>
      <c r="AA60">
        <v>29991448</v>
      </c>
      <c r="AB60" t="b">
        <v>1</v>
      </c>
      <c r="AC60">
        <v>0.98</v>
      </c>
    </row>
    <row r="61" spans="1:29" hidden="1" x14ac:dyDescent="0.2">
      <c r="A61" t="b">
        <v>1</v>
      </c>
      <c r="B61" t="b">
        <v>0</v>
      </c>
      <c r="C61" t="b">
        <v>1</v>
      </c>
      <c r="D61" t="s">
        <v>522</v>
      </c>
      <c r="E61" t="b">
        <v>0</v>
      </c>
      <c r="F61" t="b">
        <v>0</v>
      </c>
      <c r="G61" t="s">
        <v>1846</v>
      </c>
      <c r="H61" t="s">
        <v>1842</v>
      </c>
      <c r="I61" t="s">
        <v>1843</v>
      </c>
      <c r="J61">
        <v>0</v>
      </c>
      <c r="K61" t="s">
        <v>1840</v>
      </c>
      <c r="L61" t="s">
        <v>1844</v>
      </c>
      <c r="M61" t="s">
        <v>2064</v>
      </c>
      <c r="N61" t="s">
        <v>441</v>
      </c>
      <c r="Q61" t="s">
        <v>2001</v>
      </c>
      <c r="R61" t="s">
        <v>2037</v>
      </c>
      <c r="S61" t="s">
        <v>384</v>
      </c>
      <c r="T61" s="1">
        <v>43299</v>
      </c>
      <c r="U61" s="1">
        <v>43299</v>
      </c>
      <c r="V61" t="s">
        <v>386</v>
      </c>
      <c r="W61">
        <v>33178172623</v>
      </c>
      <c r="X61">
        <v>33178172623</v>
      </c>
      <c r="Y61" t="s">
        <v>386</v>
      </c>
      <c r="Z61">
        <v>33178172623</v>
      </c>
      <c r="AA61">
        <v>11527083</v>
      </c>
      <c r="AB61" t="b">
        <v>1</v>
      </c>
      <c r="AC61">
        <v>0.98</v>
      </c>
    </row>
    <row r="62" spans="1:29" hidden="1" x14ac:dyDescent="0.2">
      <c r="A62" t="b">
        <v>1</v>
      </c>
      <c r="B62" t="b">
        <v>0</v>
      </c>
      <c r="C62" t="b">
        <v>1</v>
      </c>
      <c r="D62" t="s">
        <v>522</v>
      </c>
      <c r="E62" t="b">
        <v>0</v>
      </c>
      <c r="F62" t="b">
        <v>0</v>
      </c>
      <c r="G62" t="s">
        <v>809</v>
      </c>
      <c r="H62" t="s">
        <v>146</v>
      </c>
      <c r="I62" t="s">
        <v>805</v>
      </c>
      <c r="J62">
        <v>0</v>
      </c>
      <c r="K62" t="s">
        <v>803</v>
      </c>
      <c r="L62" t="s">
        <v>806</v>
      </c>
      <c r="M62" t="s">
        <v>1985</v>
      </c>
      <c r="N62" t="s">
        <v>1994</v>
      </c>
      <c r="Q62" t="s">
        <v>2031</v>
      </c>
      <c r="R62" t="s">
        <v>2038</v>
      </c>
      <c r="S62" t="s">
        <v>257</v>
      </c>
      <c r="T62" s="1">
        <v>43669</v>
      </c>
      <c r="U62" s="1">
        <v>43920</v>
      </c>
      <c r="V62" t="s">
        <v>260</v>
      </c>
      <c r="W62">
        <v>15500000</v>
      </c>
      <c r="X62">
        <v>15500000</v>
      </c>
      <c r="Y62" t="s">
        <v>260</v>
      </c>
      <c r="Z62">
        <v>15500000</v>
      </c>
      <c r="AA62">
        <v>2984385</v>
      </c>
      <c r="AB62" t="b">
        <v>1</v>
      </c>
      <c r="AC62">
        <v>0.1</v>
      </c>
    </row>
    <row r="63" spans="1:29" x14ac:dyDescent="0.2">
      <c r="A63" t="b">
        <v>1</v>
      </c>
      <c r="B63" t="b">
        <v>0</v>
      </c>
      <c r="C63" t="b">
        <v>1</v>
      </c>
      <c r="D63" t="s">
        <v>522</v>
      </c>
      <c r="E63" t="b">
        <v>0</v>
      </c>
      <c r="F63" t="b">
        <v>0</v>
      </c>
      <c r="G63" t="s">
        <v>809</v>
      </c>
      <c r="H63" t="s">
        <v>146</v>
      </c>
      <c r="I63" t="s">
        <v>805</v>
      </c>
      <c r="J63">
        <v>0</v>
      </c>
      <c r="K63" t="s">
        <v>803</v>
      </c>
      <c r="L63" t="s">
        <v>806</v>
      </c>
      <c r="M63" t="s">
        <v>1950</v>
      </c>
      <c r="N63" t="s">
        <v>1956</v>
      </c>
      <c r="Q63" t="s">
        <v>1989</v>
      </c>
      <c r="R63" t="s">
        <v>2038</v>
      </c>
      <c r="S63" t="s">
        <v>257</v>
      </c>
      <c r="T63" s="1">
        <v>43669</v>
      </c>
      <c r="U63" s="1">
        <v>43920</v>
      </c>
      <c r="V63" t="s">
        <v>260</v>
      </c>
      <c r="W63">
        <v>15500000</v>
      </c>
      <c r="X63">
        <v>15500000</v>
      </c>
      <c r="Y63" t="s">
        <v>260</v>
      </c>
      <c r="Z63">
        <v>15500000</v>
      </c>
      <c r="AA63">
        <v>2984385</v>
      </c>
      <c r="AB63" t="b">
        <v>1</v>
      </c>
      <c r="AC63">
        <v>0.1</v>
      </c>
    </row>
    <row r="64" spans="1:29" hidden="1" x14ac:dyDescent="0.2">
      <c r="A64" t="b">
        <v>1</v>
      </c>
      <c r="B64" t="b">
        <v>0</v>
      </c>
      <c r="C64" t="b">
        <v>1</v>
      </c>
      <c r="D64" t="s">
        <v>522</v>
      </c>
      <c r="E64" t="b">
        <v>0</v>
      </c>
      <c r="F64" t="b">
        <v>0</v>
      </c>
      <c r="G64" t="s">
        <v>809</v>
      </c>
      <c r="H64" t="s">
        <v>146</v>
      </c>
      <c r="I64" t="s">
        <v>805</v>
      </c>
      <c r="J64">
        <v>0</v>
      </c>
      <c r="K64" t="s">
        <v>803</v>
      </c>
      <c r="L64" t="s">
        <v>806</v>
      </c>
      <c r="M64" t="s">
        <v>2063</v>
      </c>
      <c r="N64" t="s">
        <v>441</v>
      </c>
      <c r="Q64" t="s">
        <v>2039</v>
      </c>
      <c r="R64" t="s">
        <v>2037</v>
      </c>
      <c r="S64" t="s">
        <v>384</v>
      </c>
      <c r="T64" s="1">
        <v>43299</v>
      </c>
      <c r="U64" s="1">
        <v>43299</v>
      </c>
      <c r="V64" t="s">
        <v>386</v>
      </c>
      <c r="W64">
        <v>33178172623</v>
      </c>
      <c r="X64">
        <v>33178172623</v>
      </c>
      <c r="Y64" t="s">
        <v>386</v>
      </c>
      <c r="Z64">
        <v>33178172623</v>
      </c>
      <c r="AA64">
        <v>11527083</v>
      </c>
      <c r="AB64" t="b">
        <v>1</v>
      </c>
      <c r="AC64">
        <v>0.98</v>
      </c>
    </row>
    <row r="65" spans="1:29" hidden="1" x14ac:dyDescent="0.2">
      <c r="A65" t="b">
        <v>1</v>
      </c>
      <c r="B65" t="b">
        <v>0</v>
      </c>
      <c r="C65" t="b">
        <v>1</v>
      </c>
      <c r="D65" t="s">
        <v>522</v>
      </c>
      <c r="E65" t="b">
        <v>0</v>
      </c>
      <c r="F65" t="b">
        <v>0</v>
      </c>
      <c r="G65" t="s">
        <v>809</v>
      </c>
      <c r="H65" t="s">
        <v>146</v>
      </c>
      <c r="I65" t="s">
        <v>805</v>
      </c>
      <c r="J65">
        <v>0</v>
      </c>
      <c r="K65" t="s">
        <v>803</v>
      </c>
      <c r="L65" t="s">
        <v>806</v>
      </c>
      <c r="M65" t="s">
        <v>2064</v>
      </c>
      <c r="N65" t="s">
        <v>441</v>
      </c>
      <c r="Q65" t="s">
        <v>2040</v>
      </c>
      <c r="R65" t="s">
        <v>2041</v>
      </c>
      <c r="S65" t="s">
        <v>384</v>
      </c>
      <c r="T65" s="1">
        <v>43299</v>
      </c>
      <c r="U65" s="1">
        <v>43299</v>
      </c>
      <c r="V65" t="s">
        <v>386</v>
      </c>
      <c r="W65">
        <v>3415400123</v>
      </c>
      <c r="X65">
        <v>3415400123</v>
      </c>
      <c r="Y65" t="s">
        <v>386</v>
      </c>
      <c r="Z65">
        <v>3415400123</v>
      </c>
      <c r="AA65">
        <v>1186611</v>
      </c>
      <c r="AB65" t="b">
        <v>1</v>
      </c>
      <c r="AC65">
        <v>0.98</v>
      </c>
    </row>
    <row r="66" spans="1:29" hidden="1" x14ac:dyDescent="0.2">
      <c r="A66" t="b">
        <v>1</v>
      </c>
      <c r="B66" t="b">
        <v>0</v>
      </c>
      <c r="C66" t="b">
        <v>1</v>
      </c>
      <c r="D66" t="s">
        <v>522</v>
      </c>
      <c r="E66" t="b">
        <v>0</v>
      </c>
      <c r="F66" t="b">
        <v>0</v>
      </c>
      <c r="G66" t="s">
        <v>809</v>
      </c>
      <c r="H66" t="s">
        <v>146</v>
      </c>
      <c r="I66" t="s">
        <v>805</v>
      </c>
      <c r="J66">
        <v>0</v>
      </c>
      <c r="K66" t="s">
        <v>803</v>
      </c>
      <c r="L66" t="s">
        <v>806</v>
      </c>
      <c r="M66" t="s">
        <v>1985</v>
      </c>
      <c r="N66" t="s">
        <v>2145</v>
      </c>
      <c r="Q66" t="s">
        <v>1989</v>
      </c>
      <c r="R66" t="s">
        <v>2041</v>
      </c>
      <c r="S66" t="s">
        <v>384</v>
      </c>
      <c r="T66" s="1">
        <v>43299</v>
      </c>
      <c r="U66" s="1">
        <v>43299</v>
      </c>
      <c r="V66" t="s">
        <v>386</v>
      </c>
      <c r="W66">
        <v>3415400123</v>
      </c>
      <c r="X66">
        <v>3415400123</v>
      </c>
      <c r="Y66" t="s">
        <v>386</v>
      </c>
      <c r="Z66">
        <v>3415400123</v>
      </c>
      <c r="AA66">
        <v>1186611</v>
      </c>
      <c r="AB66" t="b">
        <v>1</v>
      </c>
      <c r="AC66">
        <v>0.98</v>
      </c>
    </row>
    <row r="67" spans="1:29" x14ac:dyDescent="0.2">
      <c r="A67" t="b">
        <v>1</v>
      </c>
      <c r="B67" t="b">
        <v>0</v>
      </c>
      <c r="C67" t="b">
        <v>1</v>
      </c>
      <c r="D67" t="s">
        <v>522</v>
      </c>
      <c r="E67" t="b">
        <v>0</v>
      </c>
      <c r="F67" t="b">
        <v>0</v>
      </c>
      <c r="G67" t="s">
        <v>809</v>
      </c>
      <c r="H67" t="s">
        <v>146</v>
      </c>
      <c r="I67" t="s">
        <v>805</v>
      </c>
      <c r="J67">
        <v>0</v>
      </c>
      <c r="K67" t="s">
        <v>803</v>
      </c>
      <c r="L67" t="s">
        <v>806</v>
      </c>
      <c r="M67" t="s">
        <v>1950</v>
      </c>
      <c r="N67" t="s">
        <v>1960</v>
      </c>
      <c r="Q67" t="s">
        <v>2031</v>
      </c>
      <c r="R67" t="s">
        <v>2042</v>
      </c>
      <c r="S67" t="s">
        <v>257</v>
      </c>
      <c r="T67" s="1">
        <v>43669</v>
      </c>
      <c r="U67" s="1">
        <v>43920</v>
      </c>
      <c r="V67" t="s">
        <v>260</v>
      </c>
      <c r="W67">
        <v>6200000</v>
      </c>
      <c r="X67">
        <v>6200000</v>
      </c>
      <c r="Y67" t="s">
        <v>260</v>
      </c>
      <c r="Z67">
        <v>6200000</v>
      </c>
      <c r="AA67">
        <v>1193754</v>
      </c>
      <c r="AB67" t="b">
        <v>1</v>
      </c>
      <c r="AC67">
        <v>0.04</v>
      </c>
    </row>
    <row r="68" spans="1:29" hidden="1" x14ac:dyDescent="0.2">
      <c r="A68" t="b">
        <v>1</v>
      </c>
      <c r="B68" t="b">
        <v>0</v>
      </c>
      <c r="C68" t="b">
        <v>1</v>
      </c>
      <c r="D68" t="s">
        <v>522</v>
      </c>
      <c r="E68" t="b">
        <v>0</v>
      </c>
      <c r="F68" t="b">
        <v>0</v>
      </c>
      <c r="G68" t="s">
        <v>1846</v>
      </c>
      <c r="H68" t="s">
        <v>1842</v>
      </c>
      <c r="I68" t="s">
        <v>1843</v>
      </c>
      <c r="J68">
        <v>0</v>
      </c>
      <c r="K68" t="s">
        <v>1840</v>
      </c>
      <c r="L68" t="s">
        <v>1844</v>
      </c>
      <c r="M68" t="s">
        <v>1985</v>
      </c>
      <c r="N68" t="s">
        <v>2074</v>
      </c>
      <c r="Q68" t="s">
        <v>1989</v>
      </c>
      <c r="R68" t="s">
        <v>2042</v>
      </c>
      <c r="S68" t="s">
        <v>257</v>
      </c>
      <c r="T68" s="1">
        <v>43669</v>
      </c>
      <c r="U68" s="1">
        <v>43920</v>
      </c>
      <c r="V68" t="s">
        <v>260</v>
      </c>
      <c r="W68">
        <v>6200000</v>
      </c>
      <c r="X68">
        <v>6200000</v>
      </c>
      <c r="Y68" t="s">
        <v>260</v>
      </c>
      <c r="Z68">
        <v>6200000</v>
      </c>
      <c r="AA68">
        <v>1193754</v>
      </c>
      <c r="AB68" t="b">
        <v>1</v>
      </c>
      <c r="AC68">
        <v>0.04</v>
      </c>
    </row>
    <row r="69" spans="1:29" x14ac:dyDescent="0.2">
      <c r="A69" t="b">
        <v>1</v>
      </c>
      <c r="B69" t="b">
        <v>0</v>
      </c>
      <c r="C69" t="b">
        <v>1</v>
      </c>
      <c r="D69" t="s">
        <v>522</v>
      </c>
      <c r="E69" t="b">
        <v>0</v>
      </c>
      <c r="F69" t="b">
        <v>0</v>
      </c>
      <c r="G69" t="s">
        <v>1846</v>
      </c>
      <c r="H69" t="s">
        <v>1842</v>
      </c>
      <c r="I69" t="s">
        <v>1843</v>
      </c>
      <c r="J69">
        <v>0</v>
      </c>
      <c r="K69" t="s">
        <v>1840</v>
      </c>
      <c r="L69" t="s">
        <v>1844</v>
      </c>
      <c r="M69" t="s">
        <v>1950</v>
      </c>
      <c r="N69" t="s">
        <v>1961</v>
      </c>
      <c r="Q69" t="s">
        <v>2043</v>
      </c>
      <c r="R69" t="s">
        <v>2044</v>
      </c>
      <c r="S69" t="s">
        <v>384</v>
      </c>
      <c r="T69" s="1">
        <v>43299</v>
      </c>
      <c r="U69" s="1">
        <v>43299</v>
      </c>
      <c r="V69" t="s">
        <v>386</v>
      </c>
      <c r="W69">
        <v>41643485785</v>
      </c>
      <c r="X69">
        <v>41643485785</v>
      </c>
      <c r="Y69" t="s">
        <v>386</v>
      </c>
      <c r="Z69">
        <v>41643485785</v>
      </c>
      <c r="AA69">
        <v>14468184</v>
      </c>
      <c r="AB69" t="b">
        <v>1</v>
      </c>
      <c r="AC69">
        <v>0.98</v>
      </c>
    </row>
    <row r="70" spans="1:29" hidden="1" x14ac:dyDescent="0.2">
      <c r="A70" t="e">
        <v>#N/A</v>
      </c>
      <c r="B70" t="e">
        <v>#N/A</v>
      </c>
      <c r="C70" t="e">
        <v>#N/A</v>
      </c>
      <c r="D70" t="e">
        <v>#N/A</v>
      </c>
      <c r="E70" t="e">
        <v>#N/A</v>
      </c>
      <c r="F70" t="e">
        <v>#N/A</v>
      </c>
      <c r="G70" t="e">
        <v>#N/A</v>
      </c>
      <c r="H70" t="e">
        <v>#N/A</v>
      </c>
      <c r="I70" t="e">
        <v>#N/A</v>
      </c>
      <c r="J70" t="e">
        <v>#N/A</v>
      </c>
      <c r="K70" t="s">
        <v>2139</v>
      </c>
      <c r="L70" t="s">
        <v>2140</v>
      </c>
      <c r="M70" t="s">
        <v>1985</v>
      </c>
      <c r="N70" t="s">
        <v>2145</v>
      </c>
      <c r="Q70" t="s">
        <v>2043</v>
      </c>
      <c r="R70" t="s">
        <v>2044</v>
      </c>
      <c r="S70" t="s">
        <v>384</v>
      </c>
      <c r="T70" s="1">
        <v>43299</v>
      </c>
      <c r="U70" s="1">
        <v>43299</v>
      </c>
      <c r="V70" t="s">
        <v>386</v>
      </c>
      <c r="W70">
        <v>41643485785</v>
      </c>
      <c r="X70">
        <v>41643485785</v>
      </c>
      <c r="Y70" t="s">
        <v>386</v>
      </c>
      <c r="Z70">
        <v>41643485785</v>
      </c>
      <c r="AA70">
        <v>14468184</v>
      </c>
      <c r="AB70" t="b">
        <v>1</v>
      </c>
      <c r="AC70">
        <v>0.98</v>
      </c>
    </row>
    <row r="71" spans="1:29" hidden="1" x14ac:dyDescent="0.2">
      <c r="A71" t="e">
        <v>#N/A</v>
      </c>
      <c r="B71" t="e">
        <v>#N/A</v>
      </c>
      <c r="C71" t="e">
        <v>#N/A</v>
      </c>
      <c r="D71" t="e">
        <v>#N/A</v>
      </c>
      <c r="E71" t="e">
        <v>#N/A</v>
      </c>
      <c r="F71" t="e">
        <v>#N/A</v>
      </c>
      <c r="G71" t="e">
        <v>#N/A</v>
      </c>
      <c r="H71" t="e">
        <v>#N/A</v>
      </c>
      <c r="I71" t="e">
        <v>#N/A</v>
      </c>
      <c r="J71" t="e">
        <v>#N/A</v>
      </c>
      <c r="K71" t="s">
        <v>2139</v>
      </c>
      <c r="L71" t="s">
        <v>2140</v>
      </c>
      <c r="M71" t="s">
        <v>1950</v>
      </c>
      <c r="N71" t="s">
        <v>1962</v>
      </c>
      <c r="Q71" t="s">
        <v>2043</v>
      </c>
      <c r="R71" t="s">
        <v>2045</v>
      </c>
      <c r="S71" t="s">
        <v>384</v>
      </c>
      <c r="T71" s="1">
        <v>43299</v>
      </c>
      <c r="U71" s="1">
        <v>43299</v>
      </c>
      <c r="V71" t="s">
        <v>386</v>
      </c>
      <c r="W71">
        <v>19315551438</v>
      </c>
      <c r="X71">
        <v>19315551438</v>
      </c>
      <c r="Y71" t="s">
        <v>386</v>
      </c>
      <c r="Z71">
        <v>19315551438</v>
      </c>
      <c r="AA71">
        <v>6710796</v>
      </c>
      <c r="AB71" t="b">
        <v>1</v>
      </c>
      <c r="AC71">
        <v>0.98</v>
      </c>
    </row>
    <row r="72" spans="1:29" hidden="1" x14ac:dyDescent="0.2">
      <c r="A72" t="b">
        <v>1</v>
      </c>
      <c r="B72" t="b">
        <v>0</v>
      </c>
      <c r="C72" t="b">
        <v>1</v>
      </c>
      <c r="D72" t="s">
        <v>522</v>
      </c>
      <c r="E72" t="b">
        <v>0</v>
      </c>
      <c r="F72" t="b">
        <v>0</v>
      </c>
      <c r="G72" t="s">
        <v>1316</v>
      </c>
      <c r="H72" t="s">
        <v>72</v>
      </c>
      <c r="I72" t="s">
        <v>1314</v>
      </c>
      <c r="J72">
        <v>0</v>
      </c>
      <c r="K72" t="s">
        <v>1312</v>
      </c>
      <c r="L72" t="s">
        <v>1315</v>
      </c>
      <c r="M72" t="s">
        <v>1985</v>
      </c>
      <c r="N72" t="s">
        <v>1994</v>
      </c>
      <c r="Q72" t="s">
        <v>2043</v>
      </c>
      <c r="R72" t="s">
        <v>2045</v>
      </c>
      <c r="S72" t="s">
        <v>384</v>
      </c>
      <c r="T72" s="1">
        <v>43299</v>
      </c>
      <c r="U72" s="1">
        <v>43299</v>
      </c>
      <c r="V72" t="s">
        <v>386</v>
      </c>
      <c r="W72">
        <v>19315551438</v>
      </c>
      <c r="X72">
        <v>19315551438</v>
      </c>
      <c r="Y72" t="s">
        <v>386</v>
      </c>
      <c r="Z72">
        <v>19315551438</v>
      </c>
      <c r="AA72">
        <v>6710796</v>
      </c>
      <c r="AB72" t="b">
        <v>1</v>
      </c>
      <c r="AC72">
        <v>0.98</v>
      </c>
    </row>
    <row r="73" spans="1:29" x14ac:dyDescent="0.2">
      <c r="A73" t="b">
        <v>1</v>
      </c>
      <c r="B73" t="b">
        <v>0</v>
      </c>
      <c r="C73" t="b">
        <v>1</v>
      </c>
      <c r="D73" t="s">
        <v>522</v>
      </c>
      <c r="E73" t="b">
        <v>0</v>
      </c>
      <c r="F73" t="b">
        <v>0</v>
      </c>
      <c r="G73" t="s">
        <v>1316</v>
      </c>
      <c r="H73" t="s">
        <v>72</v>
      </c>
      <c r="I73" t="s">
        <v>1314</v>
      </c>
      <c r="J73">
        <v>0</v>
      </c>
      <c r="K73" t="s">
        <v>1312</v>
      </c>
      <c r="L73" t="s">
        <v>1315</v>
      </c>
      <c r="M73" t="s">
        <v>1950</v>
      </c>
      <c r="N73" t="s">
        <v>1956</v>
      </c>
      <c r="Q73" t="s">
        <v>2043</v>
      </c>
      <c r="R73" t="s">
        <v>2046</v>
      </c>
      <c r="S73" t="s">
        <v>384</v>
      </c>
      <c r="T73" s="1">
        <v>43299</v>
      </c>
      <c r="U73" s="1">
        <v>43299</v>
      </c>
      <c r="V73" t="s">
        <v>386</v>
      </c>
      <c r="W73">
        <v>29274858197</v>
      </c>
      <c r="X73">
        <v>29274858197</v>
      </c>
      <c r="Y73" t="s">
        <v>386</v>
      </c>
      <c r="Z73">
        <v>29274858197</v>
      </c>
      <c r="AA73">
        <v>10170956</v>
      </c>
      <c r="AB73" t="b">
        <v>1</v>
      </c>
      <c r="AC73">
        <v>0.98</v>
      </c>
    </row>
    <row r="74" spans="1:29" hidden="1" x14ac:dyDescent="0.2">
      <c r="A74" t="b">
        <v>1</v>
      </c>
      <c r="B74" t="b">
        <v>0</v>
      </c>
      <c r="C74" t="b">
        <v>1</v>
      </c>
      <c r="D74" t="s">
        <v>522</v>
      </c>
      <c r="E74" t="b">
        <v>0</v>
      </c>
      <c r="F74" t="b">
        <v>0</v>
      </c>
      <c r="G74" t="s">
        <v>1369</v>
      </c>
      <c r="H74">
        <v>0</v>
      </c>
      <c r="I74">
        <v>0</v>
      </c>
      <c r="J74" t="s">
        <v>1366</v>
      </c>
      <c r="K74" t="s">
        <v>1364</v>
      </c>
      <c r="L74" t="s">
        <v>1367</v>
      </c>
      <c r="M74" t="s">
        <v>1985</v>
      </c>
      <c r="N74" t="s">
        <v>1946</v>
      </c>
      <c r="Q74" t="s">
        <v>2043</v>
      </c>
      <c r="R74" t="s">
        <v>2046</v>
      </c>
      <c r="S74" t="s">
        <v>384</v>
      </c>
      <c r="T74" s="1">
        <v>43299</v>
      </c>
      <c r="U74" s="1">
        <v>43299</v>
      </c>
      <c r="V74" t="s">
        <v>386</v>
      </c>
      <c r="W74">
        <v>29274858197</v>
      </c>
      <c r="X74">
        <v>29274858197</v>
      </c>
      <c r="Y74" t="s">
        <v>386</v>
      </c>
      <c r="Z74">
        <v>29274858197</v>
      </c>
      <c r="AA74">
        <v>10170956</v>
      </c>
      <c r="AB74" t="b">
        <v>1</v>
      </c>
      <c r="AC74">
        <v>0.98</v>
      </c>
    </row>
    <row r="75" spans="1:29" x14ac:dyDescent="0.2">
      <c r="A75" t="b">
        <v>1</v>
      </c>
      <c r="B75" t="b">
        <v>0</v>
      </c>
      <c r="C75" t="b">
        <v>1</v>
      </c>
      <c r="D75" t="s">
        <v>522</v>
      </c>
      <c r="E75" t="b">
        <v>0</v>
      </c>
      <c r="F75" t="b">
        <v>0</v>
      </c>
      <c r="G75" t="s">
        <v>1369</v>
      </c>
      <c r="H75">
        <v>0</v>
      </c>
      <c r="I75">
        <v>0</v>
      </c>
      <c r="J75" t="s">
        <v>1366</v>
      </c>
      <c r="K75" t="s">
        <v>1364</v>
      </c>
      <c r="L75" t="s">
        <v>1367</v>
      </c>
      <c r="M75" t="s">
        <v>1950</v>
      </c>
      <c r="N75" t="s">
        <v>1946</v>
      </c>
      <c r="Q75" t="s">
        <v>2043</v>
      </c>
      <c r="R75" t="s">
        <v>2047</v>
      </c>
      <c r="S75" t="s">
        <v>384</v>
      </c>
      <c r="T75" s="1">
        <v>43665</v>
      </c>
      <c r="U75" s="1">
        <v>43665</v>
      </c>
      <c r="V75" t="s">
        <v>386</v>
      </c>
      <c r="W75">
        <v>30000000000</v>
      </c>
      <c r="X75">
        <v>30000000000</v>
      </c>
      <c r="Y75" t="s">
        <v>386</v>
      </c>
      <c r="Z75">
        <v>30000000000</v>
      </c>
      <c r="AA75">
        <v>9425041</v>
      </c>
      <c r="AB75" t="b">
        <v>1</v>
      </c>
      <c r="AC75">
        <v>0.97</v>
      </c>
    </row>
    <row r="76" spans="1:29" hidden="1" x14ac:dyDescent="0.2">
      <c r="A76" t="e">
        <v>#N/A</v>
      </c>
      <c r="B76" t="e">
        <v>#N/A</v>
      </c>
      <c r="C76" t="e">
        <v>#N/A</v>
      </c>
      <c r="D76" t="e">
        <v>#N/A</v>
      </c>
      <c r="E76" t="e">
        <v>#N/A</v>
      </c>
      <c r="F76" t="e">
        <v>#N/A</v>
      </c>
      <c r="G76" t="e">
        <v>#N/A</v>
      </c>
      <c r="H76" t="e">
        <v>#N/A</v>
      </c>
      <c r="I76" t="e">
        <v>#N/A</v>
      </c>
      <c r="J76" t="e">
        <v>#N/A</v>
      </c>
      <c r="K76" t="s">
        <v>2139</v>
      </c>
      <c r="L76" t="s">
        <v>2140</v>
      </c>
      <c r="M76" t="s">
        <v>1985</v>
      </c>
      <c r="N76" t="s">
        <v>2170</v>
      </c>
      <c r="Q76" t="s">
        <v>2043</v>
      </c>
      <c r="R76" t="s">
        <v>2047</v>
      </c>
      <c r="S76" t="s">
        <v>384</v>
      </c>
      <c r="T76" s="1">
        <v>43665</v>
      </c>
      <c r="U76" s="1">
        <v>43665</v>
      </c>
      <c r="V76" t="s">
        <v>386</v>
      </c>
      <c r="W76">
        <v>30000000000</v>
      </c>
      <c r="X76">
        <v>30000000000</v>
      </c>
      <c r="Y76" t="s">
        <v>386</v>
      </c>
      <c r="Z76">
        <v>30000000000</v>
      </c>
      <c r="AA76">
        <v>9425041</v>
      </c>
      <c r="AB76" t="b">
        <v>1</v>
      </c>
      <c r="AC76">
        <v>0.97</v>
      </c>
    </row>
    <row r="77" spans="1:29" hidden="1" x14ac:dyDescent="0.2">
      <c r="A77" t="b">
        <v>1</v>
      </c>
      <c r="B77" t="b">
        <v>0</v>
      </c>
      <c r="C77" t="b">
        <v>1</v>
      </c>
      <c r="D77" t="s">
        <v>522</v>
      </c>
      <c r="E77" t="b">
        <v>0</v>
      </c>
      <c r="F77" t="b">
        <v>0</v>
      </c>
      <c r="G77" t="s">
        <v>1846</v>
      </c>
      <c r="H77" t="s">
        <v>1842</v>
      </c>
      <c r="I77" t="s">
        <v>1843</v>
      </c>
      <c r="J77">
        <v>0</v>
      </c>
      <c r="K77" t="s">
        <v>1840</v>
      </c>
      <c r="L77" t="s">
        <v>1844</v>
      </c>
      <c r="M77" t="s">
        <v>1985</v>
      </c>
      <c r="N77" t="s">
        <v>2017</v>
      </c>
      <c r="Q77" t="s">
        <v>2043</v>
      </c>
      <c r="R77" t="s">
        <v>2048</v>
      </c>
      <c r="S77" t="s">
        <v>384</v>
      </c>
      <c r="T77" s="1">
        <v>43665</v>
      </c>
      <c r="U77" s="1">
        <v>43665</v>
      </c>
      <c r="V77" t="s">
        <v>386</v>
      </c>
      <c r="W77">
        <v>17400000000</v>
      </c>
      <c r="X77">
        <v>17400000000</v>
      </c>
      <c r="Y77" t="s">
        <v>386</v>
      </c>
      <c r="Z77">
        <v>17400000000</v>
      </c>
      <c r="AA77">
        <v>5466524</v>
      </c>
      <c r="AB77" t="b">
        <v>1</v>
      </c>
      <c r="AC77">
        <v>0.97</v>
      </c>
    </row>
    <row r="78" spans="1:29" hidden="1" x14ac:dyDescent="0.2">
      <c r="A78" t="b">
        <v>1</v>
      </c>
      <c r="B78" t="b">
        <v>0</v>
      </c>
      <c r="C78" t="b">
        <v>1</v>
      </c>
      <c r="D78" t="s">
        <v>248</v>
      </c>
      <c r="E78" t="b">
        <v>0</v>
      </c>
      <c r="F78" t="b">
        <v>0</v>
      </c>
      <c r="G78">
        <v>0</v>
      </c>
      <c r="H78" t="s">
        <v>959</v>
      </c>
      <c r="I78" t="s">
        <v>960</v>
      </c>
      <c r="J78">
        <v>0</v>
      </c>
      <c r="K78" t="s">
        <v>957</v>
      </c>
      <c r="L78" t="s">
        <v>961</v>
      </c>
      <c r="M78" t="s">
        <v>1985</v>
      </c>
      <c r="N78" t="s">
        <v>1986</v>
      </c>
      <c r="Q78" t="s">
        <v>2043</v>
      </c>
      <c r="R78" t="s">
        <v>2048</v>
      </c>
      <c r="S78" t="s">
        <v>384</v>
      </c>
      <c r="T78" s="1">
        <v>43665</v>
      </c>
      <c r="U78" s="1">
        <v>43665</v>
      </c>
      <c r="V78" t="s">
        <v>386</v>
      </c>
      <c r="W78">
        <v>17400000000</v>
      </c>
      <c r="X78">
        <v>17400000000</v>
      </c>
      <c r="Y78" t="s">
        <v>386</v>
      </c>
      <c r="Z78">
        <v>17400000000</v>
      </c>
      <c r="AA78">
        <v>5466524</v>
      </c>
      <c r="AB78" t="b">
        <v>1</v>
      </c>
      <c r="AC78">
        <v>0.97</v>
      </c>
    </row>
    <row r="79" spans="1:29" hidden="1" x14ac:dyDescent="0.2">
      <c r="A79" t="b">
        <v>1</v>
      </c>
      <c r="B79" t="b">
        <v>0</v>
      </c>
      <c r="C79" t="b">
        <v>1</v>
      </c>
      <c r="D79" t="s">
        <v>248</v>
      </c>
      <c r="E79" t="b">
        <v>0</v>
      </c>
      <c r="F79" t="b">
        <v>0</v>
      </c>
      <c r="G79">
        <v>0</v>
      </c>
      <c r="H79" t="s">
        <v>959</v>
      </c>
      <c r="I79" t="s">
        <v>960</v>
      </c>
      <c r="J79">
        <v>0</v>
      </c>
      <c r="K79" t="s">
        <v>957</v>
      </c>
      <c r="L79" t="s">
        <v>961</v>
      </c>
      <c r="M79" t="s">
        <v>1950</v>
      </c>
      <c r="N79" t="s">
        <v>1955</v>
      </c>
      <c r="Q79" t="s">
        <v>2043</v>
      </c>
      <c r="R79" t="s">
        <v>2049</v>
      </c>
      <c r="S79" t="s">
        <v>384</v>
      </c>
      <c r="T79" s="1">
        <v>43665</v>
      </c>
      <c r="U79" s="1">
        <v>43665</v>
      </c>
      <c r="V79" t="s">
        <v>386</v>
      </c>
      <c r="W79">
        <v>30000000000</v>
      </c>
      <c r="X79">
        <v>30000000000</v>
      </c>
      <c r="Y79" t="s">
        <v>386</v>
      </c>
      <c r="Z79">
        <v>30000000000</v>
      </c>
      <c r="AA79">
        <v>9425041</v>
      </c>
      <c r="AB79" t="b">
        <v>1</v>
      </c>
      <c r="AC79">
        <v>0.97</v>
      </c>
    </row>
    <row r="80" spans="1:29" hidden="1" x14ac:dyDescent="0.2">
      <c r="A80" t="b">
        <v>1</v>
      </c>
      <c r="B80" t="b">
        <v>0</v>
      </c>
      <c r="C80" t="b">
        <v>0</v>
      </c>
      <c r="D80" t="b">
        <v>0</v>
      </c>
      <c r="E80" t="b">
        <v>0</v>
      </c>
      <c r="F80" t="b">
        <v>1</v>
      </c>
      <c r="G80">
        <v>0</v>
      </c>
      <c r="H80" t="s">
        <v>186</v>
      </c>
      <c r="I80" t="s">
        <v>1225</v>
      </c>
      <c r="J80" t="s">
        <v>1227</v>
      </c>
      <c r="K80" t="s">
        <v>1223</v>
      </c>
      <c r="L80" t="s">
        <v>1228</v>
      </c>
      <c r="M80" t="s">
        <v>1985</v>
      </c>
      <c r="N80" t="s">
        <v>1994</v>
      </c>
      <c r="Q80" t="s">
        <v>2043</v>
      </c>
      <c r="R80" t="s">
        <v>2049</v>
      </c>
      <c r="S80" t="s">
        <v>384</v>
      </c>
      <c r="T80" s="1">
        <v>43665</v>
      </c>
      <c r="U80" s="1">
        <v>43665</v>
      </c>
      <c r="V80" t="s">
        <v>386</v>
      </c>
      <c r="W80">
        <v>30000000000</v>
      </c>
      <c r="X80">
        <v>30000000000</v>
      </c>
      <c r="Y80" t="s">
        <v>386</v>
      </c>
      <c r="Z80">
        <v>30000000000</v>
      </c>
      <c r="AA80">
        <v>9425041</v>
      </c>
      <c r="AB80" t="b">
        <v>1</v>
      </c>
      <c r="AC80">
        <v>0.97</v>
      </c>
    </row>
    <row r="81" spans="1:29" hidden="1" x14ac:dyDescent="0.2">
      <c r="A81" t="b">
        <v>1</v>
      </c>
      <c r="B81" t="b">
        <v>0</v>
      </c>
      <c r="C81" t="b">
        <v>0</v>
      </c>
      <c r="D81" t="b">
        <v>0</v>
      </c>
      <c r="E81" t="b">
        <v>0</v>
      </c>
      <c r="F81" t="b">
        <v>1</v>
      </c>
      <c r="G81">
        <v>0</v>
      </c>
      <c r="H81" t="s">
        <v>186</v>
      </c>
      <c r="I81" t="s">
        <v>1225</v>
      </c>
      <c r="J81" t="s">
        <v>1227</v>
      </c>
      <c r="K81" t="s">
        <v>1223</v>
      </c>
      <c r="L81" t="s">
        <v>1228</v>
      </c>
      <c r="M81" t="s">
        <v>1950</v>
      </c>
      <c r="N81" t="s">
        <v>1956</v>
      </c>
      <c r="Q81" t="s">
        <v>2025</v>
      </c>
      <c r="R81" t="s">
        <v>2050</v>
      </c>
      <c r="S81" t="s">
        <v>384</v>
      </c>
      <c r="T81" s="1">
        <v>43665</v>
      </c>
      <c r="U81" s="1">
        <v>43665</v>
      </c>
      <c r="V81" t="s">
        <v>386</v>
      </c>
      <c r="W81">
        <v>30000000000</v>
      </c>
      <c r="X81">
        <v>30000000000</v>
      </c>
      <c r="Y81" t="s">
        <v>386</v>
      </c>
      <c r="Z81">
        <v>30000000000</v>
      </c>
      <c r="AA81">
        <v>9425041</v>
      </c>
      <c r="AB81" t="b">
        <v>1</v>
      </c>
      <c r="AC81">
        <v>0.97</v>
      </c>
    </row>
    <row r="82" spans="1:29" hidden="1" x14ac:dyDescent="0.2">
      <c r="A82" t="b">
        <v>1</v>
      </c>
      <c r="B82" t="b">
        <v>0</v>
      </c>
      <c r="C82" t="b">
        <v>1</v>
      </c>
      <c r="D82" t="s">
        <v>522</v>
      </c>
      <c r="E82" t="b">
        <v>0</v>
      </c>
      <c r="F82" t="b">
        <v>0</v>
      </c>
      <c r="G82" t="s">
        <v>816</v>
      </c>
      <c r="H82" t="s">
        <v>206</v>
      </c>
      <c r="I82">
        <v>0</v>
      </c>
      <c r="J82">
        <v>0</v>
      </c>
      <c r="K82" t="s">
        <v>813</v>
      </c>
      <c r="L82" t="s">
        <v>815</v>
      </c>
      <c r="M82" t="s">
        <v>1985</v>
      </c>
      <c r="N82" t="s">
        <v>1994</v>
      </c>
      <c r="Q82" t="s">
        <v>2025</v>
      </c>
      <c r="R82" t="s">
        <v>2050</v>
      </c>
      <c r="S82" t="s">
        <v>384</v>
      </c>
      <c r="T82" s="1">
        <v>43665</v>
      </c>
      <c r="U82" s="1">
        <v>43665</v>
      </c>
      <c r="V82" t="s">
        <v>386</v>
      </c>
      <c r="W82">
        <v>30000000000</v>
      </c>
      <c r="X82">
        <v>30000000000</v>
      </c>
      <c r="Y82" t="s">
        <v>386</v>
      </c>
      <c r="Z82">
        <v>30000000000</v>
      </c>
      <c r="AA82">
        <v>9425041</v>
      </c>
      <c r="AB82" t="b">
        <v>1</v>
      </c>
      <c r="AC82">
        <v>0.97</v>
      </c>
    </row>
    <row r="83" spans="1:29" x14ac:dyDescent="0.2">
      <c r="A83" t="b">
        <v>1</v>
      </c>
      <c r="B83" t="b">
        <v>0</v>
      </c>
      <c r="C83" t="b">
        <v>1</v>
      </c>
      <c r="D83" t="s">
        <v>522</v>
      </c>
      <c r="E83" t="b">
        <v>0</v>
      </c>
      <c r="F83" t="b">
        <v>0</v>
      </c>
      <c r="G83" t="s">
        <v>816</v>
      </c>
      <c r="H83" t="s">
        <v>206</v>
      </c>
      <c r="I83">
        <v>0</v>
      </c>
      <c r="J83">
        <v>0</v>
      </c>
      <c r="K83" t="s">
        <v>813</v>
      </c>
      <c r="L83" t="s">
        <v>815</v>
      </c>
      <c r="M83" t="s">
        <v>1950</v>
      </c>
      <c r="N83" t="s">
        <v>1956</v>
      </c>
      <c r="Q83" t="s">
        <v>2025</v>
      </c>
      <c r="R83" t="s">
        <v>2051</v>
      </c>
      <c r="S83" t="s">
        <v>384</v>
      </c>
      <c r="T83" s="1">
        <v>43665</v>
      </c>
      <c r="U83" s="1">
        <v>43665</v>
      </c>
      <c r="V83" t="s">
        <v>386</v>
      </c>
      <c r="W83">
        <v>23145000000</v>
      </c>
      <c r="X83">
        <v>23145000000</v>
      </c>
      <c r="Y83" t="s">
        <v>386</v>
      </c>
      <c r="Z83">
        <v>23145000000</v>
      </c>
      <c r="AA83">
        <v>7271419</v>
      </c>
      <c r="AB83" t="b">
        <v>1</v>
      </c>
      <c r="AC83">
        <v>0.97</v>
      </c>
    </row>
    <row r="84" spans="1:29" hidden="1" x14ac:dyDescent="0.2">
      <c r="A84" t="b">
        <v>1</v>
      </c>
      <c r="B84" t="b">
        <v>0</v>
      </c>
      <c r="C84" t="b">
        <v>0</v>
      </c>
      <c r="D84" t="b">
        <v>0</v>
      </c>
      <c r="E84" t="b">
        <v>0</v>
      </c>
      <c r="F84" t="b">
        <v>1</v>
      </c>
      <c r="G84">
        <v>0</v>
      </c>
      <c r="H84" t="s">
        <v>186</v>
      </c>
      <c r="I84" t="s">
        <v>1225</v>
      </c>
      <c r="J84" t="s">
        <v>1227</v>
      </c>
      <c r="K84" t="s">
        <v>1223</v>
      </c>
      <c r="L84" t="s">
        <v>1228</v>
      </c>
      <c r="M84" t="s">
        <v>1985</v>
      </c>
      <c r="N84" t="s">
        <v>2017</v>
      </c>
      <c r="Q84" t="s">
        <v>2025</v>
      </c>
      <c r="R84" t="s">
        <v>2051</v>
      </c>
      <c r="S84" t="s">
        <v>384</v>
      </c>
      <c r="T84" s="1">
        <v>43665</v>
      </c>
      <c r="U84" s="1">
        <v>43665</v>
      </c>
      <c r="V84" t="s">
        <v>386</v>
      </c>
      <c r="W84">
        <v>23145000000</v>
      </c>
      <c r="X84">
        <v>23145000000</v>
      </c>
      <c r="Y84" t="s">
        <v>386</v>
      </c>
      <c r="Z84">
        <v>23145000000</v>
      </c>
      <c r="AA84">
        <v>7271419</v>
      </c>
      <c r="AB84" t="b">
        <v>1</v>
      </c>
      <c r="AC84">
        <v>0.97</v>
      </c>
    </row>
    <row r="85" spans="1:29" hidden="1" x14ac:dyDescent="0.2">
      <c r="A85" t="b">
        <v>1</v>
      </c>
      <c r="B85" t="b">
        <v>0</v>
      </c>
      <c r="C85" t="b">
        <v>0</v>
      </c>
      <c r="D85" t="b">
        <v>0</v>
      </c>
      <c r="E85" t="b">
        <v>0</v>
      </c>
      <c r="F85" t="b">
        <v>1</v>
      </c>
      <c r="G85">
        <v>0</v>
      </c>
      <c r="H85" t="s">
        <v>186</v>
      </c>
      <c r="I85" t="s">
        <v>1225</v>
      </c>
      <c r="J85" t="s">
        <v>1227</v>
      </c>
      <c r="K85" t="s">
        <v>1223</v>
      </c>
      <c r="L85" t="s">
        <v>1228</v>
      </c>
      <c r="M85" t="s">
        <v>1950</v>
      </c>
      <c r="N85" t="s">
        <v>1957</v>
      </c>
      <c r="Q85" t="s">
        <v>2043</v>
      </c>
      <c r="R85" t="s">
        <v>2052</v>
      </c>
      <c r="S85" t="s">
        <v>384</v>
      </c>
      <c r="T85" s="1">
        <v>43665</v>
      </c>
      <c r="U85" s="1">
        <v>43665</v>
      </c>
      <c r="V85" t="s">
        <v>386</v>
      </c>
      <c r="W85">
        <v>19090000000</v>
      </c>
      <c r="X85">
        <v>19090000000</v>
      </c>
      <c r="Y85" t="s">
        <v>386</v>
      </c>
      <c r="Z85">
        <v>19090000000</v>
      </c>
      <c r="AA85">
        <v>5997468</v>
      </c>
      <c r="AB85" t="b">
        <v>1</v>
      </c>
      <c r="AC85">
        <v>0.97</v>
      </c>
    </row>
    <row r="86" spans="1:29" hidden="1" x14ac:dyDescent="0.2">
      <c r="A86" t="b">
        <v>1</v>
      </c>
      <c r="B86" t="b">
        <v>0</v>
      </c>
      <c r="C86" t="b">
        <v>1</v>
      </c>
      <c r="D86" t="s">
        <v>248</v>
      </c>
      <c r="E86" t="b">
        <v>0</v>
      </c>
      <c r="F86" t="b">
        <v>0</v>
      </c>
      <c r="G86">
        <v>0</v>
      </c>
      <c r="H86" t="s">
        <v>1889</v>
      </c>
      <c r="I86">
        <v>0</v>
      </c>
      <c r="J86">
        <v>0</v>
      </c>
      <c r="K86" t="s">
        <v>1887</v>
      </c>
      <c r="L86" t="s">
        <v>1891</v>
      </c>
      <c r="M86" t="s">
        <v>1985</v>
      </c>
      <c r="N86" t="s">
        <v>2024</v>
      </c>
      <c r="Q86" t="s">
        <v>2043</v>
      </c>
      <c r="R86" t="s">
        <v>2052</v>
      </c>
      <c r="S86" t="s">
        <v>384</v>
      </c>
      <c r="T86" s="1">
        <v>43665</v>
      </c>
      <c r="U86" s="1">
        <v>43665</v>
      </c>
      <c r="V86" t="s">
        <v>386</v>
      </c>
      <c r="W86">
        <v>19090000000</v>
      </c>
      <c r="X86">
        <v>19090000000</v>
      </c>
      <c r="Y86" t="s">
        <v>386</v>
      </c>
      <c r="Z86">
        <v>19090000000</v>
      </c>
      <c r="AA86">
        <v>5997468</v>
      </c>
      <c r="AB86" t="b">
        <v>1</v>
      </c>
      <c r="AC86">
        <v>0.97</v>
      </c>
    </row>
    <row r="87" spans="1:29" hidden="1" x14ac:dyDescent="0.2">
      <c r="A87" t="b">
        <v>1</v>
      </c>
      <c r="B87" t="b">
        <v>0</v>
      </c>
      <c r="C87" t="b">
        <v>1</v>
      </c>
      <c r="D87" t="s">
        <v>248</v>
      </c>
      <c r="E87" t="b">
        <v>0</v>
      </c>
      <c r="F87" t="b">
        <v>0</v>
      </c>
      <c r="G87">
        <v>0</v>
      </c>
      <c r="H87" t="s">
        <v>1889</v>
      </c>
      <c r="I87">
        <v>0</v>
      </c>
      <c r="J87">
        <v>0</v>
      </c>
      <c r="K87" t="s">
        <v>1887</v>
      </c>
      <c r="L87" t="s">
        <v>1891</v>
      </c>
      <c r="M87" t="s">
        <v>1950</v>
      </c>
      <c r="N87" t="s">
        <v>1959</v>
      </c>
      <c r="Q87" t="s">
        <v>2043</v>
      </c>
      <c r="R87" t="s">
        <v>2053</v>
      </c>
      <c r="S87" t="s">
        <v>384</v>
      </c>
      <c r="T87" s="1">
        <v>43665</v>
      </c>
      <c r="U87" s="1">
        <v>43665</v>
      </c>
      <c r="V87" t="s">
        <v>386</v>
      </c>
      <c r="W87">
        <v>30000000000</v>
      </c>
      <c r="X87">
        <v>30000000000</v>
      </c>
      <c r="Y87" t="s">
        <v>386</v>
      </c>
      <c r="Z87">
        <v>30000000000</v>
      </c>
      <c r="AA87">
        <v>9425041</v>
      </c>
      <c r="AB87" t="b">
        <v>1</v>
      </c>
      <c r="AC87">
        <v>0.97</v>
      </c>
    </row>
    <row r="88" spans="1:29" hidden="1" x14ac:dyDescent="0.2">
      <c r="A88" t="b">
        <v>1</v>
      </c>
      <c r="B88" t="b">
        <v>0</v>
      </c>
      <c r="C88" t="b">
        <v>1</v>
      </c>
      <c r="D88" t="s">
        <v>248</v>
      </c>
      <c r="E88" t="b">
        <v>0</v>
      </c>
      <c r="F88" t="b">
        <v>0</v>
      </c>
      <c r="G88">
        <v>0</v>
      </c>
      <c r="H88" t="s">
        <v>1889</v>
      </c>
      <c r="I88">
        <v>0</v>
      </c>
      <c r="J88">
        <v>0</v>
      </c>
      <c r="K88" t="s">
        <v>1887</v>
      </c>
      <c r="L88" t="s">
        <v>1891</v>
      </c>
      <c r="M88" t="s">
        <v>1985</v>
      </c>
      <c r="N88" t="s">
        <v>1994</v>
      </c>
      <c r="Q88" t="s">
        <v>2043</v>
      </c>
      <c r="R88" t="s">
        <v>2053</v>
      </c>
      <c r="S88" t="s">
        <v>384</v>
      </c>
      <c r="T88" s="1">
        <v>43665</v>
      </c>
      <c r="U88" s="1">
        <v>43665</v>
      </c>
      <c r="V88" t="s">
        <v>386</v>
      </c>
      <c r="W88">
        <v>30000000000</v>
      </c>
      <c r="X88">
        <v>30000000000</v>
      </c>
      <c r="Y88" t="s">
        <v>386</v>
      </c>
      <c r="Z88">
        <v>30000000000</v>
      </c>
      <c r="AA88">
        <v>9425041</v>
      </c>
      <c r="AB88" t="b">
        <v>1</v>
      </c>
      <c r="AC88">
        <v>0.97</v>
      </c>
    </row>
    <row r="89" spans="1:29" hidden="1" x14ac:dyDescent="0.2">
      <c r="A89" t="b">
        <v>1</v>
      </c>
      <c r="B89" t="b">
        <v>0</v>
      </c>
      <c r="C89" t="b">
        <v>1</v>
      </c>
      <c r="D89" t="s">
        <v>248</v>
      </c>
      <c r="E89" t="b">
        <v>0</v>
      </c>
      <c r="F89" t="b">
        <v>0</v>
      </c>
      <c r="G89">
        <v>0</v>
      </c>
      <c r="H89" t="s">
        <v>1889</v>
      </c>
      <c r="I89">
        <v>0</v>
      </c>
      <c r="J89">
        <v>0</v>
      </c>
      <c r="K89" t="s">
        <v>1887</v>
      </c>
      <c r="L89" t="s">
        <v>1891</v>
      </c>
      <c r="M89" t="s">
        <v>1950</v>
      </c>
      <c r="N89" t="s">
        <v>1956</v>
      </c>
      <c r="Q89" t="s">
        <v>2043</v>
      </c>
      <c r="R89" t="s">
        <v>2054</v>
      </c>
      <c r="S89" t="s">
        <v>384</v>
      </c>
      <c r="T89" s="1">
        <v>43665</v>
      </c>
      <c r="U89" s="1">
        <v>43665</v>
      </c>
      <c r="V89" t="s">
        <v>386</v>
      </c>
      <c r="W89">
        <v>30000000000</v>
      </c>
      <c r="X89">
        <v>30000000000</v>
      </c>
      <c r="Y89" t="s">
        <v>386</v>
      </c>
      <c r="Z89">
        <v>30000000000</v>
      </c>
      <c r="AA89">
        <v>9425041</v>
      </c>
      <c r="AB89" t="b">
        <v>1</v>
      </c>
      <c r="AC89">
        <v>0.97</v>
      </c>
    </row>
    <row r="90" spans="1:29" hidden="1" x14ac:dyDescent="0.2">
      <c r="A90" t="b">
        <v>1</v>
      </c>
      <c r="B90" t="b">
        <v>0</v>
      </c>
      <c r="C90" t="b">
        <v>1</v>
      </c>
      <c r="D90" t="s">
        <v>248</v>
      </c>
      <c r="E90" t="b">
        <v>0</v>
      </c>
      <c r="F90" t="b">
        <v>0</v>
      </c>
      <c r="G90">
        <v>0</v>
      </c>
      <c r="H90" t="s">
        <v>1889</v>
      </c>
      <c r="I90">
        <v>0</v>
      </c>
      <c r="J90">
        <v>0</v>
      </c>
      <c r="K90" t="s">
        <v>1887</v>
      </c>
      <c r="L90" t="s">
        <v>1891</v>
      </c>
      <c r="M90" t="s">
        <v>1985</v>
      </c>
      <c r="N90" t="s">
        <v>2074</v>
      </c>
      <c r="Q90" t="s">
        <v>2043</v>
      </c>
      <c r="R90" t="s">
        <v>2054</v>
      </c>
      <c r="S90" t="s">
        <v>384</v>
      </c>
      <c r="T90" s="1">
        <v>43665</v>
      </c>
      <c r="U90" s="1">
        <v>43665</v>
      </c>
      <c r="V90" t="s">
        <v>386</v>
      </c>
      <c r="W90">
        <v>30000000000</v>
      </c>
      <c r="X90">
        <v>30000000000</v>
      </c>
      <c r="Y90" t="s">
        <v>386</v>
      </c>
      <c r="Z90">
        <v>30000000000</v>
      </c>
      <c r="AA90">
        <v>9425041</v>
      </c>
      <c r="AB90" t="b">
        <v>1</v>
      </c>
      <c r="AC90">
        <v>0.97</v>
      </c>
    </row>
    <row r="91" spans="1:29" hidden="1" x14ac:dyDescent="0.2">
      <c r="A91" t="b">
        <v>1</v>
      </c>
      <c r="B91" t="b">
        <v>0</v>
      </c>
      <c r="C91" t="b">
        <v>1</v>
      </c>
      <c r="D91" t="s">
        <v>248</v>
      </c>
      <c r="E91" t="b">
        <v>0</v>
      </c>
      <c r="F91" t="b">
        <v>0</v>
      </c>
      <c r="G91">
        <v>0</v>
      </c>
      <c r="H91" t="s">
        <v>1889</v>
      </c>
      <c r="I91">
        <v>0</v>
      </c>
      <c r="J91">
        <v>0</v>
      </c>
      <c r="K91" t="s">
        <v>1887</v>
      </c>
      <c r="L91" t="s">
        <v>1891</v>
      </c>
      <c r="M91" t="s">
        <v>1950</v>
      </c>
      <c r="N91" t="s">
        <v>1961</v>
      </c>
      <c r="Q91" t="s">
        <v>2025</v>
      </c>
      <c r="R91" t="s">
        <v>2055</v>
      </c>
      <c r="S91" t="s">
        <v>384</v>
      </c>
      <c r="T91" s="1">
        <v>43665</v>
      </c>
      <c r="U91" s="1">
        <v>43665</v>
      </c>
      <c r="V91" t="s">
        <v>386</v>
      </c>
      <c r="W91">
        <v>20000000000</v>
      </c>
      <c r="X91">
        <v>20000000000</v>
      </c>
      <c r="Y91" t="s">
        <v>386</v>
      </c>
      <c r="Z91">
        <v>20000000000</v>
      </c>
      <c r="AA91">
        <v>6283361</v>
      </c>
      <c r="AB91" t="b">
        <v>1</v>
      </c>
      <c r="AC91">
        <v>0.97</v>
      </c>
    </row>
    <row r="92" spans="1:29" hidden="1" x14ac:dyDescent="0.2">
      <c r="A92" t="e">
        <v>#N/A</v>
      </c>
      <c r="B92" t="e">
        <v>#N/A</v>
      </c>
      <c r="C92" t="e">
        <v>#N/A</v>
      </c>
      <c r="D92" t="e">
        <v>#N/A</v>
      </c>
      <c r="E92" t="e">
        <v>#N/A</v>
      </c>
      <c r="F92" t="e">
        <v>#N/A</v>
      </c>
      <c r="G92" t="e">
        <v>#N/A</v>
      </c>
      <c r="H92" t="e">
        <v>#N/A</v>
      </c>
      <c r="I92" t="e">
        <v>#N/A</v>
      </c>
      <c r="J92" t="e">
        <v>#N/A</v>
      </c>
      <c r="K92" t="s">
        <v>2232</v>
      </c>
      <c r="L92" t="s">
        <v>2233</v>
      </c>
      <c r="M92" t="s">
        <v>1985</v>
      </c>
      <c r="N92" t="s">
        <v>2024</v>
      </c>
      <c r="Q92" t="s">
        <v>2025</v>
      </c>
      <c r="R92" t="s">
        <v>2055</v>
      </c>
      <c r="S92" t="s">
        <v>384</v>
      </c>
      <c r="T92" s="1">
        <v>43665</v>
      </c>
      <c r="U92" s="1">
        <v>43665</v>
      </c>
      <c r="V92" t="s">
        <v>386</v>
      </c>
      <c r="W92">
        <v>20000000000</v>
      </c>
      <c r="X92">
        <v>20000000000</v>
      </c>
      <c r="Y92" t="s">
        <v>386</v>
      </c>
      <c r="Z92">
        <v>20000000000</v>
      </c>
      <c r="AA92">
        <v>6283361</v>
      </c>
      <c r="AB92" t="b">
        <v>1</v>
      </c>
      <c r="AC92">
        <v>0.97</v>
      </c>
    </row>
    <row r="93" spans="1:29" hidden="1" x14ac:dyDescent="0.2">
      <c r="A93" t="e">
        <v>#N/A</v>
      </c>
      <c r="B93" t="e">
        <v>#N/A</v>
      </c>
      <c r="C93" t="e">
        <v>#N/A</v>
      </c>
      <c r="D93" t="e">
        <v>#N/A</v>
      </c>
      <c r="E93" t="e">
        <v>#N/A</v>
      </c>
      <c r="F93" t="e">
        <v>#N/A</v>
      </c>
      <c r="G93" t="e">
        <v>#N/A</v>
      </c>
      <c r="H93" t="e">
        <v>#N/A</v>
      </c>
      <c r="I93" t="e">
        <v>#N/A</v>
      </c>
      <c r="J93" t="e">
        <v>#N/A</v>
      </c>
      <c r="K93" t="s">
        <v>2232</v>
      </c>
      <c r="L93" t="s">
        <v>2233</v>
      </c>
      <c r="M93" t="s">
        <v>1950</v>
      </c>
      <c r="N93" t="s">
        <v>1958</v>
      </c>
      <c r="Q93" t="s">
        <v>2025</v>
      </c>
      <c r="R93" t="s">
        <v>2056</v>
      </c>
      <c r="S93" t="s">
        <v>384</v>
      </c>
      <c r="T93" s="1">
        <v>43665</v>
      </c>
      <c r="U93" s="1">
        <v>43665</v>
      </c>
      <c r="V93" t="s">
        <v>386</v>
      </c>
      <c r="W93">
        <v>20000000000</v>
      </c>
      <c r="X93">
        <v>20000000000</v>
      </c>
      <c r="Y93" t="s">
        <v>386</v>
      </c>
      <c r="Z93">
        <v>20000000000</v>
      </c>
      <c r="AA93">
        <v>6283361</v>
      </c>
      <c r="AB93" t="b">
        <v>1</v>
      </c>
      <c r="AC93">
        <v>0.97</v>
      </c>
    </row>
    <row r="94" spans="1:29" hidden="1" x14ac:dyDescent="0.2">
      <c r="A94" t="e">
        <v>#N/A</v>
      </c>
      <c r="B94" t="e">
        <v>#N/A</v>
      </c>
      <c r="C94" t="e">
        <v>#N/A</v>
      </c>
      <c r="D94" t="e">
        <v>#N/A</v>
      </c>
      <c r="E94" t="e">
        <v>#N/A</v>
      </c>
      <c r="F94" t="e">
        <v>#N/A</v>
      </c>
      <c r="G94" t="e">
        <v>#N/A</v>
      </c>
      <c r="H94" t="e">
        <v>#N/A</v>
      </c>
      <c r="I94" t="e">
        <v>#N/A</v>
      </c>
      <c r="J94" t="e">
        <v>#N/A</v>
      </c>
      <c r="K94" t="s">
        <v>2232</v>
      </c>
      <c r="L94" t="s">
        <v>2233</v>
      </c>
      <c r="M94" t="s">
        <v>2063</v>
      </c>
      <c r="N94" t="s">
        <v>441</v>
      </c>
      <c r="Q94" t="s">
        <v>2025</v>
      </c>
      <c r="R94" t="s">
        <v>2056</v>
      </c>
      <c r="S94" t="s">
        <v>384</v>
      </c>
      <c r="T94" s="1">
        <v>43665</v>
      </c>
      <c r="U94" s="1">
        <v>43665</v>
      </c>
      <c r="V94" t="s">
        <v>386</v>
      </c>
      <c r="W94">
        <v>20000000000</v>
      </c>
      <c r="X94">
        <v>20000000000</v>
      </c>
      <c r="Y94" t="s">
        <v>386</v>
      </c>
      <c r="Z94">
        <v>20000000000</v>
      </c>
      <c r="AA94">
        <v>6283361</v>
      </c>
      <c r="AB94" t="b">
        <v>1</v>
      </c>
      <c r="AC94">
        <v>0.97</v>
      </c>
    </row>
    <row r="95" spans="1:29" hidden="1" x14ac:dyDescent="0.2">
      <c r="A95" t="e">
        <v>#N/A</v>
      </c>
      <c r="B95" t="e">
        <v>#N/A</v>
      </c>
      <c r="C95" t="e">
        <v>#N/A</v>
      </c>
      <c r="D95" t="e">
        <v>#N/A</v>
      </c>
      <c r="E95" t="e">
        <v>#N/A</v>
      </c>
      <c r="F95" t="e">
        <v>#N/A</v>
      </c>
      <c r="G95" t="e">
        <v>#N/A</v>
      </c>
      <c r="H95" t="e">
        <v>#N/A</v>
      </c>
      <c r="I95" t="e">
        <v>#N/A</v>
      </c>
      <c r="J95" t="e">
        <v>#N/A</v>
      </c>
      <c r="K95" t="s">
        <v>2232</v>
      </c>
      <c r="L95" t="s">
        <v>2233</v>
      </c>
      <c r="M95" t="s">
        <v>2064</v>
      </c>
      <c r="N95" t="s">
        <v>441</v>
      </c>
      <c r="Q95" t="s">
        <v>2025</v>
      </c>
      <c r="R95" t="s">
        <v>2057</v>
      </c>
      <c r="S95" t="s">
        <v>384</v>
      </c>
      <c r="T95" s="1">
        <v>43665</v>
      </c>
      <c r="U95" s="1">
        <v>43665</v>
      </c>
      <c r="V95" t="s">
        <v>386</v>
      </c>
      <c r="W95">
        <v>20000000000</v>
      </c>
      <c r="X95">
        <v>20000000000</v>
      </c>
      <c r="Y95" t="s">
        <v>386</v>
      </c>
      <c r="Z95">
        <v>20000000000</v>
      </c>
      <c r="AA95">
        <v>6283361</v>
      </c>
      <c r="AB95" t="b">
        <v>1</v>
      </c>
      <c r="AC95">
        <v>0.97</v>
      </c>
    </row>
    <row r="96" spans="1:29" hidden="1" x14ac:dyDescent="0.2">
      <c r="A96" t="b">
        <v>1</v>
      </c>
      <c r="B96" t="b">
        <v>0</v>
      </c>
      <c r="C96" t="b">
        <v>1</v>
      </c>
      <c r="D96" t="b">
        <v>0</v>
      </c>
      <c r="E96" t="b">
        <v>0</v>
      </c>
      <c r="F96" t="s">
        <v>361</v>
      </c>
      <c r="G96" t="s">
        <v>559</v>
      </c>
      <c r="H96" t="s">
        <v>1418</v>
      </c>
      <c r="I96">
        <v>0</v>
      </c>
      <c r="J96">
        <v>0</v>
      </c>
      <c r="K96" t="s">
        <v>1416</v>
      </c>
      <c r="L96" t="s">
        <v>1419</v>
      </c>
      <c r="M96" t="s">
        <v>1985</v>
      </c>
      <c r="N96" t="s">
        <v>1946</v>
      </c>
      <c r="Q96" t="s">
        <v>2025</v>
      </c>
      <c r="R96" t="s">
        <v>2057</v>
      </c>
      <c r="S96" t="s">
        <v>384</v>
      </c>
      <c r="T96" s="1">
        <v>43665</v>
      </c>
      <c r="U96" s="1">
        <v>43665</v>
      </c>
      <c r="V96" t="s">
        <v>386</v>
      </c>
      <c r="W96">
        <v>20000000000</v>
      </c>
      <c r="X96">
        <v>20000000000</v>
      </c>
      <c r="Y96" t="s">
        <v>386</v>
      </c>
      <c r="Z96">
        <v>20000000000</v>
      </c>
      <c r="AA96">
        <v>6283361</v>
      </c>
      <c r="AB96" t="b">
        <v>1</v>
      </c>
      <c r="AC96">
        <v>0.97</v>
      </c>
    </row>
    <row r="97" spans="1:29" hidden="1" x14ac:dyDescent="0.2">
      <c r="A97" t="b">
        <v>1</v>
      </c>
      <c r="B97" t="b">
        <v>0</v>
      </c>
      <c r="C97" t="b">
        <v>1</v>
      </c>
      <c r="D97" t="b">
        <v>0</v>
      </c>
      <c r="E97" t="b">
        <v>0</v>
      </c>
      <c r="F97" t="s">
        <v>361</v>
      </c>
      <c r="G97" t="s">
        <v>559</v>
      </c>
      <c r="H97" t="s">
        <v>1418</v>
      </c>
      <c r="I97">
        <v>0</v>
      </c>
      <c r="J97">
        <v>0</v>
      </c>
      <c r="K97" t="s">
        <v>1416</v>
      </c>
      <c r="L97" t="s">
        <v>1419</v>
      </c>
      <c r="M97" t="s">
        <v>1950</v>
      </c>
      <c r="N97" t="s">
        <v>1946</v>
      </c>
      <c r="Q97" t="s">
        <v>2025</v>
      </c>
      <c r="R97" t="s">
        <v>2058</v>
      </c>
      <c r="S97" t="s">
        <v>384</v>
      </c>
      <c r="T97" s="1">
        <v>43665</v>
      </c>
      <c r="U97" s="1">
        <v>43665</v>
      </c>
      <c r="V97" t="s">
        <v>386</v>
      </c>
      <c r="W97">
        <v>30000000000</v>
      </c>
      <c r="X97">
        <v>30000000000</v>
      </c>
      <c r="Y97" t="s">
        <v>386</v>
      </c>
      <c r="Z97">
        <v>30000000000</v>
      </c>
      <c r="AA97">
        <v>9425041</v>
      </c>
      <c r="AB97" t="b">
        <v>1</v>
      </c>
      <c r="AC97">
        <v>0.97</v>
      </c>
    </row>
    <row r="98" spans="1:29" hidden="1" x14ac:dyDescent="0.2">
      <c r="A98" t="b">
        <v>1</v>
      </c>
      <c r="B98" t="b">
        <v>0</v>
      </c>
      <c r="C98" t="b">
        <v>1</v>
      </c>
      <c r="D98" t="s">
        <v>522</v>
      </c>
      <c r="E98" t="b">
        <v>0</v>
      </c>
      <c r="F98" t="b">
        <v>0</v>
      </c>
      <c r="G98" t="s">
        <v>1369</v>
      </c>
      <c r="H98">
        <v>0</v>
      </c>
      <c r="I98">
        <v>0</v>
      </c>
      <c r="J98" t="s">
        <v>1366</v>
      </c>
      <c r="K98" t="s">
        <v>1364</v>
      </c>
      <c r="L98" t="s">
        <v>1367</v>
      </c>
      <c r="M98" t="s">
        <v>1985</v>
      </c>
      <c r="N98" t="s">
        <v>2024</v>
      </c>
      <c r="Q98" t="s">
        <v>2025</v>
      </c>
      <c r="R98" t="s">
        <v>2058</v>
      </c>
      <c r="S98" t="s">
        <v>384</v>
      </c>
      <c r="T98" s="1">
        <v>43665</v>
      </c>
      <c r="U98" s="1">
        <v>43665</v>
      </c>
      <c r="V98" t="s">
        <v>386</v>
      </c>
      <c r="W98">
        <v>30000000000</v>
      </c>
      <c r="X98">
        <v>30000000000</v>
      </c>
      <c r="Y98" t="s">
        <v>386</v>
      </c>
      <c r="Z98">
        <v>30000000000</v>
      </c>
      <c r="AA98">
        <v>9425041</v>
      </c>
      <c r="AB98" t="b">
        <v>1</v>
      </c>
      <c r="AC98">
        <v>0.97</v>
      </c>
    </row>
    <row r="99" spans="1:29" x14ac:dyDescent="0.2">
      <c r="A99" t="b">
        <v>1</v>
      </c>
      <c r="B99" t="b">
        <v>0</v>
      </c>
      <c r="C99" t="b">
        <v>1</v>
      </c>
      <c r="D99" t="s">
        <v>522</v>
      </c>
      <c r="E99" t="b">
        <v>0</v>
      </c>
      <c r="F99" t="b">
        <v>0</v>
      </c>
      <c r="G99" t="s">
        <v>1369</v>
      </c>
      <c r="H99">
        <v>0</v>
      </c>
      <c r="I99">
        <v>0</v>
      </c>
      <c r="J99" t="s">
        <v>1366</v>
      </c>
      <c r="K99" t="s">
        <v>1364</v>
      </c>
      <c r="L99" t="s">
        <v>1367</v>
      </c>
      <c r="M99" t="s">
        <v>1950</v>
      </c>
      <c r="N99" t="s">
        <v>1960</v>
      </c>
      <c r="Q99" t="s">
        <v>2043</v>
      </c>
      <c r="R99" t="s">
        <v>2059</v>
      </c>
      <c r="S99" t="s">
        <v>384</v>
      </c>
      <c r="T99" s="1">
        <v>43665</v>
      </c>
      <c r="U99" s="1">
        <v>43665</v>
      </c>
      <c r="V99" t="s">
        <v>386</v>
      </c>
      <c r="W99">
        <v>13269000000</v>
      </c>
      <c r="X99">
        <v>13269000000</v>
      </c>
      <c r="Y99" t="s">
        <v>386</v>
      </c>
      <c r="Z99">
        <v>13269000000</v>
      </c>
      <c r="AA99">
        <v>4168696</v>
      </c>
      <c r="AB99" t="b">
        <v>0</v>
      </c>
    </row>
    <row r="100" spans="1:29" hidden="1" x14ac:dyDescent="0.2">
      <c r="A100" t="b">
        <v>1</v>
      </c>
      <c r="B100" t="b">
        <v>0</v>
      </c>
      <c r="C100" t="b">
        <v>1</v>
      </c>
      <c r="D100" t="s">
        <v>522</v>
      </c>
      <c r="E100" t="b">
        <v>0</v>
      </c>
      <c r="F100" t="b">
        <v>0</v>
      </c>
      <c r="G100" t="s">
        <v>1369</v>
      </c>
      <c r="H100">
        <v>0</v>
      </c>
      <c r="I100">
        <v>0</v>
      </c>
      <c r="J100" t="s">
        <v>1366</v>
      </c>
      <c r="K100" t="s">
        <v>1364</v>
      </c>
      <c r="L100" t="s">
        <v>1367</v>
      </c>
      <c r="M100" t="s">
        <v>1985</v>
      </c>
      <c r="N100" t="s">
        <v>1986</v>
      </c>
      <c r="Q100" t="s">
        <v>2043</v>
      </c>
      <c r="R100" t="s">
        <v>2059</v>
      </c>
      <c r="S100" t="s">
        <v>384</v>
      </c>
      <c r="T100" s="1">
        <v>43665</v>
      </c>
      <c r="U100" s="1">
        <v>43665</v>
      </c>
      <c r="V100" t="s">
        <v>386</v>
      </c>
      <c r="W100">
        <v>13269000000</v>
      </c>
      <c r="X100">
        <v>13269000000</v>
      </c>
      <c r="Y100" t="s">
        <v>386</v>
      </c>
      <c r="Z100">
        <v>13269000000</v>
      </c>
      <c r="AA100">
        <v>4168696</v>
      </c>
      <c r="AB100" t="b">
        <v>0</v>
      </c>
    </row>
    <row r="101" spans="1:29" x14ac:dyDescent="0.2">
      <c r="A101" t="b">
        <v>1</v>
      </c>
      <c r="B101" t="b">
        <v>0</v>
      </c>
      <c r="C101" t="b">
        <v>1</v>
      </c>
      <c r="D101" t="s">
        <v>522</v>
      </c>
      <c r="E101" t="b">
        <v>0</v>
      </c>
      <c r="F101" t="b">
        <v>0</v>
      </c>
      <c r="G101" t="s">
        <v>1369</v>
      </c>
      <c r="H101">
        <v>0</v>
      </c>
      <c r="I101">
        <v>0</v>
      </c>
      <c r="J101" t="s">
        <v>1366</v>
      </c>
      <c r="K101" t="s">
        <v>1364</v>
      </c>
      <c r="L101" t="s">
        <v>1367</v>
      </c>
      <c r="M101" t="s">
        <v>1950</v>
      </c>
      <c r="N101" t="s">
        <v>1955</v>
      </c>
      <c r="Q101" t="s">
        <v>2025</v>
      </c>
      <c r="R101" t="s">
        <v>2060</v>
      </c>
      <c r="S101" t="s">
        <v>384</v>
      </c>
      <c r="T101" s="1">
        <v>43665</v>
      </c>
      <c r="U101" s="1">
        <v>43665</v>
      </c>
      <c r="V101" t="s">
        <v>386</v>
      </c>
      <c r="W101">
        <v>35000000000</v>
      </c>
      <c r="X101">
        <v>35000000000</v>
      </c>
      <c r="Y101" t="s">
        <v>386</v>
      </c>
      <c r="Z101">
        <v>35000000000</v>
      </c>
      <c r="AA101">
        <v>10995881</v>
      </c>
      <c r="AB101" t="b">
        <v>0</v>
      </c>
    </row>
    <row r="102" spans="1:29" hidden="1" x14ac:dyDescent="0.2">
      <c r="A102" t="b">
        <v>1</v>
      </c>
      <c r="B102" t="b">
        <v>0</v>
      </c>
      <c r="C102" t="b">
        <v>1</v>
      </c>
      <c r="D102" t="s">
        <v>522</v>
      </c>
      <c r="E102" t="b">
        <v>0</v>
      </c>
      <c r="F102" t="b">
        <v>0</v>
      </c>
      <c r="G102" t="s">
        <v>1369</v>
      </c>
      <c r="H102">
        <v>0</v>
      </c>
      <c r="I102">
        <v>0</v>
      </c>
      <c r="J102" t="s">
        <v>1366</v>
      </c>
      <c r="K102" t="s">
        <v>1364</v>
      </c>
      <c r="L102" t="s">
        <v>1367</v>
      </c>
      <c r="M102" t="s">
        <v>2063</v>
      </c>
      <c r="N102" t="s">
        <v>441</v>
      </c>
      <c r="Q102" t="s">
        <v>2025</v>
      </c>
      <c r="R102" t="s">
        <v>2060</v>
      </c>
      <c r="S102" t="s">
        <v>384</v>
      </c>
      <c r="T102" s="1">
        <v>43665</v>
      </c>
      <c r="U102" s="1">
        <v>43665</v>
      </c>
      <c r="V102" t="s">
        <v>386</v>
      </c>
      <c r="W102">
        <v>35000000000</v>
      </c>
      <c r="X102">
        <v>35000000000</v>
      </c>
      <c r="Y102" t="s">
        <v>386</v>
      </c>
      <c r="Z102">
        <v>35000000000</v>
      </c>
      <c r="AA102">
        <v>10995881</v>
      </c>
      <c r="AB102" t="b">
        <v>0</v>
      </c>
    </row>
    <row r="103" spans="1:29" hidden="1" x14ac:dyDescent="0.2">
      <c r="A103" t="b">
        <v>1</v>
      </c>
      <c r="B103" t="b">
        <v>0</v>
      </c>
      <c r="C103" t="b">
        <v>1</v>
      </c>
      <c r="D103" t="s">
        <v>522</v>
      </c>
      <c r="E103" t="b">
        <v>0</v>
      </c>
      <c r="F103" t="b">
        <v>0</v>
      </c>
      <c r="G103" t="s">
        <v>1369</v>
      </c>
      <c r="H103">
        <v>0</v>
      </c>
      <c r="I103">
        <v>0</v>
      </c>
      <c r="J103" t="s">
        <v>1366</v>
      </c>
      <c r="K103" t="s">
        <v>1364</v>
      </c>
      <c r="L103" t="s">
        <v>1367</v>
      </c>
      <c r="M103" t="s">
        <v>2064</v>
      </c>
      <c r="N103" t="s">
        <v>441</v>
      </c>
      <c r="Q103" t="s">
        <v>2025</v>
      </c>
      <c r="R103" t="s">
        <v>2061</v>
      </c>
      <c r="S103" t="s">
        <v>384</v>
      </c>
      <c r="T103" s="1">
        <v>43665</v>
      </c>
      <c r="U103" s="1">
        <v>43665</v>
      </c>
      <c r="V103" t="s">
        <v>386</v>
      </c>
      <c r="W103">
        <v>20000000000</v>
      </c>
      <c r="X103">
        <v>20000000000</v>
      </c>
      <c r="Y103" t="s">
        <v>386</v>
      </c>
      <c r="Z103">
        <v>20000000000</v>
      </c>
      <c r="AA103">
        <v>6283361</v>
      </c>
      <c r="AB103" t="b">
        <v>0</v>
      </c>
    </row>
    <row r="104" spans="1:29" hidden="1" x14ac:dyDescent="0.2">
      <c r="A104" t="b">
        <v>1</v>
      </c>
      <c r="B104" t="b">
        <v>0</v>
      </c>
      <c r="C104" t="b">
        <v>1</v>
      </c>
      <c r="D104" t="s">
        <v>522</v>
      </c>
      <c r="E104" t="b">
        <v>0</v>
      </c>
      <c r="F104" t="b">
        <v>0</v>
      </c>
      <c r="G104" t="s">
        <v>1398</v>
      </c>
      <c r="H104" t="s">
        <v>100</v>
      </c>
      <c r="I104" t="s">
        <v>1509</v>
      </c>
      <c r="J104" t="s">
        <v>1510</v>
      </c>
      <c r="K104" t="s">
        <v>1507</v>
      </c>
      <c r="L104" t="s">
        <v>1511</v>
      </c>
      <c r="M104" t="s">
        <v>1985</v>
      </c>
      <c r="N104" t="s">
        <v>1986</v>
      </c>
      <c r="Q104" t="s">
        <v>2025</v>
      </c>
      <c r="R104" t="s">
        <v>2061</v>
      </c>
      <c r="S104" t="s">
        <v>384</v>
      </c>
      <c r="T104" s="1">
        <v>43665</v>
      </c>
      <c r="U104" s="1">
        <v>43665</v>
      </c>
      <c r="V104" t="s">
        <v>386</v>
      </c>
      <c r="W104">
        <v>20000000000</v>
      </c>
      <c r="X104">
        <v>20000000000</v>
      </c>
      <c r="Y104" t="s">
        <v>386</v>
      </c>
      <c r="Z104">
        <v>20000000000</v>
      </c>
      <c r="AA104">
        <v>6283361</v>
      </c>
      <c r="AB104" t="b">
        <v>0</v>
      </c>
    </row>
    <row r="105" spans="1:29" x14ac:dyDescent="0.2">
      <c r="A105" t="b">
        <v>1</v>
      </c>
      <c r="B105" t="b">
        <v>0</v>
      </c>
      <c r="C105" t="b">
        <v>1</v>
      </c>
      <c r="D105" t="s">
        <v>522</v>
      </c>
      <c r="E105" t="b">
        <v>0</v>
      </c>
      <c r="F105" t="b">
        <v>0</v>
      </c>
      <c r="G105" t="s">
        <v>1398</v>
      </c>
      <c r="H105" t="s">
        <v>100</v>
      </c>
      <c r="I105" t="s">
        <v>1509</v>
      </c>
      <c r="J105" t="s">
        <v>1510</v>
      </c>
      <c r="K105" t="s">
        <v>1507</v>
      </c>
      <c r="L105" t="s">
        <v>1511</v>
      </c>
      <c r="M105" t="s">
        <v>1950</v>
      </c>
      <c r="N105" t="s">
        <v>1955</v>
      </c>
      <c r="Q105" t="s">
        <v>2031</v>
      </c>
      <c r="R105" t="s">
        <v>2062</v>
      </c>
      <c r="S105" t="s">
        <v>257</v>
      </c>
      <c r="T105" s="1">
        <v>43220</v>
      </c>
      <c r="U105" s="1">
        <v>42865</v>
      </c>
      <c r="V105" t="s">
        <v>260</v>
      </c>
      <c r="W105">
        <v>487465891</v>
      </c>
      <c r="X105">
        <v>487465891</v>
      </c>
      <c r="Y105" t="s">
        <v>270</v>
      </c>
      <c r="Z105">
        <v>153016885</v>
      </c>
      <c r="AA105">
        <v>153016885</v>
      </c>
      <c r="AB105" t="b">
        <v>1</v>
      </c>
      <c r="AC105">
        <v>0.61</v>
      </c>
    </row>
    <row r="106" spans="1:29" hidden="1" x14ac:dyDescent="0.2">
      <c r="A106" t="b">
        <v>1</v>
      </c>
      <c r="B106" t="b">
        <v>1</v>
      </c>
      <c r="C106" t="b">
        <v>1</v>
      </c>
      <c r="D106" t="b">
        <v>0</v>
      </c>
      <c r="E106" t="b">
        <v>0</v>
      </c>
      <c r="F106" t="b">
        <v>0</v>
      </c>
      <c r="G106" t="s">
        <v>288</v>
      </c>
      <c r="H106" t="s">
        <v>196</v>
      </c>
      <c r="I106">
        <v>0</v>
      </c>
      <c r="J106">
        <v>0</v>
      </c>
      <c r="K106" t="s">
        <v>282</v>
      </c>
      <c r="L106" t="s">
        <v>284</v>
      </c>
      <c r="M106" t="s">
        <v>1985</v>
      </c>
      <c r="N106" t="s">
        <v>1994</v>
      </c>
      <c r="Q106" t="s">
        <v>1989</v>
      </c>
      <c r="R106" t="s">
        <v>2062</v>
      </c>
      <c r="S106" t="s">
        <v>257</v>
      </c>
      <c r="T106" s="1">
        <v>43220</v>
      </c>
      <c r="U106" s="1">
        <v>42865</v>
      </c>
      <c r="V106" t="s">
        <v>260</v>
      </c>
      <c r="W106">
        <v>487465891</v>
      </c>
      <c r="X106">
        <v>487465891</v>
      </c>
      <c r="Y106" t="s">
        <v>270</v>
      </c>
      <c r="Z106">
        <v>153016885</v>
      </c>
      <c r="AA106">
        <v>153016885</v>
      </c>
      <c r="AB106" t="b">
        <v>1</v>
      </c>
      <c r="AC106">
        <v>0.61</v>
      </c>
    </row>
    <row r="107" spans="1:29" hidden="1" x14ac:dyDescent="0.2">
      <c r="A107" t="b">
        <v>1</v>
      </c>
      <c r="B107" t="b">
        <v>0</v>
      </c>
      <c r="C107" t="b">
        <v>1</v>
      </c>
      <c r="D107" t="s">
        <v>522</v>
      </c>
      <c r="E107" t="b">
        <v>0</v>
      </c>
      <c r="F107" t="b">
        <v>0</v>
      </c>
      <c r="G107" t="s">
        <v>1072</v>
      </c>
      <c r="H107">
        <v>0</v>
      </c>
      <c r="I107">
        <v>0</v>
      </c>
      <c r="J107" t="s">
        <v>1070</v>
      </c>
      <c r="K107" t="s">
        <v>275</v>
      </c>
      <c r="L107" t="s">
        <v>1071</v>
      </c>
      <c r="M107" t="s">
        <v>1985</v>
      </c>
      <c r="N107" t="s">
        <v>1986</v>
      </c>
      <c r="Q107" t="s">
        <v>2029</v>
      </c>
      <c r="R107" t="s">
        <v>2062</v>
      </c>
      <c r="S107" t="s">
        <v>257</v>
      </c>
      <c r="T107" s="1">
        <v>43220</v>
      </c>
      <c r="U107" s="1">
        <v>42865</v>
      </c>
      <c r="V107" t="s">
        <v>260</v>
      </c>
      <c r="W107">
        <v>487465891</v>
      </c>
      <c r="X107">
        <v>487465891</v>
      </c>
      <c r="Y107" t="s">
        <v>270</v>
      </c>
      <c r="Z107">
        <v>153016885</v>
      </c>
      <c r="AA107">
        <v>153016885</v>
      </c>
      <c r="AB107" t="b">
        <v>1</v>
      </c>
      <c r="AC107">
        <v>0.61</v>
      </c>
    </row>
    <row r="108" spans="1:29" x14ac:dyDescent="0.2">
      <c r="A108" t="b">
        <v>1</v>
      </c>
      <c r="B108" t="b">
        <v>0</v>
      </c>
      <c r="C108" t="b">
        <v>1</v>
      </c>
      <c r="D108" t="s">
        <v>522</v>
      </c>
      <c r="E108" t="b">
        <v>0</v>
      </c>
      <c r="F108" t="b">
        <v>0</v>
      </c>
      <c r="G108" t="s">
        <v>1072</v>
      </c>
      <c r="H108">
        <v>0</v>
      </c>
      <c r="I108">
        <v>0</v>
      </c>
      <c r="J108" t="s">
        <v>1070</v>
      </c>
      <c r="K108" t="s">
        <v>275</v>
      </c>
      <c r="L108" t="s">
        <v>1071</v>
      </c>
      <c r="M108" t="s">
        <v>1950</v>
      </c>
      <c r="N108" t="s">
        <v>1955</v>
      </c>
      <c r="Q108" t="s">
        <v>2029</v>
      </c>
      <c r="R108" t="s">
        <v>2062</v>
      </c>
      <c r="S108" t="s">
        <v>257</v>
      </c>
      <c r="T108" s="1">
        <v>43220</v>
      </c>
      <c r="U108" s="1">
        <v>42865</v>
      </c>
      <c r="V108" t="s">
        <v>260</v>
      </c>
      <c r="W108">
        <v>487465891</v>
      </c>
      <c r="X108">
        <v>487465891</v>
      </c>
      <c r="Y108" t="s">
        <v>270</v>
      </c>
      <c r="Z108">
        <v>153016885</v>
      </c>
      <c r="AA108">
        <v>153016885</v>
      </c>
      <c r="AB108" t="b">
        <v>1</v>
      </c>
      <c r="AC108">
        <v>0.61</v>
      </c>
    </row>
    <row r="109" spans="1:29" hidden="1" x14ac:dyDescent="0.2">
      <c r="A109" t="b">
        <v>1</v>
      </c>
      <c r="B109" t="b">
        <v>1</v>
      </c>
      <c r="C109" t="b">
        <v>1</v>
      </c>
      <c r="D109" t="b">
        <v>0</v>
      </c>
      <c r="E109" t="b">
        <v>0</v>
      </c>
      <c r="F109" t="b">
        <v>0</v>
      </c>
      <c r="G109" t="s">
        <v>288</v>
      </c>
      <c r="H109" t="s">
        <v>196</v>
      </c>
      <c r="I109">
        <v>0</v>
      </c>
      <c r="J109">
        <v>0</v>
      </c>
      <c r="K109" t="s">
        <v>282</v>
      </c>
      <c r="L109" t="s">
        <v>284</v>
      </c>
      <c r="M109" t="s">
        <v>1950</v>
      </c>
      <c r="N109" t="s">
        <v>1956</v>
      </c>
      <c r="Q109" t="s">
        <v>2031</v>
      </c>
      <c r="R109" t="s">
        <v>2065</v>
      </c>
      <c r="S109" t="s">
        <v>257</v>
      </c>
      <c r="T109" s="1">
        <v>43220</v>
      </c>
      <c r="U109" s="1">
        <v>42864</v>
      </c>
      <c r="V109" t="s">
        <v>260</v>
      </c>
      <c r="W109">
        <v>256023174</v>
      </c>
      <c r="X109">
        <v>256023174</v>
      </c>
      <c r="Y109" t="s">
        <v>270</v>
      </c>
      <c r="Z109">
        <v>80366379</v>
      </c>
      <c r="AA109">
        <v>80366379</v>
      </c>
      <c r="AB109" t="b">
        <v>1</v>
      </c>
      <c r="AC109">
        <v>0.49</v>
      </c>
    </row>
    <row r="110" spans="1:29" hidden="1" x14ac:dyDescent="0.2">
      <c r="A110" t="b">
        <v>1</v>
      </c>
      <c r="B110" t="b">
        <v>0</v>
      </c>
      <c r="C110" t="b">
        <v>0</v>
      </c>
      <c r="D110" t="b">
        <v>0</v>
      </c>
      <c r="E110" t="b">
        <v>0</v>
      </c>
      <c r="F110" t="b">
        <v>1</v>
      </c>
      <c r="G110">
        <v>0</v>
      </c>
      <c r="H110" t="s">
        <v>186</v>
      </c>
      <c r="I110" t="s">
        <v>1225</v>
      </c>
      <c r="J110" t="s">
        <v>1227</v>
      </c>
      <c r="K110" t="s">
        <v>1223</v>
      </c>
      <c r="L110" t="s">
        <v>1228</v>
      </c>
      <c r="M110" t="s">
        <v>1985</v>
      </c>
      <c r="N110" t="s">
        <v>1986</v>
      </c>
      <c r="Q110" t="s">
        <v>1989</v>
      </c>
      <c r="R110" t="s">
        <v>2065</v>
      </c>
      <c r="S110" t="s">
        <v>257</v>
      </c>
      <c r="T110" s="1">
        <v>43220</v>
      </c>
      <c r="U110" s="1">
        <v>42864</v>
      </c>
      <c r="V110" t="s">
        <v>260</v>
      </c>
      <c r="W110">
        <v>256023174</v>
      </c>
      <c r="X110">
        <v>256023174</v>
      </c>
      <c r="Y110" t="s">
        <v>270</v>
      </c>
      <c r="Z110">
        <v>80366379</v>
      </c>
      <c r="AA110">
        <v>80366379</v>
      </c>
      <c r="AB110" t="b">
        <v>1</v>
      </c>
      <c r="AC110">
        <v>0.49</v>
      </c>
    </row>
    <row r="111" spans="1:29" hidden="1" x14ac:dyDescent="0.2">
      <c r="A111" t="b">
        <v>1</v>
      </c>
      <c r="B111" t="b">
        <v>0</v>
      </c>
      <c r="C111" t="b">
        <v>0</v>
      </c>
      <c r="D111" t="b">
        <v>0</v>
      </c>
      <c r="E111" t="b">
        <v>0</v>
      </c>
      <c r="F111" t="b">
        <v>1</v>
      </c>
      <c r="G111">
        <v>0</v>
      </c>
      <c r="H111" t="s">
        <v>186</v>
      </c>
      <c r="I111" t="s">
        <v>1225</v>
      </c>
      <c r="J111" t="s">
        <v>1227</v>
      </c>
      <c r="K111" t="s">
        <v>1223</v>
      </c>
      <c r="L111" t="s">
        <v>1228</v>
      </c>
      <c r="M111" t="s">
        <v>1950</v>
      </c>
      <c r="N111" t="s">
        <v>1960</v>
      </c>
      <c r="Q111" t="s">
        <v>1998</v>
      </c>
      <c r="R111" t="s">
        <v>2066</v>
      </c>
      <c r="S111" t="s">
        <v>257</v>
      </c>
      <c r="T111" s="1">
        <v>43747</v>
      </c>
      <c r="U111" s="1">
        <v>43747</v>
      </c>
      <c r="V111" t="s">
        <v>260</v>
      </c>
      <c r="W111">
        <v>55000000</v>
      </c>
      <c r="X111">
        <v>55000000</v>
      </c>
      <c r="Y111" t="s">
        <v>260</v>
      </c>
      <c r="Z111">
        <v>55000000</v>
      </c>
      <c r="AA111">
        <v>13687380</v>
      </c>
      <c r="AB111" t="b">
        <v>1</v>
      </c>
      <c r="AC111">
        <v>0.8</v>
      </c>
    </row>
    <row r="112" spans="1:29" hidden="1" x14ac:dyDescent="0.2">
      <c r="A112" t="b">
        <v>1</v>
      </c>
      <c r="B112" t="b">
        <v>0</v>
      </c>
      <c r="C112" t="b">
        <v>0</v>
      </c>
      <c r="D112" t="b">
        <v>0</v>
      </c>
      <c r="E112" t="b">
        <v>0</v>
      </c>
      <c r="F112" t="b">
        <v>1</v>
      </c>
      <c r="G112">
        <v>0</v>
      </c>
      <c r="H112" t="s">
        <v>186</v>
      </c>
      <c r="I112" t="s">
        <v>1225</v>
      </c>
      <c r="J112" t="s">
        <v>1227</v>
      </c>
      <c r="K112" t="s">
        <v>1223</v>
      </c>
      <c r="L112" t="s">
        <v>1228</v>
      </c>
      <c r="M112" t="s">
        <v>2063</v>
      </c>
      <c r="N112" t="s">
        <v>441</v>
      </c>
      <c r="Q112" t="s">
        <v>2067</v>
      </c>
      <c r="R112" t="s">
        <v>2066</v>
      </c>
      <c r="S112" t="s">
        <v>257</v>
      </c>
      <c r="T112" s="1">
        <v>43747</v>
      </c>
      <c r="U112" s="1">
        <v>43747</v>
      </c>
      <c r="V112" t="s">
        <v>260</v>
      </c>
      <c r="W112">
        <v>55000000</v>
      </c>
      <c r="X112">
        <v>55000000</v>
      </c>
      <c r="Y112" t="s">
        <v>260</v>
      </c>
      <c r="Z112">
        <v>55000000</v>
      </c>
      <c r="AA112">
        <v>13687380</v>
      </c>
      <c r="AB112" t="b">
        <v>1</v>
      </c>
      <c r="AC112">
        <v>0.8</v>
      </c>
    </row>
    <row r="113" spans="1:29" hidden="1" x14ac:dyDescent="0.2">
      <c r="A113" t="b">
        <v>1</v>
      </c>
      <c r="B113" t="b">
        <v>0</v>
      </c>
      <c r="C113" t="b">
        <v>0</v>
      </c>
      <c r="D113" t="b">
        <v>0</v>
      </c>
      <c r="E113" t="b">
        <v>0</v>
      </c>
      <c r="F113" t="b">
        <v>1</v>
      </c>
      <c r="G113">
        <v>0</v>
      </c>
      <c r="H113" t="s">
        <v>186</v>
      </c>
      <c r="I113" t="s">
        <v>1225</v>
      </c>
      <c r="J113" t="s">
        <v>1227</v>
      </c>
      <c r="K113" t="s">
        <v>1223</v>
      </c>
      <c r="L113" t="s">
        <v>1228</v>
      </c>
      <c r="M113" t="s">
        <v>2064</v>
      </c>
      <c r="N113" t="s">
        <v>441</v>
      </c>
      <c r="Q113" t="s">
        <v>2029</v>
      </c>
      <c r="R113" t="s">
        <v>2065</v>
      </c>
      <c r="S113" t="s">
        <v>257</v>
      </c>
      <c r="T113" s="1">
        <v>43220</v>
      </c>
      <c r="U113" s="1">
        <v>42864</v>
      </c>
      <c r="V113" t="s">
        <v>260</v>
      </c>
      <c r="W113">
        <v>256023174</v>
      </c>
      <c r="X113">
        <v>256023174</v>
      </c>
      <c r="Y113" t="s">
        <v>270</v>
      </c>
      <c r="Z113">
        <v>80366379</v>
      </c>
      <c r="AA113">
        <v>80366379</v>
      </c>
      <c r="AB113" t="b">
        <v>1</v>
      </c>
      <c r="AC113">
        <v>0.49</v>
      </c>
    </row>
    <row r="114" spans="1:29" hidden="1" x14ac:dyDescent="0.2">
      <c r="A114" t="b">
        <v>1</v>
      </c>
      <c r="B114" t="b">
        <v>0</v>
      </c>
      <c r="C114" t="b">
        <v>0</v>
      </c>
      <c r="D114" t="b">
        <v>0</v>
      </c>
      <c r="E114" t="b">
        <v>0</v>
      </c>
      <c r="F114" t="b">
        <v>1</v>
      </c>
      <c r="G114">
        <v>0</v>
      </c>
      <c r="H114" t="s">
        <v>186</v>
      </c>
      <c r="I114" t="s">
        <v>1225</v>
      </c>
      <c r="J114" t="s">
        <v>1227</v>
      </c>
      <c r="K114" t="s">
        <v>1223</v>
      </c>
      <c r="L114" t="s">
        <v>1228</v>
      </c>
      <c r="M114" t="s">
        <v>1985</v>
      </c>
      <c r="N114" t="s">
        <v>1946</v>
      </c>
      <c r="Q114" t="s">
        <v>2029</v>
      </c>
      <c r="R114" t="s">
        <v>2065</v>
      </c>
      <c r="S114" t="s">
        <v>257</v>
      </c>
      <c r="T114" s="1">
        <v>43220</v>
      </c>
      <c r="U114" s="1">
        <v>42864</v>
      </c>
      <c r="V114" t="s">
        <v>260</v>
      </c>
      <c r="W114">
        <v>256023174</v>
      </c>
      <c r="X114">
        <v>256023174</v>
      </c>
      <c r="Y114" t="s">
        <v>270</v>
      </c>
      <c r="Z114">
        <v>80366379</v>
      </c>
      <c r="AA114">
        <v>80366379</v>
      </c>
      <c r="AB114" t="b">
        <v>1</v>
      </c>
      <c r="AC114">
        <v>0.49</v>
      </c>
    </row>
    <row r="115" spans="1:29" hidden="1" x14ac:dyDescent="0.2">
      <c r="A115" t="b">
        <v>1</v>
      </c>
      <c r="B115" t="b">
        <v>0</v>
      </c>
      <c r="C115" t="b">
        <v>0</v>
      </c>
      <c r="D115" t="b">
        <v>0</v>
      </c>
      <c r="E115" t="b">
        <v>0</v>
      </c>
      <c r="F115" t="b">
        <v>1</v>
      </c>
      <c r="G115">
        <v>0</v>
      </c>
      <c r="H115" t="s">
        <v>186</v>
      </c>
      <c r="I115" t="s">
        <v>1225</v>
      </c>
      <c r="J115" t="s">
        <v>1227</v>
      </c>
      <c r="K115" t="s">
        <v>1223</v>
      </c>
      <c r="L115" t="s">
        <v>1228</v>
      </c>
      <c r="M115" t="s">
        <v>1950</v>
      </c>
      <c r="N115" t="s">
        <v>1946</v>
      </c>
      <c r="Q115" t="s">
        <v>2031</v>
      </c>
      <c r="R115" t="s">
        <v>2068</v>
      </c>
      <c r="S115" t="s">
        <v>257</v>
      </c>
      <c r="T115" s="1">
        <v>43669</v>
      </c>
      <c r="U115" s="1">
        <v>43920</v>
      </c>
      <c r="V115" t="s">
        <v>260</v>
      </c>
      <c r="W115">
        <v>20700000</v>
      </c>
      <c r="X115">
        <v>15400000</v>
      </c>
      <c r="Y115" t="s">
        <v>260</v>
      </c>
      <c r="Z115">
        <v>15400000</v>
      </c>
      <c r="AA115">
        <v>2965131</v>
      </c>
      <c r="AB115" t="b">
        <v>1</v>
      </c>
      <c r="AC115">
        <v>0.13</v>
      </c>
    </row>
    <row r="116" spans="1:29" hidden="1" x14ac:dyDescent="0.2">
      <c r="A116" t="b">
        <v>1</v>
      </c>
      <c r="B116" t="b">
        <v>0</v>
      </c>
      <c r="C116" t="b">
        <v>1</v>
      </c>
      <c r="D116" t="s">
        <v>248</v>
      </c>
      <c r="E116" t="b">
        <v>0</v>
      </c>
      <c r="F116" t="b">
        <v>0</v>
      </c>
      <c r="G116">
        <v>0</v>
      </c>
      <c r="H116" t="s">
        <v>1038</v>
      </c>
      <c r="I116" t="s">
        <v>1039</v>
      </c>
      <c r="J116" t="s">
        <v>1040</v>
      </c>
      <c r="K116" t="s">
        <v>1036</v>
      </c>
      <c r="L116" t="s">
        <v>1041</v>
      </c>
      <c r="M116" t="s">
        <v>1985</v>
      </c>
      <c r="N116" t="s">
        <v>1986</v>
      </c>
      <c r="Q116" t="s">
        <v>1989</v>
      </c>
      <c r="R116" t="s">
        <v>2068</v>
      </c>
      <c r="S116" t="s">
        <v>257</v>
      </c>
      <c r="T116" s="1">
        <v>43669</v>
      </c>
      <c r="U116" s="1">
        <v>43920</v>
      </c>
      <c r="V116" t="s">
        <v>260</v>
      </c>
      <c r="W116">
        <v>20700000</v>
      </c>
      <c r="X116">
        <v>15400000</v>
      </c>
      <c r="Y116" t="s">
        <v>260</v>
      </c>
      <c r="Z116">
        <v>15400000</v>
      </c>
      <c r="AA116">
        <v>2965131</v>
      </c>
      <c r="AB116" t="b">
        <v>1</v>
      </c>
      <c r="AC116">
        <v>0.13</v>
      </c>
    </row>
    <row r="117" spans="1:29" hidden="1" x14ac:dyDescent="0.2">
      <c r="A117" t="b">
        <v>1</v>
      </c>
      <c r="B117" t="b">
        <v>0</v>
      </c>
      <c r="C117" t="b">
        <v>1</v>
      </c>
      <c r="D117" t="s">
        <v>248</v>
      </c>
      <c r="E117" t="b">
        <v>0</v>
      </c>
      <c r="F117" t="b">
        <v>0</v>
      </c>
      <c r="G117">
        <v>0</v>
      </c>
      <c r="H117" t="s">
        <v>1038</v>
      </c>
      <c r="I117" t="s">
        <v>1039</v>
      </c>
      <c r="J117" t="s">
        <v>1040</v>
      </c>
      <c r="K117" t="s">
        <v>1036</v>
      </c>
      <c r="L117" t="s">
        <v>1041</v>
      </c>
      <c r="M117" t="s">
        <v>1950</v>
      </c>
      <c r="N117" t="s">
        <v>1955</v>
      </c>
      <c r="Q117" t="s">
        <v>2031</v>
      </c>
      <c r="R117" t="s">
        <v>2069</v>
      </c>
      <c r="S117" t="s">
        <v>257</v>
      </c>
      <c r="T117" s="1">
        <v>43669</v>
      </c>
      <c r="U117" s="1">
        <v>43920</v>
      </c>
      <c r="V117" t="s">
        <v>260</v>
      </c>
      <c r="W117">
        <v>20700000</v>
      </c>
      <c r="X117">
        <v>16600000</v>
      </c>
      <c r="Y117" t="s">
        <v>260</v>
      </c>
      <c r="Z117">
        <v>16600000</v>
      </c>
      <c r="AA117">
        <v>3196180</v>
      </c>
      <c r="AB117" t="b">
        <v>1</v>
      </c>
      <c r="AC117">
        <v>0.13</v>
      </c>
    </row>
    <row r="118" spans="1:29" hidden="1" x14ac:dyDescent="0.2">
      <c r="A118" t="b">
        <v>1</v>
      </c>
      <c r="B118" t="b">
        <v>1</v>
      </c>
      <c r="C118" t="b">
        <v>1</v>
      </c>
      <c r="D118" t="b">
        <v>0</v>
      </c>
      <c r="E118" t="b">
        <v>0</v>
      </c>
      <c r="F118" t="b">
        <v>0</v>
      </c>
      <c r="G118" t="s">
        <v>288</v>
      </c>
      <c r="H118" t="s">
        <v>196</v>
      </c>
      <c r="I118">
        <v>0</v>
      </c>
      <c r="J118">
        <v>0</v>
      </c>
      <c r="K118" t="s">
        <v>282</v>
      </c>
      <c r="L118" t="s">
        <v>284</v>
      </c>
      <c r="M118" t="s">
        <v>1985</v>
      </c>
      <c r="N118" t="s">
        <v>1986</v>
      </c>
      <c r="Q118" t="s">
        <v>1989</v>
      </c>
      <c r="R118" t="s">
        <v>2069</v>
      </c>
      <c r="S118" t="s">
        <v>257</v>
      </c>
      <c r="T118" s="1">
        <v>43669</v>
      </c>
      <c r="U118" s="1">
        <v>43920</v>
      </c>
      <c r="V118" t="s">
        <v>260</v>
      </c>
      <c r="W118">
        <v>20700000</v>
      </c>
      <c r="X118">
        <v>16600000</v>
      </c>
      <c r="Y118" t="s">
        <v>260</v>
      </c>
      <c r="Z118">
        <v>16600000</v>
      </c>
      <c r="AA118">
        <v>3196180</v>
      </c>
      <c r="AB118" t="b">
        <v>1</v>
      </c>
      <c r="AC118">
        <v>0.13</v>
      </c>
    </row>
    <row r="119" spans="1:29" hidden="1" x14ac:dyDescent="0.2">
      <c r="A119" t="b">
        <v>1</v>
      </c>
      <c r="B119" t="b">
        <v>1</v>
      </c>
      <c r="C119" t="b">
        <v>1</v>
      </c>
      <c r="D119" t="b">
        <v>0</v>
      </c>
      <c r="E119" t="b">
        <v>0</v>
      </c>
      <c r="F119" t="b">
        <v>0</v>
      </c>
      <c r="G119" t="s">
        <v>288</v>
      </c>
      <c r="H119" t="s">
        <v>196</v>
      </c>
      <c r="I119">
        <v>0</v>
      </c>
      <c r="J119">
        <v>0</v>
      </c>
      <c r="K119" t="s">
        <v>282</v>
      </c>
      <c r="L119" t="s">
        <v>284</v>
      </c>
      <c r="M119" t="s">
        <v>1950</v>
      </c>
      <c r="N119" t="s">
        <v>1955</v>
      </c>
      <c r="Q119" t="s">
        <v>2031</v>
      </c>
      <c r="R119" t="s">
        <v>2070</v>
      </c>
      <c r="S119" t="s">
        <v>257</v>
      </c>
      <c r="T119" s="1">
        <v>43669</v>
      </c>
      <c r="U119" s="1">
        <v>43920</v>
      </c>
      <c r="V119" t="s">
        <v>260</v>
      </c>
      <c r="W119">
        <v>13000000</v>
      </c>
      <c r="X119">
        <v>13000000</v>
      </c>
      <c r="Y119" t="s">
        <v>260</v>
      </c>
      <c r="Z119">
        <v>13000000</v>
      </c>
      <c r="AA119">
        <v>2503033</v>
      </c>
      <c r="AB119" t="b">
        <v>1</v>
      </c>
      <c r="AC119">
        <v>0.09</v>
      </c>
    </row>
    <row r="120" spans="1:29" hidden="1" x14ac:dyDescent="0.2">
      <c r="A120" t="b">
        <v>1</v>
      </c>
      <c r="B120" t="b">
        <v>0</v>
      </c>
      <c r="C120" t="b">
        <v>1</v>
      </c>
      <c r="D120" t="s">
        <v>248</v>
      </c>
      <c r="E120" t="b">
        <v>0</v>
      </c>
      <c r="F120" t="b">
        <v>0</v>
      </c>
      <c r="G120">
        <v>0</v>
      </c>
      <c r="H120" t="s">
        <v>1684</v>
      </c>
      <c r="I120" t="s">
        <v>1685</v>
      </c>
      <c r="J120" t="s">
        <v>1686</v>
      </c>
      <c r="K120" t="s">
        <v>1682</v>
      </c>
      <c r="L120" t="s">
        <v>1687</v>
      </c>
      <c r="M120" t="s">
        <v>1985</v>
      </c>
      <c r="N120" t="s">
        <v>1986</v>
      </c>
      <c r="Q120" t="s">
        <v>1989</v>
      </c>
      <c r="R120" t="s">
        <v>2070</v>
      </c>
      <c r="S120" t="s">
        <v>257</v>
      </c>
      <c r="T120" s="1">
        <v>43669</v>
      </c>
      <c r="U120" s="1">
        <v>43920</v>
      </c>
      <c r="V120" t="s">
        <v>260</v>
      </c>
      <c r="W120">
        <v>13000000</v>
      </c>
      <c r="X120">
        <v>13000000</v>
      </c>
      <c r="Y120" t="s">
        <v>260</v>
      </c>
      <c r="Z120">
        <v>13000000</v>
      </c>
      <c r="AA120">
        <v>2503033</v>
      </c>
      <c r="AB120" t="b">
        <v>1</v>
      </c>
      <c r="AC120">
        <v>0.09</v>
      </c>
    </row>
    <row r="121" spans="1:29" hidden="1" x14ac:dyDescent="0.2">
      <c r="A121" t="b">
        <v>1</v>
      </c>
      <c r="B121" t="b">
        <v>0</v>
      </c>
      <c r="C121" t="b">
        <v>1</v>
      </c>
      <c r="D121" t="s">
        <v>248</v>
      </c>
      <c r="E121" t="b">
        <v>0</v>
      </c>
      <c r="F121" t="b">
        <v>0</v>
      </c>
      <c r="G121">
        <v>0</v>
      </c>
      <c r="H121" t="s">
        <v>1684</v>
      </c>
      <c r="I121" t="s">
        <v>1685</v>
      </c>
      <c r="J121" t="s">
        <v>1686</v>
      </c>
      <c r="K121" t="s">
        <v>1682</v>
      </c>
      <c r="L121" t="s">
        <v>1687</v>
      </c>
      <c r="M121" t="s">
        <v>1950</v>
      </c>
      <c r="N121" t="s">
        <v>1955</v>
      </c>
      <c r="Q121" t="s">
        <v>2031</v>
      </c>
      <c r="R121" t="s">
        <v>2071</v>
      </c>
      <c r="S121" t="s">
        <v>257</v>
      </c>
      <c r="T121" s="1">
        <v>43220</v>
      </c>
      <c r="U121" s="1">
        <v>42866</v>
      </c>
      <c r="V121" t="s">
        <v>260</v>
      </c>
      <c r="W121">
        <v>391625072</v>
      </c>
      <c r="X121">
        <v>391625072</v>
      </c>
      <c r="Y121" t="s">
        <v>270</v>
      </c>
      <c r="Z121">
        <v>122932188</v>
      </c>
      <c r="AA121">
        <v>122932188</v>
      </c>
      <c r="AB121" t="b">
        <v>1</v>
      </c>
      <c r="AC121">
        <v>0.45</v>
      </c>
    </row>
    <row r="122" spans="1:29" hidden="1" x14ac:dyDescent="0.2">
      <c r="A122" t="b">
        <v>1</v>
      </c>
      <c r="B122" t="b">
        <v>0</v>
      </c>
      <c r="C122" t="b">
        <v>1</v>
      </c>
      <c r="D122" t="s">
        <v>248</v>
      </c>
      <c r="E122" t="b">
        <v>0</v>
      </c>
      <c r="F122" t="b">
        <v>0</v>
      </c>
      <c r="G122">
        <v>0</v>
      </c>
      <c r="H122" t="s">
        <v>439</v>
      </c>
      <c r="I122">
        <v>0</v>
      </c>
      <c r="J122">
        <v>0</v>
      </c>
      <c r="K122" t="s">
        <v>437</v>
      </c>
      <c r="L122" t="s">
        <v>440</v>
      </c>
      <c r="M122" t="s">
        <v>1985</v>
      </c>
      <c r="N122" t="s">
        <v>2074</v>
      </c>
      <c r="Q122" t="s">
        <v>1989</v>
      </c>
      <c r="R122" t="s">
        <v>2071</v>
      </c>
      <c r="S122" t="s">
        <v>257</v>
      </c>
      <c r="T122" s="1">
        <v>43220</v>
      </c>
      <c r="U122" s="1">
        <v>42866</v>
      </c>
      <c r="V122" t="s">
        <v>260</v>
      </c>
      <c r="W122">
        <v>391625072</v>
      </c>
      <c r="X122">
        <v>391625072</v>
      </c>
      <c r="Y122" t="s">
        <v>270</v>
      </c>
      <c r="Z122">
        <v>122932188</v>
      </c>
      <c r="AA122">
        <v>122932188</v>
      </c>
      <c r="AB122" t="b">
        <v>1</v>
      </c>
      <c r="AC122">
        <v>0.45</v>
      </c>
    </row>
    <row r="123" spans="1:29" hidden="1" x14ac:dyDescent="0.2">
      <c r="A123" t="b">
        <v>1</v>
      </c>
      <c r="B123" t="b">
        <v>0</v>
      </c>
      <c r="C123" t="b">
        <v>1</v>
      </c>
      <c r="D123" t="s">
        <v>248</v>
      </c>
      <c r="E123" t="b">
        <v>0</v>
      </c>
      <c r="F123" t="b">
        <v>0</v>
      </c>
      <c r="G123">
        <v>0</v>
      </c>
      <c r="H123" t="s">
        <v>439</v>
      </c>
      <c r="I123">
        <v>0</v>
      </c>
      <c r="J123">
        <v>0</v>
      </c>
      <c r="K123" t="s">
        <v>437</v>
      </c>
      <c r="L123" t="s">
        <v>440</v>
      </c>
      <c r="M123" t="s">
        <v>1950</v>
      </c>
      <c r="N123" t="s">
        <v>1961</v>
      </c>
      <c r="Q123" t="s">
        <v>2029</v>
      </c>
      <c r="R123" t="s">
        <v>2071</v>
      </c>
      <c r="S123" t="s">
        <v>257</v>
      </c>
      <c r="T123" s="1">
        <v>43220</v>
      </c>
      <c r="U123" s="1">
        <v>42866</v>
      </c>
      <c r="V123" t="s">
        <v>260</v>
      </c>
      <c r="W123">
        <v>391625072</v>
      </c>
      <c r="X123">
        <v>391625072</v>
      </c>
      <c r="Y123" t="s">
        <v>270</v>
      </c>
      <c r="Z123">
        <v>122932188</v>
      </c>
      <c r="AA123">
        <v>122932188</v>
      </c>
      <c r="AB123" t="b">
        <v>1</v>
      </c>
      <c r="AC123">
        <v>0.45</v>
      </c>
    </row>
    <row r="124" spans="1:29" hidden="1" x14ac:dyDescent="0.2">
      <c r="A124" t="b">
        <v>1</v>
      </c>
      <c r="B124" t="b">
        <v>0</v>
      </c>
      <c r="C124" t="b">
        <v>1</v>
      </c>
      <c r="D124" t="s">
        <v>522</v>
      </c>
      <c r="E124" t="b">
        <v>0</v>
      </c>
      <c r="F124" t="b">
        <v>0</v>
      </c>
      <c r="G124" t="s">
        <v>1398</v>
      </c>
      <c r="H124" t="s">
        <v>101</v>
      </c>
      <c r="I124" t="s">
        <v>1395</v>
      </c>
      <c r="J124" t="s">
        <v>1396</v>
      </c>
      <c r="K124" t="s">
        <v>1393</v>
      </c>
      <c r="L124" t="s">
        <v>1397</v>
      </c>
      <c r="M124" t="s">
        <v>1985</v>
      </c>
      <c r="N124" t="s">
        <v>1986</v>
      </c>
      <c r="Q124" t="s">
        <v>2029</v>
      </c>
      <c r="R124" t="s">
        <v>2071</v>
      </c>
      <c r="S124" t="s">
        <v>257</v>
      </c>
      <c r="T124" s="1">
        <v>43220</v>
      </c>
      <c r="U124" s="1">
        <v>42866</v>
      </c>
      <c r="V124" t="s">
        <v>260</v>
      </c>
      <c r="W124">
        <v>391625072</v>
      </c>
      <c r="X124">
        <v>391625072</v>
      </c>
      <c r="Y124" t="s">
        <v>270</v>
      </c>
      <c r="Z124">
        <v>122932188</v>
      </c>
      <c r="AA124">
        <v>122932188</v>
      </c>
      <c r="AB124" t="b">
        <v>1</v>
      </c>
      <c r="AC124">
        <v>0.45</v>
      </c>
    </row>
    <row r="125" spans="1:29" x14ac:dyDescent="0.2">
      <c r="A125" t="b">
        <v>1</v>
      </c>
      <c r="B125" t="b">
        <v>0</v>
      </c>
      <c r="C125" t="b">
        <v>1</v>
      </c>
      <c r="D125" t="s">
        <v>522</v>
      </c>
      <c r="E125" t="b">
        <v>0</v>
      </c>
      <c r="F125" t="b">
        <v>0</v>
      </c>
      <c r="G125" t="s">
        <v>1398</v>
      </c>
      <c r="H125" t="s">
        <v>101</v>
      </c>
      <c r="I125" t="s">
        <v>1395</v>
      </c>
      <c r="J125" t="s">
        <v>1396</v>
      </c>
      <c r="K125" t="s">
        <v>1393</v>
      </c>
      <c r="L125" t="s">
        <v>1397</v>
      </c>
      <c r="M125" t="s">
        <v>1950</v>
      </c>
      <c r="N125" t="s">
        <v>1955</v>
      </c>
      <c r="Q125" t="s">
        <v>2031</v>
      </c>
      <c r="R125" t="s">
        <v>2072</v>
      </c>
      <c r="S125" t="s">
        <v>257</v>
      </c>
      <c r="T125" s="1">
        <v>43220</v>
      </c>
      <c r="U125" s="1">
        <v>42867</v>
      </c>
      <c r="V125" t="s">
        <v>260</v>
      </c>
      <c r="W125">
        <v>571079500</v>
      </c>
      <c r="X125">
        <v>571079500</v>
      </c>
      <c r="Y125" t="s">
        <v>270</v>
      </c>
      <c r="Z125">
        <v>179263427</v>
      </c>
      <c r="AA125">
        <v>179263427</v>
      </c>
      <c r="AB125" t="b">
        <v>1</v>
      </c>
      <c r="AC125">
        <v>0.62</v>
      </c>
    </row>
    <row r="126" spans="1:29" hidden="1" x14ac:dyDescent="0.2">
      <c r="A126" t="b">
        <v>1</v>
      </c>
      <c r="B126" t="b">
        <v>0</v>
      </c>
      <c r="C126" t="b">
        <v>1</v>
      </c>
      <c r="D126" t="s">
        <v>248</v>
      </c>
      <c r="E126" t="b">
        <v>0</v>
      </c>
      <c r="F126" t="b">
        <v>0</v>
      </c>
      <c r="G126">
        <v>0</v>
      </c>
      <c r="H126" t="s">
        <v>582</v>
      </c>
      <c r="I126">
        <v>0</v>
      </c>
      <c r="J126">
        <v>0</v>
      </c>
      <c r="K126" t="s">
        <v>580</v>
      </c>
      <c r="L126" t="s">
        <v>583</v>
      </c>
      <c r="M126" t="s">
        <v>1985</v>
      </c>
      <c r="N126" t="s">
        <v>2074</v>
      </c>
      <c r="Q126" t="s">
        <v>1989</v>
      </c>
      <c r="R126" t="s">
        <v>2072</v>
      </c>
      <c r="S126" t="s">
        <v>257</v>
      </c>
      <c r="T126" s="1">
        <v>43220</v>
      </c>
      <c r="U126" s="1">
        <v>42867</v>
      </c>
      <c r="V126" t="s">
        <v>260</v>
      </c>
      <c r="W126">
        <v>571079500</v>
      </c>
      <c r="X126">
        <v>571079500</v>
      </c>
      <c r="Y126" t="s">
        <v>270</v>
      </c>
      <c r="Z126">
        <v>179263427</v>
      </c>
      <c r="AA126">
        <v>179263427</v>
      </c>
      <c r="AB126" t="b">
        <v>1</v>
      </c>
      <c r="AC126">
        <v>0.62</v>
      </c>
    </row>
    <row r="127" spans="1:29" hidden="1" x14ac:dyDescent="0.2">
      <c r="A127" t="b">
        <v>1</v>
      </c>
      <c r="B127" t="b">
        <v>0</v>
      </c>
      <c r="C127" t="b">
        <v>1</v>
      </c>
      <c r="D127" t="s">
        <v>248</v>
      </c>
      <c r="E127" t="b">
        <v>0</v>
      </c>
      <c r="F127" t="b">
        <v>0</v>
      </c>
      <c r="G127">
        <v>0</v>
      </c>
      <c r="H127" t="s">
        <v>582</v>
      </c>
      <c r="I127">
        <v>0</v>
      </c>
      <c r="J127">
        <v>0</v>
      </c>
      <c r="K127" t="s">
        <v>580</v>
      </c>
      <c r="L127" t="s">
        <v>583</v>
      </c>
      <c r="M127" t="s">
        <v>1950</v>
      </c>
      <c r="N127" t="s">
        <v>1961</v>
      </c>
      <c r="Q127" t="s">
        <v>2029</v>
      </c>
      <c r="R127" t="s">
        <v>2072</v>
      </c>
      <c r="S127" t="s">
        <v>257</v>
      </c>
      <c r="T127" s="1">
        <v>43220</v>
      </c>
      <c r="U127" s="1">
        <v>42867</v>
      </c>
      <c r="V127" t="s">
        <v>260</v>
      </c>
      <c r="W127">
        <v>571079500</v>
      </c>
      <c r="X127">
        <v>571079500</v>
      </c>
      <c r="Y127" t="s">
        <v>270</v>
      </c>
      <c r="Z127">
        <v>179263427</v>
      </c>
      <c r="AA127">
        <v>179263427</v>
      </c>
      <c r="AB127" t="b">
        <v>1</v>
      </c>
      <c r="AC127">
        <v>0.62</v>
      </c>
    </row>
    <row r="128" spans="1:29" hidden="1" x14ac:dyDescent="0.2">
      <c r="A128" t="b">
        <v>1</v>
      </c>
      <c r="B128" t="b">
        <v>0</v>
      </c>
      <c r="C128" t="b">
        <v>1</v>
      </c>
      <c r="D128" t="s">
        <v>248</v>
      </c>
      <c r="E128" t="b">
        <v>0</v>
      </c>
      <c r="F128" t="b">
        <v>0</v>
      </c>
      <c r="G128">
        <v>0</v>
      </c>
      <c r="H128" t="s">
        <v>582</v>
      </c>
      <c r="I128">
        <v>0</v>
      </c>
      <c r="J128">
        <v>0</v>
      </c>
      <c r="K128" t="s">
        <v>580</v>
      </c>
      <c r="L128" t="s">
        <v>583</v>
      </c>
      <c r="M128" t="s">
        <v>1985</v>
      </c>
      <c r="N128" t="s">
        <v>2170</v>
      </c>
      <c r="Q128" t="s">
        <v>2029</v>
      </c>
      <c r="R128" t="s">
        <v>2072</v>
      </c>
      <c r="S128" t="s">
        <v>257</v>
      </c>
      <c r="T128" s="1">
        <v>43220</v>
      </c>
      <c r="U128" s="1">
        <v>42867</v>
      </c>
      <c r="V128" t="s">
        <v>260</v>
      </c>
      <c r="W128">
        <v>571079500</v>
      </c>
      <c r="X128">
        <v>571079500</v>
      </c>
      <c r="Y128" t="s">
        <v>270</v>
      </c>
      <c r="Z128">
        <v>179263427</v>
      </c>
      <c r="AA128">
        <v>179263427</v>
      </c>
      <c r="AB128" t="b">
        <v>1</v>
      </c>
      <c r="AC128">
        <v>0.62</v>
      </c>
    </row>
    <row r="129" spans="1:29" hidden="1" x14ac:dyDescent="0.2">
      <c r="A129" t="b">
        <v>1</v>
      </c>
      <c r="B129" t="b">
        <v>0</v>
      </c>
      <c r="C129" t="b">
        <v>1</v>
      </c>
      <c r="D129" t="s">
        <v>248</v>
      </c>
      <c r="E129" t="b">
        <v>0</v>
      </c>
      <c r="F129" t="b">
        <v>0</v>
      </c>
      <c r="G129">
        <v>0</v>
      </c>
      <c r="H129" t="s">
        <v>582</v>
      </c>
      <c r="I129">
        <v>0</v>
      </c>
      <c r="J129">
        <v>0</v>
      </c>
      <c r="K129" t="s">
        <v>580</v>
      </c>
      <c r="L129" t="s">
        <v>583</v>
      </c>
      <c r="M129" t="s">
        <v>1950</v>
      </c>
      <c r="N129" t="s">
        <v>1962</v>
      </c>
      <c r="Q129" t="s">
        <v>2031</v>
      </c>
      <c r="R129" t="s">
        <v>2073</v>
      </c>
      <c r="S129" t="s">
        <v>257</v>
      </c>
      <c r="T129" s="1">
        <v>43220</v>
      </c>
      <c r="U129" s="1">
        <v>42868</v>
      </c>
      <c r="V129" t="s">
        <v>260</v>
      </c>
      <c r="W129">
        <v>650772000</v>
      </c>
      <c r="X129">
        <v>650772000</v>
      </c>
      <c r="Y129" t="s">
        <v>270</v>
      </c>
      <c r="Z129">
        <v>204279122</v>
      </c>
      <c r="AA129">
        <v>204279122</v>
      </c>
      <c r="AB129" t="b">
        <v>1</v>
      </c>
      <c r="AC129">
        <v>0.6</v>
      </c>
    </row>
    <row r="130" spans="1:29" hidden="1" x14ac:dyDescent="0.2">
      <c r="A130" t="b">
        <v>1</v>
      </c>
      <c r="B130" t="b">
        <v>0</v>
      </c>
      <c r="C130" t="b">
        <v>1</v>
      </c>
      <c r="D130" t="s">
        <v>248</v>
      </c>
      <c r="E130" t="b">
        <v>0</v>
      </c>
      <c r="F130" t="b">
        <v>0</v>
      </c>
      <c r="G130">
        <v>0</v>
      </c>
      <c r="H130" t="s">
        <v>582</v>
      </c>
      <c r="I130">
        <v>0</v>
      </c>
      <c r="J130">
        <v>0</v>
      </c>
      <c r="K130" t="s">
        <v>580</v>
      </c>
      <c r="L130" t="s">
        <v>583</v>
      </c>
      <c r="M130" t="s">
        <v>1985</v>
      </c>
      <c r="N130" t="s">
        <v>2024</v>
      </c>
      <c r="Q130" t="s">
        <v>1989</v>
      </c>
      <c r="R130" t="s">
        <v>2073</v>
      </c>
      <c r="S130" t="s">
        <v>257</v>
      </c>
      <c r="T130" s="1">
        <v>43220</v>
      </c>
      <c r="U130" s="1">
        <v>42868</v>
      </c>
      <c r="V130" t="s">
        <v>260</v>
      </c>
      <c r="W130">
        <v>650772000</v>
      </c>
      <c r="X130">
        <v>650772000</v>
      </c>
      <c r="Y130" t="s">
        <v>270</v>
      </c>
      <c r="Z130">
        <v>204279122</v>
      </c>
      <c r="AA130">
        <v>204279122</v>
      </c>
      <c r="AB130" t="b">
        <v>1</v>
      </c>
      <c r="AC130">
        <v>0.6</v>
      </c>
    </row>
    <row r="131" spans="1:29" hidden="1" x14ac:dyDescent="0.2">
      <c r="A131" t="b">
        <v>1</v>
      </c>
      <c r="B131" t="b">
        <v>0</v>
      </c>
      <c r="C131" t="b">
        <v>1</v>
      </c>
      <c r="D131" t="s">
        <v>248</v>
      </c>
      <c r="E131" t="b">
        <v>0</v>
      </c>
      <c r="F131" t="b">
        <v>0</v>
      </c>
      <c r="G131">
        <v>0</v>
      </c>
      <c r="H131" t="s">
        <v>582</v>
      </c>
      <c r="I131">
        <v>0</v>
      </c>
      <c r="J131">
        <v>0</v>
      </c>
      <c r="K131" t="s">
        <v>580</v>
      </c>
      <c r="L131" t="s">
        <v>583</v>
      </c>
      <c r="M131" t="s">
        <v>1950</v>
      </c>
      <c r="N131" t="s">
        <v>1960</v>
      </c>
      <c r="Q131" t="s">
        <v>2029</v>
      </c>
      <c r="R131" t="s">
        <v>2073</v>
      </c>
      <c r="S131" t="s">
        <v>257</v>
      </c>
      <c r="T131" s="1">
        <v>43220</v>
      </c>
      <c r="U131" s="1">
        <v>42868</v>
      </c>
      <c r="V131" t="s">
        <v>260</v>
      </c>
      <c r="W131">
        <v>650772000</v>
      </c>
      <c r="X131">
        <v>650772000</v>
      </c>
      <c r="Y131" t="s">
        <v>270</v>
      </c>
      <c r="Z131">
        <v>204279122</v>
      </c>
      <c r="AA131">
        <v>204279122</v>
      </c>
      <c r="AB131" t="b">
        <v>1</v>
      </c>
      <c r="AC131">
        <v>0.6</v>
      </c>
    </row>
    <row r="132" spans="1:29" hidden="1" x14ac:dyDescent="0.2">
      <c r="A132" t="b">
        <v>1</v>
      </c>
      <c r="B132" t="b">
        <v>0</v>
      </c>
      <c r="C132" t="b">
        <v>1</v>
      </c>
      <c r="D132" t="s">
        <v>248</v>
      </c>
      <c r="E132" t="b">
        <v>0</v>
      </c>
      <c r="F132" t="b">
        <v>0</v>
      </c>
      <c r="G132">
        <v>0</v>
      </c>
      <c r="H132" t="s">
        <v>582</v>
      </c>
      <c r="I132">
        <v>0</v>
      </c>
      <c r="J132">
        <v>0</v>
      </c>
      <c r="K132" t="s">
        <v>580</v>
      </c>
      <c r="L132" t="s">
        <v>583</v>
      </c>
      <c r="M132" t="s">
        <v>1985</v>
      </c>
      <c r="N132" t="s">
        <v>1986</v>
      </c>
      <c r="Q132" t="s">
        <v>2029</v>
      </c>
      <c r="R132" t="s">
        <v>2073</v>
      </c>
      <c r="S132" t="s">
        <v>257</v>
      </c>
      <c r="T132" s="1">
        <v>43220</v>
      </c>
      <c r="U132" s="1">
        <v>42868</v>
      </c>
      <c r="V132" t="s">
        <v>260</v>
      </c>
      <c r="W132">
        <v>650772000</v>
      </c>
      <c r="X132">
        <v>650772000</v>
      </c>
      <c r="Y132" t="s">
        <v>270</v>
      </c>
      <c r="Z132">
        <v>204279122</v>
      </c>
      <c r="AA132">
        <v>204279122</v>
      </c>
      <c r="AB132" t="b">
        <v>1</v>
      </c>
      <c r="AC132">
        <v>0.6</v>
      </c>
    </row>
    <row r="133" spans="1:29" hidden="1" x14ac:dyDescent="0.2">
      <c r="A133" t="b">
        <v>1</v>
      </c>
      <c r="B133" t="b">
        <v>0</v>
      </c>
      <c r="C133" t="b">
        <v>1</v>
      </c>
      <c r="D133" t="s">
        <v>248</v>
      </c>
      <c r="E133" t="b">
        <v>0</v>
      </c>
      <c r="F133" t="b">
        <v>0</v>
      </c>
      <c r="G133">
        <v>0</v>
      </c>
      <c r="H133" t="s">
        <v>582</v>
      </c>
      <c r="I133">
        <v>0</v>
      </c>
      <c r="J133">
        <v>0</v>
      </c>
      <c r="K133" t="s">
        <v>580</v>
      </c>
      <c r="L133" t="s">
        <v>583</v>
      </c>
      <c r="M133" t="s">
        <v>1950</v>
      </c>
      <c r="N133" t="s">
        <v>1955</v>
      </c>
      <c r="Q133" t="s">
        <v>2075</v>
      </c>
      <c r="R133" t="s">
        <v>2076</v>
      </c>
      <c r="S133" t="s">
        <v>343</v>
      </c>
      <c r="T133" s="1">
        <v>43396</v>
      </c>
      <c r="U133" s="1">
        <v>43496</v>
      </c>
      <c r="V133" t="s">
        <v>345</v>
      </c>
      <c r="W133">
        <v>1311000000</v>
      </c>
      <c r="X133">
        <v>1311000000</v>
      </c>
      <c r="Y133" t="s">
        <v>345</v>
      </c>
      <c r="Z133">
        <v>1311000000</v>
      </c>
      <c r="AA133">
        <v>67507723</v>
      </c>
      <c r="AB133" t="b">
        <v>1</v>
      </c>
      <c r="AC133">
        <v>0.8</v>
      </c>
    </row>
    <row r="134" spans="1:29" hidden="1" x14ac:dyDescent="0.2">
      <c r="A134" t="b">
        <v>1</v>
      </c>
      <c r="B134" t="b">
        <v>0</v>
      </c>
      <c r="C134" t="b">
        <v>1</v>
      </c>
      <c r="D134" t="s">
        <v>522</v>
      </c>
      <c r="E134" t="b">
        <v>0</v>
      </c>
      <c r="F134" t="b">
        <v>0</v>
      </c>
      <c r="G134" t="s">
        <v>1142</v>
      </c>
      <c r="H134" t="s">
        <v>1139</v>
      </c>
      <c r="I134">
        <v>0</v>
      </c>
      <c r="J134">
        <v>0</v>
      </c>
      <c r="K134" t="s">
        <v>1137</v>
      </c>
      <c r="L134" t="s">
        <v>1140</v>
      </c>
      <c r="M134" t="s">
        <v>1985</v>
      </c>
      <c r="N134" t="s">
        <v>1986</v>
      </c>
      <c r="Q134" t="s">
        <v>2075</v>
      </c>
      <c r="R134" t="s">
        <v>2076</v>
      </c>
      <c r="S134" t="s">
        <v>343</v>
      </c>
      <c r="T134" s="1">
        <v>43396</v>
      </c>
      <c r="U134" s="1">
        <v>43496</v>
      </c>
      <c r="V134" t="s">
        <v>345</v>
      </c>
      <c r="W134">
        <v>1311000000</v>
      </c>
      <c r="X134">
        <v>1311000000</v>
      </c>
      <c r="Y134" t="s">
        <v>345</v>
      </c>
      <c r="Z134">
        <v>1311000000</v>
      </c>
      <c r="AA134">
        <v>67507723</v>
      </c>
      <c r="AB134" t="b">
        <v>1</v>
      </c>
      <c r="AC134">
        <v>0.8</v>
      </c>
    </row>
    <row r="135" spans="1:29" x14ac:dyDescent="0.2">
      <c r="A135" t="b">
        <v>1</v>
      </c>
      <c r="B135" t="b">
        <v>0</v>
      </c>
      <c r="C135" t="b">
        <v>1</v>
      </c>
      <c r="D135" t="s">
        <v>522</v>
      </c>
      <c r="E135" t="b">
        <v>0</v>
      </c>
      <c r="F135" t="b">
        <v>0</v>
      </c>
      <c r="G135" t="s">
        <v>1142</v>
      </c>
      <c r="H135" t="s">
        <v>1139</v>
      </c>
      <c r="I135">
        <v>0</v>
      </c>
      <c r="J135">
        <v>0</v>
      </c>
      <c r="K135" t="s">
        <v>1137</v>
      </c>
      <c r="L135" t="s">
        <v>1140</v>
      </c>
      <c r="M135" t="s">
        <v>1950</v>
      </c>
      <c r="N135" t="s">
        <v>1955</v>
      </c>
      <c r="Q135" t="s">
        <v>2075</v>
      </c>
      <c r="R135" t="s">
        <v>2077</v>
      </c>
      <c r="S135" t="s">
        <v>343</v>
      </c>
      <c r="T135" s="1">
        <v>43396</v>
      </c>
      <c r="U135" s="1">
        <v>43496</v>
      </c>
      <c r="V135" t="s">
        <v>345</v>
      </c>
      <c r="W135">
        <v>744000000</v>
      </c>
      <c r="X135">
        <v>744000000</v>
      </c>
      <c r="Y135" t="s">
        <v>345</v>
      </c>
      <c r="Z135">
        <v>744000000</v>
      </c>
      <c r="AA135">
        <v>38311019</v>
      </c>
      <c r="AB135" t="b">
        <v>1</v>
      </c>
      <c r="AC135">
        <v>0.8</v>
      </c>
    </row>
    <row r="136" spans="1:29" hidden="1" x14ac:dyDescent="0.2">
      <c r="A136" t="b">
        <v>1</v>
      </c>
      <c r="B136" t="b">
        <v>0</v>
      </c>
      <c r="C136" t="b">
        <v>1</v>
      </c>
      <c r="D136" t="s">
        <v>522</v>
      </c>
      <c r="E136" t="b">
        <v>0</v>
      </c>
      <c r="F136" t="b">
        <v>0</v>
      </c>
      <c r="G136" t="s">
        <v>1142</v>
      </c>
      <c r="H136" t="s">
        <v>1139</v>
      </c>
      <c r="I136">
        <v>0</v>
      </c>
      <c r="J136">
        <v>0</v>
      </c>
      <c r="K136" t="s">
        <v>1137</v>
      </c>
      <c r="L136" t="s">
        <v>1140</v>
      </c>
      <c r="M136" t="s">
        <v>2063</v>
      </c>
      <c r="N136" t="s">
        <v>441</v>
      </c>
      <c r="Q136" t="s">
        <v>2075</v>
      </c>
      <c r="R136" t="s">
        <v>2077</v>
      </c>
      <c r="S136" t="s">
        <v>343</v>
      </c>
      <c r="T136" s="1">
        <v>43396</v>
      </c>
      <c r="U136" s="1">
        <v>43496</v>
      </c>
      <c r="V136" t="s">
        <v>345</v>
      </c>
      <c r="W136">
        <v>744000000</v>
      </c>
      <c r="X136">
        <v>744000000</v>
      </c>
      <c r="Y136" t="s">
        <v>345</v>
      </c>
      <c r="Z136">
        <v>744000000</v>
      </c>
      <c r="AA136">
        <v>38311019</v>
      </c>
      <c r="AB136" t="b">
        <v>1</v>
      </c>
      <c r="AC136">
        <v>0.8</v>
      </c>
    </row>
    <row r="137" spans="1:29" hidden="1" x14ac:dyDescent="0.2">
      <c r="A137" t="b">
        <v>1</v>
      </c>
      <c r="B137" t="b">
        <v>0</v>
      </c>
      <c r="C137" t="b">
        <v>1</v>
      </c>
      <c r="D137" t="s">
        <v>522</v>
      </c>
      <c r="E137" t="b">
        <v>0</v>
      </c>
      <c r="F137" t="b">
        <v>0</v>
      </c>
      <c r="G137" t="s">
        <v>1142</v>
      </c>
      <c r="H137" t="s">
        <v>1139</v>
      </c>
      <c r="I137">
        <v>0</v>
      </c>
      <c r="J137">
        <v>0</v>
      </c>
      <c r="K137" t="s">
        <v>1137</v>
      </c>
      <c r="L137" t="s">
        <v>1140</v>
      </c>
      <c r="M137" t="s">
        <v>2064</v>
      </c>
      <c r="N137" t="s">
        <v>441</v>
      </c>
      <c r="Q137" t="s">
        <v>2075</v>
      </c>
      <c r="R137" t="s">
        <v>2078</v>
      </c>
      <c r="S137" t="s">
        <v>343</v>
      </c>
      <c r="T137" s="1">
        <v>43396</v>
      </c>
      <c r="U137" s="1">
        <v>43496</v>
      </c>
      <c r="V137" t="s">
        <v>345</v>
      </c>
      <c r="W137">
        <v>448000000</v>
      </c>
      <c r="X137">
        <v>448000000</v>
      </c>
      <c r="Y137" t="s">
        <v>345</v>
      </c>
      <c r="Z137">
        <v>448000000</v>
      </c>
      <c r="AA137">
        <v>23069001</v>
      </c>
      <c r="AB137" t="b">
        <v>1</v>
      </c>
      <c r="AC137">
        <v>0.8</v>
      </c>
    </row>
    <row r="138" spans="1:29" hidden="1" x14ac:dyDescent="0.2">
      <c r="A138" t="b">
        <v>1</v>
      </c>
      <c r="B138" t="b">
        <v>0</v>
      </c>
      <c r="C138" t="b">
        <v>1</v>
      </c>
      <c r="D138" t="s">
        <v>248</v>
      </c>
      <c r="E138" t="b">
        <v>0</v>
      </c>
      <c r="F138" t="b">
        <v>0</v>
      </c>
      <c r="G138">
        <v>0</v>
      </c>
      <c r="H138" t="s">
        <v>1664</v>
      </c>
      <c r="I138">
        <v>0</v>
      </c>
      <c r="J138" t="s">
        <v>1665</v>
      </c>
      <c r="K138" t="s">
        <v>1662</v>
      </c>
      <c r="L138" t="s">
        <v>1666</v>
      </c>
      <c r="M138" t="s">
        <v>1985</v>
      </c>
      <c r="N138" t="s">
        <v>1986</v>
      </c>
      <c r="Q138" t="s">
        <v>2075</v>
      </c>
      <c r="R138" t="s">
        <v>2078</v>
      </c>
      <c r="S138" t="s">
        <v>343</v>
      </c>
      <c r="T138" s="1">
        <v>43396</v>
      </c>
      <c r="U138" s="1">
        <v>43496</v>
      </c>
      <c r="V138" t="s">
        <v>345</v>
      </c>
      <c r="W138">
        <v>448000000</v>
      </c>
      <c r="X138">
        <v>448000000</v>
      </c>
      <c r="Y138" t="s">
        <v>345</v>
      </c>
      <c r="Z138">
        <v>448000000</v>
      </c>
      <c r="AA138">
        <v>23069001</v>
      </c>
      <c r="AB138" t="b">
        <v>1</v>
      </c>
      <c r="AC138">
        <v>0.8</v>
      </c>
    </row>
    <row r="139" spans="1:29" hidden="1" x14ac:dyDescent="0.2">
      <c r="A139" t="b">
        <v>1</v>
      </c>
      <c r="B139" t="b">
        <v>0</v>
      </c>
      <c r="C139" t="b">
        <v>1</v>
      </c>
      <c r="D139" t="s">
        <v>248</v>
      </c>
      <c r="E139" t="b">
        <v>0</v>
      </c>
      <c r="F139" t="b">
        <v>0</v>
      </c>
      <c r="G139">
        <v>0</v>
      </c>
      <c r="H139" t="s">
        <v>1664</v>
      </c>
      <c r="I139">
        <v>0</v>
      </c>
      <c r="J139" t="s">
        <v>1665</v>
      </c>
      <c r="K139" t="s">
        <v>1662</v>
      </c>
      <c r="L139" t="s">
        <v>1666</v>
      </c>
      <c r="M139" t="s">
        <v>1950</v>
      </c>
      <c r="N139" t="s">
        <v>1955</v>
      </c>
      <c r="Q139" t="s">
        <v>2075</v>
      </c>
      <c r="R139" t="s">
        <v>2079</v>
      </c>
      <c r="S139" t="s">
        <v>343</v>
      </c>
      <c r="T139" s="1">
        <v>43791</v>
      </c>
      <c r="U139" s="1">
        <v>44157</v>
      </c>
      <c r="V139" t="s">
        <v>345</v>
      </c>
      <c r="W139">
        <v>529700000</v>
      </c>
      <c r="X139">
        <v>529700000</v>
      </c>
      <c r="Y139" t="s">
        <v>345</v>
      </c>
      <c r="Z139">
        <v>529700000</v>
      </c>
      <c r="AA139">
        <v>27318205</v>
      </c>
      <c r="AB139" t="b">
        <v>1</v>
      </c>
      <c r="AC139">
        <v>0.8</v>
      </c>
    </row>
    <row r="140" spans="1:29" hidden="1" x14ac:dyDescent="0.2">
      <c r="A140" t="b">
        <v>1</v>
      </c>
      <c r="B140" t="b">
        <v>0</v>
      </c>
      <c r="C140" t="b">
        <v>1</v>
      </c>
      <c r="D140" t="s">
        <v>248</v>
      </c>
      <c r="E140" t="b">
        <v>0</v>
      </c>
      <c r="F140" t="b">
        <v>0</v>
      </c>
      <c r="G140">
        <v>0</v>
      </c>
      <c r="H140" t="s">
        <v>1575</v>
      </c>
      <c r="I140">
        <v>0</v>
      </c>
      <c r="J140" t="s">
        <v>1576</v>
      </c>
      <c r="K140" t="s">
        <v>1573</v>
      </c>
      <c r="L140" t="s">
        <v>1577</v>
      </c>
      <c r="M140" t="s">
        <v>1985</v>
      </c>
      <c r="N140" t="s">
        <v>1986</v>
      </c>
      <c r="Q140" t="s">
        <v>2075</v>
      </c>
      <c r="R140" t="s">
        <v>2079</v>
      </c>
      <c r="S140" t="s">
        <v>343</v>
      </c>
      <c r="T140" s="1">
        <v>43791</v>
      </c>
      <c r="U140" s="1">
        <v>44157</v>
      </c>
      <c r="V140" t="s">
        <v>345</v>
      </c>
      <c r="W140">
        <v>529700000</v>
      </c>
      <c r="X140">
        <v>529700000</v>
      </c>
      <c r="Y140" t="s">
        <v>345</v>
      </c>
      <c r="Z140">
        <v>529700000</v>
      </c>
      <c r="AA140">
        <v>27318205</v>
      </c>
      <c r="AB140" t="b">
        <v>1</v>
      </c>
      <c r="AC140">
        <v>0.8</v>
      </c>
    </row>
    <row r="141" spans="1:29" hidden="1" x14ac:dyDescent="0.2">
      <c r="A141" t="b">
        <v>1</v>
      </c>
      <c r="B141" t="b">
        <v>0</v>
      </c>
      <c r="C141" t="b">
        <v>1</v>
      </c>
      <c r="D141" t="s">
        <v>248</v>
      </c>
      <c r="E141" t="b">
        <v>0</v>
      </c>
      <c r="F141" t="b">
        <v>0</v>
      </c>
      <c r="G141">
        <v>0</v>
      </c>
      <c r="H141" t="s">
        <v>1575</v>
      </c>
      <c r="I141">
        <v>0</v>
      </c>
      <c r="J141" t="s">
        <v>1576</v>
      </c>
      <c r="K141" t="s">
        <v>1573</v>
      </c>
      <c r="L141" t="s">
        <v>1577</v>
      </c>
      <c r="M141" t="s">
        <v>1950</v>
      </c>
      <c r="N141" t="s">
        <v>1955</v>
      </c>
      <c r="Q141" t="s">
        <v>2080</v>
      </c>
      <c r="R141" t="s">
        <v>2081</v>
      </c>
      <c r="S141" t="s">
        <v>343</v>
      </c>
      <c r="T141" s="1">
        <v>43791</v>
      </c>
      <c r="U141" s="1">
        <v>44157</v>
      </c>
      <c r="V141" t="s">
        <v>345</v>
      </c>
      <c r="W141">
        <v>242500000</v>
      </c>
      <c r="X141">
        <v>242500000</v>
      </c>
      <c r="Y141" t="s">
        <v>345</v>
      </c>
      <c r="Z141">
        <v>242500000</v>
      </c>
      <c r="AA141">
        <v>12506446</v>
      </c>
      <c r="AB141" t="b">
        <v>1</v>
      </c>
      <c r="AC141">
        <v>0.8</v>
      </c>
    </row>
    <row r="142" spans="1:29" hidden="1" x14ac:dyDescent="0.2">
      <c r="A142" t="b">
        <v>1</v>
      </c>
      <c r="B142" t="b">
        <v>1</v>
      </c>
      <c r="C142" t="b">
        <v>1</v>
      </c>
      <c r="D142" t="b">
        <v>0</v>
      </c>
      <c r="E142" t="b">
        <v>0</v>
      </c>
      <c r="F142" t="b">
        <v>0</v>
      </c>
      <c r="G142" t="s">
        <v>1529</v>
      </c>
      <c r="H142" t="s">
        <v>182</v>
      </c>
      <c r="I142">
        <v>0</v>
      </c>
      <c r="J142">
        <v>0</v>
      </c>
      <c r="K142" t="s">
        <v>1525</v>
      </c>
      <c r="L142" t="s">
        <v>1527</v>
      </c>
      <c r="M142" t="s">
        <v>1985</v>
      </c>
      <c r="N142" t="s">
        <v>2145</v>
      </c>
      <c r="Q142" t="s">
        <v>2082</v>
      </c>
      <c r="R142" t="s">
        <v>2081</v>
      </c>
      <c r="S142" t="s">
        <v>343</v>
      </c>
      <c r="T142" s="1">
        <v>43791</v>
      </c>
      <c r="U142" s="1">
        <v>44157</v>
      </c>
      <c r="V142" t="s">
        <v>345</v>
      </c>
      <c r="W142">
        <v>242500000</v>
      </c>
      <c r="X142">
        <v>242500000</v>
      </c>
      <c r="Y142" t="s">
        <v>345</v>
      </c>
      <c r="Z142">
        <v>242500000</v>
      </c>
      <c r="AA142">
        <v>12506446</v>
      </c>
      <c r="AB142" t="b">
        <v>1</v>
      </c>
      <c r="AC142">
        <v>0.8</v>
      </c>
    </row>
    <row r="143" spans="1:29" hidden="1" x14ac:dyDescent="0.2">
      <c r="A143" t="b">
        <v>1</v>
      </c>
      <c r="B143" t="b">
        <v>1</v>
      </c>
      <c r="C143" t="b">
        <v>1</v>
      </c>
      <c r="D143" t="b">
        <v>0</v>
      </c>
      <c r="E143" t="b">
        <v>0</v>
      </c>
      <c r="F143" t="b">
        <v>0</v>
      </c>
      <c r="G143" t="s">
        <v>1529</v>
      </c>
      <c r="H143" t="s">
        <v>182</v>
      </c>
      <c r="I143">
        <v>0</v>
      </c>
      <c r="J143">
        <v>0</v>
      </c>
      <c r="K143" t="s">
        <v>1525</v>
      </c>
      <c r="L143" t="s">
        <v>1527</v>
      </c>
      <c r="M143" t="s">
        <v>1950</v>
      </c>
      <c r="N143" t="s">
        <v>1958</v>
      </c>
      <c r="Q143" t="s">
        <v>2075</v>
      </c>
      <c r="R143" t="s">
        <v>2083</v>
      </c>
      <c r="S143" t="s">
        <v>343</v>
      </c>
      <c r="T143" s="1">
        <v>43791</v>
      </c>
      <c r="U143" s="1">
        <v>44157</v>
      </c>
      <c r="V143" t="s">
        <v>345</v>
      </c>
      <c r="W143">
        <v>287000000</v>
      </c>
      <c r="X143">
        <v>287000000</v>
      </c>
      <c r="Y143" t="s">
        <v>345</v>
      </c>
      <c r="Z143">
        <v>287000000</v>
      </c>
      <c r="AA143">
        <v>14801444</v>
      </c>
      <c r="AB143" t="b">
        <v>1</v>
      </c>
      <c r="AC143">
        <v>0.8</v>
      </c>
    </row>
    <row r="144" spans="1:29" hidden="1" x14ac:dyDescent="0.2">
      <c r="A144" t="b">
        <v>1</v>
      </c>
      <c r="B144" t="b">
        <v>1</v>
      </c>
      <c r="C144" t="b">
        <v>1</v>
      </c>
      <c r="D144" t="b">
        <v>0</v>
      </c>
      <c r="E144" t="b">
        <v>0</v>
      </c>
      <c r="F144" t="b">
        <v>0</v>
      </c>
      <c r="G144" t="s">
        <v>1529</v>
      </c>
      <c r="H144" t="s">
        <v>182</v>
      </c>
      <c r="I144">
        <v>0</v>
      </c>
      <c r="J144">
        <v>0</v>
      </c>
      <c r="K144" t="s">
        <v>1525</v>
      </c>
      <c r="L144" t="s">
        <v>1527</v>
      </c>
      <c r="M144" t="s">
        <v>2063</v>
      </c>
      <c r="N144" t="s">
        <v>441</v>
      </c>
      <c r="Q144" t="s">
        <v>2075</v>
      </c>
      <c r="R144" t="s">
        <v>2083</v>
      </c>
      <c r="S144" t="s">
        <v>343</v>
      </c>
      <c r="T144" s="1">
        <v>43791</v>
      </c>
      <c r="U144" s="1">
        <v>44157</v>
      </c>
      <c r="V144" t="s">
        <v>345</v>
      </c>
      <c r="W144">
        <v>287000000</v>
      </c>
      <c r="X144">
        <v>287000000</v>
      </c>
      <c r="Y144" t="s">
        <v>345</v>
      </c>
      <c r="Z144">
        <v>287000000</v>
      </c>
      <c r="AA144">
        <v>14801444</v>
      </c>
      <c r="AB144" t="b">
        <v>1</v>
      </c>
      <c r="AC144">
        <v>0.8</v>
      </c>
    </row>
    <row r="145" spans="1:29" hidden="1" x14ac:dyDescent="0.2">
      <c r="A145" t="b">
        <v>1</v>
      </c>
      <c r="B145" t="b">
        <v>1</v>
      </c>
      <c r="C145" t="b">
        <v>1</v>
      </c>
      <c r="D145" t="b">
        <v>0</v>
      </c>
      <c r="E145" t="b">
        <v>0</v>
      </c>
      <c r="F145" t="b">
        <v>0</v>
      </c>
      <c r="G145" t="s">
        <v>1529</v>
      </c>
      <c r="H145" t="s">
        <v>182</v>
      </c>
      <c r="I145">
        <v>0</v>
      </c>
      <c r="J145">
        <v>0</v>
      </c>
      <c r="K145" t="s">
        <v>1525</v>
      </c>
      <c r="L145" t="s">
        <v>1527</v>
      </c>
      <c r="M145" t="s">
        <v>2064</v>
      </c>
      <c r="N145" t="s">
        <v>441</v>
      </c>
      <c r="Q145" t="s">
        <v>2075</v>
      </c>
      <c r="R145" t="s">
        <v>2084</v>
      </c>
      <c r="S145" t="s">
        <v>343</v>
      </c>
      <c r="T145" s="1">
        <v>43791</v>
      </c>
      <c r="U145" s="1">
        <v>44157</v>
      </c>
      <c r="V145" t="s">
        <v>345</v>
      </c>
      <c r="W145">
        <v>144400000</v>
      </c>
      <c r="X145">
        <v>144400000</v>
      </c>
      <c r="Y145" t="s">
        <v>345</v>
      </c>
      <c r="Z145">
        <v>144400000</v>
      </c>
      <c r="AA145">
        <v>7447137</v>
      </c>
      <c r="AB145" t="b">
        <v>1</v>
      </c>
      <c r="AC145">
        <v>0.8</v>
      </c>
    </row>
    <row r="146" spans="1:29" hidden="1" x14ac:dyDescent="0.2">
      <c r="A146" t="b">
        <v>1</v>
      </c>
      <c r="B146" t="b">
        <v>0</v>
      </c>
      <c r="C146" t="b">
        <v>1</v>
      </c>
      <c r="D146" t="b">
        <v>0</v>
      </c>
      <c r="E146" t="b">
        <v>0</v>
      </c>
      <c r="F146" t="s">
        <v>361</v>
      </c>
      <c r="G146">
        <v>0</v>
      </c>
      <c r="H146" t="s">
        <v>741</v>
      </c>
      <c r="I146">
        <v>0</v>
      </c>
      <c r="J146">
        <v>0</v>
      </c>
      <c r="K146" t="s">
        <v>739</v>
      </c>
      <c r="L146" t="s">
        <v>742</v>
      </c>
      <c r="M146" t="s">
        <v>1985</v>
      </c>
      <c r="N146" t="s">
        <v>2074</v>
      </c>
      <c r="Q146" t="s">
        <v>2075</v>
      </c>
      <c r="R146" t="s">
        <v>2084</v>
      </c>
      <c r="S146" t="s">
        <v>343</v>
      </c>
      <c r="T146" s="1">
        <v>43791</v>
      </c>
      <c r="U146" s="1">
        <v>44157</v>
      </c>
      <c r="V146" t="s">
        <v>345</v>
      </c>
      <c r="W146">
        <v>144400000</v>
      </c>
      <c r="X146">
        <v>144400000</v>
      </c>
      <c r="Y146" t="s">
        <v>345</v>
      </c>
      <c r="Z146">
        <v>144400000</v>
      </c>
      <c r="AA146">
        <v>7447137</v>
      </c>
      <c r="AB146" t="b">
        <v>1</v>
      </c>
      <c r="AC146">
        <v>0.8</v>
      </c>
    </row>
    <row r="147" spans="1:29" hidden="1" x14ac:dyDescent="0.2">
      <c r="A147" t="b">
        <v>1</v>
      </c>
      <c r="B147" t="b">
        <v>0</v>
      </c>
      <c r="C147" t="b">
        <v>1</v>
      </c>
      <c r="D147" t="b">
        <v>0</v>
      </c>
      <c r="E147" t="b">
        <v>0</v>
      </c>
      <c r="F147" t="s">
        <v>361</v>
      </c>
      <c r="G147">
        <v>0</v>
      </c>
      <c r="H147" t="s">
        <v>741</v>
      </c>
      <c r="I147">
        <v>0</v>
      </c>
      <c r="J147">
        <v>0</v>
      </c>
      <c r="K147" t="s">
        <v>739</v>
      </c>
      <c r="L147" t="s">
        <v>742</v>
      </c>
      <c r="M147" t="s">
        <v>1950</v>
      </c>
      <c r="N147" t="s">
        <v>1961</v>
      </c>
      <c r="Q147" t="s">
        <v>2031</v>
      </c>
      <c r="R147" t="s">
        <v>2085</v>
      </c>
      <c r="S147" t="s">
        <v>257</v>
      </c>
      <c r="T147" s="1">
        <v>43669</v>
      </c>
      <c r="U147" s="1">
        <v>43920</v>
      </c>
      <c r="V147" t="s">
        <v>260</v>
      </c>
      <c r="W147">
        <v>12600000</v>
      </c>
      <c r="X147">
        <v>12600000</v>
      </c>
      <c r="Y147" t="s">
        <v>260</v>
      </c>
      <c r="Z147">
        <v>12600000</v>
      </c>
      <c r="AA147">
        <v>2426016</v>
      </c>
      <c r="AB147" t="b">
        <v>1</v>
      </c>
      <c r="AC147">
        <v>0.08</v>
      </c>
    </row>
    <row r="148" spans="1:29" hidden="1" x14ac:dyDescent="0.2">
      <c r="A148" t="b">
        <v>1</v>
      </c>
      <c r="B148" t="b">
        <v>0</v>
      </c>
      <c r="C148" t="b">
        <v>1</v>
      </c>
      <c r="D148" t="b">
        <v>0</v>
      </c>
      <c r="E148" t="b">
        <v>0</v>
      </c>
      <c r="F148" t="s">
        <v>361</v>
      </c>
      <c r="G148">
        <v>0</v>
      </c>
      <c r="H148" t="s">
        <v>1597</v>
      </c>
      <c r="I148" t="s">
        <v>1598</v>
      </c>
      <c r="J148">
        <v>0</v>
      </c>
      <c r="K148" t="s">
        <v>1595</v>
      </c>
      <c r="L148" t="s">
        <v>1599</v>
      </c>
      <c r="M148" t="s">
        <v>1985</v>
      </c>
      <c r="N148" t="s">
        <v>1994</v>
      </c>
      <c r="Q148" t="s">
        <v>1989</v>
      </c>
      <c r="R148" t="s">
        <v>2085</v>
      </c>
      <c r="S148" t="s">
        <v>257</v>
      </c>
      <c r="T148" s="1">
        <v>43669</v>
      </c>
      <c r="U148" s="1">
        <v>43920</v>
      </c>
      <c r="V148" t="s">
        <v>260</v>
      </c>
      <c r="W148">
        <v>12600000</v>
      </c>
      <c r="X148">
        <v>12600000</v>
      </c>
      <c r="Y148" t="s">
        <v>260</v>
      </c>
      <c r="Z148">
        <v>12600000</v>
      </c>
      <c r="AA148">
        <v>2426016</v>
      </c>
      <c r="AB148" t="b">
        <v>1</v>
      </c>
      <c r="AC148">
        <v>0.08</v>
      </c>
    </row>
    <row r="149" spans="1:29" hidden="1" x14ac:dyDescent="0.2">
      <c r="A149" t="b">
        <v>1</v>
      </c>
      <c r="B149" t="b">
        <v>0</v>
      </c>
      <c r="C149" t="b">
        <v>1</v>
      </c>
      <c r="D149" t="b">
        <v>0</v>
      </c>
      <c r="E149" t="b">
        <v>0</v>
      </c>
      <c r="F149" t="s">
        <v>361</v>
      </c>
      <c r="G149">
        <v>0</v>
      </c>
      <c r="H149" t="s">
        <v>1597</v>
      </c>
      <c r="I149" t="s">
        <v>1598</v>
      </c>
      <c r="J149">
        <v>0</v>
      </c>
      <c r="K149" t="s">
        <v>1595</v>
      </c>
      <c r="L149" t="s">
        <v>1599</v>
      </c>
      <c r="M149" t="s">
        <v>1950</v>
      </c>
      <c r="N149" t="s">
        <v>1956</v>
      </c>
      <c r="Q149" t="s">
        <v>2087</v>
      </c>
      <c r="R149" t="s">
        <v>2088</v>
      </c>
      <c r="S149" t="s">
        <v>351</v>
      </c>
      <c r="T149" s="1">
        <v>43829</v>
      </c>
      <c r="U149" s="1">
        <v>43829</v>
      </c>
      <c r="V149" t="s">
        <v>270</v>
      </c>
      <c r="W149">
        <v>4883113.12</v>
      </c>
      <c r="X149">
        <v>4883113.12</v>
      </c>
      <c r="Y149" t="s">
        <v>270</v>
      </c>
      <c r="Z149">
        <v>4883113.12</v>
      </c>
      <c r="AA149">
        <v>4883113</v>
      </c>
      <c r="AB149" t="b">
        <v>0</v>
      </c>
      <c r="AC149">
        <v>0.5</v>
      </c>
    </row>
    <row r="150" spans="1:29" hidden="1" x14ac:dyDescent="0.2">
      <c r="A150" t="b">
        <v>1</v>
      </c>
      <c r="B150" t="b">
        <v>0</v>
      </c>
      <c r="C150" t="b">
        <v>1</v>
      </c>
      <c r="D150" t="b">
        <v>0</v>
      </c>
      <c r="E150" t="b">
        <v>0</v>
      </c>
      <c r="F150" t="s">
        <v>361</v>
      </c>
      <c r="G150">
        <v>0</v>
      </c>
      <c r="H150" t="s">
        <v>1597</v>
      </c>
      <c r="I150" t="s">
        <v>1598</v>
      </c>
      <c r="J150">
        <v>0</v>
      </c>
      <c r="K150" t="s">
        <v>1595</v>
      </c>
      <c r="L150" t="s">
        <v>1599</v>
      </c>
      <c r="M150" t="s">
        <v>2063</v>
      </c>
      <c r="N150" t="s">
        <v>441</v>
      </c>
      <c r="Q150" t="s">
        <v>2087</v>
      </c>
      <c r="R150" t="s">
        <v>2088</v>
      </c>
      <c r="S150" t="s">
        <v>351</v>
      </c>
      <c r="T150" s="1">
        <v>43829</v>
      </c>
      <c r="U150" s="1">
        <v>43829</v>
      </c>
      <c r="V150" t="s">
        <v>270</v>
      </c>
      <c r="W150">
        <v>4883113.12</v>
      </c>
      <c r="X150">
        <v>4883113.12</v>
      </c>
      <c r="Y150" t="s">
        <v>270</v>
      </c>
      <c r="Z150">
        <v>4883113.12</v>
      </c>
      <c r="AA150">
        <v>4883113</v>
      </c>
      <c r="AB150" t="b">
        <v>0</v>
      </c>
      <c r="AC150">
        <v>0.5</v>
      </c>
    </row>
    <row r="151" spans="1:29" hidden="1" x14ac:dyDescent="0.2">
      <c r="A151" t="b">
        <v>1</v>
      </c>
      <c r="B151" t="b">
        <v>0</v>
      </c>
      <c r="C151" t="b">
        <v>1</v>
      </c>
      <c r="D151" t="b">
        <v>0</v>
      </c>
      <c r="E151" t="b">
        <v>0</v>
      </c>
      <c r="F151" t="s">
        <v>361</v>
      </c>
      <c r="G151">
        <v>0</v>
      </c>
      <c r="H151" t="s">
        <v>1597</v>
      </c>
      <c r="I151" t="s">
        <v>1598</v>
      </c>
      <c r="J151">
        <v>0</v>
      </c>
      <c r="K151" t="s">
        <v>1595</v>
      </c>
      <c r="L151" t="s">
        <v>1599</v>
      </c>
      <c r="M151" t="s">
        <v>2064</v>
      </c>
      <c r="N151" t="s">
        <v>441</v>
      </c>
      <c r="Q151" t="s">
        <v>1987</v>
      </c>
      <c r="R151" t="s">
        <v>2089</v>
      </c>
      <c r="S151" t="s">
        <v>351</v>
      </c>
      <c r="T151" s="1">
        <v>43829</v>
      </c>
      <c r="U151" s="1">
        <v>43829</v>
      </c>
      <c r="V151" t="s">
        <v>270</v>
      </c>
      <c r="W151">
        <v>25135478.809999999</v>
      </c>
      <c r="X151">
        <v>25135478.809999999</v>
      </c>
      <c r="Y151" t="s">
        <v>270</v>
      </c>
      <c r="Z151">
        <v>25135478.809999999</v>
      </c>
      <c r="AA151">
        <v>25135478</v>
      </c>
      <c r="AB151" t="b">
        <v>0</v>
      </c>
      <c r="AC151">
        <v>0.6</v>
      </c>
    </row>
    <row r="152" spans="1:29" hidden="1" x14ac:dyDescent="0.2">
      <c r="A152" t="b">
        <v>1</v>
      </c>
      <c r="B152" t="b">
        <v>0</v>
      </c>
      <c r="C152" t="b">
        <v>1</v>
      </c>
      <c r="D152" t="b">
        <v>0</v>
      </c>
      <c r="E152" t="b">
        <v>0</v>
      </c>
      <c r="F152" t="s">
        <v>361</v>
      </c>
      <c r="G152">
        <v>0</v>
      </c>
      <c r="H152" t="s">
        <v>363</v>
      </c>
      <c r="I152" t="s">
        <v>364</v>
      </c>
      <c r="J152">
        <v>0</v>
      </c>
      <c r="K152" t="s">
        <v>360</v>
      </c>
      <c r="L152" t="s">
        <v>365</v>
      </c>
      <c r="M152" t="s">
        <v>1985</v>
      </c>
      <c r="N152" t="s">
        <v>1994</v>
      </c>
      <c r="Q152" t="s">
        <v>1989</v>
      </c>
      <c r="R152" t="s">
        <v>2089</v>
      </c>
      <c r="S152" t="s">
        <v>351</v>
      </c>
      <c r="T152" s="1">
        <v>43829</v>
      </c>
      <c r="U152" s="1">
        <v>43829</v>
      </c>
      <c r="V152" t="s">
        <v>270</v>
      </c>
      <c r="W152">
        <v>25135478.809999999</v>
      </c>
      <c r="X152">
        <v>25135478.809999999</v>
      </c>
      <c r="Y152" t="s">
        <v>270</v>
      </c>
      <c r="Z152">
        <v>25135478.809999999</v>
      </c>
      <c r="AA152">
        <v>25135478</v>
      </c>
      <c r="AB152" t="b">
        <v>0</v>
      </c>
      <c r="AC152">
        <v>0.6</v>
      </c>
    </row>
    <row r="153" spans="1:29" hidden="1" x14ac:dyDescent="0.2">
      <c r="A153" t="b">
        <v>1</v>
      </c>
      <c r="B153" t="b">
        <v>0</v>
      </c>
      <c r="C153" t="b">
        <v>1</v>
      </c>
      <c r="D153" t="b">
        <v>0</v>
      </c>
      <c r="E153" t="b">
        <v>0</v>
      </c>
      <c r="F153" t="s">
        <v>361</v>
      </c>
      <c r="G153">
        <v>0</v>
      </c>
      <c r="H153" t="s">
        <v>363</v>
      </c>
      <c r="I153" t="s">
        <v>364</v>
      </c>
      <c r="J153">
        <v>0</v>
      </c>
      <c r="K153" t="s">
        <v>360</v>
      </c>
      <c r="L153" t="s">
        <v>365</v>
      </c>
      <c r="M153" t="s">
        <v>1950</v>
      </c>
      <c r="N153" t="s">
        <v>1956</v>
      </c>
      <c r="Q153" t="s">
        <v>1987</v>
      </c>
      <c r="R153" t="s">
        <v>2090</v>
      </c>
      <c r="S153" t="s">
        <v>351</v>
      </c>
      <c r="T153" s="1">
        <v>43829</v>
      </c>
      <c r="U153" s="1">
        <v>43829</v>
      </c>
      <c r="V153" t="s">
        <v>270</v>
      </c>
      <c r="W153">
        <v>7704959.2999999998</v>
      </c>
      <c r="X153">
        <v>7704959.2999999998</v>
      </c>
      <c r="Y153" t="s">
        <v>270</v>
      </c>
      <c r="Z153">
        <v>7704959.2999999998</v>
      </c>
      <c r="AA153">
        <v>7704959</v>
      </c>
      <c r="AB153" t="b">
        <v>0</v>
      </c>
      <c r="AC153">
        <v>0.4</v>
      </c>
    </row>
    <row r="154" spans="1:29" hidden="1" x14ac:dyDescent="0.2">
      <c r="A154" t="b">
        <v>1</v>
      </c>
      <c r="B154" t="b">
        <v>0</v>
      </c>
      <c r="C154" t="b">
        <v>1</v>
      </c>
      <c r="D154" t="b">
        <v>0</v>
      </c>
      <c r="E154" t="b">
        <v>0</v>
      </c>
      <c r="F154" t="s">
        <v>361</v>
      </c>
      <c r="G154">
        <v>0</v>
      </c>
      <c r="H154" t="s">
        <v>363</v>
      </c>
      <c r="I154" t="s">
        <v>364</v>
      </c>
      <c r="J154">
        <v>0</v>
      </c>
      <c r="K154" t="s">
        <v>360</v>
      </c>
      <c r="L154" t="s">
        <v>365</v>
      </c>
      <c r="M154" t="s">
        <v>2063</v>
      </c>
      <c r="N154" t="s">
        <v>441</v>
      </c>
      <c r="Q154" t="s">
        <v>1989</v>
      </c>
      <c r="R154" t="s">
        <v>2090</v>
      </c>
      <c r="S154" t="s">
        <v>351</v>
      </c>
      <c r="T154" s="1">
        <v>43829</v>
      </c>
      <c r="U154" s="1">
        <v>43829</v>
      </c>
      <c r="V154" t="s">
        <v>270</v>
      </c>
      <c r="W154">
        <v>7704959.2999999998</v>
      </c>
      <c r="X154">
        <v>7704959.2999999998</v>
      </c>
      <c r="Y154" t="s">
        <v>270</v>
      </c>
      <c r="Z154">
        <v>7704959.2999999998</v>
      </c>
      <c r="AA154">
        <v>7704959</v>
      </c>
      <c r="AB154" t="b">
        <v>0</v>
      </c>
      <c r="AC154">
        <v>0.4</v>
      </c>
    </row>
    <row r="155" spans="1:29" hidden="1" x14ac:dyDescent="0.2">
      <c r="A155" t="b">
        <v>1</v>
      </c>
      <c r="B155" t="b">
        <v>0</v>
      </c>
      <c r="C155" t="b">
        <v>1</v>
      </c>
      <c r="D155" t="b">
        <v>0</v>
      </c>
      <c r="E155" t="b">
        <v>0</v>
      </c>
      <c r="F155" t="s">
        <v>361</v>
      </c>
      <c r="G155">
        <v>0</v>
      </c>
      <c r="H155" t="s">
        <v>363</v>
      </c>
      <c r="I155" t="s">
        <v>364</v>
      </c>
      <c r="J155">
        <v>0</v>
      </c>
      <c r="K155" t="s">
        <v>360</v>
      </c>
      <c r="L155" t="s">
        <v>365</v>
      </c>
      <c r="M155" t="s">
        <v>2064</v>
      </c>
      <c r="N155" t="s">
        <v>441</v>
      </c>
      <c r="Q155" t="s">
        <v>1987</v>
      </c>
      <c r="R155" t="s">
        <v>2091</v>
      </c>
      <c r="S155" t="s">
        <v>351</v>
      </c>
      <c r="T155" s="1">
        <v>43829</v>
      </c>
      <c r="U155" s="1">
        <v>43829</v>
      </c>
      <c r="V155" t="s">
        <v>270</v>
      </c>
      <c r="W155">
        <v>20176348.390000001</v>
      </c>
      <c r="X155">
        <v>20176348.390000001</v>
      </c>
      <c r="Y155" t="s">
        <v>270</v>
      </c>
      <c r="Z155">
        <v>20176348.390000001</v>
      </c>
      <c r="AA155">
        <v>20176348</v>
      </c>
      <c r="AB155" t="b">
        <v>0</v>
      </c>
      <c r="AC155">
        <v>0.3</v>
      </c>
    </row>
    <row r="156" spans="1:29" hidden="1" x14ac:dyDescent="0.2">
      <c r="A156" t="b">
        <v>1</v>
      </c>
      <c r="B156" t="b">
        <v>0</v>
      </c>
      <c r="C156" t="b">
        <v>1</v>
      </c>
      <c r="D156" t="s">
        <v>248</v>
      </c>
      <c r="E156" t="b">
        <v>0</v>
      </c>
      <c r="F156" t="b">
        <v>0</v>
      </c>
      <c r="G156" t="s">
        <v>1647</v>
      </c>
      <c r="H156" t="s">
        <v>1643</v>
      </c>
      <c r="I156" t="s">
        <v>1644</v>
      </c>
      <c r="J156">
        <v>0</v>
      </c>
      <c r="K156" t="s">
        <v>1641</v>
      </c>
      <c r="L156" t="s">
        <v>1645</v>
      </c>
      <c r="M156" t="s">
        <v>1985</v>
      </c>
      <c r="N156" t="s">
        <v>1986</v>
      </c>
      <c r="Q156" t="s">
        <v>1989</v>
      </c>
      <c r="R156" t="s">
        <v>2091</v>
      </c>
      <c r="S156" t="s">
        <v>351</v>
      </c>
      <c r="T156" s="1">
        <v>43829</v>
      </c>
      <c r="U156" s="1">
        <v>43829</v>
      </c>
      <c r="V156" t="s">
        <v>270</v>
      </c>
      <c r="W156">
        <v>20176348.390000001</v>
      </c>
      <c r="X156">
        <v>20176348.390000001</v>
      </c>
      <c r="Y156" t="s">
        <v>270</v>
      </c>
      <c r="Z156">
        <v>20176348.390000001</v>
      </c>
      <c r="AA156">
        <v>20176348</v>
      </c>
      <c r="AB156" t="b">
        <v>0</v>
      </c>
      <c r="AC156">
        <v>0.3</v>
      </c>
    </row>
    <row r="157" spans="1:29" hidden="1" x14ac:dyDescent="0.2">
      <c r="A157" t="b">
        <v>1</v>
      </c>
      <c r="B157" t="b">
        <v>0</v>
      </c>
      <c r="C157" t="b">
        <v>1</v>
      </c>
      <c r="D157" t="s">
        <v>248</v>
      </c>
      <c r="E157" t="b">
        <v>0</v>
      </c>
      <c r="F157" t="b">
        <v>0</v>
      </c>
      <c r="G157" t="s">
        <v>1647</v>
      </c>
      <c r="H157" t="s">
        <v>1643</v>
      </c>
      <c r="I157" t="s">
        <v>1644</v>
      </c>
      <c r="J157">
        <v>0</v>
      </c>
      <c r="K157" t="s">
        <v>1641</v>
      </c>
      <c r="L157" t="s">
        <v>1645</v>
      </c>
      <c r="M157" t="s">
        <v>1950</v>
      </c>
      <c r="N157" t="s">
        <v>1955</v>
      </c>
      <c r="Q157" t="s">
        <v>1987</v>
      </c>
      <c r="R157" t="s">
        <v>2092</v>
      </c>
      <c r="S157" t="s">
        <v>351</v>
      </c>
      <c r="T157" s="1">
        <v>43829</v>
      </c>
      <c r="U157" s="1">
        <v>43829</v>
      </c>
      <c r="V157" t="s">
        <v>270</v>
      </c>
      <c r="W157">
        <v>43741535.009999998</v>
      </c>
      <c r="X157">
        <v>43741535.009999998</v>
      </c>
      <c r="Y157" t="s">
        <v>270</v>
      </c>
      <c r="Z157">
        <v>43741535.009999998</v>
      </c>
      <c r="AA157">
        <v>43741535</v>
      </c>
      <c r="AB157" t="b">
        <v>0</v>
      </c>
      <c r="AC157">
        <v>0.1</v>
      </c>
    </row>
    <row r="158" spans="1:29" hidden="1" x14ac:dyDescent="0.2">
      <c r="A158" t="b">
        <v>1</v>
      </c>
      <c r="B158" t="b">
        <v>0</v>
      </c>
      <c r="C158" t="b">
        <v>1</v>
      </c>
      <c r="D158" t="s">
        <v>522</v>
      </c>
      <c r="E158" t="b">
        <v>0</v>
      </c>
      <c r="F158" t="b">
        <v>0</v>
      </c>
      <c r="G158" t="s">
        <v>1191</v>
      </c>
      <c r="H158" t="s">
        <v>124</v>
      </c>
      <c r="I158" t="s">
        <v>1188</v>
      </c>
      <c r="J158">
        <v>0</v>
      </c>
      <c r="K158" t="s">
        <v>1186</v>
      </c>
      <c r="L158" t="s">
        <v>1189</v>
      </c>
      <c r="M158" t="s">
        <v>1985</v>
      </c>
      <c r="N158" t="s">
        <v>2074</v>
      </c>
      <c r="Q158" t="s">
        <v>1989</v>
      </c>
      <c r="R158" t="s">
        <v>2092</v>
      </c>
      <c r="S158" t="s">
        <v>351</v>
      </c>
      <c r="T158" s="1">
        <v>43829</v>
      </c>
      <c r="U158" s="1">
        <v>43829</v>
      </c>
      <c r="V158" t="s">
        <v>270</v>
      </c>
      <c r="W158">
        <v>43741535.009999998</v>
      </c>
      <c r="X158">
        <v>43741535.009999998</v>
      </c>
      <c r="Y158" t="s">
        <v>270</v>
      </c>
      <c r="Z158">
        <v>43741535.009999998</v>
      </c>
      <c r="AA158">
        <v>43741535</v>
      </c>
      <c r="AB158" t="b">
        <v>0</v>
      </c>
      <c r="AC158">
        <v>0.1</v>
      </c>
    </row>
    <row r="159" spans="1:29" x14ac:dyDescent="0.2">
      <c r="A159" t="b">
        <v>1</v>
      </c>
      <c r="B159" t="b">
        <v>0</v>
      </c>
      <c r="C159" t="b">
        <v>1</v>
      </c>
      <c r="D159" t="s">
        <v>522</v>
      </c>
      <c r="E159" t="b">
        <v>0</v>
      </c>
      <c r="F159" t="b">
        <v>0</v>
      </c>
      <c r="G159" t="s">
        <v>1191</v>
      </c>
      <c r="H159" t="s">
        <v>124</v>
      </c>
      <c r="I159" t="s">
        <v>1188</v>
      </c>
      <c r="J159">
        <v>0</v>
      </c>
      <c r="K159" t="s">
        <v>1186</v>
      </c>
      <c r="L159" t="s">
        <v>1189</v>
      </c>
      <c r="M159" t="s">
        <v>1950</v>
      </c>
      <c r="N159" t="s">
        <v>1961</v>
      </c>
      <c r="Q159" t="s">
        <v>1987</v>
      </c>
      <c r="R159" t="s">
        <v>2093</v>
      </c>
      <c r="S159" t="s">
        <v>351</v>
      </c>
      <c r="T159" s="1">
        <v>43829</v>
      </c>
      <c r="U159" s="1">
        <v>43829</v>
      </c>
      <c r="V159" t="s">
        <v>270</v>
      </c>
      <c r="W159">
        <v>94864266.329999998</v>
      </c>
      <c r="X159">
        <v>94864266.329999998</v>
      </c>
      <c r="Y159" t="s">
        <v>270</v>
      </c>
      <c r="Z159">
        <v>94864266.329999998</v>
      </c>
      <c r="AA159">
        <v>94864266</v>
      </c>
      <c r="AB159" t="b">
        <v>0</v>
      </c>
      <c r="AC159">
        <v>0.9</v>
      </c>
    </row>
    <row r="160" spans="1:29" hidden="1" x14ac:dyDescent="0.2">
      <c r="A160" t="b">
        <v>1</v>
      </c>
      <c r="B160" t="b">
        <v>0</v>
      </c>
      <c r="C160" t="b">
        <v>1</v>
      </c>
      <c r="D160" t="s">
        <v>522</v>
      </c>
      <c r="E160" t="b">
        <v>0</v>
      </c>
      <c r="F160" t="b">
        <v>0</v>
      </c>
      <c r="G160" t="s">
        <v>1191</v>
      </c>
      <c r="H160" t="s">
        <v>123</v>
      </c>
      <c r="I160" t="s">
        <v>1799</v>
      </c>
      <c r="J160">
        <v>0</v>
      </c>
      <c r="K160" t="s">
        <v>1797</v>
      </c>
      <c r="L160" t="s">
        <v>1800</v>
      </c>
      <c r="M160" t="s">
        <v>1985</v>
      </c>
      <c r="N160" t="s">
        <v>1994</v>
      </c>
      <c r="Q160" t="s">
        <v>1989</v>
      </c>
      <c r="R160" t="s">
        <v>2093</v>
      </c>
      <c r="S160" t="s">
        <v>351</v>
      </c>
      <c r="T160" s="1">
        <v>43829</v>
      </c>
      <c r="U160" s="1">
        <v>43829</v>
      </c>
      <c r="V160" t="s">
        <v>270</v>
      </c>
      <c r="W160">
        <v>94864266.329999998</v>
      </c>
      <c r="X160">
        <v>94864266.329999998</v>
      </c>
      <c r="Y160" t="s">
        <v>270</v>
      </c>
      <c r="Z160">
        <v>94864266.329999998</v>
      </c>
      <c r="AA160">
        <v>94864266</v>
      </c>
      <c r="AB160" t="b">
        <v>0</v>
      </c>
      <c r="AC160">
        <v>0.9</v>
      </c>
    </row>
    <row r="161" spans="1:29" x14ac:dyDescent="0.2">
      <c r="A161" t="b">
        <v>1</v>
      </c>
      <c r="B161" t="b">
        <v>0</v>
      </c>
      <c r="C161" t="b">
        <v>1</v>
      </c>
      <c r="D161" t="s">
        <v>522</v>
      </c>
      <c r="E161" t="b">
        <v>0</v>
      </c>
      <c r="F161" t="b">
        <v>0</v>
      </c>
      <c r="G161" t="s">
        <v>1191</v>
      </c>
      <c r="H161" t="s">
        <v>123</v>
      </c>
      <c r="I161" t="s">
        <v>1799</v>
      </c>
      <c r="J161">
        <v>0</v>
      </c>
      <c r="K161" t="s">
        <v>1797</v>
      </c>
      <c r="L161" t="s">
        <v>1800</v>
      </c>
      <c r="M161" t="s">
        <v>1950</v>
      </c>
      <c r="N161" t="s">
        <v>1956</v>
      </c>
      <c r="Q161" t="s">
        <v>1987</v>
      </c>
      <c r="R161" t="s">
        <v>2094</v>
      </c>
      <c r="S161" t="s">
        <v>351</v>
      </c>
      <c r="T161" s="1">
        <v>43829</v>
      </c>
      <c r="U161" s="1">
        <v>43829</v>
      </c>
      <c r="V161" t="s">
        <v>270</v>
      </c>
      <c r="W161">
        <v>19762133.899999999</v>
      </c>
      <c r="X161">
        <v>19762133.899999999</v>
      </c>
      <c r="Y161" t="s">
        <v>270</v>
      </c>
      <c r="Z161">
        <v>19762133.899999999</v>
      </c>
      <c r="AA161">
        <v>19762133</v>
      </c>
      <c r="AB161" t="b">
        <v>0</v>
      </c>
      <c r="AC161">
        <v>0.5</v>
      </c>
    </row>
    <row r="162" spans="1:29" hidden="1" x14ac:dyDescent="0.2">
      <c r="A162" t="b">
        <v>1</v>
      </c>
      <c r="B162" t="b">
        <v>0</v>
      </c>
      <c r="C162" t="b">
        <v>1</v>
      </c>
      <c r="D162" t="s">
        <v>522</v>
      </c>
      <c r="E162" t="b">
        <v>0</v>
      </c>
      <c r="F162" t="b">
        <v>0</v>
      </c>
      <c r="G162" t="s">
        <v>1191</v>
      </c>
      <c r="H162" t="s">
        <v>124</v>
      </c>
      <c r="I162" t="s">
        <v>1188</v>
      </c>
      <c r="J162">
        <v>0</v>
      </c>
      <c r="K162" t="s">
        <v>1186</v>
      </c>
      <c r="L162" t="s">
        <v>1189</v>
      </c>
      <c r="M162" t="s">
        <v>1985</v>
      </c>
      <c r="N162" t="s">
        <v>441</v>
      </c>
      <c r="Q162" t="s">
        <v>1989</v>
      </c>
      <c r="R162" t="s">
        <v>2094</v>
      </c>
      <c r="S162" t="s">
        <v>351</v>
      </c>
      <c r="T162" s="1">
        <v>43829</v>
      </c>
      <c r="U162" s="1">
        <v>43829</v>
      </c>
      <c r="V162" t="s">
        <v>270</v>
      </c>
      <c r="W162">
        <v>19762133.899999999</v>
      </c>
      <c r="X162">
        <v>19762133.899999999</v>
      </c>
      <c r="Y162" t="s">
        <v>270</v>
      </c>
      <c r="Z162">
        <v>19762133.899999999</v>
      </c>
      <c r="AA162">
        <v>19762133</v>
      </c>
      <c r="AB162" t="b">
        <v>0</v>
      </c>
      <c r="AC162">
        <v>0.5</v>
      </c>
    </row>
    <row r="163" spans="1:29" hidden="1" x14ac:dyDescent="0.2">
      <c r="A163" t="b">
        <v>1</v>
      </c>
      <c r="B163" t="b">
        <v>0</v>
      </c>
      <c r="C163" t="b">
        <v>1</v>
      </c>
      <c r="D163" t="s">
        <v>522</v>
      </c>
      <c r="E163" t="b">
        <v>0</v>
      </c>
      <c r="F163" t="b">
        <v>0</v>
      </c>
      <c r="G163" t="s">
        <v>1191</v>
      </c>
      <c r="H163" t="s">
        <v>123</v>
      </c>
      <c r="I163" t="s">
        <v>1799</v>
      </c>
      <c r="J163">
        <v>0</v>
      </c>
      <c r="K163" t="s">
        <v>1797</v>
      </c>
      <c r="L163" t="s">
        <v>1800</v>
      </c>
      <c r="M163" t="s">
        <v>1985</v>
      </c>
      <c r="N163" t="s">
        <v>441</v>
      </c>
      <c r="Q163" t="s">
        <v>1987</v>
      </c>
      <c r="R163" t="s">
        <v>2095</v>
      </c>
      <c r="S163" t="s">
        <v>351</v>
      </c>
      <c r="T163" s="1">
        <v>43829</v>
      </c>
      <c r="U163" s="1">
        <v>43829</v>
      </c>
      <c r="V163" t="s">
        <v>270</v>
      </c>
      <c r="W163">
        <v>24198616.57</v>
      </c>
      <c r="X163">
        <v>24198616.57</v>
      </c>
      <c r="Y163" t="s">
        <v>270</v>
      </c>
      <c r="Z163">
        <v>24198616.57</v>
      </c>
      <c r="AA163">
        <v>24198616</v>
      </c>
      <c r="AB163" t="b">
        <v>0</v>
      </c>
      <c r="AC163">
        <v>0.8</v>
      </c>
    </row>
    <row r="164" spans="1:29" hidden="1" x14ac:dyDescent="0.2">
      <c r="A164" t="b">
        <v>1</v>
      </c>
      <c r="B164" t="b">
        <v>0</v>
      </c>
      <c r="C164" t="b">
        <v>1</v>
      </c>
      <c r="D164" t="s">
        <v>248</v>
      </c>
      <c r="E164" t="b">
        <v>0</v>
      </c>
      <c r="F164" t="b">
        <v>0</v>
      </c>
      <c r="G164">
        <v>0</v>
      </c>
      <c r="H164" t="s">
        <v>1002</v>
      </c>
      <c r="I164">
        <v>0</v>
      </c>
      <c r="J164">
        <v>0</v>
      </c>
      <c r="K164" t="s">
        <v>1000</v>
      </c>
      <c r="L164" t="s">
        <v>1003</v>
      </c>
      <c r="M164" t="s">
        <v>1985</v>
      </c>
      <c r="N164" t="s">
        <v>1986</v>
      </c>
      <c r="Q164" t="s">
        <v>1989</v>
      </c>
      <c r="R164" t="s">
        <v>2095</v>
      </c>
      <c r="S164" t="s">
        <v>351</v>
      </c>
      <c r="T164" s="1">
        <v>43829</v>
      </c>
      <c r="U164" s="1">
        <v>43829</v>
      </c>
      <c r="V164" t="s">
        <v>270</v>
      </c>
      <c r="W164">
        <v>24198616.57</v>
      </c>
      <c r="X164">
        <v>24198616.57</v>
      </c>
      <c r="Y164" t="s">
        <v>270</v>
      </c>
      <c r="Z164">
        <v>24198616.57</v>
      </c>
      <c r="AA164">
        <v>24198616</v>
      </c>
      <c r="AB164" t="b">
        <v>0</v>
      </c>
      <c r="AC164">
        <v>0.8</v>
      </c>
    </row>
    <row r="165" spans="1:29" hidden="1" x14ac:dyDescent="0.2">
      <c r="A165" t="b">
        <v>1</v>
      </c>
      <c r="B165" t="b">
        <v>0</v>
      </c>
      <c r="C165" t="b">
        <v>1</v>
      </c>
      <c r="D165" t="s">
        <v>248</v>
      </c>
      <c r="E165" t="b">
        <v>0</v>
      </c>
      <c r="F165" t="b">
        <v>0</v>
      </c>
      <c r="G165">
        <v>0</v>
      </c>
      <c r="H165" t="s">
        <v>1002</v>
      </c>
      <c r="I165">
        <v>0</v>
      </c>
      <c r="J165">
        <v>0</v>
      </c>
      <c r="K165" t="s">
        <v>1000</v>
      </c>
      <c r="L165" t="s">
        <v>1003</v>
      </c>
      <c r="M165" t="s">
        <v>1950</v>
      </c>
      <c r="N165" t="s">
        <v>1955</v>
      </c>
      <c r="Q165" t="s">
        <v>1987</v>
      </c>
      <c r="R165" t="s">
        <v>2096</v>
      </c>
      <c r="S165" t="s">
        <v>351</v>
      </c>
      <c r="T165" s="1">
        <v>43829</v>
      </c>
      <c r="U165" s="1">
        <v>43829</v>
      </c>
      <c r="V165" t="s">
        <v>270</v>
      </c>
      <c r="W165">
        <v>12543058.08</v>
      </c>
      <c r="X165">
        <v>12543058.08</v>
      </c>
      <c r="Y165" t="s">
        <v>270</v>
      </c>
      <c r="Z165">
        <v>12543058.08</v>
      </c>
      <c r="AA165">
        <v>12543058</v>
      </c>
      <c r="AB165" t="b">
        <v>0</v>
      </c>
      <c r="AC165">
        <v>0.65</v>
      </c>
    </row>
    <row r="166" spans="1:29" hidden="1" x14ac:dyDescent="0.2">
      <c r="A166" t="b">
        <v>1</v>
      </c>
      <c r="B166" t="b">
        <v>0</v>
      </c>
      <c r="C166" t="b">
        <v>1</v>
      </c>
      <c r="D166" t="b">
        <v>0</v>
      </c>
      <c r="E166" t="b">
        <v>0</v>
      </c>
      <c r="F166" t="s">
        <v>361</v>
      </c>
      <c r="G166">
        <v>0</v>
      </c>
      <c r="H166" t="s">
        <v>371</v>
      </c>
      <c r="I166">
        <v>0</v>
      </c>
      <c r="J166" t="s">
        <v>372</v>
      </c>
      <c r="K166" t="s">
        <v>369</v>
      </c>
      <c r="L166" t="s">
        <v>373</v>
      </c>
      <c r="M166" t="s">
        <v>1985</v>
      </c>
      <c r="N166" t="s">
        <v>1986</v>
      </c>
      <c r="Q166" t="s">
        <v>1989</v>
      </c>
      <c r="R166" t="s">
        <v>2096</v>
      </c>
      <c r="S166" t="s">
        <v>351</v>
      </c>
      <c r="T166" s="1">
        <v>43829</v>
      </c>
      <c r="U166" s="1">
        <v>43829</v>
      </c>
      <c r="V166" t="s">
        <v>270</v>
      </c>
      <c r="W166">
        <v>12543058.08</v>
      </c>
      <c r="X166">
        <v>12543058.08</v>
      </c>
      <c r="Y166" t="s">
        <v>270</v>
      </c>
      <c r="Z166">
        <v>12543058.08</v>
      </c>
      <c r="AA166">
        <v>12543058</v>
      </c>
      <c r="AB166" t="b">
        <v>0</v>
      </c>
      <c r="AC166">
        <v>0.65</v>
      </c>
    </row>
    <row r="167" spans="1:29" hidden="1" x14ac:dyDescent="0.2">
      <c r="A167" t="b">
        <v>1</v>
      </c>
      <c r="B167" t="b">
        <v>0</v>
      </c>
      <c r="C167" t="b">
        <v>1</v>
      </c>
      <c r="D167" t="b">
        <v>0</v>
      </c>
      <c r="E167" t="b">
        <v>0</v>
      </c>
      <c r="F167" t="s">
        <v>361</v>
      </c>
      <c r="G167">
        <v>0</v>
      </c>
      <c r="H167" t="s">
        <v>371</v>
      </c>
      <c r="I167">
        <v>0</v>
      </c>
      <c r="J167" t="s">
        <v>372</v>
      </c>
      <c r="K167" t="s">
        <v>369</v>
      </c>
      <c r="L167" t="s">
        <v>373</v>
      </c>
      <c r="M167" t="s">
        <v>1950</v>
      </c>
      <c r="N167" t="s">
        <v>1955</v>
      </c>
      <c r="Q167" t="s">
        <v>1987</v>
      </c>
      <c r="R167" t="s">
        <v>2097</v>
      </c>
      <c r="S167" t="s">
        <v>351</v>
      </c>
      <c r="T167" s="1">
        <v>43829</v>
      </c>
      <c r="U167" s="1">
        <v>43829</v>
      </c>
      <c r="V167" t="s">
        <v>270</v>
      </c>
      <c r="W167">
        <v>10850264.289999999</v>
      </c>
      <c r="X167">
        <v>10850264.289999999</v>
      </c>
      <c r="Y167" t="s">
        <v>270</v>
      </c>
      <c r="Z167">
        <v>10850264.289999999</v>
      </c>
      <c r="AA167">
        <v>10850264</v>
      </c>
      <c r="AB167" t="b">
        <v>0</v>
      </c>
      <c r="AC167">
        <v>0.9</v>
      </c>
    </row>
    <row r="168" spans="1:29" hidden="1" x14ac:dyDescent="0.2">
      <c r="A168" t="b">
        <v>1</v>
      </c>
      <c r="B168" t="b">
        <v>0</v>
      </c>
      <c r="C168" t="b">
        <v>1</v>
      </c>
      <c r="D168" t="b">
        <v>0</v>
      </c>
      <c r="E168" t="b">
        <v>0</v>
      </c>
      <c r="F168" t="s">
        <v>361</v>
      </c>
      <c r="G168">
        <v>0</v>
      </c>
      <c r="H168" t="s">
        <v>371</v>
      </c>
      <c r="I168">
        <v>0</v>
      </c>
      <c r="J168" t="s">
        <v>372</v>
      </c>
      <c r="K168" t="s">
        <v>369</v>
      </c>
      <c r="L168" t="s">
        <v>373</v>
      </c>
      <c r="M168" t="s">
        <v>2063</v>
      </c>
      <c r="N168" t="s">
        <v>441</v>
      </c>
      <c r="Q168" t="s">
        <v>1989</v>
      </c>
      <c r="R168" t="s">
        <v>2097</v>
      </c>
      <c r="S168" t="s">
        <v>351</v>
      </c>
      <c r="T168" s="1">
        <v>43829</v>
      </c>
      <c r="U168" s="1">
        <v>43829</v>
      </c>
      <c r="V168" t="s">
        <v>270</v>
      </c>
      <c r="W168">
        <v>10850264.289999999</v>
      </c>
      <c r="X168">
        <v>10850264.289999999</v>
      </c>
      <c r="Y168" t="s">
        <v>270</v>
      </c>
      <c r="Z168">
        <v>10850264.289999999</v>
      </c>
      <c r="AA168">
        <v>10850264</v>
      </c>
      <c r="AB168" t="b">
        <v>0</v>
      </c>
      <c r="AC168">
        <v>0.9</v>
      </c>
    </row>
    <row r="169" spans="1:29" hidden="1" x14ac:dyDescent="0.2">
      <c r="A169" t="b">
        <v>1</v>
      </c>
      <c r="B169" t="b">
        <v>0</v>
      </c>
      <c r="C169" t="b">
        <v>1</v>
      </c>
      <c r="D169" t="b">
        <v>0</v>
      </c>
      <c r="E169" t="b">
        <v>0</v>
      </c>
      <c r="F169" t="s">
        <v>361</v>
      </c>
      <c r="G169">
        <v>0</v>
      </c>
      <c r="H169" t="s">
        <v>371</v>
      </c>
      <c r="I169">
        <v>0</v>
      </c>
      <c r="J169" t="s">
        <v>372</v>
      </c>
      <c r="K169" t="s">
        <v>369</v>
      </c>
      <c r="L169" t="s">
        <v>373</v>
      </c>
      <c r="M169" t="s">
        <v>2064</v>
      </c>
      <c r="N169" t="s">
        <v>441</v>
      </c>
      <c r="Q169" t="s">
        <v>1987</v>
      </c>
      <c r="R169" t="s">
        <v>2098</v>
      </c>
      <c r="S169" t="s">
        <v>351</v>
      </c>
      <c r="T169" s="1">
        <v>43829</v>
      </c>
      <c r="U169" s="1">
        <v>43829</v>
      </c>
      <c r="V169" t="s">
        <v>270</v>
      </c>
      <c r="W169">
        <v>8463064.9100000001</v>
      </c>
      <c r="X169">
        <v>8463064.9100000001</v>
      </c>
      <c r="Y169" t="s">
        <v>270</v>
      </c>
      <c r="Z169">
        <v>8463064.9100000001</v>
      </c>
      <c r="AA169">
        <v>8463064</v>
      </c>
      <c r="AB169" t="b">
        <v>0</v>
      </c>
      <c r="AC169">
        <v>0.5</v>
      </c>
    </row>
    <row r="170" spans="1:29" hidden="1" x14ac:dyDescent="0.2">
      <c r="A170" t="b">
        <v>1</v>
      </c>
      <c r="B170" t="b">
        <v>0</v>
      </c>
      <c r="C170" t="b">
        <v>1</v>
      </c>
      <c r="D170" t="b">
        <v>0</v>
      </c>
      <c r="E170" t="b">
        <v>0</v>
      </c>
      <c r="F170" t="s">
        <v>361</v>
      </c>
      <c r="G170">
        <v>0</v>
      </c>
      <c r="H170" t="s">
        <v>1483</v>
      </c>
      <c r="I170">
        <v>0</v>
      </c>
      <c r="J170" t="s">
        <v>1484</v>
      </c>
      <c r="K170" t="s">
        <v>1481</v>
      </c>
      <c r="L170" t="s">
        <v>1485</v>
      </c>
      <c r="M170" t="s">
        <v>1985</v>
      </c>
      <c r="N170" t="s">
        <v>1986</v>
      </c>
      <c r="Q170" t="s">
        <v>1989</v>
      </c>
      <c r="R170" t="s">
        <v>2098</v>
      </c>
      <c r="S170" t="s">
        <v>351</v>
      </c>
      <c r="T170" s="1">
        <v>43829</v>
      </c>
      <c r="U170" s="1">
        <v>43829</v>
      </c>
      <c r="V170" t="s">
        <v>270</v>
      </c>
      <c r="W170">
        <v>8463064.9100000001</v>
      </c>
      <c r="X170">
        <v>8463064.9100000001</v>
      </c>
      <c r="Y170" t="s">
        <v>270</v>
      </c>
      <c r="Z170">
        <v>8463064.9100000001</v>
      </c>
      <c r="AA170">
        <v>8463064</v>
      </c>
      <c r="AB170" t="b">
        <v>0</v>
      </c>
      <c r="AC170">
        <v>0.5</v>
      </c>
    </row>
    <row r="171" spans="1:29" hidden="1" x14ac:dyDescent="0.2">
      <c r="A171" t="b">
        <v>1</v>
      </c>
      <c r="B171" t="b">
        <v>0</v>
      </c>
      <c r="C171" t="b">
        <v>1</v>
      </c>
      <c r="D171" t="b">
        <v>0</v>
      </c>
      <c r="E171" t="b">
        <v>0</v>
      </c>
      <c r="F171" t="s">
        <v>361</v>
      </c>
      <c r="G171">
        <v>0</v>
      </c>
      <c r="H171" t="s">
        <v>1483</v>
      </c>
      <c r="I171">
        <v>0</v>
      </c>
      <c r="J171" t="s">
        <v>1484</v>
      </c>
      <c r="K171" t="s">
        <v>1481</v>
      </c>
      <c r="L171" t="s">
        <v>1485</v>
      </c>
      <c r="M171" t="s">
        <v>1950</v>
      </c>
      <c r="N171" t="s">
        <v>1955</v>
      </c>
      <c r="Q171" t="s">
        <v>1987</v>
      </c>
      <c r="R171" t="s">
        <v>2099</v>
      </c>
      <c r="S171" t="s">
        <v>351</v>
      </c>
      <c r="T171" s="1">
        <v>43829</v>
      </c>
      <c r="U171" s="1">
        <v>43829</v>
      </c>
      <c r="V171" t="s">
        <v>270</v>
      </c>
      <c r="W171">
        <v>38928251.920000002</v>
      </c>
      <c r="X171">
        <v>38928251.920000002</v>
      </c>
      <c r="Y171" t="s">
        <v>270</v>
      </c>
      <c r="Z171">
        <v>38928251.920000002</v>
      </c>
      <c r="AA171">
        <v>38928251</v>
      </c>
      <c r="AB171" t="b">
        <v>0</v>
      </c>
      <c r="AC171">
        <v>0.4</v>
      </c>
    </row>
    <row r="172" spans="1:29" hidden="1" x14ac:dyDescent="0.2">
      <c r="A172" t="b">
        <v>1</v>
      </c>
      <c r="B172" t="b">
        <v>0</v>
      </c>
      <c r="C172" t="b">
        <v>1</v>
      </c>
      <c r="D172" t="b">
        <v>0</v>
      </c>
      <c r="E172" t="b">
        <v>0</v>
      </c>
      <c r="F172" t="s">
        <v>361</v>
      </c>
      <c r="G172">
        <v>0</v>
      </c>
      <c r="H172" t="s">
        <v>1483</v>
      </c>
      <c r="I172">
        <v>0</v>
      </c>
      <c r="J172" t="s">
        <v>1484</v>
      </c>
      <c r="K172" t="s">
        <v>1481</v>
      </c>
      <c r="L172" t="s">
        <v>1485</v>
      </c>
      <c r="M172" t="s">
        <v>2063</v>
      </c>
      <c r="N172" t="s">
        <v>441</v>
      </c>
      <c r="Q172" t="s">
        <v>1989</v>
      </c>
      <c r="R172" t="s">
        <v>2099</v>
      </c>
      <c r="S172" t="s">
        <v>351</v>
      </c>
      <c r="T172" s="1">
        <v>43829</v>
      </c>
      <c r="U172" s="1">
        <v>43829</v>
      </c>
      <c r="V172" t="s">
        <v>270</v>
      </c>
      <c r="W172">
        <v>38928251.920000002</v>
      </c>
      <c r="X172">
        <v>38928251.920000002</v>
      </c>
      <c r="Y172" t="s">
        <v>270</v>
      </c>
      <c r="Z172">
        <v>38928251.920000002</v>
      </c>
      <c r="AA172">
        <v>38928251</v>
      </c>
      <c r="AB172" t="b">
        <v>0</v>
      </c>
      <c r="AC172">
        <v>0.4</v>
      </c>
    </row>
    <row r="173" spans="1:29" hidden="1" x14ac:dyDescent="0.2">
      <c r="A173" t="b">
        <v>1</v>
      </c>
      <c r="B173" t="b">
        <v>0</v>
      </c>
      <c r="C173" t="b">
        <v>1</v>
      </c>
      <c r="D173" t="b">
        <v>0</v>
      </c>
      <c r="E173" t="b">
        <v>0</v>
      </c>
      <c r="F173" t="s">
        <v>361</v>
      </c>
      <c r="G173">
        <v>0</v>
      </c>
      <c r="H173" t="s">
        <v>1483</v>
      </c>
      <c r="I173">
        <v>0</v>
      </c>
      <c r="J173" t="s">
        <v>1484</v>
      </c>
      <c r="K173" t="s">
        <v>1481</v>
      </c>
      <c r="L173" t="s">
        <v>1485</v>
      </c>
      <c r="M173" t="s">
        <v>2064</v>
      </c>
      <c r="N173" t="s">
        <v>441</v>
      </c>
      <c r="Q173" t="s">
        <v>2031</v>
      </c>
      <c r="R173" t="s">
        <v>2100</v>
      </c>
      <c r="S173" t="s">
        <v>351</v>
      </c>
      <c r="T173" s="1">
        <v>43829</v>
      </c>
      <c r="U173" s="1">
        <v>43829</v>
      </c>
      <c r="V173" t="s">
        <v>270</v>
      </c>
      <c r="W173">
        <v>5558893.71</v>
      </c>
      <c r="X173">
        <v>5558893.71</v>
      </c>
      <c r="Y173" t="s">
        <v>270</v>
      </c>
      <c r="Z173">
        <v>5558893.71</v>
      </c>
      <c r="AA173">
        <v>5558893</v>
      </c>
      <c r="AB173" t="b">
        <v>0</v>
      </c>
      <c r="AC173">
        <v>0.5</v>
      </c>
    </row>
    <row r="174" spans="1:29" hidden="1" x14ac:dyDescent="0.2">
      <c r="A174" t="b">
        <v>1</v>
      </c>
      <c r="B174" t="b">
        <v>0</v>
      </c>
      <c r="C174" t="b">
        <v>1</v>
      </c>
      <c r="D174" t="s">
        <v>522</v>
      </c>
      <c r="E174" t="b">
        <v>0</v>
      </c>
      <c r="F174" t="b">
        <v>0</v>
      </c>
      <c r="G174" t="s">
        <v>1556</v>
      </c>
      <c r="H174">
        <v>0</v>
      </c>
      <c r="I174">
        <v>0</v>
      </c>
      <c r="J174" t="s">
        <v>1554</v>
      </c>
      <c r="K174" t="s">
        <v>1552</v>
      </c>
      <c r="L174" t="s">
        <v>1555</v>
      </c>
      <c r="M174" t="s">
        <v>1985</v>
      </c>
      <c r="N174" t="s">
        <v>1986</v>
      </c>
      <c r="Q174" t="s">
        <v>1989</v>
      </c>
      <c r="R174" t="s">
        <v>2100</v>
      </c>
      <c r="S174" t="s">
        <v>351</v>
      </c>
      <c r="T174" s="1">
        <v>43829</v>
      </c>
      <c r="U174" s="1">
        <v>43829</v>
      </c>
      <c r="V174" t="s">
        <v>270</v>
      </c>
      <c r="W174">
        <v>5558893.71</v>
      </c>
      <c r="X174">
        <v>5558893.71</v>
      </c>
      <c r="Y174" t="s">
        <v>270</v>
      </c>
      <c r="Z174">
        <v>5558893.71</v>
      </c>
      <c r="AA174">
        <v>5558893</v>
      </c>
      <c r="AB174" t="b">
        <v>0</v>
      </c>
      <c r="AC174">
        <v>0.5</v>
      </c>
    </row>
    <row r="175" spans="1:29" x14ac:dyDescent="0.2">
      <c r="A175" t="b">
        <v>1</v>
      </c>
      <c r="B175" t="b">
        <v>0</v>
      </c>
      <c r="C175" t="b">
        <v>1</v>
      </c>
      <c r="D175" t="s">
        <v>522</v>
      </c>
      <c r="E175" t="b">
        <v>0</v>
      </c>
      <c r="F175" t="b">
        <v>0</v>
      </c>
      <c r="G175" t="s">
        <v>1556</v>
      </c>
      <c r="H175">
        <v>0</v>
      </c>
      <c r="I175">
        <v>0</v>
      </c>
      <c r="J175" t="s">
        <v>1554</v>
      </c>
      <c r="K175" t="s">
        <v>1552</v>
      </c>
      <c r="L175" t="s">
        <v>1555</v>
      </c>
      <c r="M175" t="s">
        <v>1950</v>
      </c>
      <c r="N175" t="s">
        <v>1955</v>
      </c>
      <c r="Q175" t="s">
        <v>2031</v>
      </c>
      <c r="R175" t="s">
        <v>2101</v>
      </c>
      <c r="S175" t="s">
        <v>351</v>
      </c>
      <c r="T175" s="1">
        <v>43829</v>
      </c>
      <c r="U175" s="1">
        <v>43829</v>
      </c>
      <c r="V175" t="s">
        <v>270</v>
      </c>
      <c r="W175">
        <v>30625562.5</v>
      </c>
      <c r="X175">
        <v>30625562.5</v>
      </c>
      <c r="Y175" t="s">
        <v>270</v>
      </c>
      <c r="Z175">
        <v>30625562.5</v>
      </c>
      <c r="AA175">
        <v>30625562</v>
      </c>
      <c r="AB175" t="b">
        <v>0</v>
      </c>
      <c r="AC175">
        <v>0.8</v>
      </c>
    </row>
    <row r="176" spans="1:29" hidden="1" x14ac:dyDescent="0.2">
      <c r="A176" t="e">
        <v>#N/A</v>
      </c>
      <c r="B176" t="e">
        <v>#N/A</v>
      </c>
      <c r="C176" t="e">
        <v>#N/A</v>
      </c>
      <c r="D176" t="e">
        <v>#N/A</v>
      </c>
      <c r="E176" t="e">
        <v>#N/A</v>
      </c>
      <c r="F176" t="e">
        <v>#N/A</v>
      </c>
      <c r="G176" t="e">
        <v>#N/A</v>
      </c>
      <c r="H176" t="e">
        <v>#N/A</v>
      </c>
      <c r="I176" t="e">
        <v>#N/A</v>
      </c>
      <c r="J176" t="e">
        <v>#N/A</v>
      </c>
      <c r="K176" t="s">
        <v>2336</v>
      </c>
      <c r="L176" t="s">
        <v>2337</v>
      </c>
      <c r="M176" t="s">
        <v>1985</v>
      </c>
      <c r="N176" t="s">
        <v>1986</v>
      </c>
      <c r="Q176" t="s">
        <v>1989</v>
      </c>
      <c r="R176" t="s">
        <v>2101</v>
      </c>
      <c r="S176" t="s">
        <v>351</v>
      </c>
      <c r="T176" s="1">
        <v>43829</v>
      </c>
      <c r="U176" s="1">
        <v>43829</v>
      </c>
      <c r="V176" t="s">
        <v>270</v>
      </c>
      <c r="W176">
        <v>30625562.5</v>
      </c>
      <c r="X176">
        <v>30625562.5</v>
      </c>
      <c r="Y176" t="s">
        <v>270</v>
      </c>
      <c r="Z176">
        <v>30625562.5</v>
      </c>
      <c r="AA176">
        <v>30625562</v>
      </c>
      <c r="AB176" t="b">
        <v>0</v>
      </c>
      <c r="AC176">
        <v>0.8</v>
      </c>
    </row>
    <row r="177" spans="1:29" hidden="1" x14ac:dyDescent="0.2">
      <c r="A177" t="e">
        <v>#N/A</v>
      </c>
      <c r="B177" t="e">
        <v>#N/A</v>
      </c>
      <c r="C177" t="e">
        <v>#N/A</v>
      </c>
      <c r="D177" t="e">
        <v>#N/A</v>
      </c>
      <c r="E177" t="e">
        <v>#N/A</v>
      </c>
      <c r="F177" t="e">
        <v>#N/A</v>
      </c>
      <c r="G177" t="e">
        <v>#N/A</v>
      </c>
      <c r="H177" t="e">
        <v>#N/A</v>
      </c>
      <c r="I177" t="e">
        <v>#N/A</v>
      </c>
      <c r="J177" t="e">
        <v>#N/A</v>
      </c>
      <c r="K177" t="s">
        <v>2336</v>
      </c>
      <c r="L177" t="s">
        <v>2337</v>
      </c>
      <c r="M177" t="s">
        <v>1950</v>
      </c>
      <c r="N177" t="s">
        <v>1955</v>
      </c>
      <c r="Q177" t="s">
        <v>2031</v>
      </c>
      <c r="R177" t="s">
        <v>2102</v>
      </c>
      <c r="S177" t="s">
        <v>257</v>
      </c>
      <c r="T177" s="1">
        <v>43220</v>
      </c>
      <c r="U177" s="1">
        <v>42869</v>
      </c>
      <c r="V177" t="s">
        <v>260</v>
      </c>
      <c r="W177">
        <v>420491626</v>
      </c>
      <c r="X177">
        <v>420491626</v>
      </c>
      <c r="Y177" t="s">
        <v>270</v>
      </c>
      <c r="Z177">
        <v>131993479</v>
      </c>
      <c r="AA177">
        <v>131993479</v>
      </c>
      <c r="AB177" t="b">
        <v>0</v>
      </c>
      <c r="AC177">
        <v>0.49</v>
      </c>
    </row>
    <row r="178" spans="1:29" hidden="1" x14ac:dyDescent="0.2">
      <c r="A178" t="b">
        <v>1</v>
      </c>
      <c r="B178" t="b">
        <v>0</v>
      </c>
      <c r="C178" t="b">
        <v>1</v>
      </c>
      <c r="D178" t="s">
        <v>522</v>
      </c>
      <c r="E178" t="b">
        <v>0</v>
      </c>
      <c r="F178" t="b">
        <v>0</v>
      </c>
      <c r="G178" t="s">
        <v>529</v>
      </c>
      <c r="H178">
        <v>0</v>
      </c>
      <c r="I178" t="s">
        <v>524</v>
      </c>
      <c r="J178" t="s">
        <v>525</v>
      </c>
      <c r="K178" s="4" t="s">
        <v>521</v>
      </c>
      <c r="L178" t="s">
        <v>526</v>
      </c>
      <c r="M178" t="s">
        <v>1985</v>
      </c>
      <c r="N178" t="s">
        <v>2024</v>
      </c>
      <c r="Q178" t="s">
        <v>1989</v>
      </c>
      <c r="R178" t="s">
        <v>2102</v>
      </c>
      <c r="S178" t="s">
        <v>257</v>
      </c>
      <c r="T178" s="1">
        <v>43220</v>
      </c>
      <c r="U178" s="1">
        <v>42869</v>
      </c>
      <c r="V178" t="s">
        <v>260</v>
      </c>
      <c r="W178">
        <v>420491626</v>
      </c>
      <c r="X178">
        <v>420491626</v>
      </c>
      <c r="Y178" t="s">
        <v>270</v>
      </c>
      <c r="Z178">
        <v>131993479</v>
      </c>
      <c r="AA178">
        <v>131993479</v>
      </c>
      <c r="AB178" t="b">
        <v>0</v>
      </c>
      <c r="AC178">
        <v>0.49</v>
      </c>
    </row>
    <row r="179" spans="1:29" x14ac:dyDescent="0.2">
      <c r="A179" t="b">
        <v>1</v>
      </c>
      <c r="B179" t="b">
        <v>0</v>
      </c>
      <c r="C179" t="b">
        <v>1</v>
      </c>
      <c r="D179" t="s">
        <v>522</v>
      </c>
      <c r="E179" t="b">
        <v>0</v>
      </c>
      <c r="F179" t="b">
        <v>0</v>
      </c>
      <c r="G179" t="s">
        <v>529</v>
      </c>
      <c r="H179">
        <v>0</v>
      </c>
      <c r="I179" t="s">
        <v>524</v>
      </c>
      <c r="J179" t="s">
        <v>525</v>
      </c>
      <c r="K179" s="4" t="s">
        <v>521</v>
      </c>
      <c r="L179" t="s">
        <v>526</v>
      </c>
      <c r="M179" t="s">
        <v>1950</v>
      </c>
      <c r="N179" t="s">
        <v>1958</v>
      </c>
      <c r="Q179" t="s">
        <v>2029</v>
      </c>
      <c r="R179" t="s">
        <v>2102</v>
      </c>
      <c r="S179" t="s">
        <v>257</v>
      </c>
      <c r="T179" s="1">
        <v>43220</v>
      </c>
      <c r="U179" s="1">
        <v>42869</v>
      </c>
      <c r="V179" t="s">
        <v>260</v>
      </c>
      <c r="W179">
        <v>420491626</v>
      </c>
      <c r="X179">
        <v>420491626</v>
      </c>
      <c r="Y179" t="s">
        <v>270</v>
      </c>
      <c r="Z179">
        <v>131993479</v>
      </c>
      <c r="AA179">
        <v>131993479</v>
      </c>
      <c r="AB179" t="b">
        <v>0</v>
      </c>
      <c r="AC179">
        <v>0.49</v>
      </c>
    </row>
    <row r="180" spans="1:29" hidden="1" x14ac:dyDescent="0.2">
      <c r="A180" t="b">
        <v>1</v>
      </c>
      <c r="B180" t="b">
        <v>0</v>
      </c>
      <c r="C180" t="b">
        <v>1</v>
      </c>
      <c r="D180" t="s">
        <v>522</v>
      </c>
      <c r="E180" t="b">
        <v>0</v>
      </c>
      <c r="F180" t="b">
        <v>0</v>
      </c>
      <c r="G180" t="s">
        <v>529</v>
      </c>
      <c r="H180">
        <v>0</v>
      </c>
      <c r="I180" t="s">
        <v>524</v>
      </c>
      <c r="J180" t="s">
        <v>525</v>
      </c>
      <c r="K180" s="4" t="s">
        <v>521</v>
      </c>
      <c r="L180" t="s">
        <v>526</v>
      </c>
      <c r="M180" t="s">
        <v>1985</v>
      </c>
      <c r="N180" t="s">
        <v>441</v>
      </c>
      <c r="Q180" t="s">
        <v>2029</v>
      </c>
      <c r="R180" t="s">
        <v>2102</v>
      </c>
      <c r="S180" t="s">
        <v>257</v>
      </c>
      <c r="T180" s="1">
        <v>43220</v>
      </c>
      <c r="U180" s="1">
        <v>42869</v>
      </c>
      <c r="V180" t="s">
        <v>260</v>
      </c>
      <c r="W180">
        <v>420491626</v>
      </c>
      <c r="X180">
        <v>420491626</v>
      </c>
      <c r="Y180" t="s">
        <v>270</v>
      </c>
      <c r="Z180">
        <v>131993479</v>
      </c>
      <c r="AA180">
        <v>131993479</v>
      </c>
      <c r="AB180" t="b">
        <v>0</v>
      </c>
      <c r="AC180">
        <v>0.49</v>
      </c>
    </row>
    <row r="181" spans="1:29" x14ac:dyDescent="0.2">
      <c r="A181" t="b">
        <v>1</v>
      </c>
      <c r="B181" t="b">
        <v>0</v>
      </c>
      <c r="C181" t="b">
        <v>1</v>
      </c>
      <c r="D181" t="s">
        <v>522</v>
      </c>
      <c r="E181" t="b">
        <v>0</v>
      </c>
      <c r="F181" t="b">
        <v>0</v>
      </c>
      <c r="G181" t="s">
        <v>529</v>
      </c>
      <c r="H181">
        <v>0</v>
      </c>
      <c r="I181" t="s">
        <v>524</v>
      </c>
      <c r="J181" t="s">
        <v>525</v>
      </c>
      <c r="K181" s="4" t="s">
        <v>521</v>
      </c>
      <c r="L181" t="s">
        <v>526</v>
      </c>
      <c r="M181" t="s">
        <v>1950</v>
      </c>
      <c r="N181" t="s">
        <v>1960</v>
      </c>
      <c r="Q181" t="s">
        <v>2031</v>
      </c>
      <c r="R181" t="s">
        <v>2103</v>
      </c>
      <c r="S181" t="s">
        <v>257</v>
      </c>
      <c r="T181" s="1">
        <v>43220</v>
      </c>
      <c r="U181" s="1">
        <v>42871</v>
      </c>
      <c r="V181" t="s">
        <v>260</v>
      </c>
      <c r="W181">
        <v>95000000</v>
      </c>
      <c r="X181">
        <v>95000000</v>
      </c>
      <c r="Y181" t="s">
        <v>270</v>
      </c>
      <c r="Z181">
        <v>29820762</v>
      </c>
      <c r="AA181">
        <v>29820762</v>
      </c>
      <c r="AB181" t="b">
        <v>1</v>
      </c>
      <c r="AC181">
        <v>0.42</v>
      </c>
    </row>
    <row r="182" spans="1:29" hidden="1" x14ac:dyDescent="0.2">
      <c r="A182" t="b">
        <v>1</v>
      </c>
      <c r="B182" t="b">
        <v>0</v>
      </c>
      <c r="C182" t="b">
        <v>1</v>
      </c>
      <c r="D182" t="s">
        <v>522</v>
      </c>
      <c r="E182" t="b">
        <v>0</v>
      </c>
      <c r="F182" t="b">
        <v>0</v>
      </c>
      <c r="G182" t="s">
        <v>529</v>
      </c>
      <c r="H182">
        <v>0</v>
      </c>
      <c r="I182" t="s">
        <v>524</v>
      </c>
      <c r="J182" t="s">
        <v>525</v>
      </c>
      <c r="K182" s="4" t="s">
        <v>521</v>
      </c>
      <c r="L182" t="s">
        <v>526</v>
      </c>
      <c r="M182" t="s">
        <v>1985</v>
      </c>
      <c r="N182" t="s">
        <v>2074</v>
      </c>
      <c r="Q182" t="s">
        <v>1989</v>
      </c>
      <c r="R182" t="s">
        <v>2103</v>
      </c>
      <c r="S182" t="s">
        <v>257</v>
      </c>
      <c r="T182" s="1">
        <v>43220</v>
      </c>
      <c r="U182" s="1">
        <v>42871</v>
      </c>
      <c r="V182" t="s">
        <v>260</v>
      </c>
      <c r="W182">
        <v>95000000</v>
      </c>
      <c r="X182">
        <v>95000000</v>
      </c>
      <c r="Y182" t="s">
        <v>270</v>
      </c>
      <c r="Z182">
        <v>29820762</v>
      </c>
      <c r="AA182">
        <v>29820762</v>
      </c>
      <c r="AB182" t="b">
        <v>1</v>
      </c>
      <c r="AC182">
        <v>0.42</v>
      </c>
    </row>
    <row r="183" spans="1:29" x14ac:dyDescent="0.2">
      <c r="A183" t="b">
        <v>1</v>
      </c>
      <c r="B183" t="b">
        <v>0</v>
      </c>
      <c r="C183" t="b">
        <v>1</v>
      </c>
      <c r="D183" t="s">
        <v>522</v>
      </c>
      <c r="E183" t="b">
        <v>0</v>
      </c>
      <c r="F183" t="b">
        <v>0</v>
      </c>
      <c r="G183" t="s">
        <v>529</v>
      </c>
      <c r="H183">
        <v>0</v>
      </c>
      <c r="I183" t="s">
        <v>524</v>
      </c>
      <c r="J183" t="s">
        <v>525</v>
      </c>
      <c r="K183" s="4" t="s">
        <v>521</v>
      </c>
      <c r="L183" t="s">
        <v>526</v>
      </c>
      <c r="M183" t="s">
        <v>1950</v>
      </c>
      <c r="N183" t="s">
        <v>1961</v>
      </c>
      <c r="Q183" t="s">
        <v>2029</v>
      </c>
      <c r="R183" t="s">
        <v>2103</v>
      </c>
      <c r="S183" t="s">
        <v>257</v>
      </c>
      <c r="T183" s="1">
        <v>43220</v>
      </c>
      <c r="U183" s="1">
        <v>42871</v>
      </c>
      <c r="V183" t="s">
        <v>260</v>
      </c>
      <c r="W183">
        <v>95000000</v>
      </c>
      <c r="X183">
        <v>95000000</v>
      </c>
      <c r="Y183" t="s">
        <v>270</v>
      </c>
      <c r="Z183">
        <v>29820762</v>
      </c>
      <c r="AA183">
        <v>29820762</v>
      </c>
      <c r="AB183" t="b">
        <v>1</v>
      </c>
      <c r="AC183">
        <v>0.42</v>
      </c>
    </row>
    <row r="184" spans="1:29" x14ac:dyDescent="0.2">
      <c r="A184" t="b">
        <v>1</v>
      </c>
      <c r="B184" t="b">
        <v>0</v>
      </c>
      <c r="C184" t="b">
        <v>1</v>
      </c>
      <c r="D184" t="s">
        <v>522</v>
      </c>
      <c r="E184" t="b">
        <v>0</v>
      </c>
      <c r="F184" t="b">
        <v>0</v>
      </c>
      <c r="G184" t="s">
        <v>529</v>
      </c>
      <c r="H184">
        <v>0</v>
      </c>
      <c r="I184" t="s">
        <v>524</v>
      </c>
      <c r="J184" t="s">
        <v>525</v>
      </c>
      <c r="K184" s="4" t="s">
        <v>521</v>
      </c>
      <c r="L184" t="s">
        <v>526</v>
      </c>
      <c r="M184" t="s">
        <v>1950</v>
      </c>
      <c r="N184" t="s">
        <v>1957</v>
      </c>
      <c r="Q184" t="s">
        <v>2029</v>
      </c>
      <c r="R184" t="s">
        <v>2103</v>
      </c>
      <c r="S184" t="s">
        <v>257</v>
      </c>
      <c r="T184" s="1">
        <v>43220</v>
      </c>
      <c r="U184" s="1">
        <v>42871</v>
      </c>
      <c r="V184" t="s">
        <v>260</v>
      </c>
      <c r="W184">
        <v>95000000</v>
      </c>
      <c r="X184">
        <v>95000000</v>
      </c>
      <c r="Y184" t="s">
        <v>270</v>
      </c>
      <c r="Z184">
        <v>29820762</v>
      </c>
      <c r="AA184">
        <v>29820762</v>
      </c>
      <c r="AB184" t="b">
        <v>1</v>
      </c>
      <c r="AC184">
        <v>0.42</v>
      </c>
    </row>
    <row r="185" spans="1:29" hidden="1" x14ac:dyDescent="0.2">
      <c r="A185" t="b">
        <v>1</v>
      </c>
      <c r="B185" t="b">
        <v>0</v>
      </c>
      <c r="C185" t="b">
        <v>1</v>
      </c>
      <c r="D185" t="s">
        <v>522</v>
      </c>
      <c r="E185" t="b">
        <v>0</v>
      </c>
      <c r="F185" t="b">
        <v>0</v>
      </c>
      <c r="G185" t="s">
        <v>529</v>
      </c>
      <c r="H185">
        <v>0</v>
      </c>
      <c r="I185" t="s">
        <v>524</v>
      </c>
      <c r="J185" t="s">
        <v>525</v>
      </c>
      <c r="K185" s="4" t="s">
        <v>521</v>
      </c>
      <c r="L185" t="s">
        <v>526</v>
      </c>
      <c r="M185" t="s">
        <v>1985</v>
      </c>
      <c r="N185" t="s">
        <v>2170</v>
      </c>
      <c r="Q185" t="s">
        <v>2031</v>
      </c>
      <c r="R185" t="s">
        <v>2104</v>
      </c>
      <c r="S185" t="s">
        <v>257</v>
      </c>
      <c r="T185" s="1">
        <v>43220</v>
      </c>
      <c r="U185" s="1">
        <v>42870</v>
      </c>
      <c r="V185" t="s">
        <v>260</v>
      </c>
      <c r="W185">
        <v>656046750</v>
      </c>
      <c r="X185">
        <v>656046750</v>
      </c>
      <c r="Y185" t="s">
        <v>270</v>
      </c>
      <c r="Z185">
        <v>205934881</v>
      </c>
      <c r="AA185">
        <v>205934881</v>
      </c>
      <c r="AB185" t="b">
        <v>1</v>
      </c>
      <c r="AC185">
        <v>0.55000000000000004</v>
      </c>
    </row>
    <row r="186" spans="1:29" x14ac:dyDescent="0.2">
      <c r="A186" t="b">
        <v>1</v>
      </c>
      <c r="B186" t="b">
        <v>0</v>
      </c>
      <c r="C186" t="b">
        <v>1</v>
      </c>
      <c r="D186" t="s">
        <v>522</v>
      </c>
      <c r="E186" t="b">
        <v>0</v>
      </c>
      <c r="F186" t="b">
        <v>0</v>
      </c>
      <c r="G186" t="s">
        <v>529</v>
      </c>
      <c r="H186">
        <v>0</v>
      </c>
      <c r="I186" t="s">
        <v>524</v>
      </c>
      <c r="J186" t="s">
        <v>525</v>
      </c>
      <c r="K186" s="4" t="s">
        <v>521</v>
      </c>
      <c r="L186" t="s">
        <v>526</v>
      </c>
      <c r="M186" t="s">
        <v>1950</v>
      </c>
      <c r="N186" t="s">
        <v>1962</v>
      </c>
      <c r="Q186" t="s">
        <v>1989</v>
      </c>
      <c r="R186" t="s">
        <v>2104</v>
      </c>
      <c r="S186" t="s">
        <v>257</v>
      </c>
      <c r="T186" s="1">
        <v>43220</v>
      </c>
      <c r="U186" s="1">
        <v>42870</v>
      </c>
      <c r="V186" t="s">
        <v>260</v>
      </c>
      <c r="W186">
        <v>656046750</v>
      </c>
      <c r="X186">
        <v>656046750</v>
      </c>
      <c r="Y186" t="s">
        <v>270</v>
      </c>
      <c r="Z186">
        <v>205934881</v>
      </c>
      <c r="AA186">
        <v>205934881</v>
      </c>
      <c r="AB186" t="b">
        <v>1</v>
      </c>
      <c r="AC186">
        <v>0.55000000000000004</v>
      </c>
    </row>
    <row r="187" spans="1:29" hidden="1" x14ac:dyDescent="0.2">
      <c r="A187" t="b">
        <v>1</v>
      </c>
      <c r="B187" t="b">
        <v>1</v>
      </c>
      <c r="C187" t="b">
        <v>1</v>
      </c>
      <c r="D187" t="b">
        <v>0</v>
      </c>
      <c r="E187" t="b">
        <v>0</v>
      </c>
      <c r="F187" t="b">
        <v>0</v>
      </c>
      <c r="G187" t="s">
        <v>1031</v>
      </c>
      <c r="H187">
        <v>0</v>
      </c>
      <c r="I187">
        <v>0</v>
      </c>
      <c r="J187" t="s">
        <v>1028</v>
      </c>
      <c r="K187" t="s">
        <v>1026</v>
      </c>
      <c r="L187" t="s">
        <v>1029</v>
      </c>
      <c r="M187" t="s">
        <v>1985</v>
      </c>
      <c r="N187" t="s">
        <v>1986</v>
      </c>
      <c r="Q187" t="s">
        <v>2031</v>
      </c>
      <c r="R187" t="s">
        <v>2105</v>
      </c>
      <c r="S187" t="s">
        <v>257</v>
      </c>
      <c r="T187" s="1">
        <v>43669</v>
      </c>
      <c r="U187" s="1">
        <v>43920</v>
      </c>
      <c r="V187" t="s">
        <v>260</v>
      </c>
      <c r="W187">
        <v>15500000</v>
      </c>
      <c r="X187">
        <v>15500000</v>
      </c>
      <c r="Y187" t="s">
        <v>260</v>
      </c>
      <c r="Z187">
        <v>15500000</v>
      </c>
      <c r="AA187">
        <v>2984385</v>
      </c>
      <c r="AB187" t="b">
        <v>1</v>
      </c>
      <c r="AC187">
        <v>0.1</v>
      </c>
    </row>
    <row r="188" spans="1:29" hidden="1" x14ac:dyDescent="0.2">
      <c r="A188" t="b">
        <v>1</v>
      </c>
      <c r="B188" t="b">
        <v>1</v>
      </c>
      <c r="C188" t="b">
        <v>1</v>
      </c>
      <c r="D188" t="b">
        <v>0</v>
      </c>
      <c r="E188" t="b">
        <v>0</v>
      </c>
      <c r="F188" t="b">
        <v>0</v>
      </c>
      <c r="G188" t="s">
        <v>1031</v>
      </c>
      <c r="H188">
        <v>0</v>
      </c>
      <c r="I188">
        <v>0</v>
      </c>
      <c r="J188" t="s">
        <v>1028</v>
      </c>
      <c r="K188" t="s">
        <v>1026</v>
      </c>
      <c r="L188" t="s">
        <v>1029</v>
      </c>
      <c r="M188" t="s">
        <v>1950</v>
      </c>
      <c r="N188" t="s">
        <v>1955</v>
      </c>
      <c r="Q188" t="s">
        <v>1989</v>
      </c>
      <c r="R188" t="s">
        <v>2105</v>
      </c>
      <c r="S188" t="s">
        <v>257</v>
      </c>
      <c r="T188" s="1">
        <v>43669</v>
      </c>
      <c r="U188" s="1">
        <v>43920</v>
      </c>
      <c r="V188" t="s">
        <v>260</v>
      </c>
      <c r="W188">
        <v>15500000</v>
      </c>
      <c r="X188">
        <v>15500000</v>
      </c>
      <c r="Y188" t="s">
        <v>260</v>
      </c>
      <c r="Z188">
        <v>15500000</v>
      </c>
      <c r="AA188">
        <v>2984385</v>
      </c>
      <c r="AB188" t="b">
        <v>1</v>
      </c>
      <c r="AC188">
        <v>0.1</v>
      </c>
    </row>
    <row r="189" spans="1:29" hidden="1" x14ac:dyDescent="0.2">
      <c r="A189" t="b">
        <v>1</v>
      </c>
      <c r="B189" t="b">
        <v>0</v>
      </c>
      <c r="C189" t="b">
        <v>1</v>
      </c>
      <c r="D189" t="s">
        <v>248</v>
      </c>
      <c r="E189" t="b">
        <v>0</v>
      </c>
      <c r="F189" t="b">
        <v>0</v>
      </c>
      <c r="G189">
        <v>0</v>
      </c>
      <c r="H189" t="s">
        <v>250</v>
      </c>
      <c r="I189">
        <v>0</v>
      </c>
      <c r="J189">
        <v>0</v>
      </c>
      <c r="K189" t="s">
        <v>247</v>
      </c>
      <c r="L189" t="s">
        <v>251</v>
      </c>
      <c r="M189" t="s">
        <v>1985</v>
      </c>
      <c r="N189" t="s">
        <v>1986</v>
      </c>
      <c r="Q189" t="s">
        <v>2031</v>
      </c>
      <c r="R189" t="s">
        <v>2106</v>
      </c>
      <c r="S189" t="s">
        <v>257</v>
      </c>
      <c r="T189" s="1">
        <v>43669</v>
      </c>
      <c r="U189" s="1">
        <v>43920</v>
      </c>
      <c r="V189" t="s">
        <v>260</v>
      </c>
      <c r="W189">
        <v>20700000</v>
      </c>
      <c r="X189">
        <v>17000000</v>
      </c>
      <c r="Y189" t="s">
        <v>260</v>
      </c>
      <c r="Z189">
        <v>17000000</v>
      </c>
      <c r="AA189">
        <v>3273196</v>
      </c>
      <c r="AB189" t="b">
        <v>1</v>
      </c>
      <c r="AC189">
        <v>0.13</v>
      </c>
    </row>
    <row r="190" spans="1:29" hidden="1" x14ac:dyDescent="0.2">
      <c r="A190" t="b">
        <v>1</v>
      </c>
      <c r="B190" t="b">
        <v>0</v>
      </c>
      <c r="C190" t="b">
        <v>1</v>
      </c>
      <c r="D190" t="s">
        <v>248</v>
      </c>
      <c r="E190" t="b">
        <v>0</v>
      </c>
      <c r="F190" t="b">
        <v>0</v>
      </c>
      <c r="G190">
        <v>0</v>
      </c>
      <c r="H190" t="s">
        <v>250</v>
      </c>
      <c r="I190">
        <v>0</v>
      </c>
      <c r="J190">
        <v>0</v>
      </c>
      <c r="K190" t="s">
        <v>247</v>
      </c>
      <c r="L190" t="s">
        <v>251</v>
      </c>
      <c r="M190" t="s">
        <v>1950</v>
      </c>
      <c r="N190" t="s">
        <v>1955</v>
      </c>
      <c r="Q190" t="s">
        <v>1989</v>
      </c>
      <c r="R190" t="s">
        <v>2106</v>
      </c>
      <c r="S190" t="s">
        <v>257</v>
      </c>
      <c r="T190" s="1">
        <v>43669</v>
      </c>
      <c r="U190" s="1">
        <v>43920</v>
      </c>
      <c r="V190" t="s">
        <v>260</v>
      </c>
      <c r="W190">
        <v>20700000</v>
      </c>
      <c r="X190">
        <v>17000000</v>
      </c>
      <c r="Y190" t="s">
        <v>260</v>
      </c>
      <c r="Z190">
        <v>17000000</v>
      </c>
      <c r="AA190">
        <v>3273196</v>
      </c>
      <c r="AB190" t="b">
        <v>1</v>
      </c>
      <c r="AC190">
        <v>0.13</v>
      </c>
    </row>
    <row r="191" spans="1:29" hidden="1" x14ac:dyDescent="0.2">
      <c r="A191" t="b">
        <v>1</v>
      </c>
      <c r="B191" t="b">
        <v>0</v>
      </c>
      <c r="C191" t="b">
        <v>1</v>
      </c>
      <c r="D191" t="s">
        <v>248</v>
      </c>
      <c r="E191" t="b">
        <v>0</v>
      </c>
      <c r="F191" t="b">
        <v>0</v>
      </c>
      <c r="G191">
        <v>0</v>
      </c>
      <c r="H191" t="s">
        <v>250</v>
      </c>
      <c r="I191">
        <v>0</v>
      </c>
      <c r="J191">
        <v>0</v>
      </c>
      <c r="K191" t="s">
        <v>247</v>
      </c>
      <c r="L191" t="s">
        <v>251</v>
      </c>
      <c r="M191" t="s">
        <v>2063</v>
      </c>
      <c r="N191" t="s">
        <v>441</v>
      </c>
      <c r="Q191" t="s">
        <v>2031</v>
      </c>
      <c r="R191" t="s">
        <v>2107</v>
      </c>
      <c r="S191" t="s">
        <v>351</v>
      </c>
      <c r="T191" s="1">
        <v>43829</v>
      </c>
      <c r="U191" s="1">
        <v>43829</v>
      </c>
      <c r="V191" t="s">
        <v>270</v>
      </c>
      <c r="W191">
        <v>6746501.5499999998</v>
      </c>
      <c r="X191">
        <v>6746501.5499999998</v>
      </c>
      <c r="Y191" t="s">
        <v>270</v>
      </c>
      <c r="Z191">
        <v>6746501.5499999998</v>
      </c>
      <c r="AA191">
        <v>6746501</v>
      </c>
      <c r="AB191" t="b">
        <v>0</v>
      </c>
      <c r="AC191">
        <v>0.65</v>
      </c>
    </row>
    <row r="192" spans="1:29" hidden="1" x14ac:dyDescent="0.2">
      <c r="A192" t="b">
        <v>1</v>
      </c>
      <c r="B192" t="b">
        <v>0</v>
      </c>
      <c r="C192" t="b">
        <v>1</v>
      </c>
      <c r="D192" t="s">
        <v>248</v>
      </c>
      <c r="E192" t="b">
        <v>0</v>
      </c>
      <c r="F192" t="b">
        <v>0</v>
      </c>
      <c r="G192">
        <v>0</v>
      </c>
      <c r="H192" t="s">
        <v>250</v>
      </c>
      <c r="I192">
        <v>0</v>
      </c>
      <c r="J192">
        <v>0</v>
      </c>
      <c r="K192" t="s">
        <v>247</v>
      </c>
      <c r="L192" t="s">
        <v>251</v>
      </c>
      <c r="M192" t="s">
        <v>2064</v>
      </c>
      <c r="N192" t="s">
        <v>441</v>
      </c>
      <c r="Q192" t="s">
        <v>1989</v>
      </c>
      <c r="R192" t="s">
        <v>2107</v>
      </c>
      <c r="S192" t="s">
        <v>351</v>
      </c>
      <c r="T192" s="1">
        <v>43829</v>
      </c>
      <c r="U192" s="1">
        <v>43829</v>
      </c>
      <c r="V192" t="s">
        <v>270</v>
      </c>
      <c r="W192">
        <v>6746501.5499999998</v>
      </c>
      <c r="X192">
        <v>6746501.5499999998</v>
      </c>
      <c r="Y192" t="s">
        <v>270</v>
      </c>
      <c r="Z192">
        <v>6746501.5499999998</v>
      </c>
      <c r="AA192">
        <v>6746501</v>
      </c>
      <c r="AB192" t="b">
        <v>0</v>
      </c>
      <c r="AC192">
        <v>0.65</v>
      </c>
    </row>
    <row r="193" spans="1:29" hidden="1" x14ac:dyDescent="0.2">
      <c r="A193" t="b">
        <v>1</v>
      </c>
      <c r="B193" t="b">
        <v>0</v>
      </c>
      <c r="C193" t="b">
        <v>1</v>
      </c>
      <c r="D193" t="s">
        <v>522</v>
      </c>
      <c r="E193" t="b">
        <v>0</v>
      </c>
      <c r="F193" t="b">
        <v>0</v>
      </c>
      <c r="G193" t="s">
        <v>651</v>
      </c>
      <c r="H193">
        <v>0</v>
      </c>
      <c r="I193">
        <v>0</v>
      </c>
      <c r="J193" t="s">
        <v>649</v>
      </c>
      <c r="K193" t="s">
        <v>465</v>
      </c>
      <c r="L193" t="s">
        <v>650</v>
      </c>
      <c r="M193" t="s">
        <v>1985</v>
      </c>
      <c r="N193" t="s">
        <v>1986</v>
      </c>
      <c r="Q193" t="s">
        <v>2031</v>
      </c>
      <c r="R193" t="s">
        <v>2108</v>
      </c>
      <c r="S193" t="s">
        <v>351</v>
      </c>
      <c r="T193" s="1">
        <v>43829</v>
      </c>
      <c r="U193" s="1">
        <v>43829</v>
      </c>
      <c r="V193" t="s">
        <v>270</v>
      </c>
      <c r="W193">
        <v>26075240.469999999</v>
      </c>
      <c r="X193">
        <v>26075240.469999999</v>
      </c>
      <c r="Y193" t="s">
        <v>270</v>
      </c>
      <c r="Z193">
        <v>26075240.469999999</v>
      </c>
      <c r="AA193">
        <v>26075240</v>
      </c>
      <c r="AB193" t="b">
        <v>0</v>
      </c>
      <c r="AC193">
        <v>0.9</v>
      </c>
    </row>
    <row r="194" spans="1:29" x14ac:dyDescent="0.2">
      <c r="A194" t="b">
        <v>1</v>
      </c>
      <c r="B194" t="b">
        <v>0</v>
      </c>
      <c r="C194" t="b">
        <v>1</v>
      </c>
      <c r="D194" t="s">
        <v>522</v>
      </c>
      <c r="E194" t="b">
        <v>0</v>
      </c>
      <c r="F194" t="b">
        <v>0</v>
      </c>
      <c r="G194" t="s">
        <v>651</v>
      </c>
      <c r="H194">
        <v>0</v>
      </c>
      <c r="I194">
        <v>0</v>
      </c>
      <c r="J194" t="s">
        <v>649</v>
      </c>
      <c r="K194" t="s">
        <v>465</v>
      </c>
      <c r="L194" t="s">
        <v>650</v>
      </c>
      <c r="M194" t="s">
        <v>1950</v>
      </c>
      <c r="N194" t="s">
        <v>1955</v>
      </c>
      <c r="Q194" t="s">
        <v>1989</v>
      </c>
      <c r="R194" t="s">
        <v>2108</v>
      </c>
      <c r="S194" t="s">
        <v>351</v>
      </c>
      <c r="T194" s="1">
        <v>43829</v>
      </c>
      <c r="U194" s="1">
        <v>43829</v>
      </c>
      <c r="V194" t="s">
        <v>270</v>
      </c>
      <c r="W194">
        <v>26075240.469999999</v>
      </c>
      <c r="X194">
        <v>26075240.469999999</v>
      </c>
      <c r="Y194" t="s">
        <v>270</v>
      </c>
      <c r="Z194">
        <v>26075240.469999999</v>
      </c>
      <c r="AA194">
        <v>26075240</v>
      </c>
      <c r="AB194" t="b">
        <v>0</v>
      </c>
      <c r="AC194">
        <v>0.9</v>
      </c>
    </row>
    <row r="195" spans="1:29" hidden="1" x14ac:dyDescent="0.2">
      <c r="A195" t="b">
        <v>1</v>
      </c>
      <c r="B195" t="b">
        <v>0</v>
      </c>
      <c r="C195" t="b">
        <v>1</v>
      </c>
      <c r="D195" t="s">
        <v>522</v>
      </c>
      <c r="E195" t="b">
        <v>0</v>
      </c>
      <c r="F195" t="b">
        <v>0</v>
      </c>
      <c r="G195" t="s">
        <v>651</v>
      </c>
      <c r="H195">
        <v>0</v>
      </c>
      <c r="I195">
        <v>0</v>
      </c>
      <c r="J195" t="s">
        <v>649</v>
      </c>
      <c r="K195" t="s">
        <v>465</v>
      </c>
      <c r="L195" t="s">
        <v>650</v>
      </c>
      <c r="M195" t="s">
        <v>1985</v>
      </c>
      <c r="N195" t="s">
        <v>2017</v>
      </c>
      <c r="Q195" t="s">
        <v>2031</v>
      </c>
      <c r="R195" t="s">
        <v>2109</v>
      </c>
      <c r="S195" t="s">
        <v>351</v>
      </c>
      <c r="T195" s="1">
        <v>43829</v>
      </c>
      <c r="U195" s="1">
        <v>43829</v>
      </c>
      <c r="V195" t="s">
        <v>270</v>
      </c>
      <c r="W195">
        <v>37631713.549999997</v>
      </c>
      <c r="X195">
        <v>37631713.549999997</v>
      </c>
      <c r="Y195" t="s">
        <v>270</v>
      </c>
      <c r="Z195">
        <v>37631713.549999997</v>
      </c>
      <c r="AA195">
        <v>37631713</v>
      </c>
      <c r="AB195" t="b">
        <v>0</v>
      </c>
      <c r="AC195">
        <v>0.5</v>
      </c>
    </row>
    <row r="196" spans="1:29" hidden="1" x14ac:dyDescent="0.2">
      <c r="A196" t="b">
        <v>1</v>
      </c>
      <c r="B196" t="b">
        <v>0</v>
      </c>
      <c r="C196" t="b">
        <v>1</v>
      </c>
      <c r="D196" t="s">
        <v>248</v>
      </c>
      <c r="E196" t="b">
        <v>0</v>
      </c>
      <c r="F196" t="b">
        <v>0</v>
      </c>
      <c r="G196">
        <v>0</v>
      </c>
      <c r="H196" t="s">
        <v>514</v>
      </c>
      <c r="I196" t="s">
        <v>515</v>
      </c>
      <c r="J196" t="s">
        <v>516</v>
      </c>
      <c r="K196" t="s">
        <v>512</v>
      </c>
      <c r="L196" t="s">
        <v>517</v>
      </c>
      <c r="M196" t="s">
        <v>1985</v>
      </c>
      <c r="N196" t="s">
        <v>1986</v>
      </c>
      <c r="Q196" t="s">
        <v>1989</v>
      </c>
      <c r="R196" t="s">
        <v>2109</v>
      </c>
      <c r="S196" t="s">
        <v>351</v>
      </c>
      <c r="T196" s="1">
        <v>43829</v>
      </c>
      <c r="U196" s="1">
        <v>43829</v>
      </c>
      <c r="V196" t="s">
        <v>270</v>
      </c>
      <c r="W196">
        <v>37631713.549999997</v>
      </c>
      <c r="X196">
        <v>37631713.549999997</v>
      </c>
      <c r="Y196" t="s">
        <v>270</v>
      </c>
      <c r="Z196">
        <v>37631713.549999997</v>
      </c>
      <c r="AA196">
        <v>37631713</v>
      </c>
      <c r="AB196" t="b">
        <v>0</v>
      </c>
      <c r="AC196">
        <v>0.5</v>
      </c>
    </row>
    <row r="197" spans="1:29" hidden="1" x14ac:dyDescent="0.2">
      <c r="A197" t="b">
        <v>1</v>
      </c>
      <c r="B197" t="b">
        <v>0</v>
      </c>
      <c r="C197" t="b">
        <v>1</v>
      </c>
      <c r="D197" t="s">
        <v>248</v>
      </c>
      <c r="E197" t="b">
        <v>0</v>
      </c>
      <c r="F197" t="b">
        <v>0</v>
      </c>
      <c r="G197">
        <v>0</v>
      </c>
      <c r="H197" t="s">
        <v>514</v>
      </c>
      <c r="I197" t="s">
        <v>515</v>
      </c>
      <c r="J197" t="s">
        <v>516</v>
      </c>
      <c r="K197" t="s">
        <v>512</v>
      </c>
      <c r="L197" t="s">
        <v>517</v>
      </c>
      <c r="M197" t="s">
        <v>1950</v>
      </c>
      <c r="N197" t="s">
        <v>1955</v>
      </c>
      <c r="Q197" t="s">
        <v>2031</v>
      </c>
      <c r="R197" t="s">
        <v>2110</v>
      </c>
      <c r="S197" t="s">
        <v>351</v>
      </c>
      <c r="T197" s="1">
        <v>43829</v>
      </c>
      <c r="U197" s="1">
        <v>43829</v>
      </c>
      <c r="V197" t="s">
        <v>270</v>
      </c>
      <c r="W197">
        <v>81048214.200000003</v>
      </c>
      <c r="X197">
        <v>81048214.200000003</v>
      </c>
      <c r="Y197" t="s">
        <v>270</v>
      </c>
      <c r="Z197">
        <v>81048214.200000003</v>
      </c>
      <c r="AA197">
        <v>81048214</v>
      </c>
      <c r="AB197" t="b">
        <v>0</v>
      </c>
      <c r="AC197">
        <v>0.4</v>
      </c>
    </row>
    <row r="198" spans="1:29" hidden="1" x14ac:dyDescent="0.2">
      <c r="A198" t="b">
        <v>1</v>
      </c>
      <c r="B198" t="b">
        <v>0</v>
      </c>
      <c r="C198" t="b">
        <v>1</v>
      </c>
      <c r="D198" t="s">
        <v>248</v>
      </c>
      <c r="E198" t="b">
        <v>0</v>
      </c>
      <c r="F198" t="b">
        <v>0</v>
      </c>
      <c r="G198">
        <v>0</v>
      </c>
      <c r="H198" t="s">
        <v>514</v>
      </c>
      <c r="I198" t="s">
        <v>515</v>
      </c>
      <c r="J198" t="s">
        <v>516</v>
      </c>
      <c r="K198" t="s">
        <v>512</v>
      </c>
      <c r="L198" t="s">
        <v>517</v>
      </c>
      <c r="M198" t="s">
        <v>2063</v>
      </c>
      <c r="N198" t="s">
        <v>441</v>
      </c>
      <c r="Q198" t="s">
        <v>1989</v>
      </c>
      <c r="R198" t="s">
        <v>2110</v>
      </c>
      <c r="S198" t="s">
        <v>351</v>
      </c>
      <c r="T198" s="1">
        <v>43829</v>
      </c>
      <c r="U198" s="1">
        <v>43829</v>
      </c>
      <c r="V198" t="s">
        <v>270</v>
      </c>
      <c r="W198">
        <v>81048214.200000003</v>
      </c>
      <c r="X198">
        <v>81048214.200000003</v>
      </c>
      <c r="Y198" t="s">
        <v>270</v>
      </c>
      <c r="Z198">
        <v>81048214.200000003</v>
      </c>
      <c r="AA198">
        <v>81048214</v>
      </c>
      <c r="AB198" t="b">
        <v>0</v>
      </c>
      <c r="AC198">
        <v>0.4</v>
      </c>
    </row>
    <row r="199" spans="1:29" hidden="1" x14ac:dyDescent="0.2">
      <c r="A199" t="b">
        <v>1</v>
      </c>
      <c r="B199" t="b">
        <v>0</v>
      </c>
      <c r="C199" t="b">
        <v>1</v>
      </c>
      <c r="D199" t="s">
        <v>248</v>
      </c>
      <c r="E199" t="b">
        <v>0</v>
      </c>
      <c r="F199" t="b">
        <v>0</v>
      </c>
      <c r="G199">
        <v>0</v>
      </c>
      <c r="H199" t="s">
        <v>514</v>
      </c>
      <c r="I199" t="s">
        <v>515</v>
      </c>
      <c r="J199" t="s">
        <v>516</v>
      </c>
      <c r="K199" t="s">
        <v>512</v>
      </c>
      <c r="L199" t="s">
        <v>517</v>
      </c>
      <c r="M199" t="s">
        <v>2064</v>
      </c>
      <c r="N199" t="s">
        <v>441</v>
      </c>
      <c r="Q199" t="s">
        <v>2075</v>
      </c>
      <c r="R199" t="s">
        <v>2113</v>
      </c>
      <c r="S199" t="s">
        <v>257</v>
      </c>
      <c r="T199" s="1">
        <v>44305</v>
      </c>
      <c r="U199" s="1">
        <v>44305</v>
      </c>
      <c r="V199" t="s">
        <v>260</v>
      </c>
      <c r="W199">
        <v>150000000</v>
      </c>
      <c r="X199">
        <v>150000000</v>
      </c>
      <c r="Y199" t="s">
        <v>260</v>
      </c>
      <c r="Z199">
        <v>150000000</v>
      </c>
      <c r="AA199">
        <v>27048129</v>
      </c>
      <c r="AB199" t="b">
        <v>0</v>
      </c>
      <c r="AC199">
        <v>1</v>
      </c>
    </row>
    <row r="200" spans="1:29" x14ac:dyDescent="0.2">
      <c r="A200" t="b">
        <v>1</v>
      </c>
      <c r="B200" t="b">
        <v>0</v>
      </c>
      <c r="C200" t="b">
        <v>1</v>
      </c>
      <c r="D200" t="s">
        <v>522</v>
      </c>
      <c r="E200" t="b">
        <v>0</v>
      </c>
      <c r="F200" t="b">
        <v>0</v>
      </c>
      <c r="G200" t="s">
        <v>651</v>
      </c>
      <c r="H200">
        <v>0</v>
      </c>
      <c r="I200">
        <v>0</v>
      </c>
      <c r="J200" t="s">
        <v>649</v>
      </c>
      <c r="K200" t="s">
        <v>465</v>
      </c>
      <c r="L200" t="s">
        <v>650</v>
      </c>
      <c r="M200" t="s">
        <v>1950</v>
      </c>
      <c r="N200" t="s">
        <v>1957</v>
      </c>
      <c r="Q200" t="s">
        <v>2075</v>
      </c>
      <c r="R200" t="s">
        <v>2113</v>
      </c>
      <c r="S200" t="s">
        <v>257</v>
      </c>
      <c r="T200" s="1">
        <v>44305</v>
      </c>
      <c r="U200" s="1">
        <v>44305</v>
      </c>
      <c r="V200" t="s">
        <v>260</v>
      </c>
      <c r="W200">
        <v>150000000</v>
      </c>
      <c r="X200">
        <v>150000000</v>
      </c>
      <c r="Y200" t="s">
        <v>260</v>
      </c>
      <c r="Z200">
        <v>150000000</v>
      </c>
      <c r="AA200">
        <v>27048129</v>
      </c>
      <c r="AB200" t="b">
        <v>0</v>
      </c>
      <c r="AC200">
        <v>1</v>
      </c>
    </row>
    <row r="201" spans="1:29" hidden="1" x14ac:dyDescent="0.2">
      <c r="A201" t="b">
        <v>1</v>
      </c>
      <c r="B201" t="b">
        <v>0</v>
      </c>
      <c r="C201" t="b">
        <v>1</v>
      </c>
      <c r="D201" t="s">
        <v>248</v>
      </c>
      <c r="E201" t="b">
        <v>0</v>
      </c>
      <c r="F201" t="b">
        <v>0</v>
      </c>
      <c r="G201">
        <v>0</v>
      </c>
      <c r="H201" t="s">
        <v>410</v>
      </c>
      <c r="I201" t="s">
        <v>411</v>
      </c>
      <c r="J201" t="s">
        <v>412</v>
      </c>
      <c r="K201" t="s">
        <v>408</v>
      </c>
      <c r="L201" t="s">
        <v>413</v>
      </c>
      <c r="M201" t="s">
        <v>1985</v>
      </c>
      <c r="N201" t="s">
        <v>1986</v>
      </c>
      <c r="Q201" t="s">
        <v>2040</v>
      </c>
      <c r="R201" t="s">
        <v>2116</v>
      </c>
      <c r="S201" t="s">
        <v>257</v>
      </c>
      <c r="T201" s="1">
        <v>43873</v>
      </c>
      <c r="U201" s="1">
        <v>43873</v>
      </c>
      <c r="V201" t="s">
        <v>260</v>
      </c>
      <c r="W201">
        <v>210267000</v>
      </c>
      <c r="X201">
        <v>210267000</v>
      </c>
      <c r="Y201" t="s">
        <v>260</v>
      </c>
      <c r="Z201">
        <v>210267000</v>
      </c>
      <c r="AA201">
        <v>39152293</v>
      </c>
      <c r="AB201" t="b">
        <v>0</v>
      </c>
      <c r="AC201">
        <v>1</v>
      </c>
    </row>
    <row r="202" spans="1:29" hidden="1" x14ac:dyDescent="0.2">
      <c r="A202" t="b">
        <v>1</v>
      </c>
      <c r="B202" t="b">
        <v>0</v>
      </c>
      <c r="C202" t="b">
        <v>1</v>
      </c>
      <c r="D202" t="s">
        <v>248</v>
      </c>
      <c r="E202" t="b">
        <v>0</v>
      </c>
      <c r="F202" t="b">
        <v>0</v>
      </c>
      <c r="G202">
        <v>0</v>
      </c>
      <c r="H202" t="s">
        <v>410</v>
      </c>
      <c r="I202" t="s">
        <v>411</v>
      </c>
      <c r="J202" t="s">
        <v>412</v>
      </c>
      <c r="K202" t="s">
        <v>408</v>
      </c>
      <c r="L202" t="s">
        <v>413</v>
      </c>
      <c r="M202" t="s">
        <v>1950</v>
      </c>
      <c r="N202" t="s">
        <v>1955</v>
      </c>
      <c r="Q202" t="s">
        <v>2117</v>
      </c>
      <c r="R202" t="s">
        <v>2116</v>
      </c>
      <c r="S202" t="s">
        <v>257</v>
      </c>
      <c r="T202" s="1">
        <v>43873</v>
      </c>
      <c r="U202" s="1">
        <v>43873</v>
      </c>
      <c r="V202" t="s">
        <v>260</v>
      </c>
      <c r="W202">
        <v>210267000</v>
      </c>
      <c r="X202">
        <v>210267000</v>
      </c>
      <c r="Y202" t="s">
        <v>260</v>
      </c>
      <c r="Z202">
        <v>210267000</v>
      </c>
      <c r="AA202">
        <v>39152293</v>
      </c>
      <c r="AB202" t="b">
        <v>0</v>
      </c>
      <c r="AC202">
        <v>1</v>
      </c>
    </row>
    <row r="203" spans="1:29" hidden="1" x14ac:dyDescent="0.2">
      <c r="A203" t="b">
        <v>1</v>
      </c>
      <c r="B203" t="b">
        <v>0</v>
      </c>
      <c r="C203" t="b">
        <v>1</v>
      </c>
      <c r="D203" t="s">
        <v>248</v>
      </c>
      <c r="E203" t="b">
        <v>0</v>
      </c>
      <c r="F203" t="b">
        <v>0</v>
      </c>
      <c r="G203">
        <v>0</v>
      </c>
      <c r="H203" t="s">
        <v>410</v>
      </c>
      <c r="I203" t="s">
        <v>411</v>
      </c>
      <c r="J203" t="s">
        <v>412</v>
      </c>
      <c r="K203" t="s">
        <v>408</v>
      </c>
      <c r="L203" t="s">
        <v>413</v>
      </c>
      <c r="M203" t="s">
        <v>2063</v>
      </c>
      <c r="N203" t="s">
        <v>441</v>
      </c>
      <c r="Q203" t="s">
        <v>1987</v>
      </c>
      <c r="R203" t="s">
        <v>2118</v>
      </c>
      <c r="S203" t="s">
        <v>808</v>
      </c>
      <c r="T203" s="1">
        <v>42824</v>
      </c>
      <c r="U203" s="1">
        <v>43581</v>
      </c>
      <c r="V203" t="s">
        <v>811</v>
      </c>
      <c r="W203">
        <v>100000000</v>
      </c>
      <c r="X203">
        <v>100000000</v>
      </c>
      <c r="Y203" t="s">
        <v>811</v>
      </c>
      <c r="Z203">
        <v>100000000</v>
      </c>
      <c r="AA203">
        <v>30000000</v>
      </c>
      <c r="AB203" t="b">
        <v>1</v>
      </c>
      <c r="AC203">
        <v>0.4</v>
      </c>
    </row>
    <row r="204" spans="1:29" hidden="1" x14ac:dyDescent="0.2">
      <c r="A204" t="b">
        <v>1</v>
      </c>
      <c r="B204" t="b">
        <v>0</v>
      </c>
      <c r="C204" t="b">
        <v>1</v>
      </c>
      <c r="D204" t="s">
        <v>248</v>
      </c>
      <c r="E204" t="b">
        <v>0</v>
      </c>
      <c r="F204" t="b">
        <v>0</v>
      </c>
      <c r="G204">
        <v>0</v>
      </c>
      <c r="H204" t="s">
        <v>410</v>
      </c>
      <c r="I204" t="s">
        <v>411</v>
      </c>
      <c r="J204" t="s">
        <v>412</v>
      </c>
      <c r="K204" t="s">
        <v>408</v>
      </c>
      <c r="L204" t="s">
        <v>413</v>
      </c>
      <c r="M204" t="s">
        <v>2064</v>
      </c>
      <c r="N204" t="s">
        <v>441</v>
      </c>
      <c r="Q204" t="s">
        <v>1989</v>
      </c>
      <c r="R204" t="s">
        <v>2118</v>
      </c>
      <c r="S204" t="s">
        <v>808</v>
      </c>
      <c r="T204" s="1">
        <v>42824</v>
      </c>
      <c r="U204" s="1">
        <v>43581</v>
      </c>
      <c r="V204" t="s">
        <v>811</v>
      </c>
      <c r="W204">
        <v>100000000</v>
      </c>
      <c r="X204">
        <v>100000000</v>
      </c>
      <c r="Y204" t="s">
        <v>811</v>
      </c>
      <c r="Z204">
        <v>100000000</v>
      </c>
      <c r="AA204">
        <v>30000000</v>
      </c>
      <c r="AB204" t="b">
        <v>1</v>
      </c>
      <c r="AC204">
        <v>0.4</v>
      </c>
    </row>
    <row r="205" spans="1:29" hidden="1" x14ac:dyDescent="0.2">
      <c r="A205" t="b">
        <v>1</v>
      </c>
      <c r="B205" t="b">
        <v>0</v>
      </c>
      <c r="C205" t="b">
        <v>1</v>
      </c>
      <c r="D205" t="s">
        <v>522</v>
      </c>
      <c r="E205" t="b">
        <v>0</v>
      </c>
      <c r="F205" t="b">
        <v>0</v>
      </c>
      <c r="G205" t="s">
        <v>651</v>
      </c>
      <c r="H205">
        <v>0</v>
      </c>
      <c r="I205">
        <v>0</v>
      </c>
      <c r="J205" t="s">
        <v>649</v>
      </c>
      <c r="K205" t="s">
        <v>465</v>
      </c>
      <c r="L205" t="s">
        <v>650</v>
      </c>
      <c r="M205" t="s">
        <v>1985</v>
      </c>
      <c r="N205" t="s">
        <v>1994</v>
      </c>
      <c r="Q205" t="s">
        <v>2031</v>
      </c>
      <c r="R205" t="s">
        <v>2119</v>
      </c>
      <c r="S205" t="s">
        <v>2120</v>
      </c>
      <c r="T205" s="1">
        <v>43770</v>
      </c>
      <c r="U205" s="1">
        <v>43983</v>
      </c>
      <c r="V205" t="s">
        <v>270</v>
      </c>
      <c r="W205">
        <v>31351256</v>
      </c>
      <c r="X205">
        <v>31351256</v>
      </c>
      <c r="Y205" t="s">
        <v>270</v>
      </c>
      <c r="Z205">
        <v>31351256</v>
      </c>
      <c r="AA205">
        <v>31351256</v>
      </c>
      <c r="AB205" t="b">
        <v>1</v>
      </c>
      <c r="AC205">
        <v>0.52</v>
      </c>
    </row>
    <row r="206" spans="1:29" x14ac:dyDescent="0.2">
      <c r="A206" t="b">
        <v>1</v>
      </c>
      <c r="B206" t="b">
        <v>0</v>
      </c>
      <c r="C206" t="b">
        <v>1</v>
      </c>
      <c r="D206" t="s">
        <v>522</v>
      </c>
      <c r="E206" t="b">
        <v>0</v>
      </c>
      <c r="F206" t="b">
        <v>0</v>
      </c>
      <c r="G206" t="s">
        <v>651</v>
      </c>
      <c r="H206">
        <v>0</v>
      </c>
      <c r="I206">
        <v>0</v>
      </c>
      <c r="J206" t="s">
        <v>649</v>
      </c>
      <c r="K206" t="s">
        <v>465</v>
      </c>
      <c r="L206" t="s">
        <v>650</v>
      </c>
      <c r="M206" t="s">
        <v>1950</v>
      </c>
      <c r="N206" t="s">
        <v>1956</v>
      </c>
      <c r="Q206" t="s">
        <v>1989</v>
      </c>
      <c r="R206" t="s">
        <v>2119</v>
      </c>
      <c r="S206" t="s">
        <v>2120</v>
      </c>
      <c r="T206" s="1">
        <v>43770</v>
      </c>
      <c r="U206" s="1">
        <v>43983</v>
      </c>
      <c r="V206" t="s">
        <v>270</v>
      </c>
      <c r="W206">
        <v>31351256</v>
      </c>
      <c r="X206">
        <v>31351256</v>
      </c>
      <c r="Y206" t="s">
        <v>270</v>
      </c>
      <c r="Z206">
        <v>31351256</v>
      </c>
      <c r="AA206">
        <v>31351256</v>
      </c>
      <c r="AB206" t="b">
        <v>1</v>
      </c>
      <c r="AC206">
        <v>0.52</v>
      </c>
    </row>
    <row r="207" spans="1:29" x14ac:dyDescent="0.2">
      <c r="A207" t="b">
        <v>1</v>
      </c>
      <c r="B207" t="b">
        <v>0</v>
      </c>
      <c r="C207" t="b">
        <v>1</v>
      </c>
      <c r="D207" t="s">
        <v>522</v>
      </c>
      <c r="E207" t="b">
        <v>0</v>
      </c>
      <c r="F207" t="b">
        <v>0</v>
      </c>
      <c r="G207" t="s">
        <v>1191</v>
      </c>
      <c r="H207" t="s">
        <v>124</v>
      </c>
      <c r="I207" t="s">
        <v>1188</v>
      </c>
      <c r="J207">
        <v>0</v>
      </c>
      <c r="K207" t="s">
        <v>1186</v>
      </c>
      <c r="L207" t="s">
        <v>1189</v>
      </c>
      <c r="M207" t="s">
        <v>1950</v>
      </c>
      <c r="N207" t="s">
        <v>1959</v>
      </c>
      <c r="Q207" t="s">
        <v>2031</v>
      </c>
      <c r="R207" t="s">
        <v>2121</v>
      </c>
      <c r="S207" t="s">
        <v>2120</v>
      </c>
      <c r="T207" s="1">
        <v>43771</v>
      </c>
      <c r="U207" s="1">
        <v>43983</v>
      </c>
      <c r="V207" t="s">
        <v>270</v>
      </c>
      <c r="W207">
        <v>15566263.92</v>
      </c>
      <c r="X207">
        <v>15566264</v>
      </c>
      <c r="Y207" t="s">
        <v>270</v>
      </c>
      <c r="Z207">
        <v>15566264</v>
      </c>
      <c r="AA207">
        <v>15566264</v>
      </c>
      <c r="AB207" t="b">
        <v>1</v>
      </c>
      <c r="AC207">
        <v>0.65</v>
      </c>
    </row>
    <row r="208" spans="1:29" x14ac:dyDescent="0.2">
      <c r="A208" t="b">
        <v>1</v>
      </c>
      <c r="B208" t="b">
        <v>0</v>
      </c>
      <c r="C208" t="b">
        <v>1</v>
      </c>
      <c r="D208" t="s">
        <v>522</v>
      </c>
      <c r="E208" t="b">
        <v>0</v>
      </c>
      <c r="F208" t="b">
        <v>0</v>
      </c>
      <c r="G208" t="s">
        <v>1191</v>
      </c>
      <c r="H208" t="s">
        <v>123</v>
      </c>
      <c r="I208" t="s">
        <v>1799</v>
      </c>
      <c r="J208">
        <v>0</v>
      </c>
      <c r="K208" t="s">
        <v>1797</v>
      </c>
      <c r="L208" t="s">
        <v>1800</v>
      </c>
      <c r="M208" t="s">
        <v>1950</v>
      </c>
      <c r="N208" t="s">
        <v>1959</v>
      </c>
      <c r="Q208" t="s">
        <v>1989</v>
      </c>
      <c r="R208" t="s">
        <v>2121</v>
      </c>
      <c r="S208" t="s">
        <v>2120</v>
      </c>
      <c r="T208" s="1">
        <v>43771</v>
      </c>
      <c r="U208" s="1">
        <v>43983</v>
      </c>
      <c r="V208" t="s">
        <v>270</v>
      </c>
      <c r="W208">
        <v>15566263.92</v>
      </c>
      <c r="X208">
        <v>15566264</v>
      </c>
      <c r="Y208" t="s">
        <v>270</v>
      </c>
      <c r="Z208">
        <v>15566264</v>
      </c>
      <c r="AA208">
        <v>15566264</v>
      </c>
      <c r="AB208" t="b">
        <v>1</v>
      </c>
      <c r="AC208">
        <v>0.65</v>
      </c>
    </row>
    <row r="209" spans="1:29" hidden="1" x14ac:dyDescent="0.2">
      <c r="A209" t="b">
        <v>1</v>
      </c>
      <c r="B209" t="b">
        <v>0</v>
      </c>
      <c r="C209" t="b">
        <v>1</v>
      </c>
      <c r="D209" t="s">
        <v>522</v>
      </c>
      <c r="E209" t="b">
        <v>0</v>
      </c>
      <c r="F209" t="b">
        <v>0</v>
      </c>
      <c r="G209" t="s">
        <v>1191</v>
      </c>
      <c r="H209" t="s">
        <v>124</v>
      </c>
      <c r="I209" t="s">
        <v>1188</v>
      </c>
      <c r="J209">
        <v>0</v>
      </c>
      <c r="K209" t="s">
        <v>1186</v>
      </c>
      <c r="L209" t="s">
        <v>1189</v>
      </c>
      <c r="M209" t="s">
        <v>1985</v>
      </c>
      <c r="N209" t="s">
        <v>2024</v>
      </c>
      <c r="Q209" t="s">
        <v>1987</v>
      </c>
      <c r="R209" t="s">
        <v>2122</v>
      </c>
      <c r="S209" t="s">
        <v>2120</v>
      </c>
      <c r="T209" s="1">
        <v>43772</v>
      </c>
      <c r="U209" s="1">
        <v>43983</v>
      </c>
      <c r="V209" t="s">
        <v>270</v>
      </c>
      <c r="W209">
        <v>17584107</v>
      </c>
      <c r="X209">
        <v>17584107</v>
      </c>
      <c r="Y209" t="s">
        <v>270</v>
      </c>
      <c r="Z209">
        <v>17584107</v>
      </c>
      <c r="AA209">
        <v>17584107</v>
      </c>
      <c r="AB209" t="b">
        <v>1</v>
      </c>
      <c r="AC209">
        <v>0.53</v>
      </c>
    </row>
    <row r="210" spans="1:29" x14ac:dyDescent="0.2">
      <c r="A210" t="b">
        <v>1</v>
      </c>
      <c r="B210" t="b">
        <v>0</v>
      </c>
      <c r="C210" t="b">
        <v>1</v>
      </c>
      <c r="D210" t="s">
        <v>522</v>
      </c>
      <c r="E210" t="b">
        <v>0</v>
      </c>
      <c r="F210" t="b">
        <v>0</v>
      </c>
      <c r="G210" t="s">
        <v>1191</v>
      </c>
      <c r="H210" t="s">
        <v>124</v>
      </c>
      <c r="I210" t="s">
        <v>1188</v>
      </c>
      <c r="J210">
        <v>0</v>
      </c>
      <c r="K210" t="s">
        <v>1186</v>
      </c>
      <c r="L210" t="s">
        <v>1189</v>
      </c>
      <c r="M210" t="s">
        <v>1950</v>
      </c>
      <c r="N210" t="s">
        <v>1962</v>
      </c>
      <c r="Q210" t="s">
        <v>1989</v>
      </c>
      <c r="R210" t="s">
        <v>2122</v>
      </c>
      <c r="S210" t="s">
        <v>2120</v>
      </c>
      <c r="T210" s="1">
        <v>43772</v>
      </c>
      <c r="U210" s="1">
        <v>43983</v>
      </c>
      <c r="V210" t="s">
        <v>270</v>
      </c>
      <c r="W210">
        <v>17584107</v>
      </c>
      <c r="X210">
        <v>17584107</v>
      </c>
      <c r="Y210" t="s">
        <v>270</v>
      </c>
      <c r="Z210">
        <v>17584107</v>
      </c>
      <c r="AA210">
        <v>17584107</v>
      </c>
      <c r="AB210" t="b">
        <v>1</v>
      </c>
      <c r="AC210">
        <v>0.53</v>
      </c>
    </row>
    <row r="211" spans="1:29" hidden="1" x14ac:dyDescent="0.2">
      <c r="A211" t="b">
        <v>1</v>
      </c>
      <c r="B211" t="b">
        <v>0</v>
      </c>
      <c r="C211" t="b">
        <v>1</v>
      </c>
      <c r="D211" t="s">
        <v>522</v>
      </c>
      <c r="E211" t="b">
        <v>0</v>
      </c>
      <c r="F211" t="b">
        <v>0</v>
      </c>
      <c r="G211" t="s">
        <v>1191</v>
      </c>
      <c r="H211" t="s">
        <v>124</v>
      </c>
      <c r="I211" t="s">
        <v>1188</v>
      </c>
      <c r="J211">
        <v>0</v>
      </c>
      <c r="K211" t="s">
        <v>1186</v>
      </c>
      <c r="L211" t="s">
        <v>1189</v>
      </c>
      <c r="M211" t="s">
        <v>1985</v>
      </c>
      <c r="N211" t="s">
        <v>1994</v>
      </c>
      <c r="Q211" t="s">
        <v>2031</v>
      </c>
      <c r="R211" t="s">
        <v>2123</v>
      </c>
      <c r="S211" t="s">
        <v>2124</v>
      </c>
      <c r="T211" s="1">
        <v>43773</v>
      </c>
      <c r="U211" s="1">
        <v>43983</v>
      </c>
      <c r="V211" t="s">
        <v>270</v>
      </c>
      <c r="W211">
        <v>25559634.34</v>
      </c>
      <c r="X211">
        <v>25559634</v>
      </c>
      <c r="Y211" t="s">
        <v>270</v>
      </c>
      <c r="Z211">
        <v>25559634</v>
      </c>
      <c r="AA211">
        <v>25559634</v>
      </c>
      <c r="AB211" t="b">
        <v>1</v>
      </c>
      <c r="AC211">
        <v>0.36</v>
      </c>
    </row>
    <row r="212" spans="1:29" x14ac:dyDescent="0.2">
      <c r="A212" t="b">
        <v>1</v>
      </c>
      <c r="B212" t="b">
        <v>0</v>
      </c>
      <c r="C212" t="b">
        <v>1</v>
      </c>
      <c r="D212" t="s">
        <v>522</v>
      </c>
      <c r="E212" t="b">
        <v>0</v>
      </c>
      <c r="F212" t="b">
        <v>0</v>
      </c>
      <c r="G212" t="s">
        <v>1191</v>
      </c>
      <c r="H212" t="s">
        <v>124</v>
      </c>
      <c r="I212" t="s">
        <v>1188</v>
      </c>
      <c r="J212">
        <v>0</v>
      </c>
      <c r="K212" t="s">
        <v>1186</v>
      </c>
      <c r="L212" t="s">
        <v>1189</v>
      </c>
      <c r="M212" t="s">
        <v>1950</v>
      </c>
      <c r="N212" t="s">
        <v>1956</v>
      </c>
      <c r="Q212" t="s">
        <v>1989</v>
      </c>
      <c r="R212" t="s">
        <v>2123</v>
      </c>
      <c r="S212" t="s">
        <v>2124</v>
      </c>
      <c r="T212" s="1">
        <v>43773</v>
      </c>
      <c r="U212" s="1">
        <v>43983</v>
      </c>
      <c r="V212" t="s">
        <v>270</v>
      </c>
      <c r="W212">
        <v>25559634.34</v>
      </c>
      <c r="X212">
        <v>25559634</v>
      </c>
      <c r="Y212" t="s">
        <v>270</v>
      </c>
      <c r="Z212">
        <v>25559634</v>
      </c>
      <c r="AA212">
        <v>25559634</v>
      </c>
      <c r="AB212" t="b">
        <v>1</v>
      </c>
      <c r="AC212">
        <v>0.36</v>
      </c>
    </row>
    <row r="213" spans="1:29" x14ac:dyDescent="0.2">
      <c r="A213" t="b">
        <v>1</v>
      </c>
      <c r="B213" t="b">
        <v>0</v>
      </c>
      <c r="C213" t="b">
        <v>1</v>
      </c>
      <c r="D213" t="s">
        <v>522</v>
      </c>
      <c r="E213" t="b">
        <v>0</v>
      </c>
      <c r="F213" t="b">
        <v>0</v>
      </c>
      <c r="G213" t="s">
        <v>1191</v>
      </c>
      <c r="H213" t="s">
        <v>124</v>
      </c>
      <c r="I213" t="s">
        <v>1188</v>
      </c>
      <c r="J213">
        <v>0</v>
      </c>
      <c r="K213" t="s">
        <v>1186</v>
      </c>
      <c r="L213" t="s">
        <v>1189</v>
      </c>
      <c r="M213" t="s">
        <v>1950</v>
      </c>
      <c r="N213" t="s">
        <v>1965</v>
      </c>
      <c r="Q213" t="s">
        <v>1987</v>
      </c>
      <c r="R213" t="s">
        <v>2125</v>
      </c>
      <c r="S213" t="s">
        <v>2124</v>
      </c>
      <c r="T213" s="1">
        <v>43774</v>
      </c>
      <c r="U213" s="1">
        <v>43983</v>
      </c>
      <c r="V213" t="s">
        <v>270</v>
      </c>
      <c r="W213">
        <v>30160104.18</v>
      </c>
      <c r="X213">
        <v>30160104</v>
      </c>
      <c r="Y213" t="s">
        <v>270</v>
      </c>
      <c r="Z213">
        <v>30160104</v>
      </c>
      <c r="AA213">
        <v>30160104</v>
      </c>
      <c r="AB213" t="b">
        <v>1</v>
      </c>
      <c r="AC213">
        <v>0.82</v>
      </c>
    </row>
    <row r="214" spans="1:29" hidden="1" x14ac:dyDescent="0.2">
      <c r="A214" t="b">
        <v>1</v>
      </c>
      <c r="B214" t="b">
        <v>0</v>
      </c>
      <c r="C214" t="b">
        <v>1</v>
      </c>
      <c r="D214" t="s">
        <v>522</v>
      </c>
      <c r="E214" t="b">
        <v>0</v>
      </c>
      <c r="F214" t="b">
        <v>0</v>
      </c>
      <c r="G214" t="s">
        <v>1324</v>
      </c>
      <c r="H214">
        <v>0</v>
      </c>
      <c r="I214">
        <v>0</v>
      </c>
      <c r="J214" t="s">
        <v>1322</v>
      </c>
      <c r="K214" t="s">
        <v>397</v>
      </c>
      <c r="L214" t="s">
        <v>1323</v>
      </c>
      <c r="M214" t="s">
        <v>1985</v>
      </c>
      <c r="N214" t="s">
        <v>1986</v>
      </c>
      <c r="Q214" t="s">
        <v>1989</v>
      </c>
      <c r="R214" t="s">
        <v>2125</v>
      </c>
      <c r="S214" t="s">
        <v>2124</v>
      </c>
      <c r="T214" s="1">
        <v>43774</v>
      </c>
      <c r="U214" s="1">
        <v>43983</v>
      </c>
      <c r="V214" t="s">
        <v>270</v>
      </c>
      <c r="W214">
        <v>30160104.18</v>
      </c>
      <c r="X214">
        <v>30160104</v>
      </c>
      <c r="Y214" t="s">
        <v>270</v>
      </c>
      <c r="Z214">
        <v>30160104</v>
      </c>
      <c r="AA214">
        <v>30160104</v>
      </c>
      <c r="AB214" t="b">
        <v>1</v>
      </c>
      <c r="AC214">
        <v>0.82</v>
      </c>
    </row>
    <row r="215" spans="1:29" x14ac:dyDescent="0.2">
      <c r="A215" t="b">
        <v>1</v>
      </c>
      <c r="B215" t="b">
        <v>0</v>
      </c>
      <c r="C215" t="b">
        <v>1</v>
      </c>
      <c r="D215" t="s">
        <v>522</v>
      </c>
      <c r="E215" t="b">
        <v>0</v>
      </c>
      <c r="F215" t="b">
        <v>0</v>
      </c>
      <c r="G215" t="s">
        <v>1324</v>
      </c>
      <c r="H215">
        <v>0</v>
      </c>
      <c r="I215">
        <v>0</v>
      </c>
      <c r="J215" t="s">
        <v>1322</v>
      </c>
      <c r="K215" t="s">
        <v>397</v>
      </c>
      <c r="L215" t="s">
        <v>1323</v>
      </c>
      <c r="M215" t="s">
        <v>1950</v>
      </c>
      <c r="N215" t="s">
        <v>1955</v>
      </c>
      <c r="Q215" t="s">
        <v>2029</v>
      </c>
      <c r="R215" t="s">
        <v>2104</v>
      </c>
      <c r="S215" t="s">
        <v>257</v>
      </c>
      <c r="T215" s="1">
        <v>43220</v>
      </c>
      <c r="U215" s="1">
        <v>42870</v>
      </c>
      <c r="V215" t="s">
        <v>260</v>
      </c>
      <c r="W215">
        <v>656046750</v>
      </c>
      <c r="X215">
        <v>656046750</v>
      </c>
      <c r="Y215" t="s">
        <v>270</v>
      </c>
      <c r="Z215">
        <v>205934881</v>
      </c>
      <c r="AA215">
        <v>205934881</v>
      </c>
      <c r="AB215" t="b">
        <v>1</v>
      </c>
      <c r="AC215">
        <v>0.55000000000000004</v>
      </c>
    </row>
    <row r="216" spans="1:29" hidden="1" x14ac:dyDescent="0.2">
      <c r="A216" t="b">
        <v>1</v>
      </c>
      <c r="B216" t="b">
        <v>0</v>
      </c>
      <c r="C216" t="b">
        <v>1</v>
      </c>
      <c r="D216" t="s">
        <v>522</v>
      </c>
      <c r="E216" t="b">
        <v>0</v>
      </c>
      <c r="F216" t="b">
        <v>0</v>
      </c>
      <c r="G216" t="s">
        <v>1324</v>
      </c>
      <c r="H216">
        <v>0</v>
      </c>
      <c r="I216">
        <v>0</v>
      </c>
      <c r="J216" t="s">
        <v>1322</v>
      </c>
      <c r="K216" t="s">
        <v>397</v>
      </c>
      <c r="L216" t="s">
        <v>1323</v>
      </c>
      <c r="M216" t="s">
        <v>2063</v>
      </c>
      <c r="N216" t="s">
        <v>441</v>
      </c>
      <c r="Q216" t="s">
        <v>2029</v>
      </c>
      <c r="R216" t="s">
        <v>2104</v>
      </c>
      <c r="S216" t="s">
        <v>257</v>
      </c>
      <c r="T216" s="1">
        <v>43220</v>
      </c>
      <c r="U216" s="1">
        <v>42870</v>
      </c>
      <c r="V216" t="s">
        <v>260</v>
      </c>
      <c r="W216">
        <v>656046750</v>
      </c>
      <c r="X216">
        <v>656046750</v>
      </c>
      <c r="Y216" t="s">
        <v>270</v>
      </c>
      <c r="Z216">
        <v>205934881</v>
      </c>
      <c r="AA216">
        <v>205934881</v>
      </c>
      <c r="AB216" t="b">
        <v>1</v>
      </c>
      <c r="AC216">
        <v>0.55000000000000004</v>
      </c>
    </row>
    <row r="217" spans="1:29" hidden="1" x14ac:dyDescent="0.2">
      <c r="A217" t="b">
        <v>1</v>
      </c>
      <c r="B217" t="b">
        <v>0</v>
      </c>
      <c r="C217" t="b">
        <v>1</v>
      </c>
      <c r="D217" t="s">
        <v>522</v>
      </c>
      <c r="E217" t="b">
        <v>0</v>
      </c>
      <c r="F217" t="b">
        <v>0</v>
      </c>
      <c r="G217" t="s">
        <v>1324</v>
      </c>
      <c r="H217">
        <v>0</v>
      </c>
      <c r="I217">
        <v>0</v>
      </c>
      <c r="J217" t="s">
        <v>1322</v>
      </c>
      <c r="K217" t="s">
        <v>397</v>
      </c>
      <c r="L217" t="s">
        <v>1323</v>
      </c>
      <c r="M217" t="s">
        <v>2064</v>
      </c>
      <c r="N217" t="s">
        <v>441</v>
      </c>
      <c r="Q217" t="s">
        <v>1998</v>
      </c>
      <c r="R217" t="s">
        <v>2126</v>
      </c>
      <c r="S217" t="s">
        <v>257</v>
      </c>
      <c r="T217" s="1">
        <v>43713</v>
      </c>
      <c r="U217" s="1">
        <v>43708</v>
      </c>
      <c r="V217" t="s">
        <v>260</v>
      </c>
      <c r="W217">
        <v>20000000</v>
      </c>
      <c r="X217">
        <v>20000000</v>
      </c>
      <c r="Y217" t="s">
        <v>260</v>
      </c>
      <c r="Z217">
        <v>20000000</v>
      </c>
      <c r="AA217">
        <v>4895000</v>
      </c>
      <c r="AB217" t="b">
        <v>1</v>
      </c>
      <c r="AC217">
        <v>0.92</v>
      </c>
    </row>
    <row r="218" spans="1:29" hidden="1" x14ac:dyDescent="0.2">
      <c r="A218" t="b">
        <v>1</v>
      </c>
      <c r="B218" t="b">
        <v>0</v>
      </c>
      <c r="C218" t="b">
        <v>1</v>
      </c>
      <c r="D218" t="s">
        <v>522</v>
      </c>
      <c r="E218" t="b">
        <v>0</v>
      </c>
      <c r="F218" t="b">
        <v>0</v>
      </c>
      <c r="G218" t="s">
        <v>1415</v>
      </c>
      <c r="H218">
        <v>0</v>
      </c>
      <c r="I218">
        <v>0</v>
      </c>
      <c r="J218" t="s">
        <v>1413</v>
      </c>
      <c r="K218" t="s">
        <v>504</v>
      </c>
      <c r="L218" t="s">
        <v>1414</v>
      </c>
      <c r="M218" t="s">
        <v>1985</v>
      </c>
      <c r="N218" t="s">
        <v>1986</v>
      </c>
      <c r="Q218" t="s">
        <v>2127</v>
      </c>
      <c r="R218" t="s">
        <v>2126</v>
      </c>
      <c r="S218" t="s">
        <v>257</v>
      </c>
      <c r="T218" s="1">
        <v>43713</v>
      </c>
      <c r="U218" s="1">
        <v>43708</v>
      </c>
      <c r="V218" t="s">
        <v>260</v>
      </c>
      <c r="W218">
        <v>20000000</v>
      </c>
      <c r="X218">
        <v>20000000</v>
      </c>
      <c r="Y218" t="s">
        <v>260</v>
      </c>
      <c r="Z218">
        <v>20000000</v>
      </c>
      <c r="AA218">
        <v>4895000</v>
      </c>
      <c r="AB218" t="b">
        <v>1</v>
      </c>
      <c r="AC218">
        <v>0.92</v>
      </c>
    </row>
    <row r="219" spans="1:29" x14ac:dyDescent="0.2">
      <c r="A219" t="b">
        <v>1</v>
      </c>
      <c r="B219" t="b">
        <v>0</v>
      </c>
      <c r="C219" t="b">
        <v>1</v>
      </c>
      <c r="D219" t="s">
        <v>522</v>
      </c>
      <c r="E219" t="b">
        <v>0</v>
      </c>
      <c r="F219" t="b">
        <v>0</v>
      </c>
      <c r="G219" t="s">
        <v>1415</v>
      </c>
      <c r="H219">
        <v>0</v>
      </c>
      <c r="I219">
        <v>0</v>
      </c>
      <c r="J219" t="s">
        <v>1413</v>
      </c>
      <c r="K219" t="s">
        <v>504</v>
      </c>
      <c r="L219" t="s">
        <v>1414</v>
      </c>
      <c r="M219" t="s">
        <v>1950</v>
      </c>
      <c r="N219" t="s">
        <v>1955</v>
      </c>
      <c r="Q219" t="s">
        <v>2128</v>
      </c>
      <c r="R219" t="s">
        <v>2129</v>
      </c>
      <c r="S219" t="s">
        <v>343</v>
      </c>
      <c r="T219" s="1">
        <v>43791</v>
      </c>
      <c r="U219" s="1">
        <v>44157</v>
      </c>
      <c r="V219" t="s">
        <v>345</v>
      </c>
      <c r="W219">
        <v>334300000</v>
      </c>
      <c r="X219">
        <v>334300000</v>
      </c>
      <c r="Y219" t="s">
        <v>345</v>
      </c>
      <c r="Z219">
        <v>334300000</v>
      </c>
      <c r="AA219">
        <v>17240845</v>
      </c>
      <c r="AB219" t="b">
        <v>1</v>
      </c>
      <c r="AC219">
        <v>0.8</v>
      </c>
    </row>
    <row r="220" spans="1:29" hidden="1" x14ac:dyDescent="0.2">
      <c r="A220" t="b">
        <v>1</v>
      </c>
      <c r="B220" t="b">
        <v>0</v>
      </c>
      <c r="C220" t="b">
        <v>1</v>
      </c>
      <c r="D220" t="s">
        <v>522</v>
      </c>
      <c r="E220" t="b">
        <v>0</v>
      </c>
      <c r="F220" t="b">
        <v>0</v>
      </c>
      <c r="G220" t="s">
        <v>1415</v>
      </c>
      <c r="H220">
        <v>0</v>
      </c>
      <c r="I220">
        <v>0</v>
      </c>
      <c r="J220" t="s">
        <v>1413</v>
      </c>
      <c r="K220" t="s">
        <v>504</v>
      </c>
      <c r="L220" t="s">
        <v>1414</v>
      </c>
      <c r="M220" t="s">
        <v>1985</v>
      </c>
      <c r="N220" t="s">
        <v>1994</v>
      </c>
      <c r="Q220" t="s">
        <v>1989</v>
      </c>
      <c r="R220" t="s">
        <v>2129</v>
      </c>
      <c r="S220" t="s">
        <v>343</v>
      </c>
      <c r="T220" s="1">
        <v>43791</v>
      </c>
      <c r="U220" s="1">
        <v>44157</v>
      </c>
      <c r="V220" t="s">
        <v>345</v>
      </c>
      <c r="W220">
        <v>334300000</v>
      </c>
      <c r="X220">
        <v>334300000</v>
      </c>
      <c r="Y220" t="s">
        <v>345</v>
      </c>
      <c r="Z220">
        <v>334300000</v>
      </c>
      <c r="AA220">
        <v>17240845</v>
      </c>
      <c r="AB220" t="b">
        <v>1</v>
      </c>
      <c r="AC220">
        <v>0.8</v>
      </c>
    </row>
    <row r="221" spans="1:29" x14ac:dyDescent="0.2">
      <c r="A221" t="b">
        <v>1</v>
      </c>
      <c r="B221" t="b">
        <v>0</v>
      </c>
      <c r="C221" t="b">
        <v>1</v>
      </c>
      <c r="D221" t="s">
        <v>522</v>
      </c>
      <c r="E221" t="b">
        <v>0</v>
      </c>
      <c r="F221" t="b">
        <v>0</v>
      </c>
      <c r="G221" t="s">
        <v>1415</v>
      </c>
      <c r="H221">
        <v>0</v>
      </c>
      <c r="I221">
        <v>0</v>
      </c>
      <c r="J221" t="s">
        <v>1413</v>
      </c>
      <c r="K221" t="s">
        <v>504</v>
      </c>
      <c r="L221" t="s">
        <v>1414</v>
      </c>
      <c r="M221" t="s">
        <v>1950</v>
      </c>
      <c r="N221" t="s">
        <v>1956</v>
      </c>
      <c r="Q221" t="s">
        <v>2031</v>
      </c>
      <c r="R221" t="s">
        <v>1425</v>
      </c>
      <c r="S221" t="s">
        <v>343</v>
      </c>
      <c r="T221" s="1">
        <v>43616</v>
      </c>
      <c r="U221" s="1">
        <v>43616</v>
      </c>
      <c r="V221" t="s">
        <v>270</v>
      </c>
      <c r="W221">
        <v>8990334</v>
      </c>
      <c r="X221">
        <v>8990334</v>
      </c>
      <c r="Y221" t="s">
        <v>270</v>
      </c>
      <c r="Z221">
        <v>8990334</v>
      </c>
      <c r="AA221">
        <v>8990334</v>
      </c>
      <c r="AB221" t="b">
        <v>0</v>
      </c>
      <c r="AC221">
        <v>0.75</v>
      </c>
    </row>
    <row r="222" spans="1:29" hidden="1" x14ac:dyDescent="0.2">
      <c r="A222" t="b">
        <v>1</v>
      </c>
      <c r="B222" t="b">
        <v>0</v>
      </c>
      <c r="C222" t="b">
        <v>1</v>
      </c>
      <c r="D222" t="s">
        <v>248</v>
      </c>
      <c r="E222" t="b">
        <v>0</v>
      </c>
      <c r="F222" t="b">
        <v>0</v>
      </c>
      <c r="G222">
        <v>0</v>
      </c>
      <c r="H222" t="s">
        <v>1496</v>
      </c>
      <c r="I222">
        <v>0</v>
      </c>
      <c r="J222">
        <v>0</v>
      </c>
      <c r="K222" t="s">
        <v>1494</v>
      </c>
      <c r="L222" t="s">
        <v>1497</v>
      </c>
      <c r="M222" t="s">
        <v>1985</v>
      </c>
      <c r="N222" t="s">
        <v>1986</v>
      </c>
      <c r="Q222" t="s">
        <v>2031</v>
      </c>
      <c r="R222" t="s">
        <v>1425</v>
      </c>
      <c r="S222" t="s">
        <v>343</v>
      </c>
      <c r="T222" s="1">
        <v>43524</v>
      </c>
      <c r="U222" s="1">
        <v>43524</v>
      </c>
      <c r="V222" t="s">
        <v>270</v>
      </c>
      <c r="W222">
        <v>56964986</v>
      </c>
      <c r="X222">
        <v>56964986</v>
      </c>
      <c r="Y222" t="s">
        <v>270</v>
      </c>
      <c r="Z222">
        <v>56964986</v>
      </c>
      <c r="AA222">
        <v>56964986</v>
      </c>
      <c r="AB222" t="b">
        <v>0</v>
      </c>
      <c r="AC222">
        <v>0.75</v>
      </c>
    </row>
    <row r="223" spans="1:29" hidden="1" x14ac:dyDescent="0.2">
      <c r="A223" t="b">
        <v>1</v>
      </c>
      <c r="B223" t="b">
        <v>0</v>
      </c>
      <c r="C223" t="b">
        <v>1</v>
      </c>
      <c r="D223" t="s">
        <v>248</v>
      </c>
      <c r="E223" t="b">
        <v>0</v>
      </c>
      <c r="F223" t="b">
        <v>0</v>
      </c>
      <c r="G223">
        <v>0</v>
      </c>
      <c r="H223" t="s">
        <v>1496</v>
      </c>
      <c r="I223">
        <v>0</v>
      </c>
      <c r="J223">
        <v>0</v>
      </c>
      <c r="K223" t="s">
        <v>1494</v>
      </c>
      <c r="L223" t="s">
        <v>1497</v>
      </c>
      <c r="M223" t="s">
        <v>1950</v>
      </c>
      <c r="N223" t="s">
        <v>1955</v>
      </c>
      <c r="Q223" t="s">
        <v>2031</v>
      </c>
      <c r="R223" t="s">
        <v>1425</v>
      </c>
      <c r="S223" t="s">
        <v>343</v>
      </c>
      <c r="T223" s="1">
        <v>43434</v>
      </c>
      <c r="U223" s="1">
        <v>43434</v>
      </c>
      <c r="V223" t="s">
        <v>270</v>
      </c>
      <c r="W223">
        <v>89965788</v>
      </c>
      <c r="X223">
        <v>89965788</v>
      </c>
      <c r="Y223" t="s">
        <v>270</v>
      </c>
      <c r="Z223">
        <v>89965788</v>
      </c>
      <c r="AA223">
        <v>89965788</v>
      </c>
      <c r="AB223" t="b">
        <v>0</v>
      </c>
      <c r="AC223">
        <v>0.75</v>
      </c>
    </row>
    <row r="224" spans="1:29" hidden="1" x14ac:dyDescent="0.2">
      <c r="A224" t="b">
        <v>1</v>
      </c>
      <c r="B224" t="b">
        <v>0</v>
      </c>
      <c r="C224" t="b">
        <v>1</v>
      </c>
      <c r="D224" t="s">
        <v>248</v>
      </c>
      <c r="E224" t="b">
        <v>0</v>
      </c>
      <c r="F224" t="b">
        <v>0</v>
      </c>
      <c r="G224">
        <v>0</v>
      </c>
      <c r="H224" t="s">
        <v>1496</v>
      </c>
      <c r="I224">
        <v>0</v>
      </c>
      <c r="J224">
        <v>0</v>
      </c>
      <c r="K224" t="s">
        <v>1494</v>
      </c>
      <c r="L224" t="s">
        <v>1497</v>
      </c>
      <c r="M224" t="s">
        <v>2063</v>
      </c>
      <c r="N224" t="s">
        <v>441</v>
      </c>
      <c r="Q224" t="s">
        <v>2031</v>
      </c>
      <c r="R224" t="s">
        <v>1425</v>
      </c>
      <c r="S224" t="s">
        <v>343</v>
      </c>
      <c r="T224" s="1">
        <v>43343</v>
      </c>
      <c r="U224" s="1">
        <v>43343</v>
      </c>
      <c r="V224" t="s">
        <v>270</v>
      </c>
      <c r="W224">
        <v>86742146</v>
      </c>
      <c r="X224">
        <v>86742146</v>
      </c>
      <c r="Y224" t="s">
        <v>270</v>
      </c>
      <c r="Z224">
        <v>86742146</v>
      </c>
      <c r="AA224">
        <v>86742146</v>
      </c>
      <c r="AB224" t="b">
        <v>0</v>
      </c>
      <c r="AC224">
        <v>0.75</v>
      </c>
    </row>
    <row r="225" spans="1:29" hidden="1" x14ac:dyDescent="0.2">
      <c r="A225" t="b">
        <v>1</v>
      </c>
      <c r="B225" t="b">
        <v>0</v>
      </c>
      <c r="C225" t="b">
        <v>1</v>
      </c>
      <c r="D225" t="s">
        <v>248</v>
      </c>
      <c r="E225" t="b">
        <v>0</v>
      </c>
      <c r="F225" t="b">
        <v>0</v>
      </c>
      <c r="G225">
        <v>0</v>
      </c>
      <c r="H225" t="s">
        <v>1496</v>
      </c>
      <c r="I225">
        <v>0</v>
      </c>
      <c r="J225">
        <v>0</v>
      </c>
      <c r="K225" t="s">
        <v>1494</v>
      </c>
      <c r="L225" t="s">
        <v>1497</v>
      </c>
      <c r="M225" t="s">
        <v>2064</v>
      </c>
      <c r="N225" t="s">
        <v>441</v>
      </c>
      <c r="Q225" t="s">
        <v>2031</v>
      </c>
      <c r="R225" t="s">
        <v>1425</v>
      </c>
      <c r="S225" t="s">
        <v>343</v>
      </c>
      <c r="T225" s="1">
        <v>43241</v>
      </c>
      <c r="U225" s="1">
        <v>43241</v>
      </c>
      <c r="V225" t="s">
        <v>270</v>
      </c>
      <c r="W225">
        <v>61486747</v>
      </c>
      <c r="X225">
        <v>61486747</v>
      </c>
      <c r="Y225" t="s">
        <v>270</v>
      </c>
      <c r="Z225">
        <v>61486747</v>
      </c>
      <c r="AA225">
        <v>61486747</v>
      </c>
      <c r="AB225" t="b">
        <v>0</v>
      </c>
      <c r="AC225">
        <v>0.75</v>
      </c>
    </row>
    <row r="226" spans="1:29" hidden="1" x14ac:dyDescent="0.2">
      <c r="A226" t="b">
        <v>1</v>
      </c>
      <c r="B226" t="b">
        <v>0</v>
      </c>
      <c r="C226" t="b">
        <v>1</v>
      </c>
      <c r="D226" t="s">
        <v>522</v>
      </c>
      <c r="E226" t="b">
        <v>0</v>
      </c>
      <c r="F226" t="b">
        <v>0</v>
      </c>
      <c r="G226" t="s">
        <v>1855</v>
      </c>
      <c r="H226" t="s">
        <v>200</v>
      </c>
      <c r="I226" t="s">
        <v>1851</v>
      </c>
      <c r="J226" t="s">
        <v>1852</v>
      </c>
      <c r="K226" t="s">
        <v>1849</v>
      </c>
      <c r="L226" t="s">
        <v>1853</v>
      </c>
      <c r="M226" t="s">
        <v>1985</v>
      </c>
      <c r="N226" t="s">
        <v>1994</v>
      </c>
      <c r="Q226" t="s">
        <v>1989</v>
      </c>
      <c r="R226" t="s">
        <v>1425</v>
      </c>
      <c r="S226" t="s">
        <v>343</v>
      </c>
      <c r="T226" s="1">
        <v>43616</v>
      </c>
      <c r="U226" s="1">
        <v>43616</v>
      </c>
      <c r="V226" t="s">
        <v>270</v>
      </c>
      <c r="W226">
        <v>8990334</v>
      </c>
      <c r="X226">
        <v>8990334</v>
      </c>
      <c r="Y226" t="s">
        <v>270</v>
      </c>
      <c r="Z226">
        <v>8990334</v>
      </c>
      <c r="AA226">
        <v>8990334</v>
      </c>
      <c r="AB226" t="b">
        <v>0</v>
      </c>
      <c r="AC226">
        <v>0.75</v>
      </c>
    </row>
    <row r="227" spans="1:29" x14ac:dyDescent="0.2">
      <c r="A227" t="b">
        <v>1</v>
      </c>
      <c r="B227" t="b">
        <v>0</v>
      </c>
      <c r="C227" t="b">
        <v>1</v>
      </c>
      <c r="D227" t="s">
        <v>522</v>
      </c>
      <c r="E227" t="b">
        <v>0</v>
      </c>
      <c r="F227" t="b">
        <v>0</v>
      </c>
      <c r="G227" t="s">
        <v>1855</v>
      </c>
      <c r="H227" t="s">
        <v>200</v>
      </c>
      <c r="I227" t="s">
        <v>1851</v>
      </c>
      <c r="J227" t="s">
        <v>1852</v>
      </c>
      <c r="K227" t="s">
        <v>1849</v>
      </c>
      <c r="L227" t="s">
        <v>1853</v>
      </c>
      <c r="M227" t="s">
        <v>1950</v>
      </c>
      <c r="N227" t="s">
        <v>1956</v>
      </c>
      <c r="Q227" t="s">
        <v>1989</v>
      </c>
      <c r="R227" t="s">
        <v>1425</v>
      </c>
      <c r="S227" t="s">
        <v>343</v>
      </c>
      <c r="T227" s="1">
        <v>43524</v>
      </c>
      <c r="U227" s="1">
        <v>43524</v>
      </c>
      <c r="V227" t="s">
        <v>270</v>
      </c>
      <c r="W227">
        <v>56964986</v>
      </c>
      <c r="X227">
        <v>56964986</v>
      </c>
      <c r="Y227" t="s">
        <v>270</v>
      </c>
      <c r="Z227">
        <v>56964986</v>
      </c>
      <c r="AA227">
        <v>56964986</v>
      </c>
      <c r="AB227" t="b">
        <v>0</v>
      </c>
      <c r="AC227">
        <v>0.75</v>
      </c>
    </row>
    <row r="228" spans="1:29" hidden="1" x14ac:dyDescent="0.2">
      <c r="A228" t="b">
        <v>1</v>
      </c>
      <c r="B228" t="b">
        <v>0</v>
      </c>
      <c r="C228" t="b">
        <v>1</v>
      </c>
      <c r="D228" t="b">
        <v>0</v>
      </c>
      <c r="E228" t="b">
        <v>0</v>
      </c>
      <c r="F228" t="s">
        <v>361</v>
      </c>
      <c r="G228">
        <v>0</v>
      </c>
      <c r="H228">
        <v>0</v>
      </c>
      <c r="I228">
        <v>0</v>
      </c>
      <c r="J228" t="s">
        <v>1068</v>
      </c>
      <c r="K228" t="s">
        <v>331</v>
      </c>
      <c r="L228" t="s">
        <v>1069</v>
      </c>
      <c r="M228" t="s">
        <v>1985</v>
      </c>
      <c r="N228" t="s">
        <v>2017</v>
      </c>
      <c r="Q228" t="s">
        <v>1989</v>
      </c>
      <c r="R228" t="s">
        <v>1425</v>
      </c>
      <c r="S228" t="s">
        <v>343</v>
      </c>
      <c r="T228" s="1">
        <v>43434</v>
      </c>
      <c r="U228" s="1">
        <v>43434</v>
      </c>
      <c r="V228" t="s">
        <v>270</v>
      </c>
      <c r="W228">
        <v>89965788</v>
      </c>
      <c r="X228">
        <v>89965788</v>
      </c>
      <c r="Y228" t="s">
        <v>270</v>
      </c>
      <c r="Z228">
        <v>89965788</v>
      </c>
      <c r="AA228">
        <v>89965788</v>
      </c>
      <c r="AB228" t="b">
        <v>0</v>
      </c>
      <c r="AC228">
        <v>0.75</v>
      </c>
    </row>
    <row r="229" spans="1:29" hidden="1" x14ac:dyDescent="0.2">
      <c r="A229" t="b">
        <v>1</v>
      </c>
      <c r="B229" t="b">
        <v>0</v>
      </c>
      <c r="C229" t="b">
        <v>1</v>
      </c>
      <c r="D229" t="b">
        <v>0</v>
      </c>
      <c r="E229" t="b">
        <v>0</v>
      </c>
      <c r="F229" t="s">
        <v>361</v>
      </c>
      <c r="G229">
        <v>0</v>
      </c>
      <c r="H229">
        <v>0</v>
      </c>
      <c r="I229">
        <v>0</v>
      </c>
      <c r="J229" t="s">
        <v>1068</v>
      </c>
      <c r="K229" t="s">
        <v>331</v>
      </c>
      <c r="L229" t="s">
        <v>1069</v>
      </c>
      <c r="M229" t="s">
        <v>1950</v>
      </c>
      <c r="N229" t="s">
        <v>1957</v>
      </c>
      <c r="Q229" t="s">
        <v>1989</v>
      </c>
      <c r="R229" t="s">
        <v>1425</v>
      </c>
      <c r="S229" t="s">
        <v>343</v>
      </c>
      <c r="T229" s="1">
        <v>43343</v>
      </c>
      <c r="U229" s="1">
        <v>43343</v>
      </c>
      <c r="V229" t="s">
        <v>270</v>
      </c>
      <c r="W229">
        <v>86742146</v>
      </c>
      <c r="X229">
        <v>86742146</v>
      </c>
      <c r="Y229" t="s">
        <v>270</v>
      </c>
      <c r="Z229">
        <v>86742146</v>
      </c>
      <c r="AA229">
        <v>86742146</v>
      </c>
      <c r="AB229" t="b">
        <v>0</v>
      </c>
      <c r="AC229">
        <v>0.75</v>
      </c>
    </row>
    <row r="230" spans="1:29" hidden="1" x14ac:dyDescent="0.2">
      <c r="A230" t="b">
        <v>1</v>
      </c>
      <c r="B230" t="b">
        <v>0</v>
      </c>
      <c r="C230" t="b">
        <v>1</v>
      </c>
      <c r="D230" t="b">
        <v>0</v>
      </c>
      <c r="E230" t="b">
        <v>0</v>
      </c>
      <c r="F230" t="s">
        <v>361</v>
      </c>
      <c r="G230">
        <v>0</v>
      </c>
      <c r="H230">
        <v>0</v>
      </c>
      <c r="I230">
        <v>0</v>
      </c>
      <c r="J230" t="s">
        <v>1068</v>
      </c>
      <c r="K230" t="s">
        <v>331</v>
      </c>
      <c r="L230" t="s">
        <v>1069</v>
      </c>
      <c r="M230" t="s">
        <v>1985</v>
      </c>
      <c r="N230" t="s">
        <v>2024</v>
      </c>
      <c r="Q230" t="s">
        <v>1989</v>
      </c>
      <c r="R230" t="s">
        <v>1425</v>
      </c>
      <c r="S230" t="s">
        <v>343</v>
      </c>
      <c r="T230" s="1">
        <v>43241</v>
      </c>
      <c r="U230" s="1">
        <v>43241</v>
      </c>
      <c r="V230" t="s">
        <v>270</v>
      </c>
      <c r="W230">
        <v>61486747</v>
      </c>
      <c r="X230">
        <v>61486747</v>
      </c>
      <c r="Y230" t="s">
        <v>270</v>
      </c>
      <c r="Z230">
        <v>61486747</v>
      </c>
      <c r="AA230">
        <v>61486747</v>
      </c>
      <c r="AB230" t="b">
        <v>0</v>
      </c>
      <c r="AC230">
        <v>0.75</v>
      </c>
    </row>
    <row r="231" spans="1:29" hidden="1" x14ac:dyDescent="0.2">
      <c r="A231" t="b">
        <v>1</v>
      </c>
      <c r="B231" t="b">
        <v>0</v>
      </c>
      <c r="C231" t="b">
        <v>1</v>
      </c>
      <c r="D231" t="b">
        <v>0</v>
      </c>
      <c r="E231" t="b">
        <v>0</v>
      </c>
      <c r="F231" t="s">
        <v>361</v>
      </c>
      <c r="G231">
        <v>0</v>
      </c>
      <c r="H231">
        <v>0</v>
      </c>
      <c r="I231">
        <v>0</v>
      </c>
      <c r="J231" t="s">
        <v>1068</v>
      </c>
      <c r="K231" t="s">
        <v>331</v>
      </c>
      <c r="L231" t="s">
        <v>1069</v>
      </c>
      <c r="M231" t="s">
        <v>1950</v>
      </c>
      <c r="N231" t="s">
        <v>1960</v>
      </c>
      <c r="Q231" t="s">
        <v>2029</v>
      </c>
      <c r="R231" t="s">
        <v>1425</v>
      </c>
      <c r="S231" t="s">
        <v>343</v>
      </c>
      <c r="T231" s="1">
        <v>43616</v>
      </c>
      <c r="U231" s="1">
        <v>43616</v>
      </c>
      <c r="V231" t="s">
        <v>270</v>
      </c>
      <c r="W231">
        <v>8990334</v>
      </c>
      <c r="X231">
        <v>8990334</v>
      </c>
      <c r="Y231" t="s">
        <v>270</v>
      </c>
      <c r="Z231">
        <v>8990334</v>
      </c>
      <c r="AA231">
        <v>8990334</v>
      </c>
      <c r="AB231" t="b">
        <v>0</v>
      </c>
      <c r="AC231">
        <v>0.75</v>
      </c>
    </row>
    <row r="232" spans="1:29" hidden="1" x14ac:dyDescent="0.2">
      <c r="A232" t="b">
        <v>1</v>
      </c>
      <c r="B232" t="b">
        <v>0</v>
      </c>
      <c r="C232" t="b">
        <v>1</v>
      </c>
      <c r="D232" t="b">
        <v>0</v>
      </c>
      <c r="E232" t="b">
        <v>0</v>
      </c>
      <c r="F232" t="s">
        <v>361</v>
      </c>
      <c r="G232">
        <v>0</v>
      </c>
      <c r="H232">
        <v>0</v>
      </c>
      <c r="I232">
        <v>0</v>
      </c>
      <c r="J232" t="s">
        <v>1068</v>
      </c>
      <c r="K232" t="s">
        <v>331</v>
      </c>
      <c r="L232" t="s">
        <v>1069</v>
      </c>
      <c r="M232" t="s">
        <v>1985</v>
      </c>
      <c r="N232" t="s">
        <v>1986</v>
      </c>
      <c r="Q232" t="s">
        <v>2029</v>
      </c>
      <c r="R232" t="s">
        <v>1425</v>
      </c>
      <c r="S232" t="s">
        <v>343</v>
      </c>
      <c r="T232" s="1">
        <v>43524</v>
      </c>
      <c r="U232" s="1">
        <v>43524</v>
      </c>
      <c r="V232" t="s">
        <v>270</v>
      </c>
      <c r="W232">
        <v>56964986</v>
      </c>
      <c r="X232">
        <v>56964986</v>
      </c>
      <c r="Y232" t="s">
        <v>270</v>
      </c>
      <c r="Z232">
        <v>56964986</v>
      </c>
      <c r="AA232">
        <v>56964986</v>
      </c>
      <c r="AB232" t="b">
        <v>0</v>
      </c>
      <c r="AC232">
        <v>0.75</v>
      </c>
    </row>
    <row r="233" spans="1:29" hidden="1" x14ac:dyDescent="0.2">
      <c r="A233" t="b">
        <v>1</v>
      </c>
      <c r="B233" t="b">
        <v>0</v>
      </c>
      <c r="C233" t="b">
        <v>1</v>
      </c>
      <c r="D233" t="b">
        <v>0</v>
      </c>
      <c r="E233" t="b">
        <v>0</v>
      </c>
      <c r="F233" t="s">
        <v>361</v>
      </c>
      <c r="G233">
        <v>0</v>
      </c>
      <c r="H233">
        <v>0</v>
      </c>
      <c r="I233">
        <v>0</v>
      </c>
      <c r="J233" t="s">
        <v>1068</v>
      </c>
      <c r="K233" t="s">
        <v>331</v>
      </c>
      <c r="L233" t="s">
        <v>1069</v>
      </c>
      <c r="M233" t="s">
        <v>1950</v>
      </c>
      <c r="N233" t="s">
        <v>1955</v>
      </c>
      <c r="Q233" t="s">
        <v>2029</v>
      </c>
      <c r="R233" t="s">
        <v>1425</v>
      </c>
      <c r="S233" t="s">
        <v>343</v>
      </c>
      <c r="T233" s="1">
        <v>43434</v>
      </c>
      <c r="U233" s="1">
        <v>43434</v>
      </c>
      <c r="V233" t="s">
        <v>270</v>
      </c>
      <c r="W233">
        <v>89965788</v>
      </c>
      <c r="X233">
        <v>89965788</v>
      </c>
      <c r="Y233" t="s">
        <v>270</v>
      </c>
      <c r="Z233">
        <v>89965788</v>
      </c>
      <c r="AA233">
        <v>89965788</v>
      </c>
      <c r="AB233" t="b">
        <v>0</v>
      </c>
      <c r="AC233">
        <v>0.75</v>
      </c>
    </row>
    <row r="234" spans="1:29" hidden="1" x14ac:dyDescent="0.2">
      <c r="A234" t="b">
        <v>1</v>
      </c>
      <c r="B234" t="b">
        <v>0</v>
      </c>
      <c r="C234" t="b">
        <v>1</v>
      </c>
      <c r="D234" t="b">
        <v>0</v>
      </c>
      <c r="E234" t="b">
        <v>0</v>
      </c>
      <c r="F234" t="s">
        <v>361</v>
      </c>
      <c r="G234">
        <v>0</v>
      </c>
      <c r="H234">
        <v>0</v>
      </c>
      <c r="I234">
        <v>0</v>
      </c>
      <c r="J234" t="s">
        <v>1068</v>
      </c>
      <c r="K234" t="s">
        <v>331</v>
      </c>
      <c r="L234" t="s">
        <v>1069</v>
      </c>
      <c r="M234" t="s">
        <v>1950</v>
      </c>
      <c r="N234" t="s">
        <v>1958</v>
      </c>
      <c r="Q234" t="s">
        <v>2029</v>
      </c>
      <c r="R234" t="s">
        <v>1425</v>
      </c>
      <c r="S234" t="s">
        <v>343</v>
      </c>
      <c r="T234" s="1">
        <v>43343</v>
      </c>
      <c r="U234" s="1">
        <v>43343</v>
      </c>
      <c r="V234" t="s">
        <v>270</v>
      </c>
      <c r="W234">
        <v>86742146</v>
      </c>
      <c r="X234">
        <v>86742146</v>
      </c>
      <c r="Y234" t="s">
        <v>270</v>
      </c>
      <c r="Z234">
        <v>86742146</v>
      </c>
      <c r="AA234">
        <v>86742146</v>
      </c>
      <c r="AB234" t="b">
        <v>0</v>
      </c>
      <c r="AC234">
        <v>0.75</v>
      </c>
    </row>
    <row r="235" spans="1:29" hidden="1" x14ac:dyDescent="0.2">
      <c r="A235" t="b">
        <v>1</v>
      </c>
      <c r="B235" t="b">
        <v>0</v>
      </c>
      <c r="C235" t="b">
        <v>1</v>
      </c>
      <c r="D235" t="b">
        <v>0</v>
      </c>
      <c r="E235" t="b">
        <v>0</v>
      </c>
      <c r="F235" t="s">
        <v>361</v>
      </c>
      <c r="G235">
        <v>0</v>
      </c>
      <c r="H235">
        <v>0</v>
      </c>
      <c r="I235">
        <v>0</v>
      </c>
      <c r="J235" t="s">
        <v>1068</v>
      </c>
      <c r="K235" t="s">
        <v>331</v>
      </c>
      <c r="L235" t="s">
        <v>1069</v>
      </c>
      <c r="M235" t="s">
        <v>1985</v>
      </c>
      <c r="N235" t="s">
        <v>1994</v>
      </c>
      <c r="Q235" t="s">
        <v>2029</v>
      </c>
      <c r="R235" t="s">
        <v>1425</v>
      </c>
      <c r="S235" t="s">
        <v>343</v>
      </c>
      <c r="T235" s="1">
        <v>43241</v>
      </c>
      <c r="U235" s="1">
        <v>43241</v>
      </c>
      <c r="V235" t="s">
        <v>270</v>
      </c>
      <c r="W235">
        <v>61486747</v>
      </c>
      <c r="X235">
        <v>61486747</v>
      </c>
      <c r="Y235" t="s">
        <v>270</v>
      </c>
      <c r="Z235">
        <v>61486747</v>
      </c>
      <c r="AA235">
        <v>61486747</v>
      </c>
      <c r="AB235" t="b">
        <v>0</v>
      </c>
      <c r="AC235">
        <v>0.75</v>
      </c>
    </row>
    <row r="236" spans="1:29" hidden="1" x14ac:dyDescent="0.2">
      <c r="A236" t="b">
        <v>1</v>
      </c>
      <c r="B236" t="b">
        <v>0</v>
      </c>
      <c r="C236" t="b">
        <v>1</v>
      </c>
      <c r="D236" t="b">
        <v>0</v>
      </c>
      <c r="E236" t="b">
        <v>0</v>
      </c>
      <c r="F236" t="s">
        <v>361</v>
      </c>
      <c r="G236">
        <v>0</v>
      </c>
      <c r="H236">
        <v>0</v>
      </c>
      <c r="I236">
        <v>0</v>
      </c>
      <c r="J236" t="s">
        <v>1068</v>
      </c>
      <c r="K236" t="s">
        <v>331</v>
      </c>
      <c r="L236" t="s">
        <v>1069</v>
      </c>
      <c r="M236" t="s">
        <v>1950</v>
      </c>
      <c r="N236" t="s">
        <v>1965</v>
      </c>
      <c r="Q236" t="s">
        <v>2029</v>
      </c>
      <c r="R236" t="s">
        <v>1425</v>
      </c>
      <c r="S236" t="s">
        <v>343</v>
      </c>
      <c r="T236" s="1">
        <v>43616</v>
      </c>
      <c r="U236" s="1">
        <v>43616</v>
      </c>
      <c r="V236" t="s">
        <v>270</v>
      </c>
      <c r="W236">
        <v>8990334</v>
      </c>
      <c r="X236">
        <v>8990334</v>
      </c>
      <c r="Y236" t="s">
        <v>270</v>
      </c>
      <c r="Z236">
        <v>8990334</v>
      </c>
      <c r="AA236">
        <v>8990334</v>
      </c>
      <c r="AB236" t="b">
        <v>0</v>
      </c>
      <c r="AC236">
        <v>0.75</v>
      </c>
    </row>
    <row r="237" spans="1:29" hidden="1" x14ac:dyDescent="0.2">
      <c r="A237" t="b">
        <v>1</v>
      </c>
      <c r="B237" t="b">
        <v>0</v>
      </c>
      <c r="C237" t="b">
        <v>1</v>
      </c>
      <c r="D237" t="s">
        <v>522</v>
      </c>
      <c r="E237" t="b">
        <v>0</v>
      </c>
      <c r="F237" t="b">
        <v>0</v>
      </c>
      <c r="G237" t="s">
        <v>1638</v>
      </c>
      <c r="H237" t="s">
        <v>198</v>
      </c>
      <c r="I237">
        <v>0</v>
      </c>
      <c r="J237">
        <v>0</v>
      </c>
      <c r="K237" t="s">
        <v>1633</v>
      </c>
      <c r="L237" t="s">
        <v>1636</v>
      </c>
      <c r="M237" t="s">
        <v>1985</v>
      </c>
      <c r="N237" t="s">
        <v>1994</v>
      </c>
      <c r="Q237" t="s">
        <v>2029</v>
      </c>
      <c r="R237" t="s">
        <v>1425</v>
      </c>
      <c r="S237" t="s">
        <v>343</v>
      </c>
      <c r="T237" s="1">
        <v>43524</v>
      </c>
      <c r="U237" s="1">
        <v>43524</v>
      </c>
      <c r="V237" t="s">
        <v>270</v>
      </c>
      <c r="W237">
        <v>56964986</v>
      </c>
      <c r="X237">
        <v>56964986</v>
      </c>
      <c r="Y237" t="s">
        <v>270</v>
      </c>
      <c r="Z237">
        <v>56964986</v>
      </c>
      <c r="AA237">
        <v>56964986</v>
      </c>
      <c r="AB237" t="b">
        <v>0</v>
      </c>
      <c r="AC237">
        <v>0.75</v>
      </c>
    </row>
    <row r="238" spans="1:29" x14ac:dyDescent="0.2">
      <c r="A238" t="b">
        <v>1</v>
      </c>
      <c r="B238" t="b">
        <v>0</v>
      </c>
      <c r="C238" t="b">
        <v>1</v>
      </c>
      <c r="D238" t="s">
        <v>522</v>
      </c>
      <c r="E238" t="b">
        <v>0</v>
      </c>
      <c r="F238" t="b">
        <v>0</v>
      </c>
      <c r="G238" t="s">
        <v>1638</v>
      </c>
      <c r="H238" t="s">
        <v>198</v>
      </c>
      <c r="I238">
        <v>0</v>
      </c>
      <c r="J238">
        <v>0</v>
      </c>
      <c r="K238" t="s">
        <v>1633</v>
      </c>
      <c r="L238" t="s">
        <v>1636</v>
      </c>
      <c r="M238" t="s">
        <v>1950</v>
      </c>
      <c r="N238" t="s">
        <v>1956</v>
      </c>
      <c r="Q238" t="s">
        <v>2029</v>
      </c>
      <c r="R238" t="s">
        <v>1425</v>
      </c>
      <c r="S238" t="s">
        <v>343</v>
      </c>
      <c r="T238" s="1">
        <v>43434</v>
      </c>
      <c r="U238" s="1">
        <v>43434</v>
      </c>
      <c r="V238" t="s">
        <v>270</v>
      </c>
      <c r="W238">
        <v>89965788</v>
      </c>
      <c r="X238">
        <v>89965788</v>
      </c>
      <c r="Y238" t="s">
        <v>270</v>
      </c>
      <c r="Z238">
        <v>89965788</v>
      </c>
      <c r="AA238">
        <v>89965788</v>
      </c>
      <c r="AB238" t="b">
        <v>0</v>
      </c>
      <c r="AC238">
        <v>0.75</v>
      </c>
    </row>
    <row r="239" spans="1:29" hidden="1" x14ac:dyDescent="0.2">
      <c r="A239" t="b">
        <v>1</v>
      </c>
      <c r="B239" t="b">
        <v>0</v>
      </c>
      <c r="C239" t="b">
        <v>1</v>
      </c>
      <c r="D239" t="s">
        <v>522</v>
      </c>
      <c r="E239" t="b">
        <v>0</v>
      </c>
      <c r="F239" t="b">
        <v>0</v>
      </c>
      <c r="G239" t="s">
        <v>1638</v>
      </c>
      <c r="H239" t="s">
        <v>198</v>
      </c>
      <c r="I239">
        <v>0</v>
      </c>
      <c r="J239">
        <v>0</v>
      </c>
      <c r="K239" t="s">
        <v>1633</v>
      </c>
      <c r="L239" t="s">
        <v>1636</v>
      </c>
      <c r="M239" t="s">
        <v>1985</v>
      </c>
      <c r="N239" t="s">
        <v>2024</v>
      </c>
      <c r="Q239" t="s">
        <v>2029</v>
      </c>
      <c r="R239" t="s">
        <v>1425</v>
      </c>
      <c r="S239" t="s">
        <v>343</v>
      </c>
      <c r="T239" s="1">
        <v>43343</v>
      </c>
      <c r="U239" s="1">
        <v>43343</v>
      </c>
      <c r="V239" t="s">
        <v>270</v>
      </c>
      <c r="W239">
        <v>86742146</v>
      </c>
      <c r="X239">
        <v>86742146</v>
      </c>
      <c r="Y239" t="s">
        <v>270</v>
      </c>
      <c r="Z239">
        <v>86742146</v>
      </c>
      <c r="AA239">
        <v>86742146</v>
      </c>
      <c r="AB239" t="b">
        <v>0</v>
      </c>
      <c r="AC239">
        <v>0.75</v>
      </c>
    </row>
    <row r="240" spans="1:29" x14ac:dyDescent="0.2">
      <c r="A240" t="b">
        <v>1</v>
      </c>
      <c r="B240" t="b">
        <v>0</v>
      </c>
      <c r="C240" t="b">
        <v>1</v>
      </c>
      <c r="D240" t="s">
        <v>522</v>
      </c>
      <c r="E240" t="b">
        <v>0</v>
      </c>
      <c r="F240" t="b">
        <v>0</v>
      </c>
      <c r="G240" t="s">
        <v>1638</v>
      </c>
      <c r="H240" t="s">
        <v>198</v>
      </c>
      <c r="I240">
        <v>0</v>
      </c>
      <c r="J240">
        <v>0</v>
      </c>
      <c r="K240" t="s">
        <v>1633</v>
      </c>
      <c r="L240" t="s">
        <v>1636</v>
      </c>
      <c r="M240" t="s">
        <v>1950</v>
      </c>
      <c r="N240" t="s">
        <v>1958</v>
      </c>
      <c r="Q240" t="s">
        <v>2029</v>
      </c>
      <c r="R240" t="s">
        <v>1425</v>
      </c>
      <c r="S240" t="s">
        <v>343</v>
      </c>
      <c r="T240" s="1">
        <v>43241</v>
      </c>
      <c r="U240" s="1">
        <v>43241</v>
      </c>
      <c r="V240" t="s">
        <v>270</v>
      </c>
      <c r="W240">
        <v>61486747</v>
      </c>
      <c r="X240">
        <v>61486747</v>
      </c>
      <c r="Y240" t="s">
        <v>270</v>
      </c>
      <c r="Z240">
        <v>61486747</v>
      </c>
      <c r="AA240">
        <v>61486747</v>
      </c>
      <c r="AB240" t="b">
        <v>0</v>
      </c>
      <c r="AC240">
        <v>0.75</v>
      </c>
    </row>
    <row r="241" spans="1:29" hidden="1" x14ac:dyDescent="0.2">
      <c r="A241" t="b">
        <v>1</v>
      </c>
      <c r="B241" t="b">
        <v>0</v>
      </c>
      <c r="C241" t="b">
        <v>1</v>
      </c>
      <c r="D241" t="s">
        <v>522</v>
      </c>
      <c r="E241" t="b">
        <v>0</v>
      </c>
      <c r="F241" t="b">
        <v>0</v>
      </c>
      <c r="G241" t="s">
        <v>1638</v>
      </c>
      <c r="H241" t="s">
        <v>198</v>
      </c>
      <c r="I241">
        <v>0</v>
      </c>
      <c r="J241">
        <v>0</v>
      </c>
      <c r="K241" t="s">
        <v>1633</v>
      </c>
      <c r="L241" t="s">
        <v>1636</v>
      </c>
      <c r="M241" t="s">
        <v>1985</v>
      </c>
      <c r="N241" t="s">
        <v>441</v>
      </c>
      <c r="Q241" t="s">
        <v>2031</v>
      </c>
      <c r="R241" t="s">
        <v>2130</v>
      </c>
      <c r="S241" t="s">
        <v>257</v>
      </c>
      <c r="T241" s="1">
        <v>43669</v>
      </c>
      <c r="U241" s="1">
        <v>43920</v>
      </c>
      <c r="V241" t="s">
        <v>260</v>
      </c>
      <c r="W241">
        <v>15500000</v>
      </c>
      <c r="X241">
        <v>15500000</v>
      </c>
      <c r="Y241" t="s">
        <v>260</v>
      </c>
      <c r="Z241">
        <v>15500000</v>
      </c>
      <c r="AA241">
        <v>2984385</v>
      </c>
      <c r="AB241" t="b">
        <v>1</v>
      </c>
      <c r="AC241">
        <v>0.1</v>
      </c>
    </row>
    <row r="242" spans="1:29" x14ac:dyDescent="0.2">
      <c r="A242" t="b">
        <v>1</v>
      </c>
      <c r="B242" t="b">
        <v>0</v>
      </c>
      <c r="C242" t="b">
        <v>1</v>
      </c>
      <c r="D242" t="s">
        <v>522</v>
      </c>
      <c r="E242" t="b">
        <v>0</v>
      </c>
      <c r="F242" t="b">
        <v>0</v>
      </c>
      <c r="G242" t="s">
        <v>1638</v>
      </c>
      <c r="H242" t="s">
        <v>198</v>
      </c>
      <c r="I242">
        <v>0</v>
      </c>
      <c r="J242">
        <v>0</v>
      </c>
      <c r="K242" t="s">
        <v>1633</v>
      </c>
      <c r="L242" t="s">
        <v>1636</v>
      </c>
      <c r="M242" t="s">
        <v>1950</v>
      </c>
      <c r="N242" t="s">
        <v>1960</v>
      </c>
      <c r="Q242" t="s">
        <v>1989</v>
      </c>
      <c r="R242" t="s">
        <v>2130</v>
      </c>
      <c r="S242" t="s">
        <v>257</v>
      </c>
      <c r="T242" s="1">
        <v>43669</v>
      </c>
      <c r="U242" s="1">
        <v>43920</v>
      </c>
      <c r="V242" t="s">
        <v>260</v>
      </c>
      <c r="W242">
        <v>15500000</v>
      </c>
      <c r="X242">
        <v>15500000</v>
      </c>
      <c r="Y242" t="s">
        <v>260</v>
      </c>
      <c r="Z242">
        <v>15500000</v>
      </c>
      <c r="AA242">
        <v>2984385</v>
      </c>
      <c r="AB242" t="b">
        <v>1</v>
      </c>
      <c r="AC242">
        <v>0.1</v>
      </c>
    </row>
    <row r="243" spans="1:29" hidden="1" x14ac:dyDescent="0.2">
      <c r="A243" t="b">
        <v>1</v>
      </c>
      <c r="B243" t="b">
        <v>0</v>
      </c>
      <c r="C243" t="b">
        <v>1</v>
      </c>
      <c r="D243" t="s">
        <v>522</v>
      </c>
      <c r="E243" t="b">
        <v>0</v>
      </c>
      <c r="F243" t="b">
        <v>0</v>
      </c>
      <c r="G243" t="s">
        <v>1638</v>
      </c>
      <c r="H243" t="s">
        <v>198</v>
      </c>
      <c r="I243">
        <v>0</v>
      </c>
      <c r="J243">
        <v>0</v>
      </c>
      <c r="K243" t="s">
        <v>1633</v>
      </c>
      <c r="L243" t="s">
        <v>1636</v>
      </c>
      <c r="M243" t="s">
        <v>1985</v>
      </c>
      <c r="N243" t="s">
        <v>1986</v>
      </c>
      <c r="Q243" t="s">
        <v>2031</v>
      </c>
      <c r="R243" t="s">
        <v>2131</v>
      </c>
      <c r="S243" t="s">
        <v>257</v>
      </c>
      <c r="T243" s="1">
        <v>43669</v>
      </c>
      <c r="U243" s="1">
        <v>43920</v>
      </c>
      <c r="V243" t="s">
        <v>260</v>
      </c>
      <c r="W243">
        <v>15500000</v>
      </c>
      <c r="X243">
        <v>15500000</v>
      </c>
      <c r="Y243" t="s">
        <v>260</v>
      </c>
      <c r="Z243">
        <v>15500000</v>
      </c>
      <c r="AA243">
        <v>2984385</v>
      </c>
      <c r="AB243" t="b">
        <v>1</v>
      </c>
      <c r="AC243">
        <v>0.1</v>
      </c>
    </row>
    <row r="244" spans="1:29" x14ac:dyDescent="0.2">
      <c r="A244" t="b">
        <v>1</v>
      </c>
      <c r="B244" t="b">
        <v>0</v>
      </c>
      <c r="C244" t="b">
        <v>1</v>
      </c>
      <c r="D244" t="s">
        <v>522</v>
      </c>
      <c r="E244" t="b">
        <v>0</v>
      </c>
      <c r="F244" t="b">
        <v>0</v>
      </c>
      <c r="G244" t="s">
        <v>1638</v>
      </c>
      <c r="H244" t="s">
        <v>198</v>
      </c>
      <c r="I244">
        <v>0</v>
      </c>
      <c r="J244">
        <v>0</v>
      </c>
      <c r="K244" t="s">
        <v>1633</v>
      </c>
      <c r="L244" t="s">
        <v>1636</v>
      </c>
      <c r="M244" t="s">
        <v>1950</v>
      </c>
      <c r="N244" t="s">
        <v>1955</v>
      </c>
      <c r="Q244" t="s">
        <v>1989</v>
      </c>
      <c r="R244" t="s">
        <v>2131</v>
      </c>
      <c r="S244" t="s">
        <v>257</v>
      </c>
      <c r="T244" s="1">
        <v>43669</v>
      </c>
      <c r="U244" s="1">
        <v>43920</v>
      </c>
      <c r="V244" t="s">
        <v>260</v>
      </c>
      <c r="W244">
        <v>15500000</v>
      </c>
      <c r="X244">
        <v>15500000</v>
      </c>
      <c r="Y244" t="s">
        <v>260</v>
      </c>
      <c r="Z244">
        <v>15500000</v>
      </c>
      <c r="AA244">
        <v>2984385</v>
      </c>
      <c r="AB244" t="b">
        <v>1</v>
      </c>
      <c r="AC244">
        <v>0.1</v>
      </c>
    </row>
    <row r="245" spans="1:29" hidden="1" x14ac:dyDescent="0.2">
      <c r="A245" t="b">
        <v>1</v>
      </c>
      <c r="B245" t="b">
        <v>0</v>
      </c>
      <c r="C245" t="b">
        <v>1</v>
      </c>
      <c r="D245" t="s">
        <v>522</v>
      </c>
      <c r="E245" t="b">
        <v>0</v>
      </c>
      <c r="F245" t="b">
        <v>0</v>
      </c>
      <c r="G245" t="s">
        <v>1638</v>
      </c>
      <c r="H245" t="s">
        <v>198</v>
      </c>
      <c r="I245">
        <v>0</v>
      </c>
      <c r="J245">
        <v>0</v>
      </c>
      <c r="K245" t="s">
        <v>1633</v>
      </c>
      <c r="L245" t="s">
        <v>1636</v>
      </c>
      <c r="M245" t="s">
        <v>1985</v>
      </c>
      <c r="N245" t="s">
        <v>2017</v>
      </c>
      <c r="Q245" t="s">
        <v>2025</v>
      </c>
      <c r="R245" t="s">
        <v>2132</v>
      </c>
      <c r="S245" t="s">
        <v>384</v>
      </c>
      <c r="T245" s="1">
        <v>43665</v>
      </c>
      <c r="U245" s="1">
        <v>43665</v>
      </c>
      <c r="V245" t="s">
        <v>386</v>
      </c>
      <c r="W245">
        <v>92000000000</v>
      </c>
      <c r="X245">
        <v>92000000000</v>
      </c>
      <c r="Y245" t="s">
        <v>386</v>
      </c>
      <c r="Z245">
        <v>92000000000</v>
      </c>
      <c r="AA245">
        <v>28903459</v>
      </c>
      <c r="AB245" t="b">
        <v>0</v>
      </c>
    </row>
    <row r="246" spans="1:29" x14ac:dyDescent="0.2">
      <c r="A246" t="b">
        <v>1</v>
      </c>
      <c r="B246" t="b">
        <v>0</v>
      </c>
      <c r="C246" t="b">
        <v>1</v>
      </c>
      <c r="D246" t="s">
        <v>522</v>
      </c>
      <c r="E246" t="b">
        <v>0</v>
      </c>
      <c r="F246" t="b">
        <v>0</v>
      </c>
      <c r="G246" t="s">
        <v>1638</v>
      </c>
      <c r="H246" t="s">
        <v>198</v>
      </c>
      <c r="I246">
        <v>0</v>
      </c>
      <c r="J246">
        <v>0</v>
      </c>
      <c r="K246" t="s">
        <v>1633</v>
      </c>
      <c r="L246" t="s">
        <v>1636</v>
      </c>
      <c r="M246" t="s">
        <v>1950</v>
      </c>
      <c r="N246" t="s">
        <v>1957</v>
      </c>
      <c r="Q246" t="s">
        <v>2025</v>
      </c>
      <c r="R246" t="s">
        <v>2132</v>
      </c>
      <c r="S246" t="s">
        <v>384</v>
      </c>
      <c r="T246" s="1">
        <v>43665</v>
      </c>
      <c r="U246" s="1">
        <v>43665</v>
      </c>
      <c r="V246" t="s">
        <v>386</v>
      </c>
      <c r="W246">
        <v>92000000000</v>
      </c>
      <c r="X246">
        <v>92000000000</v>
      </c>
      <c r="Y246" t="s">
        <v>386</v>
      </c>
      <c r="Z246">
        <v>92000000000</v>
      </c>
      <c r="AA246">
        <v>28903459</v>
      </c>
      <c r="AB246" t="b">
        <v>0</v>
      </c>
    </row>
    <row r="247" spans="1:29" hidden="1" x14ac:dyDescent="0.2">
      <c r="A247" t="b">
        <v>1</v>
      </c>
      <c r="B247" t="b">
        <v>0</v>
      </c>
      <c r="C247" t="b">
        <v>1</v>
      </c>
      <c r="D247" t="s">
        <v>248</v>
      </c>
      <c r="E247" t="b">
        <v>0</v>
      </c>
      <c r="F247" t="b">
        <v>0</v>
      </c>
      <c r="G247">
        <v>0</v>
      </c>
      <c r="H247" t="s">
        <v>610</v>
      </c>
      <c r="I247">
        <v>0</v>
      </c>
      <c r="J247">
        <v>0</v>
      </c>
      <c r="K247" t="s">
        <v>608</v>
      </c>
      <c r="L247" t="s">
        <v>611</v>
      </c>
      <c r="M247" t="s">
        <v>1985</v>
      </c>
      <c r="N247" t="s">
        <v>1986</v>
      </c>
      <c r="Q247" t="s">
        <v>2029</v>
      </c>
      <c r="R247" t="s">
        <v>2133</v>
      </c>
      <c r="S247" t="s">
        <v>384</v>
      </c>
      <c r="T247" s="1">
        <v>43665</v>
      </c>
      <c r="U247" s="1">
        <v>43665</v>
      </c>
      <c r="V247" t="s">
        <v>386</v>
      </c>
      <c r="W247">
        <v>14000000000</v>
      </c>
      <c r="X247">
        <v>14000000000</v>
      </c>
      <c r="Y247" t="s">
        <v>386</v>
      </c>
      <c r="Z247">
        <v>14000000000</v>
      </c>
      <c r="AA247">
        <v>4398353</v>
      </c>
      <c r="AB247" t="b">
        <v>1</v>
      </c>
      <c r="AC247">
        <v>0.97</v>
      </c>
    </row>
    <row r="248" spans="1:29" hidden="1" x14ac:dyDescent="0.2">
      <c r="A248" t="b">
        <v>1</v>
      </c>
      <c r="B248" t="b">
        <v>0</v>
      </c>
      <c r="C248" t="b">
        <v>1</v>
      </c>
      <c r="D248" t="s">
        <v>248</v>
      </c>
      <c r="E248" t="b">
        <v>0</v>
      </c>
      <c r="F248" t="b">
        <v>0</v>
      </c>
      <c r="G248">
        <v>0</v>
      </c>
      <c r="H248" t="s">
        <v>610</v>
      </c>
      <c r="I248">
        <v>0</v>
      </c>
      <c r="J248">
        <v>0</v>
      </c>
      <c r="K248" t="s">
        <v>608</v>
      </c>
      <c r="L248" t="s">
        <v>611</v>
      </c>
      <c r="M248" t="s">
        <v>1950</v>
      </c>
      <c r="N248" t="s">
        <v>1955</v>
      </c>
      <c r="Q248" t="s">
        <v>2036</v>
      </c>
      <c r="R248" t="s">
        <v>2133</v>
      </c>
      <c r="S248" t="s">
        <v>384</v>
      </c>
      <c r="T248" s="1">
        <v>43665</v>
      </c>
      <c r="U248" s="1">
        <v>43665</v>
      </c>
      <c r="V248" t="s">
        <v>386</v>
      </c>
      <c r="W248">
        <v>14000000000</v>
      </c>
      <c r="X248">
        <v>14000000000</v>
      </c>
      <c r="Y248" t="s">
        <v>386</v>
      </c>
      <c r="Z248">
        <v>14000000000</v>
      </c>
      <c r="AA248">
        <v>4398353</v>
      </c>
      <c r="AB248" t="b">
        <v>1</v>
      </c>
      <c r="AC248">
        <v>0.97</v>
      </c>
    </row>
    <row r="249" spans="1:29" hidden="1" x14ac:dyDescent="0.2">
      <c r="A249" t="b">
        <v>1</v>
      </c>
      <c r="B249" t="b">
        <v>0</v>
      </c>
      <c r="C249" t="b">
        <v>1</v>
      </c>
      <c r="D249" t="s">
        <v>248</v>
      </c>
      <c r="E249" t="b">
        <v>0</v>
      </c>
      <c r="F249" t="b">
        <v>0</v>
      </c>
      <c r="G249">
        <v>0</v>
      </c>
      <c r="H249" t="s">
        <v>1774</v>
      </c>
      <c r="I249" t="s">
        <v>1775</v>
      </c>
      <c r="J249">
        <v>0</v>
      </c>
      <c r="K249" t="s">
        <v>1772</v>
      </c>
      <c r="L249" t="s">
        <v>1776</v>
      </c>
      <c r="M249" t="s">
        <v>1985</v>
      </c>
      <c r="N249" t="s">
        <v>1986</v>
      </c>
      <c r="Q249" t="s">
        <v>2031</v>
      </c>
      <c r="R249" t="s">
        <v>2134</v>
      </c>
      <c r="S249" t="s">
        <v>257</v>
      </c>
      <c r="T249" s="1">
        <v>43669</v>
      </c>
      <c r="U249" s="1">
        <v>43920</v>
      </c>
      <c r="V249" t="s">
        <v>260</v>
      </c>
      <c r="W249">
        <v>8300000</v>
      </c>
      <c r="X249">
        <v>8300000</v>
      </c>
      <c r="Y249" t="s">
        <v>260</v>
      </c>
      <c r="Z249">
        <v>8300000</v>
      </c>
      <c r="AA249">
        <v>1598090</v>
      </c>
      <c r="AB249" t="b">
        <v>1</v>
      </c>
      <c r="AC249">
        <v>0.09</v>
      </c>
    </row>
    <row r="250" spans="1:29" hidden="1" x14ac:dyDescent="0.2">
      <c r="A250" t="b">
        <v>1</v>
      </c>
      <c r="B250" t="b">
        <v>0</v>
      </c>
      <c r="C250" t="b">
        <v>1</v>
      </c>
      <c r="D250" t="s">
        <v>248</v>
      </c>
      <c r="E250" t="b">
        <v>0</v>
      </c>
      <c r="F250" t="b">
        <v>0</v>
      </c>
      <c r="G250">
        <v>0</v>
      </c>
      <c r="H250" t="s">
        <v>1774</v>
      </c>
      <c r="I250" t="s">
        <v>1775</v>
      </c>
      <c r="J250">
        <v>0</v>
      </c>
      <c r="K250" t="s">
        <v>1772</v>
      </c>
      <c r="L250" t="s">
        <v>1776</v>
      </c>
      <c r="M250" t="s">
        <v>1950</v>
      </c>
      <c r="N250" t="s">
        <v>1955</v>
      </c>
      <c r="Q250" t="s">
        <v>1989</v>
      </c>
      <c r="R250" t="s">
        <v>2134</v>
      </c>
      <c r="S250" t="s">
        <v>257</v>
      </c>
      <c r="T250" s="1">
        <v>43669</v>
      </c>
      <c r="U250" s="1">
        <v>43920</v>
      </c>
      <c r="V250" t="s">
        <v>260</v>
      </c>
      <c r="W250">
        <v>8300000</v>
      </c>
      <c r="X250">
        <v>8300000</v>
      </c>
      <c r="Y250" t="s">
        <v>260</v>
      </c>
      <c r="Z250">
        <v>8300000</v>
      </c>
      <c r="AA250">
        <v>1598090</v>
      </c>
      <c r="AB250" t="b">
        <v>1</v>
      </c>
      <c r="AC250">
        <v>0.09</v>
      </c>
    </row>
    <row r="251" spans="1:29" hidden="1" x14ac:dyDescent="0.2">
      <c r="A251" t="b">
        <v>1</v>
      </c>
      <c r="B251" t="b">
        <v>0</v>
      </c>
      <c r="C251" t="b">
        <v>1</v>
      </c>
      <c r="D251" t="s">
        <v>248</v>
      </c>
      <c r="E251" t="b">
        <v>0</v>
      </c>
      <c r="F251" t="b">
        <v>0</v>
      </c>
      <c r="G251">
        <v>0</v>
      </c>
      <c r="H251" t="s">
        <v>1871</v>
      </c>
      <c r="I251" t="s">
        <v>1872</v>
      </c>
      <c r="J251">
        <v>0</v>
      </c>
      <c r="K251" t="s">
        <v>1869</v>
      </c>
      <c r="L251" t="s">
        <v>1873</v>
      </c>
      <c r="M251" t="s">
        <v>1985</v>
      </c>
      <c r="N251" t="s">
        <v>1986</v>
      </c>
      <c r="Q251" t="s">
        <v>2031</v>
      </c>
      <c r="R251" t="s">
        <v>2135</v>
      </c>
      <c r="S251" t="s">
        <v>257</v>
      </c>
      <c r="T251" s="1">
        <v>43669</v>
      </c>
      <c r="U251" s="1">
        <v>43920</v>
      </c>
      <c r="V251" t="s">
        <v>260</v>
      </c>
      <c r="W251">
        <v>14500000</v>
      </c>
      <c r="X251">
        <v>14500000</v>
      </c>
      <c r="Y251" t="s">
        <v>260</v>
      </c>
      <c r="Z251">
        <v>14500000</v>
      </c>
      <c r="AA251">
        <v>2791844</v>
      </c>
      <c r="AB251" t="b">
        <v>1</v>
      </c>
      <c r="AC251">
        <v>0.13</v>
      </c>
    </row>
    <row r="252" spans="1:29" hidden="1" x14ac:dyDescent="0.2">
      <c r="A252" t="b">
        <v>1</v>
      </c>
      <c r="B252" t="b">
        <v>0</v>
      </c>
      <c r="C252" t="b">
        <v>1</v>
      </c>
      <c r="D252" t="s">
        <v>248</v>
      </c>
      <c r="E252" t="b">
        <v>0</v>
      </c>
      <c r="F252" t="b">
        <v>0</v>
      </c>
      <c r="G252">
        <v>0</v>
      </c>
      <c r="H252" t="s">
        <v>1871</v>
      </c>
      <c r="I252" t="s">
        <v>1872</v>
      </c>
      <c r="J252">
        <v>0</v>
      </c>
      <c r="K252" t="s">
        <v>1869</v>
      </c>
      <c r="L252" t="s">
        <v>1873</v>
      </c>
      <c r="M252" t="s">
        <v>1950</v>
      </c>
      <c r="N252" t="s">
        <v>1955</v>
      </c>
      <c r="Q252" t="s">
        <v>1989</v>
      </c>
      <c r="R252" t="s">
        <v>2135</v>
      </c>
      <c r="S252" t="s">
        <v>257</v>
      </c>
      <c r="T252" s="1">
        <v>43669</v>
      </c>
      <c r="U252" s="1">
        <v>43920</v>
      </c>
      <c r="V252" t="s">
        <v>260</v>
      </c>
      <c r="W252">
        <v>14500000</v>
      </c>
      <c r="X252">
        <v>14500000</v>
      </c>
      <c r="Y252" t="s">
        <v>260</v>
      </c>
      <c r="Z252">
        <v>14500000</v>
      </c>
      <c r="AA252">
        <v>2791844</v>
      </c>
      <c r="AB252" t="b">
        <v>1</v>
      </c>
      <c r="AC252">
        <v>0.13</v>
      </c>
    </row>
    <row r="253" spans="1:29" hidden="1" x14ac:dyDescent="0.2">
      <c r="A253" t="b">
        <v>1</v>
      </c>
      <c r="B253" t="b">
        <v>0</v>
      </c>
      <c r="C253" t="b">
        <v>1</v>
      </c>
      <c r="D253" t="s">
        <v>248</v>
      </c>
      <c r="E253" t="b">
        <v>0</v>
      </c>
      <c r="F253" t="b">
        <v>0</v>
      </c>
      <c r="G253">
        <v>0</v>
      </c>
      <c r="H253" t="s">
        <v>670</v>
      </c>
      <c r="I253" t="s">
        <v>671</v>
      </c>
      <c r="J253">
        <v>0</v>
      </c>
      <c r="K253" t="s">
        <v>668</v>
      </c>
      <c r="L253" t="s">
        <v>672</v>
      </c>
      <c r="M253" t="s">
        <v>1985</v>
      </c>
      <c r="N253" t="s">
        <v>1986</v>
      </c>
      <c r="Q253" t="s">
        <v>2029</v>
      </c>
      <c r="R253" t="s">
        <v>2136</v>
      </c>
      <c r="S253" t="s">
        <v>384</v>
      </c>
      <c r="T253" s="1">
        <v>43665</v>
      </c>
      <c r="U253" s="1">
        <v>43665</v>
      </c>
      <c r="V253" t="s">
        <v>386</v>
      </c>
      <c r="W253">
        <v>10000000000</v>
      </c>
      <c r="X253">
        <v>10000000000</v>
      </c>
      <c r="Y253" t="s">
        <v>386</v>
      </c>
      <c r="Z253">
        <v>10000000000</v>
      </c>
      <c r="AA253">
        <v>3141680</v>
      </c>
      <c r="AB253" t="b">
        <v>1</v>
      </c>
      <c r="AC253">
        <v>0.97</v>
      </c>
    </row>
    <row r="254" spans="1:29" hidden="1" x14ac:dyDescent="0.2">
      <c r="A254" t="b">
        <v>1</v>
      </c>
      <c r="B254" t="b">
        <v>0</v>
      </c>
      <c r="C254" t="b">
        <v>1</v>
      </c>
      <c r="D254" t="s">
        <v>248</v>
      </c>
      <c r="E254" t="b">
        <v>0</v>
      </c>
      <c r="F254" t="b">
        <v>0</v>
      </c>
      <c r="G254">
        <v>0</v>
      </c>
      <c r="H254" t="s">
        <v>670</v>
      </c>
      <c r="I254" t="s">
        <v>671</v>
      </c>
      <c r="J254">
        <v>0</v>
      </c>
      <c r="K254" t="s">
        <v>668</v>
      </c>
      <c r="L254" t="s">
        <v>672</v>
      </c>
      <c r="M254" t="s">
        <v>1950</v>
      </c>
      <c r="N254" t="s">
        <v>1955</v>
      </c>
      <c r="Q254" t="s">
        <v>2036</v>
      </c>
      <c r="R254" t="s">
        <v>2136</v>
      </c>
      <c r="S254" t="s">
        <v>384</v>
      </c>
      <c r="T254" s="1">
        <v>43665</v>
      </c>
      <c r="U254" s="1">
        <v>43665</v>
      </c>
      <c r="V254" t="s">
        <v>386</v>
      </c>
      <c r="W254">
        <v>10000000000</v>
      </c>
      <c r="X254">
        <v>10000000000</v>
      </c>
      <c r="Y254" t="s">
        <v>386</v>
      </c>
      <c r="Z254">
        <v>10000000000</v>
      </c>
      <c r="AA254">
        <v>3141680</v>
      </c>
      <c r="AB254" t="b">
        <v>1</v>
      </c>
      <c r="AC254">
        <v>0.97</v>
      </c>
    </row>
    <row r="255" spans="1:29" hidden="1" x14ac:dyDescent="0.2">
      <c r="A255" t="b">
        <v>1</v>
      </c>
      <c r="B255" t="b">
        <v>0</v>
      </c>
      <c r="C255" t="b">
        <v>1</v>
      </c>
      <c r="D255" t="s">
        <v>248</v>
      </c>
      <c r="E255" t="b">
        <v>0</v>
      </c>
      <c r="F255" t="b">
        <v>0</v>
      </c>
      <c r="G255">
        <v>0</v>
      </c>
      <c r="H255" t="s">
        <v>542</v>
      </c>
      <c r="I255" t="s">
        <v>543</v>
      </c>
      <c r="J255">
        <v>0</v>
      </c>
      <c r="K255" t="s">
        <v>540</v>
      </c>
      <c r="L255" t="s">
        <v>544</v>
      </c>
      <c r="M255" t="s">
        <v>1985</v>
      </c>
      <c r="N255" t="s">
        <v>1986</v>
      </c>
      <c r="Q255" t="s">
        <v>2029</v>
      </c>
      <c r="R255" t="s">
        <v>2137</v>
      </c>
      <c r="S255" t="s">
        <v>384</v>
      </c>
      <c r="T255" s="1">
        <v>43665</v>
      </c>
      <c r="U255" s="1">
        <v>43665</v>
      </c>
      <c r="V255" t="s">
        <v>386</v>
      </c>
      <c r="W255">
        <v>173096000000</v>
      </c>
      <c r="X255">
        <v>173096000000</v>
      </c>
      <c r="Y255" t="s">
        <v>386</v>
      </c>
      <c r="Z255">
        <v>173096000000</v>
      </c>
      <c r="AA255">
        <v>54381230</v>
      </c>
      <c r="AB255" t="b">
        <v>0</v>
      </c>
      <c r="AC255">
        <v>0.97</v>
      </c>
    </row>
    <row r="256" spans="1:29" hidden="1" x14ac:dyDescent="0.2">
      <c r="A256" t="b">
        <v>1</v>
      </c>
      <c r="B256" t="b">
        <v>0</v>
      </c>
      <c r="C256" t="b">
        <v>1</v>
      </c>
      <c r="D256" t="s">
        <v>248</v>
      </c>
      <c r="E256" t="b">
        <v>0</v>
      </c>
      <c r="F256" t="b">
        <v>0</v>
      </c>
      <c r="G256">
        <v>0</v>
      </c>
      <c r="H256" t="s">
        <v>542</v>
      </c>
      <c r="I256" t="s">
        <v>543</v>
      </c>
      <c r="J256">
        <v>0</v>
      </c>
      <c r="K256" t="s">
        <v>540</v>
      </c>
      <c r="L256" t="s">
        <v>544</v>
      </c>
      <c r="M256" t="s">
        <v>1950</v>
      </c>
      <c r="N256" t="s">
        <v>1955</v>
      </c>
      <c r="Q256" t="s">
        <v>2029</v>
      </c>
      <c r="R256" t="s">
        <v>2137</v>
      </c>
      <c r="S256" t="s">
        <v>384</v>
      </c>
      <c r="T256" s="1">
        <v>43665</v>
      </c>
      <c r="U256" s="1">
        <v>43665</v>
      </c>
      <c r="V256" t="s">
        <v>386</v>
      </c>
      <c r="W256">
        <v>173096000000</v>
      </c>
      <c r="X256">
        <v>173096000000</v>
      </c>
      <c r="Y256" t="s">
        <v>386</v>
      </c>
      <c r="Z256">
        <v>173096000000</v>
      </c>
      <c r="AA256">
        <v>54381230</v>
      </c>
      <c r="AB256" t="b">
        <v>0</v>
      </c>
      <c r="AC256">
        <v>0.97</v>
      </c>
    </row>
    <row r="257" spans="1:29" hidden="1" x14ac:dyDescent="0.2">
      <c r="A257" t="b">
        <v>1</v>
      </c>
      <c r="B257" t="b">
        <v>0</v>
      </c>
      <c r="C257" t="b">
        <v>1</v>
      </c>
      <c r="D257" t="s">
        <v>248</v>
      </c>
      <c r="E257" t="b">
        <v>0</v>
      </c>
      <c r="F257" t="b">
        <v>0</v>
      </c>
      <c r="G257">
        <v>0</v>
      </c>
      <c r="H257" t="s">
        <v>1768</v>
      </c>
      <c r="I257" t="s">
        <v>1769</v>
      </c>
      <c r="J257">
        <v>0</v>
      </c>
      <c r="K257" t="s">
        <v>1766</v>
      </c>
      <c r="L257" t="s">
        <v>1770</v>
      </c>
      <c r="M257" t="s">
        <v>1985</v>
      </c>
      <c r="N257" t="s">
        <v>1986</v>
      </c>
      <c r="Q257" t="s">
        <v>2031</v>
      </c>
      <c r="R257" t="s">
        <v>2138</v>
      </c>
      <c r="S257" t="s">
        <v>257</v>
      </c>
      <c r="T257" s="1">
        <v>43669</v>
      </c>
      <c r="U257" s="1">
        <v>43920</v>
      </c>
      <c r="V257" t="s">
        <v>260</v>
      </c>
      <c r="W257">
        <v>20700000</v>
      </c>
      <c r="X257">
        <v>16200000</v>
      </c>
      <c r="Y257" t="s">
        <v>260</v>
      </c>
      <c r="Z257">
        <v>16200000</v>
      </c>
      <c r="AA257">
        <v>3119164</v>
      </c>
      <c r="AB257" t="b">
        <v>1</v>
      </c>
      <c r="AC257">
        <v>0.13</v>
      </c>
    </row>
    <row r="258" spans="1:29" hidden="1" x14ac:dyDescent="0.2">
      <c r="A258" t="b">
        <v>1</v>
      </c>
      <c r="B258" t="b">
        <v>0</v>
      </c>
      <c r="C258" t="b">
        <v>1</v>
      </c>
      <c r="D258" t="s">
        <v>248</v>
      </c>
      <c r="E258" t="b">
        <v>0</v>
      </c>
      <c r="F258" t="b">
        <v>0</v>
      </c>
      <c r="G258">
        <v>0</v>
      </c>
      <c r="H258" t="s">
        <v>1768</v>
      </c>
      <c r="I258" t="s">
        <v>1769</v>
      </c>
      <c r="J258">
        <v>0</v>
      </c>
      <c r="K258" t="s">
        <v>1766</v>
      </c>
      <c r="L258" t="s">
        <v>1770</v>
      </c>
      <c r="M258" t="s">
        <v>1950</v>
      </c>
      <c r="N258" t="s">
        <v>1955</v>
      </c>
      <c r="Q258" t="s">
        <v>1989</v>
      </c>
      <c r="R258" t="s">
        <v>2138</v>
      </c>
      <c r="S258" t="s">
        <v>257</v>
      </c>
      <c r="T258" s="1">
        <v>43669</v>
      </c>
      <c r="U258" s="1">
        <v>43920</v>
      </c>
      <c r="V258" t="s">
        <v>260</v>
      </c>
      <c r="W258">
        <v>20700000</v>
      </c>
      <c r="X258">
        <v>16200000</v>
      </c>
      <c r="Y258" t="s">
        <v>260</v>
      </c>
      <c r="Z258">
        <v>16200000</v>
      </c>
      <c r="AA258">
        <v>3119164</v>
      </c>
      <c r="AB258" t="b">
        <v>1</v>
      </c>
      <c r="AC258">
        <v>0.13</v>
      </c>
    </row>
    <row r="259" spans="1:29" hidden="1" x14ac:dyDescent="0.2">
      <c r="A259" t="b">
        <v>1</v>
      </c>
      <c r="B259" t="b">
        <v>0</v>
      </c>
      <c r="C259" t="b">
        <v>1</v>
      </c>
      <c r="D259" t="s">
        <v>522</v>
      </c>
      <c r="E259" t="b">
        <v>0</v>
      </c>
      <c r="F259" t="b">
        <v>0</v>
      </c>
      <c r="G259" t="s">
        <v>1638</v>
      </c>
      <c r="H259" t="s">
        <v>198</v>
      </c>
      <c r="I259">
        <v>0</v>
      </c>
      <c r="J259">
        <v>0</v>
      </c>
      <c r="K259" t="s">
        <v>1633</v>
      </c>
      <c r="L259" t="s">
        <v>1636</v>
      </c>
      <c r="M259" t="s">
        <v>1985</v>
      </c>
      <c r="N259" t="s">
        <v>2170</v>
      </c>
      <c r="Q259" t="s">
        <v>2141</v>
      </c>
      <c r="R259" t="s">
        <v>2142</v>
      </c>
      <c r="S259" t="s">
        <v>287</v>
      </c>
      <c r="T259" s="1">
        <v>43602</v>
      </c>
      <c r="U259" s="1">
        <v>43465</v>
      </c>
      <c r="V259" t="s">
        <v>270</v>
      </c>
      <c r="W259">
        <v>11397764</v>
      </c>
      <c r="X259">
        <v>11397764</v>
      </c>
      <c r="Y259" t="s">
        <v>290</v>
      </c>
      <c r="Z259">
        <v>411</v>
      </c>
      <c r="AA259">
        <v>11397764</v>
      </c>
      <c r="AB259" t="b">
        <v>0</v>
      </c>
      <c r="AC259">
        <v>1</v>
      </c>
    </row>
    <row r="260" spans="1:29" x14ac:dyDescent="0.2">
      <c r="A260" t="b">
        <v>1</v>
      </c>
      <c r="B260" t="b">
        <v>0</v>
      </c>
      <c r="C260" t="b">
        <v>1</v>
      </c>
      <c r="D260" t="s">
        <v>522</v>
      </c>
      <c r="E260" t="b">
        <v>0</v>
      </c>
      <c r="F260" t="b">
        <v>0</v>
      </c>
      <c r="G260" t="s">
        <v>1638</v>
      </c>
      <c r="H260" t="s">
        <v>198</v>
      </c>
      <c r="I260">
        <v>0</v>
      </c>
      <c r="J260">
        <v>0</v>
      </c>
      <c r="K260" t="s">
        <v>1633</v>
      </c>
      <c r="L260" t="s">
        <v>1636</v>
      </c>
      <c r="M260" t="s">
        <v>1950</v>
      </c>
      <c r="N260" t="s">
        <v>1962</v>
      </c>
      <c r="Q260" t="s">
        <v>2141</v>
      </c>
      <c r="R260" t="s">
        <v>2142</v>
      </c>
      <c r="S260" t="s">
        <v>287</v>
      </c>
      <c r="T260" s="1">
        <v>43602</v>
      </c>
      <c r="U260" s="1">
        <v>43830</v>
      </c>
      <c r="V260" t="s">
        <v>270</v>
      </c>
      <c r="W260">
        <v>843200</v>
      </c>
      <c r="X260">
        <v>843200</v>
      </c>
      <c r="Y260" t="s">
        <v>290</v>
      </c>
      <c r="Z260">
        <v>30</v>
      </c>
      <c r="AA260">
        <v>843200</v>
      </c>
      <c r="AB260" t="b">
        <v>0</v>
      </c>
      <c r="AC260">
        <v>1</v>
      </c>
    </row>
    <row r="261" spans="1:29" hidden="1" x14ac:dyDescent="0.2">
      <c r="A261" t="e">
        <v>#N/A</v>
      </c>
      <c r="B261" t="e">
        <v>#N/A</v>
      </c>
      <c r="C261" t="e">
        <v>#N/A</v>
      </c>
      <c r="D261" t="e">
        <v>#N/A</v>
      </c>
      <c r="E261" t="e">
        <v>#N/A</v>
      </c>
      <c r="F261" t="e">
        <v>#N/A</v>
      </c>
      <c r="G261" t="e">
        <v>#N/A</v>
      </c>
      <c r="H261" t="e">
        <v>#N/A</v>
      </c>
      <c r="I261" t="e">
        <v>#N/A</v>
      </c>
      <c r="J261" t="e">
        <v>#N/A</v>
      </c>
      <c r="K261" t="s">
        <v>2445</v>
      </c>
      <c r="L261" t="s">
        <v>2446</v>
      </c>
      <c r="M261" t="s">
        <v>1985</v>
      </c>
      <c r="N261" t="s">
        <v>1986</v>
      </c>
      <c r="Q261" t="s">
        <v>2025</v>
      </c>
      <c r="R261" t="s">
        <v>2142</v>
      </c>
      <c r="S261" t="s">
        <v>287</v>
      </c>
      <c r="T261" s="1">
        <v>43602</v>
      </c>
      <c r="U261" s="1">
        <v>43465</v>
      </c>
      <c r="V261" t="s">
        <v>270</v>
      </c>
      <c r="W261">
        <v>11397764</v>
      </c>
      <c r="X261">
        <v>11397764</v>
      </c>
      <c r="Y261" t="s">
        <v>290</v>
      </c>
      <c r="Z261">
        <v>411</v>
      </c>
      <c r="AA261">
        <v>11397764</v>
      </c>
      <c r="AB261" t="b">
        <v>0</v>
      </c>
      <c r="AC261">
        <v>1</v>
      </c>
    </row>
    <row r="262" spans="1:29" hidden="1" x14ac:dyDescent="0.2">
      <c r="A262" t="e">
        <v>#N/A</v>
      </c>
      <c r="B262" t="e">
        <v>#N/A</v>
      </c>
      <c r="C262" t="e">
        <v>#N/A</v>
      </c>
      <c r="D262" t="e">
        <v>#N/A</v>
      </c>
      <c r="E262" t="e">
        <v>#N/A</v>
      </c>
      <c r="F262" t="e">
        <v>#N/A</v>
      </c>
      <c r="G262" t="e">
        <v>#N/A</v>
      </c>
      <c r="H262" t="e">
        <v>#N/A</v>
      </c>
      <c r="I262" t="e">
        <v>#N/A</v>
      </c>
      <c r="J262" t="e">
        <v>#N/A</v>
      </c>
      <c r="K262" t="s">
        <v>2445</v>
      </c>
      <c r="L262" t="s">
        <v>2446</v>
      </c>
      <c r="M262" t="s">
        <v>1950</v>
      </c>
      <c r="N262" t="s">
        <v>1955</v>
      </c>
      <c r="Q262" t="s">
        <v>2025</v>
      </c>
      <c r="R262" t="s">
        <v>2142</v>
      </c>
      <c r="S262" t="s">
        <v>287</v>
      </c>
      <c r="T262" s="1">
        <v>43602</v>
      </c>
      <c r="U262" s="1">
        <v>43830</v>
      </c>
      <c r="V262" t="s">
        <v>270</v>
      </c>
      <c r="W262">
        <v>843200</v>
      </c>
      <c r="X262">
        <v>843200</v>
      </c>
      <c r="Y262" t="s">
        <v>290</v>
      </c>
      <c r="Z262">
        <v>30</v>
      </c>
      <c r="AA262">
        <v>843200</v>
      </c>
      <c r="AB262" t="b">
        <v>0</v>
      </c>
      <c r="AC262">
        <v>1</v>
      </c>
    </row>
    <row r="263" spans="1:29" hidden="1" x14ac:dyDescent="0.2">
      <c r="A263" t="e">
        <v>#N/A</v>
      </c>
      <c r="B263" t="e">
        <v>#N/A</v>
      </c>
      <c r="C263" t="e">
        <v>#N/A</v>
      </c>
      <c r="D263" t="e">
        <v>#N/A</v>
      </c>
      <c r="E263" t="e">
        <v>#N/A</v>
      </c>
      <c r="F263" t="e">
        <v>#N/A</v>
      </c>
      <c r="G263" t="e">
        <v>#N/A</v>
      </c>
      <c r="H263" t="e">
        <v>#N/A</v>
      </c>
      <c r="I263" t="e">
        <v>#N/A</v>
      </c>
      <c r="J263" t="e">
        <v>#N/A</v>
      </c>
      <c r="K263" t="s">
        <v>2445</v>
      </c>
      <c r="L263" t="s">
        <v>2446</v>
      </c>
      <c r="M263" t="s">
        <v>2063</v>
      </c>
      <c r="N263" t="s">
        <v>441</v>
      </c>
      <c r="Q263" t="s">
        <v>2029</v>
      </c>
      <c r="R263" t="s">
        <v>2142</v>
      </c>
      <c r="S263" t="s">
        <v>287</v>
      </c>
      <c r="T263" s="1">
        <v>43602</v>
      </c>
      <c r="U263" s="1">
        <v>43465</v>
      </c>
      <c r="V263" t="s">
        <v>270</v>
      </c>
      <c r="W263">
        <v>11397764</v>
      </c>
      <c r="X263">
        <v>11397764</v>
      </c>
      <c r="Y263" t="s">
        <v>290</v>
      </c>
      <c r="Z263">
        <v>411</v>
      </c>
      <c r="AA263">
        <v>11397764</v>
      </c>
      <c r="AB263" t="b">
        <v>0</v>
      </c>
      <c r="AC263">
        <v>1</v>
      </c>
    </row>
    <row r="264" spans="1:29" hidden="1" x14ac:dyDescent="0.2">
      <c r="A264" t="e">
        <v>#N/A</v>
      </c>
      <c r="B264" t="e">
        <v>#N/A</v>
      </c>
      <c r="C264" t="e">
        <v>#N/A</v>
      </c>
      <c r="D264" t="e">
        <v>#N/A</v>
      </c>
      <c r="E264" t="e">
        <v>#N/A</v>
      </c>
      <c r="F264" t="e">
        <v>#N/A</v>
      </c>
      <c r="G264" t="e">
        <v>#N/A</v>
      </c>
      <c r="H264" t="e">
        <v>#N/A</v>
      </c>
      <c r="I264" t="e">
        <v>#N/A</v>
      </c>
      <c r="J264" t="e">
        <v>#N/A</v>
      </c>
      <c r="K264" t="s">
        <v>2445</v>
      </c>
      <c r="L264" t="s">
        <v>2446</v>
      </c>
      <c r="M264" t="s">
        <v>2064</v>
      </c>
      <c r="N264" t="s">
        <v>441</v>
      </c>
      <c r="Q264" t="s">
        <v>2029</v>
      </c>
      <c r="R264" t="s">
        <v>2142</v>
      </c>
      <c r="S264" t="s">
        <v>287</v>
      </c>
      <c r="T264" s="1">
        <v>43602</v>
      </c>
      <c r="U264" s="1">
        <v>43830</v>
      </c>
      <c r="V264" t="s">
        <v>270</v>
      </c>
      <c r="W264">
        <v>843200</v>
      </c>
      <c r="X264">
        <v>843200</v>
      </c>
      <c r="Y264" t="s">
        <v>290</v>
      </c>
      <c r="Z264">
        <v>30</v>
      </c>
      <c r="AA264">
        <v>843200</v>
      </c>
      <c r="AB264" t="b">
        <v>0</v>
      </c>
      <c r="AC264">
        <v>1</v>
      </c>
    </row>
    <row r="265" spans="1:29" hidden="1" x14ac:dyDescent="0.2">
      <c r="A265" t="b">
        <v>1</v>
      </c>
      <c r="B265" t="b">
        <v>0</v>
      </c>
      <c r="C265" t="b">
        <v>0</v>
      </c>
      <c r="D265" t="b">
        <v>0</v>
      </c>
      <c r="E265" t="b">
        <v>0</v>
      </c>
      <c r="F265" t="b">
        <v>1</v>
      </c>
      <c r="G265">
        <v>0</v>
      </c>
      <c r="H265" t="s">
        <v>878</v>
      </c>
      <c r="I265" t="s">
        <v>879</v>
      </c>
      <c r="J265" t="s">
        <v>880</v>
      </c>
      <c r="K265" t="s">
        <v>876</v>
      </c>
      <c r="L265" t="s">
        <v>881</v>
      </c>
      <c r="M265" t="s">
        <v>1985</v>
      </c>
      <c r="N265" t="s">
        <v>2024</v>
      </c>
      <c r="Q265" t="s">
        <v>2029</v>
      </c>
      <c r="R265" t="s">
        <v>2142</v>
      </c>
      <c r="S265" t="s">
        <v>287</v>
      </c>
      <c r="T265" s="1">
        <v>43602</v>
      </c>
      <c r="U265" s="1">
        <v>43465</v>
      </c>
      <c r="V265" t="s">
        <v>270</v>
      </c>
      <c r="W265">
        <v>11397764</v>
      </c>
      <c r="X265">
        <v>11397764</v>
      </c>
      <c r="Y265" t="s">
        <v>290</v>
      </c>
      <c r="Z265">
        <v>411</v>
      </c>
      <c r="AA265">
        <v>11397764</v>
      </c>
      <c r="AB265" t="b">
        <v>0</v>
      </c>
      <c r="AC265">
        <v>1</v>
      </c>
    </row>
    <row r="266" spans="1:29" hidden="1" x14ac:dyDescent="0.2">
      <c r="A266" t="b">
        <v>1</v>
      </c>
      <c r="B266" t="b">
        <v>0</v>
      </c>
      <c r="C266" t="b">
        <v>0</v>
      </c>
      <c r="D266" t="b">
        <v>0</v>
      </c>
      <c r="E266" t="b">
        <v>0</v>
      </c>
      <c r="F266" t="b">
        <v>1</v>
      </c>
      <c r="G266">
        <v>0</v>
      </c>
      <c r="H266" t="s">
        <v>878</v>
      </c>
      <c r="I266" t="s">
        <v>879</v>
      </c>
      <c r="J266" t="s">
        <v>880</v>
      </c>
      <c r="K266" t="s">
        <v>876</v>
      </c>
      <c r="L266" t="s">
        <v>881</v>
      </c>
      <c r="M266" t="s">
        <v>1950</v>
      </c>
      <c r="N266" t="s">
        <v>1958</v>
      </c>
      <c r="Q266" t="s">
        <v>2029</v>
      </c>
      <c r="R266" t="s">
        <v>2142</v>
      </c>
      <c r="S266" t="s">
        <v>287</v>
      </c>
      <c r="T266" s="1">
        <v>43602</v>
      </c>
      <c r="U266" s="1">
        <v>43830</v>
      </c>
      <c r="V266" t="s">
        <v>270</v>
      </c>
      <c r="W266">
        <v>843200</v>
      </c>
      <c r="X266">
        <v>843200</v>
      </c>
      <c r="Y266" t="s">
        <v>290</v>
      </c>
      <c r="Z266">
        <v>30</v>
      </c>
      <c r="AA266">
        <v>843200</v>
      </c>
      <c r="AB266" t="b">
        <v>0</v>
      </c>
      <c r="AC266">
        <v>1</v>
      </c>
    </row>
    <row r="267" spans="1:29" hidden="1" x14ac:dyDescent="0.2">
      <c r="A267" t="b">
        <v>1</v>
      </c>
      <c r="B267" t="b">
        <v>0</v>
      </c>
      <c r="C267" t="b">
        <v>0</v>
      </c>
      <c r="D267" t="b">
        <v>0</v>
      </c>
      <c r="E267" t="b">
        <v>0</v>
      </c>
      <c r="F267" t="b">
        <v>1</v>
      </c>
      <c r="G267">
        <v>0</v>
      </c>
      <c r="H267" t="s">
        <v>878</v>
      </c>
      <c r="I267" t="s">
        <v>879</v>
      </c>
      <c r="J267" t="s">
        <v>880</v>
      </c>
      <c r="K267" t="s">
        <v>876</v>
      </c>
      <c r="L267" t="s">
        <v>881</v>
      </c>
      <c r="M267" t="s">
        <v>1985</v>
      </c>
      <c r="N267" t="s">
        <v>1946</v>
      </c>
      <c r="Q267" t="s">
        <v>2117</v>
      </c>
      <c r="R267" t="s">
        <v>2143</v>
      </c>
      <c r="S267" t="s">
        <v>257</v>
      </c>
      <c r="T267" s="1">
        <v>42829</v>
      </c>
      <c r="U267" s="1">
        <v>42735</v>
      </c>
      <c r="V267" t="s">
        <v>270</v>
      </c>
      <c r="W267">
        <v>8780938</v>
      </c>
      <c r="X267">
        <v>8780938</v>
      </c>
      <c r="Y267" t="s">
        <v>270</v>
      </c>
      <c r="Z267">
        <v>8780938</v>
      </c>
      <c r="AA267">
        <v>8780938</v>
      </c>
      <c r="AB267" t="b">
        <v>0</v>
      </c>
      <c r="AC267">
        <v>1</v>
      </c>
    </row>
    <row r="268" spans="1:29" hidden="1" x14ac:dyDescent="0.2">
      <c r="A268" t="b">
        <v>1</v>
      </c>
      <c r="B268" t="b">
        <v>0</v>
      </c>
      <c r="C268" t="b">
        <v>0</v>
      </c>
      <c r="D268" t="b">
        <v>0</v>
      </c>
      <c r="E268" t="b">
        <v>0</v>
      </c>
      <c r="F268" t="b">
        <v>1</v>
      </c>
      <c r="G268">
        <v>0</v>
      </c>
      <c r="H268" t="s">
        <v>878</v>
      </c>
      <c r="I268" t="s">
        <v>879</v>
      </c>
      <c r="J268" t="s">
        <v>880</v>
      </c>
      <c r="K268" t="s">
        <v>876</v>
      </c>
      <c r="L268" t="s">
        <v>881</v>
      </c>
      <c r="M268" t="s">
        <v>1950</v>
      </c>
      <c r="N268" t="s">
        <v>1946</v>
      </c>
      <c r="Q268" t="s">
        <v>2029</v>
      </c>
      <c r="R268" t="s">
        <v>2143</v>
      </c>
      <c r="S268" t="s">
        <v>257</v>
      </c>
      <c r="T268" s="1">
        <v>42829</v>
      </c>
      <c r="U268" s="1">
        <v>42735</v>
      </c>
      <c r="V268" t="s">
        <v>270</v>
      </c>
      <c r="W268">
        <v>8780938</v>
      </c>
      <c r="X268">
        <v>8780938</v>
      </c>
      <c r="Y268" t="s">
        <v>270</v>
      </c>
      <c r="Z268">
        <v>8780938</v>
      </c>
      <c r="AA268">
        <v>8780938</v>
      </c>
      <c r="AB268" t="b">
        <v>0</v>
      </c>
      <c r="AC268">
        <v>1</v>
      </c>
    </row>
    <row r="269" spans="1:29" hidden="1" x14ac:dyDescent="0.2">
      <c r="A269" t="b">
        <v>1</v>
      </c>
      <c r="B269" t="b">
        <v>0</v>
      </c>
      <c r="C269" t="b">
        <v>1</v>
      </c>
      <c r="D269" t="b">
        <v>0</v>
      </c>
      <c r="E269" t="b">
        <v>0</v>
      </c>
      <c r="F269" t="s">
        <v>361</v>
      </c>
      <c r="G269">
        <v>0</v>
      </c>
      <c r="H269" t="s">
        <v>1699</v>
      </c>
      <c r="I269">
        <v>0</v>
      </c>
      <c r="J269">
        <v>0</v>
      </c>
      <c r="K269" t="s">
        <v>1697</v>
      </c>
      <c r="L269" t="s">
        <v>1700</v>
      </c>
      <c r="M269" t="s">
        <v>1985</v>
      </c>
      <c r="N269" t="s">
        <v>2024</v>
      </c>
      <c r="Q269" t="s">
        <v>2029</v>
      </c>
      <c r="R269" t="s">
        <v>2143</v>
      </c>
      <c r="S269" t="s">
        <v>257</v>
      </c>
      <c r="T269" s="1">
        <v>42829</v>
      </c>
      <c r="U269" s="1">
        <v>42735</v>
      </c>
      <c r="V269" t="s">
        <v>270</v>
      </c>
      <c r="W269">
        <v>8780938</v>
      </c>
      <c r="X269">
        <v>8780938</v>
      </c>
      <c r="Y269" t="s">
        <v>270</v>
      </c>
      <c r="Z269">
        <v>8780938</v>
      </c>
      <c r="AA269">
        <v>8780938</v>
      </c>
      <c r="AB269" t="b">
        <v>0</v>
      </c>
      <c r="AC269">
        <v>1</v>
      </c>
    </row>
    <row r="270" spans="1:29" hidden="1" x14ac:dyDescent="0.2">
      <c r="A270" t="b">
        <v>1</v>
      </c>
      <c r="B270" t="b">
        <v>0</v>
      </c>
      <c r="C270" t="b">
        <v>1</v>
      </c>
      <c r="D270" t="b">
        <v>0</v>
      </c>
      <c r="E270" t="b">
        <v>0</v>
      </c>
      <c r="F270" t="s">
        <v>361</v>
      </c>
      <c r="G270">
        <v>0</v>
      </c>
      <c r="H270" t="s">
        <v>1699</v>
      </c>
      <c r="I270">
        <v>0</v>
      </c>
      <c r="J270">
        <v>0</v>
      </c>
      <c r="K270" t="s">
        <v>1697</v>
      </c>
      <c r="L270" t="s">
        <v>1700</v>
      </c>
      <c r="M270" t="s">
        <v>1950</v>
      </c>
      <c r="N270" t="s">
        <v>1958</v>
      </c>
      <c r="Q270" t="s">
        <v>1998</v>
      </c>
      <c r="R270" t="s">
        <v>2144</v>
      </c>
      <c r="S270" t="s">
        <v>808</v>
      </c>
      <c r="T270" s="1">
        <v>43374</v>
      </c>
      <c r="U270" s="1">
        <v>42735</v>
      </c>
      <c r="V270" t="s">
        <v>270</v>
      </c>
      <c r="W270">
        <v>2396472</v>
      </c>
      <c r="X270">
        <v>2396472</v>
      </c>
      <c r="Y270" t="s">
        <v>811</v>
      </c>
      <c r="Z270">
        <v>7812498</v>
      </c>
      <c r="AA270">
        <v>2396472</v>
      </c>
      <c r="AB270" t="b">
        <v>1</v>
      </c>
      <c r="AC270">
        <v>1</v>
      </c>
    </row>
    <row r="271" spans="1:29" hidden="1" x14ac:dyDescent="0.2">
      <c r="A271" t="b">
        <v>1</v>
      </c>
      <c r="B271" t="b">
        <v>0</v>
      </c>
      <c r="C271" t="b">
        <v>1</v>
      </c>
      <c r="D271" t="s">
        <v>522</v>
      </c>
      <c r="E271" t="b">
        <v>0</v>
      </c>
      <c r="F271" t="b">
        <v>0</v>
      </c>
      <c r="G271" t="s">
        <v>1191</v>
      </c>
      <c r="H271" t="s">
        <v>124</v>
      </c>
      <c r="I271" t="s">
        <v>1188</v>
      </c>
      <c r="J271">
        <v>0</v>
      </c>
      <c r="K271" t="s">
        <v>1186</v>
      </c>
      <c r="L271" t="s">
        <v>1189</v>
      </c>
      <c r="M271" t="s">
        <v>1985</v>
      </c>
      <c r="N271" t="s">
        <v>1986</v>
      </c>
      <c r="Q271" t="s">
        <v>2067</v>
      </c>
      <c r="R271" t="s">
        <v>2144</v>
      </c>
      <c r="S271" t="s">
        <v>808</v>
      </c>
      <c r="T271" s="1">
        <v>43374</v>
      </c>
      <c r="U271" s="1">
        <v>42735</v>
      </c>
      <c r="V271" t="s">
        <v>270</v>
      </c>
      <c r="W271">
        <v>2396472</v>
      </c>
      <c r="X271">
        <v>2396472</v>
      </c>
      <c r="Y271" t="s">
        <v>811</v>
      </c>
      <c r="Z271">
        <v>7812498</v>
      </c>
      <c r="AA271">
        <v>2396472</v>
      </c>
      <c r="AB271" t="b">
        <v>1</v>
      </c>
      <c r="AC271">
        <v>1</v>
      </c>
    </row>
    <row r="272" spans="1:29" x14ac:dyDescent="0.2">
      <c r="A272" t="b">
        <v>1</v>
      </c>
      <c r="B272" t="b">
        <v>0</v>
      </c>
      <c r="C272" t="b">
        <v>1</v>
      </c>
      <c r="D272" t="s">
        <v>522</v>
      </c>
      <c r="E272" t="b">
        <v>0</v>
      </c>
      <c r="F272" t="b">
        <v>0</v>
      </c>
      <c r="G272" t="s">
        <v>1191</v>
      </c>
      <c r="H272" t="s">
        <v>124</v>
      </c>
      <c r="I272" t="s">
        <v>1188</v>
      </c>
      <c r="J272">
        <v>0</v>
      </c>
      <c r="K272" t="s">
        <v>1186</v>
      </c>
      <c r="L272" t="s">
        <v>1189</v>
      </c>
      <c r="M272" t="s">
        <v>1950</v>
      </c>
      <c r="N272" t="s">
        <v>1955</v>
      </c>
      <c r="Q272" t="s">
        <v>2029</v>
      </c>
      <c r="R272" t="s">
        <v>2144</v>
      </c>
      <c r="S272" t="s">
        <v>808</v>
      </c>
      <c r="T272" s="1">
        <v>43374</v>
      </c>
      <c r="U272" s="1">
        <v>42735</v>
      </c>
      <c r="V272" t="s">
        <v>270</v>
      </c>
      <c r="W272">
        <v>2396472</v>
      </c>
      <c r="X272">
        <v>2396472</v>
      </c>
      <c r="Y272" t="s">
        <v>811</v>
      </c>
      <c r="Z272">
        <v>7812498</v>
      </c>
      <c r="AA272">
        <v>2396472</v>
      </c>
      <c r="AB272" t="b">
        <v>1</v>
      </c>
      <c r="AC272">
        <v>1</v>
      </c>
    </row>
    <row r="273" spans="1:29" x14ac:dyDescent="0.2">
      <c r="A273" t="b">
        <v>1</v>
      </c>
      <c r="B273" t="b">
        <v>0</v>
      </c>
      <c r="C273" t="b">
        <v>1</v>
      </c>
      <c r="D273" t="s">
        <v>522</v>
      </c>
      <c r="E273" t="b">
        <v>0</v>
      </c>
      <c r="F273" t="b">
        <v>0</v>
      </c>
      <c r="G273" t="s">
        <v>1191</v>
      </c>
      <c r="H273" t="s">
        <v>124</v>
      </c>
      <c r="I273" t="s">
        <v>1188</v>
      </c>
      <c r="J273">
        <v>0</v>
      </c>
      <c r="K273" t="s">
        <v>1186</v>
      </c>
      <c r="L273" t="s">
        <v>1189</v>
      </c>
      <c r="M273" t="s">
        <v>1950</v>
      </c>
      <c r="N273" t="s">
        <v>1960</v>
      </c>
      <c r="Q273" t="s">
        <v>2029</v>
      </c>
      <c r="R273" t="s">
        <v>2144</v>
      </c>
      <c r="S273" t="s">
        <v>808</v>
      </c>
      <c r="T273" s="1">
        <v>43374</v>
      </c>
      <c r="U273" s="1">
        <v>42735</v>
      </c>
      <c r="V273" t="s">
        <v>270</v>
      </c>
      <c r="W273">
        <v>2396472</v>
      </c>
      <c r="X273">
        <v>2396472</v>
      </c>
      <c r="Y273" t="s">
        <v>811</v>
      </c>
      <c r="Z273">
        <v>7812498</v>
      </c>
      <c r="AA273">
        <v>2396472</v>
      </c>
      <c r="AB273" t="b">
        <v>1</v>
      </c>
      <c r="AC273">
        <v>1</v>
      </c>
    </row>
    <row r="274" spans="1:29" hidden="1" x14ac:dyDescent="0.2">
      <c r="A274" t="e">
        <v>#N/A</v>
      </c>
      <c r="B274" t="e">
        <v>#N/A</v>
      </c>
      <c r="C274" t="e">
        <v>#N/A</v>
      </c>
      <c r="D274" t="e">
        <v>#N/A</v>
      </c>
      <c r="E274" t="e">
        <v>#N/A</v>
      </c>
      <c r="F274" t="e">
        <v>#N/A</v>
      </c>
      <c r="G274" t="e">
        <v>#N/A</v>
      </c>
      <c r="H274" t="e">
        <v>#N/A</v>
      </c>
      <c r="I274" t="e">
        <v>#N/A</v>
      </c>
      <c r="J274" t="e">
        <v>#N/A</v>
      </c>
      <c r="K274" t="s">
        <v>2139</v>
      </c>
      <c r="L274" t="s">
        <v>2140</v>
      </c>
      <c r="M274" t="s">
        <v>1985</v>
      </c>
      <c r="N274" t="s">
        <v>1994</v>
      </c>
      <c r="Q274" t="s">
        <v>2146</v>
      </c>
      <c r="R274" t="s">
        <v>2147</v>
      </c>
      <c r="S274" t="s">
        <v>808</v>
      </c>
      <c r="T274" s="1">
        <v>43374</v>
      </c>
      <c r="U274" s="1">
        <v>42735</v>
      </c>
      <c r="V274" t="s">
        <v>270</v>
      </c>
      <c r="W274">
        <v>26361196</v>
      </c>
      <c r="X274">
        <v>26361196</v>
      </c>
      <c r="Y274" t="s">
        <v>811</v>
      </c>
      <c r="Z274">
        <v>85937498</v>
      </c>
      <c r="AA274">
        <v>26361196</v>
      </c>
      <c r="AB274" t="b">
        <v>1</v>
      </c>
      <c r="AC274">
        <v>1</v>
      </c>
    </row>
    <row r="275" spans="1:29" hidden="1" x14ac:dyDescent="0.2">
      <c r="A275" t="e">
        <v>#N/A</v>
      </c>
      <c r="B275" t="e">
        <v>#N/A</v>
      </c>
      <c r="C275" t="e">
        <v>#N/A</v>
      </c>
      <c r="D275" t="e">
        <v>#N/A</v>
      </c>
      <c r="E275" t="e">
        <v>#N/A</v>
      </c>
      <c r="F275" t="e">
        <v>#N/A</v>
      </c>
      <c r="G275" t="e">
        <v>#N/A</v>
      </c>
      <c r="H275" t="e">
        <v>#N/A</v>
      </c>
      <c r="I275" t="e">
        <v>#N/A</v>
      </c>
      <c r="J275" t="e">
        <v>#N/A</v>
      </c>
      <c r="K275" t="s">
        <v>2139</v>
      </c>
      <c r="L275" t="s">
        <v>2140</v>
      </c>
      <c r="M275" t="s">
        <v>1950</v>
      </c>
      <c r="N275" t="s">
        <v>1956</v>
      </c>
      <c r="Q275" t="s">
        <v>2036</v>
      </c>
      <c r="R275" t="s">
        <v>2147</v>
      </c>
      <c r="S275" t="s">
        <v>808</v>
      </c>
      <c r="T275" s="1">
        <v>43374</v>
      </c>
      <c r="U275" s="1">
        <v>42735</v>
      </c>
      <c r="V275" t="s">
        <v>270</v>
      </c>
      <c r="W275">
        <v>26361196</v>
      </c>
      <c r="X275">
        <v>26361196</v>
      </c>
      <c r="Y275" t="s">
        <v>811</v>
      </c>
      <c r="Z275">
        <v>85937498</v>
      </c>
      <c r="AA275">
        <v>26361196</v>
      </c>
      <c r="AB275" t="b">
        <v>1</v>
      </c>
      <c r="AC275">
        <v>1</v>
      </c>
    </row>
    <row r="276" spans="1:29" hidden="1" x14ac:dyDescent="0.2">
      <c r="A276" t="e">
        <v>#N/A</v>
      </c>
      <c r="B276" t="e">
        <v>#N/A</v>
      </c>
      <c r="C276" t="e">
        <v>#N/A</v>
      </c>
      <c r="D276" t="e">
        <v>#N/A</v>
      </c>
      <c r="E276" t="e">
        <v>#N/A</v>
      </c>
      <c r="F276" t="e">
        <v>#N/A</v>
      </c>
      <c r="G276" t="e">
        <v>#N/A</v>
      </c>
      <c r="H276" t="e">
        <v>#N/A</v>
      </c>
      <c r="I276" t="e">
        <v>#N/A</v>
      </c>
      <c r="J276" t="e">
        <v>#N/A</v>
      </c>
      <c r="K276" t="s">
        <v>2139</v>
      </c>
      <c r="L276" t="s">
        <v>2140</v>
      </c>
      <c r="M276" t="s">
        <v>1985</v>
      </c>
      <c r="N276" t="s">
        <v>2074</v>
      </c>
      <c r="Q276" t="s">
        <v>2029</v>
      </c>
      <c r="R276" t="s">
        <v>2147</v>
      </c>
      <c r="S276" t="s">
        <v>808</v>
      </c>
      <c r="T276" s="1">
        <v>43374</v>
      </c>
      <c r="U276" s="1">
        <v>42735</v>
      </c>
      <c r="V276" t="s">
        <v>270</v>
      </c>
      <c r="W276">
        <v>26361196</v>
      </c>
      <c r="X276">
        <v>26361196</v>
      </c>
      <c r="Y276" t="s">
        <v>811</v>
      </c>
      <c r="Z276">
        <v>85937498</v>
      </c>
      <c r="AA276">
        <v>26361196</v>
      </c>
      <c r="AB276" t="b">
        <v>1</v>
      </c>
      <c r="AC276">
        <v>1</v>
      </c>
    </row>
    <row r="277" spans="1:29" hidden="1" x14ac:dyDescent="0.2">
      <c r="A277" t="e">
        <v>#N/A</v>
      </c>
      <c r="B277" t="e">
        <v>#N/A</v>
      </c>
      <c r="C277" t="e">
        <v>#N/A</v>
      </c>
      <c r="D277" t="e">
        <v>#N/A</v>
      </c>
      <c r="E277" t="e">
        <v>#N/A</v>
      </c>
      <c r="F277" t="e">
        <v>#N/A</v>
      </c>
      <c r="G277" t="e">
        <v>#N/A</v>
      </c>
      <c r="H277" t="e">
        <v>#N/A</v>
      </c>
      <c r="I277" t="e">
        <v>#N/A</v>
      </c>
      <c r="J277" t="e">
        <v>#N/A</v>
      </c>
      <c r="K277" t="s">
        <v>2139</v>
      </c>
      <c r="L277" t="s">
        <v>2140</v>
      </c>
      <c r="M277" t="s">
        <v>1950</v>
      </c>
      <c r="N277" t="s">
        <v>1961</v>
      </c>
      <c r="Q277" t="s">
        <v>2031</v>
      </c>
      <c r="R277" t="s">
        <v>2148</v>
      </c>
      <c r="S277" t="s">
        <v>257</v>
      </c>
      <c r="T277" s="1">
        <v>43669</v>
      </c>
      <c r="U277" s="1">
        <v>43920</v>
      </c>
      <c r="V277" t="s">
        <v>260</v>
      </c>
      <c r="W277">
        <v>6200000</v>
      </c>
      <c r="X277">
        <v>5700000</v>
      </c>
      <c r="Y277" t="s">
        <v>260</v>
      </c>
      <c r="Z277">
        <v>5700000</v>
      </c>
      <c r="AA277">
        <v>1097483</v>
      </c>
      <c r="AB277" t="b">
        <v>1</v>
      </c>
      <c r="AC277">
        <v>0.1</v>
      </c>
    </row>
    <row r="278" spans="1:29" hidden="1" x14ac:dyDescent="0.2">
      <c r="A278" t="b">
        <v>1</v>
      </c>
      <c r="B278" t="b">
        <v>0</v>
      </c>
      <c r="C278" t="b">
        <v>1</v>
      </c>
      <c r="D278" t="b">
        <v>0</v>
      </c>
      <c r="E278" t="b">
        <v>0</v>
      </c>
      <c r="F278" t="s">
        <v>361</v>
      </c>
      <c r="G278">
        <v>0</v>
      </c>
      <c r="H278" t="s">
        <v>972</v>
      </c>
      <c r="I278">
        <v>0</v>
      </c>
      <c r="J278">
        <v>0</v>
      </c>
      <c r="K278" s="4" t="s">
        <v>970</v>
      </c>
      <c r="L278" t="s">
        <v>973</v>
      </c>
      <c r="M278" t="s">
        <v>1985</v>
      </c>
      <c r="N278" t="s">
        <v>1986</v>
      </c>
      <c r="Q278" t="s">
        <v>1989</v>
      </c>
      <c r="R278" t="s">
        <v>2148</v>
      </c>
      <c r="S278" t="s">
        <v>257</v>
      </c>
      <c r="T278" s="1">
        <v>43669</v>
      </c>
      <c r="U278" s="1">
        <v>43920</v>
      </c>
      <c r="V278" t="s">
        <v>260</v>
      </c>
      <c r="W278">
        <v>6200000</v>
      </c>
      <c r="X278">
        <v>5700000</v>
      </c>
      <c r="Y278" t="s">
        <v>260</v>
      </c>
      <c r="Z278">
        <v>5700000</v>
      </c>
      <c r="AA278">
        <v>1097483</v>
      </c>
      <c r="AB278" t="b">
        <v>1</v>
      </c>
      <c r="AC278">
        <v>0.1</v>
      </c>
    </row>
    <row r="279" spans="1:29" hidden="1" x14ac:dyDescent="0.2">
      <c r="A279" t="b">
        <v>1</v>
      </c>
      <c r="B279" t="b">
        <v>0</v>
      </c>
      <c r="C279" t="b">
        <v>1</v>
      </c>
      <c r="D279" t="b">
        <v>0</v>
      </c>
      <c r="E279" t="b">
        <v>0</v>
      </c>
      <c r="F279" t="s">
        <v>361</v>
      </c>
      <c r="G279">
        <v>0</v>
      </c>
      <c r="H279" t="s">
        <v>972</v>
      </c>
      <c r="I279">
        <v>0</v>
      </c>
      <c r="J279">
        <v>0</v>
      </c>
      <c r="K279" s="4" t="s">
        <v>970</v>
      </c>
      <c r="L279" t="s">
        <v>973</v>
      </c>
      <c r="M279" t="s">
        <v>1950</v>
      </c>
      <c r="N279" t="s">
        <v>1955</v>
      </c>
      <c r="Q279" t="s">
        <v>2087</v>
      </c>
      <c r="R279" t="s">
        <v>2149</v>
      </c>
      <c r="S279" t="s">
        <v>257</v>
      </c>
      <c r="T279" s="1">
        <v>43669</v>
      </c>
      <c r="U279" s="1">
        <v>43920</v>
      </c>
      <c r="V279" t="s">
        <v>260</v>
      </c>
      <c r="W279">
        <v>70400000</v>
      </c>
      <c r="X279">
        <v>70400000</v>
      </c>
      <c r="Y279" t="s">
        <v>260</v>
      </c>
      <c r="Z279">
        <v>70400000</v>
      </c>
      <c r="AA279">
        <v>13554884</v>
      </c>
      <c r="AB279" t="b">
        <v>1</v>
      </c>
      <c r="AC279">
        <v>0.06</v>
      </c>
    </row>
    <row r="280" spans="1:29" hidden="1" x14ac:dyDescent="0.2">
      <c r="A280" t="b">
        <v>1</v>
      </c>
      <c r="B280" t="b">
        <v>0</v>
      </c>
      <c r="C280" t="b">
        <v>1</v>
      </c>
      <c r="D280" t="b">
        <v>0</v>
      </c>
      <c r="E280" t="b">
        <v>0</v>
      </c>
      <c r="F280" t="s">
        <v>361</v>
      </c>
      <c r="G280">
        <v>0</v>
      </c>
      <c r="H280" t="s">
        <v>972</v>
      </c>
      <c r="I280">
        <v>0</v>
      </c>
      <c r="J280">
        <v>0</v>
      </c>
      <c r="K280" s="4" t="s">
        <v>970</v>
      </c>
      <c r="L280" t="s">
        <v>973</v>
      </c>
      <c r="M280" t="s">
        <v>2063</v>
      </c>
      <c r="N280" t="s">
        <v>441</v>
      </c>
      <c r="Q280" t="s">
        <v>2087</v>
      </c>
      <c r="R280" t="s">
        <v>2149</v>
      </c>
      <c r="S280" t="s">
        <v>257</v>
      </c>
      <c r="T280" s="1">
        <v>43669</v>
      </c>
      <c r="U280" s="1">
        <v>43920</v>
      </c>
      <c r="V280" t="s">
        <v>260</v>
      </c>
      <c r="W280">
        <v>70400000</v>
      </c>
      <c r="X280">
        <v>70400000</v>
      </c>
      <c r="Y280" t="s">
        <v>260</v>
      </c>
      <c r="Z280">
        <v>70400000</v>
      </c>
      <c r="AA280">
        <v>13554884</v>
      </c>
      <c r="AB280" t="b">
        <v>1</v>
      </c>
      <c r="AC280">
        <v>0.06</v>
      </c>
    </row>
    <row r="281" spans="1:29" hidden="1" x14ac:dyDescent="0.2">
      <c r="A281" t="b">
        <v>1</v>
      </c>
      <c r="B281" t="b">
        <v>0</v>
      </c>
      <c r="C281" t="b">
        <v>1</v>
      </c>
      <c r="D281" t="b">
        <v>0</v>
      </c>
      <c r="E281" t="b">
        <v>0</v>
      </c>
      <c r="F281" t="s">
        <v>361</v>
      </c>
      <c r="G281">
        <v>0</v>
      </c>
      <c r="H281" t="s">
        <v>972</v>
      </c>
      <c r="I281">
        <v>0</v>
      </c>
      <c r="J281">
        <v>0</v>
      </c>
      <c r="K281" s="4" t="s">
        <v>970</v>
      </c>
      <c r="L281" t="s">
        <v>973</v>
      </c>
      <c r="M281" t="s">
        <v>2064</v>
      </c>
      <c r="N281" t="s">
        <v>441</v>
      </c>
      <c r="Q281" t="s">
        <v>2087</v>
      </c>
      <c r="R281" t="s">
        <v>2150</v>
      </c>
      <c r="S281" t="s">
        <v>257</v>
      </c>
      <c r="T281" s="1">
        <v>43669</v>
      </c>
      <c r="U281" s="1">
        <v>43920</v>
      </c>
      <c r="V281" t="s">
        <v>260</v>
      </c>
      <c r="W281">
        <v>36200000</v>
      </c>
      <c r="X281">
        <v>36200000</v>
      </c>
      <c r="Y281" t="s">
        <v>260</v>
      </c>
      <c r="Z281">
        <v>36200000</v>
      </c>
      <c r="AA281">
        <v>6969983</v>
      </c>
      <c r="AB281" t="b">
        <v>1</v>
      </c>
      <c r="AC281">
        <v>7.0000000000000007E-2</v>
      </c>
    </row>
    <row r="282" spans="1:29" hidden="1" x14ac:dyDescent="0.2">
      <c r="A282" t="b">
        <v>1</v>
      </c>
      <c r="B282" t="b">
        <v>0</v>
      </c>
      <c r="C282" t="b">
        <v>1</v>
      </c>
      <c r="D282" t="s">
        <v>522</v>
      </c>
      <c r="E282" t="b">
        <v>0</v>
      </c>
      <c r="F282" t="b">
        <v>0</v>
      </c>
      <c r="G282" t="s">
        <v>1846</v>
      </c>
      <c r="H282" t="s">
        <v>1842</v>
      </c>
      <c r="I282" t="s">
        <v>1843</v>
      </c>
      <c r="J282">
        <v>0</v>
      </c>
      <c r="K282" t="s">
        <v>1840</v>
      </c>
      <c r="L282" t="s">
        <v>1844</v>
      </c>
      <c r="M282" t="s">
        <v>1985</v>
      </c>
      <c r="N282" t="s">
        <v>1994</v>
      </c>
      <c r="Q282" t="s">
        <v>2087</v>
      </c>
      <c r="R282" t="s">
        <v>2150</v>
      </c>
      <c r="S282" t="s">
        <v>257</v>
      </c>
      <c r="T282" s="1">
        <v>43669</v>
      </c>
      <c r="U282" s="1">
        <v>43920</v>
      </c>
      <c r="V282" t="s">
        <v>260</v>
      </c>
      <c r="W282">
        <v>36200000</v>
      </c>
      <c r="X282">
        <v>36200000</v>
      </c>
      <c r="Y282" t="s">
        <v>260</v>
      </c>
      <c r="Z282">
        <v>36200000</v>
      </c>
      <c r="AA282">
        <v>6969983</v>
      </c>
      <c r="AB282" t="b">
        <v>1</v>
      </c>
      <c r="AC282">
        <v>7.0000000000000007E-2</v>
      </c>
    </row>
    <row r="283" spans="1:29" x14ac:dyDescent="0.2">
      <c r="A283" t="b">
        <v>1</v>
      </c>
      <c r="B283" t="b">
        <v>0</v>
      </c>
      <c r="C283" t="b">
        <v>1</v>
      </c>
      <c r="D283" t="s">
        <v>522</v>
      </c>
      <c r="E283" t="b">
        <v>0</v>
      </c>
      <c r="F283" t="b">
        <v>0</v>
      </c>
      <c r="G283" t="s">
        <v>1846</v>
      </c>
      <c r="H283" t="s">
        <v>1842</v>
      </c>
      <c r="I283" t="s">
        <v>1843</v>
      </c>
      <c r="J283">
        <v>0</v>
      </c>
      <c r="K283" t="s">
        <v>1840</v>
      </c>
      <c r="L283" t="s">
        <v>1844</v>
      </c>
      <c r="M283" t="s">
        <v>1950</v>
      </c>
      <c r="N283" t="s">
        <v>1956</v>
      </c>
      <c r="Q283" t="s">
        <v>2080</v>
      </c>
      <c r="R283" t="s">
        <v>2151</v>
      </c>
      <c r="S283" t="s">
        <v>287</v>
      </c>
      <c r="T283" s="1">
        <v>42829</v>
      </c>
      <c r="U283" s="1">
        <v>43465</v>
      </c>
      <c r="V283" t="s">
        <v>270</v>
      </c>
      <c r="W283">
        <v>1549647</v>
      </c>
      <c r="X283">
        <v>1549647</v>
      </c>
      <c r="Y283" t="s">
        <v>270</v>
      </c>
      <c r="Z283">
        <v>1549647</v>
      </c>
      <c r="AA283">
        <v>1549647</v>
      </c>
      <c r="AB283" t="b">
        <v>0</v>
      </c>
      <c r="AC283">
        <v>1</v>
      </c>
    </row>
    <row r="284" spans="1:29" hidden="1" x14ac:dyDescent="0.2">
      <c r="A284" t="b">
        <v>1</v>
      </c>
      <c r="B284" t="b">
        <v>0</v>
      </c>
      <c r="C284" t="b">
        <v>1</v>
      </c>
      <c r="D284" t="s">
        <v>522</v>
      </c>
      <c r="E284" t="b">
        <v>0</v>
      </c>
      <c r="F284" t="b">
        <v>0</v>
      </c>
      <c r="G284" t="s">
        <v>1846</v>
      </c>
      <c r="H284" t="s">
        <v>1842</v>
      </c>
      <c r="I284" t="s">
        <v>1843</v>
      </c>
      <c r="J284">
        <v>0</v>
      </c>
      <c r="K284" t="s">
        <v>1840</v>
      </c>
      <c r="L284" t="s">
        <v>1844</v>
      </c>
      <c r="M284" t="s">
        <v>1985</v>
      </c>
      <c r="N284" t="s">
        <v>441</v>
      </c>
      <c r="Q284" t="s">
        <v>2080</v>
      </c>
      <c r="R284" t="s">
        <v>2151</v>
      </c>
      <c r="S284" t="s">
        <v>287</v>
      </c>
      <c r="T284" s="1">
        <v>42829</v>
      </c>
      <c r="U284" s="1">
        <v>42735</v>
      </c>
      <c r="V284" t="s">
        <v>270</v>
      </c>
      <c r="W284">
        <v>3955503</v>
      </c>
      <c r="X284">
        <v>3955503</v>
      </c>
      <c r="Y284" t="s">
        <v>270</v>
      </c>
      <c r="Z284">
        <v>3955503</v>
      </c>
      <c r="AA284">
        <v>3955503</v>
      </c>
      <c r="AB284" t="b">
        <v>0</v>
      </c>
      <c r="AC284">
        <v>1</v>
      </c>
    </row>
    <row r="285" spans="1:29" x14ac:dyDescent="0.2">
      <c r="A285" t="b">
        <v>1</v>
      </c>
      <c r="B285" t="b">
        <v>0</v>
      </c>
      <c r="C285" t="b">
        <v>1</v>
      </c>
      <c r="D285" t="s">
        <v>522</v>
      </c>
      <c r="E285" t="b">
        <v>0</v>
      </c>
      <c r="F285" t="b">
        <v>0</v>
      </c>
      <c r="G285" t="s">
        <v>1846</v>
      </c>
      <c r="H285" t="s">
        <v>1842</v>
      </c>
      <c r="I285" t="s">
        <v>1843</v>
      </c>
      <c r="J285">
        <v>0</v>
      </c>
      <c r="K285" t="s">
        <v>1840</v>
      </c>
      <c r="L285" t="s">
        <v>1844</v>
      </c>
      <c r="M285" t="s">
        <v>1950</v>
      </c>
      <c r="N285" t="s">
        <v>1962</v>
      </c>
      <c r="Q285" t="s">
        <v>2082</v>
      </c>
      <c r="R285" t="s">
        <v>2151</v>
      </c>
      <c r="S285" t="s">
        <v>287</v>
      </c>
      <c r="T285" s="1">
        <v>42829</v>
      </c>
      <c r="U285" s="1">
        <v>43465</v>
      </c>
      <c r="V285" t="s">
        <v>270</v>
      </c>
      <c r="W285">
        <v>1549647</v>
      </c>
      <c r="X285">
        <v>1549647</v>
      </c>
      <c r="Y285" t="s">
        <v>270</v>
      </c>
      <c r="Z285">
        <v>1549647</v>
      </c>
      <c r="AA285">
        <v>1549647</v>
      </c>
      <c r="AB285" t="b">
        <v>0</v>
      </c>
      <c r="AC285">
        <v>1</v>
      </c>
    </row>
    <row r="286" spans="1:29" hidden="1" x14ac:dyDescent="0.2">
      <c r="A286" t="b">
        <v>1</v>
      </c>
      <c r="B286" t="b">
        <v>0</v>
      </c>
      <c r="C286" t="b">
        <v>1</v>
      </c>
      <c r="D286" t="s">
        <v>522</v>
      </c>
      <c r="E286" t="b">
        <v>0</v>
      </c>
      <c r="F286" t="b">
        <v>0</v>
      </c>
      <c r="G286" t="s">
        <v>1398</v>
      </c>
      <c r="H286" t="s">
        <v>102</v>
      </c>
      <c r="I286" t="s">
        <v>1911</v>
      </c>
      <c r="J286">
        <v>0</v>
      </c>
      <c r="K286" t="s">
        <v>1909</v>
      </c>
      <c r="L286" t="s">
        <v>1912</v>
      </c>
      <c r="M286" t="s">
        <v>1985</v>
      </c>
      <c r="N286" t="s">
        <v>1986</v>
      </c>
      <c r="Q286" t="s">
        <v>2082</v>
      </c>
      <c r="R286" t="s">
        <v>2151</v>
      </c>
      <c r="S286" t="s">
        <v>287</v>
      </c>
      <c r="T286" s="1">
        <v>42829</v>
      </c>
      <c r="U286" s="1">
        <v>42735</v>
      </c>
      <c r="V286" t="s">
        <v>270</v>
      </c>
      <c r="W286">
        <v>3955503</v>
      </c>
      <c r="X286">
        <v>3955503</v>
      </c>
      <c r="Y286" t="s">
        <v>270</v>
      </c>
      <c r="Z286">
        <v>3955503</v>
      </c>
      <c r="AA286">
        <v>3955503</v>
      </c>
      <c r="AB286" t="b">
        <v>0</v>
      </c>
      <c r="AC286">
        <v>1</v>
      </c>
    </row>
    <row r="287" spans="1:29" x14ac:dyDescent="0.2">
      <c r="A287" t="b">
        <v>1</v>
      </c>
      <c r="B287" t="b">
        <v>0</v>
      </c>
      <c r="C287" t="b">
        <v>1</v>
      </c>
      <c r="D287" t="s">
        <v>522</v>
      </c>
      <c r="E287" t="b">
        <v>0</v>
      </c>
      <c r="F287" t="b">
        <v>0</v>
      </c>
      <c r="G287" t="s">
        <v>1398</v>
      </c>
      <c r="H287" t="s">
        <v>102</v>
      </c>
      <c r="I287" t="s">
        <v>1911</v>
      </c>
      <c r="J287">
        <v>0</v>
      </c>
      <c r="K287" t="s">
        <v>1909</v>
      </c>
      <c r="L287" t="s">
        <v>1912</v>
      </c>
      <c r="M287" t="s">
        <v>1950</v>
      </c>
      <c r="N287" t="s">
        <v>1955</v>
      </c>
      <c r="Q287" t="s">
        <v>2029</v>
      </c>
      <c r="R287" t="s">
        <v>2151</v>
      </c>
      <c r="S287" t="s">
        <v>287</v>
      </c>
      <c r="T287" s="1">
        <v>42829</v>
      </c>
      <c r="U287" s="1">
        <v>43465</v>
      </c>
      <c r="V287" t="s">
        <v>270</v>
      </c>
      <c r="W287">
        <v>1549647</v>
      </c>
      <c r="X287">
        <v>1549647</v>
      </c>
      <c r="Y287" t="s">
        <v>270</v>
      </c>
      <c r="Z287">
        <v>1549647</v>
      </c>
      <c r="AA287">
        <v>1549647</v>
      </c>
      <c r="AB287" t="b">
        <v>0</v>
      </c>
      <c r="AC287">
        <v>1</v>
      </c>
    </row>
    <row r="288" spans="1:29" x14ac:dyDescent="0.2">
      <c r="A288" t="b">
        <v>1</v>
      </c>
      <c r="B288" t="b">
        <v>0</v>
      </c>
      <c r="C288" t="b">
        <v>1</v>
      </c>
      <c r="D288" t="s">
        <v>522</v>
      </c>
      <c r="E288" t="b">
        <v>0</v>
      </c>
      <c r="F288" t="b">
        <v>0</v>
      </c>
      <c r="G288" t="s">
        <v>1191</v>
      </c>
      <c r="H288" t="s">
        <v>124</v>
      </c>
      <c r="I288" t="s">
        <v>1188</v>
      </c>
      <c r="J288">
        <v>0</v>
      </c>
      <c r="K288" t="s">
        <v>1186</v>
      </c>
      <c r="L288" t="s">
        <v>1189</v>
      </c>
      <c r="M288" t="s">
        <v>1950</v>
      </c>
      <c r="N288" t="s">
        <v>441</v>
      </c>
      <c r="Q288" t="s">
        <v>2029</v>
      </c>
      <c r="R288" t="s">
        <v>2151</v>
      </c>
      <c r="S288" t="s">
        <v>287</v>
      </c>
      <c r="T288" s="1">
        <v>42829</v>
      </c>
      <c r="U288" s="1">
        <v>42735</v>
      </c>
      <c r="V288" t="s">
        <v>270</v>
      </c>
      <c r="W288">
        <v>3955503</v>
      </c>
      <c r="X288">
        <v>3955503</v>
      </c>
      <c r="Y288" t="s">
        <v>270</v>
      </c>
      <c r="Z288">
        <v>3955503</v>
      </c>
      <c r="AA288">
        <v>3955503</v>
      </c>
      <c r="AB288" t="b">
        <v>0</v>
      </c>
      <c r="AC288">
        <v>1</v>
      </c>
    </row>
    <row r="289" spans="1:29" hidden="1" x14ac:dyDescent="0.2">
      <c r="A289" t="b">
        <v>1</v>
      </c>
      <c r="B289" t="b">
        <v>0</v>
      </c>
      <c r="C289" t="b">
        <v>1</v>
      </c>
      <c r="D289" t="s">
        <v>522</v>
      </c>
      <c r="E289" t="b">
        <v>0</v>
      </c>
      <c r="F289" t="b">
        <v>0</v>
      </c>
      <c r="G289" t="s">
        <v>1191</v>
      </c>
      <c r="H289" t="s">
        <v>123</v>
      </c>
      <c r="I289" t="s">
        <v>1799</v>
      </c>
      <c r="J289">
        <v>0</v>
      </c>
      <c r="K289" t="s">
        <v>1797</v>
      </c>
      <c r="L289" t="s">
        <v>1800</v>
      </c>
      <c r="M289" t="s">
        <v>1985</v>
      </c>
      <c r="N289" t="s">
        <v>2024</v>
      </c>
      <c r="Q289" t="s">
        <v>2029</v>
      </c>
      <c r="R289" t="s">
        <v>2151</v>
      </c>
      <c r="S289" t="s">
        <v>287</v>
      </c>
      <c r="T289" s="1">
        <v>42829</v>
      </c>
      <c r="U289" s="1">
        <v>43465</v>
      </c>
      <c r="V289" t="s">
        <v>270</v>
      </c>
      <c r="W289">
        <v>1549647</v>
      </c>
      <c r="X289">
        <v>1549647</v>
      </c>
      <c r="Y289" t="s">
        <v>270</v>
      </c>
      <c r="Z289">
        <v>1549647</v>
      </c>
      <c r="AA289">
        <v>1549647</v>
      </c>
      <c r="AB289" t="b">
        <v>0</v>
      </c>
      <c r="AC289">
        <v>1</v>
      </c>
    </row>
    <row r="290" spans="1:29" x14ac:dyDescent="0.2">
      <c r="A290" t="b">
        <v>1</v>
      </c>
      <c r="B290" t="b">
        <v>0</v>
      </c>
      <c r="C290" t="b">
        <v>1</v>
      </c>
      <c r="D290" t="s">
        <v>522</v>
      </c>
      <c r="E290" t="b">
        <v>0</v>
      </c>
      <c r="F290" t="b">
        <v>0</v>
      </c>
      <c r="G290" t="s">
        <v>1191</v>
      </c>
      <c r="H290" t="s">
        <v>123</v>
      </c>
      <c r="I290" t="s">
        <v>1799</v>
      </c>
      <c r="J290">
        <v>0</v>
      </c>
      <c r="K290" t="s">
        <v>1797</v>
      </c>
      <c r="L290" t="s">
        <v>1800</v>
      </c>
      <c r="M290" t="s">
        <v>1950</v>
      </c>
      <c r="N290" t="s">
        <v>1962</v>
      </c>
      <c r="Q290" t="s">
        <v>2029</v>
      </c>
      <c r="R290" t="s">
        <v>2151</v>
      </c>
      <c r="S290" t="s">
        <v>287</v>
      </c>
      <c r="T290" s="1">
        <v>42829</v>
      </c>
      <c r="U290" s="1">
        <v>42735</v>
      </c>
      <c r="V290" t="s">
        <v>270</v>
      </c>
      <c r="W290">
        <v>3955503</v>
      </c>
      <c r="X290">
        <v>3955503</v>
      </c>
      <c r="Y290" t="s">
        <v>270</v>
      </c>
      <c r="Z290">
        <v>3955503</v>
      </c>
      <c r="AA290">
        <v>3955503</v>
      </c>
      <c r="AB290" t="b">
        <v>0</v>
      </c>
      <c r="AC290">
        <v>1</v>
      </c>
    </row>
    <row r="291" spans="1:29" hidden="1" x14ac:dyDescent="0.2">
      <c r="A291" t="b">
        <v>1</v>
      </c>
      <c r="B291" t="b">
        <v>0</v>
      </c>
      <c r="C291" t="b">
        <v>1</v>
      </c>
      <c r="D291" t="s">
        <v>522</v>
      </c>
      <c r="E291" t="b">
        <v>0</v>
      </c>
      <c r="F291" t="b">
        <v>0</v>
      </c>
      <c r="G291" t="s">
        <v>1191</v>
      </c>
      <c r="H291" t="s">
        <v>124</v>
      </c>
      <c r="I291" t="s">
        <v>1188</v>
      </c>
      <c r="J291">
        <v>0</v>
      </c>
      <c r="K291" t="s">
        <v>1186</v>
      </c>
      <c r="L291" t="s">
        <v>1189</v>
      </c>
      <c r="M291" t="s">
        <v>1985</v>
      </c>
      <c r="N291" t="s">
        <v>2017</v>
      </c>
      <c r="Q291" t="s">
        <v>2146</v>
      </c>
      <c r="R291" t="s">
        <v>2152</v>
      </c>
      <c r="S291" t="s">
        <v>287</v>
      </c>
      <c r="T291" s="1">
        <v>43602</v>
      </c>
      <c r="U291" s="1">
        <v>43465</v>
      </c>
      <c r="V291" t="s">
        <v>270</v>
      </c>
      <c r="W291">
        <v>4052828</v>
      </c>
      <c r="X291">
        <v>4052828</v>
      </c>
      <c r="Y291" t="s">
        <v>290</v>
      </c>
      <c r="Z291">
        <v>146</v>
      </c>
      <c r="AA291">
        <v>4052828</v>
      </c>
      <c r="AB291" t="b">
        <v>0</v>
      </c>
      <c r="AC291">
        <v>1</v>
      </c>
    </row>
    <row r="292" spans="1:29" x14ac:dyDescent="0.2">
      <c r="A292" t="b">
        <v>1</v>
      </c>
      <c r="B292" t="b">
        <v>0</v>
      </c>
      <c r="C292" t="b">
        <v>1</v>
      </c>
      <c r="D292" t="s">
        <v>522</v>
      </c>
      <c r="E292" t="b">
        <v>0</v>
      </c>
      <c r="F292" t="b">
        <v>0</v>
      </c>
      <c r="G292" t="s">
        <v>1191</v>
      </c>
      <c r="H292" t="s">
        <v>124</v>
      </c>
      <c r="I292" t="s">
        <v>1188</v>
      </c>
      <c r="J292">
        <v>0</v>
      </c>
      <c r="K292" t="s">
        <v>1186</v>
      </c>
      <c r="L292" t="s">
        <v>1189</v>
      </c>
      <c r="M292" t="s">
        <v>1950</v>
      </c>
      <c r="N292" t="s">
        <v>1957</v>
      </c>
      <c r="Q292" t="s">
        <v>2146</v>
      </c>
      <c r="R292" t="s">
        <v>2152</v>
      </c>
      <c r="S292" t="s">
        <v>287</v>
      </c>
      <c r="T292" s="1">
        <v>43602</v>
      </c>
      <c r="U292" s="1">
        <v>43830</v>
      </c>
      <c r="V292" t="s">
        <v>270</v>
      </c>
      <c r="W292">
        <v>1362421</v>
      </c>
      <c r="X292">
        <v>1362421</v>
      </c>
      <c r="Y292" t="s">
        <v>290</v>
      </c>
      <c r="Z292">
        <v>49</v>
      </c>
      <c r="AA292">
        <v>1362421</v>
      </c>
      <c r="AB292" t="b">
        <v>0</v>
      </c>
      <c r="AC292">
        <v>1</v>
      </c>
    </row>
    <row r="293" spans="1:29" x14ac:dyDescent="0.2">
      <c r="A293" t="b">
        <v>1</v>
      </c>
      <c r="B293" t="b">
        <v>0</v>
      </c>
      <c r="C293" t="b">
        <v>1</v>
      </c>
      <c r="D293" t="s">
        <v>522</v>
      </c>
      <c r="E293" t="b">
        <v>0</v>
      </c>
      <c r="F293" t="b">
        <v>0</v>
      </c>
      <c r="G293" t="s">
        <v>1191</v>
      </c>
      <c r="H293" t="s">
        <v>123</v>
      </c>
      <c r="I293" t="s">
        <v>1799</v>
      </c>
      <c r="J293">
        <v>0</v>
      </c>
      <c r="K293" t="s">
        <v>1797</v>
      </c>
      <c r="L293" t="s">
        <v>1800</v>
      </c>
      <c r="M293" t="s">
        <v>1950</v>
      </c>
      <c r="N293" t="s">
        <v>1955</v>
      </c>
      <c r="Q293" t="s">
        <v>2127</v>
      </c>
      <c r="R293" t="s">
        <v>2152</v>
      </c>
      <c r="S293" t="s">
        <v>287</v>
      </c>
      <c r="T293" s="1">
        <v>43602</v>
      </c>
      <c r="U293" s="1">
        <v>43465</v>
      </c>
      <c r="V293" t="s">
        <v>270</v>
      </c>
      <c r="W293">
        <v>4052828</v>
      </c>
      <c r="X293">
        <v>4052828</v>
      </c>
      <c r="Y293" t="s">
        <v>290</v>
      </c>
      <c r="Z293">
        <v>146</v>
      </c>
      <c r="AA293">
        <v>4052828</v>
      </c>
      <c r="AB293" t="b">
        <v>0</v>
      </c>
      <c r="AC293">
        <v>1</v>
      </c>
    </row>
    <row r="294" spans="1:29" hidden="1" x14ac:dyDescent="0.2">
      <c r="A294" t="b">
        <v>1</v>
      </c>
      <c r="B294" t="b">
        <v>0</v>
      </c>
      <c r="C294" t="b">
        <v>1</v>
      </c>
      <c r="D294" t="s">
        <v>522</v>
      </c>
      <c r="E294" t="b">
        <v>0</v>
      </c>
      <c r="F294" t="b">
        <v>0</v>
      </c>
      <c r="G294" t="s">
        <v>1191</v>
      </c>
      <c r="H294" t="s">
        <v>124</v>
      </c>
      <c r="I294" t="s">
        <v>1188</v>
      </c>
      <c r="J294">
        <v>0</v>
      </c>
      <c r="K294" t="s">
        <v>1186</v>
      </c>
      <c r="L294" t="s">
        <v>1189</v>
      </c>
      <c r="M294" t="s">
        <v>1985</v>
      </c>
      <c r="N294" t="s">
        <v>2170</v>
      </c>
      <c r="Q294" t="s">
        <v>2127</v>
      </c>
      <c r="R294" t="s">
        <v>2152</v>
      </c>
      <c r="S294" t="s">
        <v>287</v>
      </c>
      <c r="T294" s="1">
        <v>43602</v>
      </c>
      <c r="U294" s="1">
        <v>43830</v>
      </c>
      <c r="V294" t="s">
        <v>270</v>
      </c>
      <c r="W294">
        <v>1362421</v>
      </c>
      <c r="X294">
        <v>1362421</v>
      </c>
      <c r="Y294" t="s">
        <v>290</v>
      </c>
      <c r="Z294">
        <v>49</v>
      </c>
      <c r="AA294">
        <v>1362421</v>
      </c>
      <c r="AB294" t="b">
        <v>0</v>
      </c>
      <c r="AC294">
        <v>1</v>
      </c>
    </row>
    <row r="295" spans="1:29" hidden="1" x14ac:dyDescent="0.2">
      <c r="A295" t="b">
        <v>1</v>
      </c>
      <c r="B295" t="b">
        <v>0</v>
      </c>
      <c r="C295" t="b">
        <v>1</v>
      </c>
      <c r="D295" t="s">
        <v>522</v>
      </c>
      <c r="E295" t="b">
        <v>0</v>
      </c>
      <c r="F295" t="b">
        <v>0</v>
      </c>
      <c r="G295" t="s">
        <v>1135</v>
      </c>
      <c r="H295" t="s">
        <v>152</v>
      </c>
      <c r="I295" t="s">
        <v>1131</v>
      </c>
      <c r="J295" t="s">
        <v>1132</v>
      </c>
      <c r="K295" t="s">
        <v>1129</v>
      </c>
      <c r="L295" t="s">
        <v>1133</v>
      </c>
      <c r="M295" t="s">
        <v>1985</v>
      </c>
      <c r="N295" t="s">
        <v>2017</v>
      </c>
      <c r="Q295" t="s">
        <v>2087</v>
      </c>
      <c r="R295" t="s">
        <v>2153</v>
      </c>
      <c r="S295" t="s">
        <v>257</v>
      </c>
      <c r="T295" s="1">
        <v>43669</v>
      </c>
      <c r="U295" s="1">
        <v>43920</v>
      </c>
      <c r="V295" t="s">
        <v>260</v>
      </c>
      <c r="W295">
        <v>62100000</v>
      </c>
      <c r="X295">
        <v>35000000</v>
      </c>
      <c r="Y295" t="s">
        <v>260</v>
      </c>
      <c r="Z295">
        <v>35000000</v>
      </c>
      <c r="AA295">
        <v>6738934</v>
      </c>
      <c r="AB295" t="b">
        <v>1</v>
      </c>
      <c r="AC295">
        <v>0.06</v>
      </c>
    </row>
    <row r="296" spans="1:29" x14ac:dyDescent="0.2">
      <c r="A296" t="b">
        <v>1</v>
      </c>
      <c r="B296" t="b">
        <v>0</v>
      </c>
      <c r="C296" t="b">
        <v>1</v>
      </c>
      <c r="D296" t="s">
        <v>522</v>
      </c>
      <c r="E296" t="b">
        <v>0</v>
      </c>
      <c r="F296" t="b">
        <v>0</v>
      </c>
      <c r="G296" t="s">
        <v>1135</v>
      </c>
      <c r="H296" t="s">
        <v>152</v>
      </c>
      <c r="I296" t="s">
        <v>1131</v>
      </c>
      <c r="J296" t="s">
        <v>1132</v>
      </c>
      <c r="K296" t="s">
        <v>1129</v>
      </c>
      <c r="L296" t="s">
        <v>1133</v>
      </c>
      <c r="M296" t="s">
        <v>1950</v>
      </c>
      <c r="N296" t="s">
        <v>1957</v>
      </c>
      <c r="Q296" t="s">
        <v>2087</v>
      </c>
      <c r="R296" t="s">
        <v>2153</v>
      </c>
      <c r="S296" t="s">
        <v>257</v>
      </c>
      <c r="T296" s="1">
        <v>43669</v>
      </c>
      <c r="U296" s="1">
        <v>43920</v>
      </c>
      <c r="V296" t="s">
        <v>260</v>
      </c>
      <c r="W296">
        <v>62100000</v>
      </c>
      <c r="X296">
        <v>35000000</v>
      </c>
      <c r="Y296" t="s">
        <v>260</v>
      </c>
      <c r="Z296">
        <v>35000000</v>
      </c>
      <c r="AA296">
        <v>6738934</v>
      </c>
      <c r="AB296" t="b">
        <v>1</v>
      </c>
      <c r="AC296">
        <v>0.06</v>
      </c>
    </row>
    <row r="297" spans="1:29" hidden="1" x14ac:dyDescent="0.2">
      <c r="A297" t="b">
        <v>1</v>
      </c>
      <c r="B297" t="b">
        <v>0</v>
      </c>
      <c r="C297" t="b">
        <v>1</v>
      </c>
      <c r="D297" t="s">
        <v>522</v>
      </c>
      <c r="E297" t="b">
        <v>0</v>
      </c>
      <c r="F297" t="b">
        <v>0</v>
      </c>
      <c r="G297" t="s">
        <v>1135</v>
      </c>
      <c r="H297" t="s">
        <v>152</v>
      </c>
      <c r="I297" t="s">
        <v>1131</v>
      </c>
      <c r="J297" t="s">
        <v>1132</v>
      </c>
      <c r="K297" t="s">
        <v>1129</v>
      </c>
      <c r="L297" t="s">
        <v>1133</v>
      </c>
      <c r="M297" t="s">
        <v>2063</v>
      </c>
      <c r="N297" t="s">
        <v>441</v>
      </c>
      <c r="Q297" t="s">
        <v>2087</v>
      </c>
      <c r="R297" t="s">
        <v>2154</v>
      </c>
      <c r="S297" t="s">
        <v>257</v>
      </c>
      <c r="T297" s="1">
        <v>43669</v>
      </c>
      <c r="U297" s="1">
        <v>43920</v>
      </c>
      <c r="V297" t="s">
        <v>260</v>
      </c>
      <c r="W297">
        <v>36200000</v>
      </c>
      <c r="X297">
        <v>23100000</v>
      </c>
      <c r="Y297" t="s">
        <v>260</v>
      </c>
      <c r="Z297">
        <v>23100000</v>
      </c>
      <c r="AA297">
        <v>4447696</v>
      </c>
      <c r="AB297" t="b">
        <v>1</v>
      </c>
      <c r="AC297">
        <v>0.06</v>
      </c>
    </row>
    <row r="298" spans="1:29" hidden="1" x14ac:dyDescent="0.2">
      <c r="A298" t="b">
        <v>1</v>
      </c>
      <c r="B298" t="b">
        <v>0</v>
      </c>
      <c r="C298" t="b">
        <v>1</v>
      </c>
      <c r="D298" t="s">
        <v>522</v>
      </c>
      <c r="E298" t="b">
        <v>0</v>
      </c>
      <c r="F298" t="b">
        <v>0</v>
      </c>
      <c r="G298" t="s">
        <v>1135</v>
      </c>
      <c r="H298" t="s">
        <v>152</v>
      </c>
      <c r="I298" t="s">
        <v>1131</v>
      </c>
      <c r="J298" t="s">
        <v>1132</v>
      </c>
      <c r="K298" t="s">
        <v>1129</v>
      </c>
      <c r="L298" t="s">
        <v>1133</v>
      </c>
      <c r="M298" t="s">
        <v>2064</v>
      </c>
      <c r="N298" t="s">
        <v>441</v>
      </c>
      <c r="Q298" t="s">
        <v>2087</v>
      </c>
      <c r="R298" t="s">
        <v>2154</v>
      </c>
      <c r="S298" t="s">
        <v>257</v>
      </c>
      <c r="T298" s="1">
        <v>43669</v>
      </c>
      <c r="U298" s="1">
        <v>43920</v>
      </c>
      <c r="V298" t="s">
        <v>260</v>
      </c>
      <c r="W298">
        <v>36200000</v>
      </c>
      <c r="X298">
        <v>23100000</v>
      </c>
      <c r="Y298" t="s">
        <v>260</v>
      </c>
      <c r="Z298">
        <v>23100000</v>
      </c>
      <c r="AA298">
        <v>4447696</v>
      </c>
      <c r="AB298" t="b">
        <v>1</v>
      </c>
      <c r="AC298">
        <v>0.06</v>
      </c>
    </row>
    <row r="299" spans="1:29" hidden="1" x14ac:dyDescent="0.2">
      <c r="A299" t="b">
        <v>1</v>
      </c>
      <c r="B299" t="b">
        <v>1</v>
      </c>
      <c r="C299" t="b">
        <v>1</v>
      </c>
      <c r="D299" t="b">
        <v>0</v>
      </c>
      <c r="E299" t="b">
        <v>0</v>
      </c>
      <c r="F299" t="b">
        <v>0</v>
      </c>
      <c r="G299" t="s">
        <v>1156</v>
      </c>
      <c r="H299" t="s">
        <v>202</v>
      </c>
      <c r="I299" t="s">
        <v>1153</v>
      </c>
      <c r="J299">
        <v>0</v>
      </c>
      <c r="K299" s="4" t="s">
        <v>1151</v>
      </c>
      <c r="L299" t="s">
        <v>1154</v>
      </c>
      <c r="M299" t="s">
        <v>1985</v>
      </c>
      <c r="N299" t="s">
        <v>1986</v>
      </c>
      <c r="Q299" t="s">
        <v>2087</v>
      </c>
      <c r="R299" t="s">
        <v>2155</v>
      </c>
      <c r="S299" t="s">
        <v>257</v>
      </c>
      <c r="T299" s="1">
        <v>43669</v>
      </c>
      <c r="U299" s="1">
        <v>43920</v>
      </c>
      <c r="V299" t="s">
        <v>260</v>
      </c>
      <c r="W299">
        <v>67300000</v>
      </c>
      <c r="X299">
        <v>55200000</v>
      </c>
      <c r="Y299" t="s">
        <v>260</v>
      </c>
      <c r="Z299">
        <v>55200000</v>
      </c>
      <c r="AA299">
        <v>10628261</v>
      </c>
      <c r="AB299" t="b">
        <v>1</v>
      </c>
      <c r="AC299">
        <v>0.06</v>
      </c>
    </row>
    <row r="300" spans="1:29" hidden="1" x14ac:dyDescent="0.2">
      <c r="A300" t="b">
        <v>1</v>
      </c>
      <c r="B300" t="b">
        <v>1</v>
      </c>
      <c r="C300" t="b">
        <v>1</v>
      </c>
      <c r="D300" t="b">
        <v>0</v>
      </c>
      <c r="E300" t="b">
        <v>0</v>
      </c>
      <c r="F300" t="b">
        <v>0</v>
      </c>
      <c r="G300" t="s">
        <v>1156</v>
      </c>
      <c r="H300" t="s">
        <v>202</v>
      </c>
      <c r="I300" t="s">
        <v>1153</v>
      </c>
      <c r="J300">
        <v>0</v>
      </c>
      <c r="K300" s="4" t="s">
        <v>1151</v>
      </c>
      <c r="L300" t="s">
        <v>1154</v>
      </c>
      <c r="M300" t="s">
        <v>1950</v>
      </c>
      <c r="N300" t="s">
        <v>1955</v>
      </c>
      <c r="Q300" t="s">
        <v>2087</v>
      </c>
      <c r="R300" t="s">
        <v>2155</v>
      </c>
      <c r="S300" t="s">
        <v>257</v>
      </c>
      <c r="T300" s="1">
        <v>43669</v>
      </c>
      <c r="U300" s="1">
        <v>43920</v>
      </c>
      <c r="V300" t="s">
        <v>260</v>
      </c>
      <c r="W300">
        <v>67300000</v>
      </c>
      <c r="X300">
        <v>55200000</v>
      </c>
      <c r="Y300" t="s">
        <v>260</v>
      </c>
      <c r="Z300">
        <v>55200000</v>
      </c>
      <c r="AA300">
        <v>10628261</v>
      </c>
      <c r="AB300" t="b">
        <v>1</v>
      </c>
      <c r="AC300">
        <v>0.06</v>
      </c>
    </row>
    <row r="301" spans="1:29" hidden="1" x14ac:dyDescent="0.2">
      <c r="A301" t="b">
        <v>1</v>
      </c>
      <c r="B301" t="b">
        <v>0</v>
      </c>
      <c r="C301" t="b">
        <v>1</v>
      </c>
      <c r="D301" t="s">
        <v>522</v>
      </c>
      <c r="E301" t="b">
        <v>0</v>
      </c>
      <c r="F301" t="b">
        <v>0</v>
      </c>
      <c r="G301" t="s">
        <v>1065</v>
      </c>
      <c r="H301" t="s">
        <v>174</v>
      </c>
      <c r="I301">
        <v>0</v>
      </c>
      <c r="J301">
        <v>0</v>
      </c>
      <c r="K301" t="s">
        <v>1062</v>
      </c>
      <c r="L301" t="s">
        <v>1064</v>
      </c>
      <c r="M301" t="s">
        <v>1985</v>
      </c>
      <c r="N301" t="s">
        <v>2074</v>
      </c>
      <c r="Q301" t="s">
        <v>2087</v>
      </c>
      <c r="R301" t="s">
        <v>2156</v>
      </c>
      <c r="S301" t="s">
        <v>257</v>
      </c>
      <c r="T301" s="1">
        <v>43669</v>
      </c>
      <c r="U301" s="1">
        <v>43920</v>
      </c>
      <c r="V301" t="s">
        <v>260</v>
      </c>
      <c r="W301">
        <v>113900000</v>
      </c>
      <c r="X301">
        <v>76600000</v>
      </c>
      <c r="Y301" t="s">
        <v>260</v>
      </c>
      <c r="Z301">
        <v>76600000</v>
      </c>
      <c r="AA301">
        <v>14748638</v>
      </c>
      <c r="AB301" t="b">
        <v>1</v>
      </c>
      <c r="AC301">
        <v>0.06</v>
      </c>
    </row>
    <row r="302" spans="1:29" x14ac:dyDescent="0.2">
      <c r="A302" t="b">
        <v>1</v>
      </c>
      <c r="B302" t="b">
        <v>0</v>
      </c>
      <c r="C302" t="b">
        <v>1</v>
      </c>
      <c r="D302" t="s">
        <v>522</v>
      </c>
      <c r="E302" t="b">
        <v>0</v>
      </c>
      <c r="F302" t="b">
        <v>0</v>
      </c>
      <c r="G302" t="s">
        <v>1065</v>
      </c>
      <c r="H302" t="s">
        <v>174</v>
      </c>
      <c r="I302">
        <v>0</v>
      </c>
      <c r="J302">
        <v>0</v>
      </c>
      <c r="K302" t="s">
        <v>1062</v>
      </c>
      <c r="L302" t="s">
        <v>1064</v>
      </c>
      <c r="M302" t="s">
        <v>1950</v>
      </c>
      <c r="N302" t="s">
        <v>1961</v>
      </c>
      <c r="Q302" t="s">
        <v>2087</v>
      </c>
      <c r="R302" t="s">
        <v>2156</v>
      </c>
      <c r="S302" t="s">
        <v>257</v>
      </c>
      <c r="T302" s="1">
        <v>43669</v>
      </c>
      <c r="U302" s="1">
        <v>43920</v>
      </c>
      <c r="V302" t="s">
        <v>260</v>
      </c>
      <c r="W302">
        <v>113900000</v>
      </c>
      <c r="X302">
        <v>76600000</v>
      </c>
      <c r="Y302" t="s">
        <v>260</v>
      </c>
      <c r="Z302">
        <v>76600000</v>
      </c>
      <c r="AA302">
        <v>14748638</v>
      </c>
      <c r="AB302" t="b">
        <v>1</v>
      </c>
      <c r="AC302">
        <v>0.06</v>
      </c>
    </row>
    <row r="303" spans="1:29" hidden="1" x14ac:dyDescent="0.2">
      <c r="A303" t="b">
        <v>1</v>
      </c>
      <c r="B303" t="b">
        <v>0</v>
      </c>
      <c r="C303" t="b">
        <v>1</v>
      </c>
      <c r="D303" t="s">
        <v>522</v>
      </c>
      <c r="E303" t="b">
        <v>0</v>
      </c>
      <c r="F303" t="b">
        <v>0</v>
      </c>
      <c r="G303" t="s">
        <v>1065</v>
      </c>
      <c r="H303" t="s">
        <v>174</v>
      </c>
      <c r="I303">
        <v>0</v>
      </c>
      <c r="J303">
        <v>0</v>
      </c>
      <c r="K303" t="s">
        <v>1062</v>
      </c>
      <c r="L303" t="s">
        <v>1064</v>
      </c>
      <c r="M303" t="s">
        <v>1985</v>
      </c>
      <c r="N303" t="s">
        <v>1994</v>
      </c>
      <c r="Q303" t="s">
        <v>2031</v>
      </c>
      <c r="R303" t="s">
        <v>2157</v>
      </c>
      <c r="S303" t="s">
        <v>279</v>
      </c>
      <c r="T303" s="1">
        <v>43775</v>
      </c>
      <c r="U303" s="1">
        <v>43983</v>
      </c>
      <c r="V303" t="s">
        <v>270</v>
      </c>
      <c r="W303">
        <v>24363000</v>
      </c>
      <c r="X303">
        <v>24363000</v>
      </c>
      <c r="Y303" t="s">
        <v>270</v>
      </c>
      <c r="Z303">
        <v>24363000</v>
      </c>
      <c r="AA303">
        <v>24363000</v>
      </c>
      <c r="AB303" t="b">
        <v>1</v>
      </c>
      <c r="AC303">
        <v>0.81</v>
      </c>
    </row>
    <row r="304" spans="1:29" x14ac:dyDescent="0.2">
      <c r="A304" t="b">
        <v>1</v>
      </c>
      <c r="B304" t="b">
        <v>0</v>
      </c>
      <c r="C304" t="b">
        <v>1</v>
      </c>
      <c r="D304" t="s">
        <v>522</v>
      </c>
      <c r="E304" t="b">
        <v>0</v>
      </c>
      <c r="F304" t="b">
        <v>0</v>
      </c>
      <c r="G304" t="s">
        <v>1065</v>
      </c>
      <c r="H304" t="s">
        <v>174</v>
      </c>
      <c r="I304">
        <v>0</v>
      </c>
      <c r="J304">
        <v>0</v>
      </c>
      <c r="K304" t="s">
        <v>1062</v>
      </c>
      <c r="L304" t="s">
        <v>1064</v>
      </c>
      <c r="M304" t="s">
        <v>1950</v>
      </c>
      <c r="N304" t="s">
        <v>1956</v>
      </c>
      <c r="Q304" t="s">
        <v>1989</v>
      </c>
      <c r="R304" t="s">
        <v>2157</v>
      </c>
      <c r="S304" t="s">
        <v>279</v>
      </c>
      <c r="T304" s="1">
        <v>43775</v>
      </c>
      <c r="U304" s="1">
        <v>43983</v>
      </c>
      <c r="V304" t="s">
        <v>270</v>
      </c>
      <c r="W304">
        <v>24363000</v>
      </c>
      <c r="X304">
        <v>24363000</v>
      </c>
      <c r="Y304" t="s">
        <v>270</v>
      </c>
      <c r="Z304">
        <v>24363000</v>
      </c>
      <c r="AA304">
        <v>24363000</v>
      </c>
      <c r="AB304" t="b">
        <v>1</v>
      </c>
      <c r="AC304">
        <v>0.81</v>
      </c>
    </row>
    <row r="305" spans="1:29" hidden="1" x14ac:dyDescent="0.2">
      <c r="A305" t="b">
        <v>1</v>
      </c>
      <c r="B305" t="b">
        <v>0</v>
      </c>
      <c r="C305" t="b">
        <v>1</v>
      </c>
      <c r="D305" t="s">
        <v>522</v>
      </c>
      <c r="E305" t="b">
        <v>0</v>
      </c>
      <c r="F305" t="b">
        <v>0</v>
      </c>
      <c r="G305" t="s">
        <v>1065</v>
      </c>
      <c r="H305" t="s">
        <v>174</v>
      </c>
      <c r="I305">
        <v>0</v>
      </c>
      <c r="J305">
        <v>0</v>
      </c>
      <c r="K305" t="s">
        <v>1062</v>
      </c>
      <c r="L305" t="s">
        <v>1064</v>
      </c>
      <c r="M305" t="s">
        <v>1985</v>
      </c>
      <c r="N305" t="s">
        <v>1986</v>
      </c>
      <c r="Q305" t="s">
        <v>1998</v>
      </c>
      <c r="R305" t="s">
        <v>2158</v>
      </c>
      <c r="S305" t="s">
        <v>351</v>
      </c>
      <c r="T305" s="1">
        <v>43776</v>
      </c>
      <c r="U305" s="1">
        <v>43983</v>
      </c>
      <c r="V305" t="s">
        <v>270</v>
      </c>
      <c r="W305">
        <v>25243410.280000001</v>
      </c>
      <c r="X305">
        <v>25243410</v>
      </c>
      <c r="Y305" t="s">
        <v>270</v>
      </c>
      <c r="Z305">
        <v>25243410</v>
      </c>
      <c r="AA305">
        <v>25243410</v>
      </c>
      <c r="AB305" t="b">
        <v>1</v>
      </c>
      <c r="AC305">
        <v>0.71</v>
      </c>
    </row>
    <row r="306" spans="1:29" x14ac:dyDescent="0.2">
      <c r="A306" t="b">
        <v>1</v>
      </c>
      <c r="B306" t="b">
        <v>0</v>
      </c>
      <c r="C306" t="b">
        <v>1</v>
      </c>
      <c r="D306" t="s">
        <v>522</v>
      </c>
      <c r="E306" t="b">
        <v>0</v>
      </c>
      <c r="F306" t="b">
        <v>0</v>
      </c>
      <c r="G306" t="s">
        <v>1065</v>
      </c>
      <c r="H306" t="s">
        <v>174</v>
      </c>
      <c r="I306">
        <v>0</v>
      </c>
      <c r="J306">
        <v>0</v>
      </c>
      <c r="K306" t="s">
        <v>1062</v>
      </c>
      <c r="L306" t="s">
        <v>1064</v>
      </c>
      <c r="M306" t="s">
        <v>1950</v>
      </c>
      <c r="N306" t="s">
        <v>1955</v>
      </c>
      <c r="Q306" t="s">
        <v>2067</v>
      </c>
      <c r="R306" t="s">
        <v>2158</v>
      </c>
      <c r="S306" t="s">
        <v>351</v>
      </c>
      <c r="T306" s="1">
        <v>43776</v>
      </c>
      <c r="U306" s="1">
        <v>43983</v>
      </c>
      <c r="V306" t="s">
        <v>270</v>
      </c>
      <c r="W306">
        <v>25243410.280000001</v>
      </c>
      <c r="X306">
        <v>25243410</v>
      </c>
      <c r="Y306" t="s">
        <v>270</v>
      </c>
      <c r="Z306">
        <v>25243410</v>
      </c>
      <c r="AA306">
        <v>25243410</v>
      </c>
      <c r="AB306" t="b">
        <v>1</v>
      </c>
      <c r="AC306">
        <v>0.71</v>
      </c>
    </row>
    <row r="307" spans="1:29" x14ac:dyDescent="0.2">
      <c r="A307" t="b">
        <v>1</v>
      </c>
      <c r="B307" t="b">
        <v>0</v>
      </c>
      <c r="C307" t="b">
        <v>1</v>
      </c>
      <c r="D307" t="s">
        <v>522</v>
      </c>
      <c r="E307" t="b">
        <v>0</v>
      </c>
      <c r="F307" t="b">
        <v>0</v>
      </c>
      <c r="G307" t="s">
        <v>1065</v>
      </c>
      <c r="H307" t="s">
        <v>174</v>
      </c>
      <c r="I307">
        <v>0</v>
      </c>
      <c r="J307">
        <v>0</v>
      </c>
      <c r="K307" t="s">
        <v>1062</v>
      </c>
      <c r="L307" t="s">
        <v>1064</v>
      </c>
      <c r="M307" t="s">
        <v>1950</v>
      </c>
      <c r="N307" t="s">
        <v>1960</v>
      </c>
      <c r="Q307" t="s">
        <v>2003</v>
      </c>
      <c r="R307" t="s">
        <v>2159</v>
      </c>
      <c r="S307" t="s">
        <v>351</v>
      </c>
      <c r="T307" s="1">
        <v>43777</v>
      </c>
      <c r="U307" s="1">
        <v>43983</v>
      </c>
      <c r="V307" t="s">
        <v>270</v>
      </c>
      <c r="W307">
        <v>64927192.920000002</v>
      </c>
      <c r="X307">
        <v>48392193</v>
      </c>
      <c r="Y307" t="s">
        <v>270</v>
      </c>
      <c r="Z307">
        <v>48392193</v>
      </c>
      <c r="AA307">
        <v>48392193</v>
      </c>
      <c r="AB307" t="b">
        <v>1</v>
      </c>
      <c r="AC307">
        <v>0.47</v>
      </c>
    </row>
    <row r="308" spans="1:29" hidden="1" x14ac:dyDescent="0.2">
      <c r="A308" t="b">
        <v>1</v>
      </c>
      <c r="B308" t="b">
        <v>0</v>
      </c>
      <c r="C308" t="b">
        <v>1</v>
      </c>
      <c r="D308" t="b">
        <v>0</v>
      </c>
      <c r="E308" t="b">
        <v>0</v>
      </c>
      <c r="F308" t="s">
        <v>361</v>
      </c>
      <c r="G308">
        <v>0</v>
      </c>
      <c r="H308">
        <v>0</v>
      </c>
      <c r="I308">
        <v>0</v>
      </c>
      <c r="J308" t="s">
        <v>1034</v>
      </c>
      <c r="K308" t="s">
        <v>433</v>
      </c>
      <c r="L308" t="s">
        <v>1035</v>
      </c>
      <c r="M308" t="s">
        <v>1985</v>
      </c>
      <c r="N308" t="s">
        <v>1986</v>
      </c>
      <c r="Q308" t="s">
        <v>2000</v>
      </c>
      <c r="R308" t="s">
        <v>2159</v>
      </c>
      <c r="S308" t="s">
        <v>351</v>
      </c>
      <c r="T308" s="1">
        <v>43777</v>
      </c>
      <c r="U308" s="1">
        <v>43983</v>
      </c>
      <c r="V308" t="s">
        <v>270</v>
      </c>
      <c r="W308">
        <v>64927192.920000002</v>
      </c>
      <c r="X308">
        <v>48392193</v>
      </c>
      <c r="Y308" t="s">
        <v>270</v>
      </c>
      <c r="Z308">
        <v>48392193</v>
      </c>
      <c r="AA308">
        <v>48392193</v>
      </c>
      <c r="AB308" t="b">
        <v>1</v>
      </c>
      <c r="AC308">
        <v>0.47</v>
      </c>
    </row>
    <row r="309" spans="1:29" hidden="1" x14ac:dyDescent="0.2">
      <c r="A309" t="b">
        <v>1</v>
      </c>
      <c r="B309" t="b">
        <v>0</v>
      </c>
      <c r="C309" t="b">
        <v>1</v>
      </c>
      <c r="D309" t="b">
        <v>0</v>
      </c>
      <c r="E309" t="b">
        <v>0</v>
      </c>
      <c r="F309" t="s">
        <v>361</v>
      </c>
      <c r="G309">
        <v>0</v>
      </c>
      <c r="H309">
        <v>0</v>
      </c>
      <c r="I309">
        <v>0</v>
      </c>
      <c r="J309" t="s">
        <v>1034</v>
      </c>
      <c r="K309" t="s">
        <v>433</v>
      </c>
      <c r="L309" t="s">
        <v>1035</v>
      </c>
      <c r="M309" t="s">
        <v>1950</v>
      </c>
      <c r="N309" t="s">
        <v>1955</v>
      </c>
      <c r="Q309" t="s">
        <v>1998</v>
      </c>
      <c r="R309" t="s">
        <v>2160</v>
      </c>
      <c r="S309" t="s">
        <v>2161</v>
      </c>
      <c r="T309" s="1">
        <v>43778</v>
      </c>
      <c r="U309" s="1">
        <v>44166</v>
      </c>
      <c r="V309" t="s">
        <v>270</v>
      </c>
      <c r="W309">
        <v>16982500</v>
      </c>
      <c r="X309">
        <v>2980662</v>
      </c>
      <c r="Y309" t="s">
        <v>270</v>
      </c>
      <c r="Z309">
        <v>2980662</v>
      </c>
      <c r="AA309">
        <v>2980662</v>
      </c>
      <c r="AB309" t="b">
        <v>0</v>
      </c>
      <c r="AC309">
        <v>1</v>
      </c>
    </row>
    <row r="310" spans="1:29" hidden="1" x14ac:dyDescent="0.2">
      <c r="A310" t="b">
        <v>1</v>
      </c>
      <c r="B310" t="b">
        <v>0</v>
      </c>
      <c r="C310" t="b">
        <v>1</v>
      </c>
      <c r="D310" t="b">
        <v>0</v>
      </c>
      <c r="E310" t="b">
        <v>0</v>
      </c>
      <c r="F310" t="s">
        <v>361</v>
      </c>
      <c r="G310">
        <v>0</v>
      </c>
      <c r="H310" t="s">
        <v>841</v>
      </c>
      <c r="I310" t="s">
        <v>842</v>
      </c>
      <c r="J310">
        <v>0</v>
      </c>
      <c r="K310" t="s">
        <v>839</v>
      </c>
      <c r="L310" t="s">
        <v>844</v>
      </c>
      <c r="M310" t="s">
        <v>1985</v>
      </c>
      <c r="N310" t="s">
        <v>1986</v>
      </c>
      <c r="Q310" t="s">
        <v>2067</v>
      </c>
      <c r="R310" t="s">
        <v>2160</v>
      </c>
      <c r="S310" t="s">
        <v>2161</v>
      </c>
      <c r="T310" s="1">
        <v>43778</v>
      </c>
      <c r="U310" s="1">
        <v>44166</v>
      </c>
      <c r="V310" t="s">
        <v>270</v>
      </c>
      <c r="W310">
        <v>16982500</v>
      </c>
      <c r="X310">
        <v>2980662</v>
      </c>
      <c r="Y310" t="s">
        <v>270</v>
      </c>
      <c r="Z310">
        <v>2980662</v>
      </c>
      <c r="AA310">
        <v>2980662</v>
      </c>
      <c r="AB310" t="b">
        <v>0</v>
      </c>
      <c r="AC310">
        <v>1</v>
      </c>
    </row>
    <row r="311" spans="1:29" hidden="1" x14ac:dyDescent="0.2">
      <c r="A311" t="b">
        <v>1</v>
      </c>
      <c r="B311" t="b">
        <v>0</v>
      </c>
      <c r="C311" t="b">
        <v>1</v>
      </c>
      <c r="D311" t="b">
        <v>0</v>
      </c>
      <c r="E311" t="b">
        <v>0</v>
      </c>
      <c r="F311" t="s">
        <v>361</v>
      </c>
      <c r="G311">
        <v>0</v>
      </c>
      <c r="H311" t="s">
        <v>841</v>
      </c>
      <c r="I311" t="s">
        <v>842</v>
      </c>
      <c r="J311">
        <v>0</v>
      </c>
      <c r="K311" t="s">
        <v>839</v>
      </c>
      <c r="L311" t="s">
        <v>844</v>
      </c>
      <c r="M311" t="s">
        <v>1950</v>
      </c>
      <c r="N311" t="s">
        <v>1955</v>
      </c>
      <c r="Q311" t="s">
        <v>1998</v>
      </c>
      <c r="R311" t="s">
        <v>2162</v>
      </c>
      <c r="S311" t="s">
        <v>2124</v>
      </c>
      <c r="T311" s="1">
        <v>43780</v>
      </c>
      <c r="U311" s="1">
        <v>44166</v>
      </c>
      <c r="V311" t="s">
        <v>270</v>
      </c>
      <c r="W311">
        <v>93397828.319999993</v>
      </c>
      <c r="X311">
        <v>88229458</v>
      </c>
      <c r="Y311" t="s">
        <v>270</v>
      </c>
      <c r="Z311">
        <v>88229458</v>
      </c>
      <c r="AA311">
        <v>88229458</v>
      </c>
      <c r="AB311" t="b">
        <v>1</v>
      </c>
      <c r="AC311">
        <v>0.8</v>
      </c>
    </row>
    <row r="312" spans="1:29" hidden="1" x14ac:dyDescent="0.2">
      <c r="A312" t="b">
        <v>1</v>
      </c>
      <c r="B312" t="b">
        <v>0</v>
      </c>
      <c r="C312" t="b">
        <v>1</v>
      </c>
      <c r="D312" t="b">
        <v>0</v>
      </c>
      <c r="E312" t="b">
        <v>0</v>
      </c>
      <c r="F312" t="s">
        <v>361</v>
      </c>
      <c r="G312">
        <v>0</v>
      </c>
      <c r="H312" t="s">
        <v>841</v>
      </c>
      <c r="I312" t="s">
        <v>842</v>
      </c>
      <c r="J312">
        <v>0</v>
      </c>
      <c r="K312" t="s">
        <v>839</v>
      </c>
      <c r="L312" t="s">
        <v>844</v>
      </c>
      <c r="M312" t="s">
        <v>2063</v>
      </c>
      <c r="N312" t="s">
        <v>441</v>
      </c>
      <c r="Q312" t="s">
        <v>2000</v>
      </c>
      <c r="R312" t="s">
        <v>2162</v>
      </c>
      <c r="S312" t="s">
        <v>2124</v>
      </c>
      <c r="T312" s="1">
        <v>43780</v>
      </c>
      <c r="U312" s="1">
        <v>44166</v>
      </c>
      <c r="V312" t="s">
        <v>270</v>
      </c>
      <c r="W312">
        <v>93397828.319999993</v>
      </c>
      <c r="X312">
        <v>88229458</v>
      </c>
      <c r="Y312" t="s">
        <v>270</v>
      </c>
      <c r="Z312">
        <v>88229458</v>
      </c>
      <c r="AA312">
        <v>88229458</v>
      </c>
      <c r="AB312" t="b">
        <v>1</v>
      </c>
      <c r="AC312">
        <v>0.8</v>
      </c>
    </row>
    <row r="313" spans="1:29" hidden="1" x14ac:dyDescent="0.2">
      <c r="A313" t="b">
        <v>1</v>
      </c>
      <c r="B313" t="b">
        <v>0</v>
      </c>
      <c r="C313" t="b">
        <v>1</v>
      </c>
      <c r="D313" t="b">
        <v>0</v>
      </c>
      <c r="E313" t="b">
        <v>0</v>
      </c>
      <c r="F313" t="s">
        <v>361</v>
      </c>
      <c r="G313">
        <v>0</v>
      </c>
      <c r="H313" t="s">
        <v>841</v>
      </c>
      <c r="I313" t="s">
        <v>842</v>
      </c>
      <c r="J313">
        <v>0</v>
      </c>
      <c r="K313" t="s">
        <v>839</v>
      </c>
      <c r="L313" t="s">
        <v>844</v>
      </c>
      <c r="M313" t="s">
        <v>2064</v>
      </c>
      <c r="N313" t="s">
        <v>441</v>
      </c>
      <c r="Q313" t="s">
        <v>1998</v>
      </c>
      <c r="R313" t="s">
        <v>2163</v>
      </c>
      <c r="S313" t="s">
        <v>2124</v>
      </c>
      <c r="T313" s="1">
        <v>43782</v>
      </c>
      <c r="U313" s="1">
        <v>44166</v>
      </c>
      <c r="V313" t="s">
        <v>270</v>
      </c>
      <c r="W313">
        <v>28282708.370000001</v>
      </c>
      <c r="X313">
        <v>6618913</v>
      </c>
      <c r="Y313" t="s">
        <v>270</v>
      </c>
      <c r="Z313">
        <v>6618913</v>
      </c>
      <c r="AA313">
        <v>6618913</v>
      </c>
      <c r="AB313" t="b">
        <v>1</v>
      </c>
      <c r="AC313">
        <v>0.18</v>
      </c>
    </row>
    <row r="314" spans="1:29" hidden="1" x14ac:dyDescent="0.2">
      <c r="A314" t="b">
        <v>1</v>
      </c>
      <c r="B314" t="b">
        <v>1</v>
      </c>
      <c r="C314" t="b">
        <v>1</v>
      </c>
      <c r="D314" t="b">
        <v>0</v>
      </c>
      <c r="E314" t="b">
        <v>0</v>
      </c>
      <c r="F314" t="b">
        <v>0</v>
      </c>
      <c r="G314" t="s">
        <v>1474</v>
      </c>
      <c r="H314" t="s">
        <v>172</v>
      </c>
      <c r="I314" t="s">
        <v>1470</v>
      </c>
      <c r="J314" t="s">
        <v>1471</v>
      </c>
      <c r="K314" t="s">
        <v>1468</v>
      </c>
      <c r="L314" t="s">
        <v>1472</v>
      </c>
      <c r="M314" t="s">
        <v>1985</v>
      </c>
      <c r="N314" t="s">
        <v>2170</v>
      </c>
      <c r="Q314" t="s">
        <v>2067</v>
      </c>
      <c r="R314" t="s">
        <v>2163</v>
      </c>
      <c r="S314" t="s">
        <v>2124</v>
      </c>
      <c r="T314" s="1">
        <v>43782</v>
      </c>
      <c r="U314" s="1">
        <v>44166</v>
      </c>
      <c r="V314" t="s">
        <v>270</v>
      </c>
      <c r="W314">
        <v>28282708.370000001</v>
      </c>
      <c r="X314">
        <v>6618913</v>
      </c>
      <c r="Y314" t="s">
        <v>270</v>
      </c>
      <c r="Z314">
        <v>6618913</v>
      </c>
      <c r="AA314">
        <v>6618913</v>
      </c>
      <c r="AB314" t="b">
        <v>1</v>
      </c>
      <c r="AC314">
        <v>0.18</v>
      </c>
    </row>
    <row r="315" spans="1:29" hidden="1" x14ac:dyDescent="0.2">
      <c r="A315" t="b">
        <v>1</v>
      </c>
      <c r="B315" t="b">
        <v>1</v>
      </c>
      <c r="C315" t="b">
        <v>1</v>
      </c>
      <c r="D315" t="b">
        <v>0</v>
      </c>
      <c r="E315" t="b">
        <v>0</v>
      </c>
      <c r="F315" t="b">
        <v>0</v>
      </c>
      <c r="G315" t="s">
        <v>1474</v>
      </c>
      <c r="H315" t="s">
        <v>172</v>
      </c>
      <c r="I315" t="s">
        <v>1470</v>
      </c>
      <c r="J315" t="s">
        <v>1471</v>
      </c>
      <c r="K315" t="s">
        <v>1468</v>
      </c>
      <c r="L315" t="s">
        <v>1472</v>
      </c>
      <c r="M315" t="s">
        <v>1950</v>
      </c>
      <c r="N315" t="s">
        <v>1959</v>
      </c>
      <c r="Q315" t="s">
        <v>1998</v>
      </c>
      <c r="R315" t="s">
        <v>2164</v>
      </c>
      <c r="S315" t="s">
        <v>2120</v>
      </c>
      <c r="T315" s="1">
        <v>43784</v>
      </c>
      <c r="U315" s="1">
        <v>43983</v>
      </c>
      <c r="V315" t="s">
        <v>270</v>
      </c>
      <c r="W315">
        <v>1581994.59</v>
      </c>
      <c r="X315">
        <v>1581994</v>
      </c>
      <c r="Y315" t="s">
        <v>270</v>
      </c>
      <c r="Z315">
        <v>1581994</v>
      </c>
      <c r="AA315">
        <v>1581994</v>
      </c>
      <c r="AB315" t="b">
        <v>1</v>
      </c>
      <c r="AC315">
        <v>0.03</v>
      </c>
    </row>
    <row r="316" spans="1:29" hidden="1" x14ac:dyDescent="0.2">
      <c r="A316" t="b">
        <v>1</v>
      </c>
      <c r="B316" t="b">
        <v>1</v>
      </c>
      <c r="C316" t="b">
        <v>1</v>
      </c>
      <c r="D316" t="b">
        <v>0</v>
      </c>
      <c r="E316" t="b">
        <v>0</v>
      </c>
      <c r="F316" t="b">
        <v>0</v>
      </c>
      <c r="G316" t="s">
        <v>1474</v>
      </c>
      <c r="H316" t="s">
        <v>172</v>
      </c>
      <c r="I316" t="s">
        <v>1470</v>
      </c>
      <c r="J316" t="s">
        <v>1471</v>
      </c>
      <c r="K316" t="s">
        <v>1468</v>
      </c>
      <c r="L316" t="s">
        <v>1472</v>
      </c>
      <c r="M316" t="s">
        <v>1985</v>
      </c>
      <c r="N316" t="s">
        <v>441</v>
      </c>
      <c r="Q316" t="s">
        <v>2067</v>
      </c>
      <c r="R316" t="s">
        <v>2164</v>
      </c>
      <c r="S316" t="s">
        <v>2120</v>
      </c>
      <c r="T316" s="1">
        <v>43784</v>
      </c>
      <c r="U316" s="1">
        <v>43983</v>
      </c>
      <c r="V316" t="s">
        <v>270</v>
      </c>
      <c r="W316">
        <v>1581994.59</v>
      </c>
      <c r="X316">
        <v>1581994</v>
      </c>
      <c r="Y316" t="s">
        <v>270</v>
      </c>
      <c r="Z316">
        <v>1581994</v>
      </c>
      <c r="AA316">
        <v>1581994</v>
      </c>
      <c r="AB316" t="b">
        <v>1</v>
      </c>
      <c r="AC316">
        <v>0.03</v>
      </c>
    </row>
    <row r="317" spans="1:29" hidden="1" x14ac:dyDescent="0.2">
      <c r="A317" t="b">
        <v>1</v>
      </c>
      <c r="B317" t="b">
        <v>1</v>
      </c>
      <c r="C317" t="b">
        <v>1</v>
      </c>
      <c r="D317" t="b">
        <v>0</v>
      </c>
      <c r="E317" t="b">
        <v>0</v>
      </c>
      <c r="F317" t="b">
        <v>0</v>
      </c>
      <c r="G317" t="s">
        <v>1474</v>
      </c>
      <c r="H317" t="s">
        <v>172</v>
      </c>
      <c r="I317" t="s">
        <v>1470</v>
      </c>
      <c r="J317" t="s">
        <v>1471</v>
      </c>
      <c r="K317" t="s">
        <v>1468</v>
      </c>
      <c r="L317" t="s">
        <v>1472</v>
      </c>
      <c r="M317" t="s">
        <v>1950</v>
      </c>
      <c r="N317" t="s">
        <v>1956</v>
      </c>
      <c r="Q317" t="s">
        <v>2165</v>
      </c>
      <c r="R317" t="s">
        <v>2166</v>
      </c>
      <c r="S317" t="s">
        <v>269</v>
      </c>
      <c r="T317" s="1">
        <v>44042</v>
      </c>
      <c r="U317" s="1">
        <v>43830</v>
      </c>
      <c r="V317" t="s">
        <v>270</v>
      </c>
      <c r="W317">
        <v>23078012</v>
      </c>
      <c r="X317">
        <v>23078012</v>
      </c>
      <c r="Y317" t="s">
        <v>270</v>
      </c>
      <c r="Z317">
        <v>23078012</v>
      </c>
      <c r="AA317">
        <v>23078012</v>
      </c>
      <c r="AB317" t="b">
        <v>1</v>
      </c>
      <c r="AC317">
        <v>1</v>
      </c>
    </row>
    <row r="318" spans="1:29" hidden="1" x14ac:dyDescent="0.2">
      <c r="A318" t="b">
        <v>1</v>
      </c>
      <c r="B318" t="b">
        <v>1</v>
      </c>
      <c r="C318" t="b">
        <v>1</v>
      </c>
      <c r="D318" t="b">
        <v>0</v>
      </c>
      <c r="E318" t="b">
        <v>0</v>
      </c>
      <c r="F318" t="b">
        <v>0</v>
      </c>
      <c r="G318" t="s">
        <v>1474</v>
      </c>
      <c r="H318" t="s">
        <v>172</v>
      </c>
      <c r="I318" t="s">
        <v>1470</v>
      </c>
      <c r="J318" t="s">
        <v>1471</v>
      </c>
      <c r="K318" t="s">
        <v>1468</v>
      </c>
      <c r="L318" t="s">
        <v>1472</v>
      </c>
      <c r="M318" t="s">
        <v>1985</v>
      </c>
      <c r="N318" t="s">
        <v>1986</v>
      </c>
      <c r="Q318" t="s">
        <v>2165</v>
      </c>
      <c r="R318" t="s">
        <v>2166</v>
      </c>
      <c r="S318" t="s">
        <v>269</v>
      </c>
      <c r="T318" s="1">
        <v>44042</v>
      </c>
      <c r="U318" s="1">
        <v>43830</v>
      </c>
      <c r="V318" t="s">
        <v>270</v>
      </c>
      <c r="W318">
        <v>23078012</v>
      </c>
      <c r="X318">
        <v>23078012</v>
      </c>
      <c r="Y318" t="s">
        <v>270</v>
      </c>
      <c r="Z318">
        <v>23078012</v>
      </c>
      <c r="AA318">
        <v>23078012</v>
      </c>
      <c r="AB318" t="b">
        <v>1</v>
      </c>
      <c r="AC318">
        <v>1</v>
      </c>
    </row>
    <row r="319" spans="1:29" hidden="1" x14ac:dyDescent="0.2">
      <c r="A319" t="b">
        <v>1</v>
      </c>
      <c r="B319" t="b">
        <v>1</v>
      </c>
      <c r="C319" t="b">
        <v>1</v>
      </c>
      <c r="D319" t="b">
        <v>0</v>
      </c>
      <c r="E319" t="b">
        <v>0</v>
      </c>
      <c r="F319" t="b">
        <v>0</v>
      </c>
      <c r="G319" t="s">
        <v>1474</v>
      </c>
      <c r="H319" t="s">
        <v>172</v>
      </c>
      <c r="I319" t="s">
        <v>1470</v>
      </c>
      <c r="J319" t="s">
        <v>1471</v>
      </c>
      <c r="K319" t="s">
        <v>1468</v>
      </c>
      <c r="L319" t="s">
        <v>1472</v>
      </c>
      <c r="M319" t="s">
        <v>1950</v>
      </c>
      <c r="N319" t="s">
        <v>1955</v>
      </c>
      <c r="Q319" t="s">
        <v>2087</v>
      </c>
      <c r="R319" t="s">
        <v>2167</v>
      </c>
      <c r="S319" t="s">
        <v>257</v>
      </c>
      <c r="T319" s="1">
        <v>43669</v>
      </c>
      <c r="U319" s="1">
        <v>43920</v>
      </c>
      <c r="V319" t="s">
        <v>260</v>
      </c>
      <c r="W319">
        <v>106700000</v>
      </c>
      <c r="X319">
        <v>106600000</v>
      </c>
      <c r="Y319" t="s">
        <v>260</v>
      </c>
      <c r="Z319">
        <v>106600000</v>
      </c>
      <c r="AA319">
        <v>20524867</v>
      </c>
      <c r="AB319" t="b">
        <v>1</v>
      </c>
      <c r="AC319">
        <v>0.19</v>
      </c>
    </row>
    <row r="320" spans="1:29" hidden="1" x14ac:dyDescent="0.2">
      <c r="A320" t="b">
        <v>1</v>
      </c>
      <c r="B320" t="b">
        <v>0</v>
      </c>
      <c r="C320" t="b">
        <v>1</v>
      </c>
      <c r="D320" t="s">
        <v>522</v>
      </c>
      <c r="E320" t="b">
        <v>0</v>
      </c>
      <c r="F320" t="b">
        <v>0</v>
      </c>
      <c r="G320" t="s">
        <v>933</v>
      </c>
      <c r="H320">
        <v>0</v>
      </c>
      <c r="I320">
        <v>0</v>
      </c>
      <c r="J320" t="s">
        <v>930</v>
      </c>
      <c r="K320" t="s">
        <v>928</v>
      </c>
      <c r="L320" t="s">
        <v>931</v>
      </c>
      <c r="M320" t="s">
        <v>1985</v>
      </c>
      <c r="N320" t="s">
        <v>2024</v>
      </c>
      <c r="Q320" t="s">
        <v>2087</v>
      </c>
      <c r="R320" t="s">
        <v>2167</v>
      </c>
      <c r="S320" t="s">
        <v>257</v>
      </c>
      <c r="T320" s="1">
        <v>43669</v>
      </c>
      <c r="U320" s="1">
        <v>43920</v>
      </c>
      <c r="V320" t="s">
        <v>260</v>
      </c>
      <c r="W320">
        <v>106700000</v>
      </c>
      <c r="X320">
        <v>106600000</v>
      </c>
      <c r="Y320" t="s">
        <v>260</v>
      </c>
      <c r="Z320">
        <v>106600000</v>
      </c>
      <c r="AA320">
        <v>20524867</v>
      </c>
      <c r="AB320" t="b">
        <v>1</v>
      </c>
      <c r="AC320">
        <v>0.19</v>
      </c>
    </row>
    <row r="321" spans="1:29" x14ac:dyDescent="0.2">
      <c r="A321" t="b">
        <v>1</v>
      </c>
      <c r="B321" t="b">
        <v>0</v>
      </c>
      <c r="C321" t="b">
        <v>1</v>
      </c>
      <c r="D321" t="s">
        <v>522</v>
      </c>
      <c r="E321" t="b">
        <v>0</v>
      </c>
      <c r="F321" t="b">
        <v>0</v>
      </c>
      <c r="G321" t="s">
        <v>933</v>
      </c>
      <c r="H321">
        <v>0</v>
      </c>
      <c r="I321">
        <v>0</v>
      </c>
      <c r="J321" t="s">
        <v>930</v>
      </c>
      <c r="K321" t="s">
        <v>928</v>
      </c>
      <c r="L321" t="s">
        <v>931</v>
      </c>
      <c r="M321" t="s">
        <v>1950</v>
      </c>
      <c r="N321" t="s">
        <v>1958</v>
      </c>
      <c r="Q321" t="s">
        <v>2029</v>
      </c>
      <c r="R321" t="s">
        <v>2152</v>
      </c>
      <c r="S321" t="s">
        <v>287</v>
      </c>
      <c r="T321" s="1">
        <v>43602</v>
      </c>
      <c r="U321" s="1">
        <v>43465</v>
      </c>
      <c r="V321" t="s">
        <v>270</v>
      </c>
      <c r="W321">
        <v>4052828</v>
      </c>
      <c r="X321">
        <v>4052828</v>
      </c>
      <c r="Y321" t="s">
        <v>290</v>
      </c>
      <c r="Z321">
        <v>146</v>
      </c>
      <c r="AA321">
        <v>4052828</v>
      </c>
      <c r="AB321" t="b">
        <v>0</v>
      </c>
      <c r="AC321">
        <v>1</v>
      </c>
    </row>
    <row r="322" spans="1:29" hidden="1" x14ac:dyDescent="0.2">
      <c r="A322" t="b">
        <v>1</v>
      </c>
      <c r="B322" t="b">
        <v>0</v>
      </c>
      <c r="C322" t="b">
        <v>1</v>
      </c>
      <c r="D322" t="s">
        <v>248</v>
      </c>
      <c r="E322" t="b">
        <v>0</v>
      </c>
      <c r="F322" t="b">
        <v>0</v>
      </c>
      <c r="G322" t="s">
        <v>1721</v>
      </c>
      <c r="H322">
        <v>0</v>
      </c>
      <c r="I322">
        <v>0</v>
      </c>
      <c r="J322" t="s">
        <v>1718</v>
      </c>
      <c r="K322" t="s">
        <v>1716</v>
      </c>
      <c r="L322" t="s">
        <v>1719</v>
      </c>
      <c r="M322" t="s">
        <v>1985</v>
      </c>
      <c r="N322" t="s">
        <v>1986</v>
      </c>
      <c r="Q322" t="s">
        <v>2029</v>
      </c>
      <c r="R322" t="s">
        <v>2152</v>
      </c>
      <c r="S322" t="s">
        <v>287</v>
      </c>
      <c r="T322" s="1">
        <v>43602</v>
      </c>
      <c r="U322" s="1">
        <v>43830</v>
      </c>
      <c r="V322" t="s">
        <v>270</v>
      </c>
      <c r="W322">
        <v>1362421</v>
      </c>
      <c r="X322">
        <v>1362421</v>
      </c>
      <c r="Y322" t="s">
        <v>290</v>
      </c>
      <c r="Z322">
        <v>49</v>
      </c>
      <c r="AA322">
        <v>1362421</v>
      </c>
      <c r="AB322" t="b">
        <v>0</v>
      </c>
      <c r="AC322">
        <v>1</v>
      </c>
    </row>
    <row r="323" spans="1:29" hidden="1" x14ac:dyDescent="0.2">
      <c r="A323" t="b">
        <v>1</v>
      </c>
      <c r="B323" t="b">
        <v>0</v>
      </c>
      <c r="C323" t="b">
        <v>1</v>
      </c>
      <c r="D323" t="s">
        <v>248</v>
      </c>
      <c r="E323" t="b">
        <v>0</v>
      </c>
      <c r="F323" t="b">
        <v>0</v>
      </c>
      <c r="G323" t="s">
        <v>1721</v>
      </c>
      <c r="H323">
        <v>0</v>
      </c>
      <c r="I323">
        <v>0</v>
      </c>
      <c r="J323" t="s">
        <v>1718</v>
      </c>
      <c r="K323" t="s">
        <v>1716</v>
      </c>
      <c r="L323" t="s">
        <v>1719</v>
      </c>
      <c r="M323" t="s">
        <v>1950</v>
      </c>
      <c r="N323" t="s">
        <v>1955</v>
      </c>
      <c r="Q323" t="s">
        <v>2029</v>
      </c>
      <c r="R323" t="s">
        <v>2152</v>
      </c>
      <c r="S323" t="s">
        <v>287</v>
      </c>
      <c r="T323" s="1">
        <v>43602</v>
      </c>
      <c r="U323" s="1">
        <v>43465</v>
      </c>
      <c r="V323" t="s">
        <v>270</v>
      </c>
      <c r="W323">
        <v>4052828</v>
      </c>
      <c r="X323">
        <v>4052828</v>
      </c>
      <c r="Y323" t="s">
        <v>290</v>
      </c>
      <c r="Z323">
        <v>146</v>
      </c>
      <c r="AA323">
        <v>4052828</v>
      </c>
      <c r="AB323" t="b">
        <v>0</v>
      </c>
      <c r="AC323">
        <v>1</v>
      </c>
    </row>
    <row r="324" spans="1:29" hidden="1" x14ac:dyDescent="0.2">
      <c r="A324" t="b">
        <v>1</v>
      </c>
      <c r="B324" t="b">
        <v>0</v>
      </c>
      <c r="C324" t="b">
        <v>1</v>
      </c>
      <c r="D324" t="s">
        <v>522</v>
      </c>
      <c r="E324" t="b">
        <v>0</v>
      </c>
      <c r="F324" t="b">
        <v>0</v>
      </c>
      <c r="G324" t="s">
        <v>933</v>
      </c>
      <c r="H324">
        <v>0</v>
      </c>
      <c r="I324">
        <v>0</v>
      </c>
      <c r="J324" t="s">
        <v>930</v>
      </c>
      <c r="K324" t="s">
        <v>928</v>
      </c>
      <c r="L324" t="s">
        <v>931</v>
      </c>
      <c r="M324" t="s">
        <v>2063</v>
      </c>
      <c r="N324" t="s">
        <v>441</v>
      </c>
      <c r="Q324" t="s">
        <v>2029</v>
      </c>
      <c r="R324" t="s">
        <v>2152</v>
      </c>
      <c r="S324" t="s">
        <v>287</v>
      </c>
      <c r="T324" s="1">
        <v>43602</v>
      </c>
      <c r="U324" s="1">
        <v>43830</v>
      </c>
      <c r="V324" t="s">
        <v>270</v>
      </c>
      <c r="W324">
        <v>1362421</v>
      </c>
      <c r="X324">
        <v>1362421</v>
      </c>
      <c r="Y324" t="s">
        <v>290</v>
      </c>
      <c r="Z324">
        <v>49</v>
      </c>
      <c r="AA324">
        <v>1362421</v>
      </c>
      <c r="AB324" t="b">
        <v>0</v>
      </c>
      <c r="AC324">
        <v>1</v>
      </c>
    </row>
    <row r="325" spans="1:29" hidden="1" x14ac:dyDescent="0.2">
      <c r="A325" t="b">
        <v>1</v>
      </c>
      <c r="B325" t="b">
        <v>0</v>
      </c>
      <c r="C325" t="b">
        <v>1</v>
      </c>
      <c r="D325" t="s">
        <v>522</v>
      </c>
      <c r="E325" t="b">
        <v>0</v>
      </c>
      <c r="F325" t="b">
        <v>0</v>
      </c>
      <c r="G325" t="s">
        <v>933</v>
      </c>
      <c r="H325">
        <v>0</v>
      </c>
      <c r="I325">
        <v>0</v>
      </c>
      <c r="J325" t="s">
        <v>930</v>
      </c>
      <c r="K325" t="s">
        <v>928</v>
      </c>
      <c r="L325" t="s">
        <v>931</v>
      </c>
      <c r="M325" t="s">
        <v>2064</v>
      </c>
      <c r="N325" t="s">
        <v>441</v>
      </c>
      <c r="Q325" t="s">
        <v>2080</v>
      </c>
      <c r="R325" t="s">
        <v>2168</v>
      </c>
      <c r="S325" t="s">
        <v>287</v>
      </c>
      <c r="T325" s="1">
        <v>42829</v>
      </c>
      <c r="U325" s="1">
        <v>43465</v>
      </c>
      <c r="V325" t="s">
        <v>270</v>
      </c>
      <c r="W325">
        <v>71602906</v>
      </c>
      <c r="X325">
        <v>71602906</v>
      </c>
      <c r="Y325" t="s">
        <v>270</v>
      </c>
      <c r="Z325">
        <v>71602906</v>
      </c>
      <c r="AA325">
        <v>71602906</v>
      </c>
      <c r="AB325" t="b">
        <v>0</v>
      </c>
      <c r="AC325">
        <v>1</v>
      </c>
    </row>
    <row r="326" spans="1:29" x14ac:dyDescent="0.2">
      <c r="Q326" t="s">
        <v>2080</v>
      </c>
      <c r="R326" t="s">
        <v>2168</v>
      </c>
      <c r="S326" t="s">
        <v>287</v>
      </c>
      <c r="T326" s="1">
        <v>42829</v>
      </c>
      <c r="U326" s="1">
        <v>42735</v>
      </c>
      <c r="V326" t="s">
        <v>270</v>
      </c>
      <c r="W326">
        <v>185459222</v>
      </c>
      <c r="X326">
        <v>185459222</v>
      </c>
      <c r="Y326" t="s">
        <v>270</v>
      </c>
      <c r="Z326">
        <v>185459222</v>
      </c>
      <c r="AA326">
        <v>185459222</v>
      </c>
      <c r="AB326" t="b">
        <v>0</v>
      </c>
      <c r="AC326">
        <v>1</v>
      </c>
    </row>
    <row r="327" spans="1:29" x14ac:dyDescent="0.2">
      <c r="Q327" t="s">
        <v>2169</v>
      </c>
      <c r="R327" t="s">
        <v>2168</v>
      </c>
      <c r="S327" t="s">
        <v>287</v>
      </c>
      <c r="T327" s="1">
        <v>42829</v>
      </c>
      <c r="U327" s="1">
        <v>43465</v>
      </c>
      <c r="V327" t="s">
        <v>270</v>
      </c>
      <c r="W327">
        <v>71602906</v>
      </c>
      <c r="X327">
        <v>71602906</v>
      </c>
      <c r="Y327" t="s">
        <v>270</v>
      </c>
      <c r="Z327">
        <v>71602906</v>
      </c>
      <c r="AA327">
        <v>71602906</v>
      </c>
      <c r="AB327" t="b">
        <v>0</v>
      </c>
      <c r="AC327">
        <v>1</v>
      </c>
    </row>
    <row r="328" spans="1:29" x14ac:dyDescent="0.2">
      <c r="Q328" t="s">
        <v>2169</v>
      </c>
      <c r="R328" t="s">
        <v>2168</v>
      </c>
      <c r="S328" t="s">
        <v>287</v>
      </c>
      <c r="T328" s="1">
        <v>42829</v>
      </c>
      <c r="U328" s="1">
        <v>42735</v>
      </c>
      <c r="V328" t="s">
        <v>270</v>
      </c>
      <c r="W328">
        <v>185459222</v>
      </c>
      <c r="X328">
        <v>185459222</v>
      </c>
      <c r="Y328" t="s">
        <v>270</v>
      </c>
      <c r="Z328">
        <v>185459222</v>
      </c>
      <c r="AA328">
        <v>185459222</v>
      </c>
      <c r="AB328" t="b">
        <v>0</v>
      </c>
      <c r="AC328">
        <v>1</v>
      </c>
    </row>
    <row r="329" spans="1:29" x14ac:dyDescent="0.2">
      <c r="Q329" t="s">
        <v>2029</v>
      </c>
      <c r="R329" t="s">
        <v>2168</v>
      </c>
      <c r="S329" t="s">
        <v>287</v>
      </c>
      <c r="T329" s="1">
        <v>42829</v>
      </c>
      <c r="U329" s="1">
        <v>43465</v>
      </c>
      <c r="V329" t="s">
        <v>270</v>
      </c>
      <c r="W329">
        <v>71602906</v>
      </c>
      <c r="X329">
        <v>71602906</v>
      </c>
      <c r="Y329" t="s">
        <v>270</v>
      </c>
      <c r="Z329">
        <v>71602906</v>
      </c>
      <c r="AA329">
        <v>71602906</v>
      </c>
      <c r="AB329" t="b">
        <v>0</v>
      </c>
      <c r="AC329">
        <v>1</v>
      </c>
    </row>
    <row r="330" spans="1:29" x14ac:dyDescent="0.2">
      <c r="Q330" t="s">
        <v>2029</v>
      </c>
      <c r="R330" t="s">
        <v>2168</v>
      </c>
      <c r="S330" t="s">
        <v>287</v>
      </c>
      <c r="T330" s="1">
        <v>42829</v>
      </c>
      <c r="U330" s="1">
        <v>42735</v>
      </c>
      <c r="V330" t="s">
        <v>270</v>
      </c>
      <c r="W330">
        <v>185459222</v>
      </c>
      <c r="X330">
        <v>185459222</v>
      </c>
      <c r="Y330" t="s">
        <v>270</v>
      </c>
      <c r="Z330">
        <v>185459222</v>
      </c>
      <c r="AA330">
        <v>185459222</v>
      </c>
      <c r="AB330" t="b">
        <v>0</v>
      </c>
      <c r="AC330">
        <v>1</v>
      </c>
    </row>
    <row r="331" spans="1:29" x14ac:dyDescent="0.2">
      <c r="Q331" t="s">
        <v>2029</v>
      </c>
      <c r="R331" t="s">
        <v>2168</v>
      </c>
      <c r="S331" t="s">
        <v>287</v>
      </c>
      <c r="T331" s="1">
        <v>42829</v>
      </c>
      <c r="U331" s="1">
        <v>43465</v>
      </c>
      <c r="V331" t="s">
        <v>270</v>
      </c>
      <c r="W331">
        <v>71602906</v>
      </c>
      <c r="X331">
        <v>71602906</v>
      </c>
      <c r="Y331" t="s">
        <v>270</v>
      </c>
      <c r="Z331">
        <v>71602906</v>
      </c>
      <c r="AA331">
        <v>71602906</v>
      </c>
      <c r="AB331" t="b">
        <v>0</v>
      </c>
      <c r="AC331">
        <v>1</v>
      </c>
    </row>
    <row r="332" spans="1:29" x14ac:dyDescent="0.2">
      <c r="Q332" t="s">
        <v>2029</v>
      </c>
      <c r="R332" t="s">
        <v>2168</v>
      </c>
      <c r="S332" t="s">
        <v>287</v>
      </c>
      <c r="T332" s="1">
        <v>42829</v>
      </c>
      <c r="U332" s="1">
        <v>42735</v>
      </c>
      <c r="V332" t="s">
        <v>270</v>
      </c>
      <c r="W332">
        <v>185459222</v>
      </c>
      <c r="X332">
        <v>185459222</v>
      </c>
      <c r="Y332" t="s">
        <v>270</v>
      </c>
      <c r="Z332">
        <v>185459222</v>
      </c>
      <c r="AA332">
        <v>185459222</v>
      </c>
      <c r="AB332" t="b">
        <v>0</v>
      </c>
      <c r="AC332">
        <v>1</v>
      </c>
    </row>
    <row r="333" spans="1:29" x14ac:dyDescent="0.2">
      <c r="Q333" t="s">
        <v>2171</v>
      </c>
      <c r="R333" t="s">
        <v>2172</v>
      </c>
      <c r="S333" t="s">
        <v>287</v>
      </c>
      <c r="T333" s="1">
        <v>43602</v>
      </c>
      <c r="U333" s="1">
        <v>43465</v>
      </c>
      <c r="V333" t="s">
        <v>270</v>
      </c>
      <c r="W333">
        <v>167523</v>
      </c>
      <c r="X333">
        <v>167523</v>
      </c>
      <c r="Y333" t="s">
        <v>290</v>
      </c>
      <c r="Z333">
        <v>6</v>
      </c>
      <c r="AA333">
        <v>167523</v>
      </c>
      <c r="AB333" t="b">
        <v>0</v>
      </c>
      <c r="AC333">
        <v>1</v>
      </c>
    </row>
    <row r="334" spans="1:29" x14ac:dyDescent="0.2">
      <c r="Q334" t="s">
        <v>2171</v>
      </c>
      <c r="R334" t="s">
        <v>2172</v>
      </c>
      <c r="S334" t="s">
        <v>287</v>
      </c>
      <c r="T334" s="1">
        <v>43602</v>
      </c>
      <c r="U334" s="1">
        <v>43830</v>
      </c>
      <c r="V334" t="s">
        <v>270</v>
      </c>
      <c r="W334">
        <v>1030267</v>
      </c>
      <c r="X334">
        <v>1030267</v>
      </c>
      <c r="Y334" t="s">
        <v>290</v>
      </c>
      <c r="Z334">
        <v>37</v>
      </c>
      <c r="AA334">
        <v>1030267</v>
      </c>
      <c r="AB334" t="b">
        <v>0</v>
      </c>
      <c r="AC334">
        <v>1</v>
      </c>
    </row>
    <row r="335" spans="1:29" x14ac:dyDescent="0.2">
      <c r="Q335" t="s">
        <v>2171</v>
      </c>
      <c r="R335" t="s">
        <v>2172</v>
      </c>
      <c r="S335" t="s">
        <v>287</v>
      </c>
      <c r="T335" s="1">
        <v>43602</v>
      </c>
      <c r="U335" s="1">
        <v>44196</v>
      </c>
      <c r="V335" t="s">
        <v>270</v>
      </c>
      <c r="W335">
        <v>108255</v>
      </c>
      <c r="X335">
        <v>108255</v>
      </c>
      <c r="Y335" t="s">
        <v>290</v>
      </c>
      <c r="Z335">
        <v>4</v>
      </c>
      <c r="AA335">
        <v>108255</v>
      </c>
      <c r="AB335" t="b">
        <v>0</v>
      </c>
      <c r="AC335">
        <v>1</v>
      </c>
    </row>
    <row r="336" spans="1:29" x14ac:dyDescent="0.2">
      <c r="Q336" t="s">
        <v>2173</v>
      </c>
      <c r="R336" t="s">
        <v>2172</v>
      </c>
      <c r="S336" t="s">
        <v>287</v>
      </c>
      <c r="T336" s="1">
        <v>43602</v>
      </c>
      <c r="U336" s="1">
        <v>43465</v>
      </c>
      <c r="V336" t="s">
        <v>270</v>
      </c>
      <c r="W336">
        <v>167523</v>
      </c>
      <c r="X336">
        <v>167523</v>
      </c>
      <c r="Y336" t="s">
        <v>290</v>
      </c>
      <c r="Z336">
        <v>6</v>
      </c>
      <c r="AA336">
        <v>167523</v>
      </c>
      <c r="AB336" t="b">
        <v>0</v>
      </c>
      <c r="AC336">
        <v>1</v>
      </c>
    </row>
    <row r="337" spans="17:29" x14ac:dyDescent="0.2">
      <c r="Q337" t="s">
        <v>2173</v>
      </c>
      <c r="R337" t="s">
        <v>2172</v>
      </c>
      <c r="S337" t="s">
        <v>287</v>
      </c>
      <c r="T337" s="1">
        <v>43602</v>
      </c>
      <c r="U337" s="1">
        <v>43830</v>
      </c>
      <c r="V337" t="s">
        <v>270</v>
      </c>
      <c r="W337">
        <v>1030267</v>
      </c>
      <c r="X337">
        <v>1030267</v>
      </c>
      <c r="Y337" t="s">
        <v>290</v>
      </c>
      <c r="Z337">
        <v>37</v>
      </c>
      <c r="AA337">
        <v>1030267</v>
      </c>
      <c r="AB337" t="b">
        <v>0</v>
      </c>
      <c r="AC337">
        <v>1</v>
      </c>
    </row>
    <row r="338" spans="17:29" x14ac:dyDescent="0.2">
      <c r="Q338" t="s">
        <v>2173</v>
      </c>
      <c r="R338" t="s">
        <v>2172</v>
      </c>
      <c r="S338" t="s">
        <v>287</v>
      </c>
      <c r="T338" s="1">
        <v>43602</v>
      </c>
      <c r="U338" s="1">
        <v>44196</v>
      </c>
      <c r="V338" t="s">
        <v>270</v>
      </c>
      <c r="W338">
        <v>108255</v>
      </c>
      <c r="X338">
        <v>108255</v>
      </c>
      <c r="Y338" t="s">
        <v>290</v>
      </c>
      <c r="Z338">
        <v>4</v>
      </c>
      <c r="AA338">
        <v>108255</v>
      </c>
      <c r="AB338" t="b">
        <v>0</v>
      </c>
      <c r="AC338">
        <v>1</v>
      </c>
    </row>
    <row r="339" spans="17:29" x14ac:dyDescent="0.2">
      <c r="Q339" t="s">
        <v>2029</v>
      </c>
      <c r="R339" t="s">
        <v>2172</v>
      </c>
      <c r="S339" t="s">
        <v>287</v>
      </c>
      <c r="T339" s="1">
        <v>43602</v>
      </c>
      <c r="U339" s="1">
        <v>43465</v>
      </c>
      <c r="V339" t="s">
        <v>270</v>
      </c>
      <c r="W339">
        <v>167523</v>
      </c>
      <c r="X339">
        <v>167523</v>
      </c>
      <c r="Y339" t="s">
        <v>290</v>
      </c>
      <c r="Z339">
        <v>6</v>
      </c>
      <c r="AA339">
        <v>167523</v>
      </c>
      <c r="AB339" t="b">
        <v>0</v>
      </c>
      <c r="AC339">
        <v>1</v>
      </c>
    </row>
    <row r="340" spans="17:29" x14ac:dyDescent="0.2">
      <c r="Q340" t="s">
        <v>2029</v>
      </c>
      <c r="R340" t="s">
        <v>2172</v>
      </c>
      <c r="S340" t="s">
        <v>287</v>
      </c>
      <c r="T340" s="1">
        <v>43602</v>
      </c>
      <c r="U340" s="1">
        <v>43830</v>
      </c>
      <c r="V340" t="s">
        <v>270</v>
      </c>
      <c r="W340">
        <v>1030267</v>
      </c>
      <c r="X340">
        <v>1030267</v>
      </c>
      <c r="Y340" t="s">
        <v>290</v>
      </c>
      <c r="Z340">
        <v>37</v>
      </c>
      <c r="AA340">
        <v>1030267</v>
      </c>
      <c r="AB340" t="b">
        <v>0</v>
      </c>
      <c r="AC340">
        <v>1</v>
      </c>
    </row>
    <row r="341" spans="17:29" x14ac:dyDescent="0.2">
      <c r="Q341" t="s">
        <v>2029</v>
      </c>
      <c r="R341" t="s">
        <v>2172</v>
      </c>
      <c r="S341" t="s">
        <v>287</v>
      </c>
      <c r="T341" s="1">
        <v>43602</v>
      </c>
      <c r="U341" s="1">
        <v>44196</v>
      </c>
      <c r="V341" t="s">
        <v>270</v>
      </c>
      <c r="W341">
        <v>108255</v>
      </c>
      <c r="X341">
        <v>108255</v>
      </c>
      <c r="Y341" t="s">
        <v>290</v>
      </c>
      <c r="Z341">
        <v>4</v>
      </c>
      <c r="AA341">
        <v>108255</v>
      </c>
      <c r="AB341" t="b">
        <v>0</v>
      </c>
      <c r="AC341">
        <v>1</v>
      </c>
    </row>
    <row r="342" spans="17:29" x14ac:dyDescent="0.2">
      <c r="Q342" t="s">
        <v>2029</v>
      </c>
      <c r="R342" t="s">
        <v>2172</v>
      </c>
      <c r="S342" t="s">
        <v>287</v>
      </c>
      <c r="T342" s="1">
        <v>43602</v>
      </c>
      <c r="U342" s="1">
        <v>43465</v>
      </c>
      <c r="V342" t="s">
        <v>270</v>
      </c>
      <c r="W342">
        <v>167523</v>
      </c>
      <c r="X342">
        <v>167523</v>
      </c>
      <c r="Y342" t="s">
        <v>290</v>
      </c>
      <c r="Z342">
        <v>6</v>
      </c>
      <c r="AA342">
        <v>167523</v>
      </c>
      <c r="AB342" t="b">
        <v>0</v>
      </c>
      <c r="AC342">
        <v>1</v>
      </c>
    </row>
    <row r="343" spans="17:29" x14ac:dyDescent="0.2">
      <c r="Q343" t="s">
        <v>2029</v>
      </c>
      <c r="R343" t="s">
        <v>2172</v>
      </c>
      <c r="S343" t="s">
        <v>287</v>
      </c>
      <c r="T343" s="1">
        <v>43602</v>
      </c>
      <c r="U343" s="1">
        <v>43830</v>
      </c>
      <c r="V343" t="s">
        <v>270</v>
      </c>
      <c r="W343">
        <v>1030267</v>
      </c>
      <c r="X343">
        <v>1030267</v>
      </c>
      <c r="Y343" t="s">
        <v>290</v>
      </c>
      <c r="Z343">
        <v>37</v>
      </c>
      <c r="AA343">
        <v>1030267</v>
      </c>
      <c r="AB343" t="b">
        <v>0</v>
      </c>
      <c r="AC343">
        <v>1</v>
      </c>
    </row>
    <row r="344" spans="17:29" x14ac:dyDescent="0.2">
      <c r="Q344" t="s">
        <v>2029</v>
      </c>
      <c r="R344" t="s">
        <v>2172</v>
      </c>
      <c r="S344" t="s">
        <v>287</v>
      </c>
      <c r="T344" s="1">
        <v>43602</v>
      </c>
      <c r="U344" s="1">
        <v>44196</v>
      </c>
      <c r="V344" t="s">
        <v>270</v>
      </c>
      <c r="W344">
        <v>108255</v>
      </c>
      <c r="X344">
        <v>108255</v>
      </c>
      <c r="Y344" t="s">
        <v>290</v>
      </c>
      <c r="Z344">
        <v>4</v>
      </c>
      <c r="AA344">
        <v>108255</v>
      </c>
      <c r="AB344" t="b">
        <v>0</v>
      </c>
      <c r="AC344">
        <v>1</v>
      </c>
    </row>
    <row r="345" spans="17:29" x14ac:dyDescent="0.2">
      <c r="Q345" t="s">
        <v>2080</v>
      </c>
      <c r="R345" t="s">
        <v>2174</v>
      </c>
      <c r="S345" t="s">
        <v>257</v>
      </c>
      <c r="T345" s="1">
        <v>42829</v>
      </c>
      <c r="U345" s="1">
        <v>43465</v>
      </c>
      <c r="V345" t="s">
        <v>270</v>
      </c>
      <c r="W345">
        <v>55626577</v>
      </c>
      <c r="X345">
        <v>55626577</v>
      </c>
      <c r="Y345" t="s">
        <v>270</v>
      </c>
      <c r="Z345">
        <v>55626577</v>
      </c>
      <c r="AA345">
        <v>55626577</v>
      </c>
      <c r="AB345" t="b">
        <v>0</v>
      </c>
      <c r="AC345">
        <v>1</v>
      </c>
    </row>
    <row r="346" spans="17:29" x14ac:dyDescent="0.2">
      <c r="Q346" t="s">
        <v>2080</v>
      </c>
      <c r="R346" t="s">
        <v>2174</v>
      </c>
      <c r="S346" t="s">
        <v>257</v>
      </c>
      <c r="T346" s="1">
        <v>42829</v>
      </c>
      <c r="U346" s="1">
        <v>42735</v>
      </c>
      <c r="V346" t="s">
        <v>270</v>
      </c>
      <c r="W346">
        <v>124688404</v>
      </c>
      <c r="X346">
        <v>124688404</v>
      </c>
      <c r="Y346" t="s">
        <v>270</v>
      </c>
      <c r="Z346">
        <v>124688404</v>
      </c>
      <c r="AA346">
        <v>124688404</v>
      </c>
      <c r="AB346" t="b">
        <v>0</v>
      </c>
      <c r="AC346">
        <v>1</v>
      </c>
    </row>
    <row r="347" spans="17:29" x14ac:dyDescent="0.2">
      <c r="Q347" t="s">
        <v>2169</v>
      </c>
      <c r="R347" t="s">
        <v>2174</v>
      </c>
      <c r="S347" t="s">
        <v>257</v>
      </c>
      <c r="T347" s="1">
        <v>42829</v>
      </c>
      <c r="U347" s="1">
        <v>43465</v>
      </c>
      <c r="V347" t="s">
        <v>270</v>
      </c>
      <c r="W347">
        <v>55626577</v>
      </c>
      <c r="X347">
        <v>55626577</v>
      </c>
      <c r="Y347" t="s">
        <v>270</v>
      </c>
      <c r="Z347">
        <v>55626577</v>
      </c>
      <c r="AA347">
        <v>55626577</v>
      </c>
      <c r="AB347" t="b">
        <v>0</v>
      </c>
      <c r="AC347">
        <v>1</v>
      </c>
    </row>
    <row r="348" spans="17:29" x14ac:dyDescent="0.2">
      <c r="Q348" t="s">
        <v>2169</v>
      </c>
      <c r="R348" t="s">
        <v>2174</v>
      </c>
      <c r="S348" t="s">
        <v>257</v>
      </c>
      <c r="T348" s="1">
        <v>42829</v>
      </c>
      <c r="U348" s="1">
        <v>42735</v>
      </c>
      <c r="V348" t="s">
        <v>270</v>
      </c>
      <c r="W348">
        <v>124688404</v>
      </c>
      <c r="X348">
        <v>124688404</v>
      </c>
      <c r="Y348" t="s">
        <v>270</v>
      </c>
      <c r="Z348">
        <v>124688404</v>
      </c>
      <c r="AA348">
        <v>124688404</v>
      </c>
      <c r="AB348" t="b">
        <v>0</v>
      </c>
      <c r="AC348">
        <v>1</v>
      </c>
    </row>
    <row r="349" spans="17:29" x14ac:dyDescent="0.2">
      <c r="Q349" t="s">
        <v>2029</v>
      </c>
      <c r="R349" t="s">
        <v>2174</v>
      </c>
      <c r="S349" t="s">
        <v>257</v>
      </c>
      <c r="T349" s="1">
        <v>42829</v>
      </c>
      <c r="U349" s="1">
        <v>43465</v>
      </c>
      <c r="V349" t="s">
        <v>270</v>
      </c>
      <c r="W349">
        <v>55626577</v>
      </c>
      <c r="X349">
        <v>55626577</v>
      </c>
      <c r="Y349" t="s">
        <v>270</v>
      </c>
      <c r="Z349">
        <v>55626577</v>
      </c>
      <c r="AA349">
        <v>55626577</v>
      </c>
      <c r="AB349" t="b">
        <v>0</v>
      </c>
      <c r="AC349">
        <v>1</v>
      </c>
    </row>
    <row r="350" spans="17:29" x14ac:dyDescent="0.2">
      <c r="Q350" t="s">
        <v>2029</v>
      </c>
      <c r="R350" t="s">
        <v>2174</v>
      </c>
      <c r="S350" t="s">
        <v>257</v>
      </c>
      <c r="T350" s="1">
        <v>42829</v>
      </c>
      <c r="U350" s="1">
        <v>42735</v>
      </c>
      <c r="V350" t="s">
        <v>270</v>
      </c>
      <c r="W350">
        <v>124688404</v>
      </c>
      <c r="X350">
        <v>124688404</v>
      </c>
      <c r="Y350" t="s">
        <v>270</v>
      </c>
      <c r="Z350">
        <v>124688404</v>
      </c>
      <c r="AA350">
        <v>124688404</v>
      </c>
      <c r="AB350" t="b">
        <v>0</v>
      </c>
      <c r="AC350">
        <v>1</v>
      </c>
    </row>
    <row r="351" spans="17:29" x14ac:dyDescent="0.2">
      <c r="Q351" t="s">
        <v>2029</v>
      </c>
      <c r="R351" t="s">
        <v>2174</v>
      </c>
      <c r="S351" t="s">
        <v>257</v>
      </c>
      <c r="T351" s="1">
        <v>42829</v>
      </c>
      <c r="U351" s="1">
        <v>43465</v>
      </c>
      <c r="V351" t="s">
        <v>270</v>
      </c>
      <c r="W351">
        <v>55626577</v>
      </c>
      <c r="X351">
        <v>55626577</v>
      </c>
      <c r="Y351" t="s">
        <v>270</v>
      </c>
      <c r="Z351">
        <v>55626577</v>
      </c>
      <c r="AA351">
        <v>55626577</v>
      </c>
      <c r="AB351" t="b">
        <v>0</v>
      </c>
      <c r="AC351">
        <v>1</v>
      </c>
    </row>
    <row r="352" spans="17:29" x14ac:dyDescent="0.2">
      <c r="Q352" t="s">
        <v>2029</v>
      </c>
      <c r="R352" t="s">
        <v>2174</v>
      </c>
      <c r="S352" t="s">
        <v>257</v>
      </c>
      <c r="T352" s="1">
        <v>42829</v>
      </c>
      <c r="U352" s="1">
        <v>42735</v>
      </c>
      <c r="V352" t="s">
        <v>270</v>
      </c>
      <c r="W352">
        <v>124688404</v>
      </c>
      <c r="X352">
        <v>124688404</v>
      </c>
      <c r="Y352" t="s">
        <v>270</v>
      </c>
      <c r="Z352">
        <v>124688404</v>
      </c>
      <c r="AA352">
        <v>124688404</v>
      </c>
      <c r="AB352" t="b">
        <v>0</v>
      </c>
      <c r="AC352">
        <v>1</v>
      </c>
    </row>
    <row r="353" spans="17:29" x14ac:dyDescent="0.2">
      <c r="Q353" t="s">
        <v>2175</v>
      </c>
      <c r="R353" t="s">
        <v>2143</v>
      </c>
      <c r="S353" t="s">
        <v>257</v>
      </c>
      <c r="T353" s="1">
        <v>42829</v>
      </c>
      <c r="U353" s="1">
        <v>42735</v>
      </c>
      <c r="V353" t="s">
        <v>270</v>
      </c>
      <c r="W353">
        <v>8780938</v>
      </c>
      <c r="X353">
        <v>8780938</v>
      </c>
      <c r="Y353" t="s">
        <v>270</v>
      </c>
      <c r="Z353">
        <v>8780938</v>
      </c>
      <c r="AA353">
        <v>8780938</v>
      </c>
      <c r="AB353" t="b">
        <v>0</v>
      </c>
      <c r="AC353">
        <v>1</v>
      </c>
    </row>
    <row r="354" spans="17:29" x14ac:dyDescent="0.2">
      <c r="Q354" t="s">
        <v>2029</v>
      </c>
      <c r="R354" t="s">
        <v>2147</v>
      </c>
      <c r="S354" t="s">
        <v>808</v>
      </c>
      <c r="T354" s="1">
        <v>43374</v>
      </c>
      <c r="U354" s="1">
        <v>42735</v>
      </c>
      <c r="V354" t="s">
        <v>270</v>
      </c>
      <c r="W354">
        <v>26361196</v>
      </c>
      <c r="X354">
        <v>26361196</v>
      </c>
      <c r="Y354" t="s">
        <v>811</v>
      </c>
      <c r="Z354">
        <v>85937498</v>
      </c>
      <c r="AA354">
        <v>26361196</v>
      </c>
      <c r="AB354" t="b">
        <v>1</v>
      </c>
      <c r="AC354">
        <v>1</v>
      </c>
    </row>
    <row r="355" spans="17:29" x14ac:dyDescent="0.2">
      <c r="Q355" t="s">
        <v>1998</v>
      </c>
      <c r="R355" t="s">
        <v>2176</v>
      </c>
      <c r="S355" t="s">
        <v>808</v>
      </c>
      <c r="T355" s="1">
        <v>43374</v>
      </c>
      <c r="U355" s="1">
        <v>42735</v>
      </c>
      <c r="V355" t="s">
        <v>270</v>
      </c>
      <c r="W355">
        <v>319529</v>
      </c>
      <c r="X355">
        <v>319529</v>
      </c>
      <c r="Y355" t="s">
        <v>811</v>
      </c>
      <c r="Z355">
        <v>1041664</v>
      </c>
      <c r="AA355">
        <v>319529</v>
      </c>
      <c r="AB355" t="b">
        <v>1</v>
      </c>
      <c r="AC355">
        <v>1</v>
      </c>
    </row>
    <row r="356" spans="17:29" x14ac:dyDescent="0.2">
      <c r="Q356" t="s">
        <v>2067</v>
      </c>
      <c r="R356" t="s">
        <v>2176</v>
      </c>
      <c r="S356" t="s">
        <v>808</v>
      </c>
      <c r="T356" s="1">
        <v>43374</v>
      </c>
      <c r="U356" s="1">
        <v>42735</v>
      </c>
      <c r="V356" t="s">
        <v>270</v>
      </c>
      <c r="W356">
        <v>319529</v>
      </c>
      <c r="X356">
        <v>319529</v>
      </c>
      <c r="Y356" t="s">
        <v>811</v>
      </c>
      <c r="Z356">
        <v>1041664</v>
      </c>
      <c r="AA356">
        <v>319529</v>
      </c>
      <c r="AB356" t="b">
        <v>1</v>
      </c>
      <c r="AC356">
        <v>1</v>
      </c>
    </row>
    <row r="357" spans="17:29" x14ac:dyDescent="0.2">
      <c r="Q357" t="s">
        <v>2029</v>
      </c>
      <c r="R357" t="s">
        <v>2176</v>
      </c>
      <c r="S357" t="s">
        <v>808</v>
      </c>
      <c r="T357" s="1">
        <v>43374</v>
      </c>
      <c r="U357" s="1">
        <v>42735</v>
      </c>
      <c r="V357" t="s">
        <v>270</v>
      </c>
      <c r="W357">
        <v>319529</v>
      </c>
      <c r="X357">
        <v>319529</v>
      </c>
      <c r="Y357" t="s">
        <v>811</v>
      </c>
      <c r="Z357">
        <v>1041664</v>
      </c>
      <c r="AA357">
        <v>319529</v>
      </c>
      <c r="AB357" t="b">
        <v>1</v>
      </c>
      <c r="AC357">
        <v>1</v>
      </c>
    </row>
    <row r="358" spans="17:29" x14ac:dyDescent="0.2">
      <c r="Q358" t="s">
        <v>2029</v>
      </c>
      <c r="R358" t="s">
        <v>2176</v>
      </c>
      <c r="S358" t="s">
        <v>808</v>
      </c>
      <c r="T358" s="1">
        <v>43374</v>
      </c>
      <c r="U358" s="1">
        <v>42735</v>
      </c>
      <c r="V358" t="s">
        <v>270</v>
      </c>
      <c r="W358">
        <v>319529</v>
      </c>
      <c r="X358">
        <v>319529</v>
      </c>
      <c r="Y358" t="s">
        <v>811</v>
      </c>
      <c r="Z358">
        <v>1041664</v>
      </c>
      <c r="AA358">
        <v>319529</v>
      </c>
      <c r="AB358" t="b">
        <v>1</v>
      </c>
      <c r="AC358">
        <v>1</v>
      </c>
    </row>
    <row r="359" spans="17:29" x14ac:dyDescent="0.2">
      <c r="Q359" t="s">
        <v>1998</v>
      </c>
      <c r="R359" t="s">
        <v>2177</v>
      </c>
      <c r="S359" t="s">
        <v>808</v>
      </c>
      <c r="T359" s="1">
        <v>43374</v>
      </c>
      <c r="U359" s="1">
        <v>42735</v>
      </c>
      <c r="V359" t="s">
        <v>270</v>
      </c>
      <c r="W359">
        <v>1597648</v>
      </c>
      <c r="X359">
        <v>1597648</v>
      </c>
      <c r="Y359" t="s">
        <v>811</v>
      </c>
      <c r="Z359">
        <v>5208332</v>
      </c>
      <c r="AA359">
        <v>1597648</v>
      </c>
      <c r="AB359" t="b">
        <v>1</v>
      </c>
      <c r="AC359">
        <v>1</v>
      </c>
    </row>
    <row r="360" spans="17:29" x14ac:dyDescent="0.2">
      <c r="Q360" t="s">
        <v>2067</v>
      </c>
      <c r="R360" t="s">
        <v>2177</v>
      </c>
      <c r="S360" t="s">
        <v>808</v>
      </c>
      <c r="T360" s="1">
        <v>43374</v>
      </c>
      <c r="U360" s="1">
        <v>42735</v>
      </c>
      <c r="V360" t="s">
        <v>270</v>
      </c>
      <c r="W360">
        <v>1597648</v>
      </c>
      <c r="X360">
        <v>1597648</v>
      </c>
      <c r="Y360" t="s">
        <v>811</v>
      </c>
      <c r="Z360">
        <v>5208332</v>
      </c>
      <c r="AA360">
        <v>1597648</v>
      </c>
      <c r="AB360" t="b">
        <v>1</v>
      </c>
      <c r="AC360">
        <v>1</v>
      </c>
    </row>
    <row r="361" spans="17:29" x14ac:dyDescent="0.2">
      <c r="Q361" t="s">
        <v>2029</v>
      </c>
      <c r="R361" t="s">
        <v>2177</v>
      </c>
      <c r="S361" t="s">
        <v>808</v>
      </c>
      <c r="T361" s="1">
        <v>43374</v>
      </c>
      <c r="U361" s="1">
        <v>42735</v>
      </c>
      <c r="V361" t="s">
        <v>270</v>
      </c>
      <c r="W361">
        <v>1597648</v>
      </c>
      <c r="X361">
        <v>1597648</v>
      </c>
      <c r="Y361" t="s">
        <v>811</v>
      </c>
      <c r="Z361">
        <v>5208332</v>
      </c>
      <c r="AA361">
        <v>1597648</v>
      </c>
      <c r="AB361" t="b">
        <v>1</v>
      </c>
      <c r="AC361">
        <v>1</v>
      </c>
    </row>
    <row r="362" spans="17:29" x14ac:dyDescent="0.2">
      <c r="Q362" t="s">
        <v>2029</v>
      </c>
      <c r="R362" t="s">
        <v>2177</v>
      </c>
      <c r="S362" t="s">
        <v>808</v>
      </c>
      <c r="T362" s="1">
        <v>43374</v>
      </c>
      <c r="U362" s="1">
        <v>42735</v>
      </c>
      <c r="V362" t="s">
        <v>270</v>
      </c>
      <c r="W362">
        <v>1597648</v>
      </c>
      <c r="X362">
        <v>1597648</v>
      </c>
      <c r="Y362" t="s">
        <v>811</v>
      </c>
      <c r="Z362">
        <v>5208332</v>
      </c>
      <c r="AA362">
        <v>1597648</v>
      </c>
      <c r="AB362" t="b">
        <v>1</v>
      </c>
      <c r="AC362">
        <v>1</v>
      </c>
    </row>
    <row r="363" spans="17:29" x14ac:dyDescent="0.2">
      <c r="Q363" t="s">
        <v>2087</v>
      </c>
      <c r="R363" t="s">
        <v>2178</v>
      </c>
      <c r="S363" t="s">
        <v>257</v>
      </c>
      <c r="T363" s="1">
        <v>43669</v>
      </c>
      <c r="U363" s="1">
        <v>43920</v>
      </c>
      <c r="V363" t="s">
        <v>260</v>
      </c>
      <c r="W363">
        <v>77700000</v>
      </c>
      <c r="X363">
        <v>77700000</v>
      </c>
      <c r="Y363" t="s">
        <v>260</v>
      </c>
      <c r="Z363">
        <v>77700000</v>
      </c>
      <c r="AA363">
        <v>14960433</v>
      </c>
      <c r="AB363" t="b">
        <v>1</v>
      </c>
      <c r="AC363">
        <v>0.9</v>
      </c>
    </row>
    <row r="364" spans="17:29" x14ac:dyDescent="0.2">
      <c r="Q364" t="s">
        <v>2087</v>
      </c>
      <c r="R364" t="s">
        <v>2178</v>
      </c>
      <c r="S364" t="s">
        <v>257</v>
      </c>
      <c r="T364" s="1">
        <v>43669</v>
      </c>
      <c r="U364" s="1">
        <v>43920</v>
      </c>
      <c r="V364" t="s">
        <v>260</v>
      </c>
      <c r="W364">
        <v>77700000</v>
      </c>
      <c r="X364">
        <v>77700000</v>
      </c>
      <c r="Y364" t="s">
        <v>260</v>
      </c>
      <c r="Z364">
        <v>77700000</v>
      </c>
      <c r="AA364">
        <v>14960433</v>
      </c>
      <c r="AB364" t="b">
        <v>1</v>
      </c>
      <c r="AC364">
        <v>0.9</v>
      </c>
    </row>
    <row r="365" spans="17:29" x14ac:dyDescent="0.2">
      <c r="Q365" t="s">
        <v>2087</v>
      </c>
      <c r="R365" t="s">
        <v>2179</v>
      </c>
      <c r="S365" t="s">
        <v>257</v>
      </c>
      <c r="T365" s="1">
        <v>43669</v>
      </c>
      <c r="U365" s="1">
        <v>43920</v>
      </c>
      <c r="V365" t="s">
        <v>260</v>
      </c>
      <c r="W365">
        <v>75600000</v>
      </c>
      <c r="X365">
        <v>75600000</v>
      </c>
      <c r="Y365" t="s">
        <v>260</v>
      </c>
      <c r="Z365">
        <v>75600000</v>
      </c>
      <c r="AA365">
        <v>14556097</v>
      </c>
      <c r="AB365" t="b">
        <v>1</v>
      </c>
      <c r="AC365">
        <v>0.8</v>
      </c>
    </row>
    <row r="366" spans="17:29" x14ac:dyDescent="0.2">
      <c r="Q366" t="s">
        <v>2087</v>
      </c>
      <c r="R366" t="s">
        <v>2179</v>
      </c>
      <c r="S366" t="s">
        <v>257</v>
      </c>
      <c r="T366" s="1">
        <v>43669</v>
      </c>
      <c r="U366" s="1">
        <v>43920</v>
      </c>
      <c r="V366" t="s">
        <v>260</v>
      </c>
      <c r="W366">
        <v>75600000</v>
      </c>
      <c r="X366">
        <v>75600000</v>
      </c>
      <c r="Y366" t="s">
        <v>260</v>
      </c>
      <c r="Z366">
        <v>75600000</v>
      </c>
      <c r="AA366">
        <v>14556097</v>
      </c>
      <c r="AB366" t="b">
        <v>1</v>
      </c>
      <c r="AC366">
        <v>0.8</v>
      </c>
    </row>
    <row r="367" spans="17:29" x14ac:dyDescent="0.2">
      <c r="Q367" t="s">
        <v>2087</v>
      </c>
      <c r="R367" t="s">
        <v>2180</v>
      </c>
      <c r="S367" t="s">
        <v>257</v>
      </c>
      <c r="T367" s="1">
        <v>43669</v>
      </c>
      <c r="U367" s="1">
        <v>43920</v>
      </c>
      <c r="V367" t="s">
        <v>260</v>
      </c>
      <c r="W367">
        <v>26900000</v>
      </c>
      <c r="X367">
        <v>26900000</v>
      </c>
      <c r="Y367" t="s">
        <v>260</v>
      </c>
      <c r="Z367">
        <v>26900000</v>
      </c>
      <c r="AA367">
        <v>5179352</v>
      </c>
      <c r="AB367" t="b">
        <v>1</v>
      </c>
      <c r="AC367">
        <v>0.33</v>
      </c>
    </row>
    <row r="368" spans="17:29" x14ac:dyDescent="0.2">
      <c r="Q368" t="s">
        <v>2087</v>
      </c>
      <c r="R368" t="s">
        <v>2180</v>
      </c>
      <c r="S368" t="s">
        <v>257</v>
      </c>
      <c r="T368" s="1">
        <v>43669</v>
      </c>
      <c r="U368" s="1">
        <v>43920</v>
      </c>
      <c r="V368" t="s">
        <v>260</v>
      </c>
      <c r="W368">
        <v>26900000</v>
      </c>
      <c r="X368">
        <v>26900000</v>
      </c>
      <c r="Y368" t="s">
        <v>260</v>
      </c>
      <c r="Z368">
        <v>26900000</v>
      </c>
      <c r="AA368">
        <v>5179352</v>
      </c>
      <c r="AB368" t="b">
        <v>1</v>
      </c>
      <c r="AC368">
        <v>0.33</v>
      </c>
    </row>
    <row r="369" spans="17:29" x14ac:dyDescent="0.2">
      <c r="Q369" t="s">
        <v>2087</v>
      </c>
      <c r="R369" t="s">
        <v>2181</v>
      </c>
      <c r="S369" t="s">
        <v>257</v>
      </c>
      <c r="T369" s="1">
        <v>44196</v>
      </c>
      <c r="U369" s="1">
        <v>44196</v>
      </c>
      <c r="V369" t="s">
        <v>260</v>
      </c>
      <c r="W369">
        <v>44700000</v>
      </c>
      <c r="X369">
        <v>44700000</v>
      </c>
      <c r="Y369" t="s">
        <v>260</v>
      </c>
      <c r="Z369">
        <v>44700000</v>
      </c>
      <c r="AA369">
        <v>10178190</v>
      </c>
      <c r="AB369" t="b">
        <v>1</v>
      </c>
      <c r="AC369">
        <v>0.48</v>
      </c>
    </row>
    <row r="370" spans="17:29" x14ac:dyDescent="0.2">
      <c r="Q370" t="s">
        <v>2087</v>
      </c>
      <c r="R370" t="s">
        <v>2181</v>
      </c>
      <c r="S370" t="s">
        <v>257</v>
      </c>
      <c r="T370" s="1">
        <v>43875</v>
      </c>
      <c r="U370" s="1">
        <v>43875</v>
      </c>
      <c r="V370" t="s">
        <v>260</v>
      </c>
      <c r="W370">
        <v>16000000</v>
      </c>
      <c r="X370">
        <v>16000000</v>
      </c>
      <c r="Y370" t="s">
        <v>260</v>
      </c>
      <c r="Z370">
        <v>16000000</v>
      </c>
      <c r="AA370">
        <v>3643200</v>
      </c>
      <c r="AB370" t="b">
        <v>1</v>
      </c>
      <c r="AC370">
        <v>0.48</v>
      </c>
    </row>
    <row r="371" spans="17:29" x14ac:dyDescent="0.2">
      <c r="Q371" t="s">
        <v>2087</v>
      </c>
      <c r="R371" t="s">
        <v>2181</v>
      </c>
      <c r="S371" t="s">
        <v>257</v>
      </c>
      <c r="T371" s="1">
        <v>44196</v>
      </c>
      <c r="U371" s="1">
        <v>44196</v>
      </c>
      <c r="V371" t="s">
        <v>260</v>
      </c>
      <c r="W371">
        <v>44700000</v>
      </c>
      <c r="X371">
        <v>44700000</v>
      </c>
      <c r="Y371" t="s">
        <v>260</v>
      </c>
      <c r="Z371">
        <v>44700000</v>
      </c>
      <c r="AA371">
        <v>10178190</v>
      </c>
      <c r="AB371" t="b">
        <v>1</v>
      </c>
      <c r="AC371">
        <v>0.48</v>
      </c>
    </row>
    <row r="372" spans="17:29" x14ac:dyDescent="0.2">
      <c r="Q372" t="s">
        <v>2087</v>
      </c>
      <c r="R372" t="s">
        <v>2181</v>
      </c>
      <c r="S372" t="s">
        <v>257</v>
      </c>
      <c r="T372" s="1">
        <v>43875</v>
      </c>
      <c r="U372" s="1">
        <v>43875</v>
      </c>
      <c r="V372" t="s">
        <v>260</v>
      </c>
      <c r="W372">
        <v>16000000</v>
      </c>
      <c r="X372">
        <v>16000000</v>
      </c>
      <c r="Y372" t="s">
        <v>260</v>
      </c>
      <c r="Z372">
        <v>16000000</v>
      </c>
      <c r="AA372">
        <v>3643200</v>
      </c>
      <c r="AB372" t="b">
        <v>1</v>
      </c>
      <c r="AC372">
        <v>0.48</v>
      </c>
    </row>
    <row r="373" spans="17:29" x14ac:dyDescent="0.2">
      <c r="Q373" t="s">
        <v>1995</v>
      </c>
      <c r="R373" t="s">
        <v>2182</v>
      </c>
      <c r="S373" t="s">
        <v>343</v>
      </c>
      <c r="T373" s="1">
        <v>43100</v>
      </c>
      <c r="U373" s="1">
        <v>43100</v>
      </c>
      <c r="V373" t="s">
        <v>345</v>
      </c>
      <c r="W373">
        <v>13200000</v>
      </c>
      <c r="X373">
        <v>10457618</v>
      </c>
      <c r="Y373" t="s">
        <v>345</v>
      </c>
      <c r="Z373">
        <v>10457618</v>
      </c>
      <c r="AA373">
        <v>543273</v>
      </c>
      <c r="AB373" t="b">
        <v>0</v>
      </c>
      <c r="AC373">
        <v>0.53</v>
      </c>
    </row>
    <row r="374" spans="17:29" x14ac:dyDescent="0.2">
      <c r="Q374" t="s">
        <v>1997</v>
      </c>
      <c r="R374" t="s">
        <v>2182</v>
      </c>
      <c r="S374" t="s">
        <v>343</v>
      </c>
      <c r="T374" s="1">
        <v>43100</v>
      </c>
      <c r="U374" s="1">
        <v>43100</v>
      </c>
      <c r="V374" t="s">
        <v>345</v>
      </c>
      <c r="W374">
        <v>13200000</v>
      </c>
      <c r="X374">
        <v>10457618</v>
      </c>
      <c r="Y374" t="s">
        <v>345</v>
      </c>
      <c r="Z374">
        <v>10457618</v>
      </c>
      <c r="AA374">
        <v>543273</v>
      </c>
      <c r="AB374" t="b">
        <v>0</v>
      </c>
      <c r="AC374">
        <v>0.53</v>
      </c>
    </row>
    <row r="375" spans="17:29" x14ac:dyDescent="0.2">
      <c r="Q375" t="s">
        <v>1995</v>
      </c>
      <c r="R375" t="s">
        <v>2183</v>
      </c>
      <c r="S375" t="s">
        <v>343</v>
      </c>
      <c r="T375" s="1">
        <v>43100</v>
      </c>
      <c r="U375" s="1">
        <v>43100</v>
      </c>
      <c r="V375" t="s">
        <v>345</v>
      </c>
      <c r="W375">
        <v>3000000</v>
      </c>
      <c r="X375">
        <v>2645243</v>
      </c>
      <c r="Y375" t="s">
        <v>345</v>
      </c>
      <c r="Z375">
        <v>2645243</v>
      </c>
      <c r="AA375">
        <v>137420</v>
      </c>
      <c r="AB375" t="b">
        <v>0</v>
      </c>
      <c r="AC375">
        <v>0.59</v>
      </c>
    </row>
    <row r="376" spans="17:29" x14ac:dyDescent="0.2">
      <c r="Q376" t="s">
        <v>1997</v>
      </c>
      <c r="R376" t="s">
        <v>2183</v>
      </c>
      <c r="S376" t="s">
        <v>343</v>
      </c>
      <c r="T376" s="1">
        <v>43100</v>
      </c>
      <c r="U376" s="1">
        <v>43100</v>
      </c>
      <c r="V376" t="s">
        <v>345</v>
      </c>
      <c r="W376">
        <v>3000000</v>
      </c>
      <c r="X376">
        <v>2645243</v>
      </c>
      <c r="Y376" t="s">
        <v>345</v>
      </c>
      <c r="Z376">
        <v>2645243</v>
      </c>
      <c r="AA376">
        <v>137420</v>
      </c>
      <c r="AB376" t="b">
        <v>0</v>
      </c>
      <c r="AC376">
        <v>0.59</v>
      </c>
    </row>
    <row r="377" spans="17:29" x14ac:dyDescent="0.2">
      <c r="Q377" t="s">
        <v>1998</v>
      </c>
      <c r="R377" t="s">
        <v>2184</v>
      </c>
      <c r="S377" t="s">
        <v>287</v>
      </c>
      <c r="T377" s="1">
        <v>43465</v>
      </c>
      <c r="U377" s="1">
        <v>43465</v>
      </c>
      <c r="V377" t="s">
        <v>2185</v>
      </c>
      <c r="W377">
        <v>9537286278</v>
      </c>
      <c r="X377">
        <v>9537286278</v>
      </c>
      <c r="Y377" t="s">
        <v>290</v>
      </c>
      <c r="Z377">
        <v>345983</v>
      </c>
      <c r="AA377">
        <v>13709104</v>
      </c>
      <c r="AB377" t="b">
        <v>1</v>
      </c>
      <c r="AC377">
        <v>0.53</v>
      </c>
    </row>
    <row r="378" spans="17:29" x14ac:dyDescent="0.2">
      <c r="Q378" t="s">
        <v>2000</v>
      </c>
      <c r="R378" t="s">
        <v>2184</v>
      </c>
      <c r="S378" t="s">
        <v>287</v>
      </c>
      <c r="T378" s="1">
        <v>43465</v>
      </c>
      <c r="U378" s="1">
        <v>43465</v>
      </c>
      <c r="V378" t="s">
        <v>2185</v>
      </c>
      <c r="W378">
        <v>9537286278</v>
      </c>
      <c r="X378">
        <v>9537286278</v>
      </c>
      <c r="Y378" t="s">
        <v>290</v>
      </c>
      <c r="Z378">
        <v>345983</v>
      </c>
      <c r="AA378">
        <v>13709104</v>
      </c>
      <c r="AB378" t="b">
        <v>1</v>
      </c>
      <c r="AC378">
        <v>0.53</v>
      </c>
    </row>
    <row r="379" spans="17:29" x14ac:dyDescent="0.2">
      <c r="Q379" t="s">
        <v>2001</v>
      </c>
      <c r="R379" t="s">
        <v>2186</v>
      </c>
      <c r="S379" t="s">
        <v>287</v>
      </c>
      <c r="T379" s="1">
        <v>43465</v>
      </c>
      <c r="U379" s="1">
        <v>43465</v>
      </c>
      <c r="V379" t="s">
        <v>2185</v>
      </c>
      <c r="W379">
        <v>10311559976</v>
      </c>
      <c r="X379">
        <v>10311559976</v>
      </c>
      <c r="Y379" t="s">
        <v>290</v>
      </c>
      <c r="Z379">
        <v>374071</v>
      </c>
      <c r="AA379">
        <v>14822062</v>
      </c>
      <c r="AB379" t="b">
        <v>1</v>
      </c>
      <c r="AC379">
        <v>0.91</v>
      </c>
    </row>
    <row r="380" spans="17:29" x14ac:dyDescent="0.2">
      <c r="Q380" t="s">
        <v>2000</v>
      </c>
      <c r="R380" t="s">
        <v>2186</v>
      </c>
      <c r="S380" t="s">
        <v>287</v>
      </c>
      <c r="T380" s="1">
        <v>43465</v>
      </c>
      <c r="U380" s="1">
        <v>43465</v>
      </c>
      <c r="V380" t="s">
        <v>2185</v>
      </c>
      <c r="W380">
        <v>10311559976</v>
      </c>
      <c r="X380">
        <v>10311559976</v>
      </c>
      <c r="Y380" t="s">
        <v>290</v>
      </c>
      <c r="Z380">
        <v>374071</v>
      </c>
      <c r="AA380">
        <v>14822062</v>
      </c>
      <c r="AB380" t="b">
        <v>1</v>
      </c>
      <c r="AC380">
        <v>0.91</v>
      </c>
    </row>
    <row r="381" spans="17:29" x14ac:dyDescent="0.2">
      <c r="Q381" t="s">
        <v>2001</v>
      </c>
      <c r="R381" t="s">
        <v>2187</v>
      </c>
      <c r="S381" t="s">
        <v>287</v>
      </c>
      <c r="T381" s="1">
        <v>43465</v>
      </c>
      <c r="U381" s="1">
        <v>43465</v>
      </c>
      <c r="V381" t="s">
        <v>2185</v>
      </c>
      <c r="W381">
        <v>10244333941</v>
      </c>
      <c r="X381">
        <v>10244333941</v>
      </c>
      <c r="Y381" t="s">
        <v>290</v>
      </c>
      <c r="Z381">
        <v>371632</v>
      </c>
      <c r="AA381">
        <v>14725429</v>
      </c>
      <c r="AB381" t="b">
        <v>1</v>
      </c>
      <c r="AC381">
        <v>0.13</v>
      </c>
    </row>
    <row r="382" spans="17:29" x14ac:dyDescent="0.2">
      <c r="Q382" t="s">
        <v>2000</v>
      </c>
      <c r="R382" t="s">
        <v>2187</v>
      </c>
      <c r="S382" t="s">
        <v>287</v>
      </c>
      <c r="T382" s="1">
        <v>43465</v>
      </c>
      <c r="U382" s="1">
        <v>43465</v>
      </c>
      <c r="V382" t="s">
        <v>2185</v>
      </c>
      <c r="W382">
        <v>10244333941</v>
      </c>
      <c r="X382">
        <v>10244333941</v>
      </c>
      <c r="Y382" t="s">
        <v>290</v>
      </c>
      <c r="Z382">
        <v>371632</v>
      </c>
      <c r="AA382">
        <v>14725429</v>
      </c>
      <c r="AB382" t="b">
        <v>1</v>
      </c>
      <c r="AC382">
        <v>0.13</v>
      </c>
    </row>
    <row r="383" spans="17:29" x14ac:dyDescent="0.2">
      <c r="Q383" t="s">
        <v>1998</v>
      </c>
      <c r="R383" t="s">
        <v>2188</v>
      </c>
      <c r="S383" t="s">
        <v>287</v>
      </c>
      <c r="T383" s="1">
        <v>43465</v>
      </c>
      <c r="U383" s="1">
        <v>43465</v>
      </c>
      <c r="V383" t="s">
        <v>2185</v>
      </c>
      <c r="W383">
        <v>1981245132</v>
      </c>
      <c r="X383">
        <v>1981245132</v>
      </c>
      <c r="Y383" t="s">
        <v>290</v>
      </c>
      <c r="Z383">
        <v>71873</v>
      </c>
      <c r="AA383">
        <v>2847885</v>
      </c>
      <c r="AB383" t="b">
        <v>1</v>
      </c>
      <c r="AC383">
        <v>0.89</v>
      </c>
    </row>
    <row r="384" spans="17:29" x14ac:dyDescent="0.2">
      <c r="Q384" t="s">
        <v>2067</v>
      </c>
      <c r="R384" t="s">
        <v>2188</v>
      </c>
      <c r="S384" t="s">
        <v>287</v>
      </c>
      <c r="T384" s="1">
        <v>43465</v>
      </c>
      <c r="U384" s="1">
        <v>43465</v>
      </c>
      <c r="V384" t="s">
        <v>2185</v>
      </c>
      <c r="W384">
        <v>1981245132</v>
      </c>
      <c r="X384">
        <v>1981245132</v>
      </c>
      <c r="Y384" t="s">
        <v>290</v>
      </c>
      <c r="Z384">
        <v>71873</v>
      </c>
      <c r="AA384">
        <v>2847885</v>
      </c>
      <c r="AB384" t="b">
        <v>1</v>
      </c>
      <c r="AC384">
        <v>0.89</v>
      </c>
    </row>
    <row r="385" spans="17:29" x14ac:dyDescent="0.2">
      <c r="Q385" t="s">
        <v>1998</v>
      </c>
      <c r="R385" t="s">
        <v>2189</v>
      </c>
      <c r="S385" t="s">
        <v>343</v>
      </c>
      <c r="T385" s="1">
        <v>43100</v>
      </c>
      <c r="U385" s="1">
        <v>43100</v>
      </c>
      <c r="V385" t="s">
        <v>345</v>
      </c>
      <c r="W385">
        <v>26000000</v>
      </c>
      <c r="X385">
        <v>9783887</v>
      </c>
      <c r="Y385" t="s">
        <v>345</v>
      </c>
      <c r="Z385">
        <v>9783887</v>
      </c>
      <c r="AA385">
        <v>508273</v>
      </c>
      <c r="AB385" t="b">
        <v>0</v>
      </c>
      <c r="AC385">
        <v>0.28000000000000003</v>
      </c>
    </row>
    <row r="386" spans="17:29" x14ac:dyDescent="0.2">
      <c r="Q386" t="s">
        <v>2005</v>
      </c>
      <c r="R386" t="s">
        <v>2189</v>
      </c>
      <c r="S386" t="s">
        <v>343</v>
      </c>
      <c r="T386" s="1">
        <v>43100</v>
      </c>
      <c r="U386" s="1">
        <v>43100</v>
      </c>
      <c r="V386" t="s">
        <v>345</v>
      </c>
      <c r="W386">
        <v>26000000</v>
      </c>
      <c r="X386">
        <v>9783887</v>
      </c>
      <c r="Y386" t="s">
        <v>345</v>
      </c>
      <c r="Z386">
        <v>9783887</v>
      </c>
      <c r="AA386">
        <v>508273</v>
      </c>
      <c r="AB386" t="b">
        <v>0</v>
      </c>
      <c r="AC386">
        <v>0.28000000000000003</v>
      </c>
    </row>
    <row r="387" spans="17:29" x14ac:dyDescent="0.2">
      <c r="Q387" t="s">
        <v>1995</v>
      </c>
      <c r="R387" t="s">
        <v>2190</v>
      </c>
      <c r="S387" t="s">
        <v>343</v>
      </c>
      <c r="T387" s="1">
        <v>43100</v>
      </c>
      <c r="U387" s="1">
        <v>43100</v>
      </c>
      <c r="V387" t="s">
        <v>345</v>
      </c>
      <c r="W387">
        <v>20000000</v>
      </c>
      <c r="X387">
        <v>19393862</v>
      </c>
      <c r="Y387" t="s">
        <v>345</v>
      </c>
      <c r="Z387">
        <v>19393862</v>
      </c>
      <c r="AA387">
        <v>1007511</v>
      </c>
      <c r="AB387" t="b">
        <v>0</v>
      </c>
      <c r="AC387">
        <v>0.8</v>
      </c>
    </row>
    <row r="388" spans="17:29" x14ac:dyDescent="0.2">
      <c r="Q388" t="s">
        <v>1997</v>
      </c>
      <c r="R388" t="s">
        <v>2190</v>
      </c>
      <c r="S388" t="s">
        <v>343</v>
      </c>
      <c r="T388" s="1">
        <v>43100</v>
      </c>
      <c r="U388" s="1">
        <v>43100</v>
      </c>
      <c r="V388" t="s">
        <v>345</v>
      </c>
      <c r="W388">
        <v>20000000</v>
      </c>
      <c r="X388">
        <v>19393862</v>
      </c>
      <c r="Y388" t="s">
        <v>345</v>
      </c>
      <c r="Z388">
        <v>19393862</v>
      </c>
      <c r="AA388">
        <v>1007511</v>
      </c>
      <c r="AB388" t="b">
        <v>0</v>
      </c>
      <c r="AC388">
        <v>0.8</v>
      </c>
    </row>
    <row r="389" spans="17:29" x14ac:dyDescent="0.2">
      <c r="Q389" t="s">
        <v>1995</v>
      </c>
      <c r="R389" t="s">
        <v>2191</v>
      </c>
      <c r="S389" t="s">
        <v>343</v>
      </c>
      <c r="T389" s="1">
        <v>43100</v>
      </c>
      <c r="U389" s="1">
        <v>43100</v>
      </c>
      <c r="V389" t="s">
        <v>345</v>
      </c>
      <c r="W389">
        <v>10000000</v>
      </c>
      <c r="X389">
        <v>2914137</v>
      </c>
      <c r="Y389" t="s">
        <v>345</v>
      </c>
      <c r="Z389">
        <v>2914137</v>
      </c>
      <c r="AA389">
        <v>151389</v>
      </c>
      <c r="AB389" t="b">
        <v>0</v>
      </c>
      <c r="AC389">
        <v>0.05</v>
      </c>
    </row>
    <row r="390" spans="17:29" x14ac:dyDescent="0.2">
      <c r="Q390" t="s">
        <v>1997</v>
      </c>
      <c r="R390" t="s">
        <v>2191</v>
      </c>
      <c r="S390" t="s">
        <v>343</v>
      </c>
      <c r="T390" s="1">
        <v>43100</v>
      </c>
      <c r="U390" s="1">
        <v>43100</v>
      </c>
      <c r="V390" t="s">
        <v>345</v>
      </c>
      <c r="W390">
        <v>10000000</v>
      </c>
      <c r="X390">
        <v>2914137</v>
      </c>
      <c r="Y390" t="s">
        <v>345</v>
      </c>
      <c r="Z390">
        <v>2914137</v>
      </c>
      <c r="AA390">
        <v>151389</v>
      </c>
      <c r="AB390" t="b">
        <v>0</v>
      </c>
      <c r="AC390">
        <v>0.05</v>
      </c>
    </row>
    <row r="391" spans="17:29" x14ac:dyDescent="0.2">
      <c r="Q391" t="s">
        <v>1998</v>
      </c>
      <c r="R391" t="s">
        <v>2192</v>
      </c>
      <c r="S391" t="s">
        <v>343</v>
      </c>
      <c r="T391" s="1">
        <v>43100</v>
      </c>
      <c r="U391" s="1">
        <v>43100</v>
      </c>
      <c r="V391" t="s">
        <v>345</v>
      </c>
      <c r="W391">
        <v>50000000</v>
      </c>
      <c r="X391">
        <v>47245432</v>
      </c>
      <c r="Y391" t="s">
        <v>345</v>
      </c>
      <c r="Z391">
        <v>47245432</v>
      </c>
      <c r="AA391">
        <v>2454400</v>
      </c>
      <c r="AB391" t="b">
        <v>0</v>
      </c>
      <c r="AC391">
        <v>0.53</v>
      </c>
    </row>
    <row r="392" spans="17:29" x14ac:dyDescent="0.2">
      <c r="Q392" t="s">
        <v>2005</v>
      </c>
      <c r="R392" t="s">
        <v>2192</v>
      </c>
      <c r="S392" t="s">
        <v>343</v>
      </c>
      <c r="T392" s="1">
        <v>43100</v>
      </c>
      <c r="U392" s="1">
        <v>43100</v>
      </c>
      <c r="V392" t="s">
        <v>345</v>
      </c>
      <c r="W392">
        <v>50000000</v>
      </c>
      <c r="X392">
        <v>47245432</v>
      </c>
      <c r="Y392" t="s">
        <v>345</v>
      </c>
      <c r="Z392">
        <v>47245432</v>
      </c>
      <c r="AA392">
        <v>2454400</v>
      </c>
      <c r="AB392" t="b">
        <v>0</v>
      </c>
      <c r="AC392">
        <v>0.53</v>
      </c>
    </row>
    <row r="393" spans="17:29" x14ac:dyDescent="0.2">
      <c r="Q393" t="s">
        <v>1995</v>
      </c>
      <c r="R393" t="s">
        <v>2193</v>
      </c>
      <c r="S393" t="s">
        <v>343</v>
      </c>
      <c r="T393" s="1">
        <v>43100</v>
      </c>
      <c r="U393" s="1">
        <v>43100</v>
      </c>
      <c r="V393" t="s">
        <v>345</v>
      </c>
      <c r="W393">
        <v>6000000</v>
      </c>
      <c r="X393">
        <v>5818966</v>
      </c>
      <c r="Y393" t="s">
        <v>345</v>
      </c>
      <c r="Z393">
        <v>5818966</v>
      </c>
      <c r="AA393">
        <v>302295</v>
      </c>
      <c r="AB393" t="b">
        <v>0</v>
      </c>
      <c r="AC393">
        <v>0.61</v>
      </c>
    </row>
    <row r="394" spans="17:29" x14ac:dyDescent="0.2">
      <c r="Q394" t="s">
        <v>1997</v>
      </c>
      <c r="R394" t="s">
        <v>2193</v>
      </c>
      <c r="S394" t="s">
        <v>343</v>
      </c>
      <c r="T394" s="1">
        <v>43100</v>
      </c>
      <c r="U394" s="1">
        <v>43100</v>
      </c>
      <c r="V394" t="s">
        <v>345</v>
      </c>
      <c r="W394">
        <v>6000000</v>
      </c>
      <c r="X394">
        <v>5818966</v>
      </c>
      <c r="Y394" t="s">
        <v>345</v>
      </c>
      <c r="Z394">
        <v>5818966</v>
      </c>
      <c r="AA394">
        <v>302295</v>
      </c>
      <c r="AB394" t="b">
        <v>0</v>
      </c>
      <c r="AC394">
        <v>0.61</v>
      </c>
    </row>
    <row r="395" spans="17:29" x14ac:dyDescent="0.2">
      <c r="Q395" t="s">
        <v>1995</v>
      </c>
      <c r="R395" t="s">
        <v>2194</v>
      </c>
      <c r="S395" t="s">
        <v>343</v>
      </c>
      <c r="T395" s="1">
        <v>43100</v>
      </c>
      <c r="U395" s="1">
        <v>43100</v>
      </c>
      <c r="V395" t="s">
        <v>345</v>
      </c>
      <c r="W395">
        <v>44000000</v>
      </c>
      <c r="X395">
        <v>15287212</v>
      </c>
      <c r="Y395" t="s">
        <v>345</v>
      </c>
      <c r="Z395">
        <v>15287212</v>
      </c>
      <c r="AA395">
        <v>794171</v>
      </c>
      <c r="AB395" t="b">
        <v>0</v>
      </c>
      <c r="AC395">
        <v>0.12</v>
      </c>
    </row>
    <row r="396" spans="17:29" x14ac:dyDescent="0.2">
      <c r="Q396" t="s">
        <v>1997</v>
      </c>
      <c r="R396" t="s">
        <v>2194</v>
      </c>
      <c r="S396" t="s">
        <v>343</v>
      </c>
      <c r="T396" s="1">
        <v>43100</v>
      </c>
      <c r="U396" s="1">
        <v>43100</v>
      </c>
      <c r="V396" t="s">
        <v>345</v>
      </c>
      <c r="W396">
        <v>44000000</v>
      </c>
      <c r="X396">
        <v>15287212</v>
      </c>
      <c r="Y396" t="s">
        <v>345</v>
      </c>
      <c r="Z396">
        <v>15287212</v>
      </c>
      <c r="AA396">
        <v>794171</v>
      </c>
      <c r="AB396" t="b">
        <v>0</v>
      </c>
      <c r="AC396">
        <v>0.12</v>
      </c>
    </row>
    <row r="397" spans="17:29" x14ac:dyDescent="0.2">
      <c r="Q397" t="s">
        <v>2020</v>
      </c>
      <c r="R397" t="s">
        <v>2195</v>
      </c>
      <c r="S397" t="s">
        <v>343</v>
      </c>
      <c r="T397" s="1">
        <v>43100</v>
      </c>
      <c r="U397" s="1">
        <v>43100</v>
      </c>
      <c r="V397" t="s">
        <v>345</v>
      </c>
      <c r="W397">
        <v>473979152</v>
      </c>
      <c r="X397">
        <v>422773098</v>
      </c>
      <c r="Y397" t="s">
        <v>345</v>
      </c>
      <c r="Z397">
        <v>422773098</v>
      </c>
      <c r="AA397">
        <v>21963062</v>
      </c>
      <c r="AB397" t="b">
        <v>0</v>
      </c>
      <c r="AC397">
        <v>0.05</v>
      </c>
    </row>
    <row r="398" spans="17:29" x14ac:dyDescent="0.2">
      <c r="Q398" t="s">
        <v>2022</v>
      </c>
      <c r="R398" t="s">
        <v>2195</v>
      </c>
      <c r="S398" t="s">
        <v>343</v>
      </c>
      <c r="T398" s="1">
        <v>43100</v>
      </c>
      <c r="U398" s="1">
        <v>43100</v>
      </c>
      <c r="V398" t="s">
        <v>345</v>
      </c>
      <c r="W398">
        <v>473979152</v>
      </c>
      <c r="X398">
        <v>422773098</v>
      </c>
      <c r="Y398" t="s">
        <v>345</v>
      </c>
      <c r="Z398">
        <v>422773098</v>
      </c>
      <c r="AA398">
        <v>21963062</v>
      </c>
      <c r="AB398" t="b">
        <v>0</v>
      </c>
      <c r="AC398">
        <v>0.05</v>
      </c>
    </row>
    <row r="399" spans="17:29" x14ac:dyDescent="0.2">
      <c r="Q399" t="s">
        <v>1998</v>
      </c>
      <c r="R399" t="s">
        <v>2196</v>
      </c>
      <c r="S399" t="s">
        <v>343</v>
      </c>
      <c r="T399" s="1">
        <v>43100</v>
      </c>
      <c r="U399" s="1">
        <v>43100</v>
      </c>
      <c r="V399" t="s">
        <v>345</v>
      </c>
      <c r="W399">
        <v>25828533</v>
      </c>
      <c r="X399">
        <v>23745227</v>
      </c>
      <c r="Y399" t="s">
        <v>345</v>
      </c>
      <c r="Z399">
        <v>23745227</v>
      </c>
      <c r="AA399">
        <v>1233565</v>
      </c>
      <c r="AB399" t="b">
        <v>0</v>
      </c>
      <c r="AC399">
        <v>0.28000000000000003</v>
      </c>
    </row>
    <row r="400" spans="17:29" x14ac:dyDescent="0.2">
      <c r="Q400" t="s">
        <v>2005</v>
      </c>
      <c r="R400" t="s">
        <v>2196</v>
      </c>
      <c r="S400" t="s">
        <v>343</v>
      </c>
      <c r="T400" s="1">
        <v>43100</v>
      </c>
      <c r="U400" s="1">
        <v>43100</v>
      </c>
      <c r="V400" t="s">
        <v>345</v>
      </c>
      <c r="W400">
        <v>25828533</v>
      </c>
      <c r="X400">
        <v>23745227</v>
      </c>
      <c r="Y400" t="s">
        <v>345</v>
      </c>
      <c r="Z400">
        <v>23745227</v>
      </c>
      <c r="AA400">
        <v>1233565</v>
      </c>
      <c r="AB400" t="b">
        <v>0</v>
      </c>
      <c r="AC400">
        <v>0.28000000000000003</v>
      </c>
    </row>
    <row r="401" spans="17:29" x14ac:dyDescent="0.2">
      <c r="Q401" t="s">
        <v>1995</v>
      </c>
      <c r="R401" t="s">
        <v>2197</v>
      </c>
      <c r="S401" t="s">
        <v>343</v>
      </c>
      <c r="T401" s="1">
        <v>43100</v>
      </c>
      <c r="U401" s="1">
        <v>43100</v>
      </c>
      <c r="V401" t="s">
        <v>345</v>
      </c>
      <c r="W401">
        <v>9350772</v>
      </c>
      <c r="X401">
        <v>9012781</v>
      </c>
      <c r="Y401" t="s">
        <v>345</v>
      </c>
      <c r="Z401">
        <v>9012781</v>
      </c>
      <c r="AA401">
        <v>468214</v>
      </c>
      <c r="AB401" t="b">
        <v>0</v>
      </c>
      <c r="AC401">
        <v>0.23</v>
      </c>
    </row>
    <row r="402" spans="17:29" x14ac:dyDescent="0.2">
      <c r="Q402" t="s">
        <v>1997</v>
      </c>
      <c r="R402" t="s">
        <v>2197</v>
      </c>
      <c r="S402" t="s">
        <v>343</v>
      </c>
      <c r="T402" s="1">
        <v>43100</v>
      </c>
      <c r="U402" s="1">
        <v>43100</v>
      </c>
      <c r="V402" t="s">
        <v>345</v>
      </c>
      <c r="W402">
        <v>9350772</v>
      </c>
      <c r="X402">
        <v>9012781</v>
      </c>
      <c r="Y402" t="s">
        <v>345</v>
      </c>
      <c r="Z402">
        <v>9012781</v>
      </c>
      <c r="AA402">
        <v>468214</v>
      </c>
      <c r="AB402" t="b">
        <v>0</v>
      </c>
      <c r="AC402">
        <v>0.23</v>
      </c>
    </row>
    <row r="403" spans="17:29" x14ac:dyDescent="0.2">
      <c r="Q403" t="s">
        <v>1998</v>
      </c>
      <c r="R403" t="s">
        <v>2198</v>
      </c>
      <c r="S403" t="s">
        <v>343</v>
      </c>
      <c r="T403" s="1">
        <v>43100</v>
      </c>
      <c r="U403" s="1">
        <v>43100</v>
      </c>
      <c r="V403" t="s">
        <v>345</v>
      </c>
      <c r="W403">
        <v>13508630</v>
      </c>
      <c r="X403">
        <v>13508630</v>
      </c>
      <c r="Y403" t="s">
        <v>345</v>
      </c>
      <c r="Z403">
        <v>13508630</v>
      </c>
      <c r="AA403">
        <v>701773</v>
      </c>
      <c r="AB403" t="b">
        <v>0</v>
      </c>
      <c r="AC403">
        <v>0.19</v>
      </c>
    </row>
    <row r="404" spans="17:29" x14ac:dyDescent="0.2">
      <c r="Q404" t="s">
        <v>2005</v>
      </c>
      <c r="R404" t="s">
        <v>2198</v>
      </c>
      <c r="S404" t="s">
        <v>343</v>
      </c>
      <c r="T404" s="1">
        <v>43100</v>
      </c>
      <c r="U404" s="1">
        <v>43100</v>
      </c>
      <c r="V404" t="s">
        <v>345</v>
      </c>
      <c r="W404">
        <v>13508630</v>
      </c>
      <c r="X404">
        <v>13508630</v>
      </c>
      <c r="Y404" t="s">
        <v>345</v>
      </c>
      <c r="Z404">
        <v>13508630</v>
      </c>
      <c r="AA404">
        <v>701773</v>
      </c>
      <c r="AB404" t="b">
        <v>0</v>
      </c>
      <c r="AC404">
        <v>0.19</v>
      </c>
    </row>
    <row r="405" spans="17:29" x14ac:dyDescent="0.2">
      <c r="Q405" t="s">
        <v>1998</v>
      </c>
      <c r="R405" t="s">
        <v>2199</v>
      </c>
      <c r="S405" t="s">
        <v>343</v>
      </c>
      <c r="T405" s="1">
        <v>43100</v>
      </c>
      <c r="U405" s="1">
        <v>43100</v>
      </c>
      <c r="V405" t="s">
        <v>345</v>
      </c>
      <c r="W405">
        <v>17834454</v>
      </c>
      <c r="X405">
        <v>17834454</v>
      </c>
      <c r="Y405" t="s">
        <v>345</v>
      </c>
      <c r="Z405">
        <v>17834454</v>
      </c>
      <c r="AA405">
        <v>926500</v>
      </c>
      <c r="AB405" t="b">
        <v>0</v>
      </c>
      <c r="AC405">
        <v>0.22</v>
      </c>
    </row>
    <row r="406" spans="17:29" x14ac:dyDescent="0.2">
      <c r="Q406" t="s">
        <v>2005</v>
      </c>
      <c r="R406" t="s">
        <v>2199</v>
      </c>
      <c r="S406" t="s">
        <v>343</v>
      </c>
      <c r="T406" s="1">
        <v>43100</v>
      </c>
      <c r="U406" s="1">
        <v>43100</v>
      </c>
      <c r="V406" t="s">
        <v>345</v>
      </c>
      <c r="W406">
        <v>17834454</v>
      </c>
      <c r="X406">
        <v>17834454</v>
      </c>
      <c r="Y406" t="s">
        <v>345</v>
      </c>
      <c r="Z406">
        <v>17834454</v>
      </c>
      <c r="AA406">
        <v>926500</v>
      </c>
      <c r="AB406" t="b">
        <v>0</v>
      </c>
      <c r="AC406">
        <v>0.22</v>
      </c>
    </row>
    <row r="407" spans="17:29" x14ac:dyDescent="0.2">
      <c r="Q407" t="s">
        <v>1998</v>
      </c>
      <c r="R407" t="s">
        <v>2200</v>
      </c>
      <c r="S407" t="s">
        <v>343</v>
      </c>
      <c r="T407" s="1">
        <v>43100</v>
      </c>
      <c r="U407" s="1">
        <v>43100</v>
      </c>
      <c r="V407" t="s">
        <v>345</v>
      </c>
      <c r="W407">
        <v>14103024</v>
      </c>
      <c r="X407">
        <v>14103024</v>
      </c>
      <c r="Y407" t="s">
        <v>345</v>
      </c>
      <c r="Z407">
        <v>14103024</v>
      </c>
      <c r="AA407">
        <v>732652</v>
      </c>
      <c r="AB407" t="b">
        <v>0</v>
      </c>
      <c r="AC407">
        <v>0.38</v>
      </c>
    </row>
    <row r="408" spans="17:29" x14ac:dyDescent="0.2">
      <c r="Q408" t="s">
        <v>2005</v>
      </c>
      <c r="R408" t="s">
        <v>2200</v>
      </c>
      <c r="S408" t="s">
        <v>343</v>
      </c>
      <c r="T408" s="1">
        <v>43100</v>
      </c>
      <c r="U408" s="1">
        <v>43100</v>
      </c>
      <c r="V408" t="s">
        <v>345</v>
      </c>
      <c r="W408">
        <v>14103024</v>
      </c>
      <c r="X408">
        <v>14103024</v>
      </c>
      <c r="Y408" t="s">
        <v>345</v>
      </c>
      <c r="Z408">
        <v>14103024</v>
      </c>
      <c r="AA408">
        <v>732652</v>
      </c>
      <c r="AB408" t="b">
        <v>0</v>
      </c>
      <c r="AC408">
        <v>0.38</v>
      </c>
    </row>
    <row r="409" spans="17:29" x14ac:dyDescent="0.2">
      <c r="Q409" t="s">
        <v>1995</v>
      </c>
      <c r="R409" t="s">
        <v>2201</v>
      </c>
      <c r="S409" t="s">
        <v>343</v>
      </c>
      <c r="T409" s="1">
        <v>43100</v>
      </c>
      <c r="U409" s="1">
        <v>43100</v>
      </c>
      <c r="V409" t="s">
        <v>345</v>
      </c>
      <c r="W409">
        <v>15876126</v>
      </c>
      <c r="X409">
        <v>15876126</v>
      </c>
      <c r="Y409" t="s">
        <v>345</v>
      </c>
      <c r="Z409">
        <v>15876126</v>
      </c>
      <c r="AA409">
        <v>824765</v>
      </c>
      <c r="AB409" t="b">
        <v>0</v>
      </c>
      <c r="AC409">
        <v>0.26</v>
      </c>
    </row>
    <row r="410" spans="17:29" x14ac:dyDescent="0.2">
      <c r="Q410" t="s">
        <v>1997</v>
      </c>
      <c r="R410" t="s">
        <v>2201</v>
      </c>
      <c r="S410" t="s">
        <v>343</v>
      </c>
      <c r="T410" s="1">
        <v>43100</v>
      </c>
      <c r="U410" s="1">
        <v>43100</v>
      </c>
      <c r="V410" t="s">
        <v>345</v>
      </c>
      <c r="W410">
        <v>15876126</v>
      </c>
      <c r="X410">
        <v>15876126</v>
      </c>
      <c r="Y410" t="s">
        <v>345</v>
      </c>
      <c r="Z410">
        <v>15876126</v>
      </c>
      <c r="AA410">
        <v>824765</v>
      </c>
      <c r="AB410" t="b">
        <v>0</v>
      </c>
      <c r="AC410">
        <v>0.26</v>
      </c>
    </row>
    <row r="411" spans="17:29" x14ac:dyDescent="0.2">
      <c r="Q411" t="s">
        <v>2020</v>
      </c>
      <c r="R411" t="s">
        <v>2202</v>
      </c>
      <c r="S411" t="s">
        <v>343</v>
      </c>
      <c r="T411" s="1">
        <v>43100</v>
      </c>
      <c r="U411" s="1">
        <v>43100</v>
      </c>
      <c r="V411" t="s">
        <v>345</v>
      </c>
      <c r="W411">
        <v>255174744</v>
      </c>
      <c r="X411">
        <v>389279998</v>
      </c>
      <c r="Y411" t="s">
        <v>345</v>
      </c>
      <c r="Z411">
        <v>389279998</v>
      </c>
      <c r="AA411">
        <v>20223096</v>
      </c>
      <c r="AB411" t="b">
        <v>1</v>
      </c>
      <c r="AC411">
        <v>0.24</v>
      </c>
    </row>
    <row r="412" spans="17:29" x14ac:dyDescent="0.2">
      <c r="Q412" t="s">
        <v>2022</v>
      </c>
      <c r="R412" t="s">
        <v>2202</v>
      </c>
      <c r="S412" t="s">
        <v>343</v>
      </c>
      <c r="T412" s="1">
        <v>43100</v>
      </c>
      <c r="U412" s="1">
        <v>43100</v>
      </c>
      <c r="V412" t="s">
        <v>345</v>
      </c>
      <c r="W412">
        <v>255174744</v>
      </c>
      <c r="X412">
        <v>389279998</v>
      </c>
      <c r="Y412" t="s">
        <v>345</v>
      </c>
      <c r="Z412">
        <v>389279998</v>
      </c>
      <c r="AA412">
        <v>20223096</v>
      </c>
      <c r="AB412" t="b">
        <v>1</v>
      </c>
      <c r="AC412">
        <v>0.24</v>
      </c>
    </row>
    <row r="413" spans="17:29" x14ac:dyDescent="0.2">
      <c r="Q413" t="s">
        <v>2020</v>
      </c>
      <c r="R413" t="s">
        <v>2203</v>
      </c>
      <c r="S413" t="s">
        <v>343</v>
      </c>
      <c r="T413" s="1">
        <v>43100</v>
      </c>
      <c r="U413" s="1">
        <v>43100</v>
      </c>
      <c r="V413" t="s">
        <v>345</v>
      </c>
      <c r="W413">
        <v>197397542</v>
      </c>
      <c r="X413">
        <v>92454000</v>
      </c>
      <c r="Y413" t="s">
        <v>345</v>
      </c>
      <c r="Z413">
        <v>92454000</v>
      </c>
      <c r="AA413">
        <v>4802985</v>
      </c>
      <c r="AB413" t="b">
        <v>1</v>
      </c>
      <c r="AC413">
        <v>0.03</v>
      </c>
    </row>
    <row r="414" spans="17:29" x14ac:dyDescent="0.2">
      <c r="Q414" t="s">
        <v>2022</v>
      </c>
      <c r="R414" t="s">
        <v>2203</v>
      </c>
      <c r="S414" t="s">
        <v>343</v>
      </c>
      <c r="T414" s="1">
        <v>43100</v>
      </c>
      <c r="U414" s="1">
        <v>43100</v>
      </c>
      <c r="V414" t="s">
        <v>345</v>
      </c>
      <c r="W414">
        <v>197397542</v>
      </c>
      <c r="X414">
        <v>92454000</v>
      </c>
      <c r="Y414" t="s">
        <v>345</v>
      </c>
      <c r="Z414">
        <v>92454000</v>
      </c>
      <c r="AA414">
        <v>4802985</v>
      </c>
      <c r="AB414" t="b">
        <v>1</v>
      </c>
      <c r="AC414">
        <v>0.03</v>
      </c>
    </row>
    <row r="415" spans="17:29" x14ac:dyDescent="0.2">
      <c r="Q415" t="s">
        <v>2141</v>
      </c>
      <c r="R415" t="s">
        <v>2204</v>
      </c>
      <c r="S415" t="s">
        <v>257</v>
      </c>
      <c r="T415" s="1">
        <v>43800</v>
      </c>
      <c r="U415" s="1">
        <v>43800</v>
      </c>
      <c r="V415" t="s">
        <v>260</v>
      </c>
      <c r="W415">
        <v>9085926</v>
      </c>
      <c r="X415">
        <v>9085926</v>
      </c>
      <c r="Y415" t="s">
        <v>270</v>
      </c>
      <c r="Z415">
        <v>2804298.15</v>
      </c>
      <c r="AA415">
        <v>2804298</v>
      </c>
      <c r="AB415" t="b">
        <v>0</v>
      </c>
      <c r="AC415">
        <v>1</v>
      </c>
    </row>
    <row r="416" spans="17:29" x14ac:dyDescent="0.2">
      <c r="Q416" t="s">
        <v>2141</v>
      </c>
      <c r="R416" t="s">
        <v>2204</v>
      </c>
      <c r="S416" t="s">
        <v>257</v>
      </c>
      <c r="T416" s="1">
        <v>43070</v>
      </c>
      <c r="U416" s="1">
        <v>43070</v>
      </c>
      <c r="V416" t="s">
        <v>260</v>
      </c>
      <c r="W416">
        <v>87398704</v>
      </c>
      <c r="X416">
        <v>87398704</v>
      </c>
      <c r="Y416" t="s">
        <v>270</v>
      </c>
      <c r="Z416">
        <v>27049210.489999998</v>
      </c>
      <c r="AA416">
        <v>27049210</v>
      </c>
      <c r="AB416" t="b">
        <v>0</v>
      </c>
      <c r="AC416">
        <v>1</v>
      </c>
    </row>
    <row r="417" spans="17:29" x14ac:dyDescent="0.2">
      <c r="Q417" t="s">
        <v>2141</v>
      </c>
      <c r="R417" t="s">
        <v>2204</v>
      </c>
      <c r="S417" t="s">
        <v>257</v>
      </c>
      <c r="T417" s="1">
        <v>42705</v>
      </c>
      <c r="U417" s="1">
        <v>42705</v>
      </c>
      <c r="V417" t="s">
        <v>260</v>
      </c>
      <c r="W417">
        <v>39303000</v>
      </c>
      <c r="X417">
        <v>39303000</v>
      </c>
      <c r="Y417" t="s">
        <v>270</v>
      </c>
      <c r="Z417">
        <v>12163968.93</v>
      </c>
      <c r="AA417">
        <v>12163968</v>
      </c>
      <c r="AB417" t="b">
        <v>0</v>
      </c>
      <c r="AC417">
        <v>1</v>
      </c>
    </row>
    <row r="418" spans="17:29" x14ac:dyDescent="0.2">
      <c r="Q418" t="s">
        <v>2117</v>
      </c>
      <c r="R418" t="s">
        <v>2204</v>
      </c>
      <c r="S418" t="s">
        <v>257</v>
      </c>
      <c r="T418" s="1">
        <v>43800</v>
      </c>
      <c r="U418" s="1">
        <v>43800</v>
      </c>
      <c r="V418" t="s">
        <v>260</v>
      </c>
      <c r="W418">
        <v>9085926</v>
      </c>
      <c r="X418">
        <v>9085926</v>
      </c>
      <c r="Y418" t="s">
        <v>270</v>
      </c>
      <c r="Z418">
        <v>2804298.15</v>
      </c>
      <c r="AA418">
        <v>2804298</v>
      </c>
      <c r="AB418" t="b">
        <v>0</v>
      </c>
      <c r="AC418">
        <v>1</v>
      </c>
    </row>
    <row r="419" spans="17:29" x14ac:dyDescent="0.2">
      <c r="Q419" t="s">
        <v>2117</v>
      </c>
      <c r="R419" t="s">
        <v>2204</v>
      </c>
      <c r="S419" t="s">
        <v>257</v>
      </c>
      <c r="T419" s="1">
        <v>43070</v>
      </c>
      <c r="U419" s="1">
        <v>43070</v>
      </c>
      <c r="V419" t="s">
        <v>260</v>
      </c>
      <c r="W419">
        <v>87398704</v>
      </c>
      <c r="X419">
        <v>87398704</v>
      </c>
      <c r="Y419" t="s">
        <v>270</v>
      </c>
      <c r="Z419">
        <v>27049210.489999998</v>
      </c>
      <c r="AA419">
        <v>27049210</v>
      </c>
      <c r="AB419" t="b">
        <v>0</v>
      </c>
      <c r="AC419">
        <v>1</v>
      </c>
    </row>
    <row r="420" spans="17:29" x14ac:dyDescent="0.2">
      <c r="Q420" t="s">
        <v>2117</v>
      </c>
      <c r="R420" t="s">
        <v>2204</v>
      </c>
      <c r="S420" t="s">
        <v>257</v>
      </c>
      <c r="T420" s="1">
        <v>42705</v>
      </c>
      <c r="U420" s="1">
        <v>42705</v>
      </c>
      <c r="V420" t="s">
        <v>260</v>
      </c>
      <c r="W420">
        <v>39303000</v>
      </c>
      <c r="X420">
        <v>39303000</v>
      </c>
      <c r="Y420" t="s">
        <v>270</v>
      </c>
      <c r="Z420">
        <v>12163968.93</v>
      </c>
      <c r="AA420">
        <v>12163968</v>
      </c>
      <c r="AB420" t="b">
        <v>0</v>
      </c>
      <c r="AC420">
        <v>1</v>
      </c>
    </row>
    <row r="421" spans="17:29" x14ac:dyDescent="0.2">
      <c r="Q421" t="s">
        <v>1998</v>
      </c>
      <c r="R421" t="s">
        <v>2205</v>
      </c>
      <c r="S421" t="s">
        <v>257</v>
      </c>
      <c r="T421" s="1">
        <v>42795</v>
      </c>
      <c r="U421" s="1">
        <v>42795</v>
      </c>
      <c r="V421" t="s">
        <v>260</v>
      </c>
      <c r="W421">
        <v>7706</v>
      </c>
      <c r="X421">
        <v>7706</v>
      </c>
      <c r="Y421" t="s">
        <v>270</v>
      </c>
      <c r="Z421">
        <v>2384.9499999999998</v>
      </c>
      <c r="AA421">
        <v>2384</v>
      </c>
      <c r="AB421" t="b">
        <v>0</v>
      </c>
      <c r="AC421">
        <v>1</v>
      </c>
    </row>
    <row r="422" spans="17:29" x14ac:dyDescent="0.2">
      <c r="Q422" t="s">
        <v>1998</v>
      </c>
      <c r="R422" t="s">
        <v>2205</v>
      </c>
      <c r="S422" t="s">
        <v>257</v>
      </c>
      <c r="T422" s="1">
        <v>42705</v>
      </c>
      <c r="U422" s="1">
        <v>42705</v>
      </c>
      <c r="V422" t="s">
        <v>260</v>
      </c>
      <c r="W422">
        <v>2676000</v>
      </c>
      <c r="X422">
        <v>2676000</v>
      </c>
      <c r="Y422" t="s">
        <v>270</v>
      </c>
      <c r="Z422">
        <v>828200.92</v>
      </c>
      <c r="AA422">
        <v>828200</v>
      </c>
      <c r="AB422" t="b">
        <v>0</v>
      </c>
      <c r="AC422">
        <v>1</v>
      </c>
    </row>
    <row r="423" spans="17:29" x14ac:dyDescent="0.2">
      <c r="Q423" t="s">
        <v>2067</v>
      </c>
      <c r="R423" t="s">
        <v>2205</v>
      </c>
      <c r="S423" t="s">
        <v>257</v>
      </c>
      <c r="T423" s="1">
        <v>42795</v>
      </c>
      <c r="U423" s="1">
        <v>42795</v>
      </c>
      <c r="V423" t="s">
        <v>260</v>
      </c>
      <c r="W423">
        <v>7706</v>
      </c>
      <c r="X423">
        <v>7706</v>
      </c>
      <c r="Y423" t="s">
        <v>270</v>
      </c>
      <c r="Z423">
        <v>2384.9499999999998</v>
      </c>
      <c r="AA423">
        <v>2384</v>
      </c>
      <c r="AB423" t="b">
        <v>0</v>
      </c>
      <c r="AC423">
        <v>1</v>
      </c>
    </row>
    <row r="424" spans="17:29" x14ac:dyDescent="0.2">
      <c r="Q424" t="s">
        <v>2067</v>
      </c>
      <c r="R424" t="s">
        <v>2205</v>
      </c>
      <c r="S424" t="s">
        <v>257</v>
      </c>
      <c r="T424" s="1">
        <v>42705</v>
      </c>
      <c r="U424" s="1">
        <v>42705</v>
      </c>
      <c r="V424" t="s">
        <v>260</v>
      </c>
      <c r="W424">
        <v>2676000</v>
      </c>
      <c r="X424">
        <v>2676000</v>
      </c>
      <c r="Y424" t="s">
        <v>270</v>
      </c>
      <c r="Z424">
        <v>828200.92</v>
      </c>
      <c r="AA424">
        <v>828200</v>
      </c>
      <c r="AB424" t="b">
        <v>0</v>
      </c>
      <c r="AC424">
        <v>1</v>
      </c>
    </row>
    <row r="425" spans="17:29" x14ac:dyDescent="0.2">
      <c r="Q425" t="s">
        <v>1998</v>
      </c>
      <c r="R425" t="s">
        <v>2206</v>
      </c>
      <c r="S425" t="s">
        <v>257</v>
      </c>
      <c r="T425" s="1">
        <v>43800</v>
      </c>
      <c r="U425" s="1">
        <v>43800</v>
      </c>
      <c r="V425" t="s">
        <v>260</v>
      </c>
      <c r="W425">
        <v>1150179</v>
      </c>
      <c r="X425">
        <v>1150179</v>
      </c>
      <c r="Y425" t="s">
        <v>270</v>
      </c>
      <c r="Z425">
        <v>354993.52</v>
      </c>
      <c r="AA425">
        <v>354993</v>
      </c>
      <c r="AB425" t="b">
        <v>0</v>
      </c>
      <c r="AC425">
        <v>1</v>
      </c>
    </row>
    <row r="426" spans="17:29" x14ac:dyDescent="0.2">
      <c r="Q426" t="s">
        <v>1998</v>
      </c>
      <c r="R426" t="s">
        <v>2206</v>
      </c>
      <c r="S426" t="s">
        <v>257</v>
      </c>
      <c r="T426" s="1">
        <v>42795</v>
      </c>
      <c r="U426" s="1">
        <v>42795</v>
      </c>
      <c r="V426" t="s">
        <v>260</v>
      </c>
      <c r="W426">
        <v>43949801</v>
      </c>
      <c r="X426">
        <v>43949801</v>
      </c>
      <c r="Y426" t="s">
        <v>270</v>
      </c>
      <c r="Z426">
        <v>13602117.24</v>
      </c>
      <c r="AA426">
        <v>13602117</v>
      </c>
      <c r="AB426" t="b">
        <v>0</v>
      </c>
      <c r="AC426">
        <v>1</v>
      </c>
    </row>
    <row r="427" spans="17:29" x14ac:dyDescent="0.2">
      <c r="Q427" t="s">
        <v>1998</v>
      </c>
      <c r="R427" t="s">
        <v>2206</v>
      </c>
      <c r="S427" t="s">
        <v>257</v>
      </c>
      <c r="T427" s="1">
        <v>42705</v>
      </c>
      <c r="U427" s="1">
        <v>42705</v>
      </c>
      <c r="V427" t="s">
        <v>260</v>
      </c>
      <c r="W427">
        <v>23383000</v>
      </c>
      <c r="X427">
        <v>23383000</v>
      </c>
      <c r="Y427" t="s">
        <v>270</v>
      </c>
      <c r="Z427">
        <v>7236854.3200000003</v>
      </c>
      <c r="AA427">
        <v>7236854</v>
      </c>
      <c r="AB427" t="b">
        <v>0</v>
      </c>
      <c r="AC427">
        <v>1</v>
      </c>
    </row>
    <row r="428" spans="17:29" x14ac:dyDescent="0.2">
      <c r="Q428" t="s">
        <v>1998</v>
      </c>
      <c r="R428" t="s">
        <v>2206</v>
      </c>
      <c r="S428" t="s">
        <v>257</v>
      </c>
      <c r="T428" s="1">
        <v>42339</v>
      </c>
      <c r="U428" s="1">
        <v>42339</v>
      </c>
      <c r="V428" t="s">
        <v>260</v>
      </c>
      <c r="W428">
        <v>575000</v>
      </c>
      <c r="X428">
        <v>575000</v>
      </c>
      <c r="Y428" t="s">
        <v>270</v>
      </c>
      <c r="Z428">
        <v>177957.97</v>
      </c>
      <c r="AA428">
        <v>177957</v>
      </c>
      <c r="AB428" t="b">
        <v>0</v>
      </c>
      <c r="AC428">
        <v>1</v>
      </c>
    </row>
    <row r="429" spans="17:29" x14ac:dyDescent="0.2">
      <c r="Q429" t="s">
        <v>2067</v>
      </c>
      <c r="R429" t="s">
        <v>2206</v>
      </c>
      <c r="S429" t="s">
        <v>257</v>
      </c>
      <c r="T429" s="1">
        <v>43800</v>
      </c>
      <c r="U429" s="1">
        <v>43800</v>
      </c>
      <c r="V429" t="s">
        <v>260</v>
      </c>
      <c r="W429">
        <v>1150179</v>
      </c>
      <c r="X429">
        <v>1150179</v>
      </c>
      <c r="Y429" t="s">
        <v>270</v>
      </c>
      <c r="Z429">
        <v>354993.52</v>
      </c>
      <c r="AA429">
        <v>354993</v>
      </c>
      <c r="AB429" t="b">
        <v>0</v>
      </c>
      <c r="AC429">
        <v>1</v>
      </c>
    </row>
    <row r="430" spans="17:29" x14ac:dyDescent="0.2">
      <c r="Q430" t="s">
        <v>2067</v>
      </c>
      <c r="R430" t="s">
        <v>2206</v>
      </c>
      <c r="S430" t="s">
        <v>257</v>
      </c>
      <c r="T430" s="1">
        <v>42795</v>
      </c>
      <c r="U430" s="1">
        <v>42795</v>
      </c>
      <c r="V430" t="s">
        <v>260</v>
      </c>
      <c r="W430">
        <v>43949801</v>
      </c>
      <c r="X430">
        <v>43949801</v>
      </c>
      <c r="Y430" t="s">
        <v>270</v>
      </c>
      <c r="Z430">
        <v>13602117.24</v>
      </c>
      <c r="AA430">
        <v>13602117</v>
      </c>
      <c r="AB430" t="b">
        <v>0</v>
      </c>
      <c r="AC430">
        <v>1</v>
      </c>
    </row>
    <row r="431" spans="17:29" x14ac:dyDescent="0.2">
      <c r="Q431" t="s">
        <v>2067</v>
      </c>
      <c r="R431" t="s">
        <v>2206</v>
      </c>
      <c r="S431" t="s">
        <v>257</v>
      </c>
      <c r="T431" s="1">
        <v>42705</v>
      </c>
      <c r="U431" s="1">
        <v>42705</v>
      </c>
      <c r="V431" t="s">
        <v>260</v>
      </c>
      <c r="W431">
        <v>23383000</v>
      </c>
      <c r="X431">
        <v>23383000</v>
      </c>
      <c r="Y431" t="s">
        <v>270</v>
      </c>
      <c r="Z431">
        <v>7236854.3200000003</v>
      </c>
      <c r="AA431">
        <v>7236854</v>
      </c>
      <c r="AB431" t="b">
        <v>0</v>
      </c>
      <c r="AC431">
        <v>1</v>
      </c>
    </row>
    <row r="432" spans="17:29" x14ac:dyDescent="0.2">
      <c r="Q432" t="s">
        <v>2067</v>
      </c>
      <c r="R432" t="s">
        <v>2206</v>
      </c>
      <c r="S432" t="s">
        <v>257</v>
      </c>
      <c r="T432" s="1">
        <v>42339</v>
      </c>
      <c r="U432" s="1">
        <v>42339</v>
      </c>
      <c r="V432" t="s">
        <v>260</v>
      </c>
      <c r="W432">
        <v>575000</v>
      </c>
      <c r="X432">
        <v>575000</v>
      </c>
      <c r="Y432" t="s">
        <v>270</v>
      </c>
      <c r="Z432">
        <v>177957.97</v>
      </c>
      <c r="AA432">
        <v>177957</v>
      </c>
      <c r="AB432" t="b">
        <v>0</v>
      </c>
      <c r="AC432">
        <v>1</v>
      </c>
    </row>
    <row r="433" spans="17:29" x14ac:dyDescent="0.2">
      <c r="Q433" t="s">
        <v>1998</v>
      </c>
      <c r="R433" t="s">
        <v>2207</v>
      </c>
      <c r="S433" t="s">
        <v>257</v>
      </c>
      <c r="T433" s="1">
        <v>43070</v>
      </c>
      <c r="U433" s="1">
        <v>43070</v>
      </c>
      <c r="V433" t="s">
        <v>260</v>
      </c>
      <c r="W433">
        <v>71404</v>
      </c>
      <c r="X433">
        <v>71404</v>
      </c>
      <c r="Y433" t="s">
        <v>270</v>
      </c>
      <c r="Z433">
        <v>22098.98</v>
      </c>
      <c r="AA433">
        <v>22098</v>
      </c>
      <c r="AB433" t="b">
        <v>0</v>
      </c>
      <c r="AC433">
        <v>1</v>
      </c>
    </row>
    <row r="434" spans="17:29" x14ac:dyDescent="0.2">
      <c r="Q434" t="s">
        <v>1998</v>
      </c>
      <c r="R434" t="s">
        <v>2207</v>
      </c>
      <c r="S434" t="s">
        <v>257</v>
      </c>
      <c r="T434" s="1">
        <v>42705</v>
      </c>
      <c r="U434" s="1">
        <v>42705</v>
      </c>
      <c r="V434" t="s">
        <v>260</v>
      </c>
      <c r="W434">
        <v>1358000</v>
      </c>
      <c r="X434">
        <v>1358000</v>
      </c>
      <c r="Y434" t="s">
        <v>270</v>
      </c>
      <c r="Z434">
        <v>420290.3</v>
      </c>
      <c r="AA434">
        <v>420290</v>
      </c>
      <c r="AB434" t="b">
        <v>0</v>
      </c>
      <c r="AC434">
        <v>1</v>
      </c>
    </row>
    <row r="435" spans="17:29" x14ac:dyDescent="0.2">
      <c r="Q435" t="s">
        <v>2067</v>
      </c>
      <c r="R435" t="s">
        <v>2207</v>
      </c>
      <c r="S435" t="s">
        <v>257</v>
      </c>
      <c r="T435" s="1">
        <v>43070</v>
      </c>
      <c r="U435" s="1">
        <v>43070</v>
      </c>
      <c r="V435" t="s">
        <v>260</v>
      </c>
      <c r="W435">
        <v>71404</v>
      </c>
      <c r="X435">
        <v>71404</v>
      </c>
      <c r="Y435" t="s">
        <v>270</v>
      </c>
      <c r="Z435">
        <v>22098.98</v>
      </c>
      <c r="AA435">
        <v>22098</v>
      </c>
      <c r="AB435" t="b">
        <v>0</v>
      </c>
      <c r="AC435">
        <v>1</v>
      </c>
    </row>
    <row r="436" spans="17:29" x14ac:dyDescent="0.2">
      <c r="Q436" t="s">
        <v>2067</v>
      </c>
      <c r="R436" t="s">
        <v>2207</v>
      </c>
      <c r="S436" t="s">
        <v>257</v>
      </c>
      <c r="T436" s="1">
        <v>42705</v>
      </c>
      <c r="U436" s="1">
        <v>42705</v>
      </c>
      <c r="V436" t="s">
        <v>260</v>
      </c>
      <c r="W436">
        <v>1358000</v>
      </c>
      <c r="X436">
        <v>1358000</v>
      </c>
      <c r="Y436" t="s">
        <v>270</v>
      </c>
      <c r="Z436">
        <v>420290.3</v>
      </c>
      <c r="AA436">
        <v>420290</v>
      </c>
      <c r="AB436" t="b">
        <v>0</v>
      </c>
      <c r="AC436">
        <v>1</v>
      </c>
    </row>
    <row r="437" spans="17:29" x14ac:dyDescent="0.2">
      <c r="Q437" t="s">
        <v>2208</v>
      </c>
      <c r="R437" t="s">
        <v>2209</v>
      </c>
      <c r="S437" t="s">
        <v>257</v>
      </c>
      <c r="T437" s="1">
        <v>43070</v>
      </c>
      <c r="U437" s="1">
        <v>43070</v>
      </c>
      <c r="V437" t="s">
        <v>260</v>
      </c>
      <c r="W437">
        <v>4356311</v>
      </c>
      <c r="X437">
        <v>4356311</v>
      </c>
      <c r="Y437" t="s">
        <v>270</v>
      </c>
      <c r="Z437">
        <v>1348243.94</v>
      </c>
      <c r="AA437">
        <v>1348243</v>
      </c>
      <c r="AB437" t="b">
        <v>0</v>
      </c>
      <c r="AC437">
        <v>1</v>
      </c>
    </row>
    <row r="438" spans="17:29" x14ac:dyDescent="0.2">
      <c r="Q438" t="s">
        <v>2208</v>
      </c>
      <c r="R438" t="s">
        <v>2209</v>
      </c>
      <c r="S438" t="s">
        <v>257</v>
      </c>
      <c r="T438" s="1">
        <v>42705</v>
      </c>
      <c r="U438" s="1">
        <v>42705</v>
      </c>
      <c r="V438" t="s">
        <v>260</v>
      </c>
      <c r="W438">
        <v>2660000</v>
      </c>
      <c r="X438">
        <v>2660000</v>
      </c>
      <c r="Y438" t="s">
        <v>270</v>
      </c>
      <c r="Z438">
        <v>823249.05</v>
      </c>
      <c r="AA438">
        <v>823249</v>
      </c>
      <c r="AB438" t="b">
        <v>0</v>
      </c>
      <c r="AC438">
        <v>1</v>
      </c>
    </row>
    <row r="439" spans="17:29" x14ac:dyDescent="0.2">
      <c r="Q439" t="s">
        <v>2208</v>
      </c>
      <c r="R439" t="s">
        <v>2209</v>
      </c>
      <c r="S439" t="s">
        <v>257</v>
      </c>
      <c r="T439" s="1">
        <v>42339</v>
      </c>
      <c r="U439" s="1">
        <v>42339</v>
      </c>
      <c r="V439" t="s">
        <v>260</v>
      </c>
      <c r="W439">
        <v>883000</v>
      </c>
      <c r="X439">
        <v>883000</v>
      </c>
      <c r="Y439" t="s">
        <v>270</v>
      </c>
      <c r="Z439">
        <v>273281.53999999998</v>
      </c>
      <c r="AA439">
        <v>273281</v>
      </c>
      <c r="AB439" t="b">
        <v>0</v>
      </c>
      <c r="AC439">
        <v>1</v>
      </c>
    </row>
    <row r="440" spans="17:29" x14ac:dyDescent="0.2">
      <c r="Q440" t="s">
        <v>2210</v>
      </c>
      <c r="R440" t="s">
        <v>2209</v>
      </c>
      <c r="S440" t="s">
        <v>257</v>
      </c>
      <c r="T440" s="1">
        <v>43070</v>
      </c>
      <c r="U440" s="1">
        <v>43070</v>
      </c>
      <c r="V440" t="s">
        <v>260</v>
      </c>
      <c r="W440">
        <v>4356311</v>
      </c>
      <c r="X440">
        <v>4356311</v>
      </c>
      <c r="Y440" t="s">
        <v>270</v>
      </c>
      <c r="Z440">
        <v>1348243.94</v>
      </c>
      <c r="AA440">
        <v>1348243</v>
      </c>
      <c r="AB440" t="b">
        <v>0</v>
      </c>
      <c r="AC440">
        <v>1</v>
      </c>
    </row>
    <row r="441" spans="17:29" x14ac:dyDescent="0.2">
      <c r="Q441" t="s">
        <v>2210</v>
      </c>
      <c r="R441" t="s">
        <v>2209</v>
      </c>
      <c r="S441" t="s">
        <v>257</v>
      </c>
      <c r="T441" s="1">
        <v>42705</v>
      </c>
      <c r="U441" s="1">
        <v>42705</v>
      </c>
      <c r="V441" t="s">
        <v>260</v>
      </c>
      <c r="W441">
        <v>2660000</v>
      </c>
      <c r="X441">
        <v>2660000</v>
      </c>
      <c r="Y441" t="s">
        <v>270</v>
      </c>
      <c r="Z441">
        <v>823249.05</v>
      </c>
      <c r="AA441">
        <v>823249</v>
      </c>
      <c r="AB441" t="b">
        <v>0</v>
      </c>
      <c r="AC441">
        <v>1</v>
      </c>
    </row>
    <row r="442" spans="17:29" x14ac:dyDescent="0.2">
      <c r="Q442" t="s">
        <v>2210</v>
      </c>
      <c r="R442" t="s">
        <v>2209</v>
      </c>
      <c r="S442" t="s">
        <v>257</v>
      </c>
      <c r="T442" s="1">
        <v>42339</v>
      </c>
      <c r="U442" s="1">
        <v>42339</v>
      </c>
      <c r="V442" t="s">
        <v>260</v>
      </c>
      <c r="W442">
        <v>883000</v>
      </c>
      <c r="X442">
        <v>883000</v>
      </c>
      <c r="Y442" t="s">
        <v>270</v>
      </c>
      <c r="Z442">
        <v>273281.53999999998</v>
      </c>
      <c r="AA442">
        <v>273281</v>
      </c>
      <c r="AB442" t="b">
        <v>0</v>
      </c>
      <c r="AC442">
        <v>1</v>
      </c>
    </row>
    <row r="443" spans="17:29" x14ac:dyDescent="0.2">
      <c r="Q443" t="s">
        <v>2208</v>
      </c>
      <c r="R443" t="s">
        <v>2211</v>
      </c>
      <c r="S443" t="s">
        <v>257</v>
      </c>
      <c r="T443" s="1">
        <v>43070</v>
      </c>
      <c r="U443" s="1">
        <v>43070</v>
      </c>
      <c r="V443" t="s">
        <v>260</v>
      </c>
      <c r="W443">
        <v>2473285</v>
      </c>
      <c r="X443">
        <v>2473285</v>
      </c>
      <c r="Y443" t="s">
        <v>270</v>
      </c>
      <c r="Z443">
        <v>765462.23</v>
      </c>
      <c r="AA443">
        <v>765462</v>
      </c>
      <c r="AB443" t="b">
        <v>0</v>
      </c>
      <c r="AC443">
        <v>1</v>
      </c>
    </row>
    <row r="444" spans="17:29" x14ac:dyDescent="0.2">
      <c r="Q444" t="s">
        <v>2208</v>
      </c>
      <c r="R444" t="s">
        <v>2211</v>
      </c>
      <c r="S444" t="s">
        <v>257</v>
      </c>
      <c r="T444" s="1">
        <v>42705</v>
      </c>
      <c r="U444" s="1">
        <v>42705</v>
      </c>
      <c r="V444" t="s">
        <v>260</v>
      </c>
      <c r="W444">
        <v>4790000</v>
      </c>
      <c r="X444">
        <v>4790000</v>
      </c>
      <c r="Y444" t="s">
        <v>270</v>
      </c>
      <c r="Z444">
        <v>1482467.27</v>
      </c>
      <c r="AA444">
        <v>1482467</v>
      </c>
      <c r="AB444" t="b">
        <v>0</v>
      </c>
      <c r="AC444">
        <v>1</v>
      </c>
    </row>
    <row r="445" spans="17:29" x14ac:dyDescent="0.2">
      <c r="Q445" t="s">
        <v>2208</v>
      </c>
      <c r="R445" t="s">
        <v>2211</v>
      </c>
      <c r="S445" t="s">
        <v>257</v>
      </c>
      <c r="T445" s="1">
        <v>42339</v>
      </c>
      <c r="U445" s="1">
        <v>42339</v>
      </c>
      <c r="V445" t="s">
        <v>260</v>
      </c>
      <c r="W445">
        <v>5321000</v>
      </c>
      <c r="X445">
        <v>5321000</v>
      </c>
      <c r="Y445" t="s">
        <v>270</v>
      </c>
      <c r="Z445">
        <v>1646807.59</v>
      </c>
      <c r="AA445">
        <v>1646807</v>
      </c>
      <c r="AB445" t="b">
        <v>0</v>
      </c>
      <c r="AC445">
        <v>1</v>
      </c>
    </row>
    <row r="446" spans="17:29" x14ac:dyDescent="0.2">
      <c r="Q446" t="s">
        <v>2210</v>
      </c>
      <c r="R446" t="s">
        <v>2211</v>
      </c>
      <c r="S446" t="s">
        <v>257</v>
      </c>
      <c r="T446" s="1">
        <v>43070</v>
      </c>
      <c r="U446" s="1">
        <v>43070</v>
      </c>
      <c r="V446" t="s">
        <v>260</v>
      </c>
      <c r="W446">
        <v>2473285</v>
      </c>
      <c r="X446">
        <v>2473285</v>
      </c>
      <c r="Y446" t="s">
        <v>270</v>
      </c>
      <c r="Z446">
        <v>765462.23</v>
      </c>
      <c r="AA446">
        <v>765462</v>
      </c>
      <c r="AB446" t="b">
        <v>0</v>
      </c>
      <c r="AC446">
        <v>1</v>
      </c>
    </row>
    <row r="447" spans="17:29" x14ac:dyDescent="0.2">
      <c r="Q447" t="s">
        <v>2210</v>
      </c>
      <c r="R447" t="s">
        <v>2211</v>
      </c>
      <c r="S447" t="s">
        <v>257</v>
      </c>
      <c r="T447" s="1">
        <v>42705</v>
      </c>
      <c r="U447" s="1">
        <v>42705</v>
      </c>
      <c r="V447" t="s">
        <v>260</v>
      </c>
      <c r="W447">
        <v>4790000</v>
      </c>
      <c r="X447">
        <v>4790000</v>
      </c>
      <c r="Y447" t="s">
        <v>270</v>
      </c>
      <c r="Z447">
        <v>1482467.27</v>
      </c>
      <c r="AA447">
        <v>1482467</v>
      </c>
      <c r="AB447" t="b">
        <v>0</v>
      </c>
      <c r="AC447">
        <v>1</v>
      </c>
    </row>
    <row r="448" spans="17:29" x14ac:dyDescent="0.2">
      <c r="Q448" t="s">
        <v>2210</v>
      </c>
      <c r="R448" t="s">
        <v>2211</v>
      </c>
      <c r="S448" t="s">
        <v>257</v>
      </c>
      <c r="T448" s="1">
        <v>42339</v>
      </c>
      <c r="U448" s="1">
        <v>42339</v>
      </c>
      <c r="V448" t="s">
        <v>260</v>
      </c>
      <c r="W448">
        <v>5321000</v>
      </c>
      <c r="X448">
        <v>5321000</v>
      </c>
      <c r="Y448" t="s">
        <v>270</v>
      </c>
      <c r="Z448">
        <v>1646807.59</v>
      </c>
      <c r="AA448">
        <v>1646807</v>
      </c>
      <c r="AB448" t="b">
        <v>0</v>
      </c>
      <c r="AC448">
        <v>1</v>
      </c>
    </row>
    <row r="449" spans="17:29" x14ac:dyDescent="0.2">
      <c r="Q449" t="s">
        <v>2080</v>
      </c>
      <c r="R449" t="s">
        <v>2212</v>
      </c>
      <c r="S449" t="s">
        <v>257</v>
      </c>
      <c r="T449" s="1">
        <v>43800</v>
      </c>
      <c r="U449" s="1">
        <v>43800</v>
      </c>
      <c r="V449" t="s">
        <v>260</v>
      </c>
      <c r="W449">
        <v>261762571</v>
      </c>
      <c r="X449">
        <v>261762571</v>
      </c>
      <c r="Y449" t="s">
        <v>270</v>
      </c>
      <c r="Z449">
        <v>80790916.980000004</v>
      </c>
      <c r="AA449">
        <v>80790916</v>
      </c>
      <c r="AB449" t="b">
        <v>0</v>
      </c>
      <c r="AC449">
        <v>1</v>
      </c>
    </row>
    <row r="450" spans="17:29" x14ac:dyDescent="0.2">
      <c r="Q450" t="s">
        <v>2080</v>
      </c>
      <c r="R450" t="s">
        <v>2212</v>
      </c>
      <c r="S450" t="s">
        <v>257</v>
      </c>
      <c r="T450" s="1">
        <v>43435</v>
      </c>
      <c r="U450" s="1">
        <v>43435</v>
      </c>
      <c r="V450" t="s">
        <v>260</v>
      </c>
      <c r="W450">
        <v>614377034</v>
      </c>
      <c r="X450">
        <v>614377034</v>
      </c>
      <c r="Y450" t="s">
        <v>270</v>
      </c>
      <c r="Z450">
        <v>194878998.97</v>
      </c>
      <c r="AA450">
        <v>194878998</v>
      </c>
      <c r="AB450" t="b">
        <v>0</v>
      </c>
      <c r="AC450">
        <v>1</v>
      </c>
    </row>
    <row r="451" spans="17:29" x14ac:dyDescent="0.2">
      <c r="Q451" t="s">
        <v>2080</v>
      </c>
      <c r="R451" t="s">
        <v>2212</v>
      </c>
      <c r="S451" t="s">
        <v>257</v>
      </c>
      <c r="T451" s="1">
        <v>43070</v>
      </c>
      <c r="U451" s="1">
        <v>43070</v>
      </c>
      <c r="V451" t="s">
        <v>260</v>
      </c>
      <c r="W451">
        <v>461577788</v>
      </c>
      <c r="X451">
        <v>461577788</v>
      </c>
      <c r="Y451" t="s">
        <v>270</v>
      </c>
      <c r="Z451">
        <v>142854689.72999999</v>
      </c>
      <c r="AA451">
        <v>142854689</v>
      </c>
      <c r="AB451" t="b">
        <v>0</v>
      </c>
      <c r="AC451">
        <v>1</v>
      </c>
    </row>
    <row r="452" spans="17:29" x14ac:dyDescent="0.2">
      <c r="Q452" t="s">
        <v>2080</v>
      </c>
      <c r="R452" t="s">
        <v>2212</v>
      </c>
      <c r="S452" t="s">
        <v>257</v>
      </c>
      <c r="T452" s="1">
        <v>42705</v>
      </c>
      <c r="U452" s="1">
        <v>42705</v>
      </c>
      <c r="V452" t="s">
        <v>260</v>
      </c>
      <c r="W452">
        <v>340993000</v>
      </c>
      <c r="X452">
        <v>340993000</v>
      </c>
      <c r="Y452" t="s">
        <v>270</v>
      </c>
      <c r="Z452">
        <v>105534647.64</v>
      </c>
      <c r="AA452">
        <v>105534647</v>
      </c>
      <c r="AB452" t="b">
        <v>0</v>
      </c>
      <c r="AC452">
        <v>1</v>
      </c>
    </row>
    <row r="453" spans="17:29" x14ac:dyDescent="0.2">
      <c r="Q453" t="s">
        <v>2080</v>
      </c>
      <c r="R453" t="s">
        <v>2212</v>
      </c>
      <c r="S453" t="s">
        <v>257</v>
      </c>
      <c r="T453" s="1">
        <v>42339</v>
      </c>
      <c r="U453" s="1">
        <v>42339</v>
      </c>
      <c r="V453" t="s">
        <v>260</v>
      </c>
      <c r="W453">
        <v>362788000</v>
      </c>
      <c r="X453">
        <v>362788000</v>
      </c>
      <c r="Y453" t="s">
        <v>270</v>
      </c>
      <c r="Z453">
        <v>112280028.47</v>
      </c>
      <c r="AA453">
        <v>112280028</v>
      </c>
      <c r="AB453" t="b">
        <v>0</v>
      </c>
      <c r="AC453">
        <v>1</v>
      </c>
    </row>
    <row r="454" spans="17:29" x14ac:dyDescent="0.2">
      <c r="Q454" t="s">
        <v>2082</v>
      </c>
      <c r="R454" t="s">
        <v>2212</v>
      </c>
      <c r="S454" t="s">
        <v>257</v>
      </c>
      <c r="T454" s="1">
        <v>43800</v>
      </c>
      <c r="U454" s="1">
        <v>43800</v>
      </c>
      <c r="V454" t="s">
        <v>260</v>
      </c>
      <c r="W454">
        <v>261762571</v>
      </c>
      <c r="X454">
        <v>261762571</v>
      </c>
      <c r="Y454" t="s">
        <v>270</v>
      </c>
      <c r="Z454">
        <v>80790916.980000004</v>
      </c>
      <c r="AA454">
        <v>80790916</v>
      </c>
      <c r="AB454" t="b">
        <v>0</v>
      </c>
      <c r="AC454">
        <v>1</v>
      </c>
    </row>
    <row r="455" spans="17:29" x14ac:dyDescent="0.2">
      <c r="Q455" t="s">
        <v>2082</v>
      </c>
      <c r="R455" t="s">
        <v>2212</v>
      </c>
      <c r="S455" t="s">
        <v>257</v>
      </c>
      <c r="T455" s="1">
        <v>43435</v>
      </c>
      <c r="U455" s="1">
        <v>43435</v>
      </c>
      <c r="V455" t="s">
        <v>260</v>
      </c>
      <c r="W455">
        <v>614377034</v>
      </c>
      <c r="X455">
        <v>614377034</v>
      </c>
      <c r="Y455" t="s">
        <v>270</v>
      </c>
      <c r="Z455">
        <v>194878998.97</v>
      </c>
      <c r="AA455">
        <v>194878998</v>
      </c>
      <c r="AB455" t="b">
        <v>0</v>
      </c>
      <c r="AC455">
        <v>1</v>
      </c>
    </row>
    <row r="456" spans="17:29" x14ac:dyDescent="0.2">
      <c r="Q456" t="s">
        <v>2082</v>
      </c>
      <c r="R456" t="s">
        <v>2212</v>
      </c>
      <c r="S456" t="s">
        <v>257</v>
      </c>
      <c r="T456" s="1">
        <v>43070</v>
      </c>
      <c r="U456" s="1">
        <v>43070</v>
      </c>
      <c r="V456" t="s">
        <v>260</v>
      </c>
      <c r="W456">
        <v>461577788</v>
      </c>
      <c r="X456">
        <v>461577788</v>
      </c>
      <c r="Y456" t="s">
        <v>270</v>
      </c>
      <c r="Z456">
        <v>142854689.72999999</v>
      </c>
      <c r="AA456">
        <v>142854689</v>
      </c>
      <c r="AB456" t="b">
        <v>0</v>
      </c>
      <c r="AC456">
        <v>1</v>
      </c>
    </row>
    <row r="457" spans="17:29" x14ac:dyDescent="0.2">
      <c r="Q457" t="s">
        <v>2082</v>
      </c>
      <c r="R457" t="s">
        <v>2212</v>
      </c>
      <c r="S457" t="s">
        <v>257</v>
      </c>
      <c r="T457" s="1">
        <v>42705</v>
      </c>
      <c r="U457" s="1">
        <v>42705</v>
      </c>
      <c r="V457" t="s">
        <v>260</v>
      </c>
      <c r="W457">
        <v>340993000</v>
      </c>
      <c r="X457">
        <v>340993000</v>
      </c>
      <c r="Y457" t="s">
        <v>270</v>
      </c>
      <c r="Z457">
        <v>105534647.64</v>
      </c>
      <c r="AA457">
        <v>105534647</v>
      </c>
      <c r="AB457" t="b">
        <v>0</v>
      </c>
      <c r="AC457">
        <v>1</v>
      </c>
    </row>
    <row r="458" spans="17:29" x14ac:dyDescent="0.2">
      <c r="Q458" t="s">
        <v>2082</v>
      </c>
      <c r="R458" t="s">
        <v>2212</v>
      </c>
      <c r="S458" t="s">
        <v>257</v>
      </c>
      <c r="T458" s="1">
        <v>42339</v>
      </c>
      <c r="U458" s="1">
        <v>42339</v>
      </c>
      <c r="V458" t="s">
        <v>260</v>
      </c>
      <c r="W458">
        <v>362788000</v>
      </c>
      <c r="X458">
        <v>362788000</v>
      </c>
      <c r="Y458" t="s">
        <v>270</v>
      </c>
      <c r="Z458">
        <v>112280028.47</v>
      </c>
      <c r="AA458">
        <v>112280028</v>
      </c>
      <c r="AB458" t="b">
        <v>0</v>
      </c>
      <c r="AC458">
        <v>1</v>
      </c>
    </row>
    <row r="459" spans="17:29" x14ac:dyDescent="0.2">
      <c r="Q459" t="s">
        <v>2080</v>
      </c>
      <c r="R459" t="s">
        <v>2213</v>
      </c>
      <c r="S459" t="s">
        <v>257</v>
      </c>
      <c r="T459" s="1">
        <v>43070</v>
      </c>
      <c r="U459" s="1">
        <v>43070</v>
      </c>
      <c r="V459" t="s">
        <v>260</v>
      </c>
      <c r="W459">
        <v>24340869</v>
      </c>
      <c r="X459">
        <v>24340869</v>
      </c>
      <c r="Y459" t="s">
        <v>270</v>
      </c>
      <c r="Z459">
        <v>7533307.2300000004</v>
      </c>
      <c r="AA459">
        <v>7533307</v>
      </c>
      <c r="AB459" t="b">
        <v>0</v>
      </c>
      <c r="AC459">
        <v>1</v>
      </c>
    </row>
    <row r="460" spans="17:29" x14ac:dyDescent="0.2">
      <c r="Q460" t="s">
        <v>2082</v>
      </c>
      <c r="R460" t="s">
        <v>2213</v>
      </c>
      <c r="S460" t="s">
        <v>257</v>
      </c>
      <c r="T460" s="1">
        <v>43070</v>
      </c>
      <c r="U460" s="1">
        <v>43070</v>
      </c>
      <c r="V460" t="s">
        <v>260</v>
      </c>
      <c r="W460">
        <v>24340869</v>
      </c>
      <c r="X460">
        <v>24340869</v>
      </c>
      <c r="Y460" t="s">
        <v>270</v>
      </c>
      <c r="Z460">
        <v>7533307.2300000004</v>
      </c>
      <c r="AA460">
        <v>7533307</v>
      </c>
      <c r="AB460" t="b">
        <v>0</v>
      </c>
      <c r="AC460">
        <v>1</v>
      </c>
    </row>
    <row r="461" spans="17:29" x14ac:dyDescent="0.2">
      <c r="Q461" t="s">
        <v>2208</v>
      </c>
      <c r="R461" t="s">
        <v>2214</v>
      </c>
      <c r="S461" t="s">
        <v>257</v>
      </c>
      <c r="T461" s="1">
        <v>43070</v>
      </c>
      <c r="U461" s="1">
        <v>43070</v>
      </c>
      <c r="V461" t="s">
        <v>260</v>
      </c>
      <c r="W461">
        <v>488334</v>
      </c>
      <c r="X461">
        <v>488334</v>
      </c>
      <c r="Y461" t="s">
        <v>270</v>
      </c>
      <c r="Z461">
        <v>151135.53</v>
      </c>
      <c r="AA461">
        <v>151135</v>
      </c>
      <c r="AB461" t="b">
        <v>0</v>
      </c>
      <c r="AC461">
        <v>1</v>
      </c>
    </row>
    <row r="462" spans="17:29" x14ac:dyDescent="0.2">
      <c r="Q462" t="s">
        <v>2210</v>
      </c>
      <c r="R462" t="s">
        <v>2214</v>
      </c>
      <c r="S462" t="s">
        <v>257</v>
      </c>
      <c r="T462" s="1">
        <v>43070</v>
      </c>
      <c r="U462" s="1">
        <v>43070</v>
      </c>
      <c r="V462" t="s">
        <v>260</v>
      </c>
      <c r="W462">
        <v>488334</v>
      </c>
      <c r="X462">
        <v>488334</v>
      </c>
      <c r="Y462" t="s">
        <v>270</v>
      </c>
      <c r="Z462">
        <v>151135.53</v>
      </c>
      <c r="AA462">
        <v>151135</v>
      </c>
      <c r="AB462" t="b">
        <v>0</v>
      </c>
      <c r="AC462">
        <v>1</v>
      </c>
    </row>
    <row r="463" spans="17:29" x14ac:dyDescent="0.2">
      <c r="Q463" t="s">
        <v>1998</v>
      </c>
      <c r="R463" t="s">
        <v>2215</v>
      </c>
      <c r="S463" t="s">
        <v>287</v>
      </c>
      <c r="T463" s="1">
        <v>43465</v>
      </c>
      <c r="U463" s="1">
        <v>43465</v>
      </c>
      <c r="V463" t="s">
        <v>2185</v>
      </c>
      <c r="W463">
        <v>3480517319</v>
      </c>
      <c r="X463">
        <v>3480517319</v>
      </c>
      <c r="Y463" t="s">
        <v>290</v>
      </c>
      <c r="Z463">
        <v>126262</v>
      </c>
      <c r="AA463">
        <v>5002972</v>
      </c>
      <c r="AB463" t="b">
        <v>1</v>
      </c>
      <c r="AC463">
        <v>0.52</v>
      </c>
    </row>
    <row r="464" spans="17:29" x14ac:dyDescent="0.2">
      <c r="Q464" t="s">
        <v>2018</v>
      </c>
      <c r="R464" t="s">
        <v>2216</v>
      </c>
      <c r="S464" t="s">
        <v>343</v>
      </c>
      <c r="T464" s="1">
        <v>43100</v>
      </c>
      <c r="U464" s="1">
        <v>43100</v>
      </c>
      <c r="V464" t="s">
        <v>345</v>
      </c>
      <c r="W464">
        <v>481403932</v>
      </c>
      <c r="X464">
        <v>194639999</v>
      </c>
      <c r="Y464" t="s">
        <v>345</v>
      </c>
      <c r="Z464">
        <v>194639999</v>
      </c>
      <c r="AA464">
        <v>10111548</v>
      </c>
      <c r="AB464" t="b">
        <v>1</v>
      </c>
      <c r="AC464">
        <v>0.19</v>
      </c>
    </row>
    <row r="465" spans="17:29" x14ac:dyDescent="0.2">
      <c r="Q465" t="s">
        <v>2018</v>
      </c>
      <c r="R465" t="s">
        <v>2216</v>
      </c>
      <c r="S465" t="s">
        <v>343</v>
      </c>
      <c r="T465" s="1">
        <v>43100</v>
      </c>
      <c r="U465" s="1">
        <v>43100</v>
      </c>
      <c r="V465" t="s">
        <v>345</v>
      </c>
      <c r="W465">
        <v>481403932</v>
      </c>
      <c r="X465">
        <v>194639999</v>
      </c>
      <c r="Y465" t="s">
        <v>345</v>
      </c>
      <c r="Z465">
        <v>194639999</v>
      </c>
      <c r="AA465">
        <v>10111548</v>
      </c>
      <c r="AB465" t="b">
        <v>1</v>
      </c>
      <c r="AC465">
        <v>0.19</v>
      </c>
    </row>
    <row r="466" spans="17:29" x14ac:dyDescent="0.2">
      <c r="Q466" t="s">
        <v>1998</v>
      </c>
      <c r="R466" t="s">
        <v>2217</v>
      </c>
      <c r="S466" t="s">
        <v>343</v>
      </c>
      <c r="T466" s="1">
        <v>43100</v>
      </c>
      <c r="U466" s="1">
        <v>43100</v>
      </c>
      <c r="V466" t="s">
        <v>345</v>
      </c>
      <c r="W466">
        <v>24330000</v>
      </c>
      <c r="X466">
        <v>24330000</v>
      </c>
      <c r="Y466" t="s">
        <v>345</v>
      </c>
      <c r="Z466">
        <v>24330000</v>
      </c>
      <c r="AA466">
        <v>1263943</v>
      </c>
      <c r="AB466" t="b">
        <v>1</v>
      </c>
      <c r="AC466">
        <v>0.41</v>
      </c>
    </row>
    <row r="467" spans="17:29" x14ac:dyDescent="0.2">
      <c r="Q467" t="s">
        <v>2005</v>
      </c>
      <c r="R467" t="s">
        <v>2217</v>
      </c>
      <c r="S467" t="s">
        <v>343</v>
      </c>
      <c r="T467" s="1">
        <v>43100</v>
      </c>
      <c r="U467" s="1">
        <v>43100</v>
      </c>
      <c r="V467" t="s">
        <v>345</v>
      </c>
      <c r="W467">
        <v>24330000</v>
      </c>
      <c r="X467">
        <v>24330000</v>
      </c>
      <c r="Y467" t="s">
        <v>345</v>
      </c>
      <c r="Z467">
        <v>24330000</v>
      </c>
      <c r="AA467">
        <v>1263943</v>
      </c>
      <c r="AB467" t="b">
        <v>1</v>
      </c>
      <c r="AC467">
        <v>0.41</v>
      </c>
    </row>
    <row r="468" spans="17:29" x14ac:dyDescent="0.2">
      <c r="Q468" t="s">
        <v>1995</v>
      </c>
      <c r="R468" t="s">
        <v>2218</v>
      </c>
      <c r="S468" t="s">
        <v>343</v>
      </c>
      <c r="T468" s="1">
        <v>43100</v>
      </c>
      <c r="U468" s="1">
        <v>43100</v>
      </c>
      <c r="V468" t="s">
        <v>345</v>
      </c>
      <c r="W468">
        <v>36495000</v>
      </c>
      <c r="X468">
        <v>36495000</v>
      </c>
      <c r="Y468" t="s">
        <v>345</v>
      </c>
      <c r="Z468">
        <v>36495000</v>
      </c>
      <c r="AA468">
        <v>1895915</v>
      </c>
      <c r="AB468" t="b">
        <v>1</v>
      </c>
      <c r="AC468">
        <v>0.13</v>
      </c>
    </row>
    <row r="469" spans="17:29" x14ac:dyDescent="0.2">
      <c r="Q469" t="s">
        <v>1997</v>
      </c>
      <c r="R469" t="s">
        <v>2218</v>
      </c>
      <c r="S469" t="s">
        <v>343</v>
      </c>
      <c r="T469" s="1">
        <v>43100</v>
      </c>
      <c r="U469" s="1">
        <v>43100</v>
      </c>
      <c r="V469" t="s">
        <v>345</v>
      </c>
      <c r="W469">
        <v>36495000</v>
      </c>
      <c r="X469">
        <v>36495000</v>
      </c>
      <c r="Y469" t="s">
        <v>345</v>
      </c>
      <c r="Z469">
        <v>36495000</v>
      </c>
      <c r="AA469">
        <v>1895915</v>
      </c>
      <c r="AB469" t="b">
        <v>1</v>
      </c>
      <c r="AC469">
        <v>0.13</v>
      </c>
    </row>
    <row r="470" spans="17:29" x14ac:dyDescent="0.2">
      <c r="Q470" t="s">
        <v>1995</v>
      </c>
      <c r="R470" t="s">
        <v>2219</v>
      </c>
      <c r="S470" t="s">
        <v>343</v>
      </c>
      <c r="T470" s="1">
        <v>43100</v>
      </c>
      <c r="U470" s="1">
        <v>43100</v>
      </c>
      <c r="V470" t="s">
        <v>345</v>
      </c>
      <c r="W470">
        <v>25546500</v>
      </c>
      <c r="X470">
        <v>25546500</v>
      </c>
      <c r="Y470" t="s">
        <v>345</v>
      </c>
      <c r="Z470">
        <v>25546500</v>
      </c>
      <c r="AA470">
        <v>1327141</v>
      </c>
      <c r="AB470" t="b">
        <v>1</v>
      </c>
      <c r="AC470">
        <v>0.48</v>
      </c>
    </row>
    <row r="471" spans="17:29" x14ac:dyDescent="0.2">
      <c r="Q471" t="s">
        <v>1997</v>
      </c>
      <c r="R471" t="s">
        <v>2219</v>
      </c>
      <c r="S471" t="s">
        <v>343</v>
      </c>
      <c r="T471" s="1">
        <v>43100</v>
      </c>
      <c r="U471" s="1">
        <v>43100</v>
      </c>
      <c r="V471" t="s">
        <v>345</v>
      </c>
      <c r="W471">
        <v>25546500</v>
      </c>
      <c r="X471">
        <v>25546500</v>
      </c>
      <c r="Y471" t="s">
        <v>345</v>
      </c>
      <c r="Z471">
        <v>25546500</v>
      </c>
      <c r="AA471">
        <v>1327141</v>
      </c>
      <c r="AB471" t="b">
        <v>1</v>
      </c>
      <c r="AC471">
        <v>0.48</v>
      </c>
    </row>
    <row r="472" spans="17:29" x14ac:dyDescent="0.2">
      <c r="Q472" t="s">
        <v>1995</v>
      </c>
      <c r="R472" t="s">
        <v>2220</v>
      </c>
      <c r="S472" t="s">
        <v>343</v>
      </c>
      <c r="T472" s="1">
        <v>43100</v>
      </c>
      <c r="U472" s="1">
        <v>43100</v>
      </c>
      <c r="V472" t="s">
        <v>345</v>
      </c>
      <c r="W472">
        <v>8515500</v>
      </c>
      <c r="X472">
        <v>8515500</v>
      </c>
      <c r="Y472" t="s">
        <v>345</v>
      </c>
      <c r="Z472">
        <v>8515500</v>
      </c>
      <c r="AA472">
        <v>442380</v>
      </c>
      <c r="AB472" t="b">
        <v>1</v>
      </c>
      <c r="AC472">
        <v>0.24</v>
      </c>
    </row>
    <row r="473" spans="17:29" x14ac:dyDescent="0.2">
      <c r="Q473" t="s">
        <v>1997</v>
      </c>
      <c r="R473" t="s">
        <v>2220</v>
      </c>
      <c r="S473" t="s">
        <v>343</v>
      </c>
      <c r="T473" s="1">
        <v>43100</v>
      </c>
      <c r="U473" s="1">
        <v>43100</v>
      </c>
      <c r="V473" t="s">
        <v>345</v>
      </c>
      <c r="W473">
        <v>8515500</v>
      </c>
      <c r="X473">
        <v>8515500</v>
      </c>
      <c r="Y473" t="s">
        <v>345</v>
      </c>
      <c r="Z473">
        <v>8515500</v>
      </c>
      <c r="AA473">
        <v>442380</v>
      </c>
      <c r="AB473" t="b">
        <v>1</v>
      </c>
      <c r="AC473">
        <v>0.24</v>
      </c>
    </row>
    <row r="474" spans="17:29" x14ac:dyDescent="0.2">
      <c r="Q474" t="s">
        <v>2003</v>
      </c>
      <c r="R474" t="s">
        <v>2221</v>
      </c>
      <c r="S474" t="s">
        <v>343</v>
      </c>
      <c r="T474" s="1">
        <v>43100</v>
      </c>
      <c r="U474" s="1">
        <v>43100</v>
      </c>
      <c r="V474" t="s">
        <v>345</v>
      </c>
      <c r="W474">
        <v>3649500</v>
      </c>
      <c r="X474">
        <v>3649500</v>
      </c>
      <c r="Y474" t="s">
        <v>345</v>
      </c>
      <c r="Z474">
        <v>3649500</v>
      </c>
      <c r="AA474">
        <v>189592</v>
      </c>
      <c r="AB474" t="b">
        <v>1</v>
      </c>
      <c r="AC474">
        <v>0.04</v>
      </c>
    </row>
    <row r="475" spans="17:29" x14ac:dyDescent="0.2">
      <c r="Q475" t="s">
        <v>2000</v>
      </c>
      <c r="R475" t="s">
        <v>2221</v>
      </c>
      <c r="S475" t="s">
        <v>343</v>
      </c>
      <c r="T475" s="1">
        <v>43100</v>
      </c>
      <c r="U475" s="1">
        <v>43100</v>
      </c>
      <c r="V475" t="s">
        <v>345</v>
      </c>
      <c r="W475">
        <v>3649500</v>
      </c>
      <c r="X475">
        <v>3649500</v>
      </c>
      <c r="Y475" t="s">
        <v>345</v>
      </c>
      <c r="Z475">
        <v>3649500</v>
      </c>
      <c r="AA475">
        <v>189592</v>
      </c>
      <c r="AB475" t="b">
        <v>1</v>
      </c>
      <c r="AC475">
        <v>0.04</v>
      </c>
    </row>
    <row r="476" spans="17:29" x14ac:dyDescent="0.2">
      <c r="Q476" t="s">
        <v>1998</v>
      </c>
      <c r="R476" t="s">
        <v>2222</v>
      </c>
      <c r="S476" t="s">
        <v>343</v>
      </c>
      <c r="T476" s="1">
        <v>43100</v>
      </c>
      <c r="U476" s="1">
        <v>43100</v>
      </c>
      <c r="V476" t="s">
        <v>345</v>
      </c>
      <c r="W476">
        <v>2433000</v>
      </c>
      <c r="X476">
        <v>2433000</v>
      </c>
      <c r="Y476" t="s">
        <v>345</v>
      </c>
      <c r="Z476">
        <v>2433000</v>
      </c>
      <c r="AA476">
        <v>126394</v>
      </c>
      <c r="AB476" t="b">
        <v>1</v>
      </c>
      <c r="AC476">
        <v>0.22</v>
      </c>
    </row>
    <row r="477" spans="17:29" x14ac:dyDescent="0.2">
      <c r="Q477" t="s">
        <v>2005</v>
      </c>
      <c r="R477" t="s">
        <v>2222</v>
      </c>
      <c r="S477" t="s">
        <v>343</v>
      </c>
      <c r="T477" s="1">
        <v>43100</v>
      </c>
      <c r="U477" s="1">
        <v>43100</v>
      </c>
      <c r="V477" t="s">
        <v>345</v>
      </c>
      <c r="W477">
        <v>2433000</v>
      </c>
      <c r="X477">
        <v>2433000</v>
      </c>
      <c r="Y477" t="s">
        <v>345</v>
      </c>
      <c r="Z477">
        <v>2433000</v>
      </c>
      <c r="AA477">
        <v>126394</v>
      </c>
      <c r="AB477" t="b">
        <v>1</v>
      </c>
      <c r="AC477">
        <v>0.22</v>
      </c>
    </row>
    <row r="478" spans="17:29" x14ac:dyDescent="0.2">
      <c r="Q478" t="s">
        <v>2067</v>
      </c>
      <c r="R478" t="s">
        <v>2215</v>
      </c>
      <c r="S478" t="s">
        <v>287</v>
      </c>
      <c r="T478" s="1">
        <v>43465</v>
      </c>
      <c r="U478" s="1">
        <v>43465</v>
      </c>
      <c r="V478" t="s">
        <v>2185</v>
      </c>
      <c r="W478">
        <v>3480517319</v>
      </c>
      <c r="X478">
        <v>3480517319</v>
      </c>
      <c r="Y478" t="s">
        <v>290</v>
      </c>
      <c r="Z478">
        <v>126262</v>
      </c>
      <c r="AA478">
        <v>5002972</v>
      </c>
      <c r="AB478" t="b">
        <v>1</v>
      </c>
      <c r="AC478">
        <v>0.52</v>
      </c>
    </row>
    <row r="479" spans="17:29" x14ac:dyDescent="0.2">
      <c r="Q479" t="s">
        <v>1998</v>
      </c>
      <c r="R479" t="s">
        <v>2223</v>
      </c>
      <c r="S479" t="s">
        <v>287</v>
      </c>
      <c r="T479" s="1">
        <v>43465</v>
      </c>
      <c r="U479" s="1">
        <v>43465</v>
      </c>
      <c r="V479" t="s">
        <v>2185</v>
      </c>
      <c r="W479">
        <v>5031390055</v>
      </c>
      <c r="X479">
        <v>5031390055</v>
      </c>
      <c r="Y479" t="s">
        <v>290</v>
      </c>
      <c r="Z479">
        <v>182523</v>
      </c>
      <c r="AA479">
        <v>7232230</v>
      </c>
      <c r="AB479" t="b">
        <v>1</v>
      </c>
      <c r="AC479">
        <v>0.66</v>
      </c>
    </row>
    <row r="480" spans="17:29" x14ac:dyDescent="0.2">
      <c r="Q480" t="s">
        <v>1995</v>
      </c>
      <c r="R480" t="s">
        <v>2224</v>
      </c>
      <c r="S480" t="s">
        <v>343</v>
      </c>
      <c r="T480" s="1">
        <v>43100</v>
      </c>
      <c r="U480" s="1">
        <v>43100</v>
      </c>
      <c r="V480" t="s">
        <v>345</v>
      </c>
      <c r="W480">
        <v>9732000</v>
      </c>
      <c r="X480">
        <v>9732000</v>
      </c>
      <c r="Y480" t="s">
        <v>345</v>
      </c>
      <c r="Z480">
        <v>9732000</v>
      </c>
      <c r="AA480">
        <v>505577</v>
      </c>
      <c r="AB480" t="b">
        <v>1</v>
      </c>
      <c r="AC480">
        <v>0.04</v>
      </c>
    </row>
    <row r="481" spans="17:29" x14ac:dyDescent="0.2">
      <c r="Q481" t="s">
        <v>1997</v>
      </c>
      <c r="R481" t="s">
        <v>2224</v>
      </c>
      <c r="S481" t="s">
        <v>343</v>
      </c>
      <c r="T481" s="1">
        <v>43100</v>
      </c>
      <c r="U481" s="1">
        <v>43100</v>
      </c>
      <c r="V481" t="s">
        <v>345</v>
      </c>
      <c r="W481">
        <v>9732000</v>
      </c>
      <c r="X481">
        <v>9732000</v>
      </c>
      <c r="Y481" t="s">
        <v>345</v>
      </c>
      <c r="Z481">
        <v>9732000</v>
      </c>
      <c r="AA481">
        <v>505577</v>
      </c>
      <c r="AB481" t="b">
        <v>1</v>
      </c>
      <c r="AC481">
        <v>0.04</v>
      </c>
    </row>
    <row r="482" spans="17:29" x14ac:dyDescent="0.2">
      <c r="Q482" t="s">
        <v>1995</v>
      </c>
      <c r="R482" t="s">
        <v>2225</v>
      </c>
      <c r="S482" t="s">
        <v>343</v>
      </c>
      <c r="T482" s="1">
        <v>43100</v>
      </c>
      <c r="U482" s="1">
        <v>43100</v>
      </c>
      <c r="V482" t="s">
        <v>345</v>
      </c>
      <c r="W482">
        <v>8515500</v>
      </c>
      <c r="X482">
        <v>8515500</v>
      </c>
      <c r="Y482" t="s">
        <v>345</v>
      </c>
      <c r="Z482">
        <v>8515500</v>
      </c>
      <c r="AA482">
        <v>442380</v>
      </c>
      <c r="AB482" t="b">
        <v>1</v>
      </c>
      <c r="AC482">
        <v>0.13</v>
      </c>
    </row>
    <row r="483" spans="17:29" x14ac:dyDescent="0.2">
      <c r="Q483" t="s">
        <v>1997</v>
      </c>
      <c r="R483" t="s">
        <v>2225</v>
      </c>
      <c r="S483" t="s">
        <v>343</v>
      </c>
      <c r="T483" s="1">
        <v>43100</v>
      </c>
      <c r="U483" s="1">
        <v>43100</v>
      </c>
      <c r="V483" t="s">
        <v>345</v>
      </c>
      <c r="W483">
        <v>8515500</v>
      </c>
      <c r="X483">
        <v>8515500</v>
      </c>
      <c r="Y483" t="s">
        <v>345</v>
      </c>
      <c r="Z483">
        <v>8515500</v>
      </c>
      <c r="AA483">
        <v>442380</v>
      </c>
      <c r="AB483" t="b">
        <v>1</v>
      </c>
      <c r="AC483">
        <v>0.13</v>
      </c>
    </row>
    <row r="484" spans="17:29" x14ac:dyDescent="0.2">
      <c r="Q484" t="s">
        <v>1995</v>
      </c>
      <c r="R484" t="s">
        <v>2226</v>
      </c>
      <c r="S484" t="s">
        <v>343</v>
      </c>
      <c r="T484" s="1">
        <v>43100</v>
      </c>
      <c r="U484" s="1">
        <v>43100</v>
      </c>
      <c r="V484" t="s">
        <v>345</v>
      </c>
      <c r="W484">
        <v>7299000</v>
      </c>
      <c r="X484">
        <v>7299000</v>
      </c>
      <c r="Y484" t="s">
        <v>345</v>
      </c>
      <c r="Z484">
        <v>7299000</v>
      </c>
      <c r="AA484">
        <v>379183</v>
      </c>
      <c r="AB484" t="b">
        <v>1</v>
      </c>
      <c r="AC484">
        <v>0.01</v>
      </c>
    </row>
    <row r="485" spans="17:29" x14ac:dyDescent="0.2">
      <c r="Q485" t="s">
        <v>1997</v>
      </c>
      <c r="R485" t="s">
        <v>2226</v>
      </c>
      <c r="S485" t="s">
        <v>343</v>
      </c>
      <c r="T485" s="1">
        <v>43100</v>
      </c>
      <c r="U485" s="1">
        <v>43100</v>
      </c>
      <c r="V485" t="s">
        <v>345</v>
      </c>
      <c r="W485">
        <v>7299000</v>
      </c>
      <c r="X485">
        <v>7299000</v>
      </c>
      <c r="Y485" t="s">
        <v>345</v>
      </c>
      <c r="Z485">
        <v>7299000</v>
      </c>
      <c r="AA485">
        <v>379183</v>
      </c>
      <c r="AB485" t="b">
        <v>1</v>
      </c>
      <c r="AC485">
        <v>0.01</v>
      </c>
    </row>
    <row r="486" spans="17:29" x14ac:dyDescent="0.2">
      <c r="Q486" t="s">
        <v>1998</v>
      </c>
      <c r="R486" t="s">
        <v>2227</v>
      </c>
      <c r="S486" t="s">
        <v>343</v>
      </c>
      <c r="T486" s="1">
        <v>43100</v>
      </c>
      <c r="U486" s="1">
        <v>43100</v>
      </c>
      <c r="V486" t="s">
        <v>345</v>
      </c>
      <c r="W486">
        <v>4866000</v>
      </c>
      <c r="X486">
        <v>4866000</v>
      </c>
      <c r="Y486" t="s">
        <v>345</v>
      </c>
      <c r="Z486">
        <v>4866000</v>
      </c>
      <c r="AA486">
        <v>252789</v>
      </c>
      <c r="AB486" t="b">
        <v>1</v>
      </c>
      <c r="AC486">
        <v>0.02</v>
      </c>
    </row>
    <row r="487" spans="17:29" x14ac:dyDescent="0.2">
      <c r="Q487" t="s">
        <v>2000</v>
      </c>
      <c r="R487" t="s">
        <v>2227</v>
      </c>
      <c r="S487" t="s">
        <v>343</v>
      </c>
      <c r="T487" s="1">
        <v>43100</v>
      </c>
      <c r="U487" s="1">
        <v>43100</v>
      </c>
      <c r="V487" t="s">
        <v>345</v>
      </c>
      <c r="W487">
        <v>4866000</v>
      </c>
      <c r="X487">
        <v>4866000</v>
      </c>
      <c r="Y487" t="s">
        <v>345</v>
      </c>
      <c r="Z487">
        <v>4866000</v>
      </c>
      <c r="AA487">
        <v>252789</v>
      </c>
      <c r="AB487" t="b">
        <v>1</v>
      </c>
      <c r="AC487">
        <v>0.02</v>
      </c>
    </row>
    <row r="488" spans="17:29" x14ac:dyDescent="0.2">
      <c r="Q488" t="s">
        <v>2001</v>
      </c>
      <c r="R488" t="s">
        <v>2228</v>
      </c>
      <c r="S488" t="s">
        <v>343</v>
      </c>
      <c r="T488" s="1">
        <v>43100</v>
      </c>
      <c r="U488" s="1">
        <v>43100</v>
      </c>
      <c r="V488" t="s">
        <v>345</v>
      </c>
      <c r="W488">
        <v>6082500</v>
      </c>
      <c r="X488">
        <v>6082500</v>
      </c>
      <c r="Y488" t="s">
        <v>345</v>
      </c>
      <c r="Z488">
        <v>6082500</v>
      </c>
      <c r="AA488">
        <v>315986</v>
      </c>
      <c r="AB488" t="b">
        <v>1</v>
      </c>
      <c r="AC488">
        <v>0.02</v>
      </c>
    </row>
    <row r="489" spans="17:29" x14ac:dyDescent="0.2">
      <c r="Q489" t="s">
        <v>2000</v>
      </c>
      <c r="R489" t="s">
        <v>2228</v>
      </c>
      <c r="S489" t="s">
        <v>343</v>
      </c>
      <c r="T489" s="1">
        <v>43100</v>
      </c>
      <c r="U489" s="1">
        <v>43100</v>
      </c>
      <c r="V489" t="s">
        <v>345</v>
      </c>
      <c r="W489">
        <v>6082500</v>
      </c>
      <c r="X489">
        <v>6082500</v>
      </c>
      <c r="Y489" t="s">
        <v>345</v>
      </c>
      <c r="Z489">
        <v>6082500</v>
      </c>
      <c r="AA489">
        <v>315986</v>
      </c>
      <c r="AB489" t="b">
        <v>1</v>
      </c>
      <c r="AC489">
        <v>0.02</v>
      </c>
    </row>
    <row r="490" spans="17:29" x14ac:dyDescent="0.2">
      <c r="Q490" t="s">
        <v>1998</v>
      </c>
      <c r="R490" t="s">
        <v>2229</v>
      </c>
      <c r="S490" t="s">
        <v>343</v>
      </c>
      <c r="T490" s="1">
        <v>43100</v>
      </c>
      <c r="U490" s="1">
        <v>43100</v>
      </c>
      <c r="V490" t="s">
        <v>345</v>
      </c>
      <c r="W490">
        <v>12165000</v>
      </c>
      <c r="X490">
        <v>12165000</v>
      </c>
      <c r="Y490" t="s">
        <v>345</v>
      </c>
      <c r="Z490">
        <v>12165000</v>
      </c>
      <c r="AA490">
        <v>631972</v>
      </c>
      <c r="AB490" t="b">
        <v>1</v>
      </c>
      <c r="AC490">
        <v>0.14000000000000001</v>
      </c>
    </row>
    <row r="491" spans="17:29" x14ac:dyDescent="0.2">
      <c r="Q491" t="s">
        <v>2000</v>
      </c>
      <c r="R491" t="s">
        <v>2229</v>
      </c>
      <c r="S491" t="s">
        <v>343</v>
      </c>
      <c r="T491" s="1">
        <v>43100</v>
      </c>
      <c r="U491" s="1">
        <v>43100</v>
      </c>
      <c r="V491" t="s">
        <v>345</v>
      </c>
      <c r="W491">
        <v>12165000</v>
      </c>
      <c r="X491">
        <v>12165000</v>
      </c>
      <c r="Y491" t="s">
        <v>345</v>
      </c>
      <c r="Z491">
        <v>12165000</v>
      </c>
      <c r="AA491">
        <v>631972</v>
      </c>
      <c r="AB491" t="b">
        <v>1</v>
      </c>
      <c r="AC491">
        <v>0.14000000000000001</v>
      </c>
    </row>
    <row r="492" spans="17:29" x14ac:dyDescent="0.2">
      <c r="Q492" t="s">
        <v>2018</v>
      </c>
      <c r="R492" t="s">
        <v>2230</v>
      </c>
      <c r="S492" t="s">
        <v>343</v>
      </c>
      <c r="T492" s="1">
        <v>43100</v>
      </c>
      <c r="U492" s="1">
        <v>43100</v>
      </c>
      <c r="V492" t="s">
        <v>345</v>
      </c>
      <c r="W492">
        <v>36495000</v>
      </c>
      <c r="X492">
        <v>36495000</v>
      </c>
      <c r="Y492" t="s">
        <v>345</v>
      </c>
      <c r="Z492">
        <v>36495000</v>
      </c>
      <c r="AA492">
        <v>1895915</v>
      </c>
      <c r="AB492" t="b">
        <v>1</v>
      </c>
      <c r="AC492">
        <v>0.13</v>
      </c>
    </row>
    <row r="493" spans="17:29" x14ac:dyDescent="0.2">
      <c r="Q493" t="s">
        <v>2018</v>
      </c>
      <c r="R493" t="s">
        <v>2230</v>
      </c>
      <c r="S493" t="s">
        <v>343</v>
      </c>
      <c r="T493" s="1">
        <v>43100</v>
      </c>
      <c r="U493" s="1">
        <v>43100</v>
      </c>
      <c r="V493" t="s">
        <v>345</v>
      </c>
      <c r="W493">
        <v>36495000</v>
      </c>
      <c r="X493">
        <v>36495000</v>
      </c>
      <c r="Y493" t="s">
        <v>345</v>
      </c>
      <c r="Z493">
        <v>36495000</v>
      </c>
      <c r="AA493">
        <v>1895915</v>
      </c>
      <c r="AB493" t="b">
        <v>1</v>
      </c>
      <c r="AC493">
        <v>0.13</v>
      </c>
    </row>
    <row r="494" spans="17:29" x14ac:dyDescent="0.2">
      <c r="Q494" t="s">
        <v>2018</v>
      </c>
      <c r="R494" t="s">
        <v>2231</v>
      </c>
      <c r="S494" t="s">
        <v>343</v>
      </c>
      <c r="T494" s="1">
        <v>43100</v>
      </c>
      <c r="U494" s="1">
        <v>43100</v>
      </c>
      <c r="V494" t="s">
        <v>345</v>
      </c>
      <c r="W494">
        <v>145979999</v>
      </c>
      <c r="X494">
        <v>145979999</v>
      </c>
      <c r="Y494" t="s">
        <v>345</v>
      </c>
      <c r="Z494">
        <v>145979999</v>
      </c>
      <c r="AA494">
        <v>7583661</v>
      </c>
      <c r="AB494" t="b">
        <v>1</v>
      </c>
      <c r="AC494">
        <v>0.81</v>
      </c>
    </row>
    <row r="495" spans="17:29" x14ac:dyDescent="0.2">
      <c r="Q495" t="s">
        <v>2018</v>
      </c>
      <c r="R495" t="s">
        <v>2231</v>
      </c>
      <c r="S495" t="s">
        <v>343</v>
      </c>
      <c r="T495" s="1">
        <v>43100</v>
      </c>
      <c r="U495" s="1">
        <v>43100</v>
      </c>
      <c r="V495" t="s">
        <v>345</v>
      </c>
      <c r="W495">
        <v>145979999</v>
      </c>
      <c r="X495">
        <v>145979999</v>
      </c>
      <c r="Y495" t="s">
        <v>345</v>
      </c>
      <c r="Z495">
        <v>145979999</v>
      </c>
      <c r="AA495">
        <v>7583661</v>
      </c>
      <c r="AB495" t="b">
        <v>1</v>
      </c>
      <c r="AC495">
        <v>0.81</v>
      </c>
    </row>
    <row r="496" spans="17:29" x14ac:dyDescent="0.2">
      <c r="Q496" t="s">
        <v>2067</v>
      </c>
      <c r="R496" t="s">
        <v>2223</v>
      </c>
      <c r="S496" t="s">
        <v>287</v>
      </c>
      <c r="T496" s="1">
        <v>43465</v>
      </c>
      <c r="U496" s="1">
        <v>43465</v>
      </c>
      <c r="V496" t="s">
        <v>2185</v>
      </c>
      <c r="W496">
        <v>5031390055</v>
      </c>
      <c r="X496">
        <v>5031390055</v>
      </c>
      <c r="Y496" t="s">
        <v>290</v>
      </c>
      <c r="Z496">
        <v>182523</v>
      </c>
      <c r="AA496">
        <v>7232230</v>
      </c>
      <c r="AB496" t="b">
        <v>1</v>
      </c>
      <c r="AC496">
        <v>0.66</v>
      </c>
    </row>
    <row r="497" spans="17:29" x14ac:dyDescent="0.2">
      <c r="Q497" t="s">
        <v>2025</v>
      </c>
      <c r="R497" t="s">
        <v>2234</v>
      </c>
      <c r="S497" t="s">
        <v>269</v>
      </c>
      <c r="T497" s="1">
        <v>43810</v>
      </c>
      <c r="U497" s="1">
        <v>43082</v>
      </c>
      <c r="V497" t="s">
        <v>270</v>
      </c>
      <c r="W497">
        <v>3858055</v>
      </c>
      <c r="X497">
        <v>3858055</v>
      </c>
      <c r="Y497" t="s">
        <v>270</v>
      </c>
      <c r="Z497">
        <v>3858055</v>
      </c>
      <c r="AA497">
        <v>3858055</v>
      </c>
      <c r="AB497" t="b">
        <v>0</v>
      </c>
      <c r="AC497">
        <v>0.21</v>
      </c>
    </row>
    <row r="498" spans="17:29" x14ac:dyDescent="0.2">
      <c r="Q498" t="s">
        <v>2025</v>
      </c>
      <c r="R498" t="s">
        <v>2234</v>
      </c>
      <c r="S498" t="s">
        <v>269</v>
      </c>
      <c r="T498" s="1">
        <v>43810</v>
      </c>
      <c r="U498" s="1">
        <v>43082</v>
      </c>
      <c r="V498" t="s">
        <v>270</v>
      </c>
      <c r="W498">
        <v>3858055</v>
      </c>
      <c r="X498">
        <v>3858055</v>
      </c>
      <c r="Y498" t="s">
        <v>270</v>
      </c>
      <c r="Z498">
        <v>3858055</v>
      </c>
      <c r="AA498">
        <v>3858055</v>
      </c>
      <c r="AB498" t="b">
        <v>0</v>
      </c>
      <c r="AC498">
        <v>0.21</v>
      </c>
    </row>
    <row r="499" spans="17:29" x14ac:dyDescent="0.2">
      <c r="Q499" t="s">
        <v>2029</v>
      </c>
      <c r="R499" t="s">
        <v>2234</v>
      </c>
      <c r="S499" t="s">
        <v>269</v>
      </c>
      <c r="T499" s="1">
        <v>43810</v>
      </c>
      <c r="U499" s="1">
        <v>43082</v>
      </c>
      <c r="V499" t="s">
        <v>270</v>
      </c>
      <c r="W499">
        <v>3858055</v>
      </c>
      <c r="X499">
        <v>3858055</v>
      </c>
      <c r="Y499" t="s">
        <v>270</v>
      </c>
      <c r="Z499">
        <v>3858055</v>
      </c>
      <c r="AA499">
        <v>3858055</v>
      </c>
      <c r="AB499" t="b">
        <v>0</v>
      </c>
      <c r="AC499">
        <v>0.21</v>
      </c>
    </row>
    <row r="500" spans="17:29" x14ac:dyDescent="0.2">
      <c r="Q500" t="s">
        <v>2029</v>
      </c>
      <c r="R500" t="s">
        <v>2234</v>
      </c>
      <c r="S500" t="s">
        <v>269</v>
      </c>
      <c r="T500" s="1">
        <v>43810</v>
      </c>
      <c r="U500" s="1">
        <v>43082</v>
      </c>
      <c r="V500" t="s">
        <v>270</v>
      </c>
      <c r="W500">
        <v>3858055</v>
      </c>
      <c r="X500">
        <v>3858055</v>
      </c>
      <c r="Y500" t="s">
        <v>270</v>
      </c>
      <c r="Z500">
        <v>3858055</v>
      </c>
      <c r="AA500">
        <v>3858055</v>
      </c>
      <c r="AB500" t="b">
        <v>0</v>
      </c>
      <c r="AC500">
        <v>0.21</v>
      </c>
    </row>
    <row r="501" spans="17:29" x14ac:dyDescent="0.2">
      <c r="Q501" t="s">
        <v>2165</v>
      </c>
      <c r="R501" t="s">
        <v>2137</v>
      </c>
      <c r="S501" t="s">
        <v>384</v>
      </c>
      <c r="T501" s="1">
        <v>43665</v>
      </c>
      <c r="U501" s="1">
        <v>43665</v>
      </c>
      <c r="V501" t="s">
        <v>386</v>
      </c>
      <c r="W501">
        <v>173096000000</v>
      </c>
      <c r="X501">
        <v>173096000000</v>
      </c>
      <c r="Y501" t="s">
        <v>386</v>
      </c>
      <c r="Z501">
        <v>173096000000</v>
      </c>
      <c r="AA501">
        <v>54381230</v>
      </c>
      <c r="AB501" t="b">
        <v>0</v>
      </c>
      <c r="AC501">
        <v>0.97</v>
      </c>
    </row>
    <row r="502" spans="17:29" x14ac:dyDescent="0.2">
      <c r="Q502" t="s">
        <v>2165</v>
      </c>
      <c r="R502" t="s">
        <v>2137</v>
      </c>
      <c r="S502" t="s">
        <v>384</v>
      </c>
      <c r="T502" s="1">
        <v>43665</v>
      </c>
      <c r="U502" s="1">
        <v>43665</v>
      </c>
      <c r="V502" t="s">
        <v>386</v>
      </c>
      <c r="W502">
        <v>173096000000</v>
      </c>
      <c r="X502">
        <v>173096000000</v>
      </c>
      <c r="Y502" t="s">
        <v>386</v>
      </c>
      <c r="Z502">
        <v>173096000000</v>
      </c>
      <c r="AA502">
        <v>54381230</v>
      </c>
      <c r="AB502" t="b">
        <v>0</v>
      </c>
      <c r="AC502">
        <v>0.97</v>
      </c>
    </row>
    <row r="503" spans="17:29" x14ac:dyDescent="0.2">
      <c r="Q503" t="s">
        <v>2141</v>
      </c>
      <c r="R503" t="s">
        <v>2235</v>
      </c>
      <c r="S503" t="s">
        <v>269</v>
      </c>
      <c r="T503" s="1">
        <v>44042</v>
      </c>
      <c r="U503" s="1">
        <v>43830</v>
      </c>
      <c r="V503" t="s">
        <v>270</v>
      </c>
      <c r="W503">
        <v>321988</v>
      </c>
      <c r="X503">
        <v>321988</v>
      </c>
      <c r="Y503" t="s">
        <v>270</v>
      </c>
      <c r="Z503">
        <v>321988</v>
      </c>
      <c r="AA503">
        <v>321988</v>
      </c>
      <c r="AB503" t="b">
        <v>1</v>
      </c>
      <c r="AC503">
        <v>1</v>
      </c>
    </row>
    <row r="504" spans="17:29" x14ac:dyDescent="0.2">
      <c r="Q504" t="s">
        <v>2016</v>
      </c>
      <c r="R504" t="s">
        <v>2235</v>
      </c>
      <c r="S504" t="s">
        <v>269</v>
      </c>
      <c r="T504" s="1">
        <v>44042</v>
      </c>
      <c r="U504" s="1">
        <v>43830</v>
      </c>
      <c r="V504" t="s">
        <v>270</v>
      </c>
      <c r="W504">
        <v>321988</v>
      </c>
      <c r="X504">
        <v>321988</v>
      </c>
      <c r="Y504" t="s">
        <v>270</v>
      </c>
      <c r="Z504">
        <v>321988</v>
      </c>
      <c r="AA504">
        <v>321988</v>
      </c>
      <c r="AB504" t="b">
        <v>1</v>
      </c>
      <c r="AC504">
        <v>1</v>
      </c>
    </row>
    <row r="505" spans="17:29" x14ac:dyDescent="0.2">
      <c r="Q505" t="s">
        <v>2031</v>
      </c>
      <c r="R505" t="s">
        <v>2236</v>
      </c>
      <c r="S505" t="s">
        <v>269</v>
      </c>
      <c r="T505" s="1">
        <v>44042</v>
      </c>
      <c r="U505" s="1">
        <v>43846</v>
      </c>
      <c r="V505" t="s">
        <v>270</v>
      </c>
      <c r="W505">
        <v>6600000</v>
      </c>
      <c r="X505">
        <v>6600000</v>
      </c>
      <c r="Y505" t="s">
        <v>270</v>
      </c>
      <c r="Z505">
        <v>6600000</v>
      </c>
      <c r="AA505">
        <v>6600000</v>
      </c>
      <c r="AB505" t="b">
        <v>1</v>
      </c>
      <c r="AC505">
        <v>1</v>
      </c>
    </row>
    <row r="506" spans="17:29" x14ac:dyDescent="0.2">
      <c r="Q506" t="s">
        <v>1989</v>
      </c>
      <c r="R506" t="s">
        <v>2236</v>
      </c>
      <c r="S506" t="s">
        <v>269</v>
      </c>
      <c r="T506" s="1">
        <v>44042</v>
      </c>
      <c r="U506" s="1">
        <v>43846</v>
      </c>
      <c r="V506" t="s">
        <v>270</v>
      </c>
      <c r="W506">
        <v>6600000</v>
      </c>
      <c r="X506">
        <v>6600000</v>
      </c>
      <c r="Y506" t="s">
        <v>270</v>
      </c>
      <c r="Z506">
        <v>6600000</v>
      </c>
      <c r="AA506">
        <v>6600000</v>
      </c>
      <c r="AB506" t="b">
        <v>1</v>
      </c>
      <c r="AC506">
        <v>1</v>
      </c>
    </row>
    <row r="507" spans="17:29" x14ac:dyDescent="0.2">
      <c r="Q507" t="s">
        <v>2029</v>
      </c>
      <c r="R507" t="s">
        <v>2236</v>
      </c>
      <c r="S507" t="s">
        <v>269</v>
      </c>
      <c r="T507" s="1">
        <v>44042</v>
      </c>
      <c r="U507" s="1">
        <v>43846</v>
      </c>
      <c r="V507" t="s">
        <v>270</v>
      </c>
      <c r="W507">
        <v>6600000</v>
      </c>
      <c r="X507">
        <v>6600000</v>
      </c>
      <c r="Y507" t="s">
        <v>270</v>
      </c>
      <c r="Z507">
        <v>6600000</v>
      </c>
      <c r="AA507">
        <v>6600000</v>
      </c>
      <c r="AB507" t="b">
        <v>1</v>
      </c>
      <c r="AC507">
        <v>1</v>
      </c>
    </row>
    <row r="508" spans="17:29" x14ac:dyDescent="0.2">
      <c r="Q508" t="s">
        <v>2029</v>
      </c>
      <c r="R508" t="s">
        <v>2236</v>
      </c>
      <c r="S508" t="s">
        <v>269</v>
      </c>
      <c r="T508" s="1">
        <v>44042</v>
      </c>
      <c r="U508" s="1">
        <v>43846</v>
      </c>
      <c r="V508" t="s">
        <v>270</v>
      </c>
      <c r="W508">
        <v>6600000</v>
      </c>
      <c r="X508">
        <v>6600000</v>
      </c>
      <c r="Y508" t="s">
        <v>270</v>
      </c>
      <c r="Z508">
        <v>6600000</v>
      </c>
      <c r="AA508">
        <v>6600000</v>
      </c>
      <c r="AB508" t="b">
        <v>1</v>
      </c>
      <c r="AC508">
        <v>1</v>
      </c>
    </row>
    <row r="509" spans="17:29" x14ac:dyDescent="0.2">
      <c r="Q509" t="s">
        <v>2087</v>
      </c>
      <c r="R509" t="s">
        <v>2237</v>
      </c>
      <c r="S509" t="s">
        <v>257</v>
      </c>
      <c r="T509" s="1">
        <v>44172</v>
      </c>
      <c r="U509" s="1">
        <v>44561</v>
      </c>
      <c r="V509" t="s">
        <v>260</v>
      </c>
      <c r="W509">
        <v>39276551</v>
      </c>
      <c r="X509">
        <v>39276551</v>
      </c>
      <c r="Y509" t="s">
        <v>260</v>
      </c>
      <c r="Z509">
        <v>39276551</v>
      </c>
      <c r="AA509">
        <v>7699473</v>
      </c>
      <c r="AB509" t="b">
        <v>0</v>
      </c>
      <c r="AC509">
        <v>0.13</v>
      </c>
    </row>
    <row r="510" spans="17:29" x14ac:dyDescent="0.2">
      <c r="Q510" t="s">
        <v>2087</v>
      </c>
      <c r="R510" t="s">
        <v>2237</v>
      </c>
      <c r="S510" t="s">
        <v>257</v>
      </c>
      <c r="T510" s="1">
        <v>44172</v>
      </c>
      <c r="U510" s="1">
        <v>44561</v>
      </c>
      <c r="V510" t="s">
        <v>260</v>
      </c>
      <c r="W510">
        <v>39276551</v>
      </c>
      <c r="X510">
        <v>39276551</v>
      </c>
      <c r="Y510" t="s">
        <v>260</v>
      </c>
      <c r="Z510">
        <v>39276551</v>
      </c>
      <c r="AA510">
        <v>7699473</v>
      </c>
      <c r="AB510" t="b">
        <v>0</v>
      </c>
      <c r="AC510">
        <v>0.13</v>
      </c>
    </row>
    <row r="511" spans="17:29" x14ac:dyDescent="0.2">
      <c r="Q511" t="s">
        <v>2087</v>
      </c>
      <c r="R511" t="s">
        <v>2238</v>
      </c>
      <c r="S511" t="s">
        <v>257</v>
      </c>
      <c r="T511" s="1">
        <v>44172</v>
      </c>
      <c r="U511" s="1">
        <v>44561</v>
      </c>
      <c r="V511" t="s">
        <v>260</v>
      </c>
      <c r="W511">
        <v>35955218</v>
      </c>
      <c r="X511">
        <v>30921487</v>
      </c>
      <c r="Y511" t="s">
        <v>260</v>
      </c>
      <c r="Z511">
        <v>30921487</v>
      </c>
      <c r="AA511">
        <v>6061610</v>
      </c>
      <c r="AB511" t="b">
        <v>0</v>
      </c>
      <c r="AC511">
        <v>0.09</v>
      </c>
    </row>
    <row r="512" spans="17:29" x14ac:dyDescent="0.2">
      <c r="Q512" t="s">
        <v>2087</v>
      </c>
      <c r="R512" t="s">
        <v>2238</v>
      </c>
      <c r="S512" t="s">
        <v>257</v>
      </c>
      <c r="T512" s="1">
        <v>44172</v>
      </c>
      <c r="U512" s="1">
        <v>44561</v>
      </c>
      <c r="V512" t="s">
        <v>260</v>
      </c>
      <c r="W512">
        <v>35955218</v>
      </c>
      <c r="X512">
        <v>30921487</v>
      </c>
      <c r="Y512" t="s">
        <v>260</v>
      </c>
      <c r="Z512">
        <v>30921487</v>
      </c>
      <c r="AA512">
        <v>6061610</v>
      </c>
      <c r="AB512" t="b">
        <v>0</v>
      </c>
      <c r="AC512">
        <v>0.09</v>
      </c>
    </row>
    <row r="513" spans="17:29" x14ac:dyDescent="0.2">
      <c r="Q513" t="s">
        <v>2087</v>
      </c>
      <c r="R513" t="s">
        <v>2239</v>
      </c>
      <c r="S513" t="s">
        <v>257</v>
      </c>
      <c r="T513" s="1">
        <v>44172</v>
      </c>
      <c r="U513" s="1">
        <v>44561</v>
      </c>
      <c r="V513" t="s">
        <v>260</v>
      </c>
      <c r="W513">
        <v>5251275</v>
      </c>
      <c r="X513">
        <v>5251275</v>
      </c>
      <c r="Y513" t="s">
        <v>260</v>
      </c>
      <c r="Z513">
        <v>5251275</v>
      </c>
      <c r="AA513">
        <v>1029420</v>
      </c>
      <c r="AB513" t="b">
        <v>0</v>
      </c>
      <c r="AC513">
        <v>0.04</v>
      </c>
    </row>
    <row r="514" spans="17:29" x14ac:dyDescent="0.2">
      <c r="Q514" t="s">
        <v>2087</v>
      </c>
      <c r="R514" t="s">
        <v>2239</v>
      </c>
      <c r="S514" t="s">
        <v>257</v>
      </c>
      <c r="T514" s="1">
        <v>44172</v>
      </c>
      <c r="U514" s="1">
        <v>44561</v>
      </c>
      <c r="V514" t="s">
        <v>260</v>
      </c>
      <c r="W514">
        <v>5251275</v>
      </c>
      <c r="X514">
        <v>5251275</v>
      </c>
      <c r="Y514" t="s">
        <v>260</v>
      </c>
      <c r="Z514">
        <v>5251275</v>
      </c>
      <c r="AA514">
        <v>1029420</v>
      </c>
      <c r="AB514" t="b">
        <v>0</v>
      </c>
      <c r="AC514">
        <v>0.04</v>
      </c>
    </row>
    <row r="515" spans="17:29" x14ac:dyDescent="0.2">
      <c r="Q515" t="s">
        <v>2087</v>
      </c>
      <c r="R515" t="s">
        <v>2240</v>
      </c>
      <c r="S515" t="s">
        <v>257</v>
      </c>
      <c r="T515" s="1">
        <v>44172</v>
      </c>
      <c r="U515" s="1">
        <v>44561</v>
      </c>
      <c r="V515" t="s">
        <v>260</v>
      </c>
      <c r="W515">
        <v>21102617</v>
      </c>
      <c r="X515">
        <v>21102617</v>
      </c>
      <c r="Y515" t="s">
        <v>260</v>
      </c>
      <c r="Z515">
        <v>21102617</v>
      </c>
      <c r="AA515">
        <v>4136795</v>
      </c>
      <c r="AB515" t="b">
        <v>0</v>
      </c>
      <c r="AC515">
        <v>0.09</v>
      </c>
    </row>
    <row r="516" spans="17:29" x14ac:dyDescent="0.2">
      <c r="Q516" t="s">
        <v>2087</v>
      </c>
      <c r="R516" t="s">
        <v>2240</v>
      </c>
      <c r="S516" t="s">
        <v>257</v>
      </c>
      <c r="T516" s="1">
        <v>44172</v>
      </c>
      <c r="U516" s="1">
        <v>44561</v>
      </c>
      <c r="V516" t="s">
        <v>260</v>
      </c>
      <c r="W516">
        <v>21102617</v>
      </c>
      <c r="X516">
        <v>21102617</v>
      </c>
      <c r="Y516" t="s">
        <v>260</v>
      </c>
      <c r="Z516">
        <v>21102617</v>
      </c>
      <c r="AA516">
        <v>4136795</v>
      </c>
      <c r="AB516" t="b">
        <v>0</v>
      </c>
      <c r="AC516">
        <v>0.09</v>
      </c>
    </row>
    <row r="517" spans="17:29" x14ac:dyDescent="0.2">
      <c r="Q517" t="s">
        <v>2087</v>
      </c>
      <c r="R517" t="s">
        <v>2241</v>
      </c>
      <c r="S517" t="s">
        <v>257</v>
      </c>
      <c r="T517" s="1">
        <v>44172</v>
      </c>
      <c r="U517" s="1">
        <v>44561</v>
      </c>
      <c r="V517" t="s">
        <v>260</v>
      </c>
      <c r="W517">
        <v>99582514</v>
      </c>
      <c r="X517">
        <v>99582514</v>
      </c>
      <c r="Y517" t="s">
        <v>260</v>
      </c>
      <c r="Z517">
        <v>99582514</v>
      </c>
      <c r="AA517">
        <v>19521390</v>
      </c>
      <c r="AB517" t="b">
        <v>0</v>
      </c>
      <c r="AC517">
        <v>0.17</v>
      </c>
    </row>
    <row r="518" spans="17:29" x14ac:dyDescent="0.2">
      <c r="Q518" t="s">
        <v>2087</v>
      </c>
      <c r="R518" t="s">
        <v>2241</v>
      </c>
      <c r="S518" t="s">
        <v>257</v>
      </c>
      <c r="T518" s="1">
        <v>44172</v>
      </c>
      <c r="U518" s="1">
        <v>44561</v>
      </c>
      <c r="V518" t="s">
        <v>260</v>
      </c>
      <c r="W518">
        <v>99582514</v>
      </c>
      <c r="X518">
        <v>99582514</v>
      </c>
      <c r="Y518" t="s">
        <v>260</v>
      </c>
      <c r="Z518">
        <v>99582514</v>
      </c>
      <c r="AA518">
        <v>19521390</v>
      </c>
      <c r="AB518" t="b">
        <v>0</v>
      </c>
      <c r="AC518">
        <v>0.17</v>
      </c>
    </row>
    <row r="519" spans="17:29" x14ac:dyDescent="0.2">
      <c r="Q519" t="s">
        <v>2087</v>
      </c>
      <c r="R519" t="s">
        <v>2242</v>
      </c>
      <c r="S519" t="s">
        <v>257</v>
      </c>
      <c r="T519" s="1">
        <v>44172</v>
      </c>
      <c r="U519" s="1">
        <v>44561</v>
      </c>
      <c r="V519" t="s">
        <v>260</v>
      </c>
      <c r="W519">
        <v>18916826</v>
      </c>
      <c r="X519">
        <v>18916826</v>
      </c>
      <c r="Y519" t="s">
        <v>260</v>
      </c>
      <c r="Z519">
        <v>18916826</v>
      </c>
      <c r="AA519">
        <v>3708309</v>
      </c>
      <c r="AB519" t="b">
        <v>0</v>
      </c>
      <c r="AC519">
        <v>0.06</v>
      </c>
    </row>
    <row r="520" spans="17:29" x14ac:dyDescent="0.2">
      <c r="Q520" t="s">
        <v>2087</v>
      </c>
      <c r="R520" t="s">
        <v>2242</v>
      </c>
      <c r="S520" t="s">
        <v>257</v>
      </c>
      <c r="T520" s="1">
        <v>44172</v>
      </c>
      <c r="U520" s="1">
        <v>44561</v>
      </c>
      <c r="V520" t="s">
        <v>260</v>
      </c>
      <c r="W520">
        <v>18916826</v>
      </c>
      <c r="X520">
        <v>18916826</v>
      </c>
      <c r="Y520" t="s">
        <v>260</v>
      </c>
      <c r="Z520">
        <v>18916826</v>
      </c>
      <c r="AA520">
        <v>3708309</v>
      </c>
      <c r="AB520" t="b">
        <v>0</v>
      </c>
      <c r="AC520">
        <v>0.06</v>
      </c>
    </row>
    <row r="521" spans="17:29" x14ac:dyDescent="0.2">
      <c r="Q521" t="s">
        <v>1998</v>
      </c>
      <c r="R521" t="s">
        <v>2243</v>
      </c>
      <c r="S521" t="s">
        <v>287</v>
      </c>
      <c r="T521" s="1">
        <v>43465</v>
      </c>
      <c r="U521" s="1">
        <v>43465</v>
      </c>
      <c r="V521" t="s">
        <v>2185</v>
      </c>
      <c r="W521">
        <v>35741549</v>
      </c>
      <c r="X521">
        <v>35741549</v>
      </c>
      <c r="Y521" t="s">
        <v>290</v>
      </c>
      <c r="Z521">
        <v>1297</v>
      </c>
      <c r="AA521">
        <v>51376</v>
      </c>
      <c r="AB521" t="b">
        <v>1</v>
      </c>
      <c r="AC521">
        <v>0.01</v>
      </c>
    </row>
    <row r="522" spans="17:29" x14ac:dyDescent="0.2">
      <c r="Q522" t="s">
        <v>2067</v>
      </c>
      <c r="R522" t="s">
        <v>2243</v>
      </c>
      <c r="S522" t="s">
        <v>287</v>
      </c>
      <c r="T522" s="1">
        <v>43465</v>
      </c>
      <c r="U522" s="1">
        <v>43465</v>
      </c>
      <c r="V522" t="s">
        <v>2185</v>
      </c>
      <c r="W522">
        <v>35741549</v>
      </c>
      <c r="X522">
        <v>35741549</v>
      </c>
      <c r="Y522" t="s">
        <v>290</v>
      </c>
      <c r="Z522">
        <v>1297</v>
      </c>
      <c r="AA522">
        <v>51376</v>
      </c>
      <c r="AB522" t="b">
        <v>1</v>
      </c>
      <c r="AC522">
        <v>0.01</v>
      </c>
    </row>
    <row r="523" spans="17:29" x14ac:dyDescent="0.2">
      <c r="Q523" t="s">
        <v>1998</v>
      </c>
      <c r="R523" t="s">
        <v>2244</v>
      </c>
      <c r="S523" t="s">
        <v>287</v>
      </c>
      <c r="T523" s="1">
        <v>43465</v>
      </c>
      <c r="U523" s="1">
        <v>43465</v>
      </c>
      <c r="V523" t="s">
        <v>2185</v>
      </c>
      <c r="W523">
        <v>405589296</v>
      </c>
      <c r="X523">
        <v>405589296</v>
      </c>
      <c r="Y523" t="s">
        <v>290</v>
      </c>
      <c r="Z523">
        <v>14714</v>
      </c>
      <c r="AA523">
        <v>583003</v>
      </c>
      <c r="AB523" t="b">
        <v>1</v>
      </c>
      <c r="AC523">
        <v>0.11</v>
      </c>
    </row>
    <row r="524" spans="17:29" x14ac:dyDescent="0.2">
      <c r="Q524" t="s">
        <v>2067</v>
      </c>
      <c r="R524" t="s">
        <v>2244</v>
      </c>
      <c r="S524" t="s">
        <v>287</v>
      </c>
      <c r="T524" s="1">
        <v>43465</v>
      </c>
      <c r="U524" s="1">
        <v>43465</v>
      </c>
      <c r="V524" t="s">
        <v>2185</v>
      </c>
      <c r="W524">
        <v>405589296</v>
      </c>
      <c r="X524">
        <v>405589296</v>
      </c>
      <c r="Y524" t="s">
        <v>290</v>
      </c>
      <c r="Z524">
        <v>14714</v>
      </c>
      <c r="AA524">
        <v>583003</v>
      </c>
      <c r="AB524" t="b">
        <v>1</v>
      </c>
      <c r="AC524">
        <v>0.11</v>
      </c>
    </row>
    <row r="525" spans="17:29" x14ac:dyDescent="0.2">
      <c r="Q525" t="s">
        <v>1998</v>
      </c>
      <c r="R525" t="s">
        <v>2245</v>
      </c>
      <c r="S525" t="s">
        <v>287</v>
      </c>
      <c r="T525" s="1">
        <v>43830</v>
      </c>
      <c r="U525" s="1">
        <v>43830</v>
      </c>
      <c r="V525" t="s">
        <v>2185</v>
      </c>
      <c r="W525">
        <v>1538934285</v>
      </c>
      <c r="X525">
        <v>1538934285</v>
      </c>
      <c r="Y525" t="s">
        <v>290</v>
      </c>
      <c r="Z525">
        <v>54360</v>
      </c>
      <c r="AA525">
        <v>2066738</v>
      </c>
      <c r="AB525" t="b">
        <v>0</v>
      </c>
      <c r="AC525">
        <v>0.09</v>
      </c>
    </row>
    <row r="526" spans="17:29" x14ac:dyDescent="0.2">
      <c r="Q526" t="s">
        <v>1987</v>
      </c>
      <c r="R526" t="s">
        <v>2246</v>
      </c>
      <c r="S526" t="s">
        <v>2120</v>
      </c>
      <c r="T526" s="1">
        <v>43734</v>
      </c>
      <c r="U526" s="1">
        <v>43007</v>
      </c>
      <c r="V526" t="s">
        <v>270</v>
      </c>
      <c r="W526">
        <v>13000000</v>
      </c>
      <c r="X526">
        <v>13000000</v>
      </c>
      <c r="Y526" t="s">
        <v>270</v>
      </c>
      <c r="Z526">
        <v>13000000</v>
      </c>
      <c r="AA526">
        <v>13000000</v>
      </c>
      <c r="AB526" t="b">
        <v>1</v>
      </c>
      <c r="AC526">
        <v>0.6</v>
      </c>
    </row>
    <row r="527" spans="17:29" x14ac:dyDescent="0.2">
      <c r="Q527" t="s">
        <v>2117</v>
      </c>
      <c r="R527" t="s">
        <v>2246</v>
      </c>
      <c r="S527" t="s">
        <v>2120</v>
      </c>
      <c r="T527" s="1">
        <v>43734</v>
      </c>
      <c r="U527" s="1">
        <v>43007</v>
      </c>
      <c r="V527" t="s">
        <v>270</v>
      </c>
      <c r="W527">
        <v>13000000</v>
      </c>
      <c r="X527">
        <v>13000000</v>
      </c>
      <c r="Y527" t="s">
        <v>270</v>
      </c>
      <c r="Z527">
        <v>13000000</v>
      </c>
      <c r="AA527">
        <v>13000000</v>
      </c>
      <c r="AB527" t="b">
        <v>1</v>
      </c>
      <c r="AC527">
        <v>0.6</v>
      </c>
    </row>
    <row r="528" spans="17:29" x14ac:dyDescent="0.2">
      <c r="Q528" t="s">
        <v>2128</v>
      </c>
      <c r="R528" t="s">
        <v>2247</v>
      </c>
      <c r="S528" t="s">
        <v>269</v>
      </c>
      <c r="T528" s="1">
        <v>43734</v>
      </c>
      <c r="U528" s="1">
        <v>43291</v>
      </c>
      <c r="V528" t="s">
        <v>270</v>
      </c>
      <c r="W528">
        <v>6782527</v>
      </c>
      <c r="X528">
        <v>6782527</v>
      </c>
      <c r="Y528" t="s">
        <v>270</v>
      </c>
      <c r="Z528">
        <v>6782527</v>
      </c>
      <c r="AA528">
        <v>6782527</v>
      </c>
      <c r="AB528" t="b">
        <v>1</v>
      </c>
      <c r="AC528">
        <v>0.27</v>
      </c>
    </row>
    <row r="529" spans="17:29" x14ac:dyDescent="0.2">
      <c r="Q529" t="s">
        <v>2128</v>
      </c>
      <c r="R529" t="s">
        <v>2247</v>
      </c>
      <c r="S529" t="s">
        <v>269</v>
      </c>
      <c r="T529" s="1">
        <v>43734</v>
      </c>
      <c r="U529" s="1">
        <v>43567</v>
      </c>
      <c r="V529" t="s">
        <v>270</v>
      </c>
      <c r="W529">
        <v>1120661</v>
      </c>
      <c r="X529">
        <v>1120661</v>
      </c>
      <c r="Y529" t="s">
        <v>270</v>
      </c>
      <c r="Z529">
        <v>1120661</v>
      </c>
      <c r="AA529">
        <v>1120661</v>
      </c>
      <c r="AB529" t="b">
        <v>1</v>
      </c>
      <c r="AC529">
        <v>0.27</v>
      </c>
    </row>
    <row r="530" spans="17:29" x14ac:dyDescent="0.2">
      <c r="Q530" t="s">
        <v>2128</v>
      </c>
      <c r="R530" t="s">
        <v>2247</v>
      </c>
      <c r="S530" t="s">
        <v>269</v>
      </c>
      <c r="T530" s="1">
        <v>43734</v>
      </c>
      <c r="U530" s="1">
        <v>43385</v>
      </c>
      <c r="V530" t="s">
        <v>270</v>
      </c>
      <c r="W530">
        <v>4240259</v>
      </c>
      <c r="X530">
        <v>4240259</v>
      </c>
      <c r="Y530" t="s">
        <v>270</v>
      </c>
      <c r="Z530">
        <v>4240259</v>
      </c>
      <c r="AA530">
        <v>4240259</v>
      </c>
      <c r="AB530" t="b">
        <v>1</v>
      </c>
      <c r="AC530">
        <v>0.27</v>
      </c>
    </row>
    <row r="531" spans="17:29" x14ac:dyDescent="0.2">
      <c r="Q531" t="s">
        <v>2128</v>
      </c>
      <c r="R531" t="s">
        <v>2247</v>
      </c>
      <c r="S531" t="s">
        <v>269</v>
      </c>
      <c r="T531" s="1">
        <v>43734</v>
      </c>
      <c r="U531" s="1">
        <v>43291</v>
      </c>
      <c r="V531" t="s">
        <v>270</v>
      </c>
      <c r="W531">
        <v>1439570</v>
      </c>
      <c r="X531">
        <v>1439570</v>
      </c>
      <c r="Y531" t="s">
        <v>270</v>
      </c>
      <c r="Z531">
        <v>1439570</v>
      </c>
      <c r="AA531">
        <v>1439570</v>
      </c>
      <c r="AB531" t="b">
        <v>1</v>
      </c>
      <c r="AC531">
        <v>0.27</v>
      </c>
    </row>
    <row r="532" spans="17:29" x14ac:dyDescent="0.2">
      <c r="Q532" t="s">
        <v>2117</v>
      </c>
      <c r="R532" t="s">
        <v>2247</v>
      </c>
      <c r="S532" t="s">
        <v>269</v>
      </c>
      <c r="T532" s="1">
        <v>43734</v>
      </c>
      <c r="U532" s="1">
        <v>43291</v>
      </c>
      <c r="V532" t="s">
        <v>270</v>
      </c>
      <c r="W532">
        <v>6782527</v>
      </c>
      <c r="X532">
        <v>6782527</v>
      </c>
      <c r="Y532" t="s">
        <v>270</v>
      </c>
      <c r="Z532">
        <v>6782527</v>
      </c>
      <c r="AA532">
        <v>6782527</v>
      </c>
      <c r="AB532" t="b">
        <v>1</v>
      </c>
      <c r="AC532">
        <v>0.27</v>
      </c>
    </row>
    <row r="533" spans="17:29" x14ac:dyDescent="0.2">
      <c r="Q533" t="s">
        <v>2117</v>
      </c>
      <c r="R533" t="s">
        <v>2247</v>
      </c>
      <c r="S533" t="s">
        <v>269</v>
      </c>
      <c r="T533" s="1">
        <v>43734</v>
      </c>
      <c r="U533" s="1">
        <v>43567</v>
      </c>
      <c r="V533" t="s">
        <v>270</v>
      </c>
      <c r="W533">
        <v>1120661</v>
      </c>
      <c r="X533">
        <v>1120661</v>
      </c>
      <c r="Y533" t="s">
        <v>270</v>
      </c>
      <c r="Z533">
        <v>1120661</v>
      </c>
      <c r="AA533">
        <v>1120661</v>
      </c>
      <c r="AB533" t="b">
        <v>1</v>
      </c>
      <c r="AC533">
        <v>0.27</v>
      </c>
    </row>
    <row r="534" spans="17:29" x14ac:dyDescent="0.2">
      <c r="Q534" t="s">
        <v>2117</v>
      </c>
      <c r="R534" t="s">
        <v>2247</v>
      </c>
      <c r="S534" t="s">
        <v>269</v>
      </c>
      <c r="T534" s="1">
        <v>43734</v>
      </c>
      <c r="U534" s="1">
        <v>43385</v>
      </c>
      <c r="V534" t="s">
        <v>270</v>
      </c>
      <c r="W534">
        <v>4240259</v>
      </c>
      <c r="X534">
        <v>4240259</v>
      </c>
      <c r="Y534" t="s">
        <v>270</v>
      </c>
      <c r="Z534">
        <v>4240259</v>
      </c>
      <c r="AA534">
        <v>4240259</v>
      </c>
      <c r="AB534" t="b">
        <v>1</v>
      </c>
      <c r="AC534">
        <v>0.27</v>
      </c>
    </row>
    <row r="535" spans="17:29" x14ac:dyDescent="0.2">
      <c r="Q535" t="s">
        <v>2117</v>
      </c>
      <c r="R535" t="s">
        <v>2247</v>
      </c>
      <c r="S535" t="s">
        <v>269</v>
      </c>
      <c r="T535" s="1">
        <v>43734</v>
      </c>
      <c r="U535" s="1">
        <v>43291</v>
      </c>
      <c r="V535" t="s">
        <v>270</v>
      </c>
      <c r="W535">
        <v>1439570</v>
      </c>
      <c r="X535">
        <v>1439570</v>
      </c>
      <c r="Y535" t="s">
        <v>270</v>
      </c>
      <c r="Z535">
        <v>1439570</v>
      </c>
      <c r="AA535">
        <v>1439570</v>
      </c>
      <c r="AB535" t="b">
        <v>1</v>
      </c>
      <c r="AC535">
        <v>0.27</v>
      </c>
    </row>
    <row r="536" spans="17:29" x14ac:dyDescent="0.2">
      <c r="Q536" t="s">
        <v>2000</v>
      </c>
      <c r="R536" t="s">
        <v>2245</v>
      </c>
      <c r="S536" t="s">
        <v>287</v>
      </c>
      <c r="T536" s="1">
        <v>43830</v>
      </c>
      <c r="U536" s="1">
        <v>43830</v>
      </c>
      <c r="V536" t="s">
        <v>2185</v>
      </c>
      <c r="W536" s="27">
        <v>1538934285</v>
      </c>
      <c r="X536">
        <v>1538934285</v>
      </c>
      <c r="Y536" t="s">
        <v>290</v>
      </c>
      <c r="Z536">
        <v>54360</v>
      </c>
      <c r="AA536">
        <v>2066738</v>
      </c>
      <c r="AB536" t="b">
        <v>0</v>
      </c>
      <c r="AC536">
        <v>0.09</v>
      </c>
    </row>
    <row r="537" spans="17:29" x14ac:dyDescent="0.2">
      <c r="Q537" t="s">
        <v>2001</v>
      </c>
      <c r="R537" t="s">
        <v>2248</v>
      </c>
      <c r="S537" t="s">
        <v>287</v>
      </c>
      <c r="T537" s="1">
        <v>43830</v>
      </c>
      <c r="U537" s="1">
        <v>43830</v>
      </c>
      <c r="V537" t="s">
        <v>2185</v>
      </c>
      <c r="W537">
        <v>180764729</v>
      </c>
      <c r="X537">
        <v>180764729</v>
      </c>
      <c r="Y537" t="s">
        <v>290</v>
      </c>
      <c r="Z537">
        <v>6385</v>
      </c>
      <c r="AA537">
        <v>242761</v>
      </c>
      <c r="AB537" t="b">
        <v>1</v>
      </c>
      <c r="AC537">
        <v>0.02</v>
      </c>
    </row>
    <row r="538" spans="17:29" x14ac:dyDescent="0.2">
      <c r="Q538" t="s">
        <v>2000</v>
      </c>
      <c r="R538" t="s">
        <v>2248</v>
      </c>
      <c r="S538" t="s">
        <v>287</v>
      </c>
      <c r="T538" s="1">
        <v>43830</v>
      </c>
      <c r="U538" s="1">
        <v>43830</v>
      </c>
      <c r="V538" t="s">
        <v>2185</v>
      </c>
      <c r="W538" s="27">
        <v>180764729</v>
      </c>
      <c r="X538">
        <v>180764729</v>
      </c>
      <c r="Y538" t="s">
        <v>290</v>
      </c>
      <c r="Z538">
        <v>6385</v>
      </c>
      <c r="AA538">
        <v>242761</v>
      </c>
      <c r="AB538" t="b">
        <v>1</v>
      </c>
      <c r="AC538">
        <v>0.02</v>
      </c>
    </row>
    <row r="539" spans="17:29" x14ac:dyDescent="0.2">
      <c r="Q539" t="s">
        <v>2001</v>
      </c>
      <c r="R539" t="s">
        <v>2249</v>
      </c>
      <c r="S539" t="s">
        <v>287</v>
      </c>
      <c r="T539" s="1">
        <v>43830</v>
      </c>
      <c r="U539" s="1">
        <v>43830</v>
      </c>
      <c r="V539" t="s">
        <v>2185</v>
      </c>
      <c r="W539">
        <v>42141136459</v>
      </c>
      <c r="X539">
        <v>42141136459</v>
      </c>
      <c r="Y539" t="s">
        <v>290</v>
      </c>
      <c r="Z539">
        <v>1488563</v>
      </c>
      <c r="AA539">
        <v>56594151</v>
      </c>
      <c r="AB539" t="b">
        <v>1</v>
      </c>
      <c r="AC539">
        <v>0.51</v>
      </c>
    </row>
    <row r="540" spans="17:29" x14ac:dyDescent="0.2">
      <c r="Q540" t="s">
        <v>2014</v>
      </c>
      <c r="R540" t="s">
        <v>2250</v>
      </c>
      <c r="S540" t="s">
        <v>343</v>
      </c>
      <c r="T540" s="1">
        <v>43100</v>
      </c>
      <c r="U540" s="1">
        <v>43100</v>
      </c>
      <c r="V540" t="s">
        <v>345</v>
      </c>
      <c r="W540">
        <v>80000000</v>
      </c>
      <c r="X540">
        <v>288021499</v>
      </c>
      <c r="Y540" t="s">
        <v>345</v>
      </c>
      <c r="Z540">
        <v>288021499</v>
      </c>
      <c r="AA540">
        <v>14962717</v>
      </c>
      <c r="AB540" t="b">
        <v>1</v>
      </c>
      <c r="AC540">
        <v>0.12</v>
      </c>
    </row>
    <row r="541" spans="17:29" x14ac:dyDescent="0.2">
      <c r="Q541" t="s">
        <v>2016</v>
      </c>
      <c r="R541" t="s">
        <v>2250</v>
      </c>
      <c r="S541" t="s">
        <v>343</v>
      </c>
      <c r="T541" s="1">
        <v>43100</v>
      </c>
      <c r="U541" s="1">
        <v>43100</v>
      </c>
      <c r="V541" t="s">
        <v>345</v>
      </c>
      <c r="W541">
        <v>80000000</v>
      </c>
      <c r="X541">
        <v>288021499</v>
      </c>
      <c r="Y541" t="s">
        <v>345</v>
      </c>
      <c r="Z541">
        <v>288021499</v>
      </c>
      <c r="AA541">
        <v>14962717</v>
      </c>
      <c r="AB541" t="b">
        <v>1</v>
      </c>
      <c r="AC541">
        <v>0.12</v>
      </c>
    </row>
    <row r="542" spans="17:29" x14ac:dyDescent="0.2">
      <c r="Q542" t="s">
        <v>2000</v>
      </c>
      <c r="R542" t="s">
        <v>2249</v>
      </c>
      <c r="S542" t="s">
        <v>287</v>
      </c>
      <c r="T542" s="1">
        <v>43830</v>
      </c>
      <c r="U542" s="1">
        <v>43830</v>
      </c>
      <c r="V542" t="s">
        <v>2185</v>
      </c>
      <c r="W542" s="27">
        <v>42141136459</v>
      </c>
      <c r="X542">
        <v>42141136459</v>
      </c>
      <c r="Y542" t="s">
        <v>290</v>
      </c>
      <c r="Z542">
        <v>1488563</v>
      </c>
      <c r="AA542">
        <v>56594151</v>
      </c>
      <c r="AB542" t="b">
        <v>1</v>
      </c>
      <c r="AC542">
        <v>0.51</v>
      </c>
    </row>
    <row r="543" spans="17:29" x14ac:dyDescent="0.2">
      <c r="Q543" t="s">
        <v>1998</v>
      </c>
      <c r="R543" t="s">
        <v>2251</v>
      </c>
      <c r="S543" t="s">
        <v>287</v>
      </c>
      <c r="T543" s="1">
        <v>43830</v>
      </c>
      <c r="U543" s="1">
        <v>43830</v>
      </c>
      <c r="V543" t="s">
        <v>2185</v>
      </c>
      <c r="W543">
        <v>2408835374</v>
      </c>
      <c r="X543">
        <v>2408835374</v>
      </c>
      <c r="Y543" t="s">
        <v>290</v>
      </c>
      <c r="Z543">
        <v>85088</v>
      </c>
      <c r="AA543">
        <v>3234986</v>
      </c>
      <c r="AB543" t="b">
        <v>1</v>
      </c>
      <c r="AC543">
        <v>0.36</v>
      </c>
    </row>
    <row r="544" spans="17:29" x14ac:dyDescent="0.2">
      <c r="Q544" t="s">
        <v>2067</v>
      </c>
      <c r="R544" t="s">
        <v>2251</v>
      </c>
      <c r="S544" t="s">
        <v>287</v>
      </c>
      <c r="T544" s="1">
        <v>43830</v>
      </c>
      <c r="U544" s="1">
        <v>43830</v>
      </c>
      <c r="V544" t="s">
        <v>2185</v>
      </c>
      <c r="W544" s="27">
        <v>2408835374</v>
      </c>
      <c r="X544">
        <v>2408835374</v>
      </c>
      <c r="Y544" t="s">
        <v>290</v>
      </c>
      <c r="Z544">
        <v>85088</v>
      </c>
      <c r="AA544">
        <v>3234986</v>
      </c>
      <c r="AB544" t="b">
        <v>1</v>
      </c>
      <c r="AC544">
        <v>0.36</v>
      </c>
    </row>
    <row r="545" spans="17:29" x14ac:dyDescent="0.2">
      <c r="Q545" t="s">
        <v>1998</v>
      </c>
      <c r="R545" t="s">
        <v>2252</v>
      </c>
      <c r="S545" t="s">
        <v>287</v>
      </c>
      <c r="T545" s="1">
        <v>43830</v>
      </c>
      <c r="U545" s="1">
        <v>43830</v>
      </c>
      <c r="V545" t="s">
        <v>2185</v>
      </c>
      <c r="W545">
        <v>1230293413</v>
      </c>
      <c r="X545">
        <v>1230293413</v>
      </c>
      <c r="Y545" t="s">
        <v>290</v>
      </c>
      <c r="Z545">
        <v>43458</v>
      </c>
      <c r="AA545">
        <v>1652243</v>
      </c>
      <c r="AB545" t="b">
        <v>1</v>
      </c>
      <c r="AC545">
        <v>0.16</v>
      </c>
    </row>
    <row r="546" spans="17:29" x14ac:dyDescent="0.2">
      <c r="Q546" t="s">
        <v>2029</v>
      </c>
      <c r="R546" t="s">
        <v>2250</v>
      </c>
      <c r="S546" t="s">
        <v>343</v>
      </c>
      <c r="T546" s="1">
        <v>43100</v>
      </c>
      <c r="U546" s="1">
        <v>43100</v>
      </c>
      <c r="V546" t="s">
        <v>345</v>
      </c>
      <c r="W546">
        <v>80000000</v>
      </c>
      <c r="X546">
        <v>288021499</v>
      </c>
      <c r="Y546" t="s">
        <v>345</v>
      </c>
      <c r="Z546">
        <v>288021499</v>
      </c>
      <c r="AA546">
        <v>14962717</v>
      </c>
      <c r="AB546" t="b">
        <v>1</v>
      </c>
      <c r="AC546">
        <v>0.12</v>
      </c>
    </row>
    <row r="547" spans="17:29" x14ac:dyDescent="0.2">
      <c r="Q547" t="s">
        <v>2029</v>
      </c>
      <c r="R547" t="s">
        <v>2250</v>
      </c>
      <c r="S547" t="s">
        <v>343</v>
      </c>
      <c r="T547" s="1">
        <v>43100</v>
      </c>
      <c r="U547" s="1">
        <v>43100</v>
      </c>
      <c r="V547" t="s">
        <v>345</v>
      </c>
      <c r="W547">
        <v>80000000</v>
      </c>
      <c r="X547">
        <v>288021499</v>
      </c>
      <c r="Y547" t="s">
        <v>345</v>
      </c>
      <c r="Z547">
        <v>288021499</v>
      </c>
      <c r="AA547">
        <v>14962717</v>
      </c>
      <c r="AB547" t="b">
        <v>1</v>
      </c>
      <c r="AC547">
        <v>0.12</v>
      </c>
    </row>
    <row r="548" spans="17:29" x14ac:dyDescent="0.2">
      <c r="Q548" t="s">
        <v>2029</v>
      </c>
      <c r="R548" t="s">
        <v>2253</v>
      </c>
      <c r="S548" t="s">
        <v>343</v>
      </c>
      <c r="T548" s="1">
        <v>43100</v>
      </c>
      <c r="U548" s="1">
        <v>43100</v>
      </c>
      <c r="V548" t="s">
        <v>345</v>
      </c>
      <c r="W548">
        <v>73100308</v>
      </c>
      <c r="X548">
        <v>73100308</v>
      </c>
      <c r="Y548" t="s">
        <v>345</v>
      </c>
      <c r="Z548">
        <v>73100308</v>
      </c>
      <c r="AA548">
        <v>3797561</v>
      </c>
      <c r="AB548" t="b">
        <v>0</v>
      </c>
      <c r="AC548">
        <v>1</v>
      </c>
    </row>
    <row r="549" spans="17:29" x14ac:dyDescent="0.2">
      <c r="Q549" t="s">
        <v>2029</v>
      </c>
      <c r="R549" t="s">
        <v>2253</v>
      </c>
      <c r="S549" t="s">
        <v>343</v>
      </c>
      <c r="T549" s="1">
        <v>43100</v>
      </c>
      <c r="U549" s="1">
        <v>43100</v>
      </c>
      <c r="V549" t="s">
        <v>345</v>
      </c>
      <c r="W549">
        <v>73100308</v>
      </c>
      <c r="X549">
        <v>73100308</v>
      </c>
      <c r="Y549" t="s">
        <v>345</v>
      </c>
      <c r="Z549">
        <v>73100308</v>
      </c>
      <c r="AA549">
        <v>3797561</v>
      </c>
      <c r="AB549" t="b">
        <v>0</v>
      </c>
      <c r="AC549">
        <v>1</v>
      </c>
    </row>
    <row r="550" spans="17:29" x14ac:dyDescent="0.2">
      <c r="Q550" t="s">
        <v>2165</v>
      </c>
      <c r="R550" t="s">
        <v>2253</v>
      </c>
      <c r="S550" t="s">
        <v>343</v>
      </c>
      <c r="T550" s="1">
        <v>43100</v>
      </c>
      <c r="U550" s="1">
        <v>43100</v>
      </c>
      <c r="V550" t="s">
        <v>345</v>
      </c>
      <c r="W550">
        <v>73100308</v>
      </c>
      <c r="X550">
        <v>73100308</v>
      </c>
      <c r="Y550" t="s">
        <v>345</v>
      </c>
      <c r="Z550">
        <v>73100308</v>
      </c>
      <c r="AA550">
        <v>3797561</v>
      </c>
      <c r="AB550" t="b">
        <v>0</v>
      </c>
      <c r="AC550">
        <v>1</v>
      </c>
    </row>
    <row r="551" spans="17:29" x14ac:dyDescent="0.2">
      <c r="Q551" t="s">
        <v>2165</v>
      </c>
      <c r="R551" t="s">
        <v>2253</v>
      </c>
      <c r="S551" t="s">
        <v>343</v>
      </c>
      <c r="T551" s="1">
        <v>43100</v>
      </c>
      <c r="U551" s="1">
        <v>43100</v>
      </c>
      <c r="V551" t="s">
        <v>345</v>
      </c>
      <c r="W551">
        <v>73100308</v>
      </c>
      <c r="X551">
        <v>73100308</v>
      </c>
      <c r="Y551" t="s">
        <v>345</v>
      </c>
      <c r="Z551">
        <v>73100308</v>
      </c>
      <c r="AA551">
        <v>3797561</v>
      </c>
      <c r="AB551" t="b">
        <v>0</v>
      </c>
      <c r="AC551">
        <v>1</v>
      </c>
    </row>
    <row r="552" spans="17:29" x14ac:dyDescent="0.2">
      <c r="Q552" t="s">
        <v>2025</v>
      </c>
      <c r="R552" t="s">
        <v>2254</v>
      </c>
      <c r="S552" t="s">
        <v>269</v>
      </c>
      <c r="T552" s="1">
        <v>43810</v>
      </c>
      <c r="U552" s="1">
        <v>43082</v>
      </c>
      <c r="V552" t="s">
        <v>270</v>
      </c>
      <c r="W552">
        <v>1247825</v>
      </c>
      <c r="X552">
        <v>1247825</v>
      </c>
      <c r="Y552" t="s">
        <v>270</v>
      </c>
      <c r="Z552">
        <v>1247825</v>
      </c>
      <c r="AA552">
        <v>1247825</v>
      </c>
      <c r="AB552" t="b">
        <v>0</v>
      </c>
      <c r="AC552">
        <v>7.0000000000000007E-2</v>
      </c>
    </row>
    <row r="553" spans="17:29" x14ac:dyDescent="0.2">
      <c r="Q553" t="s">
        <v>2025</v>
      </c>
      <c r="R553" t="s">
        <v>2254</v>
      </c>
      <c r="S553" t="s">
        <v>269</v>
      </c>
      <c r="T553" s="1">
        <v>43810</v>
      </c>
      <c r="U553" s="1">
        <v>43082</v>
      </c>
      <c r="V553" t="s">
        <v>270</v>
      </c>
      <c r="W553">
        <v>1247825</v>
      </c>
      <c r="X553">
        <v>1247825</v>
      </c>
      <c r="Y553" t="s">
        <v>270</v>
      </c>
      <c r="Z553">
        <v>1247825</v>
      </c>
      <c r="AA553">
        <v>1247825</v>
      </c>
      <c r="AB553" t="b">
        <v>0</v>
      </c>
      <c r="AC553">
        <v>7.0000000000000007E-2</v>
      </c>
    </row>
    <row r="554" spans="17:29" x14ac:dyDescent="0.2">
      <c r="Q554" t="s">
        <v>2029</v>
      </c>
      <c r="R554" t="s">
        <v>2254</v>
      </c>
      <c r="S554" t="s">
        <v>269</v>
      </c>
      <c r="T554" s="1">
        <v>43810</v>
      </c>
      <c r="U554" s="1">
        <v>43082</v>
      </c>
      <c r="V554" t="s">
        <v>270</v>
      </c>
      <c r="W554">
        <v>1247825</v>
      </c>
      <c r="X554">
        <v>1247825</v>
      </c>
      <c r="Y554" t="s">
        <v>270</v>
      </c>
      <c r="Z554">
        <v>1247825</v>
      </c>
      <c r="AA554">
        <v>1247825</v>
      </c>
      <c r="AB554" t="b">
        <v>0</v>
      </c>
      <c r="AC554">
        <v>7.0000000000000007E-2</v>
      </c>
    </row>
    <row r="555" spans="17:29" x14ac:dyDescent="0.2">
      <c r="Q555" t="s">
        <v>2029</v>
      </c>
      <c r="R555" t="s">
        <v>2254</v>
      </c>
      <c r="S555" t="s">
        <v>269</v>
      </c>
      <c r="T555" s="1">
        <v>43810</v>
      </c>
      <c r="U555" s="1">
        <v>43082</v>
      </c>
      <c r="V555" t="s">
        <v>270</v>
      </c>
      <c r="W555">
        <v>1247825</v>
      </c>
      <c r="X555">
        <v>1247825</v>
      </c>
      <c r="Y555" t="s">
        <v>270</v>
      </c>
      <c r="Z555">
        <v>1247825</v>
      </c>
      <c r="AA555">
        <v>1247825</v>
      </c>
      <c r="AB555" t="b">
        <v>0</v>
      </c>
      <c r="AC555">
        <v>7.0000000000000007E-2</v>
      </c>
    </row>
    <row r="556" spans="17:29" x14ac:dyDescent="0.2">
      <c r="Q556" t="s">
        <v>2087</v>
      </c>
      <c r="R556" t="s">
        <v>2255</v>
      </c>
      <c r="S556" t="s">
        <v>257</v>
      </c>
      <c r="T556" s="1">
        <v>43205</v>
      </c>
      <c r="U556" s="1">
        <v>43830</v>
      </c>
      <c r="V556" t="s">
        <v>260</v>
      </c>
      <c r="W556">
        <v>84919363</v>
      </c>
      <c r="X556">
        <v>84919363</v>
      </c>
      <c r="Y556" t="s">
        <v>260</v>
      </c>
      <c r="Z556">
        <v>84919363</v>
      </c>
      <c r="AA556">
        <v>16342904</v>
      </c>
      <c r="AB556" t="b">
        <v>0</v>
      </c>
      <c r="AC556">
        <v>0.28000000000000003</v>
      </c>
    </row>
    <row r="557" spans="17:29" x14ac:dyDescent="0.2">
      <c r="Q557" t="s">
        <v>2087</v>
      </c>
      <c r="R557" t="s">
        <v>2255</v>
      </c>
      <c r="S557" t="s">
        <v>257</v>
      </c>
      <c r="T557" s="1">
        <v>43205</v>
      </c>
      <c r="U557" s="1">
        <v>43830</v>
      </c>
      <c r="V557" t="s">
        <v>260</v>
      </c>
      <c r="W557">
        <v>84919363</v>
      </c>
      <c r="X557">
        <v>84919363</v>
      </c>
      <c r="Y557" t="s">
        <v>260</v>
      </c>
      <c r="Z557">
        <v>84919363</v>
      </c>
      <c r="AA557">
        <v>16342904</v>
      </c>
      <c r="AB557" t="b">
        <v>0</v>
      </c>
      <c r="AC557">
        <v>0.28000000000000003</v>
      </c>
    </row>
    <row r="558" spans="17:29" x14ac:dyDescent="0.2">
      <c r="Q558" t="s">
        <v>2087</v>
      </c>
      <c r="R558" t="s">
        <v>2256</v>
      </c>
      <c r="S558" t="s">
        <v>257</v>
      </c>
      <c r="T558" s="1">
        <v>43205</v>
      </c>
      <c r="U558" s="1">
        <v>43830</v>
      </c>
      <c r="V558" t="s">
        <v>260</v>
      </c>
      <c r="W558">
        <v>65116725</v>
      </c>
      <c r="X558">
        <v>65116725</v>
      </c>
      <c r="Y558" t="s">
        <v>260</v>
      </c>
      <c r="Z558">
        <v>65116725</v>
      </c>
      <c r="AA558">
        <v>12531846</v>
      </c>
      <c r="AB558" t="b">
        <v>0</v>
      </c>
      <c r="AC558">
        <v>0.16</v>
      </c>
    </row>
    <row r="559" spans="17:29" x14ac:dyDescent="0.2">
      <c r="Q559" t="s">
        <v>2087</v>
      </c>
      <c r="R559" t="s">
        <v>2256</v>
      </c>
      <c r="S559" t="s">
        <v>257</v>
      </c>
      <c r="T559" s="1">
        <v>43205</v>
      </c>
      <c r="U559" s="1">
        <v>43830</v>
      </c>
      <c r="V559" t="s">
        <v>260</v>
      </c>
      <c r="W559">
        <v>65116725</v>
      </c>
      <c r="X559">
        <v>65116725</v>
      </c>
      <c r="Y559" t="s">
        <v>260</v>
      </c>
      <c r="Z559">
        <v>65116725</v>
      </c>
      <c r="AA559">
        <v>12531846</v>
      </c>
      <c r="AB559" t="b">
        <v>0</v>
      </c>
      <c r="AC559">
        <v>0.16</v>
      </c>
    </row>
    <row r="560" spans="17:29" x14ac:dyDescent="0.2">
      <c r="Q560" t="s">
        <v>2087</v>
      </c>
      <c r="R560" t="s">
        <v>2257</v>
      </c>
      <c r="S560" t="s">
        <v>257</v>
      </c>
      <c r="T560" s="1">
        <v>43205</v>
      </c>
      <c r="U560" s="1">
        <v>43830</v>
      </c>
      <c r="V560" t="s">
        <v>260</v>
      </c>
      <c r="W560">
        <v>19280912</v>
      </c>
      <c r="X560">
        <v>19280912</v>
      </c>
      <c r="Y560" t="s">
        <v>260</v>
      </c>
      <c r="Z560">
        <v>19280912</v>
      </c>
      <c r="AA560">
        <v>3710651</v>
      </c>
      <c r="AB560" t="b">
        <v>0</v>
      </c>
      <c r="AC560">
        <v>0.15</v>
      </c>
    </row>
    <row r="561" spans="17:29" x14ac:dyDescent="0.2">
      <c r="Q561" t="s">
        <v>2087</v>
      </c>
      <c r="R561" t="s">
        <v>2257</v>
      </c>
      <c r="S561" t="s">
        <v>257</v>
      </c>
      <c r="T561" s="1">
        <v>43205</v>
      </c>
      <c r="U561" s="1">
        <v>43830</v>
      </c>
      <c r="V561" t="s">
        <v>260</v>
      </c>
      <c r="W561">
        <v>19280912</v>
      </c>
      <c r="X561">
        <v>19280912</v>
      </c>
      <c r="Y561" t="s">
        <v>260</v>
      </c>
      <c r="Z561">
        <v>19280912</v>
      </c>
      <c r="AA561">
        <v>3710651</v>
      </c>
      <c r="AB561" t="b">
        <v>0</v>
      </c>
      <c r="AC561">
        <v>0.15</v>
      </c>
    </row>
    <row r="562" spans="17:29" x14ac:dyDescent="0.2">
      <c r="Q562" t="s">
        <v>2087</v>
      </c>
      <c r="R562" t="s">
        <v>2258</v>
      </c>
      <c r="S562" t="s">
        <v>257</v>
      </c>
      <c r="T562" s="1">
        <v>43205</v>
      </c>
      <c r="U562" s="1">
        <v>43830</v>
      </c>
      <c r="V562" t="s">
        <v>260</v>
      </c>
      <c r="W562">
        <v>21332682</v>
      </c>
      <c r="X562">
        <v>21332682</v>
      </c>
      <c r="Y562" t="s">
        <v>260</v>
      </c>
      <c r="Z562">
        <v>21332682</v>
      </c>
      <c r="AA562">
        <v>4105518</v>
      </c>
      <c r="AB562" t="b">
        <v>0</v>
      </c>
      <c r="AC562">
        <v>0.16</v>
      </c>
    </row>
    <row r="563" spans="17:29" x14ac:dyDescent="0.2">
      <c r="Q563" t="s">
        <v>2087</v>
      </c>
      <c r="R563" t="s">
        <v>2258</v>
      </c>
      <c r="S563" t="s">
        <v>257</v>
      </c>
      <c r="T563" s="1">
        <v>43205</v>
      </c>
      <c r="U563" s="1">
        <v>43830</v>
      </c>
      <c r="V563" t="s">
        <v>260</v>
      </c>
      <c r="W563">
        <v>21332682</v>
      </c>
      <c r="X563">
        <v>21332682</v>
      </c>
      <c r="Y563" t="s">
        <v>260</v>
      </c>
      <c r="Z563">
        <v>21332682</v>
      </c>
      <c r="AA563">
        <v>4105518</v>
      </c>
      <c r="AB563" t="b">
        <v>0</v>
      </c>
      <c r="AC563">
        <v>0.16</v>
      </c>
    </row>
    <row r="564" spans="17:29" x14ac:dyDescent="0.2">
      <c r="Q564" t="s">
        <v>2087</v>
      </c>
      <c r="R564" t="s">
        <v>2259</v>
      </c>
      <c r="S564" t="s">
        <v>257</v>
      </c>
      <c r="T564" s="1">
        <v>43205</v>
      </c>
      <c r="U564" s="1">
        <v>44196</v>
      </c>
      <c r="V564" t="s">
        <v>260</v>
      </c>
      <c r="W564">
        <v>125995175</v>
      </c>
      <c r="X564">
        <v>125995175</v>
      </c>
      <c r="Y564" t="s">
        <v>260</v>
      </c>
      <c r="Z564">
        <v>125995175</v>
      </c>
      <c r="AA564">
        <v>24248027</v>
      </c>
      <c r="AB564" t="b">
        <v>0</v>
      </c>
      <c r="AC564">
        <v>0.21</v>
      </c>
    </row>
    <row r="565" spans="17:29" x14ac:dyDescent="0.2">
      <c r="Q565" t="s">
        <v>2025</v>
      </c>
      <c r="R565" t="s">
        <v>2260</v>
      </c>
      <c r="S565" t="s">
        <v>269</v>
      </c>
      <c r="T565" s="1">
        <v>43810</v>
      </c>
      <c r="U565" s="1">
        <v>43082</v>
      </c>
      <c r="V565" t="s">
        <v>270</v>
      </c>
      <c r="W565">
        <v>7492105</v>
      </c>
      <c r="X565">
        <v>7492105</v>
      </c>
      <c r="Y565" t="s">
        <v>270</v>
      </c>
      <c r="Z565">
        <v>7492105</v>
      </c>
      <c r="AA565">
        <v>7492105</v>
      </c>
      <c r="AB565" t="b">
        <v>0</v>
      </c>
      <c r="AC565">
        <v>0.39</v>
      </c>
    </row>
    <row r="566" spans="17:29" x14ac:dyDescent="0.2">
      <c r="Q566" t="s">
        <v>2025</v>
      </c>
      <c r="R566" t="s">
        <v>2260</v>
      </c>
      <c r="S566" t="s">
        <v>269</v>
      </c>
      <c r="T566" s="1">
        <v>43810</v>
      </c>
      <c r="U566" s="1">
        <v>43082</v>
      </c>
      <c r="V566" t="s">
        <v>270</v>
      </c>
      <c r="W566">
        <v>7492105</v>
      </c>
      <c r="X566">
        <v>7492105</v>
      </c>
      <c r="Y566" t="s">
        <v>270</v>
      </c>
      <c r="Z566">
        <v>7492105</v>
      </c>
      <c r="AA566">
        <v>7492105</v>
      </c>
      <c r="AB566" t="b">
        <v>0</v>
      </c>
      <c r="AC566">
        <v>0.39</v>
      </c>
    </row>
    <row r="567" spans="17:29" x14ac:dyDescent="0.2">
      <c r="Q567" t="s">
        <v>2029</v>
      </c>
      <c r="R567" t="s">
        <v>2260</v>
      </c>
      <c r="S567" t="s">
        <v>269</v>
      </c>
      <c r="T567" s="1">
        <v>43810</v>
      </c>
      <c r="U567" s="1">
        <v>43082</v>
      </c>
      <c r="V567" t="s">
        <v>270</v>
      </c>
      <c r="W567">
        <v>7492105</v>
      </c>
      <c r="X567">
        <v>7492105</v>
      </c>
      <c r="Y567" t="s">
        <v>270</v>
      </c>
      <c r="Z567">
        <v>7492105</v>
      </c>
      <c r="AA567">
        <v>7492105</v>
      </c>
      <c r="AB567" t="b">
        <v>0</v>
      </c>
      <c r="AC567">
        <v>0.39</v>
      </c>
    </row>
    <row r="568" spans="17:29" x14ac:dyDescent="0.2">
      <c r="Q568" t="s">
        <v>2029</v>
      </c>
      <c r="R568" t="s">
        <v>2260</v>
      </c>
      <c r="S568" t="s">
        <v>269</v>
      </c>
      <c r="T568" s="1">
        <v>43810</v>
      </c>
      <c r="U568" s="1">
        <v>43082</v>
      </c>
      <c r="V568" t="s">
        <v>270</v>
      </c>
      <c r="W568">
        <v>7492105</v>
      </c>
      <c r="X568">
        <v>7492105</v>
      </c>
      <c r="Y568" t="s">
        <v>270</v>
      </c>
      <c r="Z568">
        <v>7492105</v>
      </c>
      <c r="AA568">
        <v>7492105</v>
      </c>
      <c r="AB568" t="b">
        <v>0</v>
      </c>
      <c r="AC568">
        <v>0.39</v>
      </c>
    </row>
    <row r="569" spans="17:29" x14ac:dyDescent="0.2">
      <c r="Q569" t="s">
        <v>2025</v>
      </c>
      <c r="R569" t="s">
        <v>2261</v>
      </c>
      <c r="S569" t="s">
        <v>269</v>
      </c>
      <c r="T569" s="1">
        <v>43810</v>
      </c>
      <c r="U569" s="1">
        <v>43082</v>
      </c>
      <c r="V569" t="s">
        <v>270</v>
      </c>
      <c r="W569">
        <v>13029618</v>
      </c>
      <c r="X569">
        <v>13029618</v>
      </c>
      <c r="Y569" t="s">
        <v>270</v>
      </c>
      <c r="Z569">
        <v>13029618</v>
      </c>
      <c r="AA569">
        <v>13029618</v>
      </c>
      <c r="AB569" t="b">
        <v>0</v>
      </c>
      <c r="AC569">
        <v>0.25</v>
      </c>
    </row>
    <row r="570" spans="17:29" x14ac:dyDescent="0.2">
      <c r="Q570" t="s">
        <v>2025</v>
      </c>
      <c r="R570" t="s">
        <v>2261</v>
      </c>
      <c r="S570" t="s">
        <v>269</v>
      </c>
      <c r="T570" s="1">
        <v>43810</v>
      </c>
      <c r="U570" s="1">
        <v>43082</v>
      </c>
      <c r="V570" t="s">
        <v>270</v>
      </c>
      <c r="W570">
        <v>13029618</v>
      </c>
      <c r="X570">
        <v>13029618</v>
      </c>
      <c r="Y570" t="s">
        <v>270</v>
      </c>
      <c r="Z570">
        <v>13029618</v>
      </c>
      <c r="AA570">
        <v>13029618</v>
      </c>
      <c r="AB570" t="b">
        <v>0</v>
      </c>
      <c r="AC570">
        <v>0.25</v>
      </c>
    </row>
    <row r="571" spans="17:29" x14ac:dyDescent="0.2">
      <c r="Q571" t="s">
        <v>2029</v>
      </c>
      <c r="R571" t="s">
        <v>2261</v>
      </c>
      <c r="S571" t="s">
        <v>269</v>
      </c>
      <c r="T571" s="1">
        <v>43810</v>
      </c>
      <c r="U571" s="1">
        <v>43082</v>
      </c>
      <c r="V571" t="s">
        <v>270</v>
      </c>
      <c r="W571">
        <v>13029618</v>
      </c>
      <c r="X571">
        <v>13029618</v>
      </c>
      <c r="Y571" t="s">
        <v>270</v>
      </c>
      <c r="Z571">
        <v>13029618</v>
      </c>
      <c r="AA571">
        <v>13029618</v>
      </c>
      <c r="AB571" t="b">
        <v>0</v>
      </c>
      <c r="AC571">
        <v>0.25</v>
      </c>
    </row>
    <row r="572" spans="17:29" x14ac:dyDescent="0.2">
      <c r="Q572" t="s">
        <v>2029</v>
      </c>
      <c r="R572" t="s">
        <v>2261</v>
      </c>
      <c r="S572" t="s">
        <v>269</v>
      </c>
      <c r="T572" s="1">
        <v>43810</v>
      </c>
      <c r="U572" s="1">
        <v>43082</v>
      </c>
      <c r="V572" t="s">
        <v>270</v>
      </c>
      <c r="W572">
        <v>13029618</v>
      </c>
      <c r="X572">
        <v>13029618</v>
      </c>
      <c r="Y572" t="s">
        <v>270</v>
      </c>
      <c r="Z572">
        <v>13029618</v>
      </c>
      <c r="AA572">
        <v>13029618</v>
      </c>
      <c r="AB572" t="b">
        <v>0</v>
      </c>
      <c r="AC572">
        <v>0.25</v>
      </c>
    </row>
    <row r="573" spans="17:29" x14ac:dyDescent="0.2">
      <c r="Q573" t="s">
        <v>2025</v>
      </c>
      <c r="R573" t="s">
        <v>2262</v>
      </c>
      <c r="S573" t="s">
        <v>269</v>
      </c>
      <c r="T573" s="1">
        <v>43810</v>
      </c>
      <c r="U573" s="1">
        <v>43082</v>
      </c>
      <c r="V573" t="s">
        <v>270</v>
      </c>
      <c r="W573">
        <v>1214296</v>
      </c>
      <c r="X573">
        <v>1214296</v>
      </c>
      <c r="Y573" t="s">
        <v>270</v>
      </c>
      <c r="Z573">
        <v>1214296</v>
      </c>
      <c r="AA573">
        <v>1214296</v>
      </c>
      <c r="AB573" t="b">
        <v>0</v>
      </c>
      <c r="AC573">
        <v>0.05</v>
      </c>
    </row>
    <row r="574" spans="17:29" x14ac:dyDescent="0.2">
      <c r="Q574" t="s">
        <v>2025</v>
      </c>
      <c r="R574" t="s">
        <v>2262</v>
      </c>
      <c r="S574" t="s">
        <v>269</v>
      </c>
      <c r="T574" s="1">
        <v>43810</v>
      </c>
      <c r="U574" s="1">
        <v>43082</v>
      </c>
      <c r="V574" t="s">
        <v>270</v>
      </c>
      <c r="W574">
        <v>1214296</v>
      </c>
      <c r="X574">
        <v>1214296</v>
      </c>
      <c r="Y574" t="s">
        <v>270</v>
      </c>
      <c r="Z574">
        <v>1214296</v>
      </c>
      <c r="AA574">
        <v>1214296</v>
      </c>
      <c r="AB574" t="b">
        <v>0</v>
      </c>
      <c r="AC574">
        <v>0.05</v>
      </c>
    </row>
    <row r="575" spans="17:29" x14ac:dyDescent="0.2">
      <c r="Q575" t="s">
        <v>2029</v>
      </c>
      <c r="R575" t="s">
        <v>2262</v>
      </c>
      <c r="S575" t="s">
        <v>269</v>
      </c>
      <c r="T575" s="1">
        <v>43810</v>
      </c>
      <c r="U575" s="1">
        <v>43082</v>
      </c>
      <c r="V575" t="s">
        <v>270</v>
      </c>
      <c r="W575">
        <v>1214296</v>
      </c>
      <c r="X575">
        <v>1214296</v>
      </c>
      <c r="Y575" t="s">
        <v>270</v>
      </c>
      <c r="Z575">
        <v>1214296</v>
      </c>
      <c r="AA575">
        <v>1214296</v>
      </c>
      <c r="AB575" t="b">
        <v>0</v>
      </c>
      <c r="AC575">
        <v>0.05</v>
      </c>
    </row>
    <row r="576" spans="17:29" x14ac:dyDescent="0.2">
      <c r="Q576" t="s">
        <v>2029</v>
      </c>
      <c r="R576" t="s">
        <v>2262</v>
      </c>
      <c r="S576" t="s">
        <v>269</v>
      </c>
      <c r="T576" s="1">
        <v>43810</v>
      </c>
      <c r="U576" s="1">
        <v>43082</v>
      </c>
      <c r="V576" t="s">
        <v>270</v>
      </c>
      <c r="W576">
        <v>1214296</v>
      </c>
      <c r="X576">
        <v>1214296</v>
      </c>
      <c r="Y576" t="s">
        <v>270</v>
      </c>
      <c r="Z576">
        <v>1214296</v>
      </c>
      <c r="AA576">
        <v>1214296</v>
      </c>
      <c r="AB576" t="b">
        <v>0</v>
      </c>
      <c r="AC576">
        <v>0.05</v>
      </c>
    </row>
    <row r="577" spans="17:29" x14ac:dyDescent="0.2">
      <c r="Q577" t="s">
        <v>2087</v>
      </c>
      <c r="R577" t="s">
        <v>2259</v>
      </c>
      <c r="S577" t="s">
        <v>257</v>
      </c>
      <c r="T577" s="1">
        <v>43205</v>
      </c>
      <c r="U577" s="1">
        <v>44196</v>
      </c>
      <c r="V577" t="s">
        <v>260</v>
      </c>
      <c r="W577">
        <v>125995175</v>
      </c>
      <c r="X577">
        <v>125995175</v>
      </c>
      <c r="Y577" t="s">
        <v>260</v>
      </c>
      <c r="Z577">
        <v>125995175</v>
      </c>
      <c r="AA577">
        <v>24248027</v>
      </c>
      <c r="AB577" t="b">
        <v>0</v>
      </c>
      <c r="AC577">
        <v>0.21</v>
      </c>
    </row>
    <row r="578" spans="17:29" x14ac:dyDescent="0.2">
      <c r="Q578" t="s">
        <v>2087</v>
      </c>
      <c r="R578" t="s">
        <v>2263</v>
      </c>
      <c r="S578" t="s">
        <v>257</v>
      </c>
      <c r="T578" s="1">
        <v>43205</v>
      </c>
      <c r="U578" s="1">
        <v>44196</v>
      </c>
      <c r="V578" t="s">
        <v>260</v>
      </c>
      <c r="W578">
        <v>113191521</v>
      </c>
      <c r="X578">
        <v>67500000</v>
      </c>
      <c r="Y578" t="s">
        <v>260</v>
      </c>
      <c r="Z578">
        <v>67500000</v>
      </c>
      <c r="AA578">
        <v>12990512</v>
      </c>
      <c r="AB578" t="b">
        <v>0</v>
      </c>
      <c r="AC578">
        <v>0.05</v>
      </c>
    </row>
    <row r="579" spans="17:29" x14ac:dyDescent="0.2">
      <c r="Q579" t="s">
        <v>2087</v>
      </c>
      <c r="R579" t="s">
        <v>2263</v>
      </c>
      <c r="S579" t="s">
        <v>257</v>
      </c>
      <c r="T579" s="1">
        <v>43205</v>
      </c>
      <c r="U579" s="1">
        <v>44196</v>
      </c>
      <c r="V579" t="s">
        <v>260</v>
      </c>
      <c r="W579">
        <v>113191521</v>
      </c>
      <c r="X579">
        <v>67500000</v>
      </c>
      <c r="Y579" t="s">
        <v>260</v>
      </c>
      <c r="Z579">
        <v>67500000</v>
      </c>
      <c r="AA579">
        <v>12990512</v>
      </c>
      <c r="AB579" t="b">
        <v>0</v>
      </c>
      <c r="AC579">
        <v>0.05</v>
      </c>
    </row>
    <row r="580" spans="17:29" x14ac:dyDescent="0.2">
      <c r="Q580" t="s">
        <v>2087</v>
      </c>
      <c r="R580" t="s">
        <v>2264</v>
      </c>
      <c r="S580" t="s">
        <v>257</v>
      </c>
      <c r="T580" s="1">
        <v>43205</v>
      </c>
      <c r="U580" s="1">
        <v>44196</v>
      </c>
      <c r="V580" t="s">
        <v>260</v>
      </c>
      <c r="W580">
        <v>70191323</v>
      </c>
      <c r="X580">
        <v>70191323</v>
      </c>
      <c r="Y580" t="s">
        <v>260</v>
      </c>
      <c r="Z580">
        <v>70191323</v>
      </c>
      <c r="AA580">
        <v>13508463</v>
      </c>
      <c r="AB580" t="b">
        <v>0</v>
      </c>
      <c r="AC580">
        <v>0.21</v>
      </c>
    </row>
    <row r="581" spans="17:29" x14ac:dyDescent="0.2">
      <c r="Q581" t="s">
        <v>2087</v>
      </c>
      <c r="R581" t="s">
        <v>2264</v>
      </c>
      <c r="S581" t="s">
        <v>257</v>
      </c>
      <c r="T581" s="1">
        <v>43205</v>
      </c>
      <c r="U581" s="1">
        <v>44196</v>
      </c>
      <c r="V581" t="s">
        <v>260</v>
      </c>
      <c r="W581">
        <v>70191323</v>
      </c>
      <c r="X581">
        <v>70191323</v>
      </c>
      <c r="Y581" t="s">
        <v>260</v>
      </c>
      <c r="Z581">
        <v>70191323</v>
      </c>
      <c r="AA581">
        <v>13508463</v>
      </c>
      <c r="AB581" t="b">
        <v>0</v>
      </c>
      <c r="AC581">
        <v>0.21</v>
      </c>
    </row>
    <row r="582" spans="17:29" x14ac:dyDescent="0.2">
      <c r="Q582" t="s">
        <v>2087</v>
      </c>
      <c r="R582" t="s">
        <v>2265</v>
      </c>
      <c r="S582" t="s">
        <v>257</v>
      </c>
      <c r="T582" s="1">
        <v>43205</v>
      </c>
      <c r="U582" s="1">
        <v>44196</v>
      </c>
      <c r="V582" t="s">
        <v>260</v>
      </c>
      <c r="W582">
        <v>103849342</v>
      </c>
      <c r="X582">
        <v>103849342</v>
      </c>
      <c r="Y582" t="s">
        <v>260</v>
      </c>
      <c r="Z582">
        <v>103849342</v>
      </c>
      <c r="AA582">
        <v>19986017</v>
      </c>
      <c r="AB582" t="b">
        <v>0</v>
      </c>
      <c r="AC582">
        <v>0.2</v>
      </c>
    </row>
    <row r="583" spans="17:29" x14ac:dyDescent="0.2">
      <c r="Q583" t="s">
        <v>2087</v>
      </c>
      <c r="R583" t="s">
        <v>2265</v>
      </c>
      <c r="S583" t="s">
        <v>257</v>
      </c>
      <c r="T583" s="1">
        <v>43205</v>
      </c>
      <c r="U583" s="1">
        <v>44196</v>
      </c>
      <c r="V583" t="s">
        <v>260</v>
      </c>
      <c r="W583">
        <v>103849342</v>
      </c>
      <c r="X583">
        <v>103849342</v>
      </c>
      <c r="Y583" t="s">
        <v>260</v>
      </c>
      <c r="Z583">
        <v>103849342</v>
      </c>
      <c r="AA583">
        <v>19986017</v>
      </c>
      <c r="AB583" t="b">
        <v>0</v>
      </c>
      <c r="AC583">
        <v>0.2</v>
      </c>
    </row>
    <row r="584" spans="17:29" x14ac:dyDescent="0.2">
      <c r="Q584" t="s">
        <v>2067</v>
      </c>
      <c r="R584" t="s">
        <v>2252</v>
      </c>
      <c r="S584" t="s">
        <v>287</v>
      </c>
      <c r="T584" s="1">
        <v>43830</v>
      </c>
      <c r="U584" s="1">
        <v>43830</v>
      </c>
      <c r="V584" t="s">
        <v>2185</v>
      </c>
      <c r="W584" s="27">
        <v>1230293413</v>
      </c>
      <c r="X584">
        <v>1230293413</v>
      </c>
      <c r="Y584" t="s">
        <v>290</v>
      </c>
      <c r="Z584">
        <v>43458</v>
      </c>
      <c r="AA584">
        <v>1652243</v>
      </c>
      <c r="AB584" t="b">
        <v>1</v>
      </c>
      <c r="AC584">
        <v>0.16</v>
      </c>
    </row>
    <row r="585" spans="17:29" x14ac:dyDescent="0.2">
      <c r="Q585" t="s">
        <v>1998</v>
      </c>
      <c r="R585" t="s">
        <v>2266</v>
      </c>
      <c r="S585" t="s">
        <v>287</v>
      </c>
      <c r="T585" s="1">
        <v>43830</v>
      </c>
      <c r="U585" s="1">
        <v>43830</v>
      </c>
      <c r="V585" t="s">
        <v>2185</v>
      </c>
      <c r="W585">
        <v>2679123486</v>
      </c>
      <c r="X585">
        <v>2679123486</v>
      </c>
      <c r="Y585" t="s">
        <v>290</v>
      </c>
      <c r="Z585">
        <v>94635</v>
      </c>
      <c r="AA585">
        <v>3597974</v>
      </c>
      <c r="AB585" t="b">
        <v>1</v>
      </c>
      <c r="AC585">
        <v>0.57999999999999996</v>
      </c>
    </row>
    <row r="586" spans="17:29" x14ac:dyDescent="0.2">
      <c r="Q586" t="s">
        <v>2067</v>
      </c>
      <c r="R586" t="s">
        <v>2266</v>
      </c>
      <c r="S586" t="s">
        <v>287</v>
      </c>
      <c r="T586" s="1">
        <v>43830</v>
      </c>
      <c r="U586" s="1">
        <v>43830</v>
      </c>
      <c r="V586" t="s">
        <v>2185</v>
      </c>
      <c r="W586" s="27">
        <v>2679123486</v>
      </c>
      <c r="X586">
        <v>2679123486</v>
      </c>
      <c r="Y586" t="s">
        <v>290</v>
      </c>
      <c r="Z586">
        <v>94635</v>
      </c>
      <c r="AA586">
        <v>3597974</v>
      </c>
      <c r="AB586" t="b">
        <v>1</v>
      </c>
      <c r="AC586">
        <v>0.57999999999999996</v>
      </c>
    </row>
    <row r="587" spans="17:29" x14ac:dyDescent="0.2">
      <c r="Q587" t="s">
        <v>1998</v>
      </c>
      <c r="R587" t="s">
        <v>2267</v>
      </c>
      <c r="S587" t="s">
        <v>287</v>
      </c>
      <c r="T587" s="1">
        <v>43830</v>
      </c>
      <c r="U587" s="1">
        <v>43830</v>
      </c>
      <c r="V587" t="s">
        <v>2185</v>
      </c>
      <c r="W587">
        <v>2673957119</v>
      </c>
      <c r="X587">
        <v>2673957119</v>
      </c>
      <c r="Y587" t="s">
        <v>290</v>
      </c>
      <c r="Z587">
        <v>94453</v>
      </c>
      <c r="AA587">
        <v>3591036</v>
      </c>
      <c r="AB587" t="b">
        <v>1</v>
      </c>
      <c r="AC587">
        <v>0.74</v>
      </c>
    </row>
    <row r="588" spans="17:29" x14ac:dyDescent="0.2">
      <c r="Q588" t="s">
        <v>2067</v>
      </c>
      <c r="R588" t="s">
        <v>2267</v>
      </c>
      <c r="S588" t="s">
        <v>287</v>
      </c>
      <c r="T588" s="1">
        <v>43830</v>
      </c>
      <c r="U588" s="1">
        <v>43830</v>
      </c>
      <c r="V588" t="s">
        <v>2185</v>
      </c>
      <c r="W588" s="27">
        <v>2673957119</v>
      </c>
      <c r="X588">
        <v>2673957119</v>
      </c>
      <c r="Y588" t="s">
        <v>290</v>
      </c>
      <c r="Z588">
        <v>94453</v>
      </c>
      <c r="AA588">
        <v>3591036</v>
      </c>
      <c r="AB588" t="b">
        <v>1</v>
      </c>
      <c r="AC588">
        <v>0.74</v>
      </c>
    </row>
    <row r="589" spans="17:29" x14ac:dyDescent="0.2">
      <c r="Q589" t="s">
        <v>1998</v>
      </c>
      <c r="R589" t="s">
        <v>2268</v>
      </c>
      <c r="S589" t="s">
        <v>287</v>
      </c>
      <c r="T589" s="1">
        <v>43830</v>
      </c>
      <c r="U589" s="1">
        <v>43830</v>
      </c>
      <c r="V589" t="s">
        <v>2185</v>
      </c>
      <c r="W589">
        <v>2602664365</v>
      </c>
      <c r="X589">
        <v>2602664365</v>
      </c>
      <c r="Y589" t="s">
        <v>290</v>
      </c>
      <c r="Z589">
        <v>91935</v>
      </c>
      <c r="AA589">
        <v>3495292</v>
      </c>
      <c r="AB589" t="b">
        <v>0</v>
      </c>
      <c r="AC589">
        <v>0.22</v>
      </c>
    </row>
    <row r="590" spans="17:29" x14ac:dyDescent="0.2">
      <c r="Q590" t="s">
        <v>2067</v>
      </c>
      <c r="R590" t="s">
        <v>2268</v>
      </c>
      <c r="S590" t="s">
        <v>287</v>
      </c>
      <c r="T590" s="1">
        <v>43830</v>
      </c>
      <c r="U590" s="1">
        <v>43830</v>
      </c>
      <c r="V590" t="s">
        <v>2185</v>
      </c>
      <c r="W590" s="27">
        <v>2602664365</v>
      </c>
      <c r="X590">
        <v>2602664365</v>
      </c>
      <c r="Y590" t="s">
        <v>290</v>
      </c>
      <c r="Z590">
        <v>91935</v>
      </c>
      <c r="AA590">
        <v>3495292</v>
      </c>
      <c r="AB590" t="b">
        <v>0</v>
      </c>
      <c r="AC590">
        <v>0.22</v>
      </c>
    </row>
    <row r="591" spans="17:29" x14ac:dyDescent="0.2">
      <c r="Q591" t="s">
        <v>2040</v>
      </c>
      <c r="R591" t="s">
        <v>2269</v>
      </c>
      <c r="S591" t="s">
        <v>287</v>
      </c>
      <c r="T591" s="1">
        <v>43830</v>
      </c>
      <c r="U591" s="1">
        <v>43830</v>
      </c>
      <c r="V591" t="s">
        <v>2185</v>
      </c>
      <c r="W591">
        <v>5235535493</v>
      </c>
      <c r="X591">
        <v>5235535493</v>
      </c>
      <c r="Y591" t="s">
        <v>290</v>
      </c>
      <c r="Z591">
        <v>184936</v>
      </c>
      <c r="AA591">
        <v>7031151</v>
      </c>
      <c r="AB591" t="b">
        <v>0</v>
      </c>
      <c r="AC591">
        <v>0.81</v>
      </c>
    </row>
    <row r="592" spans="17:29" x14ac:dyDescent="0.2">
      <c r="Q592" t="s">
        <v>1989</v>
      </c>
      <c r="R592" t="s">
        <v>2269</v>
      </c>
      <c r="S592" t="s">
        <v>287</v>
      </c>
      <c r="T592" s="1">
        <v>43830</v>
      </c>
      <c r="U592" s="1">
        <v>43830</v>
      </c>
      <c r="V592" t="s">
        <v>2185</v>
      </c>
      <c r="W592" s="27">
        <v>5235535493</v>
      </c>
      <c r="X592">
        <v>5235535493</v>
      </c>
      <c r="Y592" t="s">
        <v>290</v>
      </c>
      <c r="Z592">
        <v>184936</v>
      </c>
      <c r="AA592">
        <v>7031151</v>
      </c>
      <c r="AB592" t="b">
        <v>0</v>
      </c>
      <c r="AC592">
        <v>0.81</v>
      </c>
    </row>
    <row r="593" spans="17:29" x14ac:dyDescent="0.2">
      <c r="Q593" t="s">
        <v>2087</v>
      </c>
      <c r="R593" t="s">
        <v>2270</v>
      </c>
      <c r="S593" t="s">
        <v>257</v>
      </c>
      <c r="T593" s="1">
        <v>43449</v>
      </c>
      <c r="U593" s="1">
        <v>44196</v>
      </c>
      <c r="V593" t="s">
        <v>260</v>
      </c>
      <c r="W593">
        <v>56227650</v>
      </c>
      <c r="X593">
        <v>56227650</v>
      </c>
      <c r="Y593" t="s">
        <v>260</v>
      </c>
      <c r="Z593">
        <v>56227650</v>
      </c>
      <c r="AA593">
        <v>10821125</v>
      </c>
      <c r="AB593" t="b">
        <v>0</v>
      </c>
      <c r="AC593">
        <v>0.19</v>
      </c>
    </row>
    <row r="594" spans="17:29" x14ac:dyDescent="0.2">
      <c r="Q594" t="s">
        <v>2087</v>
      </c>
      <c r="R594" t="s">
        <v>2270</v>
      </c>
      <c r="S594" t="s">
        <v>257</v>
      </c>
      <c r="T594" s="1">
        <v>43449</v>
      </c>
      <c r="U594" s="1">
        <v>44196</v>
      </c>
      <c r="V594" t="s">
        <v>260</v>
      </c>
      <c r="W594">
        <v>56227650</v>
      </c>
      <c r="X594">
        <v>56227650</v>
      </c>
      <c r="Y594" t="s">
        <v>260</v>
      </c>
      <c r="Z594">
        <v>56227650</v>
      </c>
      <c r="AA594">
        <v>10821125</v>
      </c>
      <c r="AB594" t="b">
        <v>0</v>
      </c>
      <c r="AC594">
        <v>0.19</v>
      </c>
    </row>
    <row r="595" spans="17:29" x14ac:dyDescent="0.2">
      <c r="Q595" t="s">
        <v>2087</v>
      </c>
      <c r="R595" t="s">
        <v>2271</v>
      </c>
      <c r="S595" t="s">
        <v>257</v>
      </c>
      <c r="T595" s="1">
        <v>43449</v>
      </c>
      <c r="U595" s="1">
        <v>43830</v>
      </c>
      <c r="V595" t="s">
        <v>260</v>
      </c>
      <c r="W595">
        <v>110096602</v>
      </c>
      <c r="X595">
        <v>110096602</v>
      </c>
      <c r="Y595" t="s">
        <v>260</v>
      </c>
      <c r="Z595">
        <v>110096602</v>
      </c>
      <c r="AA595">
        <v>21188315</v>
      </c>
      <c r="AB595" t="b">
        <v>0</v>
      </c>
      <c r="AC595">
        <v>0.28000000000000003</v>
      </c>
    </row>
    <row r="596" spans="17:29" x14ac:dyDescent="0.2">
      <c r="Q596" t="s">
        <v>2087</v>
      </c>
      <c r="R596" t="s">
        <v>2271</v>
      </c>
      <c r="S596" t="s">
        <v>257</v>
      </c>
      <c r="T596" s="1">
        <v>43449</v>
      </c>
      <c r="U596" s="1">
        <v>43830</v>
      </c>
      <c r="V596" t="s">
        <v>260</v>
      </c>
      <c r="W596">
        <v>110096602</v>
      </c>
      <c r="X596">
        <v>110096602</v>
      </c>
      <c r="Y596" t="s">
        <v>260</v>
      </c>
      <c r="Z596">
        <v>110096602</v>
      </c>
      <c r="AA596">
        <v>21188315</v>
      </c>
      <c r="AB596" t="b">
        <v>0</v>
      </c>
      <c r="AC596">
        <v>0.28000000000000003</v>
      </c>
    </row>
    <row r="597" spans="17:29" x14ac:dyDescent="0.2">
      <c r="Q597" t="s">
        <v>2087</v>
      </c>
      <c r="R597" t="s">
        <v>2272</v>
      </c>
      <c r="S597" t="s">
        <v>257</v>
      </c>
      <c r="T597" s="1">
        <v>43449</v>
      </c>
      <c r="U597" s="1">
        <v>44196</v>
      </c>
      <c r="V597" t="s">
        <v>260</v>
      </c>
      <c r="W597">
        <v>35565281.689999998</v>
      </c>
      <c r="X597">
        <v>35565281</v>
      </c>
      <c r="Y597" t="s">
        <v>260</v>
      </c>
      <c r="Z597">
        <v>35565281</v>
      </c>
      <c r="AA597">
        <v>6844610</v>
      </c>
      <c r="AB597" t="b">
        <v>0</v>
      </c>
      <c r="AC597">
        <v>0.28000000000000003</v>
      </c>
    </row>
    <row r="598" spans="17:29" x14ac:dyDescent="0.2">
      <c r="Q598" t="s">
        <v>2087</v>
      </c>
      <c r="R598" t="s">
        <v>2272</v>
      </c>
      <c r="S598" t="s">
        <v>257</v>
      </c>
      <c r="T598" s="1">
        <v>43449</v>
      </c>
      <c r="U598" s="1">
        <v>44196</v>
      </c>
      <c r="V598" t="s">
        <v>260</v>
      </c>
      <c r="W598">
        <v>35565281.689999998</v>
      </c>
      <c r="X598">
        <v>35565281</v>
      </c>
      <c r="Y598" t="s">
        <v>260</v>
      </c>
      <c r="Z598">
        <v>35565281</v>
      </c>
      <c r="AA598">
        <v>6844610</v>
      </c>
      <c r="AB598" t="b">
        <v>0</v>
      </c>
      <c r="AC598">
        <v>0.28000000000000003</v>
      </c>
    </row>
    <row r="599" spans="17:29" x14ac:dyDescent="0.2">
      <c r="Q599" t="s">
        <v>2087</v>
      </c>
      <c r="R599" t="s">
        <v>2273</v>
      </c>
      <c r="S599" t="s">
        <v>257</v>
      </c>
      <c r="T599" s="1">
        <v>43449</v>
      </c>
      <c r="U599" s="1">
        <v>44196</v>
      </c>
      <c r="V599" t="s">
        <v>260</v>
      </c>
      <c r="W599">
        <v>39244210.649999999</v>
      </c>
      <c r="X599">
        <v>39244210</v>
      </c>
      <c r="Y599" t="s">
        <v>260</v>
      </c>
      <c r="Z599">
        <v>39244210</v>
      </c>
      <c r="AA599">
        <v>7552628</v>
      </c>
      <c r="AB599" t="b">
        <v>0</v>
      </c>
      <c r="AC599">
        <v>0.17</v>
      </c>
    </row>
    <row r="600" spans="17:29" x14ac:dyDescent="0.2">
      <c r="Q600" t="s">
        <v>2087</v>
      </c>
      <c r="R600" t="s">
        <v>2273</v>
      </c>
      <c r="S600" t="s">
        <v>257</v>
      </c>
      <c r="T600" s="1">
        <v>43449</v>
      </c>
      <c r="U600" s="1">
        <v>44196</v>
      </c>
      <c r="V600" t="s">
        <v>260</v>
      </c>
      <c r="W600">
        <v>39244210.649999999</v>
      </c>
      <c r="X600">
        <v>39244210</v>
      </c>
      <c r="Y600" t="s">
        <v>260</v>
      </c>
      <c r="Z600">
        <v>39244210</v>
      </c>
      <c r="AA600">
        <v>7552628</v>
      </c>
      <c r="AB600" t="b">
        <v>0</v>
      </c>
      <c r="AC600">
        <v>0.17</v>
      </c>
    </row>
    <row r="601" spans="17:29" x14ac:dyDescent="0.2">
      <c r="Q601" t="s">
        <v>2080</v>
      </c>
      <c r="R601" t="s">
        <v>2274</v>
      </c>
      <c r="S601" t="s">
        <v>257</v>
      </c>
      <c r="T601" s="1">
        <v>43070</v>
      </c>
      <c r="U601" s="1">
        <v>43070</v>
      </c>
      <c r="V601" t="s">
        <v>260</v>
      </c>
      <c r="W601">
        <v>297483000</v>
      </c>
      <c r="X601">
        <v>297483000</v>
      </c>
      <c r="Y601" t="s">
        <v>260</v>
      </c>
      <c r="Z601">
        <v>297483000</v>
      </c>
      <c r="AA601">
        <v>116733969</v>
      </c>
      <c r="AB601" t="b">
        <v>1</v>
      </c>
      <c r="AC601">
        <v>1</v>
      </c>
    </row>
    <row r="602" spans="17:29" x14ac:dyDescent="0.2">
      <c r="Q602" t="s">
        <v>2080</v>
      </c>
      <c r="R602" t="s">
        <v>2274</v>
      </c>
      <c r="S602" t="s">
        <v>257</v>
      </c>
      <c r="T602" s="1">
        <v>42705</v>
      </c>
      <c r="U602" s="1">
        <v>42705</v>
      </c>
      <c r="V602" t="s">
        <v>260</v>
      </c>
      <c r="W602">
        <v>333434000</v>
      </c>
      <c r="X602">
        <v>333434000</v>
      </c>
      <c r="Y602" t="s">
        <v>260</v>
      </c>
      <c r="Z602">
        <v>333434000</v>
      </c>
      <c r="AA602">
        <v>97893664</v>
      </c>
      <c r="AB602" t="b">
        <v>1</v>
      </c>
      <c r="AC602">
        <v>1</v>
      </c>
    </row>
    <row r="603" spans="17:29" x14ac:dyDescent="0.2">
      <c r="Q603" t="s">
        <v>2080</v>
      </c>
      <c r="R603" t="s">
        <v>2274</v>
      </c>
      <c r="S603" t="s">
        <v>257</v>
      </c>
      <c r="T603" s="1">
        <v>42339</v>
      </c>
      <c r="U603" s="1">
        <v>42339</v>
      </c>
      <c r="V603" t="s">
        <v>260</v>
      </c>
      <c r="W603">
        <v>356583000</v>
      </c>
      <c r="X603">
        <v>356583000</v>
      </c>
      <c r="Y603" t="s">
        <v>260</v>
      </c>
      <c r="Z603">
        <v>356583000</v>
      </c>
      <c r="AA603">
        <v>108661455</v>
      </c>
      <c r="AB603" t="b">
        <v>1</v>
      </c>
      <c r="AC603">
        <v>1</v>
      </c>
    </row>
    <row r="604" spans="17:29" x14ac:dyDescent="0.2">
      <c r="Q604" t="s">
        <v>2082</v>
      </c>
      <c r="R604" t="s">
        <v>2274</v>
      </c>
      <c r="S604" t="s">
        <v>257</v>
      </c>
      <c r="T604" s="1">
        <v>43070</v>
      </c>
      <c r="U604" s="1">
        <v>43070</v>
      </c>
      <c r="V604" t="s">
        <v>260</v>
      </c>
      <c r="W604">
        <v>297483000</v>
      </c>
      <c r="X604">
        <v>297483000</v>
      </c>
      <c r="Y604" t="s">
        <v>260</v>
      </c>
      <c r="Z604">
        <v>297483000</v>
      </c>
      <c r="AA604">
        <v>116733969</v>
      </c>
      <c r="AB604" t="b">
        <v>1</v>
      </c>
      <c r="AC604">
        <v>1</v>
      </c>
    </row>
    <row r="605" spans="17:29" x14ac:dyDescent="0.2">
      <c r="Q605" t="s">
        <v>2082</v>
      </c>
      <c r="R605" t="s">
        <v>2274</v>
      </c>
      <c r="S605" t="s">
        <v>257</v>
      </c>
      <c r="T605" s="1">
        <v>42705</v>
      </c>
      <c r="U605" s="1">
        <v>42705</v>
      </c>
      <c r="V605" t="s">
        <v>260</v>
      </c>
      <c r="W605">
        <v>333434000</v>
      </c>
      <c r="X605">
        <v>333434000</v>
      </c>
      <c r="Y605" t="s">
        <v>260</v>
      </c>
      <c r="Z605">
        <v>333434000</v>
      </c>
      <c r="AA605">
        <v>97893664</v>
      </c>
      <c r="AB605" t="b">
        <v>1</v>
      </c>
      <c r="AC605">
        <v>1</v>
      </c>
    </row>
    <row r="606" spans="17:29" x14ac:dyDescent="0.2">
      <c r="Q606" t="s">
        <v>2082</v>
      </c>
      <c r="R606" t="s">
        <v>2274</v>
      </c>
      <c r="S606" t="s">
        <v>257</v>
      </c>
      <c r="T606" s="1">
        <v>42339</v>
      </c>
      <c r="U606" s="1">
        <v>42339</v>
      </c>
      <c r="V606" t="s">
        <v>260</v>
      </c>
      <c r="W606">
        <v>356583000</v>
      </c>
      <c r="X606">
        <v>356583000</v>
      </c>
      <c r="Y606" t="s">
        <v>260</v>
      </c>
      <c r="Z606">
        <v>356583000</v>
      </c>
      <c r="AA606">
        <v>108661455</v>
      </c>
      <c r="AB606" t="b">
        <v>1</v>
      </c>
      <c r="AC606">
        <v>1</v>
      </c>
    </row>
    <row r="607" spans="17:29" x14ac:dyDescent="0.2">
      <c r="Q607" t="s">
        <v>2087</v>
      </c>
      <c r="R607" t="s">
        <v>2275</v>
      </c>
      <c r="S607" t="s">
        <v>257</v>
      </c>
      <c r="T607" s="1">
        <v>43449</v>
      </c>
      <c r="U607" s="1">
        <v>44255</v>
      </c>
      <c r="V607" t="s">
        <v>260</v>
      </c>
      <c r="W607">
        <v>81853158</v>
      </c>
      <c r="X607">
        <v>81853158</v>
      </c>
      <c r="Y607" t="s">
        <v>260</v>
      </c>
      <c r="Z607">
        <v>81853158</v>
      </c>
      <c r="AA607">
        <v>14453148</v>
      </c>
      <c r="AB607" t="b">
        <v>0</v>
      </c>
      <c r="AC607">
        <v>0.61</v>
      </c>
    </row>
    <row r="608" spans="17:29" x14ac:dyDescent="0.2">
      <c r="Q608" t="s">
        <v>2087</v>
      </c>
      <c r="R608" t="s">
        <v>2275</v>
      </c>
      <c r="S608" t="s">
        <v>257</v>
      </c>
      <c r="T608" s="1">
        <v>43449</v>
      </c>
      <c r="U608" s="1">
        <v>44255</v>
      </c>
      <c r="V608" t="s">
        <v>260</v>
      </c>
      <c r="W608">
        <v>81853158</v>
      </c>
      <c r="X608">
        <v>81853158</v>
      </c>
      <c r="Y608" t="s">
        <v>260</v>
      </c>
      <c r="Z608">
        <v>81853158</v>
      </c>
      <c r="AA608">
        <v>14453148</v>
      </c>
      <c r="AB608" t="b">
        <v>0</v>
      </c>
      <c r="AC608">
        <v>0.61</v>
      </c>
    </row>
    <row r="609" spans="17:29" x14ac:dyDescent="0.2">
      <c r="Q609" t="s">
        <v>2087</v>
      </c>
      <c r="R609" t="s">
        <v>2276</v>
      </c>
      <c r="S609" t="s">
        <v>257</v>
      </c>
      <c r="T609" s="1">
        <v>43449</v>
      </c>
      <c r="U609" s="1">
        <v>44196</v>
      </c>
      <c r="V609" t="s">
        <v>260</v>
      </c>
      <c r="W609">
        <v>1570269</v>
      </c>
      <c r="X609">
        <v>1570269</v>
      </c>
      <c r="Y609" t="s">
        <v>260</v>
      </c>
      <c r="Z609">
        <v>1570269</v>
      </c>
      <c r="AA609">
        <v>302201</v>
      </c>
      <c r="AB609" t="b">
        <v>0</v>
      </c>
      <c r="AC609">
        <v>0.01</v>
      </c>
    </row>
    <row r="610" spans="17:29" x14ac:dyDescent="0.2">
      <c r="Q610" t="s">
        <v>2087</v>
      </c>
      <c r="R610" t="s">
        <v>2276</v>
      </c>
      <c r="S610" t="s">
        <v>257</v>
      </c>
      <c r="T610" s="1">
        <v>43449</v>
      </c>
      <c r="U610" s="1">
        <v>44196</v>
      </c>
      <c r="V610" t="s">
        <v>260</v>
      </c>
      <c r="W610">
        <v>1570269</v>
      </c>
      <c r="X610">
        <v>1570269</v>
      </c>
      <c r="Y610" t="s">
        <v>260</v>
      </c>
      <c r="Z610">
        <v>1570269</v>
      </c>
      <c r="AA610">
        <v>302201</v>
      </c>
      <c r="AB610" t="b">
        <v>0</v>
      </c>
      <c r="AC610">
        <v>0.01</v>
      </c>
    </row>
    <row r="611" spans="17:29" x14ac:dyDescent="0.2">
      <c r="Q611" t="s">
        <v>2087</v>
      </c>
      <c r="R611" t="s">
        <v>2277</v>
      </c>
      <c r="S611" t="s">
        <v>257</v>
      </c>
      <c r="T611" s="1">
        <v>43449</v>
      </c>
      <c r="U611" s="1">
        <v>44196</v>
      </c>
      <c r="V611" t="s">
        <v>260</v>
      </c>
      <c r="W611">
        <v>12021913</v>
      </c>
      <c r="X611">
        <v>12021913</v>
      </c>
      <c r="Y611" t="s">
        <v>260</v>
      </c>
      <c r="Z611">
        <v>12021913</v>
      </c>
      <c r="AA611">
        <v>2313642</v>
      </c>
      <c r="AB611" t="b">
        <v>0</v>
      </c>
      <c r="AC611">
        <v>0.04</v>
      </c>
    </row>
    <row r="612" spans="17:29" x14ac:dyDescent="0.2">
      <c r="Q612" t="s">
        <v>2087</v>
      </c>
      <c r="R612" t="s">
        <v>2277</v>
      </c>
      <c r="S612" t="s">
        <v>257</v>
      </c>
      <c r="T612" s="1">
        <v>43449</v>
      </c>
      <c r="U612" s="1">
        <v>44196</v>
      </c>
      <c r="V612" t="s">
        <v>260</v>
      </c>
      <c r="W612">
        <v>12021913</v>
      </c>
      <c r="X612">
        <v>12021913</v>
      </c>
      <c r="Y612" t="s">
        <v>260</v>
      </c>
      <c r="Z612">
        <v>12021913</v>
      </c>
      <c r="AA612">
        <v>2313642</v>
      </c>
      <c r="AB612" t="b">
        <v>0</v>
      </c>
      <c r="AC612">
        <v>0.04</v>
      </c>
    </row>
    <row r="613" spans="17:29" x14ac:dyDescent="0.2">
      <c r="Q613" t="s">
        <v>2087</v>
      </c>
      <c r="R613" t="s">
        <v>2278</v>
      </c>
      <c r="S613" t="s">
        <v>257</v>
      </c>
      <c r="T613" s="1">
        <v>43449</v>
      </c>
      <c r="U613" s="1">
        <v>44196</v>
      </c>
      <c r="V613" t="s">
        <v>260</v>
      </c>
      <c r="W613">
        <v>17916338</v>
      </c>
      <c r="X613">
        <v>17916338</v>
      </c>
      <c r="Y613" t="s">
        <v>260</v>
      </c>
      <c r="Z613">
        <v>17916338</v>
      </c>
      <c r="AA613">
        <v>3448036</v>
      </c>
      <c r="AB613" t="b">
        <v>0</v>
      </c>
      <c r="AC613">
        <v>0.04</v>
      </c>
    </row>
    <row r="614" spans="17:29" x14ac:dyDescent="0.2">
      <c r="Q614" t="s">
        <v>2087</v>
      </c>
      <c r="R614" t="s">
        <v>2278</v>
      </c>
      <c r="S614" t="s">
        <v>257</v>
      </c>
      <c r="T614" s="1">
        <v>43449</v>
      </c>
      <c r="U614" s="1">
        <v>44196</v>
      </c>
      <c r="V614" t="s">
        <v>260</v>
      </c>
      <c r="W614">
        <v>17916338</v>
      </c>
      <c r="X614">
        <v>17916338</v>
      </c>
      <c r="Y614" t="s">
        <v>260</v>
      </c>
      <c r="Z614">
        <v>17916338</v>
      </c>
      <c r="AA614">
        <v>3448036</v>
      </c>
      <c r="AB614" t="b">
        <v>0</v>
      </c>
      <c r="AC614">
        <v>0.04</v>
      </c>
    </row>
    <row r="615" spans="17:29" x14ac:dyDescent="0.2">
      <c r="Q615" t="s">
        <v>2087</v>
      </c>
      <c r="R615" t="s">
        <v>2279</v>
      </c>
      <c r="S615" t="s">
        <v>257</v>
      </c>
      <c r="T615" s="1">
        <v>43449</v>
      </c>
      <c r="U615" s="1">
        <v>44196</v>
      </c>
      <c r="V615" t="s">
        <v>260</v>
      </c>
      <c r="W615">
        <v>33356821</v>
      </c>
      <c r="X615">
        <v>33356821</v>
      </c>
      <c r="Y615" t="s">
        <v>260</v>
      </c>
      <c r="Z615">
        <v>33356821</v>
      </c>
      <c r="AA615">
        <v>6419588</v>
      </c>
      <c r="AB615" t="b">
        <v>0</v>
      </c>
      <c r="AC615">
        <v>0.05</v>
      </c>
    </row>
    <row r="616" spans="17:29" x14ac:dyDescent="0.2">
      <c r="Q616" t="s">
        <v>2087</v>
      </c>
      <c r="R616" t="s">
        <v>2279</v>
      </c>
      <c r="S616" t="s">
        <v>257</v>
      </c>
      <c r="T616" s="1">
        <v>43449</v>
      </c>
      <c r="U616" s="1">
        <v>44196</v>
      </c>
      <c r="V616" t="s">
        <v>260</v>
      </c>
      <c r="W616">
        <v>33356821</v>
      </c>
      <c r="X616">
        <v>33356821</v>
      </c>
      <c r="Y616" t="s">
        <v>260</v>
      </c>
      <c r="Z616">
        <v>33356821</v>
      </c>
      <c r="AA616">
        <v>6419588</v>
      </c>
      <c r="AB616" t="b">
        <v>0</v>
      </c>
      <c r="AC616">
        <v>0.05</v>
      </c>
    </row>
    <row r="617" spans="17:29" x14ac:dyDescent="0.2">
      <c r="Q617" t="s">
        <v>2087</v>
      </c>
      <c r="R617" t="s">
        <v>2280</v>
      </c>
      <c r="S617" t="s">
        <v>257</v>
      </c>
      <c r="T617" s="1">
        <v>44172</v>
      </c>
      <c r="U617" s="1">
        <v>44561</v>
      </c>
      <c r="V617" t="s">
        <v>260</v>
      </c>
      <c r="W617">
        <v>35832105</v>
      </c>
      <c r="X617">
        <v>35832105</v>
      </c>
      <c r="Y617" t="s">
        <v>260</v>
      </c>
      <c r="Z617">
        <v>35832105</v>
      </c>
      <c r="AA617">
        <v>7024250</v>
      </c>
      <c r="AB617" t="b">
        <v>0</v>
      </c>
      <c r="AC617">
        <v>7.0000000000000007E-2</v>
      </c>
    </row>
    <row r="618" spans="17:29" x14ac:dyDescent="0.2">
      <c r="Q618" t="s">
        <v>2087</v>
      </c>
      <c r="R618" t="s">
        <v>2280</v>
      </c>
      <c r="S618" t="s">
        <v>257</v>
      </c>
      <c r="T618" s="1">
        <v>44172</v>
      </c>
      <c r="U618" s="1">
        <v>44561</v>
      </c>
      <c r="V618" t="s">
        <v>260</v>
      </c>
      <c r="W618">
        <v>35832105</v>
      </c>
      <c r="X618">
        <v>35832105</v>
      </c>
      <c r="Y618" t="s">
        <v>260</v>
      </c>
      <c r="Z618">
        <v>35832105</v>
      </c>
      <c r="AA618">
        <v>7024250</v>
      </c>
      <c r="AB618" t="b">
        <v>0</v>
      </c>
      <c r="AC618">
        <v>7.0000000000000007E-2</v>
      </c>
    </row>
    <row r="619" spans="17:29" x14ac:dyDescent="0.2">
      <c r="Q619" t="s">
        <v>2087</v>
      </c>
      <c r="R619" t="s">
        <v>2281</v>
      </c>
      <c r="S619" t="s">
        <v>257</v>
      </c>
      <c r="T619" s="1">
        <v>44172</v>
      </c>
      <c r="U619" s="1">
        <v>44561</v>
      </c>
      <c r="V619" t="s">
        <v>260</v>
      </c>
      <c r="W619">
        <v>113861419</v>
      </c>
      <c r="X619">
        <v>113861419</v>
      </c>
      <c r="Y619" t="s">
        <v>260</v>
      </c>
      <c r="Z619">
        <v>113861419</v>
      </c>
      <c r="AA619">
        <v>22320517</v>
      </c>
      <c r="AB619" t="b">
        <v>0</v>
      </c>
      <c r="AC619">
        <v>0.18</v>
      </c>
    </row>
    <row r="620" spans="17:29" x14ac:dyDescent="0.2">
      <c r="Q620" t="s">
        <v>2087</v>
      </c>
      <c r="R620" t="s">
        <v>2281</v>
      </c>
      <c r="S620" t="s">
        <v>257</v>
      </c>
      <c r="T620" s="1">
        <v>44172</v>
      </c>
      <c r="U620" s="1">
        <v>44561</v>
      </c>
      <c r="V620" t="s">
        <v>260</v>
      </c>
      <c r="W620">
        <v>113861419</v>
      </c>
      <c r="X620">
        <v>113861419</v>
      </c>
      <c r="Y620" t="s">
        <v>260</v>
      </c>
      <c r="Z620">
        <v>113861419</v>
      </c>
      <c r="AA620">
        <v>22320517</v>
      </c>
      <c r="AB620" t="b">
        <v>0</v>
      </c>
      <c r="AC620">
        <v>0.18</v>
      </c>
    </row>
    <row r="621" spans="17:29" x14ac:dyDescent="0.2">
      <c r="Q621" t="s">
        <v>2087</v>
      </c>
      <c r="R621" t="s">
        <v>2282</v>
      </c>
      <c r="S621" t="s">
        <v>257</v>
      </c>
      <c r="T621" s="1">
        <v>44172</v>
      </c>
      <c r="U621" s="1">
        <v>44561</v>
      </c>
      <c r="V621" t="s">
        <v>260</v>
      </c>
      <c r="W621">
        <v>27800000</v>
      </c>
      <c r="X621">
        <v>27800000</v>
      </c>
      <c r="Y621" t="s">
        <v>260</v>
      </c>
      <c r="Z621">
        <v>27800000</v>
      </c>
      <c r="AA621">
        <v>5449698</v>
      </c>
      <c r="AB621" t="b">
        <v>0</v>
      </c>
      <c r="AC621">
        <v>0.16</v>
      </c>
    </row>
    <row r="622" spans="17:29" x14ac:dyDescent="0.2">
      <c r="Q622" t="s">
        <v>2087</v>
      </c>
      <c r="R622" t="s">
        <v>2282</v>
      </c>
      <c r="S622" t="s">
        <v>257</v>
      </c>
      <c r="T622" s="1">
        <v>44172</v>
      </c>
      <c r="U622" s="1">
        <v>44561</v>
      </c>
      <c r="V622" t="s">
        <v>260</v>
      </c>
      <c r="W622">
        <v>27800000</v>
      </c>
      <c r="X622">
        <v>27800000</v>
      </c>
      <c r="Y622" t="s">
        <v>260</v>
      </c>
      <c r="Z622">
        <v>27800000</v>
      </c>
      <c r="AA622">
        <v>5449698</v>
      </c>
      <c r="AB622" t="b">
        <v>0</v>
      </c>
      <c r="AC622">
        <v>0.16</v>
      </c>
    </row>
    <row r="623" spans="17:29" x14ac:dyDescent="0.2">
      <c r="Q623" t="s">
        <v>2087</v>
      </c>
      <c r="R623" t="s">
        <v>2283</v>
      </c>
      <c r="S623" t="s">
        <v>257</v>
      </c>
      <c r="T623" s="1">
        <v>44237</v>
      </c>
      <c r="U623" s="1">
        <v>44561</v>
      </c>
      <c r="V623" t="s">
        <v>260</v>
      </c>
      <c r="W623">
        <v>268923564</v>
      </c>
      <c r="X623">
        <v>32270828</v>
      </c>
      <c r="Y623" t="s">
        <v>260</v>
      </c>
      <c r="Z623">
        <v>32270828</v>
      </c>
      <c r="AA623">
        <v>5974088</v>
      </c>
      <c r="AB623" t="b">
        <v>0</v>
      </c>
      <c r="AC623">
        <v>0.49</v>
      </c>
    </row>
    <row r="624" spans="17:29" x14ac:dyDescent="0.2">
      <c r="Q624" t="s">
        <v>2087</v>
      </c>
      <c r="R624" t="s">
        <v>2283</v>
      </c>
      <c r="S624" t="s">
        <v>257</v>
      </c>
      <c r="T624" s="1">
        <v>44237</v>
      </c>
      <c r="U624" s="1">
        <v>44561</v>
      </c>
      <c r="V624" t="s">
        <v>260</v>
      </c>
      <c r="W624">
        <v>268923564</v>
      </c>
      <c r="X624">
        <v>32270828</v>
      </c>
      <c r="Y624" t="s">
        <v>260</v>
      </c>
      <c r="Z624">
        <v>32270828</v>
      </c>
      <c r="AA624">
        <v>5974088</v>
      </c>
      <c r="AB624" t="b">
        <v>0</v>
      </c>
      <c r="AC624">
        <v>0.49</v>
      </c>
    </row>
    <row r="625" spans="17:29" x14ac:dyDescent="0.2">
      <c r="Q625" t="s">
        <v>2087</v>
      </c>
      <c r="R625" t="s">
        <v>2284</v>
      </c>
      <c r="S625" t="s">
        <v>257</v>
      </c>
      <c r="T625" s="1">
        <v>44237</v>
      </c>
      <c r="U625" s="1">
        <v>44561</v>
      </c>
      <c r="V625" t="s">
        <v>260</v>
      </c>
      <c r="W625">
        <v>325364312</v>
      </c>
      <c r="X625">
        <v>35790074</v>
      </c>
      <c r="Y625" t="s">
        <v>260</v>
      </c>
      <c r="Z625">
        <v>35790074</v>
      </c>
      <c r="AA625">
        <v>6625583</v>
      </c>
      <c r="AB625" t="b">
        <v>0</v>
      </c>
      <c r="AC625">
        <v>0.48</v>
      </c>
    </row>
    <row r="626" spans="17:29" x14ac:dyDescent="0.2">
      <c r="Q626" t="s">
        <v>2087</v>
      </c>
      <c r="R626" t="s">
        <v>2284</v>
      </c>
      <c r="S626" t="s">
        <v>257</v>
      </c>
      <c r="T626" s="1">
        <v>44237</v>
      </c>
      <c r="U626" s="1">
        <v>44561</v>
      </c>
      <c r="V626" t="s">
        <v>260</v>
      </c>
      <c r="W626">
        <v>325364312</v>
      </c>
      <c r="X626">
        <v>35790074</v>
      </c>
      <c r="Y626" t="s">
        <v>260</v>
      </c>
      <c r="Z626">
        <v>35790074</v>
      </c>
      <c r="AA626">
        <v>6625583</v>
      </c>
      <c r="AB626" t="b">
        <v>0</v>
      </c>
      <c r="AC626">
        <v>0.48</v>
      </c>
    </row>
    <row r="627" spans="17:29" x14ac:dyDescent="0.2">
      <c r="Q627" t="s">
        <v>2080</v>
      </c>
      <c r="R627" t="s">
        <v>2285</v>
      </c>
      <c r="S627" t="s">
        <v>257</v>
      </c>
      <c r="T627" s="1">
        <v>43800</v>
      </c>
      <c r="U627" s="1">
        <v>43800</v>
      </c>
      <c r="V627" t="s">
        <v>260</v>
      </c>
      <c r="W627">
        <v>41100000</v>
      </c>
      <c r="X627">
        <v>41100000</v>
      </c>
      <c r="Y627" t="s">
        <v>270</v>
      </c>
      <c r="Z627">
        <v>10400000</v>
      </c>
      <c r="AA627">
        <v>10400000</v>
      </c>
      <c r="AB627" t="b">
        <v>0</v>
      </c>
      <c r="AC627">
        <v>1</v>
      </c>
    </row>
    <row r="628" spans="17:29" x14ac:dyDescent="0.2">
      <c r="Q628" t="s">
        <v>2080</v>
      </c>
      <c r="R628" t="s">
        <v>2285</v>
      </c>
      <c r="S628" t="s">
        <v>257</v>
      </c>
      <c r="T628" s="1">
        <v>43435</v>
      </c>
      <c r="U628" s="1">
        <v>43435</v>
      </c>
      <c r="V628" t="s">
        <v>260</v>
      </c>
      <c r="W628">
        <v>60400000</v>
      </c>
      <c r="X628">
        <v>60400000</v>
      </c>
      <c r="Y628" t="s">
        <v>270</v>
      </c>
      <c r="Z628">
        <v>16500000</v>
      </c>
      <c r="AA628">
        <v>16500000</v>
      </c>
      <c r="AB628" t="b">
        <v>0</v>
      </c>
      <c r="AC628">
        <v>1</v>
      </c>
    </row>
    <row r="629" spans="17:29" x14ac:dyDescent="0.2">
      <c r="Q629" t="s">
        <v>2080</v>
      </c>
      <c r="R629" t="s">
        <v>2285</v>
      </c>
      <c r="S629" t="s">
        <v>257</v>
      </c>
      <c r="T629" s="1">
        <v>43070</v>
      </c>
      <c r="U629" s="1">
        <v>43070</v>
      </c>
      <c r="V629" t="s">
        <v>260</v>
      </c>
      <c r="W629">
        <v>66700000</v>
      </c>
      <c r="X629">
        <v>66700000</v>
      </c>
      <c r="Y629" t="s">
        <v>270</v>
      </c>
      <c r="Z629">
        <v>21100000</v>
      </c>
      <c r="AA629">
        <v>21100000</v>
      </c>
      <c r="AB629" t="b">
        <v>0</v>
      </c>
      <c r="AC629">
        <v>1</v>
      </c>
    </row>
    <row r="630" spans="17:29" x14ac:dyDescent="0.2">
      <c r="Q630" t="s">
        <v>2080</v>
      </c>
      <c r="R630" t="s">
        <v>2285</v>
      </c>
      <c r="S630" t="s">
        <v>257</v>
      </c>
      <c r="T630" s="1">
        <v>42705</v>
      </c>
      <c r="U630" s="1">
        <v>42705</v>
      </c>
      <c r="V630" t="s">
        <v>260</v>
      </c>
      <c r="W630">
        <v>66300000</v>
      </c>
      <c r="X630">
        <v>66300000</v>
      </c>
      <c r="Y630" t="s">
        <v>270</v>
      </c>
      <c r="Z630">
        <v>19000000</v>
      </c>
      <c r="AA630">
        <v>19000000</v>
      </c>
      <c r="AB630" t="b">
        <v>0</v>
      </c>
      <c r="AC630">
        <v>1</v>
      </c>
    </row>
    <row r="631" spans="17:29" x14ac:dyDescent="0.2">
      <c r="Q631" t="s">
        <v>2080</v>
      </c>
      <c r="R631" t="s">
        <v>2285</v>
      </c>
      <c r="S631" t="s">
        <v>257</v>
      </c>
      <c r="T631" s="1">
        <v>42339</v>
      </c>
      <c r="U631" s="1">
        <v>42339</v>
      </c>
      <c r="V631" t="s">
        <v>260</v>
      </c>
      <c r="W631">
        <v>35300000</v>
      </c>
      <c r="X631">
        <v>35300000</v>
      </c>
      <c r="Y631" t="s">
        <v>270</v>
      </c>
      <c r="Z631">
        <v>10600000</v>
      </c>
      <c r="AA631">
        <v>10600000</v>
      </c>
      <c r="AB631" t="b">
        <v>0</v>
      </c>
      <c r="AC631">
        <v>1</v>
      </c>
    </row>
    <row r="632" spans="17:29" x14ac:dyDescent="0.2">
      <c r="Q632" t="s">
        <v>2082</v>
      </c>
      <c r="R632" t="s">
        <v>2285</v>
      </c>
      <c r="S632" t="s">
        <v>257</v>
      </c>
      <c r="T632" s="1">
        <v>43800</v>
      </c>
      <c r="U632" s="1">
        <v>43800</v>
      </c>
      <c r="V632" t="s">
        <v>260</v>
      </c>
      <c r="W632">
        <v>41100000</v>
      </c>
      <c r="X632">
        <v>41100000</v>
      </c>
      <c r="Y632" t="s">
        <v>270</v>
      </c>
      <c r="Z632">
        <v>10400000</v>
      </c>
      <c r="AA632">
        <v>10400000</v>
      </c>
      <c r="AB632" t="b">
        <v>0</v>
      </c>
      <c r="AC632">
        <v>1</v>
      </c>
    </row>
    <row r="633" spans="17:29" x14ac:dyDescent="0.2">
      <c r="Q633" t="s">
        <v>2082</v>
      </c>
      <c r="R633" t="s">
        <v>2285</v>
      </c>
      <c r="S633" t="s">
        <v>257</v>
      </c>
      <c r="T633" s="1">
        <v>43435</v>
      </c>
      <c r="U633" s="1">
        <v>43435</v>
      </c>
      <c r="V633" t="s">
        <v>260</v>
      </c>
      <c r="W633">
        <v>60400000</v>
      </c>
      <c r="X633">
        <v>60400000</v>
      </c>
      <c r="Y633" t="s">
        <v>270</v>
      </c>
      <c r="Z633">
        <v>16500000</v>
      </c>
      <c r="AA633">
        <v>16500000</v>
      </c>
      <c r="AB633" t="b">
        <v>0</v>
      </c>
      <c r="AC633">
        <v>1</v>
      </c>
    </row>
    <row r="634" spans="17:29" x14ac:dyDescent="0.2">
      <c r="Q634" t="s">
        <v>2082</v>
      </c>
      <c r="R634" t="s">
        <v>2285</v>
      </c>
      <c r="S634" t="s">
        <v>257</v>
      </c>
      <c r="T634" s="1">
        <v>43070</v>
      </c>
      <c r="U634" s="1">
        <v>43070</v>
      </c>
      <c r="V634" t="s">
        <v>260</v>
      </c>
      <c r="W634">
        <v>66700000</v>
      </c>
      <c r="X634">
        <v>66700000</v>
      </c>
      <c r="Y634" t="s">
        <v>270</v>
      </c>
      <c r="Z634">
        <v>21100000</v>
      </c>
      <c r="AA634">
        <v>21100000</v>
      </c>
      <c r="AB634" t="b">
        <v>0</v>
      </c>
      <c r="AC634">
        <v>1</v>
      </c>
    </row>
    <row r="635" spans="17:29" x14ac:dyDescent="0.2">
      <c r="Q635" t="s">
        <v>2082</v>
      </c>
      <c r="R635" t="s">
        <v>2285</v>
      </c>
      <c r="S635" t="s">
        <v>257</v>
      </c>
      <c r="T635" s="1">
        <v>42705</v>
      </c>
      <c r="U635" s="1">
        <v>42705</v>
      </c>
      <c r="V635" t="s">
        <v>260</v>
      </c>
      <c r="W635">
        <v>66300000</v>
      </c>
      <c r="X635">
        <v>66300000</v>
      </c>
      <c r="Y635" t="s">
        <v>270</v>
      </c>
      <c r="Z635">
        <v>19000000</v>
      </c>
      <c r="AA635">
        <v>19000000</v>
      </c>
      <c r="AB635" t="b">
        <v>0</v>
      </c>
      <c r="AC635">
        <v>1</v>
      </c>
    </row>
    <row r="636" spans="17:29" x14ac:dyDescent="0.2">
      <c r="Q636" t="s">
        <v>2082</v>
      </c>
      <c r="R636" t="s">
        <v>2285</v>
      </c>
      <c r="S636" t="s">
        <v>257</v>
      </c>
      <c r="T636" s="1">
        <v>42339</v>
      </c>
      <c r="U636" s="1">
        <v>42339</v>
      </c>
      <c r="V636" t="s">
        <v>260</v>
      </c>
      <c r="W636">
        <v>35300000</v>
      </c>
      <c r="X636">
        <v>35300000</v>
      </c>
      <c r="Y636" t="s">
        <v>270</v>
      </c>
      <c r="Z636">
        <v>10600000</v>
      </c>
      <c r="AA636">
        <v>10600000</v>
      </c>
      <c r="AB636" t="b">
        <v>0</v>
      </c>
      <c r="AC636">
        <v>1</v>
      </c>
    </row>
    <row r="637" spans="17:29" x14ac:dyDescent="0.2">
      <c r="Q637" t="s">
        <v>2080</v>
      </c>
      <c r="R637" t="s">
        <v>2286</v>
      </c>
      <c r="S637" t="s">
        <v>257</v>
      </c>
      <c r="T637" s="1">
        <v>43800</v>
      </c>
      <c r="U637" s="1">
        <v>43800</v>
      </c>
      <c r="V637" t="s">
        <v>260</v>
      </c>
      <c r="W637">
        <v>97100000</v>
      </c>
      <c r="X637">
        <v>97100000</v>
      </c>
      <c r="Y637" t="s">
        <v>270</v>
      </c>
      <c r="Z637">
        <v>24600000</v>
      </c>
      <c r="AA637">
        <v>24600000</v>
      </c>
      <c r="AB637" t="b">
        <v>1</v>
      </c>
      <c r="AC637">
        <v>1</v>
      </c>
    </row>
    <row r="638" spans="17:29" x14ac:dyDescent="0.2">
      <c r="Q638" t="s">
        <v>2080</v>
      </c>
      <c r="R638" t="s">
        <v>2286</v>
      </c>
      <c r="S638" t="s">
        <v>257</v>
      </c>
      <c r="T638" s="1">
        <v>43435</v>
      </c>
      <c r="U638" s="1">
        <v>43435</v>
      </c>
      <c r="V638" t="s">
        <v>260</v>
      </c>
      <c r="W638">
        <v>139600000</v>
      </c>
      <c r="X638">
        <v>139600000</v>
      </c>
      <c r="Y638" t="s">
        <v>270</v>
      </c>
      <c r="Z638">
        <v>38200000</v>
      </c>
      <c r="AA638">
        <v>38200000</v>
      </c>
      <c r="AB638" t="b">
        <v>1</v>
      </c>
      <c r="AC638">
        <v>1</v>
      </c>
    </row>
    <row r="639" spans="17:29" x14ac:dyDescent="0.2">
      <c r="Q639" t="s">
        <v>2080</v>
      </c>
      <c r="R639" t="s">
        <v>2286</v>
      </c>
      <c r="S639" t="s">
        <v>257</v>
      </c>
      <c r="T639" s="1">
        <v>43070</v>
      </c>
      <c r="U639" s="1">
        <v>43070</v>
      </c>
      <c r="V639" t="s">
        <v>260</v>
      </c>
      <c r="W639">
        <v>134400000</v>
      </c>
      <c r="X639">
        <v>134400000</v>
      </c>
      <c r="Y639" t="s">
        <v>270</v>
      </c>
      <c r="Z639">
        <v>42100000</v>
      </c>
      <c r="AA639">
        <v>42100000</v>
      </c>
      <c r="AB639" t="b">
        <v>1</v>
      </c>
      <c r="AC639">
        <v>1</v>
      </c>
    </row>
    <row r="640" spans="17:29" x14ac:dyDescent="0.2">
      <c r="Q640" t="s">
        <v>2080</v>
      </c>
      <c r="R640" t="s">
        <v>2286</v>
      </c>
      <c r="S640" t="s">
        <v>257</v>
      </c>
      <c r="T640" s="1">
        <v>42705</v>
      </c>
      <c r="U640" s="1">
        <v>42705</v>
      </c>
      <c r="V640" t="s">
        <v>260</v>
      </c>
      <c r="W640">
        <v>128300000</v>
      </c>
      <c r="X640">
        <v>128300000</v>
      </c>
      <c r="Y640" t="s">
        <v>270</v>
      </c>
      <c r="Z640">
        <v>36800000</v>
      </c>
      <c r="AA640">
        <v>36800000</v>
      </c>
      <c r="AB640" t="b">
        <v>1</v>
      </c>
      <c r="AC640">
        <v>1</v>
      </c>
    </row>
    <row r="641" spans="17:29" x14ac:dyDescent="0.2">
      <c r="Q641" t="s">
        <v>2080</v>
      </c>
      <c r="R641" t="s">
        <v>2286</v>
      </c>
      <c r="S641" t="s">
        <v>257</v>
      </c>
      <c r="T641" s="1">
        <v>42339</v>
      </c>
      <c r="U641" s="1">
        <v>42339</v>
      </c>
      <c r="V641" t="s">
        <v>260</v>
      </c>
      <c r="W641">
        <v>118200000</v>
      </c>
      <c r="X641">
        <v>118200000</v>
      </c>
      <c r="Y641" t="s">
        <v>270</v>
      </c>
      <c r="Z641">
        <v>35400000</v>
      </c>
      <c r="AA641">
        <v>35400000</v>
      </c>
      <c r="AB641" t="b">
        <v>1</v>
      </c>
      <c r="AC641">
        <v>1</v>
      </c>
    </row>
    <row r="642" spans="17:29" x14ac:dyDescent="0.2">
      <c r="Q642" t="s">
        <v>2082</v>
      </c>
      <c r="R642" t="s">
        <v>2286</v>
      </c>
      <c r="S642" t="s">
        <v>257</v>
      </c>
      <c r="T642" s="1">
        <v>43800</v>
      </c>
      <c r="U642" s="1">
        <v>43800</v>
      </c>
      <c r="V642" t="s">
        <v>260</v>
      </c>
      <c r="W642">
        <v>97100000</v>
      </c>
      <c r="X642">
        <v>97100000</v>
      </c>
      <c r="Y642" t="s">
        <v>270</v>
      </c>
      <c r="Z642">
        <v>24600000</v>
      </c>
      <c r="AA642">
        <v>24600000</v>
      </c>
      <c r="AB642" t="b">
        <v>1</v>
      </c>
      <c r="AC642">
        <v>1</v>
      </c>
    </row>
    <row r="643" spans="17:29" x14ac:dyDescent="0.2">
      <c r="Q643" t="s">
        <v>2082</v>
      </c>
      <c r="R643" t="s">
        <v>2286</v>
      </c>
      <c r="S643" t="s">
        <v>257</v>
      </c>
      <c r="T643" s="1">
        <v>43435</v>
      </c>
      <c r="U643" s="1">
        <v>43435</v>
      </c>
      <c r="V643" t="s">
        <v>260</v>
      </c>
      <c r="W643">
        <v>139600000</v>
      </c>
      <c r="X643">
        <v>139600000</v>
      </c>
      <c r="Y643" t="s">
        <v>270</v>
      </c>
      <c r="Z643">
        <v>38200000</v>
      </c>
      <c r="AA643">
        <v>38200000</v>
      </c>
      <c r="AB643" t="b">
        <v>1</v>
      </c>
      <c r="AC643">
        <v>1</v>
      </c>
    </row>
    <row r="644" spans="17:29" x14ac:dyDescent="0.2">
      <c r="Q644" t="s">
        <v>2082</v>
      </c>
      <c r="R644" t="s">
        <v>2286</v>
      </c>
      <c r="S644" t="s">
        <v>257</v>
      </c>
      <c r="T644" s="1">
        <v>43070</v>
      </c>
      <c r="U644" s="1">
        <v>43070</v>
      </c>
      <c r="V644" t="s">
        <v>260</v>
      </c>
      <c r="W644">
        <v>134400000</v>
      </c>
      <c r="X644">
        <v>134400000</v>
      </c>
      <c r="Y644" t="s">
        <v>270</v>
      </c>
      <c r="Z644">
        <v>42100000</v>
      </c>
      <c r="AA644">
        <v>42100000</v>
      </c>
      <c r="AB644" t="b">
        <v>1</v>
      </c>
      <c r="AC644">
        <v>1</v>
      </c>
    </row>
    <row r="645" spans="17:29" x14ac:dyDescent="0.2">
      <c r="Q645" t="s">
        <v>2082</v>
      </c>
      <c r="R645" t="s">
        <v>2286</v>
      </c>
      <c r="S645" t="s">
        <v>257</v>
      </c>
      <c r="T645" s="1">
        <v>42705</v>
      </c>
      <c r="U645" s="1">
        <v>42705</v>
      </c>
      <c r="V645" t="s">
        <v>260</v>
      </c>
      <c r="W645">
        <v>128300000</v>
      </c>
      <c r="X645">
        <v>128300000</v>
      </c>
      <c r="Y645" t="s">
        <v>270</v>
      </c>
      <c r="Z645">
        <v>36800000</v>
      </c>
      <c r="AA645">
        <v>36800000</v>
      </c>
      <c r="AB645" t="b">
        <v>1</v>
      </c>
      <c r="AC645">
        <v>1</v>
      </c>
    </row>
    <row r="646" spans="17:29" x14ac:dyDescent="0.2">
      <c r="Q646" t="s">
        <v>2082</v>
      </c>
      <c r="R646" t="s">
        <v>2286</v>
      </c>
      <c r="S646" t="s">
        <v>257</v>
      </c>
      <c r="T646" s="1">
        <v>42339</v>
      </c>
      <c r="U646" s="1">
        <v>42339</v>
      </c>
      <c r="V646" t="s">
        <v>260</v>
      </c>
      <c r="W646">
        <v>118200000</v>
      </c>
      <c r="X646">
        <v>118200000</v>
      </c>
      <c r="Y646" t="s">
        <v>270</v>
      </c>
      <c r="Z646">
        <v>35400000</v>
      </c>
      <c r="AA646">
        <v>35400000</v>
      </c>
      <c r="AB646" t="b">
        <v>1</v>
      </c>
      <c r="AC646">
        <v>1</v>
      </c>
    </row>
    <row r="647" spans="17:29" x14ac:dyDescent="0.2">
      <c r="Q647" t="s">
        <v>2080</v>
      </c>
      <c r="R647" t="s">
        <v>2287</v>
      </c>
      <c r="S647" t="s">
        <v>257</v>
      </c>
      <c r="T647" s="1">
        <v>43800</v>
      </c>
      <c r="U647" s="1">
        <v>43800</v>
      </c>
      <c r="V647" t="s">
        <v>260</v>
      </c>
      <c r="W647">
        <v>185600000</v>
      </c>
      <c r="X647">
        <v>185600000</v>
      </c>
      <c r="Y647" t="s">
        <v>270</v>
      </c>
      <c r="Z647">
        <v>47000000</v>
      </c>
      <c r="AA647">
        <v>47000000</v>
      </c>
      <c r="AB647" t="b">
        <v>1</v>
      </c>
      <c r="AC647">
        <v>1</v>
      </c>
    </row>
    <row r="648" spans="17:29" x14ac:dyDescent="0.2">
      <c r="Q648" t="s">
        <v>2080</v>
      </c>
      <c r="R648" t="s">
        <v>2287</v>
      </c>
      <c r="S648" t="s">
        <v>257</v>
      </c>
      <c r="T648" s="1">
        <v>43435</v>
      </c>
      <c r="U648" s="1">
        <v>43435</v>
      </c>
      <c r="V648" t="s">
        <v>260</v>
      </c>
      <c r="W648">
        <v>199600000</v>
      </c>
      <c r="X648">
        <v>199600000</v>
      </c>
      <c r="Y648" t="s">
        <v>270</v>
      </c>
      <c r="Z648">
        <v>54600000</v>
      </c>
      <c r="AA648">
        <v>54600000</v>
      </c>
      <c r="AB648" t="b">
        <v>1</v>
      </c>
      <c r="AC648">
        <v>1</v>
      </c>
    </row>
    <row r="649" spans="17:29" x14ac:dyDescent="0.2">
      <c r="Q649" t="s">
        <v>2080</v>
      </c>
      <c r="R649" t="s">
        <v>2287</v>
      </c>
      <c r="S649" t="s">
        <v>257</v>
      </c>
      <c r="T649" s="1">
        <v>43070</v>
      </c>
      <c r="U649" s="1">
        <v>43070</v>
      </c>
      <c r="V649" t="s">
        <v>260</v>
      </c>
      <c r="W649">
        <v>100800000</v>
      </c>
      <c r="X649">
        <v>100800000</v>
      </c>
      <c r="Y649" t="s">
        <v>270</v>
      </c>
      <c r="Z649">
        <v>31600000</v>
      </c>
      <c r="AA649">
        <v>31600000</v>
      </c>
      <c r="AB649" t="b">
        <v>1</v>
      </c>
      <c r="AC649">
        <v>1</v>
      </c>
    </row>
    <row r="650" spans="17:29" x14ac:dyDescent="0.2">
      <c r="Q650" t="s">
        <v>2080</v>
      </c>
      <c r="R650" t="s">
        <v>2287</v>
      </c>
      <c r="S650" t="s">
        <v>257</v>
      </c>
      <c r="T650" s="1">
        <v>42705</v>
      </c>
      <c r="U650" s="1">
        <v>42705</v>
      </c>
      <c r="V650" t="s">
        <v>260</v>
      </c>
      <c r="W650">
        <v>288500000</v>
      </c>
      <c r="X650">
        <v>288500000</v>
      </c>
      <c r="Y650" t="s">
        <v>270</v>
      </c>
      <c r="Z650">
        <v>82800000</v>
      </c>
      <c r="AA650">
        <v>82800000</v>
      </c>
      <c r="AB650" t="b">
        <v>1</v>
      </c>
      <c r="AC650">
        <v>1</v>
      </c>
    </row>
    <row r="651" spans="17:29" x14ac:dyDescent="0.2">
      <c r="Q651" t="s">
        <v>2080</v>
      </c>
      <c r="R651" t="s">
        <v>2287</v>
      </c>
      <c r="S651" t="s">
        <v>257</v>
      </c>
      <c r="T651" s="1">
        <v>42339</v>
      </c>
      <c r="U651" s="1">
        <v>42339</v>
      </c>
      <c r="V651" t="s">
        <v>260</v>
      </c>
      <c r="W651">
        <v>235300000</v>
      </c>
      <c r="X651">
        <v>235300000</v>
      </c>
      <c r="Y651" t="s">
        <v>270</v>
      </c>
      <c r="Z651">
        <v>70500000</v>
      </c>
      <c r="AA651">
        <v>70500000</v>
      </c>
      <c r="AB651" t="b">
        <v>1</v>
      </c>
      <c r="AC651">
        <v>1</v>
      </c>
    </row>
    <row r="652" spans="17:29" x14ac:dyDescent="0.2">
      <c r="Q652" t="s">
        <v>2082</v>
      </c>
      <c r="R652" t="s">
        <v>2287</v>
      </c>
      <c r="S652" t="s">
        <v>257</v>
      </c>
      <c r="T652" s="1">
        <v>43800</v>
      </c>
      <c r="U652" s="1">
        <v>43800</v>
      </c>
      <c r="V652" t="s">
        <v>260</v>
      </c>
      <c r="W652">
        <v>185600000</v>
      </c>
      <c r="X652">
        <v>185600000</v>
      </c>
      <c r="Y652" t="s">
        <v>270</v>
      </c>
      <c r="Z652">
        <v>47000000</v>
      </c>
      <c r="AA652">
        <v>47000000</v>
      </c>
      <c r="AB652" t="b">
        <v>1</v>
      </c>
      <c r="AC652">
        <v>1</v>
      </c>
    </row>
    <row r="653" spans="17:29" x14ac:dyDescent="0.2">
      <c r="Q653" t="s">
        <v>2082</v>
      </c>
      <c r="R653" t="s">
        <v>2287</v>
      </c>
      <c r="S653" t="s">
        <v>257</v>
      </c>
      <c r="T653" s="1">
        <v>43435</v>
      </c>
      <c r="U653" s="1">
        <v>43435</v>
      </c>
      <c r="V653" t="s">
        <v>260</v>
      </c>
      <c r="W653">
        <v>199600000</v>
      </c>
      <c r="X653">
        <v>199600000</v>
      </c>
      <c r="Y653" t="s">
        <v>270</v>
      </c>
      <c r="Z653">
        <v>54600000</v>
      </c>
      <c r="AA653">
        <v>54600000</v>
      </c>
      <c r="AB653" t="b">
        <v>1</v>
      </c>
      <c r="AC653">
        <v>1</v>
      </c>
    </row>
    <row r="654" spans="17:29" x14ac:dyDescent="0.2">
      <c r="Q654" t="s">
        <v>2082</v>
      </c>
      <c r="R654" t="s">
        <v>2287</v>
      </c>
      <c r="S654" t="s">
        <v>257</v>
      </c>
      <c r="T654" s="1">
        <v>43070</v>
      </c>
      <c r="U654" s="1">
        <v>43070</v>
      </c>
      <c r="V654" t="s">
        <v>260</v>
      </c>
      <c r="W654">
        <v>100800000</v>
      </c>
      <c r="X654">
        <v>100800000</v>
      </c>
      <c r="Y654" t="s">
        <v>270</v>
      </c>
      <c r="Z654">
        <v>31600000</v>
      </c>
      <c r="AA654">
        <v>31600000</v>
      </c>
      <c r="AB654" t="b">
        <v>1</v>
      </c>
      <c r="AC654">
        <v>1</v>
      </c>
    </row>
    <row r="655" spans="17:29" x14ac:dyDescent="0.2">
      <c r="Q655" t="s">
        <v>2082</v>
      </c>
      <c r="R655" t="s">
        <v>2287</v>
      </c>
      <c r="S655" t="s">
        <v>257</v>
      </c>
      <c r="T655" s="1">
        <v>42705</v>
      </c>
      <c r="U655" s="1">
        <v>42705</v>
      </c>
      <c r="V655" t="s">
        <v>260</v>
      </c>
      <c r="W655">
        <v>288500000</v>
      </c>
      <c r="X655">
        <v>288500000</v>
      </c>
      <c r="Y655" t="s">
        <v>270</v>
      </c>
      <c r="Z655">
        <v>82800000</v>
      </c>
      <c r="AA655">
        <v>82800000</v>
      </c>
      <c r="AB655" t="b">
        <v>1</v>
      </c>
      <c r="AC655">
        <v>1</v>
      </c>
    </row>
    <row r="656" spans="17:29" x14ac:dyDescent="0.2">
      <c r="Q656" t="s">
        <v>2082</v>
      </c>
      <c r="R656" t="s">
        <v>2287</v>
      </c>
      <c r="S656" t="s">
        <v>257</v>
      </c>
      <c r="T656" s="1">
        <v>42339</v>
      </c>
      <c r="U656" s="1">
        <v>42339</v>
      </c>
      <c r="V656" t="s">
        <v>260</v>
      </c>
      <c r="W656">
        <v>235300000</v>
      </c>
      <c r="X656">
        <v>235300000</v>
      </c>
      <c r="Y656" t="s">
        <v>270</v>
      </c>
      <c r="Z656">
        <v>70500000</v>
      </c>
      <c r="AA656">
        <v>70500000</v>
      </c>
      <c r="AB656" t="b">
        <v>1</v>
      </c>
      <c r="AC656">
        <v>1</v>
      </c>
    </row>
    <row r="657" spans="17:29" x14ac:dyDescent="0.2">
      <c r="Q657" t="s">
        <v>2208</v>
      </c>
      <c r="R657" t="s">
        <v>2288</v>
      </c>
      <c r="S657" t="s">
        <v>257</v>
      </c>
      <c r="T657" s="1">
        <v>43800</v>
      </c>
      <c r="U657" s="1">
        <v>43800</v>
      </c>
      <c r="V657" t="s">
        <v>260</v>
      </c>
      <c r="W657">
        <v>800000</v>
      </c>
      <c r="X657">
        <v>800000</v>
      </c>
      <c r="Y657" t="s">
        <v>270</v>
      </c>
      <c r="Z657">
        <v>200000</v>
      </c>
      <c r="AA657">
        <v>200000</v>
      </c>
      <c r="AB657" t="b">
        <v>1</v>
      </c>
      <c r="AC657">
        <v>1</v>
      </c>
    </row>
    <row r="658" spans="17:29" x14ac:dyDescent="0.2">
      <c r="Q658" t="s">
        <v>2208</v>
      </c>
      <c r="R658" t="s">
        <v>2288</v>
      </c>
      <c r="S658" t="s">
        <v>257</v>
      </c>
      <c r="T658" s="1">
        <v>43435</v>
      </c>
      <c r="U658" s="1">
        <v>43435</v>
      </c>
      <c r="V658" t="s">
        <v>260</v>
      </c>
      <c r="W658">
        <v>2400000</v>
      </c>
      <c r="X658">
        <v>2400000</v>
      </c>
      <c r="Y658" t="s">
        <v>270</v>
      </c>
      <c r="Z658">
        <v>700000</v>
      </c>
      <c r="AA658">
        <v>700000</v>
      </c>
      <c r="AB658" t="b">
        <v>1</v>
      </c>
      <c r="AC658">
        <v>1</v>
      </c>
    </row>
    <row r="659" spans="17:29" x14ac:dyDescent="0.2">
      <c r="Q659" t="s">
        <v>2208</v>
      </c>
      <c r="R659" t="s">
        <v>2288</v>
      </c>
      <c r="S659" t="s">
        <v>257</v>
      </c>
      <c r="T659" s="1">
        <v>43070</v>
      </c>
      <c r="U659" s="1">
        <v>43070</v>
      </c>
      <c r="V659" t="s">
        <v>260</v>
      </c>
      <c r="W659">
        <v>3000000</v>
      </c>
      <c r="X659">
        <v>3000000</v>
      </c>
      <c r="Y659" t="s">
        <v>270</v>
      </c>
      <c r="Z659">
        <v>900000</v>
      </c>
      <c r="AA659">
        <v>900000</v>
      </c>
      <c r="AB659" t="b">
        <v>1</v>
      </c>
      <c r="AC659">
        <v>1</v>
      </c>
    </row>
    <row r="660" spans="17:29" x14ac:dyDescent="0.2">
      <c r="Q660" t="s">
        <v>2208</v>
      </c>
      <c r="R660" t="s">
        <v>2288</v>
      </c>
      <c r="S660" t="s">
        <v>257</v>
      </c>
      <c r="T660" s="1">
        <v>42705</v>
      </c>
      <c r="U660" s="1">
        <v>42705</v>
      </c>
      <c r="V660" t="s">
        <v>260</v>
      </c>
      <c r="W660">
        <v>4400000</v>
      </c>
      <c r="X660">
        <v>4400000</v>
      </c>
      <c r="Y660" t="s">
        <v>270</v>
      </c>
      <c r="Z660">
        <v>1300000</v>
      </c>
      <c r="AA660">
        <v>1300000</v>
      </c>
      <c r="AB660" t="b">
        <v>1</v>
      </c>
      <c r="AC660">
        <v>1</v>
      </c>
    </row>
    <row r="661" spans="17:29" x14ac:dyDescent="0.2">
      <c r="Q661" t="s">
        <v>2208</v>
      </c>
      <c r="R661" t="s">
        <v>2288</v>
      </c>
      <c r="S661" t="s">
        <v>257</v>
      </c>
      <c r="T661" s="1">
        <v>42339</v>
      </c>
      <c r="U661" s="1">
        <v>42339</v>
      </c>
      <c r="V661" t="s">
        <v>260</v>
      </c>
      <c r="W661">
        <v>4000000</v>
      </c>
      <c r="X661">
        <v>4000000</v>
      </c>
      <c r="Y661" t="s">
        <v>270</v>
      </c>
      <c r="Z661">
        <v>1200000</v>
      </c>
      <c r="AA661">
        <v>1200000</v>
      </c>
      <c r="AB661" t="b">
        <v>1</v>
      </c>
      <c r="AC661">
        <v>1</v>
      </c>
    </row>
    <row r="662" spans="17:29" x14ac:dyDescent="0.2">
      <c r="Q662" t="s">
        <v>2210</v>
      </c>
      <c r="R662" t="s">
        <v>2288</v>
      </c>
      <c r="S662" t="s">
        <v>257</v>
      </c>
      <c r="T662" s="1">
        <v>43800</v>
      </c>
      <c r="U662" s="1">
        <v>43800</v>
      </c>
      <c r="V662" t="s">
        <v>260</v>
      </c>
      <c r="W662">
        <v>800000</v>
      </c>
      <c r="X662">
        <v>800000</v>
      </c>
      <c r="Y662" t="s">
        <v>270</v>
      </c>
      <c r="Z662">
        <v>200000</v>
      </c>
      <c r="AA662">
        <v>200000</v>
      </c>
      <c r="AB662" t="b">
        <v>1</v>
      </c>
      <c r="AC662">
        <v>1</v>
      </c>
    </row>
    <row r="663" spans="17:29" x14ac:dyDescent="0.2">
      <c r="Q663" t="s">
        <v>2210</v>
      </c>
      <c r="R663" t="s">
        <v>2288</v>
      </c>
      <c r="S663" t="s">
        <v>257</v>
      </c>
      <c r="T663" s="1">
        <v>43435</v>
      </c>
      <c r="U663" s="1">
        <v>43435</v>
      </c>
      <c r="V663" t="s">
        <v>260</v>
      </c>
      <c r="W663">
        <v>2400000</v>
      </c>
      <c r="X663">
        <v>2400000</v>
      </c>
      <c r="Y663" t="s">
        <v>270</v>
      </c>
      <c r="Z663">
        <v>700000</v>
      </c>
      <c r="AA663">
        <v>700000</v>
      </c>
      <c r="AB663" t="b">
        <v>1</v>
      </c>
      <c r="AC663">
        <v>1</v>
      </c>
    </row>
    <row r="664" spans="17:29" x14ac:dyDescent="0.2">
      <c r="Q664" t="s">
        <v>2210</v>
      </c>
      <c r="R664" t="s">
        <v>2288</v>
      </c>
      <c r="S664" t="s">
        <v>257</v>
      </c>
      <c r="T664" s="1">
        <v>43070</v>
      </c>
      <c r="U664" s="1">
        <v>43070</v>
      </c>
      <c r="V664" t="s">
        <v>260</v>
      </c>
      <c r="W664">
        <v>3000000</v>
      </c>
      <c r="X664">
        <v>3000000</v>
      </c>
      <c r="Y664" t="s">
        <v>270</v>
      </c>
      <c r="Z664">
        <v>900000</v>
      </c>
      <c r="AA664">
        <v>900000</v>
      </c>
      <c r="AB664" t="b">
        <v>1</v>
      </c>
      <c r="AC664">
        <v>1</v>
      </c>
    </row>
    <row r="665" spans="17:29" x14ac:dyDescent="0.2">
      <c r="Q665" t="s">
        <v>2210</v>
      </c>
      <c r="R665" t="s">
        <v>2288</v>
      </c>
      <c r="S665" t="s">
        <v>257</v>
      </c>
      <c r="T665" s="1">
        <v>42705</v>
      </c>
      <c r="U665" s="1">
        <v>42705</v>
      </c>
      <c r="V665" t="s">
        <v>260</v>
      </c>
      <c r="W665">
        <v>4400000</v>
      </c>
      <c r="X665">
        <v>4400000</v>
      </c>
      <c r="Y665" t="s">
        <v>270</v>
      </c>
      <c r="Z665">
        <v>1300000</v>
      </c>
      <c r="AA665">
        <v>1300000</v>
      </c>
      <c r="AB665" t="b">
        <v>1</v>
      </c>
      <c r="AC665">
        <v>1</v>
      </c>
    </row>
    <row r="666" spans="17:29" x14ac:dyDescent="0.2">
      <c r="Q666" t="s">
        <v>2210</v>
      </c>
      <c r="R666" t="s">
        <v>2288</v>
      </c>
      <c r="S666" t="s">
        <v>257</v>
      </c>
      <c r="T666" s="1">
        <v>42339</v>
      </c>
      <c r="U666" s="1">
        <v>42339</v>
      </c>
      <c r="V666" t="s">
        <v>260</v>
      </c>
      <c r="W666">
        <v>4000000</v>
      </c>
      <c r="X666">
        <v>4000000</v>
      </c>
      <c r="Y666" t="s">
        <v>270</v>
      </c>
      <c r="Z666">
        <v>1200000</v>
      </c>
      <c r="AA666">
        <v>1200000</v>
      </c>
      <c r="AB666" t="b">
        <v>1</v>
      </c>
      <c r="AC666">
        <v>1</v>
      </c>
    </row>
    <row r="667" spans="17:29" x14ac:dyDescent="0.2">
      <c r="Q667" t="s">
        <v>2208</v>
      </c>
      <c r="R667" t="s">
        <v>2289</v>
      </c>
      <c r="S667" t="s">
        <v>257</v>
      </c>
      <c r="T667" s="1">
        <v>43800</v>
      </c>
      <c r="U667" s="1">
        <v>43800</v>
      </c>
      <c r="V667" t="s">
        <v>260</v>
      </c>
      <c r="W667">
        <v>2200000</v>
      </c>
      <c r="X667">
        <v>2200000</v>
      </c>
      <c r="Y667" t="s">
        <v>270</v>
      </c>
      <c r="Z667">
        <v>600000</v>
      </c>
      <c r="AA667">
        <v>600000</v>
      </c>
      <c r="AB667" t="b">
        <v>1</v>
      </c>
      <c r="AC667">
        <v>1</v>
      </c>
    </row>
    <row r="668" spans="17:29" x14ac:dyDescent="0.2">
      <c r="Q668" t="s">
        <v>2208</v>
      </c>
      <c r="R668" t="s">
        <v>2289</v>
      </c>
      <c r="S668" t="s">
        <v>257</v>
      </c>
      <c r="T668" s="1">
        <v>43435</v>
      </c>
      <c r="U668" s="1">
        <v>43435</v>
      </c>
      <c r="V668" t="s">
        <v>260</v>
      </c>
      <c r="W668">
        <v>900000</v>
      </c>
      <c r="X668">
        <v>900000</v>
      </c>
      <c r="Y668" t="s">
        <v>270</v>
      </c>
      <c r="Z668">
        <v>200000</v>
      </c>
      <c r="AA668">
        <v>200000</v>
      </c>
      <c r="AB668" t="b">
        <v>1</v>
      </c>
      <c r="AC668">
        <v>1</v>
      </c>
    </row>
    <row r="669" spans="17:29" x14ac:dyDescent="0.2">
      <c r="Q669" t="s">
        <v>2208</v>
      </c>
      <c r="R669" t="s">
        <v>2289</v>
      </c>
      <c r="S669" t="s">
        <v>257</v>
      </c>
      <c r="T669" s="1">
        <v>43070</v>
      </c>
      <c r="U669" s="1">
        <v>43070</v>
      </c>
      <c r="V669" t="s">
        <v>260</v>
      </c>
      <c r="W669">
        <v>1200000</v>
      </c>
      <c r="X669">
        <v>1200000</v>
      </c>
      <c r="Y669" t="s">
        <v>270</v>
      </c>
      <c r="Z669">
        <v>400000</v>
      </c>
      <c r="AA669">
        <v>400000</v>
      </c>
      <c r="AB669" t="b">
        <v>1</v>
      </c>
      <c r="AC669">
        <v>1</v>
      </c>
    </row>
    <row r="670" spans="17:29" x14ac:dyDescent="0.2">
      <c r="Q670" t="s">
        <v>2208</v>
      </c>
      <c r="R670" t="s">
        <v>2289</v>
      </c>
      <c r="S670" t="s">
        <v>257</v>
      </c>
      <c r="T670" s="1">
        <v>42705</v>
      </c>
      <c r="U670" s="1">
        <v>42705</v>
      </c>
      <c r="V670" t="s">
        <v>260</v>
      </c>
      <c r="W670">
        <v>700000</v>
      </c>
      <c r="X670">
        <v>700000</v>
      </c>
      <c r="Y670" t="s">
        <v>270</v>
      </c>
      <c r="Z670">
        <v>200000</v>
      </c>
      <c r="AA670">
        <v>200000</v>
      </c>
      <c r="AB670" t="b">
        <v>1</v>
      </c>
      <c r="AC670">
        <v>1</v>
      </c>
    </row>
    <row r="671" spans="17:29" x14ac:dyDescent="0.2">
      <c r="Q671" t="s">
        <v>2208</v>
      </c>
      <c r="R671" t="s">
        <v>2289</v>
      </c>
      <c r="S671" t="s">
        <v>257</v>
      </c>
      <c r="T671" s="1">
        <v>42339</v>
      </c>
      <c r="U671" s="1">
        <v>42339</v>
      </c>
      <c r="V671" t="s">
        <v>260</v>
      </c>
      <c r="W671">
        <v>300000</v>
      </c>
      <c r="X671">
        <v>300000</v>
      </c>
      <c r="Y671" t="s">
        <v>270</v>
      </c>
      <c r="Z671">
        <v>100000</v>
      </c>
      <c r="AA671">
        <v>100000</v>
      </c>
      <c r="AB671" t="b">
        <v>1</v>
      </c>
      <c r="AC671">
        <v>1</v>
      </c>
    </row>
    <row r="672" spans="17:29" x14ac:dyDescent="0.2">
      <c r="Q672" t="s">
        <v>2210</v>
      </c>
      <c r="R672" t="s">
        <v>2289</v>
      </c>
      <c r="S672" t="s">
        <v>257</v>
      </c>
      <c r="T672" s="1">
        <v>43800</v>
      </c>
      <c r="U672" s="1">
        <v>43800</v>
      </c>
      <c r="V672" t="s">
        <v>260</v>
      </c>
      <c r="W672">
        <v>2200000</v>
      </c>
      <c r="X672">
        <v>2200000</v>
      </c>
      <c r="Y672" t="s">
        <v>270</v>
      </c>
      <c r="Z672">
        <v>600000</v>
      </c>
      <c r="AA672">
        <v>600000</v>
      </c>
      <c r="AB672" t="b">
        <v>1</v>
      </c>
      <c r="AC672">
        <v>1</v>
      </c>
    </row>
    <row r="673" spans="17:29" x14ac:dyDescent="0.2">
      <c r="Q673" t="s">
        <v>2210</v>
      </c>
      <c r="R673" t="s">
        <v>2289</v>
      </c>
      <c r="S673" t="s">
        <v>257</v>
      </c>
      <c r="T673" s="1">
        <v>43435</v>
      </c>
      <c r="U673" s="1">
        <v>43435</v>
      </c>
      <c r="V673" t="s">
        <v>260</v>
      </c>
      <c r="W673">
        <v>900000</v>
      </c>
      <c r="X673">
        <v>900000</v>
      </c>
      <c r="Y673" t="s">
        <v>270</v>
      </c>
      <c r="Z673">
        <v>200000</v>
      </c>
      <c r="AA673">
        <v>200000</v>
      </c>
      <c r="AB673" t="b">
        <v>1</v>
      </c>
      <c r="AC673">
        <v>1</v>
      </c>
    </row>
    <row r="674" spans="17:29" x14ac:dyDescent="0.2">
      <c r="Q674" t="s">
        <v>2210</v>
      </c>
      <c r="R674" t="s">
        <v>2289</v>
      </c>
      <c r="S674" t="s">
        <v>257</v>
      </c>
      <c r="T674" s="1">
        <v>43070</v>
      </c>
      <c r="U674" s="1">
        <v>43070</v>
      </c>
      <c r="V674" t="s">
        <v>260</v>
      </c>
      <c r="W674">
        <v>1200000</v>
      </c>
      <c r="X674">
        <v>1200000</v>
      </c>
      <c r="Y674" t="s">
        <v>270</v>
      </c>
      <c r="Z674">
        <v>400000</v>
      </c>
      <c r="AA674">
        <v>400000</v>
      </c>
      <c r="AB674" t="b">
        <v>1</v>
      </c>
      <c r="AC674">
        <v>1</v>
      </c>
    </row>
    <row r="675" spans="17:29" x14ac:dyDescent="0.2">
      <c r="Q675" t="s">
        <v>2210</v>
      </c>
      <c r="R675" t="s">
        <v>2289</v>
      </c>
      <c r="S675" t="s">
        <v>257</v>
      </c>
      <c r="T675" s="1">
        <v>42705</v>
      </c>
      <c r="U675" s="1">
        <v>42705</v>
      </c>
      <c r="V675" t="s">
        <v>260</v>
      </c>
      <c r="W675">
        <v>700000</v>
      </c>
      <c r="X675">
        <v>700000</v>
      </c>
      <c r="Y675" t="s">
        <v>270</v>
      </c>
      <c r="Z675">
        <v>200000</v>
      </c>
      <c r="AA675">
        <v>200000</v>
      </c>
      <c r="AB675" t="b">
        <v>1</v>
      </c>
      <c r="AC675">
        <v>1</v>
      </c>
    </row>
    <row r="676" spans="17:29" x14ac:dyDescent="0.2">
      <c r="Q676" t="s">
        <v>2210</v>
      </c>
      <c r="R676" t="s">
        <v>2289</v>
      </c>
      <c r="S676" t="s">
        <v>257</v>
      </c>
      <c r="T676" s="1">
        <v>42339</v>
      </c>
      <c r="U676" s="1">
        <v>42339</v>
      </c>
      <c r="V676" t="s">
        <v>260</v>
      </c>
      <c r="W676">
        <v>300000</v>
      </c>
      <c r="X676">
        <v>300000</v>
      </c>
      <c r="Y676" t="s">
        <v>270</v>
      </c>
      <c r="Z676">
        <v>100000</v>
      </c>
      <c r="AA676">
        <v>100000</v>
      </c>
      <c r="AB676" t="b">
        <v>1</v>
      </c>
      <c r="AC676">
        <v>1</v>
      </c>
    </row>
    <row r="677" spans="17:29" x14ac:dyDescent="0.2">
      <c r="Q677" t="s">
        <v>2290</v>
      </c>
      <c r="R677" t="s">
        <v>2291</v>
      </c>
      <c r="S677" t="s">
        <v>257</v>
      </c>
      <c r="T677" s="1">
        <v>43800</v>
      </c>
      <c r="U677" s="1">
        <v>43800</v>
      </c>
      <c r="V677" t="s">
        <v>260</v>
      </c>
      <c r="W677">
        <v>16900000</v>
      </c>
      <c r="X677">
        <v>16900000</v>
      </c>
      <c r="Y677" t="s">
        <v>270</v>
      </c>
      <c r="Z677">
        <v>4300000</v>
      </c>
      <c r="AA677">
        <v>4300000</v>
      </c>
      <c r="AB677" t="b">
        <v>1</v>
      </c>
      <c r="AC677">
        <v>1</v>
      </c>
    </row>
    <row r="678" spans="17:29" x14ac:dyDescent="0.2">
      <c r="Q678" t="s">
        <v>2290</v>
      </c>
      <c r="R678" t="s">
        <v>2291</v>
      </c>
      <c r="S678" t="s">
        <v>257</v>
      </c>
      <c r="T678" s="1">
        <v>43435</v>
      </c>
      <c r="U678" s="1">
        <v>43435</v>
      </c>
      <c r="V678" t="s">
        <v>260</v>
      </c>
      <c r="W678">
        <v>2900000</v>
      </c>
      <c r="X678">
        <v>2900000</v>
      </c>
      <c r="Y678" t="s">
        <v>270</v>
      </c>
      <c r="Z678">
        <v>800000</v>
      </c>
      <c r="AA678">
        <v>800000</v>
      </c>
      <c r="AB678" t="b">
        <v>1</v>
      </c>
      <c r="AC678">
        <v>1</v>
      </c>
    </row>
    <row r="679" spans="17:29" x14ac:dyDescent="0.2">
      <c r="Q679" t="s">
        <v>2290</v>
      </c>
      <c r="R679" t="s">
        <v>2291</v>
      </c>
      <c r="S679" t="s">
        <v>257</v>
      </c>
      <c r="T679" s="1">
        <v>43070</v>
      </c>
      <c r="U679" s="1">
        <v>43070</v>
      </c>
      <c r="V679" t="s">
        <v>260</v>
      </c>
      <c r="W679">
        <v>46600000</v>
      </c>
      <c r="X679">
        <v>46600000</v>
      </c>
      <c r="Y679" t="s">
        <v>270</v>
      </c>
      <c r="Z679">
        <v>14600000</v>
      </c>
      <c r="AA679">
        <v>14600000</v>
      </c>
      <c r="AB679" t="b">
        <v>1</v>
      </c>
      <c r="AC679">
        <v>1</v>
      </c>
    </row>
    <row r="680" spans="17:29" x14ac:dyDescent="0.2">
      <c r="Q680" t="s">
        <v>2290</v>
      </c>
      <c r="R680" t="s">
        <v>2291</v>
      </c>
      <c r="S680" t="s">
        <v>257</v>
      </c>
      <c r="T680" s="1">
        <v>42705</v>
      </c>
      <c r="U680" s="1">
        <v>42705</v>
      </c>
      <c r="V680" t="s">
        <v>260</v>
      </c>
      <c r="W680">
        <v>4900000</v>
      </c>
      <c r="X680">
        <v>4900000</v>
      </c>
      <c r="Y680" t="s">
        <v>270</v>
      </c>
      <c r="Z680">
        <v>1400000</v>
      </c>
      <c r="AA680">
        <v>1400000</v>
      </c>
      <c r="AB680" t="b">
        <v>1</v>
      </c>
      <c r="AC680">
        <v>1</v>
      </c>
    </row>
    <row r="681" spans="17:29" x14ac:dyDescent="0.2">
      <c r="Q681" t="s">
        <v>2292</v>
      </c>
      <c r="R681" t="s">
        <v>2291</v>
      </c>
      <c r="S681" t="s">
        <v>257</v>
      </c>
      <c r="T681" s="1">
        <v>43800</v>
      </c>
      <c r="U681" s="1">
        <v>43800</v>
      </c>
      <c r="V681" t="s">
        <v>260</v>
      </c>
      <c r="W681">
        <v>16900000</v>
      </c>
      <c r="X681">
        <v>16900000</v>
      </c>
      <c r="Y681" t="s">
        <v>270</v>
      </c>
      <c r="Z681">
        <v>4300000</v>
      </c>
      <c r="AA681">
        <v>4300000</v>
      </c>
      <c r="AB681" t="b">
        <v>1</v>
      </c>
      <c r="AC681">
        <v>1</v>
      </c>
    </row>
    <row r="682" spans="17:29" x14ac:dyDescent="0.2">
      <c r="Q682" t="s">
        <v>2292</v>
      </c>
      <c r="R682" t="s">
        <v>2291</v>
      </c>
      <c r="S682" t="s">
        <v>257</v>
      </c>
      <c r="T682" s="1">
        <v>43435</v>
      </c>
      <c r="U682" s="1">
        <v>43435</v>
      </c>
      <c r="V682" t="s">
        <v>260</v>
      </c>
      <c r="W682">
        <v>2900000</v>
      </c>
      <c r="X682">
        <v>2900000</v>
      </c>
      <c r="Y682" t="s">
        <v>270</v>
      </c>
      <c r="Z682">
        <v>800000</v>
      </c>
      <c r="AA682">
        <v>800000</v>
      </c>
      <c r="AB682" t="b">
        <v>1</v>
      </c>
      <c r="AC682">
        <v>1</v>
      </c>
    </row>
    <row r="683" spans="17:29" x14ac:dyDescent="0.2">
      <c r="Q683" t="s">
        <v>2292</v>
      </c>
      <c r="R683" t="s">
        <v>2291</v>
      </c>
      <c r="S683" t="s">
        <v>257</v>
      </c>
      <c r="T683" s="1">
        <v>43070</v>
      </c>
      <c r="U683" s="1">
        <v>43070</v>
      </c>
      <c r="V683" t="s">
        <v>260</v>
      </c>
      <c r="W683">
        <v>46600000</v>
      </c>
      <c r="X683">
        <v>46600000</v>
      </c>
      <c r="Y683" t="s">
        <v>270</v>
      </c>
      <c r="Z683">
        <v>14600000</v>
      </c>
      <c r="AA683">
        <v>14600000</v>
      </c>
      <c r="AB683" t="b">
        <v>1</v>
      </c>
      <c r="AC683">
        <v>1</v>
      </c>
    </row>
    <row r="684" spans="17:29" x14ac:dyDescent="0.2">
      <c r="Q684" t="s">
        <v>2292</v>
      </c>
      <c r="R684" t="s">
        <v>2291</v>
      </c>
      <c r="S684" t="s">
        <v>257</v>
      </c>
      <c r="T684" s="1">
        <v>42705</v>
      </c>
      <c r="U684" s="1">
        <v>42705</v>
      </c>
      <c r="V684" t="s">
        <v>260</v>
      </c>
      <c r="W684">
        <v>4900000</v>
      </c>
      <c r="X684">
        <v>4900000</v>
      </c>
      <c r="Y684" t="s">
        <v>270</v>
      </c>
      <c r="Z684">
        <v>1400000</v>
      </c>
      <c r="AA684">
        <v>1400000</v>
      </c>
      <c r="AB684" t="b">
        <v>1</v>
      </c>
      <c r="AC684">
        <v>1</v>
      </c>
    </row>
    <row r="685" spans="17:29" x14ac:dyDescent="0.2">
      <c r="Q685" t="s">
        <v>2141</v>
      </c>
      <c r="R685" t="s">
        <v>2293</v>
      </c>
      <c r="S685" t="s">
        <v>257</v>
      </c>
      <c r="T685" s="1">
        <v>43800</v>
      </c>
      <c r="U685" s="1">
        <v>43800</v>
      </c>
      <c r="V685" t="s">
        <v>260</v>
      </c>
      <c r="W685">
        <v>7800000</v>
      </c>
      <c r="X685">
        <v>7800000</v>
      </c>
      <c r="Y685" t="s">
        <v>270</v>
      </c>
      <c r="Z685">
        <v>2000000</v>
      </c>
      <c r="AA685">
        <v>2000000</v>
      </c>
      <c r="AB685" t="b">
        <v>1</v>
      </c>
      <c r="AC685">
        <v>1</v>
      </c>
    </row>
    <row r="686" spans="17:29" x14ac:dyDescent="0.2">
      <c r="Q686" t="s">
        <v>2141</v>
      </c>
      <c r="R686" t="s">
        <v>2293</v>
      </c>
      <c r="S686" t="s">
        <v>257</v>
      </c>
      <c r="T686" s="1">
        <v>43435</v>
      </c>
      <c r="U686" s="1">
        <v>43435</v>
      </c>
      <c r="V686" t="s">
        <v>260</v>
      </c>
      <c r="W686">
        <v>600000</v>
      </c>
      <c r="X686">
        <v>600000</v>
      </c>
      <c r="Y686" t="s">
        <v>270</v>
      </c>
      <c r="Z686">
        <v>200000</v>
      </c>
      <c r="AA686">
        <v>200000</v>
      </c>
      <c r="AB686" t="b">
        <v>1</v>
      </c>
      <c r="AC686">
        <v>1</v>
      </c>
    </row>
    <row r="687" spans="17:29" x14ac:dyDescent="0.2">
      <c r="Q687" t="s">
        <v>2141</v>
      </c>
      <c r="R687" t="s">
        <v>2293</v>
      </c>
      <c r="S687" t="s">
        <v>257</v>
      </c>
      <c r="T687" s="1">
        <v>43070</v>
      </c>
      <c r="U687" s="1">
        <v>43070</v>
      </c>
      <c r="V687" t="s">
        <v>260</v>
      </c>
      <c r="W687">
        <v>900000</v>
      </c>
      <c r="X687">
        <v>900000</v>
      </c>
      <c r="Y687" t="s">
        <v>270</v>
      </c>
      <c r="Z687">
        <v>300000</v>
      </c>
      <c r="AA687">
        <v>300000</v>
      </c>
      <c r="AB687" t="b">
        <v>1</v>
      </c>
      <c r="AC687">
        <v>1</v>
      </c>
    </row>
    <row r="688" spans="17:29" x14ac:dyDescent="0.2">
      <c r="Q688" t="s">
        <v>2141</v>
      </c>
      <c r="R688" t="s">
        <v>2293</v>
      </c>
      <c r="S688" t="s">
        <v>257</v>
      </c>
      <c r="T688" s="1">
        <v>42705</v>
      </c>
      <c r="U688" s="1">
        <v>42705</v>
      </c>
      <c r="V688" t="s">
        <v>260</v>
      </c>
      <c r="W688">
        <v>900000</v>
      </c>
      <c r="X688">
        <v>900000</v>
      </c>
      <c r="Y688" t="s">
        <v>270</v>
      </c>
      <c r="Z688">
        <v>300000</v>
      </c>
      <c r="AA688">
        <v>300000</v>
      </c>
      <c r="AB688" t="b">
        <v>1</v>
      </c>
      <c r="AC688">
        <v>1</v>
      </c>
    </row>
    <row r="689" spans="17:29" x14ac:dyDescent="0.2">
      <c r="Q689" t="s">
        <v>2036</v>
      </c>
      <c r="R689" t="s">
        <v>2293</v>
      </c>
      <c r="S689" t="s">
        <v>257</v>
      </c>
      <c r="T689" s="1">
        <v>43800</v>
      </c>
      <c r="U689" s="1">
        <v>43800</v>
      </c>
      <c r="V689" t="s">
        <v>260</v>
      </c>
      <c r="W689">
        <v>7800000</v>
      </c>
      <c r="X689">
        <v>7800000</v>
      </c>
      <c r="Y689" t="s">
        <v>270</v>
      </c>
      <c r="Z689">
        <v>2000000</v>
      </c>
      <c r="AA689">
        <v>2000000</v>
      </c>
      <c r="AB689" t="b">
        <v>1</v>
      </c>
      <c r="AC689">
        <v>1</v>
      </c>
    </row>
    <row r="690" spans="17:29" x14ac:dyDescent="0.2">
      <c r="Q690" t="s">
        <v>2036</v>
      </c>
      <c r="R690" t="s">
        <v>2293</v>
      </c>
      <c r="S690" t="s">
        <v>257</v>
      </c>
      <c r="T690" s="1">
        <v>43435</v>
      </c>
      <c r="U690" s="1">
        <v>43435</v>
      </c>
      <c r="V690" t="s">
        <v>260</v>
      </c>
      <c r="W690">
        <v>600000</v>
      </c>
      <c r="X690">
        <v>600000</v>
      </c>
      <c r="Y690" t="s">
        <v>270</v>
      </c>
      <c r="Z690">
        <v>200000</v>
      </c>
      <c r="AA690">
        <v>200000</v>
      </c>
      <c r="AB690" t="b">
        <v>1</v>
      </c>
      <c r="AC690">
        <v>1</v>
      </c>
    </row>
    <row r="691" spans="17:29" x14ac:dyDescent="0.2">
      <c r="Q691" t="s">
        <v>2036</v>
      </c>
      <c r="R691" t="s">
        <v>2293</v>
      </c>
      <c r="S691" t="s">
        <v>257</v>
      </c>
      <c r="T691" s="1">
        <v>43070</v>
      </c>
      <c r="U691" s="1">
        <v>43070</v>
      </c>
      <c r="V691" t="s">
        <v>260</v>
      </c>
      <c r="W691">
        <v>900000</v>
      </c>
      <c r="X691">
        <v>900000</v>
      </c>
      <c r="Y691" t="s">
        <v>270</v>
      </c>
      <c r="Z691">
        <v>300000</v>
      </c>
      <c r="AA691">
        <v>300000</v>
      </c>
      <c r="AB691" t="b">
        <v>1</v>
      </c>
      <c r="AC691">
        <v>1</v>
      </c>
    </row>
    <row r="692" spans="17:29" x14ac:dyDescent="0.2">
      <c r="Q692" t="s">
        <v>2036</v>
      </c>
      <c r="R692" t="s">
        <v>2293</v>
      </c>
      <c r="S692" t="s">
        <v>257</v>
      </c>
      <c r="T692" s="1">
        <v>42705</v>
      </c>
      <c r="U692" s="1">
        <v>42705</v>
      </c>
      <c r="V692" t="s">
        <v>260</v>
      </c>
      <c r="W692">
        <v>900000</v>
      </c>
      <c r="X692">
        <v>900000</v>
      </c>
      <c r="Y692" t="s">
        <v>270</v>
      </c>
      <c r="Z692">
        <v>300000</v>
      </c>
      <c r="AA692">
        <v>300000</v>
      </c>
      <c r="AB692" t="b">
        <v>1</v>
      </c>
      <c r="AC692">
        <v>1</v>
      </c>
    </row>
    <row r="693" spans="17:29" x14ac:dyDescent="0.2">
      <c r="Q693" t="s">
        <v>2040</v>
      </c>
      <c r="R693" t="s">
        <v>2294</v>
      </c>
      <c r="S693" t="s">
        <v>257</v>
      </c>
      <c r="T693" s="1">
        <v>43070</v>
      </c>
      <c r="U693" s="1">
        <v>43070</v>
      </c>
      <c r="V693" t="s">
        <v>260</v>
      </c>
      <c r="W693">
        <v>100000</v>
      </c>
      <c r="X693">
        <v>100000</v>
      </c>
      <c r="Y693" t="s">
        <v>270</v>
      </c>
      <c r="Z693">
        <v>33333.33</v>
      </c>
      <c r="AA693">
        <v>33333</v>
      </c>
      <c r="AB693" t="b">
        <v>1</v>
      </c>
      <c r="AC693">
        <v>1</v>
      </c>
    </row>
    <row r="694" spans="17:29" x14ac:dyDescent="0.2">
      <c r="Q694" t="s">
        <v>2040</v>
      </c>
      <c r="R694" t="s">
        <v>2294</v>
      </c>
      <c r="S694" t="s">
        <v>257</v>
      </c>
      <c r="T694" s="1">
        <v>42705</v>
      </c>
      <c r="U694" s="1">
        <v>42705</v>
      </c>
      <c r="V694" t="s">
        <v>260</v>
      </c>
      <c r="W694">
        <v>700000</v>
      </c>
      <c r="X694">
        <v>700000</v>
      </c>
      <c r="Y694" t="s">
        <v>270</v>
      </c>
      <c r="Z694">
        <v>200000</v>
      </c>
      <c r="AA694">
        <v>200000</v>
      </c>
      <c r="AB694" t="b">
        <v>1</v>
      </c>
      <c r="AC694">
        <v>1</v>
      </c>
    </row>
    <row r="695" spans="17:29" x14ac:dyDescent="0.2">
      <c r="Q695" t="s">
        <v>1989</v>
      </c>
      <c r="R695" t="s">
        <v>2294</v>
      </c>
      <c r="S695" t="s">
        <v>257</v>
      </c>
      <c r="T695" s="1">
        <v>43070</v>
      </c>
      <c r="U695" s="1">
        <v>43070</v>
      </c>
      <c r="V695" t="s">
        <v>260</v>
      </c>
      <c r="W695">
        <v>100000</v>
      </c>
      <c r="X695">
        <v>100000</v>
      </c>
      <c r="Y695" t="s">
        <v>270</v>
      </c>
      <c r="Z695">
        <v>33333.33</v>
      </c>
      <c r="AA695">
        <v>33333</v>
      </c>
      <c r="AB695" t="b">
        <v>1</v>
      </c>
      <c r="AC695">
        <v>1</v>
      </c>
    </row>
    <row r="696" spans="17:29" x14ac:dyDescent="0.2">
      <c r="Q696" t="s">
        <v>1989</v>
      </c>
      <c r="R696" t="s">
        <v>2294</v>
      </c>
      <c r="S696" t="s">
        <v>257</v>
      </c>
      <c r="T696" s="1">
        <v>42705</v>
      </c>
      <c r="U696" s="1">
        <v>42705</v>
      </c>
      <c r="V696" t="s">
        <v>260</v>
      </c>
      <c r="W696">
        <v>700000</v>
      </c>
      <c r="X696">
        <v>700000</v>
      </c>
      <c r="Y696" t="s">
        <v>270</v>
      </c>
      <c r="Z696">
        <v>200000</v>
      </c>
      <c r="AA696">
        <v>200000</v>
      </c>
      <c r="AB696" t="b">
        <v>1</v>
      </c>
      <c r="AC696">
        <v>1</v>
      </c>
    </row>
    <row r="697" spans="17:29" x14ac:dyDescent="0.2">
      <c r="Q697" t="s">
        <v>2031</v>
      </c>
      <c r="R697" t="s">
        <v>2295</v>
      </c>
      <c r="S697" t="s">
        <v>269</v>
      </c>
      <c r="T697" s="1">
        <v>43921</v>
      </c>
      <c r="U697" s="1">
        <v>43921</v>
      </c>
      <c r="V697" t="s">
        <v>270</v>
      </c>
      <c r="W697">
        <v>48000000</v>
      </c>
      <c r="X697">
        <v>48000000</v>
      </c>
      <c r="Y697" t="s">
        <v>270</v>
      </c>
      <c r="Z697">
        <v>48000000</v>
      </c>
      <c r="AA697">
        <v>48000000</v>
      </c>
      <c r="AB697" t="b">
        <v>0</v>
      </c>
      <c r="AC697">
        <v>0.35</v>
      </c>
    </row>
    <row r="698" spans="17:29" x14ac:dyDescent="0.2">
      <c r="Q698" t="s">
        <v>1989</v>
      </c>
      <c r="R698" t="s">
        <v>2295</v>
      </c>
      <c r="S698" t="s">
        <v>269</v>
      </c>
      <c r="T698" s="1">
        <v>43921</v>
      </c>
      <c r="U698" s="1">
        <v>43921</v>
      </c>
      <c r="V698" t="s">
        <v>270</v>
      </c>
      <c r="W698">
        <v>48000000</v>
      </c>
      <c r="X698">
        <v>48000000</v>
      </c>
      <c r="Y698" t="s">
        <v>270</v>
      </c>
      <c r="Z698">
        <v>48000000</v>
      </c>
      <c r="AA698">
        <v>48000000</v>
      </c>
      <c r="AB698" t="b">
        <v>0</v>
      </c>
      <c r="AC698">
        <v>0.35</v>
      </c>
    </row>
    <row r="699" spans="17:29" x14ac:dyDescent="0.2">
      <c r="Q699" t="s">
        <v>2029</v>
      </c>
      <c r="R699" t="s">
        <v>2295</v>
      </c>
      <c r="S699" t="s">
        <v>269</v>
      </c>
      <c r="T699" s="1">
        <v>43921</v>
      </c>
      <c r="U699" s="1">
        <v>43921</v>
      </c>
      <c r="V699" t="s">
        <v>270</v>
      </c>
      <c r="W699">
        <v>48000000</v>
      </c>
      <c r="X699">
        <v>48000000</v>
      </c>
      <c r="Y699" t="s">
        <v>270</v>
      </c>
      <c r="Z699">
        <v>48000000</v>
      </c>
      <c r="AA699">
        <v>48000000</v>
      </c>
      <c r="AB699" t="b">
        <v>0</v>
      </c>
      <c r="AC699">
        <v>0.35</v>
      </c>
    </row>
    <row r="700" spans="17:29" x14ac:dyDescent="0.2">
      <c r="Q700" t="s">
        <v>2029</v>
      </c>
      <c r="R700" t="s">
        <v>2295</v>
      </c>
      <c r="S700" t="s">
        <v>269</v>
      </c>
      <c r="T700" s="1">
        <v>43921</v>
      </c>
      <c r="U700" s="1">
        <v>43921</v>
      </c>
      <c r="V700" t="s">
        <v>270</v>
      </c>
      <c r="W700">
        <v>48000000</v>
      </c>
      <c r="X700">
        <v>48000000</v>
      </c>
      <c r="Y700" t="s">
        <v>270</v>
      </c>
      <c r="Z700">
        <v>48000000</v>
      </c>
      <c r="AA700">
        <v>48000000</v>
      </c>
      <c r="AB700" t="b">
        <v>0</v>
      </c>
      <c r="AC700">
        <v>0.35</v>
      </c>
    </row>
    <row r="701" spans="17:29" x14ac:dyDescent="0.2">
      <c r="Q701" t="s">
        <v>2031</v>
      </c>
      <c r="R701" t="s">
        <v>2296</v>
      </c>
      <c r="S701" t="s">
        <v>269</v>
      </c>
      <c r="T701" s="1">
        <v>44085</v>
      </c>
      <c r="U701" s="1">
        <v>44076</v>
      </c>
      <c r="V701" t="s">
        <v>488</v>
      </c>
      <c r="W701">
        <v>1504346043</v>
      </c>
      <c r="X701">
        <v>1504346043</v>
      </c>
      <c r="Y701" t="s">
        <v>270</v>
      </c>
      <c r="Z701">
        <v>20330374</v>
      </c>
      <c r="AA701">
        <v>20330374</v>
      </c>
      <c r="AB701" t="b">
        <v>1</v>
      </c>
      <c r="AC701">
        <v>0.28999999999999998</v>
      </c>
    </row>
    <row r="702" spans="17:29" x14ac:dyDescent="0.2">
      <c r="Q702" t="s">
        <v>1989</v>
      </c>
      <c r="R702" t="s">
        <v>2296</v>
      </c>
      <c r="S702" t="s">
        <v>269</v>
      </c>
      <c r="T702" s="1">
        <v>44085</v>
      </c>
      <c r="U702" s="1">
        <v>44076</v>
      </c>
      <c r="V702" t="s">
        <v>488</v>
      </c>
      <c r="W702">
        <v>1504346043</v>
      </c>
      <c r="X702">
        <v>1504346043</v>
      </c>
      <c r="Y702" t="s">
        <v>270</v>
      </c>
      <c r="Z702">
        <v>20330374</v>
      </c>
      <c r="AA702">
        <v>20330374</v>
      </c>
      <c r="AB702" t="b">
        <v>1</v>
      </c>
      <c r="AC702">
        <v>0.28999999999999998</v>
      </c>
    </row>
    <row r="703" spans="17:29" x14ac:dyDescent="0.2">
      <c r="Q703" t="s">
        <v>2031</v>
      </c>
      <c r="R703" t="s">
        <v>2297</v>
      </c>
      <c r="S703" t="s">
        <v>269</v>
      </c>
      <c r="T703" s="1">
        <v>44098</v>
      </c>
      <c r="U703" s="1">
        <v>44076</v>
      </c>
      <c r="V703" t="s">
        <v>488</v>
      </c>
      <c r="W703">
        <v>1075832969</v>
      </c>
      <c r="X703">
        <v>1075832969</v>
      </c>
      <c r="Y703" t="s">
        <v>270</v>
      </c>
      <c r="Z703">
        <v>14359266</v>
      </c>
      <c r="AA703">
        <v>14359266</v>
      </c>
      <c r="AB703" t="b">
        <v>1</v>
      </c>
      <c r="AC703">
        <v>0.5</v>
      </c>
    </row>
    <row r="704" spans="17:29" x14ac:dyDescent="0.2">
      <c r="Q704" t="s">
        <v>1989</v>
      </c>
      <c r="R704" t="s">
        <v>2297</v>
      </c>
      <c r="S704" t="s">
        <v>269</v>
      </c>
      <c r="T704" s="1">
        <v>44098</v>
      </c>
      <c r="U704" s="1">
        <v>44076</v>
      </c>
      <c r="V704" t="s">
        <v>488</v>
      </c>
      <c r="W704">
        <v>1075832969</v>
      </c>
      <c r="X704">
        <v>1075832969</v>
      </c>
      <c r="Y704" t="s">
        <v>270</v>
      </c>
      <c r="Z704">
        <v>14359266</v>
      </c>
      <c r="AA704">
        <v>14359266</v>
      </c>
      <c r="AB704" t="b">
        <v>1</v>
      </c>
      <c r="AC704">
        <v>0.5</v>
      </c>
    </row>
    <row r="705" spans="17:29" x14ac:dyDescent="0.2">
      <c r="Q705" t="s">
        <v>2031</v>
      </c>
      <c r="R705" t="s">
        <v>2298</v>
      </c>
      <c r="S705" t="s">
        <v>269</v>
      </c>
      <c r="T705" s="1">
        <v>44085</v>
      </c>
      <c r="U705" s="1">
        <v>44076</v>
      </c>
      <c r="V705" t="s">
        <v>488</v>
      </c>
      <c r="W705">
        <v>641785861</v>
      </c>
      <c r="X705">
        <v>641785861</v>
      </c>
      <c r="Y705" t="s">
        <v>488</v>
      </c>
      <c r="Z705">
        <v>641785861</v>
      </c>
      <c r="AA705">
        <v>8673368</v>
      </c>
      <c r="AB705" t="b">
        <v>1</v>
      </c>
      <c r="AC705">
        <v>0.12</v>
      </c>
    </row>
    <row r="706" spans="17:29" x14ac:dyDescent="0.2">
      <c r="Q706" t="s">
        <v>1989</v>
      </c>
      <c r="R706" t="s">
        <v>2298</v>
      </c>
      <c r="S706" t="s">
        <v>269</v>
      </c>
      <c r="T706" s="1">
        <v>44085</v>
      </c>
      <c r="U706" s="1">
        <v>44076</v>
      </c>
      <c r="V706" t="s">
        <v>488</v>
      </c>
      <c r="W706">
        <v>641785861</v>
      </c>
      <c r="X706">
        <v>641785861</v>
      </c>
      <c r="Y706" t="s">
        <v>488</v>
      </c>
      <c r="Z706">
        <v>641785861</v>
      </c>
      <c r="AA706">
        <v>8673368</v>
      </c>
      <c r="AB706" t="b">
        <v>1</v>
      </c>
      <c r="AC706">
        <v>0.12</v>
      </c>
    </row>
    <row r="707" spans="17:29" x14ac:dyDescent="0.2">
      <c r="Q707" t="s">
        <v>2031</v>
      </c>
      <c r="R707" t="s">
        <v>2299</v>
      </c>
      <c r="S707" t="s">
        <v>269</v>
      </c>
      <c r="T707" s="1">
        <v>44098</v>
      </c>
      <c r="U707" s="1">
        <v>44076</v>
      </c>
      <c r="V707" t="s">
        <v>488</v>
      </c>
      <c r="W707">
        <v>458973114</v>
      </c>
      <c r="X707">
        <v>458973114</v>
      </c>
      <c r="Y707" t="s">
        <v>488</v>
      </c>
      <c r="Z707">
        <v>458973114</v>
      </c>
      <c r="AA707">
        <v>6202758</v>
      </c>
      <c r="AB707" t="b">
        <v>1</v>
      </c>
      <c r="AC707">
        <v>0.21</v>
      </c>
    </row>
    <row r="708" spans="17:29" x14ac:dyDescent="0.2">
      <c r="Q708" t="s">
        <v>1989</v>
      </c>
      <c r="R708" t="s">
        <v>2299</v>
      </c>
      <c r="S708" t="s">
        <v>269</v>
      </c>
      <c r="T708" s="1">
        <v>44098</v>
      </c>
      <c r="U708" s="1">
        <v>44076</v>
      </c>
      <c r="V708" t="s">
        <v>488</v>
      </c>
      <c r="W708">
        <v>458973114</v>
      </c>
      <c r="X708">
        <v>458973114</v>
      </c>
      <c r="Y708" t="s">
        <v>488</v>
      </c>
      <c r="Z708">
        <v>458973114</v>
      </c>
      <c r="AA708">
        <v>6202758</v>
      </c>
      <c r="AB708" t="b">
        <v>1</v>
      </c>
      <c r="AC708">
        <v>0.21</v>
      </c>
    </row>
    <row r="709" spans="17:29" x14ac:dyDescent="0.2">
      <c r="Q709" t="s">
        <v>2300</v>
      </c>
      <c r="R709" t="s">
        <v>2301</v>
      </c>
      <c r="S709" t="s">
        <v>287</v>
      </c>
      <c r="T709" s="1">
        <v>43830</v>
      </c>
      <c r="U709" s="1">
        <v>43830</v>
      </c>
      <c r="V709" t="s">
        <v>2185</v>
      </c>
      <c r="W709">
        <v>18899062000</v>
      </c>
      <c r="X709">
        <v>18899062000</v>
      </c>
      <c r="Y709" t="s">
        <v>290</v>
      </c>
      <c r="Z709">
        <v>672329</v>
      </c>
      <c r="AA709">
        <v>25241154</v>
      </c>
      <c r="AB709" t="b">
        <v>1</v>
      </c>
      <c r="AC709">
        <v>1</v>
      </c>
    </row>
    <row r="710" spans="17:29" x14ac:dyDescent="0.2">
      <c r="Q710" t="s">
        <v>2025</v>
      </c>
      <c r="R710" t="s">
        <v>2301</v>
      </c>
      <c r="S710" t="s">
        <v>287</v>
      </c>
      <c r="T710" s="1">
        <v>43830</v>
      </c>
      <c r="U710" s="1">
        <v>43830</v>
      </c>
      <c r="V710" t="s">
        <v>2185</v>
      </c>
      <c r="W710">
        <v>18899062000</v>
      </c>
      <c r="X710">
        <v>18899062000</v>
      </c>
      <c r="Y710" t="s">
        <v>290</v>
      </c>
      <c r="Z710">
        <v>672329</v>
      </c>
      <c r="AA710">
        <v>25241154</v>
      </c>
      <c r="AB710" t="b">
        <v>1</v>
      </c>
      <c r="AC710">
        <v>1</v>
      </c>
    </row>
    <row r="711" spans="17:29" x14ac:dyDescent="0.2">
      <c r="Q711" t="s">
        <v>2029</v>
      </c>
      <c r="R711" t="s">
        <v>2301</v>
      </c>
      <c r="S711" t="s">
        <v>287</v>
      </c>
      <c r="T711" s="1">
        <v>43830</v>
      </c>
      <c r="U711" s="1">
        <v>43830</v>
      </c>
      <c r="V711" t="s">
        <v>2185</v>
      </c>
      <c r="W711">
        <v>18899062000</v>
      </c>
      <c r="X711">
        <v>18899062000</v>
      </c>
      <c r="Y711" t="s">
        <v>290</v>
      </c>
      <c r="Z711">
        <v>672329</v>
      </c>
      <c r="AA711">
        <v>25241154</v>
      </c>
      <c r="AB711" t="b">
        <v>1</v>
      </c>
      <c r="AC711">
        <v>1</v>
      </c>
    </row>
    <row r="712" spans="17:29" x14ac:dyDescent="0.2">
      <c r="Q712" t="s">
        <v>2029</v>
      </c>
      <c r="R712" t="s">
        <v>2301</v>
      </c>
      <c r="S712" t="s">
        <v>287</v>
      </c>
      <c r="T712" s="1">
        <v>43830</v>
      </c>
      <c r="U712" s="1">
        <v>43830</v>
      </c>
      <c r="V712" t="s">
        <v>2185</v>
      </c>
      <c r="W712">
        <v>18899062000</v>
      </c>
      <c r="X712">
        <v>18899062000</v>
      </c>
      <c r="Y712" t="s">
        <v>290</v>
      </c>
      <c r="Z712">
        <v>672329</v>
      </c>
      <c r="AA712">
        <v>25241154</v>
      </c>
      <c r="AB712" t="b">
        <v>1</v>
      </c>
      <c r="AC712">
        <v>1</v>
      </c>
    </row>
    <row r="713" spans="17:29" x14ac:dyDescent="0.2">
      <c r="Q713" t="s">
        <v>2075</v>
      </c>
      <c r="R713" t="s">
        <v>2302</v>
      </c>
      <c r="S713" t="s">
        <v>257</v>
      </c>
      <c r="T713" s="1">
        <v>44175</v>
      </c>
      <c r="U713" s="1">
        <v>44175</v>
      </c>
      <c r="V713" t="s">
        <v>260</v>
      </c>
      <c r="W713">
        <v>424993</v>
      </c>
      <c r="X713">
        <v>424993</v>
      </c>
      <c r="Y713" t="s">
        <v>260</v>
      </c>
      <c r="Z713">
        <v>424993</v>
      </c>
      <c r="AA713">
        <v>84357</v>
      </c>
      <c r="AB713" t="b">
        <v>1</v>
      </c>
      <c r="AC713">
        <v>1</v>
      </c>
    </row>
    <row r="714" spans="17:29" x14ac:dyDescent="0.2">
      <c r="Q714" t="s">
        <v>2082</v>
      </c>
      <c r="R714" t="s">
        <v>2302</v>
      </c>
      <c r="S714" t="s">
        <v>257</v>
      </c>
      <c r="T714" s="1">
        <v>44175</v>
      </c>
      <c r="U714" s="1">
        <v>44175</v>
      </c>
      <c r="V714" t="s">
        <v>260</v>
      </c>
      <c r="W714">
        <v>424993</v>
      </c>
      <c r="X714">
        <v>424993</v>
      </c>
      <c r="Y714" t="s">
        <v>260</v>
      </c>
      <c r="Z714">
        <v>424993</v>
      </c>
      <c r="AA714">
        <v>84357</v>
      </c>
      <c r="AB714" t="b">
        <v>1</v>
      </c>
      <c r="AC714">
        <v>1</v>
      </c>
    </row>
    <row r="715" spans="17:29" x14ac:dyDescent="0.2">
      <c r="Q715" t="s">
        <v>2075</v>
      </c>
      <c r="R715" t="s">
        <v>2303</v>
      </c>
      <c r="S715" t="s">
        <v>257</v>
      </c>
      <c r="T715" s="1">
        <v>44175</v>
      </c>
      <c r="U715" s="1">
        <v>44175</v>
      </c>
      <c r="V715" t="s">
        <v>260</v>
      </c>
      <c r="W715">
        <v>72592</v>
      </c>
      <c r="X715">
        <v>72592</v>
      </c>
      <c r="Y715" t="s">
        <v>260</v>
      </c>
      <c r="Z715">
        <v>72592</v>
      </c>
      <c r="AA715">
        <v>14409</v>
      </c>
      <c r="AB715" t="b">
        <v>1</v>
      </c>
      <c r="AC715">
        <v>1</v>
      </c>
    </row>
    <row r="716" spans="17:29" x14ac:dyDescent="0.2">
      <c r="Q716" t="s">
        <v>2082</v>
      </c>
      <c r="R716" t="s">
        <v>2303</v>
      </c>
      <c r="S716" t="s">
        <v>257</v>
      </c>
      <c r="T716" s="1">
        <v>44175</v>
      </c>
      <c r="U716" s="1">
        <v>44175</v>
      </c>
      <c r="V716" t="s">
        <v>260</v>
      </c>
      <c r="W716">
        <v>72592</v>
      </c>
      <c r="X716">
        <v>72592</v>
      </c>
      <c r="Y716" t="s">
        <v>260</v>
      </c>
      <c r="Z716">
        <v>72592</v>
      </c>
      <c r="AA716">
        <v>14409</v>
      </c>
      <c r="AB716" t="b">
        <v>1</v>
      </c>
      <c r="AC716">
        <v>1</v>
      </c>
    </row>
    <row r="717" spans="17:29" x14ac:dyDescent="0.2">
      <c r="Q717" t="s">
        <v>2075</v>
      </c>
      <c r="R717" t="s">
        <v>2304</v>
      </c>
      <c r="S717" t="s">
        <v>257</v>
      </c>
      <c r="T717" s="1">
        <v>44175</v>
      </c>
      <c r="U717" s="1">
        <v>44175</v>
      </c>
      <c r="V717" t="s">
        <v>260</v>
      </c>
      <c r="W717">
        <v>101591</v>
      </c>
      <c r="X717">
        <v>101591</v>
      </c>
      <c r="Y717" t="s">
        <v>260</v>
      </c>
      <c r="Z717">
        <v>101591</v>
      </c>
      <c r="AA717">
        <v>20165</v>
      </c>
      <c r="AB717" t="b">
        <v>1</v>
      </c>
      <c r="AC717">
        <v>1</v>
      </c>
    </row>
    <row r="718" spans="17:29" x14ac:dyDescent="0.2">
      <c r="Q718" t="s">
        <v>2082</v>
      </c>
      <c r="R718" t="s">
        <v>2304</v>
      </c>
      <c r="S718" t="s">
        <v>257</v>
      </c>
      <c r="T718" s="1">
        <v>44175</v>
      </c>
      <c r="U718" s="1">
        <v>44175</v>
      </c>
      <c r="V718" t="s">
        <v>260</v>
      </c>
      <c r="W718">
        <v>101591</v>
      </c>
      <c r="X718">
        <v>101591</v>
      </c>
      <c r="Y718" t="s">
        <v>260</v>
      </c>
      <c r="Z718">
        <v>101591</v>
      </c>
      <c r="AA718">
        <v>20165</v>
      </c>
      <c r="AB718" t="b">
        <v>1</v>
      </c>
      <c r="AC718">
        <v>1</v>
      </c>
    </row>
    <row r="719" spans="17:29" x14ac:dyDescent="0.2">
      <c r="Q719" t="s">
        <v>2075</v>
      </c>
      <c r="R719" t="s">
        <v>2305</v>
      </c>
      <c r="S719" t="s">
        <v>257</v>
      </c>
      <c r="T719" s="1">
        <v>44175</v>
      </c>
      <c r="U719" s="1">
        <v>44175</v>
      </c>
      <c r="V719" t="s">
        <v>260</v>
      </c>
      <c r="W719">
        <v>204897</v>
      </c>
      <c r="X719">
        <v>204897</v>
      </c>
      <c r="Y719" t="s">
        <v>260</v>
      </c>
      <c r="Z719">
        <v>204897</v>
      </c>
      <c r="AA719">
        <v>40670</v>
      </c>
      <c r="AB719" t="b">
        <v>1</v>
      </c>
      <c r="AC719">
        <v>1</v>
      </c>
    </row>
    <row r="720" spans="17:29" x14ac:dyDescent="0.2">
      <c r="Q720" t="s">
        <v>2082</v>
      </c>
      <c r="R720" t="s">
        <v>2305</v>
      </c>
      <c r="S720" t="s">
        <v>257</v>
      </c>
      <c r="T720" s="1">
        <v>44175</v>
      </c>
      <c r="U720" s="1">
        <v>44175</v>
      </c>
      <c r="V720" t="s">
        <v>260</v>
      </c>
      <c r="W720">
        <v>204897</v>
      </c>
      <c r="X720">
        <v>204897</v>
      </c>
      <c r="Y720" t="s">
        <v>260</v>
      </c>
      <c r="Z720">
        <v>204897</v>
      </c>
      <c r="AA720">
        <v>40670</v>
      </c>
      <c r="AB720" t="b">
        <v>1</v>
      </c>
      <c r="AC720">
        <v>1</v>
      </c>
    </row>
    <row r="721" spans="17:29" x14ac:dyDescent="0.2">
      <c r="Q721" t="s">
        <v>2075</v>
      </c>
      <c r="R721" t="s">
        <v>2306</v>
      </c>
      <c r="S721" t="s">
        <v>257</v>
      </c>
      <c r="T721" s="1">
        <v>44175</v>
      </c>
      <c r="U721" s="1">
        <v>44175</v>
      </c>
      <c r="V721" t="s">
        <v>260</v>
      </c>
      <c r="W721">
        <v>110482</v>
      </c>
      <c r="X721">
        <v>110482</v>
      </c>
      <c r="Y721" t="s">
        <v>260</v>
      </c>
      <c r="Z721">
        <v>110482</v>
      </c>
      <c r="AA721">
        <v>21930</v>
      </c>
      <c r="AB721" t="b">
        <v>1</v>
      </c>
      <c r="AC721">
        <v>1</v>
      </c>
    </row>
    <row r="722" spans="17:29" x14ac:dyDescent="0.2">
      <c r="Q722" t="s">
        <v>2082</v>
      </c>
      <c r="R722" t="s">
        <v>2306</v>
      </c>
      <c r="S722" t="s">
        <v>257</v>
      </c>
      <c r="T722" s="1">
        <v>44175</v>
      </c>
      <c r="U722" s="1">
        <v>44175</v>
      </c>
      <c r="V722" t="s">
        <v>260</v>
      </c>
      <c r="W722">
        <v>110482</v>
      </c>
      <c r="X722">
        <v>110482</v>
      </c>
      <c r="Y722" t="s">
        <v>260</v>
      </c>
      <c r="Z722">
        <v>110482</v>
      </c>
      <c r="AA722">
        <v>21930</v>
      </c>
      <c r="AB722" t="b">
        <v>1</v>
      </c>
      <c r="AC722">
        <v>1</v>
      </c>
    </row>
    <row r="723" spans="17:29" x14ac:dyDescent="0.2">
      <c r="Q723" t="s">
        <v>2075</v>
      </c>
      <c r="R723" t="s">
        <v>2307</v>
      </c>
      <c r="S723" t="s">
        <v>257</v>
      </c>
      <c r="T723" s="1">
        <v>44175</v>
      </c>
      <c r="U723" s="1">
        <v>44175</v>
      </c>
      <c r="V723" t="s">
        <v>260</v>
      </c>
      <c r="W723">
        <v>135445</v>
      </c>
      <c r="X723">
        <v>135445</v>
      </c>
      <c r="Y723" t="s">
        <v>260</v>
      </c>
      <c r="Z723">
        <v>135445</v>
      </c>
      <c r="AA723">
        <v>26885</v>
      </c>
      <c r="AB723" t="b">
        <v>1</v>
      </c>
      <c r="AC723">
        <v>1</v>
      </c>
    </row>
    <row r="724" spans="17:29" x14ac:dyDescent="0.2">
      <c r="Q724" t="s">
        <v>2082</v>
      </c>
      <c r="R724" t="s">
        <v>2307</v>
      </c>
      <c r="S724" t="s">
        <v>257</v>
      </c>
      <c r="T724" s="1">
        <v>44175</v>
      </c>
      <c r="U724" s="1">
        <v>44175</v>
      </c>
      <c r="V724" t="s">
        <v>260</v>
      </c>
      <c r="W724">
        <v>135445</v>
      </c>
      <c r="X724">
        <v>135445</v>
      </c>
      <c r="Y724" t="s">
        <v>260</v>
      </c>
      <c r="Z724">
        <v>135445</v>
      </c>
      <c r="AA724">
        <v>26885</v>
      </c>
      <c r="AB724" t="b">
        <v>1</v>
      </c>
      <c r="AC724">
        <v>1</v>
      </c>
    </row>
    <row r="725" spans="17:29" x14ac:dyDescent="0.2">
      <c r="Q725" t="s">
        <v>2128</v>
      </c>
      <c r="R725" t="s">
        <v>2308</v>
      </c>
      <c r="S725" t="s">
        <v>287</v>
      </c>
      <c r="T725" s="1">
        <v>43796</v>
      </c>
      <c r="U725" s="1">
        <v>43182</v>
      </c>
      <c r="V725" t="s">
        <v>270</v>
      </c>
      <c r="W725">
        <v>1010643</v>
      </c>
      <c r="X725">
        <v>1010643</v>
      </c>
      <c r="Y725" t="s">
        <v>270</v>
      </c>
      <c r="Z725">
        <v>1010643</v>
      </c>
      <c r="AA725">
        <v>1010643</v>
      </c>
      <c r="AB725" t="b">
        <v>1</v>
      </c>
      <c r="AC725">
        <v>0.56999999999999995</v>
      </c>
    </row>
    <row r="726" spans="17:29" x14ac:dyDescent="0.2">
      <c r="Q726" t="s">
        <v>2117</v>
      </c>
      <c r="R726" t="s">
        <v>2308</v>
      </c>
      <c r="S726" t="s">
        <v>287</v>
      </c>
      <c r="T726" s="1">
        <v>43796</v>
      </c>
      <c r="U726" s="1">
        <v>43182</v>
      </c>
      <c r="V726" t="s">
        <v>270</v>
      </c>
      <c r="W726">
        <v>1010643</v>
      </c>
      <c r="X726">
        <v>1010643</v>
      </c>
      <c r="Y726" t="s">
        <v>270</v>
      </c>
      <c r="Z726">
        <v>1010643</v>
      </c>
      <c r="AA726">
        <v>1010643</v>
      </c>
      <c r="AB726" t="b">
        <v>1</v>
      </c>
      <c r="AC726">
        <v>0.56999999999999995</v>
      </c>
    </row>
    <row r="727" spans="17:29" x14ac:dyDescent="0.2">
      <c r="Q727" t="s">
        <v>2128</v>
      </c>
      <c r="R727" t="s">
        <v>2309</v>
      </c>
      <c r="S727" t="s">
        <v>287</v>
      </c>
      <c r="T727" s="1">
        <v>43889</v>
      </c>
      <c r="U727" s="1">
        <v>43028</v>
      </c>
      <c r="V727" t="s">
        <v>270</v>
      </c>
      <c r="W727">
        <v>1320816</v>
      </c>
      <c r="X727">
        <v>1320816</v>
      </c>
      <c r="Y727" t="s">
        <v>270</v>
      </c>
      <c r="Z727">
        <v>1320816</v>
      </c>
      <c r="AA727">
        <v>1320816</v>
      </c>
      <c r="AB727" t="b">
        <v>1</v>
      </c>
      <c r="AC727">
        <v>0.24</v>
      </c>
    </row>
    <row r="728" spans="17:29" x14ac:dyDescent="0.2">
      <c r="Q728" t="s">
        <v>2117</v>
      </c>
      <c r="R728" t="s">
        <v>2309</v>
      </c>
      <c r="S728" t="s">
        <v>287</v>
      </c>
      <c r="T728" s="1">
        <v>43889</v>
      </c>
      <c r="U728" s="1">
        <v>43028</v>
      </c>
      <c r="V728" t="s">
        <v>270</v>
      </c>
      <c r="W728">
        <v>1320816</v>
      </c>
      <c r="X728">
        <v>1320816</v>
      </c>
      <c r="Y728" t="s">
        <v>270</v>
      </c>
      <c r="Z728">
        <v>1320816</v>
      </c>
      <c r="AA728">
        <v>1320816</v>
      </c>
      <c r="AB728" t="b">
        <v>1</v>
      </c>
      <c r="AC728">
        <v>0.24</v>
      </c>
    </row>
    <row r="729" spans="17:29" x14ac:dyDescent="0.2">
      <c r="Q729" t="s">
        <v>2128</v>
      </c>
      <c r="R729" t="s">
        <v>2310</v>
      </c>
      <c r="S729" t="s">
        <v>279</v>
      </c>
      <c r="T729" s="1">
        <v>43817</v>
      </c>
      <c r="U729" s="1">
        <v>43250</v>
      </c>
      <c r="V729" t="s">
        <v>270</v>
      </c>
      <c r="W729">
        <v>1062286</v>
      </c>
      <c r="X729">
        <v>1062286</v>
      </c>
      <c r="Y729" t="s">
        <v>270</v>
      </c>
      <c r="Z729">
        <v>1062286</v>
      </c>
      <c r="AA729">
        <v>1062286</v>
      </c>
      <c r="AB729" t="b">
        <v>1</v>
      </c>
      <c r="AC729">
        <v>0.26</v>
      </c>
    </row>
    <row r="730" spans="17:29" x14ac:dyDescent="0.2">
      <c r="Q730" t="s">
        <v>2128</v>
      </c>
      <c r="R730" t="s">
        <v>2310</v>
      </c>
      <c r="S730" t="s">
        <v>279</v>
      </c>
      <c r="T730" s="1">
        <v>43817</v>
      </c>
      <c r="U730" s="1">
        <v>43187</v>
      </c>
      <c r="V730" t="s">
        <v>270</v>
      </c>
      <c r="W730">
        <v>3001894</v>
      </c>
      <c r="X730">
        <v>3001894</v>
      </c>
      <c r="Y730" t="s">
        <v>270</v>
      </c>
      <c r="Z730">
        <v>3001894</v>
      </c>
      <c r="AA730">
        <v>3001894</v>
      </c>
      <c r="AB730" t="b">
        <v>1</v>
      </c>
      <c r="AC730">
        <v>0.26</v>
      </c>
    </row>
    <row r="731" spans="17:29" x14ac:dyDescent="0.2">
      <c r="Q731" t="s">
        <v>2117</v>
      </c>
      <c r="R731" t="s">
        <v>2310</v>
      </c>
      <c r="S731" t="s">
        <v>279</v>
      </c>
      <c r="T731" s="1">
        <v>43817</v>
      </c>
      <c r="U731" s="1">
        <v>43250</v>
      </c>
      <c r="V731" t="s">
        <v>270</v>
      </c>
      <c r="W731">
        <v>1062286</v>
      </c>
      <c r="X731">
        <v>1062286</v>
      </c>
      <c r="Y731" t="s">
        <v>270</v>
      </c>
      <c r="Z731">
        <v>1062286</v>
      </c>
      <c r="AA731">
        <v>1062286</v>
      </c>
      <c r="AB731" t="b">
        <v>1</v>
      </c>
      <c r="AC731">
        <v>0.26</v>
      </c>
    </row>
    <row r="732" spans="17:29" x14ac:dyDescent="0.2">
      <c r="Q732" t="s">
        <v>2117</v>
      </c>
      <c r="R732" t="s">
        <v>2310</v>
      </c>
      <c r="S732" t="s">
        <v>279</v>
      </c>
      <c r="T732" s="1">
        <v>43817</v>
      </c>
      <c r="U732" s="1">
        <v>43187</v>
      </c>
      <c r="V732" t="s">
        <v>270</v>
      </c>
      <c r="W732">
        <v>3001894</v>
      </c>
      <c r="X732">
        <v>3001894</v>
      </c>
      <c r="Y732" t="s">
        <v>270</v>
      </c>
      <c r="Z732">
        <v>3001894</v>
      </c>
      <c r="AA732">
        <v>3001894</v>
      </c>
      <c r="AB732" t="b">
        <v>1</v>
      </c>
      <c r="AC732">
        <v>0.26</v>
      </c>
    </row>
    <row r="733" spans="17:29" x14ac:dyDescent="0.2">
      <c r="Q733" t="s">
        <v>2128</v>
      </c>
      <c r="R733" t="s">
        <v>2311</v>
      </c>
      <c r="S733" t="s">
        <v>2161</v>
      </c>
      <c r="T733" s="1">
        <v>44110</v>
      </c>
      <c r="U733" s="1">
        <v>43724</v>
      </c>
      <c r="V733" t="s">
        <v>270</v>
      </c>
      <c r="W733">
        <v>2237288</v>
      </c>
      <c r="X733">
        <v>2237288</v>
      </c>
      <c r="Y733" t="s">
        <v>270</v>
      </c>
      <c r="Z733">
        <v>2237288</v>
      </c>
      <c r="AA733">
        <v>2237288</v>
      </c>
      <c r="AB733" t="b">
        <v>1</v>
      </c>
      <c r="AC733">
        <v>0.09</v>
      </c>
    </row>
    <row r="734" spans="17:29" x14ac:dyDescent="0.2">
      <c r="Q734" t="s">
        <v>2128</v>
      </c>
      <c r="R734" t="s">
        <v>2311</v>
      </c>
      <c r="S734" t="s">
        <v>2161</v>
      </c>
      <c r="T734" s="1">
        <v>44069</v>
      </c>
      <c r="U734" s="1">
        <v>43808</v>
      </c>
      <c r="V734" t="s">
        <v>270</v>
      </c>
      <c r="W734">
        <v>1118644</v>
      </c>
      <c r="X734">
        <v>1118644</v>
      </c>
      <c r="Y734" t="s">
        <v>270</v>
      </c>
      <c r="Z734">
        <v>1118644</v>
      </c>
      <c r="AA734">
        <v>1118644</v>
      </c>
      <c r="AB734" t="b">
        <v>1</v>
      </c>
      <c r="AC734">
        <v>0.09</v>
      </c>
    </row>
    <row r="735" spans="17:29" x14ac:dyDescent="0.2">
      <c r="Q735" t="s">
        <v>2128</v>
      </c>
      <c r="R735" t="s">
        <v>2311</v>
      </c>
      <c r="S735" t="s">
        <v>2161</v>
      </c>
      <c r="T735" s="1">
        <v>43819</v>
      </c>
      <c r="U735" s="1">
        <v>43427</v>
      </c>
      <c r="V735" t="s">
        <v>270</v>
      </c>
      <c r="W735">
        <v>2500000</v>
      </c>
      <c r="X735">
        <v>2500000</v>
      </c>
      <c r="Y735" t="s">
        <v>270</v>
      </c>
      <c r="Z735">
        <v>2500000</v>
      </c>
      <c r="AA735">
        <v>2500000</v>
      </c>
      <c r="AB735" t="b">
        <v>1</v>
      </c>
      <c r="AC735">
        <v>0.09</v>
      </c>
    </row>
    <row r="736" spans="17:29" x14ac:dyDescent="0.2">
      <c r="Q736" t="s">
        <v>2128</v>
      </c>
      <c r="R736" t="s">
        <v>2311</v>
      </c>
      <c r="S736" t="s">
        <v>2161</v>
      </c>
      <c r="T736" s="1">
        <v>43819</v>
      </c>
      <c r="U736" s="1">
        <v>43427</v>
      </c>
      <c r="V736" t="s">
        <v>270</v>
      </c>
      <c r="W736">
        <v>2500000</v>
      </c>
      <c r="X736">
        <v>2500000</v>
      </c>
      <c r="Y736" t="s">
        <v>270</v>
      </c>
      <c r="Z736">
        <v>2500000</v>
      </c>
      <c r="AA736">
        <v>2500000</v>
      </c>
      <c r="AB736" t="b">
        <v>1</v>
      </c>
      <c r="AC736">
        <v>0.09</v>
      </c>
    </row>
    <row r="737" spans="17:29" x14ac:dyDescent="0.2">
      <c r="Q737" t="s">
        <v>2128</v>
      </c>
      <c r="R737" t="s">
        <v>2311</v>
      </c>
      <c r="S737" t="s">
        <v>2161</v>
      </c>
      <c r="T737" s="1">
        <v>43819</v>
      </c>
      <c r="U737" s="1">
        <v>43549</v>
      </c>
      <c r="V737" t="s">
        <v>270</v>
      </c>
      <c r="W737">
        <v>1016949</v>
      </c>
      <c r="X737">
        <v>1016949</v>
      </c>
      <c r="Y737" t="s">
        <v>270</v>
      </c>
      <c r="Z737">
        <v>1016949</v>
      </c>
      <c r="AA737">
        <v>1016949</v>
      </c>
      <c r="AB737" t="b">
        <v>1</v>
      </c>
      <c r="AC737">
        <v>0.09</v>
      </c>
    </row>
    <row r="738" spans="17:29" x14ac:dyDescent="0.2">
      <c r="Q738" t="s">
        <v>2128</v>
      </c>
      <c r="R738" t="s">
        <v>2311</v>
      </c>
      <c r="S738" t="s">
        <v>2161</v>
      </c>
      <c r="T738" s="1">
        <v>43817</v>
      </c>
      <c r="U738" s="1">
        <v>43437</v>
      </c>
      <c r="V738" t="s">
        <v>270</v>
      </c>
      <c r="W738">
        <v>3115561</v>
      </c>
      <c r="X738">
        <v>3115561</v>
      </c>
      <c r="Y738" t="s">
        <v>270</v>
      </c>
      <c r="Z738">
        <v>3115561</v>
      </c>
      <c r="AA738">
        <v>3115561</v>
      </c>
      <c r="AB738" t="b">
        <v>1</v>
      </c>
      <c r="AC738">
        <v>0.09</v>
      </c>
    </row>
    <row r="739" spans="17:29" x14ac:dyDescent="0.2">
      <c r="Q739" t="s">
        <v>2128</v>
      </c>
      <c r="R739" t="s">
        <v>2311</v>
      </c>
      <c r="S739" t="s">
        <v>2161</v>
      </c>
      <c r="T739" s="1">
        <v>43817</v>
      </c>
      <c r="U739" s="1">
        <v>43234</v>
      </c>
      <c r="V739" t="s">
        <v>270</v>
      </c>
      <c r="W739">
        <v>2511558</v>
      </c>
      <c r="X739">
        <v>2511558</v>
      </c>
      <c r="Y739" t="s">
        <v>270</v>
      </c>
      <c r="Z739">
        <v>2511558</v>
      </c>
      <c r="AA739">
        <v>2511558</v>
      </c>
      <c r="AB739" t="b">
        <v>1</v>
      </c>
      <c r="AC739">
        <v>0.09</v>
      </c>
    </row>
    <row r="740" spans="17:29" x14ac:dyDescent="0.2">
      <c r="Q740" t="s">
        <v>2117</v>
      </c>
      <c r="R740" t="s">
        <v>2311</v>
      </c>
      <c r="S740" t="s">
        <v>2161</v>
      </c>
      <c r="T740" s="1">
        <v>44110</v>
      </c>
      <c r="U740" s="1">
        <v>43724</v>
      </c>
      <c r="V740" t="s">
        <v>270</v>
      </c>
      <c r="W740">
        <v>2237288</v>
      </c>
      <c r="X740">
        <v>2237288</v>
      </c>
      <c r="Y740" t="s">
        <v>270</v>
      </c>
      <c r="Z740">
        <v>2237288</v>
      </c>
      <c r="AA740">
        <v>2237288</v>
      </c>
      <c r="AB740" t="b">
        <v>1</v>
      </c>
      <c r="AC740">
        <v>0.09</v>
      </c>
    </row>
    <row r="741" spans="17:29" x14ac:dyDescent="0.2">
      <c r="Q741" t="s">
        <v>2117</v>
      </c>
      <c r="R741" t="s">
        <v>2311</v>
      </c>
      <c r="S741" t="s">
        <v>2161</v>
      </c>
      <c r="T741" s="1">
        <v>44069</v>
      </c>
      <c r="U741" s="1">
        <v>43808</v>
      </c>
      <c r="V741" t="s">
        <v>270</v>
      </c>
      <c r="W741">
        <v>1118644</v>
      </c>
      <c r="X741">
        <v>1118644</v>
      </c>
      <c r="Y741" t="s">
        <v>270</v>
      </c>
      <c r="Z741">
        <v>1118644</v>
      </c>
      <c r="AA741">
        <v>1118644</v>
      </c>
      <c r="AB741" t="b">
        <v>1</v>
      </c>
      <c r="AC741">
        <v>0.09</v>
      </c>
    </row>
    <row r="742" spans="17:29" x14ac:dyDescent="0.2">
      <c r="Q742" t="s">
        <v>2117</v>
      </c>
      <c r="R742" t="s">
        <v>2311</v>
      </c>
      <c r="S742" t="s">
        <v>2161</v>
      </c>
      <c r="T742" s="1">
        <v>43819</v>
      </c>
      <c r="U742" s="1">
        <v>43427</v>
      </c>
      <c r="V742" t="s">
        <v>270</v>
      </c>
      <c r="W742">
        <v>2500000</v>
      </c>
      <c r="X742">
        <v>2500000</v>
      </c>
      <c r="Y742" t="s">
        <v>270</v>
      </c>
      <c r="Z742">
        <v>2500000</v>
      </c>
      <c r="AA742">
        <v>2500000</v>
      </c>
      <c r="AB742" t="b">
        <v>1</v>
      </c>
      <c r="AC742">
        <v>0.09</v>
      </c>
    </row>
    <row r="743" spans="17:29" x14ac:dyDescent="0.2">
      <c r="Q743" t="s">
        <v>2117</v>
      </c>
      <c r="R743" t="s">
        <v>2311</v>
      </c>
      <c r="S743" t="s">
        <v>2161</v>
      </c>
      <c r="T743" s="1">
        <v>43819</v>
      </c>
      <c r="U743" s="1">
        <v>43427</v>
      </c>
      <c r="V743" t="s">
        <v>270</v>
      </c>
      <c r="W743">
        <v>2500000</v>
      </c>
      <c r="X743">
        <v>2500000</v>
      </c>
      <c r="Y743" t="s">
        <v>270</v>
      </c>
      <c r="Z743">
        <v>2500000</v>
      </c>
      <c r="AA743">
        <v>2500000</v>
      </c>
      <c r="AB743" t="b">
        <v>1</v>
      </c>
      <c r="AC743">
        <v>0.09</v>
      </c>
    </row>
    <row r="744" spans="17:29" x14ac:dyDescent="0.2">
      <c r="Q744" t="s">
        <v>2117</v>
      </c>
      <c r="R744" t="s">
        <v>2311</v>
      </c>
      <c r="S744" t="s">
        <v>2161</v>
      </c>
      <c r="T744" s="1">
        <v>43819</v>
      </c>
      <c r="U744" s="1">
        <v>43549</v>
      </c>
      <c r="V744" t="s">
        <v>270</v>
      </c>
      <c r="W744">
        <v>1016949</v>
      </c>
      <c r="X744">
        <v>1016949</v>
      </c>
      <c r="Y744" t="s">
        <v>270</v>
      </c>
      <c r="Z744">
        <v>1016949</v>
      </c>
      <c r="AA744">
        <v>1016949</v>
      </c>
      <c r="AB744" t="b">
        <v>1</v>
      </c>
      <c r="AC744">
        <v>0.09</v>
      </c>
    </row>
    <row r="745" spans="17:29" x14ac:dyDescent="0.2">
      <c r="Q745" t="s">
        <v>2117</v>
      </c>
      <c r="R745" t="s">
        <v>2311</v>
      </c>
      <c r="S745" t="s">
        <v>2161</v>
      </c>
      <c r="T745" s="1">
        <v>43817</v>
      </c>
      <c r="U745" s="1">
        <v>43437</v>
      </c>
      <c r="V745" t="s">
        <v>270</v>
      </c>
      <c r="W745">
        <v>3115561</v>
      </c>
      <c r="X745">
        <v>3115561</v>
      </c>
      <c r="Y745" t="s">
        <v>270</v>
      </c>
      <c r="Z745">
        <v>3115561</v>
      </c>
      <c r="AA745">
        <v>3115561</v>
      </c>
      <c r="AB745" t="b">
        <v>1</v>
      </c>
      <c r="AC745">
        <v>0.09</v>
      </c>
    </row>
    <row r="746" spans="17:29" x14ac:dyDescent="0.2">
      <c r="Q746" t="s">
        <v>2117</v>
      </c>
      <c r="R746" t="s">
        <v>2311</v>
      </c>
      <c r="S746" t="s">
        <v>2161</v>
      </c>
      <c r="T746" s="1">
        <v>43817</v>
      </c>
      <c r="U746" s="1">
        <v>43234</v>
      </c>
      <c r="V746" t="s">
        <v>270</v>
      </c>
      <c r="W746">
        <v>2511558</v>
      </c>
      <c r="X746">
        <v>2511558</v>
      </c>
      <c r="Y746" t="s">
        <v>270</v>
      </c>
      <c r="Z746">
        <v>2511558</v>
      </c>
      <c r="AA746">
        <v>2511558</v>
      </c>
      <c r="AB746" t="b">
        <v>1</v>
      </c>
      <c r="AC746">
        <v>0.09</v>
      </c>
    </row>
    <row r="747" spans="17:29" x14ac:dyDescent="0.2">
      <c r="Q747" t="s">
        <v>2128</v>
      </c>
      <c r="R747" t="s">
        <v>2312</v>
      </c>
      <c r="S747" t="s">
        <v>279</v>
      </c>
      <c r="T747" s="1">
        <v>44132</v>
      </c>
      <c r="U747" s="1">
        <v>44076</v>
      </c>
      <c r="V747" t="s">
        <v>270</v>
      </c>
      <c r="W747">
        <v>6607713</v>
      </c>
      <c r="X747">
        <v>6607713</v>
      </c>
      <c r="Y747" t="s">
        <v>270</v>
      </c>
      <c r="Z747">
        <v>6607713</v>
      </c>
      <c r="AA747">
        <v>6607713</v>
      </c>
      <c r="AB747" t="b">
        <v>1</v>
      </c>
      <c r="AC747">
        <v>0.47</v>
      </c>
    </row>
    <row r="748" spans="17:29" x14ac:dyDescent="0.2">
      <c r="Q748" t="s">
        <v>2117</v>
      </c>
      <c r="R748" t="s">
        <v>2312</v>
      </c>
      <c r="S748" t="s">
        <v>279</v>
      </c>
      <c r="T748" s="1">
        <v>44132</v>
      </c>
      <c r="U748" s="1">
        <v>44076</v>
      </c>
      <c r="V748" t="s">
        <v>270</v>
      </c>
      <c r="W748">
        <v>6607713</v>
      </c>
      <c r="X748">
        <v>6607713</v>
      </c>
      <c r="Y748" t="s">
        <v>270</v>
      </c>
      <c r="Z748">
        <v>6607713</v>
      </c>
      <c r="AA748">
        <v>6607713</v>
      </c>
      <c r="AB748" t="b">
        <v>1</v>
      </c>
      <c r="AC748">
        <v>0.47</v>
      </c>
    </row>
    <row r="749" spans="17:29" x14ac:dyDescent="0.2">
      <c r="Q749" t="s">
        <v>1998</v>
      </c>
      <c r="R749" t="s">
        <v>2313</v>
      </c>
      <c r="S749" t="s">
        <v>257</v>
      </c>
      <c r="T749" s="1">
        <v>44027</v>
      </c>
      <c r="U749" s="1">
        <v>44043</v>
      </c>
      <c r="V749" t="s">
        <v>260</v>
      </c>
      <c r="W749">
        <v>620486000</v>
      </c>
      <c r="X749">
        <v>620486000</v>
      </c>
      <c r="Y749" t="s">
        <v>260</v>
      </c>
      <c r="Z749">
        <v>620486000</v>
      </c>
      <c r="AA749">
        <v>119262306</v>
      </c>
      <c r="AB749" t="b">
        <v>0</v>
      </c>
      <c r="AC749">
        <v>1</v>
      </c>
    </row>
    <row r="750" spans="17:29" x14ac:dyDescent="0.2">
      <c r="Q750" t="s">
        <v>2067</v>
      </c>
      <c r="R750" t="s">
        <v>2313</v>
      </c>
      <c r="S750" t="s">
        <v>257</v>
      </c>
      <c r="T750" s="1">
        <v>44027</v>
      </c>
      <c r="U750" s="1">
        <v>44043</v>
      </c>
      <c r="V750" t="s">
        <v>260</v>
      </c>
      <c r="W750">
        <v>620486000</v>
      </c>
      <c r="X750">
        <v>620486000</v>
      </c>
      <c r="Y750" t="s">
        <v>260</v>
      </c>
      <c r="Z750">
        <v>620486000</v>
      </c>
      <c r="AA750">
        <v>119262306</v>
      </c>
      <c r="AB750" t="b">
        <v>0</v>
      </c>
      <c r="AC750">
        <v>1</v>
      </c>
    </row>
    <row r="751" spans="17:29" x14ac:dyDescent="0.2">
      <c r="Q751" t="s">
        <v>2029</v>
      </c>
      <c r="R751" t="s">
        <v>2313</v>
      </c>
      <c r="S751" t="s">
        <v>257</v>
      </c>
      <c r="T751" s="1">
        <v>44027</v>
      </c>
      <c r="U751" s="1">
        <v>44043</v>
      </c>
      <c r="V751" t="s">
        <v>260</v>
      </c>
      <c r="W751">
        <v>620486000</v>
      </c>
      <c r="X751">
        <v>620486000</v>
      </c>
      <c r="Y751" t="s">
        <v>260</v>
      </c>
      <c r="Z751">
        <v>620486000</v>
      </c>
      <c r="AA751">
        <v>119262306</v>
      </c>
      <c r="AB751" t="b">
        <v>0</v>
      </c>
      <c r="AC751">
        <v>1</v>
      </c>
    </row>
    <row r="752" spans="17:29" x14ac:dyDescent="0.2">
      <c r="Q752" t="s">
        <v>2029</v>
      </c>
      <c r="R752" t="s">
        <v>2313</v>
      </c>
      <c r="S752" t="s">
        <v>257</v>
      </c>
      <c r="T752" s="1">
        <v>44027</v>
      </c>
      <c r="U752" s="1">
        <v>44043</v>
      </c>
      <c r="V752" t="s">
        <v>260</v>
      </c>
      <c r="W752">
        <v>620486000</v>
      </c>
      <c r="X752">
        <v>620486000</v>
      </c>
      <c r="Y752" t="s">
        <v>260</v>
      </c>
      <c r="Z752">
        <v>620486000</v>
      </c>
      <c r="AA752">
        <v>119262306</v>
      </c>
      <c r="AB752" t="b">
        <v>0</v>
      </c>
      <c r="AC752">
        <v>1</v>
      </c>
    </row>
    <row r="753" spans="17:29" x14ac:dyDescent="0.2">
      <c r="Q753" t="s">
        <v>1998</v>
      </c>
      <c r="R753" t="s">
        <v>2314</v>
      </c>
      <c r="S753" t="s">
        <v>257</v>
      </c>
      <c r="T753" s="1">
        <v>44027</v>
      </c>
      <c r="U753" s="1">
        <v>44043</v>
      </c>
      <c r="V753" t="s">
        <v>260</v>
      </c>
      <c r="W753">
        <v>259804000</v>
      </c>
      <c r="X753">
        <v>259804000</v>
      </c>
      <c r="Y753" t="s">
        <v>260</v>
      </c>
      <c r="Z753">
        <v>259804000</v>
      </c>
      <c r="AA753">
        <v>49936379</v>
      </c>
      <c r="AB753" t="b">
        <v>0</v>
      </c>
      <c r="AC753">
        <v>1</v>
      </c>
    </row>
    <row r="754" spans="17:29" x14ac:dyDescent="0.2">
      <c r="Q754" t="s">
        <v>2067</v>
      </c>
      <c r="R754" t="s">
        <v>2314</v>
      </c>
      <c r="S754" t="s">
        <v>257</v>
      </c>
      <c r="T754" s="1">
        <v>44027</v>
      </c>
      <c r="U754" s="1">
        <v>44043</v>
      </c>
      <c r="V754" t="s">
        <v>260</v>
      </c>
      <c r="W754">
        <v>259804000</v>
      </c>
      <c r="X754">
        <v>259804000</v>
      </c>
      <c r="Y754" t="s">
        <v>260</v>
      </c>
      <c r="Z754">
        <v>259804000</v>
      </c>
      <c r="AA754">
        <v>49936379</v>
      </c>
      <c r="AB754" t="b">
        <v>0</v>
      </c>
      <c r="AC754">
        <v>1</v>
      </c>
    </row>
    <row r="755" spans="17:29" x14ac:dyDescent="0.2">
      <c r="Q755" t="s">
        <v>2029</v>
      </c>
      <c r="R755" t="s">
        <v>2314</v>
      </c>
      <c r="S755" t="s">
        <v>257</v>
      </c>
      <c r="T755" s="1">
        <v>44027</v>
      </c>
      <c r="U755" s="1">
        <v>44043</v>
      </c>
      <c r="V755" t="s">
        <v>260</v>
      </c>
      <c r="W755">
        <v>259804000</v>
      </c>
      <c r="X755">
        <v>259804000</v>
      </c>
      <c r="Y755" t="s">
        <v>260</v>
      </c>
      <c r="Z755">
        <v>259804000</v>
      </c>
      <c r="AA755">
        <v>49936379</v>
      </c>
      <c r="AB755" t="b">
        <v>0</v>
      </c>
      <c r="AC755">
        <v>1</v>
      </c>
    </row>
    <row r="756" spans="17:29" x14ac:dyDescent="0.2">
      <c r="Q756" t="s">
        <v>2029</v>
      </c>
      <c r="R756" t="s">
        <v>2314</v>
      </c>
      <c r="S756" t="s">
        <v>257</v>
      </c>
      <c r="T756" s="1">
        <v>44027</v>
      </c>
      <c r="U756" s="1">
        <v>44043</v>
      </c>
      <c r="V756" t="s">
        <v>260</v>
      </c>
      <c r="W756">
        <v>259804000</v>
      </c>
      <c r="X756">
        <v>259804000</v>
      </c>
      <c r="Y756" t="s">
        <v>260</v>
      </c>
      <c r="Z756">
        <v>259804000</v>
      </c>
      <c r="AA756">
        <v>49936379</v>
      </c>
      <c r="AB756" t="b">
        <v>0</v>
      </c>
      <c r="AC756">
        <v>1</v>
      </c>
    </row>
    <row r="757" spans="17:29" x14ac:dyDescent="0.2">
      <c r="Q757" t="s">
        <v>2031</v>
      </c>
      <c r="R757" t="s">
        <v>2315</v>
      </c>
      <c r="S757" t="s">
        <v>279</v>
      </c>
      <c r="T757" s="1">
        <v>44183</v>
      </c>
      <c r="U757" s="1">
        <v>44183</v>
      </c>
      <c r="V757" t="s">
        <v>270</v>
      </c>
      <c r="W757">
        <v>262664000</v>
      </c>
      <c r="X757">
        <v>262664000</v>
      </c>
      <c r="Y757" t="s">
        <v>270</v>
      </c>
      <c r="Z757">
        <v>262664000</v>
      </c>
      <c r="AA757">
        <v>262664000</v>
      </c>
      <c r="AB757" t="b">
        <v>1</v>
      </c>
      <c r="AC757">
        <v>1</v>
      </c>
    </row>
    <row r="758" spans="17:29" x14ac:dyDescent="0.2">
      <c r="Q758" t="s">
        <v>1989</v>
      </c>
      <c r="R758" t="s">
        <v>2315</v>
      </c>
      <c r="S758" t="s">
        <v>279</v>
      </c>
      <c r="T758" s="1">
        <v>44183</v>
      </c>
      <c r="U758" s="1">
        <v>44183</v>
      </c>
      <c r="V758" t="s">
        <v>270</v>
      </c>
      <c r="W758">
        <v>262664000</v>
      </c>
      <c r="X758">
        <v>262664000</v>
      </c>
      <c r="Y758" t="s">
        <v>270</v>
      </c>
      <c r="Z758">
        <v>262664000</v>
      </c>
      <c r="AA758">
        <v>262664000</v>
      </c>
      <c r="AB758" t="b">
        <v>1</v>
      </c>
      <c r="AC758">
        <v>1</v>
      </c>
    </row>
    <row r="759" spans="17:29" x14ac:dyDescent="0.2">
      <c r="Q759" t="s">
        <v>2208</v>
      </c>
      <c r="R759" t="s">
        <v>2316</v>
      </c>
      <c r="S759" t="s">
        <v>257</v>
      </c>
      <c r="T759" s="1">
        <v>44197</v>
      </c>
      <c r="U759" s="1">
        <v>44197</v>
      </c>
      <c r="V759" t="s">
        <v>260</v>
      </c>
      <c r="W759">
        <v>663000</v>
      </c>
      <c r="X759">
        <v>663000</v>
      </c>
      <c r="Y759" t="s">
        <v>270</v>
      </c>
      <c r="Z759">
        <v>123000</v>
      </c>
      <c r="AA759">
        <v>123000</v>
      </c>
      <c r="AB759" t="b">
        <v>0</v>
      </c>
      <c r="AC759">
        <v>1</v>
      </c>
    </row>
    <row r="760" spans="17:29" x14ac:dyDescent="0.2">
      <c r="Q760" t="s">
        <v>2208</v>
      </c>
      <c r="R760" t="s">
        <v>2316</v>
      </c>
      <c r="S760" t="s">
        <v>257</v>
      </c>
      <c r="T760" s="1">
        <v>44013</v>
      </c>
      <c r="U760" s="1">
        <v>44013</v>
      </c>
      <c r="V760" t="s">
        <v>260</v>
      </c>
      <c r="W760">
        <v>631000</v>
      </c>
      <c r="X760">
        <v>631000</v>
      </c>
      <c r="Y760" t="s">
        <v>270</v>
      </c>
      <c r="Z760">
        <v>116000</v>
      </c>
      <c r="AA760">
        <v>116000</v>
      </c>
      <c r="AB760" t="b">
        <v>0</v>
      </c>
      <c r="AC760">
        <v>1</v>
      </c>
    </row>
    <row r="761" spans="17:29" x14ac:dyDescent="0.2">
      <c r="Q761" t="s">
        <v>2208</v>
      </c>
      <c r="R761" t="s">
        <v>2316</v>
      </c>
      <c r="S761" t="s">
        <v>257</v>
      </c>
      <c r="T761" s="1">
        <v>43831</v>
      </c>
      <c r="U761" s="1">
        <v>43831</v>
      </c>
      <c r="V761" t="s">
        <v>260</v>
      </c>
      <c r="W761">
        <v>380000</v>
      </c>
      <c r="X761">
        <v>380000</v>
      </c>
      <c r="Y761" t="s">
        <v>270</v>
      </c>
      <c r="Z761">
        <v>77000</v>
      </c>
      <c r="AA761">
        <v>77000</v>
      </c>
      <c r="AB761" t="b">
        <v>0</v>
      </c>
      <c r="AC761">
        <v>1</v>
      </c>
    </row>
    <row r="762" spans="17:29" x14ac:dyDescent="0.2">
      <c r="Q762" t="s">
        <v>2208</v>
      </c>
      <c r="R762" t="s">
        <v>2316</v>
      </c>
      <c r="S762" t="s">
        <v>257</v>
      </c>
      <c r="T762" s="1">
        <v>43647</v>
      </c>
      <c r="U762" s="1">
        <v>43647</v>
      </c>
      <c r="V762" t="s">
        <v>260</v>
      </c>
      <c r="W762">
        <v>697000</v>
      </c>
      <c r="X762">
        <v>697000</v>
      </c>
      <c r="Y762" t="s">
        <v>270</v>
      </c>
      <c r="Z762">
        <v>172000</v>
      </c>
      <c r="AA762">
        <v>172000</v>
      </c>
      <c r="AB762" t="b">
        <v>0</v>
      </c>
      <c r="AC762">
        <v>1</v>
      </c>
    </row>
    <row r="763" spans="17:29" x14ac:dyDescent="0.2">
      <c r="Q763" t="s">
        <v>2208</v>
      </c>
      <c r="R763" t="s">
        <v>2316</v>
      </c>
      <c r="S763" t="s">
        <v>257</v>
      </c>
      <c r="T763" s="1">
        <v>43466</v>
      </c>
      <c r="U763" s="1">
        <v>43466</v>
      </c>
      <c r="V763" t="s">
        <v>260</v>
      </c>
      <c r="W763">
        <v>455540</v>
      </c>
      <c r="X763">
        <v>455540</v>
      </c>
      <c r="Y763" t="s">
        <v>270</v>
      </c>
      <c r="Z763">
        <v>118450</v>
      </c>
      <c r="AA763">
        <v>118450</v>
      </c>
      <c r="AB763" t="b">
        <v>0</v>
      </c>
      <c r="AC763">
        <v>1</v>
      </c>
    </row>
    <row r="764" spans="17:29" x14ac:dyDescent="0.2">
      <c r="Q764" t="s">
        <v>2208</v>
      </c>
      <c r="R764" t="s">
        <v>2316</v>
      </c>
      <c r="S764" t="s">
        <v>257</v>
      </c>
      <c r="T764" s="1">
        <v>43282</v>
      </c>
      <c r="U764" s="1">
        <v>43282</v>
      </c>
      <c r="V764" t="s">
        <v>260</v>
      </c>
      <c r="W764">
        <v>406600</v>
      </c>
      <c r="X764">
        <v>406600</v>
      </c>
      <c r="Y764" t="s">
        <v>270</v>
      </c>
      <c r="Z764">
        <v>104780</v>
      </c>
      <c r="AA764">
        <v>104780</v>
      </c>
      <c r="AB764" t="b">
        <v>0</v>
      </c>
      <c r="AC764">
        <v>1</v>
      </c>
    </row>
    <row r="765" spans="17:29" x14ac:dyDescent="0.2">
      <c r="Q765" t="s">
        <v>2210</v>
      </c>
      <c r="R765" t="s">
        <v>2316</v>
      </c>
      <c r="S765" t="s">
        <v>257</v>
      </c>
      <c r="T765" s="1">
        <v>44197</v>
      </c>
      <c r="U765" s="1">
        <v>44197</v>
      </c>
      <c r="V765" t="s">
        <v>260</v>
      </c>
      <c r="W765">
        <v>663000</v>
      </c>
      <c r="X765">
        <v>663000</v>
      </c>
      <c r="Y765" t="s">
        <v>270</v>
      </c>
      <c r="Z765">
        <v>123000</v>
      </c>
      <c r="AA765">
        <v>123000</v>
      </c>
      <c r="AB765" t="b">
        <v>0</v>
      </c>
      <c r="AC765">
        <v>1</v>
      </c>
    </row>
    <row r="766" spans="17:29" x14ac:dyDescent="0.2">
      <c r="Q766" t="s">
        <v>2210</v>
      </c>
      <c r="R766" t="s">
        <v>2316</v>
      </c>
      <c r="S766" t="s">
        <v>257</v>
      </c>
      <c r="T766" s="1">
        <v>44013</v>
      </c>
      <c r="U766" s="1">
        <v>44013</v>
      </c>
      <c r="V766" t="s">
        <v>260</v>
      </c>
      <c r="W766">
        <v>631000</v>
      </c>
      <c r="X766">
        <v>631000</v>
      </c>
      <c r="Y766" t="s">
        <v>270</v>
      </c>
      <c r="Z766">
        <v>116000</v>
      </c>
      <c r="AA766">
        <v>116000</v>
      </c>
      <c r="AB766" t="b">
        <v>0</v>
      </c>
      <c r="AC766">
        <v>1</v>
      </c>
    </row>
    <row r="767" spans="17:29" x14ac:dyDescent="0.2">
      <c r="Q767" t="s">
        <v>2210</v>
      </c>
      <c r="R767" t="s">
        <v>2316</v>
      </c>
      <c r="S767" t="s">
        <v>257</v>
      </c>
      <c r="T767" s="1">
        <v>43831</v>
      </c>
      <c r="U767" s="1">
        <v>43831</v>
      </c>
      <c r="V767" t="s">
        <v>260</v>
      </c>
      <c r="W767">
        <v>380000</v>
      </c>
      <c r="X767">
        <v>380000</v>
      </c>
      <c r="Y767" t="s">
        <v>270</v>
      </c>
      <c r="Z767">
        <v>77000</v>
      </c>
      <c r="AA767">
        <v>77000</v>
      </c>
      <c r="AB767" t="b">
        <v>0</v>
      </c>
      <c r="AC767">
        <v>1</v>
      </c>
    </row>
    <row r="768" spans="17:29" x14ac:dyDescent="0.2">
      <c r="Q768" t="s">
        <v>2210</v>
      </c>
      <c r="R768" t="s">
        <v>2316</v>
      </c>
      <c r="S768" t="s">
        <v>257</v>
      </c>
      <c r="T768" s="1">
        <v>43647</v>
      </c>
      <c r="U768" s="1">
        <v>43647</v>
      </c>
      <c r="V768" t="s">
        <v>260</v>
      </c>
      <c r="W768">
        <v>697000</v>
      </c>
      <c r="X768">
        <v>697000</v>
      </c>
      <c r="Y768" t="s">
        <v>270</v>
      </c>
      <c r="Z768">
        <v>172000</v>
      </c>
      <c r="AA768">
        <v>172000</v>
      </c>
      <c r="AB768" t="b">
        <v>0</v>
      </c>
      <c r="AC768">
        <v>1</v>
      </c>
    </row>
    <row r="769" spans="17:29" x14ac:dyDescent="0.2">
      <c r="Q769" t="s">
        <v>2210</v>
      </c>
      <c r="R769" t="s">
        <v>2316</v>
      </c>
      <c r="S769" t="s">
        <v>257</v>
      </c>
      <c r="T769" s="1">
        <v>43466</v>
      </c>
      <c r="U769" s="1">
        <v>43466</v>
      </c>
      <c r="V769" t="s">
        <v>260</v>
      </c>
      <c r="W769">
        <v>455540</v>
      </c>
      <c r="X769">
        <v>455540</v>
      </c>
      <c r="Y769" t="s">
        <v>270</v>
      </c>
      <c r="Z769">
        <v>118450</v>
      </c>
      <c r="AA769">
        <v>118450</v>
      </c>
      <c r="AB769" t="b">
        <v>0</v>
      </c>
      <c r="AC769">
        <v>1</v>
      </c>
    </row>
    <row r="770" spans="17:29" x14ac:dyDescent="0.2">
      <c r="Q770" t="s">
        <v>2210</v>
      </c>
      <c r="R770" t="s">
        <v>2316</v>
      </c>
      <c r="S770" t="s">
        <v>257</v>
      </c>
      <c r="T770" s="1">
        <v>43282</v>
      </c>
      <c r="U770" s="1">
        <v>43282</v>
      </c>
      <c r="V770" t="s">
        <v>260</v>
      </c>
      <c r="W770">
        <v>406600</v>
      </c>
      <c r="X770">
        <v>406600</v>
      </c>
      <c r="Y770" t="s">
        <v>270</v>
      </c>
      <c r="Z770">
        <v>104780</v>
      </c>
      <c r="AA770">
        <v>104780</v>
      </c>
      <c r="AB770" t="b">
        <v>0</v>
      </c>
      <c r="AC770">
        <v>1</v>
      </c>
    </row>
    <row r="771" spans="17:29" x14ac:dyDescent="0.2">
      <c r="Q771" t="s">
        <v>2208</v>
      </c>
      <c r="R771" t="s">
        <v>2317</v>
      </c>
      <c r="S771" t="s">
        <v>257</v>
      </c>
      <c r="T771" s="1">
        <v>44197</v>
      </c>
      <c r="U771" s="1">
        <v>44197</v>
      </c>
      <c r="V771" t="s">
        <v>260</v>
      </c>
      <c r="W771">
        <v>465000</v>
      </c>
      <c r="X771">
        <v>465000</v>
      </c>
      <c r="Y771" t="s">
        <v>270</v>
      </c>
      <c r="Z771">
        <v>86000</v>
      </c>
      <c r="AA771">
        <v>86000</v>
      </c>
      <c r="AB771" t="b">
        <v>0</v>
      </c>
      <c r="AC771">
        <v>1</v>
      </c>
    </row>
    <row r="772" spans="17:29" x14ac:dyDescent="0.2">
      <c r="Q772" t="s">
        <v>2208</v>
      </c>
      <c r="R772" t="s">
        <v>2317</v>
      </c>
      <c r="S772" t="s">
        <v>257</v>
      </c>
      <c r="T772" s="1">
        <v>44013</v>
      </c>
      <c r="U772" s="1">
        <v>44013</v>
      </c>
      <c r="V772" t="s">
        <v>260</v>
      </c>
      <c r="W772">
        <v>448000</v>
      </c>
      <c r="X772">
        <v>448000</v>
      </c>
      <c r="Y772" t="s">
        <v>270</v>
      </c>
      <c r="Z772">
        <v>82000</v>
      </c>
      <c r="AA772">
        <v>82000</v>
      </c>
      <c r="AB772" t="b">
        <v>0</v>
      </c>
      <c r="AC772">
        <v>1</v>
      </c>
    </row>
    <row r="773" spans="17:29" x14ac:dyDescent="0.2">
      <c r="Q773" t="s">
        <v>2208</v>
      </c>
      <c r="R773" t="s">
        <v>2317</v>
      </c>
      <c r="S773" t="s">
        <v>257</v>
      </c>
      <c r="T773" s="1">
        <v>43466</v>
      </c>
      <c r="U773" s="1">
        <v>43466</v>
      </c>
      <c r="V773" t="s">
        <v>260</v>
      </c>
      <c r="W773">
        <v>335630</v>
      </c>
      <c r="X773">
        <v>335630</v>
      </c>
      <c r="Y773" t="s">
        <v>270</v>
      </c>
      <c r="Z773">
        <v>87270</v>
      </c>
      <c r="AA773">
        <v>87270</v>
      </c>
      <c r="AB773" t="b">
        <v>0</v>
      </c>
      <c r="AC773">
        <v>1</v>
      </c>
    </row>
    <row r="774" spans="17:29" x14ac:dyDescent="0.2">
      <c r="Q774" t="s">
        <v>2208</v>
      </c>
      <c r="R774" t="s">
        <v>2317</v>
      </c>
      <c r="S774" t="s">
        <v>257</v>
      </c>
      <c r="T774" s="1">
        <v>43282</v>
      </c>
      <c r="U774" s="1">
        <v>43282</v>
      </c>
      <c r="V774" t="s">
        <v>260</v>
      </c>
      <c r="W774">
        <v>373740</v>
      </c>
      <c r="X774">
        <v>373740</v>
      </c>
      <c r="Y774" t="s">
        <v>270</v>
      </c>
      <c r="Z774">
        <v>96310</v>
      </c>
      <c r="AA774">
        <v>96310</v>
      </c>
      <c r="AB774" t="b">
        <v>0</v>
      </c>
      <c r="AC774">
        <v>1</v>
      </c>
    </row>
    <row r="775" spans="17:29" x14ac:dyDescent="0.2">
      <c r="Q775" t="s">
        <v>2210</v>
      </c>
      <c r="R775" t="s">
        <v>2317</v>
      </c>
      <c r="S775" t="s">
        <v>257</v>
      </c>
      <c r="T775" s="1">
        <v>44197</v>
      </c>
      <c r="U775" s="1">
        <v>44197</v>
      </c>
      <c r="V775" t="s">
        <v>260</v>
      </c>
      <c r="W775">
        <v>465000</v>
      </c>
      <c r="X775">
        <v>465000</v>
      </c>
      <c r="Y775" t="s">
        <v>270</v>
      </c>
      <c r="Z775">
        <v>86000</v>
      </c>
      <c r="AA775">
        <v>86000</v>
      </c>
      <c r="AB775" t="b">
        <v>0</v>
      </c>
      <c r="AC775">
        <v>1</v>
      </c>
    </row>
    <row r="776" spans="17:29" x14ac:dyDescent="0.2">
      <c r="Q776" t="s">
        <v>2210</v>
      </c>
      <c r="R776" t="s">
        <v>2317</v>
      </c>
      <c r="S776" t="s">
        <v>257</v>
      </c>
      <c r="T776" s="1">
        <v>44013</v>
      </c>
      <c r="U776" s="1">
        <v>44013</v>
      </c>
      <c r="V776" t="s">
        <v>260</v>
      </c>
      <c r="W776">
        <v>448000</v>
      </c>
      <c r="X776">
        <v>448000</v>
      </c>
      <c r="Y776" t="s">
        <v>270</v>
      </c>
      <c r="Z776">
        <v>82000</v>
      </c>
      <c r="AA776">
        <v>82000</v>
      </c>
      <c r="AB776" t="b">
        <v>0</v>
      </c>
      <c r="AC776">
        <v>1</v>
      </c>
    </row>
    <row r="777" spans="17:29" x14ac:dyDescent="0.2">
      <c r="Q777" t="s">
        <v>2210</v>
      </c>
      <c r="R777" t="s">
        <v>2317</v>
      </c>
      <c r="S777" t="s">
        <v>257</v>
      </c>
      <c r="T777" s="1">
        <v>43466</v>
      </c>
      <c r="U777" s="1">
        <v>43466</v>
      </c>
      <c r="V777" t="s">
        <v>260</v>
      </c>
      <c r="W777">
        <v>335630</v>
      </c>
      <c r="X777">
        <v>335630</v>
      </c>
      <c r="Y777" t="s">
        <v>270</v>
      </c>
      <c r="Z777">
        <v>87270</v>
      </c>
      <c r="AA777">
        <v>87270</v>
      </c>
      <c r="AB777" t="b">
        <v>0</v>
      </c>
      <c r="AC777">
        <v>1</v>
      </c>
    </row>
    <row r="778" spans="17:29" x14ac:dyDescent="0.2">
      <c r="Q778" t="s">
        <v>2210</v>
      </c>
      <c r="R778" t="s">
        <v>2317</v>
      </c>
      <c r="S778" t="s">
        <v>257</v>
      </c>
      <c r="T778" s="1">
        <v>43282</v>
      </c>
      <c r="U778" s="1">
        <v>43282</v>
      </c>
      <c r="V778" t="s">
        <v>260</v>
      </c>
      <c r="W778">
        <v>373740</v>
      </c>
      <c r="X778">
        <v>373740</v>
      </c>
      <c r="Y778" t="s">
        <v>270</v>
      </c>
      <c r="Z778">
        <v>96310</v>
      </c>
      <c r="AA778">
        <v>96310</v>
      </c>
      <c r="AB778" t="b">
        <v>0</v>
      </c>
      <c r="AC778">
        <v>1</v>
      </c>
    </row>
    <row r="779" spans="17:29" x14ac:dyDescent="0.2">
      <c r="Q779" t="s">
        <v>2208</v>
      </c>
      <c r="R779" t="s">
        <v>2318</v>
      </c>
      <c r="S779" t="s">
        <v>257</v>
      </c>
      <c r="T779" s="1">
        <v>44197</v>
      </c>
      <c r="U779" s="1">
        <v>44197</v>
      </c>
      <c r="V779" t="s">
        <v>260</v>
      </c>
      <c r="W779">
        <v>102000</v>
      </c>
      <c r="X779">
        <v>102000</v>
      </c>
      <c r="Y779" t="s">
        <v>270</v>
      </c>
      <c r="Z779">
        <v>19000</v>
      </c>
      <c r="AA779">
        <v>19000</v>
      </c>
      <c r="AB779" t="b">
        <v>0</v>
      </c>
      <c r="AC779">
        <v>1</v>
      </c>
    </row>
    <row r="780" spans="17:29" x14ac:dyDescent="0.2">
      <c r="Q780" t="s">
        <v>2208</v>
      </c>
      <c r="R780" t="s">
        <v>2318</v>
      </c>
      <c r="S780" t="s">
        <v>257</v>
      </c>
      <c r="T780" s="1">
        <v>44013</v>
      </c>
      <c r="U780" s="1">
        <v>44013</v>
      </c>
      <c r="V780" t="s">
        <v>260</v>
      </c>
      <c r="W780">
        <v>102000</v>
      </c>
      <c r="X780">
        <v>102000</v>
      </c>
      <c r="Y780" t="s">
        <v>270</v>
      </c>
      <c r="Z780">
        <v>19000</v>
      </c>
      <c r="AA780">
        <v>19000</v>
      </c>
      <c r="AB780" t="b">
        <v>0</v>
      </c>
      <c r="AC780">
        <v>1</v>
      </c>
    </row>
    <row r="781" spans="17:29" x14ac:dyDescent="0.2">
      <c r="Q781" t="s">
        <v>2208</v>
      </c>
      <c r="R781" t="s">
        <v>2318</v>
      </c>
      <c r="S781" t="s">
        <v>257</v>
      </c>
      <c r="T781" s="1">
        <v>43831</v>
      </c>
      <c r="U781" s="1">
        <v>43831</v>
      </c>
      <c r="V781" t="s">
        <v>260</v>
      </c>
      <c r="W781">
        <v>93000</v>
      </c>
      <c r="X781">
        <v>93000</v>
      </c>
      <c r="Y781" t="s">
        <v>270</v>
      </c>
      <c r="Z781">
        <v>19000</v>
      </c>
      <c r="AA781">
        <v>19000</v>
      </c>
      <c r="AB781" t="b">
        <v>0</v>
      </c>
      <c r="AC781">
        <v>1</v>
      </c>
    </row>
    <row r="782" spans="17:29" x14ac:dyDescent="0.2">
      <c r="Q782" t="s">
        <v>2208</v>
      </c>
      <c r="R782" t="s">
        <v>2318</v>
      </c>
      <c r="S782" t="s">
        <v>257</v>
      </c>
      <c r="T782" s="1">
        <v>43647</v>
      </c>
      <c r="U782" s="1">
        <v>43647</v>
      </c>
      <c r="V782" t="s">
        <v>260</v>
      </c>
      <c r="W782">
        <v>84000</v>
      </c>
      <c r="X782">
        <v>84000</v>
      </c>
      <c r="Y782" t="s">
        <v>270</v>
      </c>
      <c r="Z782">
        <v>20000</v>
      </c>
      <c r="AA782">
        <v>20000</v>
      </c>
      <c r="AB782" t="b">
        <v>0</v>
      </c>
      <c r="AC782">
        <v>1</v>
      </c>
    </row>
    <row r="783" spans="17:29" x14ac:dyDescent="0.2">
      <c r="Q783" t="s">
        <v>2208</v>
      </c>
      <c r="R783" t="s">
        <v>2318</v>
      </c>
      <c r="S783" t="s">
        <v>257</v>
      </c>
      <c r="T783" s="1">
        <v>43466</v>
      </c>
      <c r="U783" s="1">
        <v>43466</v>
      </c>
      <c r="V783" t="s">
        <v>260</v>
      </c>
      <c r="W783">
        <v>36840</v>
      </c>
      <c r="X783">
        <v>36840</v>
      </c>
      <c r="Y783" t="s">
        <v>270</v>
      </c>
      <c r="Z783">
        <v>9580</v>
      </c>
      <c r="AA783">
        <v>9580</v>
      </c>
      <c r="AB783" t="b">
        <v>0</v>
      </c>
      <c r="AC783">
        <v>1</v>
      </c>
    </row>
    <row r="784" spans="17:29" x14ac:dyDescent="0.2">
      <c r="Q784" t="s">
        <v>2208</v>
      </c>
      <c r="R784" t="s">
        <v>2318</v>
      </c>
      <c r="S784" t="s">
        <v>257</v>
      </c>
      <c r="T784" s="1">
        <v>43282</v>
      </c>
      <c r="U784" s="1">
        <v>43282</v>
      </c>
      <c r="V784" t="s">
        <v>260</v>
      </c>
      <c r="W784">
        <v>36840</v>
      </c>
      <c r="X784">
        <v>36840</v>
      </c>
      <c r="Y784" t="s">
        <v>270</v>
      </c>
      <c r="Z784">
        <v>9490</v>
      </c>
      <c r="AA784">
        <v>9490</v>
      </c>
      <c r="AB784" t="b">
        <v>0</v>
      </c>
      <c r="AC784">
        <v>1</v>
      </c>
    </row>
    <row r="785" spans="17:29" x14ac:dyDescent="0.2">
      <c r="Q785" t="s">
        <v>2210</v>
      </c>
      <c r="R785" t="s">
        <v>2318</v>
      </c>
      <c r="S785" t="s">
        <v>257</v>
      </c>
      <c r="T785" s="1">
        <v>44197</v>
      </c>
      <c r="U785" s="1">
        <v>44197</v>
      </c>
      <c r="V785" t="s">
        <v>260</v>
      </c>
      <c r="W785">
        <v>102000</v>
      </c>
      <c r="X785">
        <v>102000</v>
      </c>
      <c r="Y785" t="s">
        <v>270</v>
      </c>
      <c r="Z785">
        <v>19000</v>
      </c>
      <c r="AA785">
        <v>19000</v>
      </c>
      <c r="AB785" t="b">
        <v>0</v>
      </c>
      <c r="AC785">
        <v>1</v>
      </c>
    </row>
    <row r="786" spans="17:29" x14ac:dyDescent="0.2">
      <c r="Q786" t="s">
        <v>2210</v>
      </c>
      <c r="R786" t="s">
        <v>2318</v>
      </c>
      <c r="S786" t="s">
        <v>257</v>
      </c>
      <c r="T786" s="1">
        <v>44013</v>
      </c>
      <c r="U786" s="1">
        <v>44013</v>
      </c>
      <c r="V786" t="s">
        <v>260</v>
      </c>
      <c r="W786">
        <v>102000</v>
      </c>
      <c r="X786">
        <v>102000</v>
      </c>
      <c r="Y786" t="s">
        <v>270</v>
      </c>
      <c r="Z786">
        <v>19000</v>
      </c>
      <c r="AA786">
        <v>19000</v>
      </c>
      <c r="AB786" t="b">
        <v>0</v>
      </c>
      <c r="AC786">
        <v>1</v>
      </c>
    </row>
    <row r="787" spans="17:29" x14ac:dyDescent="0.2">
      <c r="Q787" t="s">
        <v>2210</v>
      </c>
      <c r="R787" t="s">
        <v>2318</v>
      </c>
      <c r="S787" t="s">
        <v>257</v>
      </c>
      <c r="T787" s="1">
        <v>43831</v>
      </c>
      <c r="U787" s="1">
        <v>43831</v>
      </c>
      <c r="V787" t="s">
        <v>260</v>
      </c>
      <c r="W787">
        <v>93000</v>
      </c>
      <c r="X787">
        <v>93000</v>
      </c>
      <c r="Y787" t="s">
        <v>270</v>
      </c>
      <c r="Z787">
        <v>19000</v>
      </c>
      <c r="AA787">
        <v>19000</v>
      </c>
      <c r="AB787" t="b">
        <v>0</v>
      </c>
      <c r="AC787">
        <v>1</v>
      </c>
    </row>
    <row r="788" spans="17:29" x14ac:dyDescent="0.2">
      <c r="Q788" t="s">
        <v>2210</v>
      </c>
      <c r="R788" t="s">
        <v>2318</v>
      </c>
      <c r="S788" t="s">
        <v>257</v>
      </c>
      <c r="T788" s="1">
        <v>43647</v>
      </c>
      <c r="U788" s="1">
        <v>43647</v>
      </c>
      <c r="V788" t="s">
        <v>260</v>
      </c>
      <c r="W788">
        <v>84000</v>
      </c>
      <c r="X788">
        <v>84000</v>
      </c>
      <c r="Y788" t="s">
        <v>270</v>
      </c>
      <c r="Z788">
        <v>20000</v>
      </c>
      <c r="AA788">
        <v>20000</v>
      </c>
      <c r="AB788" t="b">
        <v>0</v>
      </c>
      <c r="AC788">
        <v>1</v>
      </c>
    </row>
    <row r="789" spans="17:29" x14ac:dyDescent="0.2">
      <c r="Q789" t="s">
        <v>2210</v>
      </c>
      <c r="R789" t="s">
        <v>2318</v>
      </c>
      <c r="S789" t="s">
        <v>257</v>
      </c>
      <c r="T789" s="1">
        <v>43466</v>
      </c>
      <c r="U789" s="1">
        <v>43466</v>
      </c>
      <c r="V789" t="s">
        <v>260</v>
      </c>
      <c r="W789">
        <v>36840</v>
      </c>
      <c r="X789">
        <v>36840</v>
      </c>
      <c r="Y789" t="s">
        <v>270</v>
      </c>
      <c r="Z789">
        <v>9580</v>
      </c>
      <c r="AA789">
        <v>9580</v>
      </c>
      <c r="AB789" t="b">
        <v>0</v>
      </c>
      <c r="AC789">
        <v>1</v>
      </c>
    </row>
    <row r="790" spans="17:29" x14ac:dyDescent="0.2">
      <c r="Q790" t="s">
        <v>2210</v>
      </c>
      <c r="R790" t="s">
        <v>2318</v>
      </c>
      <c r="S790" t="s">
        <v>257</v>
      </c>
      <c r="T790" s="1">
        <v>43282</v>
      </c>
      <c r="U790" s="1">
        <v>43282</v>
      </c>
      <c r="V790" t="s">
        <v>260</v>
      </c>
      <c r="W790">
        <v>36840</v>
      </c>
      <c r="X790">
        <v>36840</v>
      </c>
      <c r="Y790" t="s">
        <v>270</v>
      </c>
      <c r="Z790">
        <v>9490</v>
      </c>
      <c r="AA790">
        <v>9490</v>
      </c>
      <c r="AB790" t="b">
        <v>0</v>
      </c>
      <c r="AC790">
        <v>1</v>
      </c>
    </row>
    <row r="791" spans="17:29" x14ac:dyDescent="0.2">
      <c r="Q791" t="s">
        <v>1998</v>
      </c>
      <c r="R791" t="s">
        <v>2319</v>
      </c>
      <c r="S791" t="s">
        <v>257</v>
      </c>
      <c r="T791" s="1">
        <v>43831</v>
      </c>
      <c r="U791" s="1">
        <v>43831</v>
      </c>
      <c r="V791" t="s">
        <v>260</v>
      </c>
      <c r="W791">
        <v>18173000</v>
      </c>
      <c r="X791">
        <v>18173000</v>
      </c>
      <c r="Y791" t="s">
        <v>270</v>
      </c>
      <c r="Z791">
        <v>3691000</v>
      </c>
      <c r="AA791">
        <v>3691000</v>
      </c>
      <c r="AB791" t="b">
        <v>0</v>
      </c>
      <c r="AC791">
        <v>1</v>
      </c>
    </row>
    <row r="792" spans="17:29" x14ac:dyDescent="0.2">
      <c r="Q792" t="s">
        <v>1998</v>
      </c>
      <c r="R792" t="s">
        <v>2319</v>
      </c>
      <c r="S792" t="s">
        <v>257</v>
      </c>
      <c r="T792" s="1">
        <v>43647</v>
      </c>
      <c r="U792" s="1">
        <v>43647</v>
      </c>
      <c r="V792" t="s">
        <v>260</v>
      </c>
      <c r="W792">
        <v>4450000</v>
      </c>
      <c r="X792">
        <v>4450000</v>
      </c>
      <c r="Y792" t="s">
        <v>270</v>
      </c>
      <c r="Z792">
        <v>1098000</v>
      </c>
      <c r="AA792">
        <v>1098000</v>
      </c>
      <c r="AB792" t="b">
        <v>0</v>
      </c>
      <c r="AC792">
        <v>1</v>
      </c>
    </row>
    <row r="793" spans="17:29" x14ac:dyDescent="0.2">
      <c r="Q793" t="s">
        <v>2067</v>
      </c>
      <c r="R793" t="s">
        <v>2319</v>
      </c>
      <c r="S793" t="s">
        <v>257</v>
      </c>
      <c r="T793" s="1">
        <v>43831</v>
      </c>
      <c r="U793" s="1">
        <v>43831</v>
      </c>
      <c r="V793" t="s">
        <v>260</v>
      </c>
      <c r="W793">
        <v>18173000</v>
      </c>
      <c r="X793">
        <v>18173000</v>
      </c>
      <c r="Y793" t="s">
        <v>270</v>
      </c>
      <c r="Z793">
        <v>3691000</v>
      </c>
      <c r="AA793">
        <v>3691000</v>
      </c>
      <c r="AB793" t="b">
        <v>0</v>
      </c>
      <c r="AC793">
        <v>1</v>
      </c>
    </row>
    <row r="794" spans="17:29" x14ac:dyDescent="0.2">
      <c r="Q794" t="s">
        <v>2067</v>
      </c>
      <c r="R794" t="s">
        <v>2319</v>
      </c>
      <c r="S794" t="s">
        <v>257</v>
      </c>
      <c r="T794" s="1">
        <v>43647</v>
      </c>
      <c r="U794" s="1">
        <v>43647</v>
      </c>
      <c r="V794" t="s">
        <v>260</v>
      </c>
      <c r="W794">
        <v>4450000</v>
      </c>
      <c r="X794">
        <v>4450000</v>
      </c>
      <c r="Y794" t="s">
        <v>270</v>
      </c>
      <c r="Z794">
        <v>1098000</v>
      </c>
      <c r="AA794">
        <v>1098000</v>
      </c>
      <c r="AB794" t="b">
        <v>0</v>
      </c>
      <c r="AC794">
        <v>1</v>
      </c>
    </row>
    <row r="795" spans="17:29" x14ac:dyDescent="0.2">
      <c r="Q795" t="s">
        <v>2029</v>
      </c>
      <c r="R795" t="s">
        <v>2320</v>
      </c>
      <c r="S795" t="s">
        <v>257</v>
      </c>
      <c r="T795" s="1">
        <v>43831</v>
      </c>
      <c r="U795" s="1">
        <v>43831</v>
      </c>
      <c r="V795" t="s">
        <v>260</v>
      </c>
      <c r="W795">
        <v>1090000</v>
      </c>
      <c r="X795">
        <v>1090000</v>
      </c>
      <c r="Y795" t="s">
        <v>270</v>
      </c>
      <c r="Z795">
        <v>221000</v>
      </c>
      <c r="AA795">
        <v>221000</v>
      </c>
      <c r="AB795" t="b">
        <v>0</v>
      </c>
      <c r="AC795">
        <v>1</v>
      </c>
    </row>
    <row r="796" spans="17:29" x14ac:dyDescent="0.2">
      <c r="Q796" t="s">
        <v>2029</v>
      </c>
      <c r="R796" t="s">
        <v>2320</v>
      </c>
      <c r="S796" t="s">
        <v>257</v>
      </c>
      <c r="T796" s="1">
        <v>43647</v>
      </c>
      <c r="U796" s="1">
        <v>43647</v>
      </c>
      <c r="V796" t="s">
        <v>260</v>
      </c>
      <c r="W796">
        <v>7287000</v>
      </c>
      <c r="X796">
        <v>7287000</v>
      </c>
      <c r="Y796" t="s">
        <v>270</v>
      </c>
      <c r="Z796">
        <v>1797000</v>
      </c>
      <c r="AA796">
        <v>1797000</v>
      </c>
      <c r="AB796" t="b">
        <v>0</v>
      </c>
      <c r="AC796">
        <v>1</v>
      </c>
    </row>
    <row r="797" spans="17:29" x14ac:dyDescent="0.2">
      <c r="Q797" t="s">
        <v>2029</v>
      </c>
      <c r="R797" t="s">
        <v>2320</v>
      </c>
      <c r="S797" t="s">
        <v>257</v>
      </c>
      <c r="T797" s="1">
        <v>44200</v>
      </c>
      <c r="U797" s="1">
        <v>44200</v>
      </c>
      <c r="V797" t="s">
        <v>260</v>
      </c>
      <c r="W797">
        <v>3850000</v>
      </c>
      <c r="X797">
        <v>3850000</v>
      </c>
      <c r="Y797" t="s">
        <v>270</v>
      </c>
      <c r="Z797">
        <v>714000</v>
      </c>
      <c r="AA797">
        <v>714000</v>
      </c>
      <c r="AB797" t="b">
        <v>0</v>
      </c>
      <c r="AC797">
        <v>1</v>
      </c>
    </row>
    <row r="798" spans="17:29" x14ac:dyDescent="0.2">
      <c r="Q798" t="s">
        <v>2029</v>
      </c>
      <c r="R798" t="s">
        <v>2320</v>
      </c>
      <c r="S798" t="s">
        <v>257</v>
      </c>
      <c r="T798" s="1">
        <v>44013</v>
      </c>
      <c r="U798" s="1">
        <v>44013</v>
      </c>
      <c r="V798" t="s">
        <v>260</v>
      </c>
      <c r="W798">
        <v>750000</v>
      </c>
      <c r="X798">
        <v>750000</v>
      </c>
      <c r="Y798" t="s">
        <v>270</v>
      </c>
      <c r="Z798">
        <v>138000</v>
      </c>
      <c r="AA798">
        <v>138000</v>
      </c>
      <c r="AB798" t="b">
        <v>0</v>
      </c>
      <c r="AC798">
        <v>1</v>
      </c>
    </row>
    <row r="799" spans="17:29" x14ac:dyDescent="0.2">
      <c r="Q799" t="s">
        <v>2128</v>
      </c>
      <c r="R799" t="s">
        <v>2321</v>
      </c>
      <c r="S799" t="s">
        <v>257</v>
      </c>
      <c r="T799" s="1">
        <v>44228</v>
      </c>
      <c r="U799" s="1">
        <v>44228</v>
      </c>
      <c r="V799" t="s">
        <v>260</v>
      </c>
      <c r="W799">
        <v>4856000</v>
      </c>
      <c r="X799">
        <v>4856000</v>
      </c>
      <c r="Y799" t="s">
        <v>260</v>
      </c>
      <c r="Z799">
        <v>4856000</v>
      </c>
      <c r="AA799">
        <v>890029</v>
      </c>
      <c r="AB799" t="b">
        <v>1</v>
      </c>
      <c r="AC799">
        <v>1</v>
      </c>
    </row>
    <row r="800" spans="17:29" x14ac:dyDescent="0.2">
      <c r="Q800" t="s">
        <v>1989</v>
      </c>
      <c r="R800" t="s">
        <v>2321</v>
      </c>
      <c r="S800" t="s">
        <v>257</v>
      </c>
      <c r="T800" s="1">
        <v>44228</v>
      </c>
      <c r="U800" s="1">
        <v>44228</v>
      </c>
      <c r="V800" t="s">
        <v>260</v>
      </c>
      <c r="W800">
        <v>4856000</v>
      </c>
      <c r="X800">
        <v>4856000</v>
      </c>
      <c r="Y800" t="s">
        <v>260</v>
      </c>
      <c r="Z800">
        <v>4856000</v>
      </c>
      <c r="AA800">
        <v>890029</v>
      </c>
      <c r="AB800" t="b">
        <v>1</v>
      </c>
      <c r="AC800">
        <v>1</v>
      </c>
    </row>
    <row r="801" spans="17:29" x14ac:dyDescent="0.2">
      <c r="Q801" t="s">
        <v>2128</v>
      </c>
      <c r="R801" t="s">
        <v>2322</v>
      </c>
      <c r="S801" t="s">
        <v>257</v>
      </c>
      <c r="T801" s="1">
        <v>44228</v>
      </c>
      <c r="U801" s="1">
        <v>44228</v>
      </c>
      <c r="V801" t="s">
        <v>260</v>
      </c>
      <c r="W801">
        <v>14230000</v>
      </c>
      <c r="X801">
        <v>14230000</v>
      </c>
      <c r="Y801" t="s">
        <v>260</v>
      </c>
      <c r="Z801">
        <v>14230000</v>
      </c>
      <c r="AA801">
        <v>2608137</v>
      </c>
      <c r="AB801" t="b">
        <v>0</v>
      </c>
      <c r="AC801">
        <v>0.9</v>
      </c>
    </row>
    <row r="802" spans="17:29" x14ac:dyDescent="0.2">
      <c r="Q802" t="s">
        <v>1989</v>
      </c>
      <c r="R802" t="s">
        <v>2322</v>
      </c>
      <c r="S802" t="s">
        <v>257</v>
      </c>
      <c r="T802" s="1">
        <v>44228</v>
      </c>
      <c r="U802" s="1">
        <v>44228</v>
      </c>
      <c r="V802" t="s">
        <v>260</v>
      </c>
      <c r="W802">
        <v>14230000</v>
      </c>
      <c r="X802">
        <v>14230000</v>
      </c>
      <c r="Y802" t="s">
        <v>260</v>
      </c>
      <c r="Z802">
        <v>14230000</v>
      </c>
      <c r="AA802">
        <v>2608137</v>
      </c>
      <c r="AB802" t="b">
        <v>0</v>
      </c>
      <c r="AC802">
        <v>0.9</v>
      </c>
    </row>
    <row r="803" spans="17:29" x14ac:dyDescent="0.2">
      <c r="Q803" t="s">
        <v>1987</v>
      </c>
      <c r="R803" t="s">
        <v>2323</v>
      </c>
      <c r="S803" t="s">
        <v>257</v>
      </c>
      <c r="T803" s="1">
        <v>43256</v>
      </c>
      <c r="U803" s="1">
        <v>43286</v>
      </c>
      <c r="V803" t="s">
        <v>260</v>
      </c>
      <c r="W803">
        <v>16000000</v>
      </c>
      <c r="X803">
        <v>16000000</v>
      </c>
      <c r="Y803" t="s">
        <v>260</v>
      </c>
      <c r="Z803">
        <v>16000000</v>
      </c>
      <c r="AA803">
        <v>4266666</v>
      </c>
      <c r="AB803" t="b">
        <v>0</v>
      </c>
      <c r="AC803">
        <v>0.7</v>
      </c>
    </row>
    <row r="804" spans="17:29" x14ac:dyDescent="0.2">
      <c r="Q804" t="s">
        <v>2117</v>
      </c>
      <c r="R804" t="s">
        <v>2323</v>
      </c>
      <c r="S804" t="s">
        <v>257</v>
      </c>
      <c r="T804" s="1">
        <v>43256</v>
      </c>
      <c r="U804" s="1">
        <v>43286</v>
      </c>
      <c r="V804" t="s">
        <v>260</v>
      </c>
      <c r="W804">
        <v>16000000</v>
      </c>
      <c r="X804">
        <v>16000000</v>
      </c>
      <c r="Y804" t="s">
        <v>260</v>
      </c>
      <c r="Z804">
        <v>16000000</v>
      </c>
      <c r="AA804">
        <v>4266666</v>
      </c>
      <c r="AB804" t="b">
        <v>0</v>
      </c>
      <c r="AC804">
        <v>0.7</v>
      </c>
    </row>
    <row r="805" spans="17:29" x14ac:dyDescent="0.2">
      <c r="Q805" t="s">
        <v>2029</v>
      </c>
      <c r="R805" t="s">
        <v>2323</v>
      </c>
      <c r="S805" t="s">
        <v>257</v>
      </c>
      <c r="T805" s="1">
        <v>43256</v>
      </c>
      <c r="U805" s="1">
        <v>43286</v>
      </c>
      <c r="V805" t="s">
        <v>260</v>
      </c>
      <c r="W805">
        <v>16000000</v>
      </c>
      <c r="X805">
        <v>16000000</v>
      </c>
      <c r="Y805" t="s">
        <v>260</v>
      </c>
      <c r="Z805">
        <v>16000000</v>
      </c>
      <c r="AA805">
        <v>4266666</v>
      </c>
      <c r="AB805" t="b">
        <v>0</v>
      </c>
      <c r="AC805">
        <v>0.7</v>
      </c>
    </row>
    <row r="806" spans="17:29" x14ac:dyDescent="0.2">
      <c r="Q806" t="s">
        <v>2029</v>
      </c>
      <c r="R806" t="s">
        <v>2323</v>
      </c>
      <c r="S806" t="s">
        <v>257</v>
      </c>
      <c r="T806" s="1">
        <v>43256</v>
      </c>
      <c r="U806" s="1">
        <v>43286</v>
      </c>
      <c r="V806" t="s">
        <v>260</v>
      </c>
      <c r="W806">
        <v>16000000</v>
      </c>
      <c r="X806">
        <v>16000000</v>
      </c>
      <c r="Y806" t="s">
        <v>260</v>
      </c>
      <c r="Z806">
        <v>16000000</v>
      </c>
      <c r="AA806">
        <v>4266666</v>
      </c>
      <c r="AB806" t="b">
        <v>0</v>
      </c>
      <c r="AC806">
        <v>0.7</v>
      </c>
    </row>
    <row r="807" spans="17:29" x14ac:dyDescent="0.2">
      <c r="Q807" t="s">
        <v>1987</v>
      </c>
      <c r="R807" t="s">
        <v>2324</v>
      </c>
      <c r="S807" t="s">
        <v>257</v>
      </c>
      <c r="T807" s="1">
        <v>43256</v>
      </c>
      <c r="U807" s="1">
        <v>43286</v>
      </c>
      <c r="V807" t="s">
        <v>260</v>
      </c>
      <c r="W807">
        <v>14000000</v>
      </c>
      <c r="X807">
        <v>14000000</v>
      </c>
      <c r="Y807" t="s">
        <v>260</v>
      </c>
      <c r="Z807">
        <v>14000000</v>
      </c>
      <c r="AA807">
        <v>3733333</v>
      </c>
      <c r="AB807" t="b">
        <v>0</v>
      </c>
      <c r="AC807">
        <v>0.7</v>
      </c>
    </row>
    <row r="808" spans="17:29" x14ac:dyDescent="0.2">
      <c r="Q808" t="s">
        <v>2117</v>
      </c>
      <c r="R808" t="s">
        <v>2324</v>
      </c>
      <c r="S808" t="s">
        <v>257</v>
      </c>
      <c r="T808" s="1">
        <v>43256</v>
      </c>
      <c r="U808" s="1">
        <v>43286</v>
      </c>
      <c r="V808" t="s">
        <v>260</v>
      </c>
      <c r="W808">
        <v>14000000</v>
      </c>
      <c r="X808">
        <v>14000000</v>
      </c>
      <c r="Y808" t="s">
        <v>260</v>
      </c>
      <c r="Z808">
        <v>14000000</v>
      </c>
      <c r="AA808">
        <v>3733333</v>
      </c>
      <c r="AB808" t="b">
        <v>0</v>
      </c>
      <c r="AC808">
        <v>0.7</v>
      </c>
    </row>
    <row r="809" spans="17:29" x14ac:dyDescent="0.2">
      <c r="Q809" t="s">
        <v>2029</v>
      </c>
      <c r="R809" t="s">
        <v>2324</v>
      </c>
      <c r="S809" t="s">
        <v>257</v>
      </c>
      <c r="T809" s="1">
        <v>43256</v>
      </c>
      <c r="U809" s="1">
        <v>43286</v>
      </c>
      <c r="V809" t="s">
        <v>260</v>
      </c>
      <c r="W809">
        <v>14000000</v>
      </c>
      <c r="X809">
        <v>14000000</v>
      </c>
      <c r="Y809" t="s">
        <v>260</v>
      </c>
      <c r="Z809">
        <v>14000000</v>
      </c>
      <c r="AA809">
        <v>3733333</v>
      </c>
      <c r="AB809" t="b">
        <v>0</v>
      </c>
      <c r="AC809">
        <v>0.7</v>
      </c>
    </row>
    <row r="810" spans="17:29" x14ac:dyDescent="0.2">
      <c r="Q810" t="s">
        <v>2029</v>
      </c>
      <c r="R810" t="s">
        <v>2324</v>
      </c>
      <c r="S810" t="s">
        <v>257</v>
      </c>
      <c r="T810" s="1">
        <v>43256</v>
      </c>
      <c r="U810" s="1">
        <v>43286</v>
      </c>
      <c r="V810" t="s">
        <v>260</v>
      </c>
      <c r="W810">
        <v>14000000</v>
      </c>
      <c r="X810">
        <v>14000000</v>
      </c>
      <c r="Y810" t="s">
        <v>260</v>
      </c>
      <c r="Z810">
        <v>14000000</v>
      </c>
      <c r="AA810">
        <v>3733333</v>
      </c>
      <c r="AB810" t="b">
        <v>0</v>
      </c>
      <c r="AC810">
        <v>0.7</v>
      </c>
    </row>
    <row r="811" spans="17:29" x14ac:dyDescent="0.2">
      <c r="Q811" t="s">
        <v>2128</v>
      </c>
      <c r="R811" t="s">
        <v>2325</v>
      </c>
      <c r="S811" t="s">
        <v>257</v>
      </c>
      <c r="T811" s="1">
        <v>44228</v>
      </c>
      <c r="U811" s="1">
        <v>44228</v>
      </c>
      <c r="V811" t="s">
        <v>260</v>
      </c>
      <c r="W811">
        <v>14659000</v>
      </c>
      <c r="X811">
        <v>14659000</v>
      </c>
      <c r="Y811" t="s">
        <v>260</v>
      </c>
      <c r="Z811">
        <v>14659000</v>
      </c>
      <c r="AA811">
        <v>2686767</v>
      </c>
      <c r="AB811" t="b">
        <v>0</v>
      </c>
      <c r="AC811">
        <v>0.9</v>
      </c>
    </row>
    <row r="812" spans="17:29" x14ac:dyDescent="0.2">
      <c r="Q812" t="s">
        <v>1989</v>
      </c>
      <c r="R812" t="s">
        <v>2325</v>
      </c>
      <c r="S812" t="s">
        <v>257</v>
      </c>
      <c r="T812" s="1">
        <v>44228</v>
      </c>
      <c r="U812" s="1">
        <v>44228</v>
      </c>
      <c r="V812" t="s">
        <v>260</v>
      </c>
      <c r="W812">
        <v>14659000</v>
      </c>
      <c r="X812">
        <v>14659000</v>
      </c>
      <c r="Y812" t="s">
        <v>260</v>
      </c>
      <c r="Z812">
        <v>14659000</v>
      </c>
      <c r="AA812">
        <v>2686767</v>
      </c>
      <c r="AB812" t="b">
        <v>0</v>
      </c>
      <c r="AC812">
        <v>0.9</v>
      </c>
    </row>
    <row r="813" spans="17:29" x14ac:dyDescent="0.2">
      <c r="Q813" t="s">
        <v>2128</v>
      </c>
      <c r="R813" t="s">
        <v>2326</v>
      </c>
      <c r="S813" t="s">
        <v>257</v>
      </c>
      <c r="T813" s="1">
        <v>44228</v>
      </c>
      <c r="U813" s="1">
        <v>44228</v>
      </c>
      <c r="V813" t="s">
        <v>260</v>
      </c>
      <c r="W813">
        <v>15132000</v>
      </c>
      <c r="X813">
        <v>15132000</v>
      </c>
      <c r="Y813" t="s">
        <v>260</v>
      </c>
      <c r="Z813">
        <v>15132000</v>
      </c>
      <c r="AA813">
        <v>2775460</v>
      </c>
      <c r="AB813" t="b">
        <v>0</v>
      </c>
      <c r="AC813">
        <v>0.9</v>
      </c>
    </row>
    <row r="814" spans="17:29" x14ac:dyDescent="0.2">
      <c r="Q814" t="s">
        <v>1989</v>
      </c>
      <c r="R814" t="s">
        <v>2326</v>
      </c>
      <c r="S814" t="s">
        <v>257</v>
      </c>
      <c r="T814" s="1">
        <v>44228</v>
      </c>
      <c r="U814" s="1">
        <v>44228</v>
      </c>
      <c r="V814" t="s">
        <v>260</v>
      </c>
      <c r="W814">
        <v>15132000</v>
      </c>
      <c r="X814">
        <v>15132000</v>
      </c>
      <c r="Y814" t="s">
        <v>260</v>
      </c>
      <c r="Z814">
        <v>15132000</v>
      </c>
      <c r="AA814">
        <v>2775460</v>
      </c>
      <c r="AB814" t="b">
        <v>0</v>
      </c>
      <c r="AC814">
        <v>0.9</v>
      </c>
    </row>
    <row r="815" spans="17:29" x14ac:dyDescent="0.2">
      <c r="Q815" t="s">
        <v>2128</v>
      </c>
      <c r="R815" t="s">
        <v>2327</v>
      </c>
      <c r="S815" t="s">
        <v>257</v>
      </c>
      <c r="T815" s="1">
        <v>44228</v>
      </c>
      <c r="U815" s="1">
        <v>44228</v>
      </c>
      <c r="V815" t="s">
        <v>260</v>
      </c>
      <c r="W815">
        <v>15187000</v>
      </c>
      <c r="X815">
        <v>15187000</v>
      </c>
      <c r="Y815" t="s">
        <v>260</v>
      </c>
      <c r="Z815">
        <v>15187000</v>
      </c>
      <c r="AA815">
        <v>2783541</v>
      </c>
      <c r="AB815" t="b">
        <v>0</v>
      </c>
      <c r="AC815">
        <v>0.9</v>
      </c>
    </row>
    <row r="816" spans="17:29" x14ac:dyDescent="0.2">
      <c r="Q816" t="s">
        <v>1989</v>
      </c>
      <c r="R816" t="s">
        <v>2327</v>
      </c>
      <c r="S816" t="s">
        <v>257</v>
      </c>
      <c r="T816" s="1">
        <v>44228</v>
      </c>
      <c r="U816" s="1">
        <v>44228</v>
      </c>
      <c r="V816" t="s">
        <v>260</v>
      </c>
      <c r="W816">
        <v>15187000</v>
      </c>
      <c r="X816">
        <v>15187000</v>
      </c>
      <c r="Y816" t="s">
        <v>260</v>
      </c>
      <c r="Z816">
        <v>15187000</v>
      </c>
      <c r="AA816">
        <v>2783541</v>
      </c>
      <c r="AB816" t="b">
        <v>0</v>
      </c>
      <c r="AC816">
        <v>0.9</v>
      </c>
    </row>
    <row r="817" spans="17:29" x14ac:dyDescent="0.2">
      <c r="Q817" t="s">
        <v>2128</v>
      </c>
      <c r="R817" t="s">
        <v>2328</v>
      </c>
      <c r="S817" t="s">
        <v>257</v>
      </c>
      <c r="T817" s="1">
        <v>44412</v>
      </c>
      <c r="U817" s="1">
        <v>44421</v>
      </c>
      <c r="V817" t="s">
        <v>260</v>
      </c>
      <c r="W817">
        <v>4910763</v>
      </c>
      <c r="X817">
        <v>4587582</v>
      </c>
      <c r="Y817" t="s">
        <v>260</v>
      </c>
      <c r="Z817">
        <v>4587582</v>
      </c>
      <c r="AA817">
        <v>880787</v>
      </c>
      <c r="AB817" t="b">
        <v>0</v>
      </c>
      <c r="AC817">
        <v>0.06</v>
      </c>
    </row>
    <row r="818" spans="17:29" x14ac:dyDescent="0.2">
      <c r="Q818" t="s">
        <v>1989</v>
      </c>
      <c r="R818" t="s">
        <v>2328</v>
      </c>
      <c r="S818" t="s">
        <v>257</v>
      </c>
      <c r="T818" s="1">
        <v>44412</v>
      </c>
      <c r="U818" s="1">
        <v>44421</v>
      </c>
      <c r="V818" t="s">
        <v>260</v>
      </c>
      <c r="W818">
        <v>4910763</v>
      </c>
      <c r="X818">
        <v>4587582</v>
      </c>
      <c r="Y818" t="s">
        <v>260</v>
      </c>
      <c r="Z818">
        <v>4587582</v>
      </c>
      <c r="AA818">
        <v>880787</v>
      </c>
      <c r="AB818" t="b">
        <v>0</v>
      </c>
      <c r="AC818">
        <v>0.06</v>
      </c>
    </row>
    <row r="819" spans="17:29" x14ac:dyDescent="0.2">
      <c r="Q819" t="s">
        <v>2128</v>
      </c>
      <c r="R819" t="s">
        <v>2329</v>
      </c>
      <c r="S819" t="s">
        <v>257</v>
      </c>
      <c r="T819" s="1">
        <v>44412</v>
      </c>
      <c r="U819" s="1">
        <v>44421</v>
      </c>
      <c r="V819" t="s">
        <v>260</v>
      </c>
      <c r="W819">
        <v>4910763</v>
      </c>
      <c r="X819">
        <v>4587582</v>
      </c>
      <c r="Y819" t="s">
        <v>260</v>
      </c>
      <c r="Z819">
        <v>4587582</v>
      </c>
      <c r="AA819">
        <v>880787</v>
      </c>
      <c r="AB819" t="b">
        <v>0</v>
      </c>
      <c r="AC819">
        <v>0.06</v>
      </c>
    </row>
    <row r="820" spans="17:29" x14ac:dyDescent="0.2">
      <c r="Q820" t="s">
        <v>1989</v>
      </c>
      <c r="R820" t="s">
        <v>2329</v>
      </c>
      <c r="S820" t="s">
        <v>257</v>
      </c>
      <c r="T820" s="1">
        <v>44412</v>
      </c>
      <c r="U820" s="1">
        <v>44421</v>
      </c>
      <c r="V820" t="s">
        <v>260</v>
      </c>
      <c r="W820">
        <v>4910763</v>
      </c>
      <c r="X820">
        <v>4587582</v>
      </c>
      <c r="Y820" t="s">
        <v>260</v>
      </c>
      <c r="Z820">
        <v>4587582</v>
      </c>
      <c r="AA820">
        <v>880787</v>
      </c>
      <c r="AB820" t="b">
        <v>0</v>
      </c>
      <c r="AC820">
        <v>0.06</v>
      </c>
    </row>
    <row r="821" spans="17:29" x14ac:dyDescent="0.2">
      <c r="Q821" t="s">
        <v>2128</v>
      </c>
      <c r="R821" t="s">
        <v>2330</v>
      </c>
      <c r="S821" t="s">
        <v>257</v>
      </c>
      <c r="T821" s="1">
        <v>44412</v>
      </c>
      <c r="U821" s="1">
        <v>44421</v>
      </c>
      <c r="V821" t="s">
        <v>260</v>
      </c>
      <c r="W821">
        <v>1528475</v>
      </c>
      <c r="X821">
        <v>1427885</v>
      </c>
      <c r="Y821" t="s">
        <v>260</v>
      </c>
      <c r="Z821">
        <v>1427885</v>
      </c>
      <c r="AA821">
        <v>274145</v>
      </c>
      <c r="AB821" t="b">
        <v>0</v>
      </c>
      <c r="AC821">
        <v>0.02</v>
      </c>
    </row>
    <row r="822" spans="17:29" x14ac:dyDescent="0.2">
      <c r="Q822" t="s">
        <v>1989</v>
      </c>
      <c r="R822" t="s">
        <v>2330</v>
      </c>
      <c r="S822" t="s">
        <v>257</v>
      </c>
      <c r="T822" s="1">
        <v>44412</v>
      </c>
      <c r="U822" s="1">
        <v>44421</v>
      </c>
      <c r="V822" t="s">
        <v>260</v>
      </c>
      <c r="W822">
        <v>1528475</v>
      </c>
      <c r="X822">
        <v>1427885</v>
      </c>
      <c r="Y822" t="s">
        <v>260</v>
      </c>
      <c r="Z822">
        <v>1427885</v>
      </c>
      <c r="AA822">
        <v>274145</v>
      </c>
      <c r="AB822" t="b">
        <v>0</v>
      </c>
      <c r="AC822">
        <v>0.02</v>
      </c>
    </row>
    <row r="823" spans="17:29" x14ac:dyDescent="0.2">
      <c r="Q823" t="s">
        <v>2128</v>
      </c>
      <c r="R823" t="s">
        <v>2331</v>
      </c>
      <c r="S823" t="s">
        <v>257</v>
      </c>
      <c r="T823" s="1">
        <v>44412</v>
      </c>
      <c r="U823" s="1">
        <v>44421</v>
      </c>
      <c r="V823" t="s">
        <v>260</v>
      </c>
      <c r="W823">
        <v>3833333</v>
      </c>
      <c r="X823">
        <v>3666389</v>
      </c>
      <c r="Y823" t="s">
        <v>260</v>
      </c>
      <c r="Z823">
        <v>3666389</v>
      </c>
      <c r="AA823">
        <v>703924</v>
      </c>
      <c r="AB823" t="b">
        <v>0</v>
      </c>
      <c r="AC823">
        <v>0.05</v>
      </c>
    </row>
    <row r="824" spans="17:29" x14ac:dyDescent="0.2">
      <c r="Q824" t="s">
        <v>1989</v>
      </c>
      <c r="R824" t="s">
        <v>2331</v>
      </c>
      <c r="S824" t="s">
        <v>257</v>
      </c>
      <c r="T824" s="1">
        <v>44412</v>
      </c>
      <c r="U824" s="1">
        <v>44421</v>
      </c>
      <c r="V824" t="s">
        <v>260</v>
      </c>
      <c r="W824">
        <v>3833333</v>
      </c>
      <c r="X824">
        <v>3666389</v>
      </c>
      <c r="Y824" t="s">
        <v>260</v>
      </c>
      <c r="Z824">
        <v>3666389</v>
      </c>
      <c r="AA824">
        <v>703924</v>
      </c>
      <c r="AB824" t="b">
        <v>0</v>
      </c>
      <c r="AC824">
        <v>0.05</v>
      </c>
    </row>
    <row r="825" spans="17:29" x14ac:dyDescent="0.2">
      <c r="Q825" t="s">
        <v>2128</v>
      </c>
      <c r="R825" t="s">
        <v>2332</v>
      </c>
      <c r="S825" t="s">
        <v>257</v>
      </c>
      <c r="T825" s="1">
        <v>44412</v>
      </c>
      <c r="U825" s="1">
        <v>44421</v>
      </c>
      <c r="V825" t="s">
        <v>260</v>
      </c>
      <c r="W825">
        <v>7666667</v>
      </c>
      <c r="X825">
        <v>7332779</v>
      </c>
      <c r="Y825" t="s">
        <v>260</v>
      </c>
      <c r="Z825">
        <v>7332779</v>
      </c>
      <c r="AA825">
        <v>1407848</v>
      </c>
      <c r="AB825" t="b">
        <v>0</v>
      </c>
      <c r="AC825">
        <v>0.09</v>
      </c>
    </row>
    <row r="826" spans="17:29" x14ac:dyDescent="0.2">
      <c r="Q826" t="s">
        <v>1989</v>
      </c>
      <c r="R826" t="s">
        <v>2332</v>
      </c>
      <c r="S826" t="s">
        <v>257</v>
      </c>
      <c r="T826" s="1">
        <v>44412</v>
      </c>
      <c r="U826" s="1">
        <v>44421</v>
      </c>
      <c r="V826" t="s">
        <v>260</v>
      </c>
      <c r="W826">
        <v>7666667</v>
      </c>
      <c r="X826">
        <v>7332779</v>
      </c>
      <c r="Y826" t="s">
        <v>260</v>
      </c>
      <c r="Z826">
        <v>7332779</v>
      </c>
      <c r="AA826">
        <v>1407848</v>
      </c>
      <c r="AB826" t="b">
        <v>0</v>
      </c>
      <c r="AC826">
        <v>0.09</v>
      </c>
    </row>
    <row r="827" spans="17:29" x14ac:dyDescent="0.2">
      <c r="Q827" t="s">
        <v>2128</v>
      </c>
      <c r="R827" t="s">
        <v>2333</v>
      </c>
      <c r="S827" t="s">
        <v>257</v>
      </c>
      <c r="T827" s="1">
        <v>44412</v>
      </c>
      <c r="U827" s="1">
        <v>44421</v>
      </c>
      <c r="V827" t="s">
        <v>260</v>
      </c>
      <c r="W827">
        <v>24500000</v>
      </c>
      <c r="X827">
        <v>17294855</v>
      </c>
      <c r="Y827" t="s">
        <v>260</v>
      </c>
      <c r="Z827">
        <v>17294855</v>
      </c>
      <c r="AA827">
        <v>3320505</v>
      </c>
      <c r="AB827" t="b">
        <v>0</v>
      </c>
      <c r="AC827">
        <v>0.22</v>
      </c>
    </row>
    <row r="828" spans="17:29" x14ac:dyDescent="0.2">
      <c r="Q828" t="s">
        <v>1989</v>
      </c>
      <c r="R828" t="s">
        <v>2333</v>
      </c>
      <c r="S828" t="s">
        <v>257</v>
      </c>
      <c r="T828" s="1">
        <v>44412</v>
      </c>
      <c r="U828" s="1">
        <v>44421</v>
      </c>
      <c r="V828" t="s">
        <v>260</v>
      </c>
      <c r="W828">
        <v>24500000</v>
      </c>
      <c r="X828">
        <v>17294855</v>
      </c>
      <c r="Y828" t="s">
        <v>260</v>
      </c>
      <c r="Z828">
        <v>17294855</v>
      </c>
      <c r="AA828">
        <v>3320505</v>
      </c>
      <c r="AB828" t="b">
        <v>0</v>
      </c>
      <c r="AC828">
        <v>0.22</v>
      </c>
    </row>
    <row r="829" spans="17:29" x14ac:dyDescent="0.2">
      <c r="Q829" t="s">
        <v>2128</v>
      </c>
      <c r="R829" t="s">
        <v>2334</v>
      </c>
      <c r="S829" t="s">
        <v>257</v>
      </c>
      <c r="T829" s="1">
        <v>44412</v>
      </c>
      <c r="U829" s="1">
        <v>44421</v>
      </c>
      <c r="V829" t="s">
        <v>260</v>
      </c>
      <c r="W829">
        <v>17150000</v>
      </c>
      <c r="X829">
        <v>16403107</v>
      </c>
      <c r="Y829" t="s">
        <v>260</v>
      </c>
      <c r="Z829">
        <v>16403107</v>
      </c>
      <c r="AA829">
        <v>3149295</v>
      </c>
      <c r="AB829" t="b">
        <v>0</v>
      </c>
      <c r="AC829">
        <v>0.21</v>
      </c>
    </row>
    <row r="830" spans="17:29" x14ac:dyDescent="0.2">
      <c r="Q830" t="s">
        <v>1989</v>
      </c>
      <c r="R830" t="s">
        <v>2334</v>
      </c>
      <c r="S830" t="s">
        <v>257</v>
      </c>
      <c r="T830" s="1">
        <v>44412</v>
      </c>
      <c r="U830" s="1">
        <v>44421</v>
      </c>
      <c r="V830" t="s">
        <v>260</v>
      </c>
      <c r="W830">
        <v>17150000</v>
      </c>
      <c r="X830">
        <v>16403107</v>
      </c>
      <c r="Y830" t="s">
        <v>260</v>
      </c>
      <c r="Z830">
        <v>16403107</v>
      </c>
      <c r="AA830">
        <v>3149295</v>
      </c>
      <c r="AB830" t="b">
        <v>0</v>
      </c>
      <c r="AC830">
        <v>0.21</v>
      </c>
    </row>
    <row r="831" spans="17:29" x14ac:dyDescent="0.2">
      <c r="Q831" t="s">
        <v>2128</v>
      </c>
      <c r="R831" t="s">
        <v>2335</v>
      </c>
      <c r="S831" t="s">
        <v>257</v>
      </c>
      <c r="T831" s="1">
        <v>44412</v>
      </c>
      <c r="U831" s="1">
        <v>44421</v>
      </c>
      <c r="V831" t="s">
        <v>260</v>
      </c>
      <c r="W831">
        <v>18350000</v>
      </c>
      <c r="X831">
        <v>23369608</v>
      </c>
      <c r="Y831" t="s">
        <v>260</v>
      </c>
      <c r="Z831">
        <v>23369608</v>
      </c>
      <c r="AA831">
        <v>4486821</v>
      </c>
      <c r="AB831" t="b">
        <v>0</v>
      </c>
      <c r="AC831">
        <v>0.28999999999999998</v>
      </c>
    </row>
    <row r="832" spans="17:29" x14ac:dyDescent="0.2">
      <c r="Q832" t="s">
        <v>1989</v>
      </c>
      <c r="R832" t="s">
        <v>2335</v>
      </c>
      <c r="S832" t="s">
        <v>257</v>
      </c>
      <c r="T832" s="1">
        <v>44412</v>
      </c>
      <c r="U832" s="1">
        <v>44421</v>
      </c>
      <c r="V832" t="s">
        <v>260</v>
      </c>
      <c r="W832">
        <v>18350000</v>
      </c>
      <c r="X832">
        <v>23369608</v>
      </c>
      <c r="Y832" t="s">
        <v>260</v>
      </c>
      <c r="Z832">
        <v>23369608</v>
      </c>
      <c r="AA832">
        <v>4486821</v>
      </c>
      <c r="AB832" t="b">
        <v>0</v>
      </c>
      <c r="AC832">
        <v>0.28999999999999998</v>
      </c>
    </row>
    <row r="833" spans="17:29" x14ac:dyDescent="0.2">
      <c r="Q833" t="s">
        <v>2087</v>
      </c>
      <c r="R833" t="s">
        <v>2338</v>
      </c>
      <c r="S833" t="s">
        <v>808</v>
      </c>
      <c r="T833" s="1">
        <v>43571</v>
      </c>
      <c r="U833" s="1">
        <v>43571</v>
      </c>
      <c r="V833" t="s">
        <v>270</v>
      </c>
      <c r="W833">
        <v>85007236</v>
      </c>
      <c r="X833">
        <v>85007236</v>
      </c>
      <c r="Y833" t="s">
        <v>270</v>
      </c>
      <c r="Z833">
        <v>85007236</v>
      </c>
      <c r="AA833">
        <v>85007236</v>
      </c>
      <c r="AB833" t="b">
        <v>1</v>
      </c>
      <c r="AC833">
        <v>0.69</v>
      </c>
    </row>
    <row r="834" spans="17:29" x14ac:dyDescent="0.2">
      <c r="Q834" t="s">
        <v>2087</v>
      </c>
      <c r="R834" t="s">
        <v>2338</v>
      </c>
      <c r="S834" t="s">
        <v>808</v>
      </c>
      <c r="T834" s="1">
        <v>43571</v>
      </c>
      <c r="U834" s="1">
        <v>43571</v>
      </c>
      <c r="V834" t="s">
        <v>270</v>
      </c>
      <c r="W834">
        <v>85007236</v>
      </c>
      <c r="X834">
        <v>85007236</v>
      </c>
      <c r="Y834" t="s">
        <v>270</v>
      </c>
      <c r="Z834">
        <v>85007236</v>
      </c>
      <c r="AA834">
        <v>85007236</v>
      </c>
      <c r="AB834" t="b">
        <v>1</v>
      </c>
      <c r="AC834">
        <v>0.69</v>
      </c>
    </row>
    <row r="835" spans="17:29" x14ac:dyDescent="0.2">
      <c r="Q835" t="s">
        <v>2087</v>
      </c>
      <c r="R835" t="s">
        <v>2339</v>
      </c>
      <c r="S835" t="s">
        <v>808</v>
      </c>
      <c r="T835" s="1">
        <v>43571</v>
      </c>
      <c r="U835" s="1">
        <v>43571</v>
      </c>
      <c r="V835" t="s">
        <v>270</v>
      </c>
      <c r="W835">
        <v>37349243</v>
      </c>
      <c r="X835">
        <v>37349243</v>
      </c>
      <c r="Y835" t="s">
        <v>270</v>
      </c>
      <c r="Z835">
        <v>37349243</v>
      </c>
      <c r="AA835">
        <v>37349243</v>
      </c>
      <c r="AB835" t="b">
        <v>1</v>
      </c>
      <c r="AC835">
        <v>0.34</v>
      </c>
    </row>
    <row r="836" spans="17:29" x14ac:dyDescent="0.2">
      <c r="Q836" t="s">
        <v>2087</v>
      </c>
      <c r="R836" t="s">
        <v>2339</v>
      </c>
      <c r="S836" t="s">
        <v>808</v>
      </c>
      <c r="T836" s="1">
        <v>43571</v>
      </c>
      <c r="U836" s="1">
        <v>43571</v>
      </c>
      <c r="V836" t="s">
        <v>270</v>
      </c>
      <c r="W836">
        <v>37349243</v>
      </c>
      <c r="X836">
        <v>37349243</v>
      </c>
      <c r="Y836" t="s">
        <v>270</v>
      </c>
      <c r="Z836">
        <v>37349243</v>
      </c>
      <c r="AA836">
        <v>37349243</v>
      </c>
      <c r="AB836" t="b">
        <v>1</v>
      </c>
      <c r="AC836">
        <v>0.34</v>
      </c>
    </row>
    <row r="837" spans="17:29" x14ac:dyDescent="0.2">
      <c r="Q837" t="s">
        <v>2087</v>
      </c>
      <c r="R837" t="s">
        <v>2340</v>
      </c>
      <c r="S837" t="s">
        <v>808</v>
      </c>
      <c r="T837" s="1">
        <v>43571</v>
      </c>
      <c r="U837" s="1">
        <v>43571</v>
      </c>
      <c r="V837" t="s">
        <v>270</v>
      </c>
      <c r="W837">
        <v>155991031</v>
      </c>
      <c r="X837">
        <v>155991031</v>
      </c>
      <c r="Y837" t="s">
        <v>270</v>
      </c>
      <c r="Z837">
        <v>155991031</v>
      </c>
      <c r="AA837">
        <v>155991031</v>
      </c>
      <c r="AB837" t="b">
        <v>1</v>
      </c>
      <c r="AC837">
        <v>0.32</v>
      </c>
    </row>
    <row r="838" spans="17:29" x14ac:dyDescent="0.2">
      <c r="Q838" t="s">
        <v>2087</v>
      </c>
      <c r="R838" t="s">
        <v>2340</v>
      </c>
      <c r="S838" t="s">
        <v>808</v>
      </c>
      <c r="T838" s="1">
        <v>43571</v>
      </c>
      <c r="U838" s="1">
        <v>43571</v>
      </c>
      <c r="V838" t="s">
        <v>270</v>
      </c>
      <c r="W838">
        <v>155991031</v>
      </c>
      <c r="X838">
        <v>155991031</v>
      </c>
      <c r="Y838" t="s">
        <v>270</v>
      </c>
      <c r="Z838">
        <v>155991031</v>
      </c>
      <c r="AA838">
        <v>155991031</v>
      </c>
      <c r="AB838" t="b">
        <v>1</v>
      </c>
      <c r="AC838">
        <v>0.32</v>
      </c>
    </row>
    <row r="839" spans="17:29" x14ac:dyDescent="0.2">
      <c r="Q839" t="s">
        <v>2087</v>
      </c>
      <c r="R839" t="s">
        <v>2341</v>
      </c>
      <c r="S839" t="s">
        <v>808</v>
      </c>
      <c r="T839" s="1">
        <v>43571</v>
      </c>
      <c r="U839" s="1">
        <v>43571</v>
      </c>
      <c r="V839" t="s">
        <v>270</v>
      </c>
      <c r="W839">
        <v>13177725</v>
      </c>
      <c r="X839">
        <v>13177725</v>
      </c>
      <c r="Y839" t="s">
        <v>270</v>
      </c>
      <c r="Z839">
        <v>13177725</v>
      </c>
      <c r="AA839">
        <v>13177725</v>
      </c>
      <c r="AB839" t="b">
        <v>1</v>
      </c>
      <c r="AC839">
        <v>0.36</v>
      </c>
    </row>
    <row r="840" spans="17:29" x14ac:dyDescent="0.2">
      <c r="Q840" t="s">
        <v>2087</v>
      </c>
      <c r="R840" t="s">
        <v>2341</v>
      </c>
      <c r="S840" t="s">
        <v>808</v>
      </c>
      <c r="T840" s="1">
        <v>43571</v>
      </c>
      <c r="U840" s="1">
        <v>43571</v>
      </c>
      <c r="V840" t="s">
        <v>270</v>
      </c>
      <c r="W840">
        <v>13177725</v>
      </c>
      <c r="X840">
        <v>13177725</v>
      </c>
      <c r="Y840" t="s">
        <v>270</v>
      </c>
      <c r="Z840">
        <v>13177725</v>
      </c>
      <c r="AA840">
        <v>13177725</v>
      </c>
      <c r="AB840" t="b">
        <v>1</v>
      </c>
      <c r="AC840">
        <v>0.36</v>
      </c>
    </row>
    <row r="841" spans="17:29" x14ac:dyDescent="0.2">
      <c r="Q841" t="s">
        <v>2087</v>
      </c>
      <c r="R841" t="s">
        <v>2342</v>
      </c>
      <c r="S841" t="s">
        <v>808</v>
      </c>
      <c r="T841" s="1">
        <v>44349</v>
      </c>
      <c r="U841" s="1">
        <v>44349</v>
      </c>
      <c r="V841" t="s">
        <v>270</v>
      </c>
      <c r="W841">
        <v>116820000</v>
      </c>
      <c r="X841">
        <v>116820000</v>
      </c>
      <c r="Y841" t="s">
        <v>270</v>
      </c>
      <c r="Z841">
        <v>116820000</v>
      </c>
      <c r="AA841">
        <v>116820000</v>
      </c>
      <c r="AB841" t="b">
        <v>0</v>
      </c>
      <c r="AC841">
        <v>0.69</v>
      </c>
    </row>
    <row r="842" spans="17:29" x14ac:dyDescent="0.2">
      <c r="Q842" t="s">
        <v>2087</v>
      </c>
      <c r="R842" t="s">
        <v>2342</v>
      </c>
      <c r="S842" t="s">
        <v>808</v>
      </c>
      <c r="T842" s="1">
        <v>43900</v>
      </c>
      <c r="U842" s="1">
        <v>43900</v>
      </c>
      <c r="V842" t="s">
        <v>270</v>
      </c>
      <c r="W842">
        <v>58734285</v>
      </c>
      <c r="X842">
        <v>58734285</v>
      </c>
      <c r="Y842" t="s">
        <v>270</v>
      </c>
      <c r="Z842">
        <v>58734285</v>
      </c>
      <c r="AA842">
        <v>58734285</v>
      </c>
      <c r="AB842" t="b">
        <v>0</v>
      </c>
      <c r="AC842">
        <v>0.69</v>
      </c>
    </row>
    <row r="843" spans="17:29" x14ac:dyDescent="0.2">
      <c r="Q843" t="s">
        <v>2087</v>
      </c>
      <c r="R843" t="s">
        <v>2342</v>
      </c>
      <c r="S843" t="s">
        <v>808</v>
      </c>
      <c r="T843" s="1">
        <v>44349</v>
      </c>
      <c r="U843" s="1">
        <v>44349</v>
      </c>
      <c r="V843" t="s">
        <v>270</v>
      </c>
      <c r="W843">
        <v>116820000</v>
      </c>
      <c r="X843">
        <v>116820000</v>
      </c>
      <c r="Y843" t="s">
        <v>270</v>
      </c>
      <c r="Z843">
        <v>116820000</v>
      </c>
      <c r="AA843">
        <v>116820000</v>
      </c>
      <c r="AB843" t="b">
        <v>0</v>
      </c>
      <c r="AC843">
        <v>0.69</v>
      </c>
    </row>
    <row r="844" spans="17:29" x14ac:dyDescent="0.2">
      <c r="Q844" t="s">
        <v>2087</v>
      </c>
      <c r="R844" t="s">
        <v>2342</v>
      </c>
      <c r="S844" t="s">
        <v>808</v>
      </c>
      <c r="T844" s="1">
        <v>43900</v>
      </c>
      <c r="U844" s="1">
        <v>43900</v>
      </c>
      <c r="V844" t="s">
        <v>270</v>
      </c>
      <c r="W844">
        <v>58734285</v>
      </c>
      <c r="X844">
        <v>58734285</v>
      </c>
      <c r="Y844" t="s">
        <v>270</v>
      </c>
      <c r="Z844">
        <v>58734285</v>
      </c>
      <c r="AA844">
        <v>58734285</v>
      </c>
      <c r="AB844" t="b">
        <v>0</v>
      </c>
      <c r="AC844">
        <v>0.69</v>
      </c>
    </row>
    <row r="845" spans="17:29" x14ac:dyDescent="0.2">
      <c r="Q845" t="s">
        <v>2087</v>
      </c>
      <c r="R845" t="s">
        <v>2343</v>
      </c>
      <c r="S845" t="s">
        <v>808</v>
      </c>
      <c r="T845" s="1">
        <v>44349</v>
      </c>
      <c r="U845" s="1">
        <v>44349</v>
      </c>
      <c r="V845" t="s">
        <v>270</v>
      </c>
      <c r="W845">
        <v>116820000</v>
      </c>
      <c r="X845">
        <v>116820000</v>
      </c>
      <c r="Y845" t="s">
        <v>270</v>
      </c>
      <c r="Z845">
        <v>116820000</v>
      </c>
      <c r="AA845">
        <v>116820000</v>
      </c>
      <c r="AB845" t="b">
        <v>0</v>
      </c>
      <c r="AC845">
        <v>0.57999999999999996</v>
      </c>
    </row>
    <row r="846" spans="17:29" x14ac:dyDescent="0.2">
      <c r="Q846" t="s">
        <v>2087</v>
      </c>
      <c r="R846" t="s">
        <v>2343</v>
      </c>
      <c r="S846" t="s">
        <v>808</v>
      </c>
      <c r="T846" s="1">
        <v>43900</v>
      </c>
      <c r="U846" s="1">
        <v>43900</v>
      </c>
      <c r="V846" t="s">
        <v>270</v>
      </c>
      <c r="W846">
        <v>47538772</v>
      </c>
      <c r="X846">
        <v>47538772</v>
      </c>
      <c r="Y846" t="s">
        <v>270</v>
      </c>
      <c r="Z846">
        <v>47538772</v>
      </c>
      <c r="AA846">
        <v>47538772</v>
      </c>
      <c r="AB846" t="b">
        <v>0</v>
      </c>
      <c r="AC846">
        <v>0.57999999999999996</v>
      </c>
    </row>
    <row r="847" spans="17:29" x14ac:dyDescent="0.2">
      <c r="Q847" t="s">
        <v>2087</v>
      </c>
      <c r="R847" t="s">
        <v>2343</v>
      </c>
      <c r="S847" t="s">
        <v>808</v>
      </c>
      <c r="T847" s="1">
        <v>44349</v>
      </c>
      <c r="U847" s="1">
        <v>44349</v>
      </c>
      <c r="V847" t="s">
        <v>270</v>
      </c>
      <c r="W847">
        <v>116820000</v>
      </c>
      <c r="X847">
        <v>116820000</v>
      </c>
      <c r="Y847" t="s">
        <v>270</v>
      </c>
      <c r="Z847">
        <v>116820000</v>
      </c>
      <c r="AA847">
        <v>116820000</v>
      </c>
      <c r="AB847" t="b">
        <v>0</v>
      </c>
      <c r="AC847">
        <v>0.57999999999999996</v>
      </c>
    </row>
    <row r="848" spans="17:29" x14ac:dyDescent="0.2">
      <c r="Q848" t="s">
        <v>2087</v>
      </c>
      <c r="R848" t="s">
        <v>2343</v>
      </c>
      <c r="S848" t="s">
        <v>808</v>
      </c>
      <c r="T848" s="1">
        <v>43900</v>
      </c>
      <c r="U848" s="1">
        <v>43900</v>
      </c>
      <c r="V848" t="s">
        <v>270</v>
      </c>
      <c r="W848">
        <v>47538772</v>
      </c>
      <c r="X848">
        <v>47538772</v>
      </c>
      <c r="Y848" t="s">
        <v>270</v>
      </c>
      <c r="Z848">
        <v>47538772</v>
      </c>
      <c r="AA848">
        <v>47538772</v>
      </c>
      <c r="AB848" t="b">
        <v>0</v>
      </c>
      <c r="AC848">
        <v>0.57999999999999996</v>
      </c>
    </row>
    <row r="849" spans="17:29" x14ac:dyDescent="0.2">
      <c r="Q849" t="s">
        <v>2043</v>
      </c>
      <c r="R849" t="s">
        <v>2344</v>
      </c>
      <c r="S849" t="s">
        <v>528</v>
      </c>
      <c r="T849" s="1">
        <v>43455</v>
      </c>
      <c r="U849" s="1">
        <v>43455</v>
      </c>
      <c r="V849" t="s">
        <v>270</v>
      </c>
      <c r="W849">
        <v>96325288</v>
      </c>
      <c r="X849">
        <v>96325288</v>
      </c>
      <c r="Y849" t="s">
        <v>270</v>
      </c>
      <c r="Z849">
        <v>96325288</v>
      </c>
      <c r="AA849">
        <v>96325288</v>
      </c>
      <c r="AB849" t="b">
        <v>1</v>
      </c>
    </row>
    <row r="850" spans="17:29" x14ac:dyDescent="0.2">
      <c r="Q850" t="s">
        <v>2043</v>
      </c>
      <c r="R850" t="s">
        <v>2344</v>
      </c>
      <c r="S850" t="s">
        <v>528</v>
      </c>
      <c r="T850" s="1">
        <v>43455</v>
      </c>
      <c r="U850" s="1">
        <v>43455</v>
      </c>
      <c r="V850" t="s">
        <v>270</v>
      </c>
      <c r="W850">
        <v>96325288</v>
      </c>
      <c r="X850">
        <v>96325288</v>
      </c>
      <c r="Y850" t="s">
        <v>270</v>
      </c>
      <c r="Z850">
        <v>96325288</v>
      </c>
      <c r="AA850">
        <v>96325288</v>
      </c>
      <c r="AB850" t="b">
        <v>1</v>
      </c>
    </row>
    <row r="851" spans="17:29" x14ac:dyDescent="0.2">
      <c r="Q851" t="s">
        <v>2029</v>
      </c>
      <c r="R851" t="s">
        <v>2345</v>
      </c>
      <c r="S851" t="s">
        <v>528</v>
      </c>
      <c r="T851" s="1">
        <v>43454</v>
      </c>
      <c r="U851" s="1">
        <v>43454</v>
      </c>
      <c r="V851" t="s">
        <v>270</v>
      </c>
      <c r="W851">
        <v>48469368</v>
      </c>
      <c r="X851">
        <v>48469368</v>
      </c>
      <c r="Y851" t="s">
        <v>270</v>
      </c>
      <c r="Z851">
        <v>48469368</v>
      </c>
      <c r="AA851">
        <v>48469368</v>
      </c>
      <c r="AB851" t="b">
        <v>1</v>
      </c>
    </row>
    <row r="852" spans="17:29" x14ac:dyDescent="0.2">
      <c r="Q852" t="s">
        <v>2036</v>
      </c>
      <c r="R852" t="s">
        <v>2345</v>
      </c>
      <c r="S852" t="s">
        <v>528</v>
      </c>
      <c r="T852" s="1">
        <v>43454</v>
      </c>
      <c r="U852" s="1">
        <v>43454</v>
      </c>
      <c r="V852" t="s">
        <v>270</v>
      </c>
      <c r="W852">
        <v>48469368</v>
      </c>
      <c r="X852">
        <v>48469368</v>
      </c>
      <c r="Y852" t="s">
        <v>270</v>
      </c>
      <c r="Z852">
        <v>48469368</v>
      </c>
      <c r="AA852">
        <v>48469368</v>
      </c>
      <c r="AB852" t="b">
        <v>1</v>
      </c>
    </row>
    <row r="853" spans="17:29" x14ac:dyDescent="0.2">
      <c r="Q853" t="s">
        <v>2075</v>
      </c>
      <c r="R853" t="s">
        <v>2346</v>
      </c>
      <c r="S853" t="s">
        <v>528</v>
      </c>
      <c r="T853" s="1">
        <v>43494</v>
      </c>
      <c r="U853" s="1">
        <v>43494</v>
      </c>
      <c r="V853" t="s">
        <v>270</v>
      </c>
      <c r="W853">
        <v>6323211</v>
      </c>
      <c r="X853">
        <v>6323211</v>
      </c>
      <c r="Y853" t="s">
        <v>270</v>
      </c>
      <c r="Z853">
        <v>6323211</v>
      </c>
      <c r="AA853">
        <v>6323211</v>
      </c>
      <c r="AB853" t="b">
        <v>1</v>
      </c>
    </row>
    <row r="854" spans="17:29" x14ac:dyDescent="0.2">
      <c r="Q854" t="s">
        <v>2075</v>
      </c>
      <c r="R854" t="s">
        <v>2346</v>
      </c>
      <c r="S854" t="s">
        <v>528</v>
      </c>
      <c r="T854" s="1">
        <v>43494</v>
      </c>
      <c r="U854" s="1">
        <v>43494</v>
      </c>
      <c r="V854" t="s">
        <v>270</v>
      </c>
      <c r="W854">
        <v>6323211</v>
      </c>
      <c r="X854">
        <v>6323211</v>
      </c>
      <c r="Y854" t="s">
        <v>270</v>
      </c>
      <c r="Z854">
        <v>6323211</v>
      </c>
      <c r="AA854">
        <v>6323211</v>
      </c>
      <c r="AB854" t="b">
        <v>1</v>
      </c>
    </row>
    <row r="855" spans="17:29" x14ac:dyDescent="0.2">
      <c r="Q855" t="s">
        <v>2029</v>
      </c>
      <c r="R855" t="s">
        <v>2347</v>
      </c>
      <c r="S855" t="s">
        <v>528</v>
      </c>
      <c r="T855" s="1">
        <v>43488</v>
      </c>
      <c r="U855" s="1">
        <v>43488</v>
      </c>
      <c r="V855" t="s">
        <v>270</v>
      </c>
      <c r="W855">
        <v>1989344</v>
      </c>
      <c r="X855">
        <v>1989344</v>
      </c>
      <c r="Y855" t="s">
        <v>270</v>
      </c>
      <c r="Z855">
        <v>1989344</v>
      </c>
      <c r="AA855">
        <v>1989344</v>
      </c>
      <c r="AB855" t="b">
        <v>1</v>
      </c>
    </row>
    <row r="856" spans="17:29" x14ac:dyDescent="0.2">
      <c r="Q856" t="s">
        <v>2348</v>
      </c>
      <c r="R856" t="s">
        <v>2347</v>
      </c>
      <c r="S856" t="s">
        <v>528</v>
      </c>
      <c r="T856" s="1">
        <v>43488</v>
      </c>
      <c r="U856" s="1">
        <v>43488</v>
      </c>
      <c r="V856" t="s">
        <v>270</v>
      </c>
      <c r="W856">
        <v>1989344</v>
      </c>
      <c r="X856">
        <v>1989344</v>
      </c>
      <c r="Y856" t="s">
        <v>270</v>
      </c>
      <c r="Z856">
        <v>1989344</v>
      </c>
      <c r="AA856">
        <v>1989344</v>
      </c>
      <c r="AB856" t="b">
        <v>1</v>
      </c>
    </row>
    <row r="857" spans="17:29" x14ac:dyDescent="0.2">
      <c r="Q857" t="s">
        <v>2290</v>
      </c>
      <c r="R857" t="s">
        <v>2349</v>
      </c>
      <c r="S857" t="s">
        <v>528</v>
      </c>
      <c r="T857" s="1">
        <v>43878</v>
      </c>
      <c r="U857" s="1">
        <v>43878</v>
      </c>
      <c r="V857" t="s">
        <v>270</v>
      </c>
      <c r="W857">
        <v>100000</v>
      </c>
      <c r="X857">
        <v>100000</v>
      </c>
      <c r="Y857" t="s">
        <v>270</v>
      </c>
      <c r="Z857">
        <v>100000</v>
      </c>
      <c r="AA857">
        <v>100000</v>
      </c>
      <c r="AB857" t="b">
        <v>1</v>
      </c>
    </row>
    <row r="858" spans="17:29" x14ac:dyDescent="0.2">
      <c r="Q858" t="s">
        <v>2292</v>
      </c>
      <c r="R858" t="s">
        <v>2349</v>
      </c>
      <c r="S858" t="s">
        <v>528</v>
      </c>
      <c r="T858" s="1">
        <v>43878</v>
      </c>
      <c r="U858" s="1">
        <v>43878</v>
      </c>
      <c r="V858" t="s">
        <v>270</v>
      </c>
      <c r="W858">
        <v>100000</v>
      </c>
      <c r="X858">
        <v>100000</v>
      </c>
      <c r="Y858" t="s">
        <v>270</v>
      </c>
      <c r="Z858">
        <v>100000</v>
      </c>
      <c r="AA858">
        <v>100000</v>
      </c>
      <c r="AB858" t="b">
        <v>1</v>
      </c>
    </row>
    <row r="859" spans="17:29" x14ac:dyDescent="0.2">
      <c r="Q859" t="s">
        <v>2128</v>
      </c>
      <c r="R859" t="s">
        <v>2350</v>
      </c>
      <c r="S859" t="s">
        <v>257</v>
      </c>
      <c r="T859" s="1">
        <v>43665</v>
      </c>
      <c r="U859" s="1">
        <v>43665</v>
      </c>
      <c r="V859" t="s">
        <v>260</v>
      </c>
      <c r="W859">
        <v>11650000</v>
      </c>
      <c r="X859">
        <v>11650000</v>
      </c>
      <c r="Y859" t="s">
        <v>260</v>
      </c>
      <c r="Z859">
        <v>11650000</v>
      </c>
      <c r="AA859">
        <v>2185741</v>
      </c>
      <c r="AB859" t="b">
        <v>0</v>
      </c>
      <c r="AC859">
        <v>0.28999999999999998</v>
      </c>
    </row>
    <row r="860" spans="17:29" x14ac:dyDescent="0.2">
      <c r="Q860" t="s">
        <v>1989</v>
      </c>
      <c r="R860" t="s">
        <v>2350</v>
      </c>
      <c r="S860" t="s">
        <v>257</v>
      </c>
      <c r="T860" s="1">
        <v>43665</v>
      </c>
      <c r="U860" s="1">
        <v>43665</v>
      </c>
      <c r="V860" t="s">
        <v>260</v>
      </c>
      <c r="W860">
        <v>11650000</v>
      </c>
      <c r="X860">
        <v>11650000</v>
      </c>
      <c r="Y860" t="s">
        <v>260</v>
      </c>
      <c r="Z860">
        <v>11650000</v>
      </c>
      <c r="AA860">
        <v>2185741</v>
      </c>
      <c r="AB860" t="b">
        <v>0</v>
      </c>
      <c r="AC860">
        <v>0.28999999999999998</v>
      </c>
    </row>
    <row r="861" spans="17:29" x14ac:dyDescent="0.2">
      <c r="Q861" t="s">
        <v>2128</v>
      </c>
      <c r="R861" t="s">
        <v>2351</v>
      </c>
      <c r="S861" t="s">
        <v>257</v>
      </c>
      <c r="T861" s="1">
        <v>43665</v>
      </c>
      <c r="U861" s="1">
        <v>43665</v>
      </c>
      <c r="V861" t="s">
        <v>260</v>
      </c>
      <c r="W861">
        <v>6390000</v>
      </c>
      <c r="X861">
        <v>6390000</v>
      </c>
      <c r="Y861" t="s">
        <v>260</v>
      </c>
      <c r="Z861">
        <v>6390000</v>
      </c>
      <c r="AA861">
        <v>1198874</v>
      </c>
      <c r="AB861" t="b">
        <v>0</v>
      </c>
      <c r="AC861">
        <v>0.16</v>
      </c>
    </row>
    <row r="862" spans="17:29" x14ac:dyDescent="0.2">
      <c r="Q862" t="s">
        <v>1989</v>
      </c>
      <c r="R862" t="s">
        <v>2351</v>
      </c>
      <c r="S862" t="s">
        <v>257</v>
      </c>
      <c r="T862" s="1">
        <v>43665</v>
      </c>
      <c r="U862" s="1">
        <v>43665</v>
      </c>
      <c r="V862" t="s">
        <v>260</v>
      </c>
      <c r="W862">
        <v>6390000</v>
      </c>
      <c r="X862">
        <v>6390000</v>
      </c>
      <c r="Y862" t="s">
        <v>260</v>
      </c>
      <c r="Z862">
        <v>6390000</v>
      </c>
      <c r="AA862">
        <v>1198874</v>
      </c>
      <c r="AB862" t="b">
        <v>0</v>
      </c>
      <c r="AC862">
        <v>0.16</v>
      </c>
    </row>
    <row r="863" spans="17:29" x14ac:dyDescent="0.2">
      <c r="Q863" t="s">
        <v>2128</v>
      </c>
      <c r="R863" t="s">
        <v>2352</v>
      </c>
      <c r="S863" t="s">
        <v>257</v>
      </c>
      <c r="T863" s="1">
        <v>43665</v>
      </c>
      <c r="U863" s="1">
        <v>43665</v>
      </c>
      <c r="V863" t="s">
        <v>260</v>
      </c>
      <c r="W863">
        <v>4270000</v>
      </c>
      <c r="X863">
        <v>4270000</v>
      </c>
      <c r="Y863" t="s">
        <v>260</v>
      </c>
      <c r="Z863">
        <v>4270000</v>
      </c>
      <c r="AA863">
        <v>801125</v>
      </c>
      <c r="AB863" t="b">
        <v>0</v>
      </c>
      <c r="AC863">
        <v>0.11</v>
      </c>
    </row>
    <row r="864" spans="17:29" x14ac:dyDescent="0.2">
      <c r="Q864" t="s">
        <v>1989</v>
      </c>
      <c r="R864" t="s">
        <v>2352</v>
      </c>
      <c r="S864" t="s">
        <v>257</v>
      </c>
      <c r="T864" s="1">
        <v>43665</v>
      </c>
      <c r="U864" s="1">
        <v>43665</v>
      </c>
      <c r="V864" t="s">
        <v>260</v>
      </c>
      <c r="W864">
        <v>4270000</v>
      </c>
      <c r="X864">
        <v>4270000</v>
      </c>
      <c r="Y864" t="s">
        <v>260</v>
      </c>
      <c r="Z864">
        <v>4270000</v>
      </c>
      <c r="AA864">
        <v>801125</v>
      </c>
      <c r="AB864" t="b">
        <v>0</v>
      </c>
      <c r="AC864">
        <v>0.11</v>
      </c>
    </row>
    <row r="865" spans="17:29" x14ac:dyDescent="0.2">
      <c r="Q865" t="s">
        <v>2128</v>
      </c>
      <c r="R865" t="s">
        <v>2353</v>
      </c>
      <c r="S865" t="s">
        <v>257</v>
      </c>
      <c r="T865" s="1">
        <v>43665</v>
      </c>
      <c r="U865" s="1">
        <v>43665</v>
      </c>
      <c r="V865" t="s">
        <v>260</v>
      </c>
      <c r="W865">
        <v>600000</v>
      </c>
      <c r="X865">
        <v>600000</v>
      </c>
      <c r="Y865" t="s">
        <v>260</v>
      </c>
      <c r="Z865">
        <v>600000</v>
      </c>
      <c r="AA865">
        <v>112570</v>
      </c>
      <c r="AB865" t="b">
        <v>0</v>
      </c>
      <c r="AC865">
        <v>0.01</v>
      </c>
    </row>
    <row r="866" spans="17:29" x14ac:dyDescent="0.2">
      <c r="Q866" t="s">
        <v>1989</v>
      </c>
      <c r="R866" t="s">
        <v>2353</v>
      </c>
      <c r="S866" t="s">
        <v>257</v>
      </c>
      <c r="T866" s="1">
        <v>43665</v>
      </c>
      <c r="U866" s="1">
        <v>43665</v>
      </c>
      <c r="V866" t="s">
        <v>260</v>
      </c>
      <c r="W866">
        <v>600000</v>
      </c>
      <c r="X866">
        <v>600000</v>
      </c>
      <c r="Y866" t="s">
        <v>260</v>
      </c>
      <c r="Z866">
        <v>600000</v>
      </c>
      <c r="AA866">
        <v>112570</v>
      </c>
      <c r="AB866" t="b">
        <v>0</v>
      </c>
      <c r="AC866">
        <v>0.01</v>
      </c>
    </row>
    <row r="867" spans="17:29" x14ac:dyDescent="0.2">
      <c r="Q867" t="s">
        <v>2128</v>
      </c>
      <c r="R867" t="s">
        <v>2354</v>
      </c>
      <c r="S867" t="s">
        <v>257</v>
      </c>
      <c r="T867" s="1">
        <v>43665</v>
      </c>
      <c r="U867" s="1">
        <v>43665</v>
      </c>
      <c r="V867" t="s">
        <v>260</v>
      </c>
      <c r="W867">
        <v>13070000</v>
      </c>
      <c r="X867">
        <v>13070000</v>
      </c>
      <c r="Y867" t="s">
        <v>260</v>
      </c>
      <c r="Z867">
        <v>13070000</v>
      </c>
      <c r="AA867">
        <v>2452157</v>
      </c>
      <c r="AB867" t="b">
        <v>0</v>
      </c>
      <c r="AC867">
        <v>0.33</v>
      </c>
    </row>
    <row r="868" spans="17:29" x14ac:dyDescent="0.2">
      <c r="Q868" t="s">
        <v>1989</v>
      </c>
      <c r="R868" t="s">
        <v>2354</v>
      </c>
      <c r="S868" t="s">
        <v>257</v>
      </c>
      <c r="T868" s="1">
        <v>43665</v>
      </c>
      <c r="U868" s="1">
        <v>43665</v>
      </c>
      <c r="V868" t="s">
        <v>260</v>
      </c>
      <c r="W868">
        <v>13070000</v>
      </c>
      <c r="X868">
        <v>13070000</v>
      </c>
      <c r="Y868" t="s">
        <v>260</v>
      </c>
      <c r="Z868">
        <v>13070000</v>
      </c>
      <c r="AA868">
        <v>2452157</v>
      </c>
      <c r="AB868" t="b">
        <v>0</v>
      </c>
      <c r="AC868">
        <v>0.33</v>
      </c>
    </row>
    <row r="869" spans="17:29" x14ac:dyDescent="0.2">
      <c r="Q869" t="s">
        <v>2128</v>
      </c>
      <c r="R869" t="s">
        <v>2355</v>
      </c>
      <c r="S869" t="s">
        <v>257</v>
      </c>
      <c r="T869" s="1">
        <v>43665</v>
      </c>
      <c r="U869" s="1">
        <v>43665</v>
      </c>
      <c r="V869" t="s">
        <v>260</v>
      </c>
      <c r="W869">
        <v>4170000</v>
      </c>
      <c r="X869">
        <v>4170000</v>
      </c>
      <c r="Y869" t="s">
        <v>260</v>
      </c>
      <c r="Z869">
        <v>4170000</v>
      </c>
      <c r="AA869">
        <v>782363</v>
      </c>
      <c r="AB869" t="b">
        <v>0</v>
      </c>
      <c r="AC869">
        <v>0.1</v>
      </c>
    </row>
    <row r="870" spans="17:29" x14ac:dyDescent="0.2">
      <c r="Q870" t="s">
        <v>1989</v>
      </c>
      <c r="R870" t="s">
        <v>2355</v>
      </c>
      <c r="S870" t="s">
        <v>257</v>
      </c>
      <c r="T870" s="1">
        <v>43665</v>
      </c>
      <c r="U870" s="1">
        <v>43665</v>
      </c>
      <c r="V870" t="s">
        <v>260</v>
      </c>
      <c r="W870">
        <v>4170000</v>
      </c>
      <c r="X870">
        <v>4170000</v>
      </c>
      <c r="Y870" t="s">
        <v>260</v>
      </c>
      <c r="Z870">
        <v>4170000</v>
      </c>
      <c r="AA870">
        <v>782363</v>
      </c>
      <c r="AB870" t="b">
        <v>0</v>
      </c>
      <c r="AC870">
        <v>0.1</v>
      </c>
    </row>
    <row r="871" spans="17:29" x14ac:dyDescent="0.2">
      <c r="Q871" t="s">
        <v>2128</v>
      </c>
      <c r="R871" t="s">
        <v>2356</v>
      </c>
      <c r="S871" t="s">
        <v>257</v>
      </c>
      <c r="T871" s="1">
        <v>43876</v>
      </c>
      <c r="U871" s="1">
        <v>43876</v>
      </c>
      <c r="V871" t="s">
        <v>260</v>
      </c>
      <c r="W871">
        <v>215000000</v>
      </c>
      <c r="X871">
        <v>215000000</v>
      </c>
      <c r="Y871" t="s">
        <v>260</v>
      </c>
      <c r="Z871">
        <v>215000000</v>
      </c>
      <c r="AA871">
        <v>50027922</v>
      </c>
      <c r="AB871" t="b">
        <v>0</v>
      </c>
    </row>
    <row r="872" spans="17:29" x14ac:dyDescent="0.2">
      <c r="Q872" t="s">
        <v>2128</v>
      </c>
      <c r="R872" t="s">
        <v>2356</v>
      </c>
      <c r="S872" t="s">
        <v>257</v>
      </c>
      <c r="T872" s="1">
        <v>43876</v>
      </c>
      <c r="U872" s="1">
        <v>43876</v>
      </c>
      <c r="V872" t="s">
        <v>260</v>
      </c>
      <c r="W872">
        <v>65000000</v>
      </c>
      <c r="X872">
        <v>65000000</v>
      </c>
      <c r="Y872" t="s">
        <v>260</v>
      </c>
      <c r="Z872">
        <v>65000000</v>
      </c>
      <c r="AA872">
        <v>15124720</v>
      </c>
      <c r="AB872" t="b">
        <v>0</v>
      </c>
    </row>
    <row r="873" spans="17:29" x14ac:dyDescent="0.2">
      <c r="Q873" t="s">
        <v>1989</v>
      </c>
      <c r="R873" t="s">
        <v>2356</v>
      </c>
      <c r="S873" t="s">
        <v>257</v>
      </c>
      <c r="T873" s="1">
        <v>43876</v>
      </c>
      <c r="U873" s="1">
        <v>43876</v>
      </c>
      <c r="V873" t="s">
        <v>260</v>
      </c>
      <c r="W873">
        <v>215000000</v>
      </c>
      <c r="X873">
        <v>215000000</v>
      </c>
      <c r="Y873" t="s">
        <v>260</v>
      </c>
      <c r="Z873">
        <v>215000000</v>
      </c>
      <c r="AA873">
        <v>50027922</v>
      </c>
      <c r="AB873" t="b">
        <v>0</v>
      </c>
    </row>
    <row r="874" spans="17:29" x14ac:dyDescent="0.2">
      <c r="Q874" t="s">
        <v>1989</v>
      </c>
      <c r="R874" t="s">
        <v>2356</v>
      </c>
      <c r="S874" t="s">
        <v>257</v>
      </c>
      <c r="T874" s="1">
        <v>43876</v>
      </c>
      <c r="U874" s="1">
        <v>43876</v>
      </c>
      <c r="V874" t="s">
        <v>260</v>
      </c>
      <c r="W874">
        <v>65000000</v>
      </c>
      <c r="X874">
        <v>65000000</v>
      </c>
      <c r="Y874" t="s">
        <v>260</v>
      </c>
      <c r="Z874">
        <v>65000000</v>
      </c>
      <c r="AA874">
        <v>15124720</v>
      </c>
      <c r="AB874" t="b">
        <v>0</v>
      </c>
    </row>
    <row r="875" spans="17:29" x14ac:dyDescent="0.2">
      <c r="Q875" t="s">
        <v>2029</v>
      </c>
      <c r="R875" t="s">
        <v>2356</v>
      </c>
      <c r="S875" t="s">
        <v>257</v>
      </c>
      <c r="T875" s="1">
        <v>43876</v>
      </c>
      <c r="U875" s="1">
        <v>43876</v>
      </c>
      <c r="V875" t="s">
        <v>260</v>
      </c>
      <c r="W875">
        <v>215000000</v>
      </c>
      <c r="X875">
        <v>215000000</v>
      </c>
      <c r="Y875" t="s">
        <v>260</v>
      </c>
      <c r="Z875">
        <v>215000000</v>
      </c>
      <c r="AA875">
        <v>50027922</v>
      </c>
      <c r="AB875" t="b">
        <v>0</v>
      </c>
    </row>
    <row r="876" spans="17:29" x14ac:dyDescent="0.2">
      <c r="Q876" t="s">
        <v>2029</v>
      </c>
      <c r="R876" t="s">
        <v>2356</v>
      </c>
      <c r="S876" t="s">
        <v>257</v>
      </c>
      <c r="T876" s="1">
        <v>43876</v>
      </c>
      <c r="U876" s="1">
        <v>43876</v>
      </c>
      <c r="V876" t="s">
        <v>260</v>
      </c>
      <c r="W876">
        <v>65000000</v>
      </c>
      <c r="X876">
        <v>65000000</v>
      </c>
      <c r="Y876" t="s">
        <v>260</v>
      </c>
      <c r="Z876">
        <v>65000000</v>
      </c>
      <c r="AA876">
        <v>15124720</v>
      </c>
      <c r="AB876" t="b">
        <v>0</v>
      </c>
    </row>
    <row r="877" spans="17:29" x14ac:dyDescent="0.2">
      <c r="Q877" t="s">
        <v>2029</v>
      </c>
      <c r="R877" t="s">
        <v>2356</v>
      </c>
      <c r="S877" t="s">
        <v>257</v>
      </c>
      <c r="T877" s="1">
        <v>43876</v>
      </c>
      <c r="U877" s="1">
        <v>43876</v>
      </c>
      <c r="V877" t="s">
        <v>260</v>
      </c>
      <c r="W877">
        <v>215000000</v>
      </c>
      <c r="X877">
        <v>215000000</v>
      </c>
      <c r="Y877" t="s">
        <v>260</v>
      </c>
      <c r="Z877">
        <v>215000000</v>
      </c>
      <c r="AA877">
        <v>50027922</v>
      </c>
      <c r="AB877" t="b">
        <v>0</v>
      </c>
    </row>
    <row r="878" spans="17:29" x14ac:dyDescent="0.2">
      <c r="Q878" t="s">
        <v>2029</v>
      </c>
      <c r="R878" t="s">
        <v>2356</v>
      </c>
      <c r="S878" t="s">
        <v>257</v>
      </c>
      <c r="T878" s="1">
        <v>43876</v>
      </c>
      <c r="U878" s="1">
        <v>43876</v>
      </c>
      <c r="V878" t="s">
        <v>260</v>
      </c>
      <c r="W878">
        <v>65000000</v>
      </c>
      <c r="X878">
        <v>65000000</v>
      </c>
      <c r="Y878" t="s">
        <v>260</v>
      </c>
      <c r="Z878">
        <v>65000000</v>
      </c>
      <c r="AA878">
        <v>15124720</v>
      </c>
      <c r="AB878" t="b">
        <v>0</v>
      </c>
    </row>
    <row r="879" spans="17:29" x14ac:dyDescent="0.2">
      <c r="Q879" t="s">
        <v>2031</v>
      </c>
      <c r="R879" t="s">
        <v>2357</v>
      </c>
      <c r="S879" t="s">
        <v>869</v>
      </c>
      <c r="T879" s="1">
        <v>44196</v>
      </c>
      <c r="U879" s="1">
        <v>44196</v>
      </c>
      <c r="V879" t="s">
        <v>270</v>
      </c>
      <c r="W879">
        <v>18600000</v>
      </c>
      <c r="X879">
        <v>18600000</v>
      </c>
      <c r="Y879" t="s">
        <v>270</v>
      </c>
      <c r="Z879">
        <v>18600000</v>
      </c>
      <c r="AA879">
        <v>18600000</v>
      </c>
      <c r="AB879" t="b">
        <v>0</v>
      </c>
      <c r="AC879">
        <v>1</v>
      </c>
    </row>
    <row r="880" spans="17:29" x14ac:dyDescent="0.2">
      <c r="Q880" t="s">
        <v>1989</v>
      </c>
      <c r="R880" t="s">
        <v>2357</v>
      </c>
      <c r="S880" t="s">
        <v>869</v>
      </c>
      <c r="T880" s="1">
        <v>44196</v>
      </c>
      <c r="U880" s="1">
        <v>44196</v>
      </c>
      <c r="V880" t="s">
        <v>270</v>
      </c>
      <c r="W880">
        <v>18600000</v>
      </c>
      <c r="X880">
        <v>18600000</v>
      </c>
      <c r="Y880" t="s">
        <v>270</v>
      </c>
      <c r="Z880">
        <v>18600000</v>
      </c>
      <c r="AA880">
        <v>18600000</v>
      </c>
      <c r="AB880" t="b">
        <v>0</v>
      </c>
      <c r="AC880">
        <v>1</v>
      </c>
    </row>
    <row r="881" spans="17:29" x14ac:dyDescent="0.2">
      <c r="Q881" t="s">
        <v>1987</v>
      </c>
      <c r="R881" t="s">
        <v>2358</v>
      </c>
      <c r="S881" t="s">
        <v>808</v>
      </c>
      <c r="T881" s="1">
        <v>44196</v>
      </c>
      <c r="U881" s="1">
        <v>44196</v>
      </c>
      <c r="V881" t="s">
        <v>270</v>
      </c>
      <c r="W881">
        <v>25700000</v>
      </c>
      <c r="X881">
        <v>25700000</v>
      </c>
      <c r="Y881" t="s">
        <v>270</v>
      </c>
      <c r="Z881">
        <v>25700000</v>
      </c>
      <c r="AA881">
        <v>25700000</v>
      </c>
      <c r="AB881" t="b">
        <v>1</v>
      </c>
      <c r="AC881">
        <v>1</v>
      </c>
    </row>
    <row r="882" spans="17:29" x14ac:dyDescent="0.2">
      <c r="Q882" t="s">
        <v>1989</v>
      </c>
      <c r="R882" t="s">
        <v>2358</v>
      </c>
      <c r="S882" t="s">
        <v>808</v>
      </c>
      <c r="T882" s="1">
        <v>44196</v>
      </c>
      <c r="U882" s="1">
        <v>44196</v>
      </c>
      <c r="V882" t="s">
        <v>270</v>
      </c>
      <c r="W882">
        <v>25700000</v>
      </c>
      <c r="X882">
        <v>25700000</v>
      </c>
      <c r="Y882" t="s">
        <v>270</v>
      </c>
      <c r="Z882">
        <v>25700000</v>
      </c>
      <c r="AA882">
        <v>25700000</v>
      </c>
      <c r="AB882" t="b">
        <v>1</v>
      </c>
      <c r="AC882">
        <v>1</v>
      </c>
    </row>
    <row r="883" spans="17:29" x14ac:dyDescent="0.2">
      <c r="Q883" t="s">
        <v>1987</v>
      </c>
      <c r="R883" t="s">
        <v>2359</v>
      </c>
      <c r="S883" t="s">
        <v>808</v>
      </c>
      <c r="T883" s="1">
        <v>44196</v>
      </c>
      <c r="U883" s="1">
        <v>44196</v>
      </c>
      <c r="V883" t="s">
        <v>270</v>
      </c>
      <c r="W883">
        <v>2200000</v>
      </c>
      <c r="X883">
        <v>2200000</v>
      </c>
      <c r="Y883" t="s">
        <v>270</v>
      </c>
      <c r="Z883">
        <v>2200000</v>
      </c>
      <c r="AA883">
        <v>2200000</v>
      </c>
      <c r="AB883" t="b">
        <v>1</v>
      </c>
      <c r="AC883">
        <v>1</v>
      </c>
    </row>
    <row r="884" spans="17:29" x14ac:dyDescent="0.2">
      <c r="Q884" t="s">
        <v>1989</v>
      </c>
      <c r="R884" t="s">
        <v>2359</v>
      </c>
      <c r="S884" t="s">
        <v>808</v>
      </c>
      <c r="T884" s="1">
        <v>44196</v>
      </c>
      <c r="U884" s="1">
        <v>44196</v>
      </c>
      <c r="V884" t="s">
        <v>270</v>
      </c>
      <c r="W884">
        <v>2200000</v>
      </c>
      <c r="X884">
        <v>2200000</v>
      </c>
      <c r="Y884" t="s">
        <v>270</v>
      </c>
      <c r="Z884">
        <v>2200000</v>
      </c>
      <c r="AA884">
        <v>2200000</v>
      </c>
      <c r="AB884" t="b">
        <v>1</v>
      </c>
      <c r="AC884">
        <v>1</v>
      </c>
    </row>
    <row r="885" spans="17:29" x14ac:dyDescent="0.2">
      <c r="Q885" t="s">
        <v>2087</v>
      </c>
      <c r="R885" t="s">
        <v>2360</v>
      </c>
      <c r="S885" t="s">
        <v>724</v>
      </c>
      <c r="T885" s="1">
        <v>44196</v>
      </c>
      <c r="U885" s="1">
        <v>44196</v>
      </c>
      <c r="V885" t="s">
        <v>270</v>
      </c>
      <c r="W885">
        <v>3500000</v>
      </c>
      <c r="X885">
        <v>3500000</v>
      </c>
      <c r="Y885" t="s">
        <v>270</v>
      </c>
      <c r="Z885">
        <v>3500000</v>
      </c>
      <c r="AA885">
        <v>3500000</v>
      </c>
      <c r="AB885" t="b">
        <v>0</v>
      </c>
      <c r="AC885">
        <v>1</v>
      </c>
    </row>
    <row r="886" spans="17:29" x14ac:dyDescent="0.2">
      <c r="Q886" t="s">
        <v>2087</v>
      </c>
      <c r="R886" t="s">
        <v>2360</v>
      </c>
      <c r="S886" t="s">
        <v>724</v>
      </c>
      <c r="T886" s="1">
        <v>44196</v>
      </c>
      <c r="U886" s="1">
        <v>44196</v>
      </c>
      <c r="V886" t="s">
        <v>270</v>
      </c>
      <c r="W886">
        <v>3500000</v>
      </c>
      <c r="X886">
        <v>3500000</v>
      </c>
      <c r="Y886" t="s">
        <v>270</v>
      </c>
      <c r="Z886">
        <v>3500000</v>
      </c>
      <c r="AA886">
        <v>3500000</v>
      </c>
      <c r="AB886" t="b">
        <v>0</v>
      </c>
      <c r="AC886">
        <v>1</v>
      </c>
    </row>
    <row r="887" spans="17:29" x14ac:dyDescent="0.2">
      <c r="Q887" t="s">
        <v>2018</v>
      </c>
      <c r="R887" t="s">
        <v>2361</v>
      </c>
      <c r="S887" t="s">
        <v>528</v>
      </c>
      <c r="T887" s="1">
        <v>44196</v>
      </c>
      <c r="U887" s="1">
        <v>44196</v>
      </c>
      <c r="V887" t="s">
        <v>270</v>
      </c>
      <c r="W887">
        <v>126000000</v>
      </c>
      <c r="X887">
        <v>126000000</v>
      </c>
      <c r="Y887" t="s">
        <v>270</v>
      </c>
      <c r="Z887">
        <v>126000000</v>
      </c>
      <c r="AA887">
        <v>126000000</v>
      </c>
      <c r="AB887" t="b">
        <v>1</v>
      </c>
      <c r="AC887">
        <v>1</v>
      </c>
    </row>
    <row r="888" spans="17:29" x14ac:dyDescent="0.2">
      <c r="Q888" t="s">
        <v>2031</v>
      </c>
      <c r="R888" t="s">
        <v>2362</v>
      </c>
      <c r="S888" t="s">
        <v>257</v>
      </c>
      <c r="T888" s="1">
        <v>42857</v>
      </c>
      <c r="U888" s="1">
        <v>42902</v>
      </c>
      <c r="V888" t="s">
        <v>260</v>
      </c>
      <c r="W888">
        <v>111760000</v>
      </c>
      <c r="X888">
        <v>111760000</v>
      </c>
      <c r="Y888" t="s">
        <v>260</v>
      </c>
      <c r="Z888">
        <v>111760000</v>
      </c>
      <c r="AA888">
        <v>35235513</v>
      </c>
      <c r="AB888" t="b">
        <v>0</v>
      </c>
      <c r="AC888">
        <v>0.1</v>
      </c>
    </row>
    <row r="889" spans="17:29" x14ac:dyDescent="0.2">
      <c r="Q889" t="s">
        <v>1989</v>
      </c>
      <c r="R889" t="s">
        <v>2362</v>
      </c>
      <c r="S889" t="s">
        <v>257</v>
      </c>
      <c r="T889" s="1">
        <v>42857</v>
      </c>
      <c r="U889" s="1">
        <v>42902</v>
      </c>
      <c r="V889" t="s">
        <v>260</v>
      </c>
      <c r="W889">
        <v>111760000</v>
      </c>
      <c r="X889">
        <v>111760000</v>
      </c>
      <c r="Y889" t="s">
        <v>260</v>
      </c>
      <c r="Z889">
        <v>111760000</v>
      </c>
      <c r="AA889">
        <v>35235513</v>
      </c>
      <c r="AB889" t="b">
        <v>0</v>
      </c>
      <c r="AC889">
        <v>0.1</v>
      </c>
    </row>
    <row r="890" spans="17:29" x14ac:dyDescent="0.2">
      <c r="Q890" t="s">
        <v>2029</v>
      </c>
      <c r="R890" t="s">
        <v>2362</v>
      </c>
      <c r="S890" t="s">
        <v>257</v>
      </c>
      <c r="T890" s="1">
        <v>42857</v>
      </c>
      <c r="U890" s="1">
        <v>42902</v>
      </c>
      <c r="V890" t="s">
        <v>260</v>
      </c>
      <c r="W890">
        <v>111760000</v>
      </c>
      <c r="X890">
        <v>111760000</v>
      </c>
      <c r="Y890" t="s">
        <v>260</v>
      </c>
      <c r="Z890">
        <v>111760000</v>
      </c>
      <c r="AA890">
        <v>35235513</v>
      </c>
      <c r="AB890" t="b">
        <v>0</v>
      </c>
      <c r="AC890">
        <v>0.1</v>
      </c>
    </row>
    <row r="891" spans="17:29" x14ac:dyDescent="0.2">
      <c r="Q891" t="s">
        <v>2029</v>
      </c>
      <c r="R891" t="s">
        <v>2362</v>
      </c>
      <c r="S891" t="s">
        <v>257</v>
      </c>
      <c r="T891" s="1">
        <v>42857</v>
      </c>
      <c r="U891" s="1">
        <v>42902</v>
      </c>
      <c r="V891" t="s">
        <v>260</v>
      </c>
      <c r="W891">
        <v>111760000</v>
      </c>
      <c r="X891">
        <v>111760000</v>
      </c>
      <c r="Y891" t="s">
        <v>260</v>
      </c>
      <c r="Z891">
        <v>111760000</v>
      </c>
      <c r="AA891">
        <v>35235513</v>
      </c>
      <c r="AB891" t="b">
        <v>0</v>
      </c>
      <c r="AC891">
        <v>0.1</v>
      </c>
    </row>
    <row r="892" spans="17:29" x14ac:dyDescent="0.2">
      <c r="Q892" t="s">
        <v>2018</v>
      </c>
      <c r="R892" t="s">
        <v>2361</v>
      </c>
      <c r="S892" t="s">
        <v>528</v>
      </c>
      <c r="T892" s="1">
        <v>44196</v>
      </c>
      <c r="U892" s="1">
        <v>44196</v>
      </c>
      <c r="V892" t="s">
        <v>270</v>
      </c>
      <c r="W892">
        <v>126000000</v>
      </c>
      <c r="X892">
        <v>126000000</v>
      </c>
      <c r="Y892" t="s">
        <v>270</v>
      </c>
      <c r="Z892">
        <v>126000000</v>
      </c>
      <c r="AA892">
        <v>126000000</v>
      </c>
      <c r="AB892" t="b">
        <v>1</v>
      </c>
      <c r="AC892">
        <v>1</v>
      </c>
    </row>
    <row r="893" spans="17:29" x14ac:dyDescent="0.2">
      <c r="Q893" t="s">
        <v>2018</v>
      </c>
      <c r="R893" t="s">
        <v>2363</v>
      </c>
      <c r="S893" t="s">
        <v>808</v>
      </c>
      <c r="T893" s="1">
        <v>44196</v>
      </c>
      <c r="U893" s="1">
        <v>44196</v>
      </c>
      <c r="V893" t="s">
        <v>270</v>
      </c>
      <c r="W893">
        <v>68000000</v>
      </c>
      <c r="X893">
        <v>68000000</v>
      </c>
      <c r="Y893" t="s">
        <v>270</v>
      </c>
      <c r="Z893">
        <v>68000000</v>
      </c>
      <c r="AA893">
        <v>68000000</v>
      </c>
      <c r="AB893" t="b">
        <v>1</v>
      </c>
      <c r="AC893">
        <v>1</v>
      </c>
    </row>
    <row r="894" spans="17:29" x14ac:dyDescent="0.2">
      <c r="Q894" t="s">
        <v>2018</v>
      </c>
      <c r="R894" t="s">
        <v>2363</v>
      </c>
      <c r="S894" t="s">
        <v>808</v>
      </c>
      <c r="T894" s="1">
        <v>44196</v>
      </c>
      <c r="U894" s="1">
        <v>44196</v>
      </c>
      <c r="V894" t="s">
        <v>270</v>
      </c>
      <c r="W894">
        <v>68000000</v>
      </c>
      <c r="X894">
        <v>68000000</v>
      </c>
      <c r="Y894" t="s">
        <v>270</v>
      </c>
      <c r="Z894">
        <v>68000000</v>
      </c>
      <c r="AA894">
        <v>68000000</v>
      </c>
      <c r="AB894" t="b">
        <v>1</v>
      </c>
      <c r="AC894">
        <v>1</v>
      </c>
    </row>
    <row r="895" spans="17:29" x14ac:dyDescent="0.2">
      <c r="Q895" t="s">
        <v>2018</v>
      </c>
      <c r="R895" t="s">
        <v>2364</v>
      </c>
      <c r="S895" t="s">
        <v>257</v>
      </c>
      <c r="T895" s="1">
        <v>44196</v>
      </c>
      <c r="U895" s="1">
        <v>44196</v>
      </c>
      <c r="V895" t="s">
        <v>270</v>
      </c>
      <c r="W895">
        <v>196000000</v>
      </c>
      <c r="X895">
        <v>196000000</v>
      </c>
      <c r="Y895" t="s">
        <v>270</v>
      </c>
      <c r="Z895">
        <v>196000000</v>
      </c>
      <c r="AA895">
        <v>196000000</v>
      </c>
      <c r="AB895" t="b">
        <v>0</v>
      </c>
      <c r="AC895">
        <v>1</v>
      </c>
    </row>
    <row r="896" spans="17:29" x14ac:dyDescent="0.2">
      <c r="Q896" t="s">
        <v>2031</v>
      </c>
      <c r="R896" t="s">
        <v>2365</v>
      </c>
      <c r="S896" t="s">
        <v>257</v>
      </c>
      <c r="T896" s="1">
        <v>43327</v>
      </c>
      <c r="U896" s="1">
        <v>43327</v>
      </c>
      <c r="V896" t="s">
        <v>260</v>
      </c>
      <c r="W896">
        <v>127780000</v>
      </c>
      <c r="X896">
        <v>127780000</v>
      </c>
      <c r="Y896" t="s">
        <v>260</v>
      </c>
      <c r="Z896">
        <v>127780000</v>
      </c>
      <c r="AA896">
        <v>32656921</v>
      </c>
      <c r="AB896" t="b">
        <v>0</v>
      </c>
      <c r="AC896">
        <v>0.09</v>
      </c>
    </row>
    <row r="897" spans="17:29" x14ac:dyDescent="0.2">
      <c r="Q897" t="s">
        <v>1989</v>
      </c>
      <c r="R897" t="s">
        <v>2365</v>
      </c>
      <c r="S897" t="s">
        <v>257</v>
      </c>
      <c r="T897" s="1">
        <v>43327</v>
      </c>
      <c r="U897" s="1">
        <v>43327</v>
      </c>
      <c r="V897" t="s">
        <v>260</v>
      </c>
      <c r="W897">
        <v>127780000</v>
      </c>
      <c r="X897">
        <v>127780000</v>
      </c>
      <c r="Y897" t="s">
        <v>260</v>
      </c>
      <c r="Z897">
        <v>127780000</v>
      </c>
      <c r="AA897">
        <v>32656921</v>
      </c>
      <c r="AB897" t="b">
        <v>0</v>
      </c>
      <c r="AC897">
        <v>0.09</v>
      </c>
    </row>
    <row r="898" spans="17:29" x14ac:dyDescent="0.2">
      <c r="Q898" t="s">
        <v>2029</v>
      </c>
      <c r="R898" t="s">
        <v>2365</v>
      </c>
      <c r="S898" t="s">
        <v>257</v>
      </c>
      <c r="T898" s="1">
        <v>43327</v>
      </c>
      <c r="U898" s="1">
        <v>43327</v>
      </c>
      <c r="V898" t="s">
        <v>260</v>
      </c>
      <c r="W898">
        <v>127780000</v>
      </c>
      <c r="X898">
        <v>127780000</v>
      </c>
      <c r="Y898" t="s">
        <v>260</v>
      </c>
      <c r="Z898">
        <v>127780000</v>
      </c>
      <c r="AA898">
        <v>32656921</v>
      </c>
      <c r="AB898" t="b">
        <v>0</v>
      </c>
      <c r="AC898">
        <v>0.09</v>
      </c>
    </row>
    <row r="899" spans="17:29" x14ac:dyDescent="0.2">
      <c r="Q899" t="s">
        <v>2029</v>
      </c>
      <c r="R899" t="s">
        <v>2365</v>
      </c>
      <c r="S899" t="s">
        <v>257</v>
      </c>
      <c r="T899" s="1">
        <v>43327</v>
      </c>
      <c r="U899" s="1">
        <v>43327</v>
      </c>
      <c r="V899" t="s">
        <v>260</v>
      </c>
      <c r="W899">
        <v>127780000</v>
      </c>
      <c r="X899">
        <v>127780000</v>
      </c>
      <c r="Y899" t="s">
        <v>260</v>
      </c>
      <c r="Z899">
        <v>127780000</v>
      </c>
      <c r="AA899">
        <v>32656921</v>
      </c>
      <c r="AB899" t="b">
        <v>0</v>
      </c>
      <c r="AC899">
        <v>0.09</v>
      </c>
    </row>
    <row r="900" spans="17:29" x14ac:dyDescent="0.2">
      <c r="Q900" t="s">
        <v>2018</v>
      </c>
      <c r="R900" t="s">
        <v>2364</v>
      </c>
      <c r="S900" t="s">
        <v>257</v>
      </c>
      <c r="T900" s="1">
        <v>44196</v>
      </c>
      <c r="U900" s="1">
        <v>44196</v>
      </c>
      <c r="V900" t="s">
        <v>270</v>
      </c>
      <c r="W900">
        <v>196000000</v>
      </c>
      <c r="X900">
        <v>196000000</v>
      </c>
      <c r="Y900" t="s">
        <v>270</v>
      </c>
      <c r="Z900">
        <v>196000000</v>
      </c>
      <c r="AA900">
        <v>196000000</v>
      </c>
      <c r="AB900" t="b">
        <v>0</v>
      </c>
      <c r="AC900">
        <v>1</v>
      </c>
    </row>
    <row r="901" spans="17:29" x14ac:dyDescent="0.2">
      <c r="Q901" t="s">
        <v>2018</v>
      </c>
      <c r="R901" t="s">
        <v>2366</v>
      </c>
      <c r="S901" t="s">
        <v>257</v>
      </c>
      <c r="T901" s="1">
        <v>44196</v>
      </c>
      <c r="U901" s="1">
        <v>44196</v>
      </c>
      <c r="V901" t="s">
        <v>270</v>
      </c>
      <c r="W901">
        <v>350000000</v>
      </c>
      <c r="X901">
        <v>350000000</v>
      </c>
      <c r="Y901" t="s">
        <v>270</v>
      </c>
      <c r="Z901">
        <v>350000000</v>
      </c>
      <c r="AA901">
        <v>350000000</v>
      </c>
      <c r="AB901" t="b">
        <v>0</v>
      </c>
      <c r="AC901">
        <v>1</v>
      </c>
    </row>
    <row r="902" spans="17:29" x14ac:dyDescent="0.2">
      <c r="Q902" t="s">
        <v>2018</v>
      </c>
      <c r="R902" t="s">
        <v>2366</v>
      </c>
      <c r="S902" t="s">
        <v>257</v>
      </c>
      <c r="T902" s="1">
        <v>44196</v>
      </c>
      <c r="U902" s="1">
        <v>44196</v>
      </c>
      <c r="V902" t="s">
        <v>270</v>
      </c>
      <c r="W902">
        <v>350000000</v>
      </c>
      <c r="X902">
        <v>350000000</v>
      </c>
      <c r="Y902" t="s">
        <v>270</v>
      </c>
      <c r="Z902">
        <v>350000000</v>
      </c>
      <c r="AA902">
        <v>350000000</v>
      </c>
      <c r="AB902" t="b">
        <v>0</v>
      </c>
      <c r="AC902">
        <v>1</v>
      </c>
    </row>
    <row r="903" spans="17:29" x14ac:dyDescent="0.2">
      <c r="Q903" t="s">
        <v>1998</v>
      </c>
      <c r="R903" t="s">
        <v>2367</v>
      </c>
      <c r="S903" t="s">
        <v>279</v>
      </c>
      <c r="T903" s="1">
        <v>44196</v>
      </c>
      <c r="U903" s="1">
        <v>44196</v>
      </c>
      <c r="V903" t="s">
        <v>270</v>
      </c>
      <c r="W903">
        <v>90000000</v>
      </c>
      <c r="X903">
        <v>90000000</v>
      </c>
      <c r="Y903" t="s">
        <v>270</v>
      </c>
      <c r="Z903">
        <v>90000000</v>
      </c>
      <c r="AA903">
        <v>90000000</v>
      </c>
      <c r="AB903" t="b">
        <v>1</v>
      </c>
      <c r="AC903">
        <v>1</v>
      </c>
    </row>
    <row r="904" spans="17:29" x14ac:dyDescent="0.2">
      <c r="Q904" t="s">
        <v>2067</v>
      </c>
      <c r="R904" t="s">
        <v>2367</v>
      </c>
      <c r="S904" t="s">
        <v>279</v>
      </c>
      <c r="T904" s="1">
        <v>44196</v>
      </c>
      <c r="U904" s="1">
        <v>44196</v>
      </c>
      <c r="V904" t="s">
        <v>270</v>
      </c>
      <c r="W904">
        <v>90000000</v>
      </c>
      <c r="X904">
        <v>90000000</v>
      </c>
      <c r="Y904" t="s">
        <v>270</v>
      </c>
      <c r="Z904">
        <v>90000000</v>
      </c>
      <c r="AA904">
        <v>90000000</v>
      </c>
      <c r="AB904" t="b">
        <v>1</v>
      </c>
      <c r="AC904">
        <v>1</v>
      </c>
    </row>
    <row r="905" spans="17:29" x14ac:dyDescent="0.2">
      <c r="Q905" t="s">
        <v>1998</v>
      </c>
      <c r="R905" t="s">
        <v>2368</v>
      </c>
      <c r="S905" t="s">
        <v>528</v>
      </c>
      <c r="T905" s="1">
        <v>44196</v>
      </c>
      <c r="U905" s="1">
        <v>44196</v>
      </c>
      <c r="V905" t="s">
        <v>270</v>
      </c>
      <c r="W905">
        <v>17100000</v>
      </c>
      <c r="X905">
        <v>17100000</v>
      </c>
      <c r="Y905" t="s">
        <v>270</v>
      </c>
      <c r="Z905">
        <v>17100000</v>
      </c>
      <c r="AA905">
        <v>17100000</v>
      </c>
      <c r="AB905" t="b">
        <v>0</v>
      </c>
      <c r="AC905">
        <v>1</v>
      </c>
    </row>
    <row r="906" spans="17:29" x14ac:dyDescent="0.2">
      <c r="Q906" t="s">
        <v>2067</v>
      </c>
      <c r="R906" t="s">
        <v>2368</v>
      </c>
      <c r="S906" t="s">
        <v>528</v>
      </c>
      <c r="T906" s="1">
        <v>44196</v>
      </c>
      <c r="U906" s="1">
        <v>44196</v>
      </c>
      <c r="V906" t="s">
        <v>270</v>
      </c>
      <c r="W906">
        <v>17100000</v>
      </c>
      <c r="X906">
        <v>17100000</v>
      </c>
      <c r="Y906" t="s">
        <v>270</v>
      </c>
      <c r="Z906">
        <v>17100000</v>
      </c>
      <c r="AA906">
        <v>17100000</v>
      </c>
      <c r="AB906" t="b">
        <v>0</v>
      </c>
      <c r="AC906">
        <v>1</v>
      </c>
    </row>
    <row r="907" spans="17:29" x14ac:dyDescent="0.2">
      <c r="Q907" t="s">
        <v>1998</v>
      </c>
      <c r="R907" t="s">
        <v>2369</v>
      </c>
      <c r="S907" t="s">
        <v>269</v>
      </c>
      <c r="T907" s="1">
        <v>44196</v>
      </c>
      <c r="U907" s="1">
        <v>44196</v>
      </c>
      <c r="V907" t="s">
        <v>270</v>
      </c>
      <c r="W907">
        <v>80000000</v>
      </c>
      <c r="X907">
        <v>80000000</v>
      </c>
      <c r="Y907" t="s">
        <v>270</v>
      </c>
      <c r="Z907">
        <v>80000000</v>
      </c>
      <c r="AA907">
        <v>80000000</v>
      </c>
      <c r="AB907" t="b">
        <v>0</v>
      </c>
      <c r="AC907">
        <v>1</v>
      </c>
    </row>
    <row r="908" spans="17:29" x14ac:dyDescent="0.2">
      <c r="Q908" t="s">
        <v>2067</v>
      </c>
      <c r="R908" t="s">
        <v>2369</v>
      </c>
      <c r="S908" t="s">
        <v>269</v>
      </c>
      <c r="T908" s="1">
        <v>44196</v>
      </c>
      <c r="U908" s="1">
        <v>44196</v>
      </c>
      <c r="V908" t="s">
        <v>270</v>
      </c>
      <c r="W908">
        <v>80000000</v>
      </c>
      <c r="X908">
        <v>80000000</v>
      </c>
      <c r="Y908" t="s">
        <v>270</v>
      </c>
      <c r="Z908">
        <v>80000000</v>
      </c>
      <c r="AA908">
        <v>80000000</v>
      </c>
      <c r="AB908" t="b">
        <v>0</v>
      </c>
      <c r="AC908">
        <v>1</v>
      </c>
    </row>
    <row r="909" spans="17:29" x14ac:dyDescent="0.2">
      <c r="Q909" t="s">
        <v>1998</v>
      </c>
      <c r="R909" t="s">
        <v>2370</v>
      </c>
      <c r="S909" t="s">
        <v>257</v>
      </c>
      <c r="T909" s="1">
        <v>44196</v>
      </c>
      <c r="U909" s="1">
        <v>44196</v>
      </c>
      <c r="V909" t="s">
        <v>270</v>
      </c>
      <c r="W909">
        <v>30000000</v>
      </c>
      <c r="X909">
        <v>30000000</v>
      </c>
      <c r="Y909" t="s">
        <v>270</v>
      </c>
      <c r="Z909">
        <v>30000000</v>
      </c>
      <c r="AA909">
        <v>30000000</v>
      </c>
      <c r="AB909" t="b">
        <v>0</v>
      </c>
      <c r="AC909">
        <v>1</v>
      </c>
    </row>
    <row r="910" spans="17:29" x14ac:dyDescent="0.2">
      <c r="Q910" t="s">
        <v>2067</v>
      </c>
      <c r="R910" t="s">
        <v>2370</v>
      </c>
      <c r="S910" t="s">
        <v>257</v>
      </c>
      <c r="T910" s="1">
        <v>44196</v>
      </c>
      <c r="U910" s="1">
        <v>44196</v>
      </c>
      <c r="V910" t="s">
        <v>270</v>
      </c>
      <c r="W910">
        <v>30000000</v>
      </c>
      <c r="X910">
        <v>30000000</v>
      </c>
      <c r="Y910" t="s">
        <v>270</v>
      </c>
      <c r="Z910">
        <v>30000000</v>
      </c>
      <c r="AA910">
        <v>30000000</v>
      </c>
      <c r="AB910" t="b">
        <v>0</v>
      </c>
      <c r="AC910">
        <v>1</v>
      </c>
    </row>
    <row r="911" spans="17:29" x14ac:dyDescent="0.2">
      <c r="Q911" t="s">
        <v>1998</v>
      </c>
      <c r="R911" t="s">
        <v>2371</v>
      </c>
      <c r="S911" t="s">
        <v>1280</v>
      </c>
      <c r="T911" s="1">
        <v>44196</v>
      </c>
      <c r="U911" s="1">
        <v>44196</v>
      </c>
      <c r="V911" t="s">
        <v>270</v>
      </c>
      <c r="W911">
        <v>100000000</v>
      </c>
      <c r="X911">
        <v>100000000</v>
      </c>
      <c r="Y911" t="s">
        <v>270</v>
      </c>
      <c r="Z911">
        <v>100000000</v>
      </c>
      <c r="AA911">
        <v>100000000</v>
      </c>
      <c r="AB911" t="b">
        <v>0</v>
      </c>
      <c r="AC911">
        <v>1</v>
      </c>
    </row>
    <row r="912" spans="17:29" x14ac:dyDescent="0.2">
      <c r="Q912" t="s">
        <v>2000</v>
      </c>
      <c r="R912" t="s">
        <v>2371</v>
      </c>
      <c r="S912" t="s">
        <v>1280</v>
      </c>
      <c r="T912" s="1">
        <v>44196</v>
      </c>
      <c r="U912" s="1">
        <v>44196</v>
      </c>
      <c r="V912" t="s">
        <v>270</v>
      </c>
      <c r="W912">
        <v>100000000</v>
      </c>
      <c r="X912">
        <v>100000000</v>
      </c>
      <c r="Y912" t="s">
        <v>270</v>
      </c>
      <c r="Z912">
        <v>100000000</v>
      </c>
      <c r="AA912">
        <v>100000000</v>
      </c>
      <c r="AB912" t="b">
        <v>0</v>
      </c>
      <c r="AC912">
        <v>1</v>
      </c>
    </row>
    <row r="913" spans="17:29" x14ac:dyDescent="0.2">
      <c r="Q913" t="s">
        <v>1998</v>
      </c>
      <c r="R913" t="s">
        <v>2372</v>
      </c>
      <c r="S913" t="s">
        <v>384</v>
      </c>
      <c r="T913" s="1">
        <v>44196</v>
      </c>
      <c r="U913" s="1">
        <v>44196</v>
      </c>
      <c r="V913" t="s">
        <v>270</v>
      </c>
      <c r="W913">
        <v>60000000</v>
      </c>
      <c r="X913">
        <v>60000000</v>
      </c>
      <c r="Y913" t="s">
        <v>270</v>
      </c>
      <c r="Z913">
        <v>60000000</v>
      </c>
      <c r="AA913">
        <v>60000000</v>
      </c>
      <c r="AB913" t="b">
        <v>0</v>
      </c>
      <c r="AC913">
        <v>1</v>
      </c>
    </row>
    <row r="914" spans="17:29" x14ac:dyDescent="0.2">
      <c r="Q914" t="s">
        <v>2000</v>
      </c>
      <c r="R914" t="s">
        <v>2372</v>
      </c>
      <c r="S914" t="s">
        <v>384</v>
      </c>
      <c r="T914" s="1">
        <v>44196</v>
      </c>
      <c r="U914" s="1">
        <v>44196</v>
      </c>
      <c r="V914" t="s">
        <v>270</v>
      </c>
      <c r="W914">
        <v>60000000</v>
      </c>
      <c r="X914">
        <v>60000000</v>
      </c>
      <c r="Y914" t="s">
        <v>270</v>
      </c>
      <c r="Z914">
        <v>60000000</v>
      </c>
      <c r="AA914">
        <v>60000000</v>
      </c>
      <c r="AB914" t="b">
        <v>0</v>
      </c>
      <c r="AC914">
        <v>1</v>
      </c>
    </row>
    <row r="915" spans="17:29" x14ac:dyDescent="0.2">
      <c r="Q915" t="s">
        <v>1998</v>
      </c>
      <c r="R915" t="s">
        <v>2373</v>
      </c>
      <c r="S915" t="s">
        <v>257</v>
      </c>
      <c r="T915" s="1">
        <v>44196</v>
      </c>
      <c r="U915" s="1">
        <v>44196</v>
      </c>
      <c r="V915" t="s">
        <v>270</v>
      </c>
      <c r="W915">
        <v>39000000</v>
      </c>
      <c r="X915">
        <v>39000000</v>
      </c>
      <c r="Y915" t="s">
        <v>270</v>
      </c>
      <c r="Z915">
        <v>39000000</v>
      </c>
      <c r="AA915">
        <v>39000000</v>
      </c>
      <c r="AB915" t="b">
        <v>0</v>
      </c>
      <c r="AC915">
        <v>1</v>
      </c>
    </row>
    <row r="916" spans="17:29" x14ac:dyDescent="0.2">
      <c r="Q916" t="s">
        <v>2000</v>
      </c>
      <c r="R916" t="s">
        <v>2373</v>
      </c>
      <c r="S916" t="s">
        <v>257</v>
      </c>
      <c r="T916" s="1">
        <v>44196</v>
      </c>
      <c r="U916" s="1">
        <v>44196</v>
      </c>
      <c r="V916" t="s">
        <v>270</v>
      </c>
      <c r="W916">
        <v>39000000</v>
      </c>
      <c r="X916">
        <v>39000000</v>
      </c>
      <c r="Y916" t="s">
        <v>270</v>
      </c>
      <c r="Z916">
        <v>39000000</v>
      </c>
      <c r="AA916">
        <v>39000000</v>
      </c>
      <c r="AB916" t="b">
        <v>0</v>
      </c>
      <c r="AC916">
        <v>1</v>
      </c>
    </row>
    <row r="917" spans="17:29" x14ac:dyDescent="0.2">
      <c r="Q917" t="s">
        <v>2374</v>
      </c>
      <c r="R917" t="s">
        <v>2320</v>
      </c>
      <c r="S917" t="s">
        <v>257</v>
      </c>
      <c r="T917" s="1">
        <v>43831</v>
      </c>
      <c r="U917" s="1">
        <v>43831</v>
      </c>
      <c r="V917" t="s">
        <v>260</v>
      </c>
      <c r="W917">
        <v>1090000</v>
      </c>
      <c r="X917">
        <v>1090000</v>
      </c>
      <c r="Y917" t="s">
        <v>270</v>
      </c>
      <c r="Z917">
        <v>221000</v>
      </c>
      <c r="AA917">
        <v>221000</v>
      </c>
      <c r="AB917" t="b">
        <v>0</v>
      </c>
      <c r="AC917">
        <v>1</v>
      </c>
    </row>
    <row r="918" spans="17:29" x14ac:dyDescent="0.2">
      <c r="Q918" t="s">
        <v>2374</v>
      </c>
      <c r="R918" t="s">
        <v>2320</v>
      </c>
      <c r="S918" t="s">
        <v>257</v>
      </c>
      <c r="T918" s="1">
        <v>43647</v>
      </c>
      <c r="U918" s="1">
        <v>43647</v>
      </c>
      <c r="V918" t="s">
        <v>260</v>
      </c>
      <c r="W918">
        <v>7287000</v>
      </c>
      <c r="X918">
        <v>7287000</v>
      </c>
      <c r="Y918" t="s">
        <v>270</v>
      </c>
      <c r="Z918">
        <v>1797000</v>
      </c>
      <c r="AA918">
        <v>1797000</v>
      </c>
      <c r="AB918" t="b">
        <v>0</v>
      </c>
      <c r="AC918">
        <v>1</v>
      </c>
    </row>
    <row r="919" spans="17:29" x14ac:dyDescent="0.2">
      <c r="Q919" t="s">
        <v>2374</v>
      </c>
      <c r="R919" t="s">
        <v>2320</v>
      </c>
      <c r="S919" t="s">
        <v>257</v>
      </c>
      <c r="T919" s="1">
        <v>44200</v>
      </c>
      <c r="U919" s="1">
        <v>44200</v>
      </c>
      <c r="V919" t="s">
        <v>260</v>
      </c>
      <c r="W919">
        <v>3850000</v>
      </c>
      <c r="X919">
        <v>3850000</v>
      </c>
      <c r="Y919" t="s">
        <v>270</v>
      </c>
      <c r="Z919">
        <v>714000</v>
      </c>
      <c r="AA919">
        <v>714000</v>
      </c>
      <c r="AB919" t="b">
        <v>0</v>
      </c>
      <c r="AC919">
        <v>1</v>
      </c>
    </row>
    <row r="920" spans="17:29" x14ac:dyDescent="0.2">
      <c r="Q920" t="s">
        <v>2374</v>
      </c>
      <c r="R920" t="s">
        <v>2320</v>
      </c>
      <c r="S920" t="s">
        <v>257</v>
      </c>
      <c r="T920" s="1">
        <v>44013</v>
      </c>
      <c r="U920" s="1">
        <v>44013</v>
      </c>
      <c r="V920" t="s">
        <v>260</v>
      </c>
      <c r="W920">
        <v>750000</v>
      </c>
      <c r="X920">
        <v>750000</v>
      </c>
      <c r="Y920" t="s">
        <v>270</v>
      </c>
      <c r="Z920">
        <v>138000</v>
      </c>
      <c r="AA920">
        <v>138000</v>
      </c>
      <c r="AB920" t="b">
        <v>0</v>
      </c>
      <c r="AC920">
        <v>1</v>
      </c>
    </row>
    <row r="921" spans="17:29" x14ac:dyDescent="0.2">
      <c r="Q921" t="s">
        <v>2141</v>
      </c>
      <c r="R921" t="s">
        <v>2375</v>
      </c>
      <c r="S921" t="s">
        <v>257</v>
      </c>
      <c r="T921" s="1">
        <v>43466</v>
      </c>
      <c r="U921" s="1">
        <v>43466</v>
      </c>
      <c r="V921" t="s">
        <v>260</v>
      </c>
      <c r="W921">
        <v>5826850</v>
      </c>
      <c r="X921">
        <v>5826850</v>
      </c>
      <c r="Y921" t="s">
        <v>270</v>
      </c>
      <c r="Z921">
        <v>1515080</v>
      </c>
      <c r="AA921">
        <v>1515080</v>
      </c>
      <c r="AB921" t="b">
        <v>0</v>
      </c>
      <c r="AC921">
        <v>1</v>
      </c>
    </row>
    <row r="922" spans="17:29" x14ac:dyDescent="0.2">
      <c r="Q922" t="s">
        <v>2141</v>
      </c>
      <c r="R922" t="s">
        <v>2375</v>
      </c>
      <c r="S922" t="s">
        <v>257</v>
      </c>
      <c r="T922" s="1">
        <v>43282</v>
      </c>
      <c r="U922" s="1">
        <v>43282</v>
      </c>
      <c r="V922" t="s">
        <v>260</v>
      </c>
      <c r="W922">
        <v>9775390</v>
      </c>
      <c r="X922">
        <v>9775390</v>
      </c>
      <c r="Y922" t="s">
        <v>270</v>
      </c>
      <c r="Z922">
        <v>2519040</v>
      </c>
      <c r="AA922">
        <v>2519040</v>
      </c>
      <c r="AB922" t="b">
        <v>0</v>
      </c>
      <c r="AC922">
        <v>1</v>
      </c>
    </row>
    <row r="923" spans="17:29" x14ac:dyDescent="0.2">
      <c r="Q923" t="s">
        <v>2376</v>
      </c>
      <c r="R923" t="s">
        <v>2375</v>
      </c>
      <c r="S923" t="s">
        <v>257</v>
      </c>
      <c r="T923" s="1">
        <v>43466</v>
      </c>
      <c r="U923" s="1">
        <v>43466</v>
      </c>
      <c r="V923" t="s">
        <v>260</v>
      </c>
      <c r="W923">
        <v>5826850</v>
      </c>
      <c r="X923">
        <v>5826850</v>
      </c>
      <c r="Y923" t="s">
        <v>270</v>
      </c>
      <c r="Z923">
        <v>1515080</v>
      </c>
      <c r="AA923">
        <v>1515080</v>
      </c>
      <c r="AB923" t="b">
        <v>0</v>
      </c>
      <c r="AC923">
        <v>1</v>
      </c>
    </row>
    <row r="924" spans="17:29" x14ac:dyDescent="0.2">
      <c r="Q924" t="s">
        <v>2376</v>
      </c>
      <c r="R924" t="s">
        <v>2375</v>
      </c>
      <c r="S924" t="s">
        <v>257</v>
      </c>
      <c r="T924" s="1">
        <v>43282</v>
      </c>
      <c r="U924" s="1">
        <v>43282</v>
      </c>
      <c r="V924" t="s">
        <v>260</v>
      </c>
      <c r="W924">
        <v>9775390</v>
      </c>
      <c r="X924">
        <v>9775390</v>
      </c>
      <c r="Y924" t="s">
        <v>270</v>
      </c>
      <c r="Z924">
        <v>2519040</v>
      </c>
      <c r="AA924">
        <v>2519040</v>
      </c>
      <c r="AB924" t="b">
        <v>0</v>
      </c>
      <c r="AC924">
        <v>1</v>
      </c>
    </row>
    <row r="925" spans="17:29" x14ac:dyDescent="0.2">
      <c r="Q925" t="s">
        <v>1998</v>
      </c>
      <c r="R925" t="s">
        <v>2377</v>
      </c>
      <c r="S925" t="s">
        <v>257</v>
      </c>
      <c r="T925" s="1">
        <v>42887</v>
      </c>
      <c r="U925" s="1">
        <v>42887</v>
      </c>
      <c r="V925" t="s">
        <v>260</v>
      </c>
      <c r="W925">
        <v>74400</v>
      </c>
      <c r="X925">
        <v>74400</v>
      </c>
      <c r="Y925" t="s">
        <v>270</v>
      </c>
      <c r="Z925">
        <v>23305</v>
      </c>
      <c r="AA925">
        <v>23305</v>
      </c>
      <c r="AB925" t="b">
        <v>1</v>
      </c>
      <c r="AC925">
        <v>1</v>
      </c>
    </row>
    <row r="926" spans="17:29" x14ac:dyDescent="0.2">
      <c r="Q926" t="s">
        <v>1998</v>
      </c>
      <c r="R926" t="s">
        <v>2377</v>
      </c>
      <c r="S926" t="s">
        <v>257</v>
      </c>
      <c r="T926" s="1">
        <v>42522</v>
      </c>
      <c r="U926" s="1">
        <v>42522</v>
      </c>
      <c r="V926" t="s">
        <v>260</v>
      </c>
      <c r="W926">
        <v>11103450</v>
      </c>
      <c r="X926">
        <v>11103450</v>
      </c>
      <c r="Y926" t="s">
        <v>270</v>
      </c>
      <c r="Z926">
        <v>3187624</v>
      </c>
      <c r="AA926">
        <v>3187624</v>
      </c>
      <c r="AB926" t="b">
        <v>1</v>
      </c>
      <c r="AC926">
        <v>1</v>
      </c>
    </row>
    <row r="927" spans="17:29" x14ac:dyDescent="0.2">
      <c r="Q927" t="s">
        <v>1998</v>
      </c>
      <c r="R927" t="s">
        <v>2377</v>
      </c>
      <c r="S927" t="s">
        <v>257</v>
      </c>
      <c r="T927" s="1">
        <v>42248</v>
      </c>
      <c r="U927" s="1">
        <v>42248</v>
      </c>
      <c r="V927" t="s">
        <v>260</v>
      </c>
      <c r="W927">
        <v>7652550</v>
      </c>
      <c r="X927">
        <v>7652550</v>
      </c>
      <c r="Y927" t="s">
        <v>270</v>
      </c>
      <c r="Z927">
        <v>2292075</v>
      </c>
      <c r="AA927">
        <v>2292075</v>
      </c>
      <c r="AB927" t="b">
        <v>1</v>
      </c>
      <c r="AC927">
        <v>1</v>
      </c>
    </row>
    <row r="928" spans="17:29" x14ac:dyDescent="0.2">
      <c r="Q928" t="s">
        <v>2067</v>
      </c>
      <c r="R928" t="s">
        <v>2377</v>
      </c>
      <c r="S928" t="s">
        <v>257</v>
      </c>
      <c r="T928" s="1">
        <v>42887</v>
      </c>
      <c r="U928" s="1">
        <v>42887</v>
      </c>
      <c r="V928" t="s">
        <v>260</v>
      </c>
      <c r="W928">
        <v>74400</v>
      </c>
      <c r="X928">
        <v>74400</v>
      </c>
      <c r="Y928" t="s">
        <v>270</v>
      </c>
      <c r="Z928">
        <v>23305</v>
      </c>
      <c r="AA928">
        <v>23305</v>
      </c>
      <c r="AB928" t="b">
        <v>1</v>
      </c>
      <c r="AC928">
        <v>1</v>
      </c>
    </row>
    <row r="929" spans="17:29" x14ac:dyDescent="0.2">
      <c r="Q929" t="s">
        <v>2067</v>
      </c>
      <c r="R929" t="s">
        <v>2377</v>
      </c>
      <c r="S929" t="s">
        <v>257</v>
      </c>
      <c r="T929" s="1">
        <v>42522</v>
      </c>
      <c r="U929" s="1">
        <v>42522</v>
      </c>
      <c r="V929" t="s">
        <v>260</v>
      </c>
      <c r="W929">
        <v>11103450</v>
      </c>
      <c r="X929">
        <v>11103450</v>
      </c>
      <c r="Y929" t="s">
        <v>270</v>
      </c>
      <c r="Z929">
        <v>3187624</v>
      </c>
      <c r="AA929">
        <v>3187624</v>
      </c>
      <c r="AB929" t="b">
        <v>1</v>
      </c>
      <c r="AC929">
        <v>1</v>
      </c>
    </row>
    <row r="930" spans="17:29" x14ac:dyDescent="0.2">
      <c r="Q930" t="s">
        <v>2067</v>
      </c>
      <c r="R930" t="s">
        <v>2377</v>
      </c>
      <c r="S930" t="s">
        <v>257</v>
      </c>
      <c r="T930" s="1">
        <v>42248</v>
      </c>
      <c r="U930" s="1">
        <v>42248</v>
      </c>
      <c r="V930" t="s">
        <v>260</v>
      </c>
      <c r="W930">
        <v>7652550</v>
      </c>
      <c r="X930">
        <v>7652550</v>
      </c>
      <c r="Y930" t="s">
        <v>270</v>
      </c>
      <c r="Z930">
        <v>2292075</v>
      </c>
      <c r="AA930">
        <v>2292075</v>
      </c>
      <c r="AB930" t="b">
        <v>1</v>
      </c>
      <c r="AC930">
        <v>1</v>
      </c>
    </row>
    <row r="931" spans="17:29" x14ac:dyDescent="0.2">
      <c r="Q931" t="s">
        <v>2080</v>
      </c>
      <c r="R931" t="s">
        <v>2378</v>
      </c>
      <c r="S931" t="s">
        <v>257</v>
      </c>
      <c r="T931" s="1">
        <v>43466</v>
      </c>
      <c r="U931" s="1">
        <v>43466</v>
      </c>
      <c r="V931" t="s">
        <v>260</v>
      </c>
      <c r="W931">
        <v>858390</v>
      </c>
      <c r="X931">
        <v>858390</v>
      </c>
      <c r="Y931" t="s">
        <v>270</v>
      </c>
      <c r="Z931">
        <v>223200</v>
      </c>
      <c r="AA931">
        <v>223200</v>
      </c>
      <c r="AB931" t="b">
        <v>1</v>
      </c>
      <c r="AC931">
        <v>1</v>
      </c>
    </row>
    <row r="932" spans="17:29" x14ac:dyDescent="0.2">
      <c r="Q932" t="s">
        <v>2080</v>
      </c>
      <c r="R932" t="s">
        <v>2378</v>
      </c>
      <c r="S932" t="s">
        <v>257</v>
      </c>
      <c r="T932" s="1">
        <v>43282</v>
      </c>
      <c r="U932" s="1">
        <v>43282</v>
      </c>
      <c r="V932" t="s">
        <v>260</v>
      </c>
      <c r="W932">
        <v>954500</v>
      </c>
      <c r="X932">
        <v>954500</v>
      </c>
      <c r="Y932" t="s">
        <v>270</v>
      </c>
      <c r="Z932">
        <v>245970</v>
      </c>
      <c r="AA932">
        <v>245970</v>
      </c>
      <c r="AB932" t="b">
        <v>1</v>
      </c>
      <c r="AC932">
        <v>1</v>
      </c>
    </row>
    <row r="933" spans="17:29" x14ac:dyDescent="0.2">
      <c r="Q933" t="s">
        <v>2080</v>
      </c>
      <c r="R933" t="s">
        <v>2378</v>
      </c>
      <c r="S933" t="s">
        <v>257</v>
      </c>
      <c r="T933" s="1">
        <v>43101</v>
      </c>
      <c r="U933" s="1">
        <v>43101</v>
      </c>
      <c r="V933" t="s">
        <v>260</v>
      </c>
      <c r="W933">
        <v>3193491</v>
      </c>
      <c r="X933">
        <v>3193491</v>
      </c>
      <c r="Y933" t="s">
        <v>270</v>
      </c>
      <c r="Z933">
        <v>931754</v>
      </c>
      <c r="AA933">
        <v>931754</v>
      </c>
      <c r="AB933" t="b">
        <v>1</v>
      </c>
      <c r="AC933">
        <v>1</v>
      </c>
    </row>
    <row r="934" spans="17:29" x14ac:dyDescent="0.2">
      <c r="Q934" t="s">
        <v>2080</v>
      </c>
      <c r="R934" t="s">
        <v>2378</v>
      </c>
      <c r="S934" t="s">
        <v>257</v>
      </c>
      <c r="T934" s="1">
        <v>42887</v>
      </c>
      <c r="U934" s="1">
        <v>42887</v>
      </c>
      <c r="V934" t="s">
        <v>260</v>
      </c>
      <c r="W934">
        <v>6987843</v>
      </c>
      <c r="X934">
        <v>6987843</v>
      </c>
      <c r="Y934" t="s">
        <v>270</v>
      </c>
      <c r="Z934">
        <v>2188832</v>
      </c>
      <c r="AA934">
        <v>2188832</v>
      </c>
      <c r="AB934" t="b">
        <v>1</v>
      </c>
      <c r="AC934">
        <v>1</v>
      </c>
    </row>
    <row r="935" spans="17:29" x14ac:dyDescent="0.2">
      <c r="Q935" t="s">
        <v>2080</v>
      </c>
      <c r="R935" t="s">
        <v>2378</v>
      </c>
      <c r="S935" t="s">
        <v>257</v>
      </c>
      <c r="T935" s="1">
        <v>42522</v>
      </c>
      <c r="U935" s="1">
        <v>42522</v>
      </c>
      <c r="V935" t="s">
        <v>260</v>
      </c>
      <c r="W935">
        <v>2394000</v>
      </c>
      <c r="X935">
        <v>2394000</v>
      </c>
      <c r="Y935" t="s">
        <v>270</v>
      </c>
      <c r="Z935">
        <v>687280</v>
      </c>
      <c r="AA935">
        <v>687280</v>
      </c>
      <c r="AB935" t="b">
        <v>1</v>
      </c>
      <c r="AC935">
        <v>1</v>
      </c>
    </row>
    <row r="936" spans="17:29" x14ac:dyDescent="0.2">
      <c r="Q936" t="s">
        <v>2080</v>
      </c>
      <c r="R936" t="s">
        <v>2378</v>
      </c>
      <c r="S936" t="s">
        <v>257</v>
      </c>
      <c r="T936" s="1">
        <v>42248</v>
      </c>
      <c r="U936" s="1">
        <v>42248</v>
      </c>
      <c r="V936" t="s">
        <v>260</v>
      </c>
      <c r="W936">
        <v>1343000</v>
      </c>
      <c r="X936">
        <v>1343000</v>
      </c>
      <c r="Y936" t="s">
        <v>270</v>
      </c>
      <c r="Z936">
        <v>402253</v>
      </c>
      <c r="AA936">
        <v>402253</v>
      </c>
      <c r="AB936" t="b">
        <v>1</v>
      </c>
      <c r="AC936">
        <v>1</v>
      </c>
    </row>
    <row r="937" spans="17:29" x14ac:dyDescent="0.2">
      <c r="Q937" t="s">
        <v>2082</v>
      </c>
      <c r="R937" t="s">
        <v>2378</v>
      </c>
      <c r="S937" t="s">
        <v>257</v>
      </c>
      <c r="T937" s="1">
        <v>43466</v>
      </c>
      <c r="U937" s="1">
        <v>43466</v>
      </c>
      <c r="V937" t="s">
        <v>260</v>
      </c>
      <c r="W937">
        <v>858390</v>
      </c>
      <c r="X937">
        <v>858390</v>
      </c>
      <c r="Y937" t="s">
        <v>270</v>
      </c>
      <c r="Z937">
        <v>223200</v>
      </c>
      <c r="AA937">
        <v>223200</v>
      </c>
      <c r="AB937" t="b">
        <v>1</v>
      </c>
      <c r="AC937">
        <v>1</v>
      </c>
    </row>
    <row r="938" spans="17:29" x14ac:dyDescent="0.2">
      <c r="Q938" t="s">
        <v>2082</v>
      </c>
      <c r="R938" t="s">
        <v>2378</v>
      </c>
      <c r="S938" t="s">
        <v>257</v>
      </c>
      <c r="T938" s="1">
        <v>43282</v>
      </c>
      <c r="U938" s="1">
        <v>43282</v>
      </c>
      <c r="V938" t="s">
        <v>260</v>
      </c>
      <c r="W938">
        <v>954500</v>
      </c>
      <c r="X938">
        <v>954500</v>
      </c>
      <c r="Y938" t="s">
        <v>270</v>
      </c>
      <c r="Z938">
        <v>245970</v>
      </c>
      <c r="AA938">
        <v>245970</v>
      </c>
      <c r="AB938" t="b">
        <v>1</v>
      </c>
      <c r="AC938">
        <v>1</v>
      </c>
    </row>
    <row r="939" spans="17:29" x14ac:dyDescent="0.2">
      <c r="Q939" t="s">
        <v>2082</v>
      </c>
      <c r="R939" t="s">
        <v>2378</v>
      </c>
      <c r="S939" t="s">
        <v>257</v>
      </c>
      <c r="T939" s="1">
        <v>43101</v>
      </c>
      <c r="U939" s="1">
        <v>43101</v>
      </c>
      <c r="V939" t="s">
        <v>260</v>
      </c>
      <c r="W939">
        <v>3193491</v>
      </c>
      <c r="X939">
        <v>3193491</v>
      </c>
      <c r="Y939" t="s">
        <v>270</v>
      </c>
      <c r="Z939">
        <v>931754</v>
      </c>
      <c r="AA939">
        <v>931754</v>
      </c>
      <c r="AB939" t="b">
        <v>1</v>
      </c>
      <c r="AC939">
        <v>1</v>
      </c>
    </row>
    <row r="940" spans="17:29" x14ac:dyDescent="0.2">
      <c r="Q940" t="s">
        <v>2082</v>
      </c>
      <c r="R940" t="s">
        <v>2378</v>
      </c>
      <c r="S940" t="s">
        <v>257</v>
      </c>
      <c r="T940" s="1">
        <v>42887</v>
      </c>
      <c r="U940" s="1">
        <v>42887</v>
      </c>
      <c r="V940" t="s">
        <v>260</v>
      </c>
      <c r="W940">
        <v>6987843</v>
      </c>
      <c r="X940">
        <v>6987843</v>
      </c>
      <c r="Y940" t="s">
        <v>270</v>
      </c>
      <c r="Z940">
        <v>2188832</v>
      </c>
      <c r="AA940">
        <v>2188832</v>
      </c>
      <c r="AB940" t="b">
        <v>1</v>
      </c>
      <c r="AC940">
        <v>1</v>
      </c>
    </row>
    <row r="941" spans="17:29" x14ac:dyDescent="0.2">
      <c r="Q941" t="s">
        <v>2082</v>
      </c>
      <c r="R941" t="s">
        <v>2378</v>
      </c>
      <c r="S941" t="s">
        <v>257</v>
      </c>
      <c r="T941" s="1">
        <v>42522</v>
      </c>
      <c r="U941" s="1">
        <v>42522</v>
      </c>
      <c r="V941" t="s">
        <v>260</v>
      </c>
      <c r="W941">
        <v>2394000</v>
      </c>
      <c r="X941">
        <v>2394000</v>
      </c>
      <c r="Y941" t="s">
        <v>270</v>
      </c>
      <c r="Z941">
        <v>687280</v>
      </c>
      <c r="AA941">
        <v>687280</v>
      </c>
      <c r="AB941" t="b">
        <v>1</v>
      </c>
      <c r="AC941">
        <v>1</v>
      </c>
    </row>
    <row r="942" spans="17:29" x14ac:dyDescent="0.2">
      <c r="Q942" t="s">
        <v>2082</v>
      </c>
      <c r="R942" t="s">
        <v>2378</v>
      </c>
      <c r="S942" t="s">
        <v>257</v>
      </c>
      <c r="T942" s="1">
        <v>42248</v>
      </c>
      <c r="U942" s="1">
        <v>42248</v>
      </c>
      <c r="V942" t="s">
        <v>260</v>
      </c>
      <c r="W942">
        <v>1343000</v>
      </c>
      <c r="X942">
        <v>1343000</v>
      </c>
      <c r="Y942" t="s">
        <v>270</v>
      </c>
      <c r="Z942">
        <v>402253</v>
      </c>
      <c r="AA942">
        <v>402253</v>
      </c>
      <c r="AB942" t="b">
        <v>1</v>
      </c>
      <c r="AC942">
        <v>1</v>
      </c>
    </row>
    <row r="943" spans="17:29" x14ac:dyDescent="0.2">
      <c r="Q943" t="s">
        <v>2208</v>
      </c>
      <c r="R943" t="s">
        <v>2379</v>
      </c>
      <c r="S943" t="s">
        <v>257</v>
      </c>
      <c r="T943" s="1">
        <v>44013</v>
      </c>
      <c r="U943" s="1">
        <v>44013</v>
      </c>
      <c r="V943" t="s">
        <v>260</v>
      </c>
      <c r="W943">
        <v>14000</v>
      </c>
      <c r="X943">
        <v>14000</v>
      </c>
      <c r="Y943" t="s">
        <v>270</v>
      </c>
      <c r="Z943">
        <v>3000</v>
      </c>
      <c r="AA943">
        <v>3000</v>
      </c>
      <c r="AB943" t="b">
        <v>0</v>
      </c>
      <c r="AC943">
        <v>1</v>
      </c>
    </row>
    <row r="944" spans="17:29" x14ac:dyDescent="0.2">
      <c r="Q944" t="s">
        <v>2208</v>
      </c>
      <c r="R944" t="s">
        <v>2379</v>
      </c>
      <c r="S944" t="s">
        <v>257</v>
      </c>
      <c r="T944" s="1">
        <v>43831</v>
      </c>
      <c r="U944" s="1">
        <v>43831</v>
      </c>
      <c r="V944" t="s">
        <v>260</v>
      </c>
      <c r="W944">
        <v>5000</v>
      </c>
      <c r="X944">
        <v>5000</v>
      </c>
      <c r="Y944" t="s">
        <v>270</v>
      </c>
      <c r="Z944">
        <v>1000</v>
      </c>
      <c r="AA944">
        <v>1000</v>
      </c>
      <c r="AB944" t="b">
        <v>0</v>
      </c>
      <c r="AC944">
        <v>1</v>
      </c>
    </row>
    <row r="945" spans="17:29" x14ac:dyDescent="0.2">
      <c r="Q945" t="s">
        <v>2208</v>
      </c>
      <c r="R945" t="s">
        <v>2379</v>
      </c>
      <c r="S945" t="s">
        <v>257</v>
      </c>
      <c r="T945" s="1">
        <v>43647</v>
      </c>
      <c r="U945" s="1">
        <v>43647</v>
      </c>
      <c r="V945" t="s">
        <v>260</v>
      </c>
      <c r="W945">
        <v>16000</v>
      </c>
      <c r="X945">
        <v>16000</v>
      </c>
      <c r="Y945" t="s">
        <v>270</v>
      </c>
      <c r="Z945">
        <v>4000</v>
      </c>
      <c r="AA945">
        <v>4000</v>
      </c>
      <c r="AB945" t="b">
        <v>0</v>
      </c>
      <c r="AC945">
        <v>1</v>
      </c>
    </row>
    <row r="946" spans="17:29" x14ac:dyDescent="0.2">
      <c r="Q946" t="s">
        <v>2208</v>
      </c>
      <c r="R946" t="s">
        <v>2379</v>
      </c>
      <c r="S946" t="s">
        <v>257</v>
      </c>
      <c r="T946" s="1">
        <v>43466</v>
      </c>
      <c r="U946" s="1">
        <v>43466</v>
      </c>
      <c r="V946" t="s">
        <v>260</v>
      </c>
      <c r="W946">
        <v>14910</v>
      </c>
      <c r="X946">
        <v>14910</v>
      </c>
      <c r="Y946" t="s">
        <v>270</v>
      </c>
      <c r="Z946">
        <v>3880</v>
      </c>
      <c r="AA946">
        <v>3880</v>
      </c>
      <c r="AB946" t="b">
        <v>0</v>
      </c>
      <c r="AC946">
        <v>1</v>
      </c>
    </row>
    <row r="947" spans="17:29" x14ac:dyDescent="0.2">
      <c r="Q947" t="s">
        <v>2208</v>
      </c>
      <c r="R947" t="s">
        <v>2379</v>
      </c>
      <c r="S947" t="s">
        <v>257</v>
      </c>
      <c r="T947" s="1">
        <v>43282</v>
      </c>
      <c r="U947" s="1">
        <v>43282</v>
      </c>
      <c r="V947" t="s">
        <v>260</v>
      </c>
      <c r="W947">
        <v>13370</v>
      </c>
      <c r="X947">
        <v>13370</v>
      </c>
      <c r="Y947" t="s">
        <v>270</v>
      </c>
      <c r="Z947">
        <v>3450</v>
      </c>
      <c r="AA947">
        <v>3450</v>
      </c>
      <c r="AB947" t="b">
        <v>0</v>
      </c>
      <c r="AC947">
        <v>1</v>
      </c>
    </row>
    <row r="948" spans="17:29" x14ac:dyDescent="0.2">
      <c r="Q948" t="s">
        <v>2210</v>
      </c>
      <c r="R948" t="s">
        <v>2379</v>
      </c>
      <c r="S948" t="s">
        <v>257</v>
      </c>
      <c r="T948" s="1">
        <v>44013</v>
      </c>
      <c r="U948" s="1">
        <v>44013</v>
      </c>
      <c r="V948" t="s">
        <v>260</v>
      </c>
      <c r="W948">
        <v>14000</v>
      </c>
      <c r="X948">
        <v>14000</v>
      </c>
      <c r="Y948" t="s">
        <v>270</v>
      </c>
      <c r="Z948">
        <v>3000</v>
      </c>
      <c r="AA948">
        <v>3000</v>
      </c>
      <c r="AB948" t="b">
        <v>0</v>
      </c>
      <c r="AC948">
        <v>1</v>
      </c>
    </row>
    <row r="949" spans="17:29" x14ac:dyDescent="0.2">
      <c r="Q949" t="s">
        <v>2210</v>
      </c>
      <c r="R949" t="s">
        <v>2379</v>
      </c>
      <c r="S949" t="s">
        <v>257</v>
      </c>
      <c r="T949" s="1">
        <v>43831</v>
      </c>
      <c r="U949" s="1">
        <v>43831</v>
      </c>
      <c r="V949" t="s">
        <v>260</v>
      </c>
      <c r="W949">
        <v>5000</v>
      </c>
      <c r="X949">
        <v>5000</v>
      </c>
      <c r="Y949" t="s">
        <v>270</v>
      </c>
      <c r="Z949">
        <v>1000</v>
      </c>
      <c r="AA949">
        <v>1000</v>
      </c>
      <c r="AB949" t="b">
        <v>0</v>
      </c>
      <c r="AC949">
        <v>1</v>
      </c>
    </row>
    <row r="950" spans="17:29" x14ac:dyDescent="0.2">
      <c r="Q950" t="s">
        <v>2210</v>
      </c>
      <c r="R950" t="s">
        <v>2379</v>
      </c>
      <c r="S950" t="s">
        <v>257</v>
      </c>
      <c r="T950" s="1">
        <v>43647</v>
      </c>
      <c r="U950" s="1">
        <v>43647</v>
      </c>
      <c r="V950" t="s">
        <v>260</v>
      </c>
      <c r="W950">
        <v>16000</v>
      </c>
      <c r="X950">
        <v>16000</v>
      </c>
      <c r="Y950" t="s">
        <v>270</v>
      </c>
      <c r="Z950">
        <v>4000</v>
      </c>
      <c r="AA950">
        <v>4000</v>
      </c>
      <c r="AB950" t="b">
        <v>0</v>
      </c>
      <c r="AC950">
        <v>1</v>
      </c>
    </row>
    <row r="951" spans="17:29" x14ac:dyDescent="0.2">
      <c r="Q951" t="s">
        <v>2210</v>
      </c>
      <c r="R951" t="s">
        <v>2379</v>
      </c>
      <c r="S951" t="s">
        <v>257</v>
      </c>
      <c r="T951" s="1">
        <v>43466</v>
      </c>
      <c r="U951" s="1">
        <v>43466</v>
      </c>
      <c r="V951" t="s">
        <v>260</v>
      </c>
      <c r="W951">
        <v>14910</v>
      </c>
      <c r="X951">
        <v>14910</v>
      </c>
      <c r="Y951" t="s">
        <v>270</v>
      </c>
      <c r="Z951">
        <v>3880</v>
      </c>
      <c r="AA951">
        <v>3880</v>
      </c>
      <c r="AB951" t="b">
        <v>0</v>
      </c>
      <c r="AC951">
        <v>1</v>
      </c>
    </row>
    <row r="952" spans="17:29" x14ac:dyDescent="0.2">
      <c r="Q952" t="s">
        <v>2210</v>
      </c>
      <c r="R952" t="s">
        <v>2379</v>
      </c>
      <c r="S952" t="s">
        <v>257</v>
      </c>
      <c r="T952" s="1">
        <v>43282</v>
      </c>
      <c r="U952" s="1">
        <v>43282</v>
      </c>
      <c r="V952" t="s">
        <v>260</v>
      </c>
      <c r="W952">
        <v>13370</v>
      </c>
      <c r="X952">
        <v>13370</v>
      </c>
      <c r="Y952" t="s">
        <v>270</v>
      </c>
      <c r="Z952">
        <v>3450</v>
      </c>
      <c r="AA952">
        <v>3450</v>
      </c>
      <c r="AB952" t="b">
        <v>0</v>
      </c>
      <c r="AC952">
        <v>1</v>
      </c>
    </row>
    <row r="953" spans="17:29" x14ac:dyDescent="0.2">
      <c r="Q953" t="s">
        <v>2208</v>
      </c>
      <c r="R953" t="s">
        <v>2380</v>
      </c>
      <c r="S953" t="s">
        <v>257</v>
      </c>
      <c r="T953" s="1">
        <v>42887</v>
      </c>
      <c r="U953" s="1">
        <v>42887</v>
      </c>
      <c r="V953" t="s">
        <v>260</v>
      </c>
      <c r="W953">
        <v>615000</v>
      </c>
      <c r="X953">
        <v>615000</v>
      </c>
      <c r="Y953" t="s">
        <v>270</v>
      </c>
      <c r="Z953">
        <v>192639</v>
      </c>
      <c r="AA953">
        <v>192639</v>
      </c>
      <c r="AB953" t="b">
        <v>1</v>
      </c>
      <c r="AC953">
        <v>1</v>
      </c>
    </row>
    <row r="954" spans="17:29" x14ac:dyDescent="0.2">
      <c r="Q954" t="s">
        <v>2208</v>
      </c>
      <c r="R954" t="s">
        <v>2380</v>
      </c>
      <c r="S954" t="s">
        <v>257</v>
      </c>
      <c r="T954" s="1">
        <v>42522</v>
      </c>
      <c r="U954" s="1">
        <v>42522</v>
      </c>
      <c r="V954" t="s">
        <v>260</v>
      </c>
      <c r="W954">
        <v>582000</v>
      </c>
      <c r="X954">
        <v>582000</v>
      </c>
      <c r="Y954" t="s">
        <v>270</v>
      </c>
      <c r="Z954">
        <v>167083</v>
      </c>
      <c r="AA954">
        <v>167083</v>
      </c>
      <c r="AB954" t="b">
        <v>1</v>
      </c>
      <c r="AC954">
        <v>1</v>
      </c>
    </row>
    <row r="955" spans="17:29" x14ac:dyDescent="0.2">
      <c r="Q955" t="s">
        <v>2208</v>
      </c>
      <c r="R955" t="s">
        <v>2380</v>
      </c>
      <c r="S955" t="s">
        <v>257</v>
      </c>
      <c r="T955" s="1">
        <v>42248</v>
      </c>
      <c r="U955" s="1">
        <v>42248</v>
      </c>
      <c r="V955" t="s">
        <v>260</v>
      </c>
      <c r="W955">
        <v>400000</v>
      </c>
      <c r="X955">
        <v>400000</v>
      </c>
      <c r="Y955" t="s">
        <v>270</v>
      </c>
      <c r="Z955">
        <v>119808</v>
      </c>
      <c r="AA955">
        <v>119808</v>
      </c>
      <c r="AB955" t="b">
        <v>1</v>
      </c>
      <c r="AC955">
        <v>1</v>
      </c>
    </row>
    <row r="956" spans="17:29" x14ac:dyDescent="0.2">
      <c r="Q956" t="s">
        <v>2210</v>
      </c>
      <c r="R956" t="s">
        <v>2380</v>
      </c>
      <c r="S956" t="s">
        <v>257</v>
      </c>
      <c r="T956" s="1">
        <v>42887</v>
      </c>
      <c r="U956" s="1">
        <v>42887</v>
      </c>
      <c r="V956" t="s">
        <v>260</v>
      </c>
      <c r="W956">
        <v>615000</v>
      </c>
      <c r="X956">
        <v>615000</v>
      </c>
      <c r="Y956" t="s">
        <v>270</v>
      </c>
      <c r="Z956">
        <v>192639</v>
      </c>
      <c r="AA956">
        <v>192639</v>
      </c>
      <c r="AB956" t="b">
        <v>1</v>
      </c>
      <c r="AC956">
        <v>1</v>
      </c>
    </row>
    <row r="957" spans="17:29" x14ac:dyDescent="0.2">
      <c r="Q957" t="s">
        <v>2210</v>
      </c>
      <c r="R957" t="s">
        <v>2380</v>
      </c>
      <c r="S957" t="s">
        <v>257</v>
      </c>
      <c r="T957" s="1">
        <v>42522</v>
      </c>
      <c r="U957" s="1">
        <v>42522</v>
      </c>
      <c r="V957" t="s">
        <v>260</v>
      </c>
      <c r="W957">
        <v>582000</v>
      </c>
      <c r="X957">
        <v>582000</v>
      </c>
      <c r="Y957" t="s">
        <v>270</v>
      </c>
      <c r="Z957">
        <v>167083</v>
      </c>
      <c r="AA957">
        <v>167083</v>
      </c>
      <c r="AB957" t="b">
        <v>1</v>
      </c>
      <c r="AC957">
        <v>1</v>
      </c>
    </row>
    <row r="958" spans="17:29" x14ac:dyDescent="0.2">
      <c r="Q958" t="s">
        <v>2210</v>
      </c>
      <c r="R958" t="s">
        <v>2380</v>
      </c>
      <c r="S958" t="s">
        <v>257</v>
      </c>
      <c r="T958" s="1">
        <v>42248</v>
      </c>
      <c r="U958" s="1">
        <v>42248</v>
      </c>
      <c r="V958" t="s">
        <v>260</v>
      </c>
      <c r="W958">
        <v>400000</v>
      </c>
      <c r="X958">
        <v>400000</v>
      </c>
      <c r="Y958" t="s">
        <v>270</v>
      </c>
      <c r="Z958">
        <v>119808</v>
      </c>
      <c r="AA958">
        <v>119808</v>
      </c>
      <c r="AB958" t="b">
        <v>1</v>
      </c>
      <c r="AC958">
        <v>1</v>
      </c>
    </row>
    <row r="959" spans="17:29" x14ac:dyDescent="0.2">
      <c r="Q959" t="s">
        <v>2029</v>
      </c>
      <c r="R959" t="s">
        <v>2381</v>
      </c>
      <c r="S959" t="s">
        <v>257</v>
      </c>
      <c r="T959" s="1">
        <v>44197</v>
      </c>
      <c r="U959" s="1">
        <v>44197</v>
      </c>
      <c r="V959" t="s">
        <v>260</v>
      </c>
      <c r="W959">
        <v>9875000</v>
      </c>
      <c r="X959">
        <v>9875000</v>
      </c>
      <c r="Y959" t="s">
        <v>270</v>
      </c>
      <c r="Z959">
        <v>1832000</v>
      </c>
      <c r="AA959">
        <v>1832000</v>
      </c>
      <c r="AB959" t="b">
        <v>0</v>
      </c>
      <c r="AC959">
        <v>1</v>
      </c>
    </row>
    <row r="960" spans="17:29" x14ac:dyDescent="0.2">
      <c r="Q960" t="s">
        <v>2029</v>
      </c>
      <c r="R960" t="s">
        <v>2381</v>
      </c>
      <c r="S960" t="s">
        <v>257</v>
      </c>
      <c r="T960" s="1">
        <v>44013</v>
      </c>
      <c r="U960" s="1">
        <v>44013</v>
      </c>
      <c r="V960" t="s">
        <v>260</v>
      </c>
      <c r="W960">
        <v>8248000</v>
      </c>
      <c r="X960">
        <v>8248000</v>
      </c>
      <c r="Y960" t="s">
        <v>270</v>
      </c>
      <c r="Z960">
        <v>1517000</v>
      </c>
      <c r="AA960">
        <v>1517000</v>
      </c>
      <c r="AB960" t="b">
        <v>0</v>
      </c>
      <c r="AC960">
        <v>1</v>
      </c>
    </row>
    <row r="961" spans="17:29" x14ac:dyDescent="0.2">
      <c r="Q961" t="s">
        <v>2029</v>
      </c>
      <c r="R961" t="s">
        <v>2381</v>
      </c>
      <c r="S961" t="s">
        <v>257</v>
      </c>
      <c r="T961" s="1">
        <v>43831</v>
      </c>
      <c r="U961" s="1">
        <v>43831</v>
      </c>
      <c r="V961" t="s">
        <v>260</v>
      </c>
      <c r="W961">
        <v>6829000</v>
      </c>
      <c r="X961">
        <v>6829000</v>
      </c>
      <c r="Y961" t="s">
        <v>270</v>
      </c>
      <c r="Z961">
        <v>1387000</v>
      </c>
      <c r="AA961">
        <v>1387000</v>
      </c>
      <c r="AB961" t="b">
        <v>0</v>
      </c>
      <c r="AC961">
        <v>1</v>
      </c>
    </row>
    <row r="962" spans="17:29" x14ac:dyDescent="0.2">
      <c r="Q962" t="s">
        <v>2029</v>
      </c>
      <c r="R962" t="s">
        <v>2381</v>
      </c>
      <c r="S962" t="s">
        <v>257</v>
      </c>
      <c r="T962" s="1">
        <v>43647</v>
      </c>
      <c r="U962" s="1">
        <v>43647</v>
      </c>
      <c r="V962" t="s">
        <v>260</v>
      </c>
      <c r="W962">
        <v>6237000</v>
      </c>
      <c r="X962">
        <v>6237000</v>
      </c>
      <c r="Y962" t="s">
        <v>270</v>
      </c>
      <c r="Z962">
        <v>1538000</v>
      </c>
      <c r="AA962">
        <v>1538000</v>
      </c>
      <c r="AB962" t="b">
        <v>0</v>
      </c>
      <c r="AC962">
        <v>1</v>
      </c>
    </row>
    <row r="963" spans="17:29" x14ac:dyDescent="0.2">
      <c r="Q963" t="s">
        <v>2382</v>
      </c>
      <c r="R963" t="s">
        <v>2381</v>
      </c>
      <c r="S963" t="s">
        <v>257</v>
      </c>
      <c r="T963" s="1">
        <v>44197</v>
      </c>
      <c r="U963" s="1">
        <v>44197</v>
      </c>
      <c r="V963" t="s">
        <v>260</v>
      </c>
      <c r="W963">
        <v>9875000</v>
      </c>
      <c r="X963">
        <v>9875000</v>
      </c>
      <c r="Y963" t="s">
        <v>270</v>
      </c>
      <c r="Z963">
        <v>1832000</v>
      </c>
      <c r="AA963">
        <v>1832000</v>
      </c>
      <c r="AB963" t="b">
        <v>0</v>
      </c>
      <c r="AC963">
        <v>1</v>
      </c>
    </row>
    <row r="964" spans="17:29" x14ac:dyDescent="0.2">
      <c r="Q964" t="s">
        <v>2382</v>
      </c>
      <c r="R964" t="s">
        <v>2381</v>
      </c>
      <c r="S964" t="s">
        <v>257</v>
      </c>
      <c r="T964" s="1">
        <v>44013</v>
      </c>
      <c r="U964" s="1">
        <v>44013</v>
      </c>
      <c r="V964" t="s">
        <v>260</v>
      </c>
      <c r="W964">
        <v>8248000</v>
      </c>
      <c r="X964">
        <v>8248000</v>
      </c>
      <c r="Y964" t="s">
        <v>270</v>
      </c>
      <c r="Z964">
        <v>1517000</v>
      </c>
      <c r="AA964">
        <v>1517000</v>
      </c>
      <c r="AB964" t="b">
        <v>0</v>
      </c>
      <c r="AC964">
        <v>1</v>
      </c>
    </row>
    <row r="965" spans="17:29" x14ac:dyDescent="0.2">
      <c r="Q965" t="s">
        <v>2382</v>
      </c>
      <c r="R965" t="s">
        <v>2381</v>
      </c>
      <c r="S965" t="s">
        <v>257</v>
      </c>
      <c r="T965" s="1">
        <v>43831</v>
      </c>
      <c r="U965" s="1">
        <v>43831</v>
      </c>
      <c r="V965" t="s">
        <v>260</v>
      </c>
      <c r="W965">
        <v>6829000</v>
      </c>
      <c r="X965">
        <v>6829000</v>
      </c>
      <c r="Y965" t="s">
        <v>270</v>
      </c>
      <c r="Z965">
        <v>1387000</v>
      </c>
      <c r="AA965">
        <v>1387000</v>
      </c>
      <c r="AB965" t="b">
        <v>0</v>
      </c>
      <c r="AC965">
        <v>1</v>
      </c>
    </row>
    <row r="966" spans="17:29" x14ac:dyDescent="0.2">
      <c r="Q966" t="s">
        <v>2382</v>
      </c>
      <c r="R966" t="s">
        <v>2381</v>
      </c>
      <c r="S966" t="s">
        <v>257</v>
      </c>
      <c r="T966" s="1">
        <v>43647</v>
      </c>
      <c r="U966" s="1">
        <v>43647</v>
      </c>
      <c r="V966" t="s">
        <v>260</v>
      </c>
      <c r="W966">
        <v>6237000</v>
      </c>
      <c r="X966">
        <v>6237000</v>
      </c>
      <c r="Y966" t="s">
        <v>270</v>
      </c>
      <c r="Z966">
        <v>1538000</v>
      </c>
      <c r="AA966">
        <v>1538000</v>
      </c>
      <c r="AB966" t="b">
        <v>0</v>
      </c>
      <c r="AC966">
        <v>1</v>
      </c>
    </row>
    <row r="967" spans="17:29" x14ac:dyDescent="0.2">
      <c r="Q967" t="s">
        <v>2208</v>
      </c>
      <c r="R967" t="s">
        <v>2383</v>
      </c>
      <c r="S967" t="s">
        <v>257</v>
      </c>
      <c r="T967" s="1">
        <v>43466</v>
      </c>
      <c r="U967" s="1">
        <v>43466</v>
      </c>
      <c r="V967" t="s">
        <v>260</v>
      </c>
      <c r="W967">
        <v>6670</v>
      </c>
      <c r="X967">
        <v>6670</v>
      </c>
      <c r="Y967" t="s">
        <v>270</v>
      </c>
      <c r="Z967">
        <v>1740</v>
      </c>
      <c r="AA967">
        <v>1740</v>
      </c>
      <c r="AB967" t="b">
        <v>0</v>
      </c>
      <c r="AC967">
        <v>1</v>
      </c>
    </row>
    <row r="968" spans="17:29" x14ac:dyDescent="0.2">
      <c r="Q968" t="s">
        <v>2208</v>
      </c>
      <c r="R968" t="s">
        <v>2383</v>
      </c>
      <c r="S968" t="s">
        <v>257</v>
      </c>
      <c r="T968" s="1">
        <v>43282</v>
      </c>
      <c r="U968" s="1">
        <v>43282</v>
      </c>
      <c r="V968" t="s">
        <v>260</v>
      </c>
      <c r="W968">
        <v>9800</v>
      </c>
      <c r="X968">
        <v>9800</v>
      </c>
      <c r="Y968" t="s">
        <v>270</v>
      </c>
      <c r="Z968">
        <v>2530</v>
      </c>
      <c r="AA968">
        <v>2530</v>
      </c>
      <c r="AB968" t="b">
        <v>0</v>
      </c>
      <c r="AC968">
        <v>1</v>
      </c>
    </row>
    <row r="969" spans="17:29" x14ac:dyDescent="0.2">
      <c r="Q969" t="s">
        <v>2210</v>
      </c>
      <c r="R969" t="s">
        <v>2383</v>
      </c>
      <c r="S969" t="s">
        <v>257</v>
      </c>
      <c r="T969" s="1">
        <v>43466</v>
      </c>
      <c r="U969" s="1">
        <v>43466</v>
      </c>
      <c r="V969" t="s">
        <v>260</v>
      </c>
      <c r="W969">
        <v>6670</v>
      </c>
      <c r="X969">
        <v>6670</v>
      </c>
      <c r="Y969" t="s">
        <v>270</v>
      </c>
      <c r="Z969">
        <v>1740</v>
      </c>
      <c r="AA969">
        <v>1740</v>
      </c>
      <c r="AB969" t="b">
        <v>0</v>
      </c>
      <c r="AC969">
        <v>1</v>
      </c>
    </row>
    <row r="970" spans="17:29" x14ac:dyDescent="0.2">
      <c r="Q970" t="s">
        <v>2210</v>
      </c>
      <c r="R970" t="s">
        <v>2383</v>
      </c>
      <c r="S970" t="s">
        <v>257</v>
      </c>
      <c r="T970" s="1">
        <v>43282</v>
      </c>
      <c r="U970" s="1">
        <v>43282</v>
      </c>
      <c r="V970" t="s">
        <v>260</v>
      </c>
      <c r="W970">
        <v>9800</v>
      </c>
      <c r="X970">
        <v>9800</v>
      </c>
      <c r="Y970" t="s">
        <v>270</v>
      </c>
      <c r="Z970">
        <v>2530</v>
      </c>
      <c r="AA970">
        <v>2530</v>
      </c>
      <c r="AB970" t="b">
        <v>0</v>
      </c>
      <c r="AC970">
        <v>1</v>
      </c>
    </row>
    <row r="971" spans="17:29" x14ac:dyDescent="0.2">
      <c r="Q971" t="s">
        <v>2080</v>
      </c>
      <c r="R971" t="s">
        <v>2384</v>
      </c>
      <c r="S971" t="s">
        <v>257</v>
      </c>
      <c r="T971" s="1">
        <v>44197</v>
      </c>
      <c r="U971" s="1">
        <v>44197</v>
      </c>
      <c r="V971" t="s">
        <v>260</v>
      </c>
      <c r="W971">
        <v>36000</v>
      </c>
      <c r="X971">
        <v>36000</v>
      </c>
      <c r="Y971" t="s">
        <v>270</v>
      </c>
      <c r="Z971">
        <v>7000</v>
      </c>
      <c r="AA971">
        <v>7000</v>
      </c>
      <c r="AB971" t="b">
        <v>0</v>
      </c>
      <c r="AC971">
        <v>1</v>
      </c>
    </row>
    <row r="972" spans="17:29" x14ac:dyDescent="0.2">
      <c r="Q972" t="s">
        <v>2080</v>
      </c>
      <c r="R972" t="s">
        <v>2384</v>
      </c>
      <c r="S972" t="s">
        <v>257</v>
      </c>
      <c r="T972" s="1">
        <v>44013</v>
      </c>
      <c r="U972" s="1">
        <v>44013</v>
      </c>
      <c r="V972" t="s">
        <v>260</v>
      </c>
      <c r="W972">
        <v>76000</v>
      </c>
      <c r="X972">
        <v>76000</v>
      </c>
      <c r="Y972" t="s">
        <v>270</v>
      </c>
      <c r="Z972">
        <v>14000</v>
      </c>
      <c r="AA972">
        <v>14000</v>
      </c>
      <c r="AB972" t="b">
        <v>0</v>
      </c>
      <c r="AC972">
        <v>1</v>
      </c>
    </row>
    <row r="973" spans="17:29" x14ac:dyDescent="0.2">
      <c r="Q973" t="s">
        <v>2080</v>
      </c>
      <c r="R973" t="s">
        <v>2384</v>
      </c>
      <c r="S973" t="s">
        <v>257</v>
      </c>
      <c r="T973" s="1">
        <v>43647</v>
      </c>
      <c r="U973" s="1">
        <v>43647</v>
      </c>
      <c r="V973" t="s">
        <v>260</v>
      </c>
      <c r="W973">
        <v>121000</v>
      </c>
      <c r="X973">
        <v>121000</v>
      </c>
      <c r="Y973" t="s">
        <v>270</v>
      </c>
      <c r="Z973">
        <v>30000</v>
      </c>
      <c r="AA973">
        <v>30000</v>
      </c>
      <c r="AB973" t="b">
        <v>0</v>
      </c>
      <c r="AC973">
        <v>1</v>
      </c>
    </row>
    <row r="974" spans="17:29" x14ac:dyDescent="0.2">
      <c r="Q974" t="s">
        <v>2082</v>
      </c>
      <c r="R974" t="s">
        <v>2384</v>
      </c>
      <c r="S974" t="s">
        <v>257</v>
      </c>
      <c r="T974" s="1">
        <v>44197</v>
      </c>
      <c r="U974" s="1">
        <v>44197</v>
      </c>
      <c r="V974" t="s">
        <v>260</v>
      </c>
      <c r="W974">
        <v>36000</v>
      </c>
      <c r="X974">
        <v>36000</v>
      </c>
      <c r="Y974" t="s">
        <v>270</v>
      </c>
      <c r="Z974">
        <v>7000</v>
      </c>
      <c r="AA974">
        <v>7000</v>
      </c>
      <c r="AB974" t="b">
        <v>0</v>
      </c>
      <c r="AC974">
        <v>1</v>
      </c>
    </row>
    <row r="975" spans="17:29" x14ac:dyDescent="0.2">
      <c r="Q975" t="s">
        <v>2082</v>
      </c>
      <c r="R975" t="s">
        <v>2384</v>
      </c>
      <c r="S975" t="s">
        <v>257</v>
      </c>
      <c r="T975" s="1">
        <v>44013</v>
      </c>
      <c r="U975" s="1">
        <v>44013</v>
      </c>
      <c r="V975" t="s">
        <v>260</v>
      </c>
      <c r="W975">
        <v>76000</v>
      </c>
      <c r="X975">
        <v>76000</v>
      </c>
      <c r="Y975" t="s">
        <v>270</v>
      </c>
      <c r="Z975">
        <v>14000</v>
      </c>
      <c r="AA975">
        <v>14000</v>
      </c>
      <c r="AB975" t="b">
        <v>0</v>
      </c>
      <c r="AC975">
        <v>1</v>
      </c>
    </row>
    <row r="976" spans="17:29" x14ac:dyDescent="0.2">
      <c r="Q976" t="s">
        <v>2082</v>
      </c>
      <c r="R976" t="s">
        <v>2384</v>
      </c>
      <c r="S976" t="s">
        <v>257</v>
      </c>
      <c r="T976" s="1">
        <v>43647</v>
      </c>
      <c r="U976" s="1">
        <v>43647</v>
      </c>
      <c r="V976" t="s">
        <v>260</v>
      </c>
      <c r="W976">
        <v>121000</v>
      </c>
      <c r="X976">
        <v>121000</v>
      </c>
      <c r="Y976" t="s">
        <v>270</v>
      </c>
      <c r="Z976">
        <v>30000</v>
      </c>
      <c r="AA976">
        <v>30000</v>
      </c>
      <c r="AB976" t="b">
        <v>0</v>
      </c>
      <c r="AC976">
        <v>1</v>
      </c>
    </row>
    <row r="977" spans="17:29" x14ac:dyDescent="0.2">
      <c r="Q977" t="s">
        <v>2080</v>
      </c>
      <c r="R977" t="s">
        <v>2082</v>
      </c>
      <c r="S977" t="s">
        <v>257</v>
      </c>
      <c r="T977" s="1">
        <v>44197</v>
      </c>
      <c r="U977" s="1">
        <v>44197</v>
      </c>
      <c r="V977" t="s">
        <v>260</v>
      </c>
      <c r="W977">
        <v>8083000</v>
      </c>
      <c r="X977">
        <v>8083000</v>
      </c>
      <c r="Y977" t="s">
        <v>270</v>
      </c>
      <c r="Z977">
        <v>1500000</v>
      </c>
      <c r="AA977">
        <v>1500000</v>
      </c>
      <c r="AB977" t="b">
        <v>1</v>
      </c>
      <c r="AC977">
        <v>1</v>
      </c>
    </row>
    <row r="978" spans="17:29" x14ac:dyDescent="0.2">
      <c r="Q978" t="s">
        <v>2080</v>
      </c>
      <c r="R978" t="s">
        <v>2082</v>
      </c>
      <c r="S978" t="s">
        <v>257</v>
      </c>
      <c r="T978" s="1">
        <v>44013</v>
      </c>
      <c r="U978" s="1">
        <v>44013</v>
      </c>
      <c r="V978" t="s">
        <v>260</v>
      </c>
      <c r="W978">
        <v>8895000</v>
      </c>
      <c r="X978">
        <v>8895000</v>
      </c>
      <c r="Y978" t="s">
        <v>270</v>
      </c>
      <c r="Z978">
        <v>1636</v>
      </c>
      <c r="AA978">
        <v>1636</v>
      </c>
      <c r="AB978" t="b">
        <v>1</v>
      </c>
      <c r="AC978">
        <v>1</v>
      </c>
    </row>
    <row r="979" spans="17:29" x14ac:dyDescent="0.2">
      <c r="Q979" t="s">
        <v>2080</v>
      </c>
      <c r="R979" t="s">
        <v>2082</v>
      </c>
      <c r="S979" t="s">
        <v>257</v>
      </c>
      <c r="T979" s="1">
        <v>43831</v>
      </c>
      <c r="U979" s="1">
        <v>43831</v>
      </c>
      <c r="V979" t="s">
        <v>260</v>
      </c>
      <c r="W979">
        <v>5250000</v>
      </c>
      <c r="X979">
        <v>5250000</v>
      </c>
      <c r="Y979" t="s">
        <v>270</v>
      </c>
      <c r="Z979">
        <v>1066000</v>
      </c>
      <c r="AA979">
        <v>1066000</v>
      </c>
      <c r="AB979" t="b">
        <v>1</v>
      </c>
      <c r="AC979">
        <v>1</v>
      </c>
    </row>
    <row r="980" spans="17:29" x14ac:dyDescent="0.2">
      <c r="Q980" t="s">
        <v>2080</v>
      </c>
      <c r="R980" t="s">
        <v>2082</v>
      </c>
      <c r="S980" t="s">
        <v>257</v>
      </c>
      <c r="T980" s="1">
        <v>43647</v>
      </c>
      <c r="U980" s="1">
        <v>43647</v>
      </c>
      <c r="V980" t="s">
        <v>260</v>
      </c>
      <c r="W980">
        <v>5522000</v>
      </c>
      <c r="X980">
        <v>5522000</v>
      </c>
      <c r="Y980" t="s">
        <v>270</v>
      </c>
      <c r="Z980">
        <v>1362000</v>
      </c>
      <c r="AA980">
        <v>1362000</v>
      </c>
      <c r="AB980" t="b">
        <v>1</v>
      </c>
      <c r="AC980">
        <v>1</v>
      </c>
    </row>
    <row r="981" spans="17:29" x14ac:dyDescent="0.2">
      <c r="Q981" t="s">
        <v>2080</v>
      </c>
      <c r="R981" t="s">
        <v>2082</v>
      </c>
      <c r="S981" t="s">
        <v>257</v>
      </c>
      <c r="T981" s="1">
        <v>43101</v>
      </c>
      <c r="U981" s="1">
        <v>43101</v>
      </c>
      <c r="V981" t="s">
        <v>260</v>
      </c>
      <c r="W981">
        <v>47660000</v>
      </c>
      <c r="X981">
        <v>47660000</v>
      </c>
      <c r="Y981" t="s">
        <v>270</v>
      </c>
      <c r="Z981">
        <v>13905585</v>
      </c>
      <c r="AA981">
        <v>13905585</v>
      </c>
      <c r="AB981" t="b">
        <v>1</v>
      </c>
      <c r="AC981">
        <v>1</v>
      </c>
    </row>
    <row r="982" spans="17:29" x14ac:dyDescent="0.2">
      <c r="Q982" t="s">
        <v>2080</v>
      </c>
      <c r="R982" t="s">
        <v>2082</v>
      </c>
      <c r="S982" t="s">
        <v>257</v>
      </c>
      <c r="T982" s="1">
        <v>42887</v>
      </c>
      <c r="U982" s="1">
        <v>42887</v>
      </c>
      <c r="V982" t="s">
        <v>260</v>
      </c>
      <c r="W982">
        <v>107510000</v>
      </c>
      <c r="X982">
        <v>107510000</v>
      </c>
      <c r="Y982" t="s">
        <v>270</v>
      </c>
      <c r="Z982">
        <v>33675803</v>
      </c>
      <c r="AA982">
        <v>33675803</v>
      </c>
      <c r="AB982" t="b">
        <v>1</v>
      </c>
      <c r="AC982">
        <v>1</v>
      </c>
    </row>
    <row r="983" spans="17:29" x14ac:dyDescent="0.2">
      <c r="Q983" t="s">
        <v>2080</v>
      </c>
      <c r="R983" t="s">
        <v>2082</v>
      </c>
      <c r="S983" t="s">
        <v>257</v>
      </c>
      <c r="T983" s="1">
        <v>42522</v>
      </c>
      <c r="U983" s="1">
        <v>42522</v>
      </c>
      <c r="V983" t="s">
        <v>260</v>
      </c>
      <c r="W983">
        <v>14661000</v>
      </c>
      <c r="X983">
        <v>14661000</v>
      </c>
      <c r="Y983" t="s">
        <v>270</v>
      </c>
      <c r="Z983">
        <v>4208940</v>
      </c>
      <c r="AA983">
        <v>4208940</v>
      </c>
      <c r="AB983" t="b">
        <v>1</v>
      </c>
      <c r="AC983">
        <v>1</v>
      </c>
    </row>
    <row r="984" spans="17:29" x14ac:dyDescent="0.2">
      <c r="Q984" t="s">
        <v>2080</v>
      </c>
      <c r="R984" t="s">
        <v>2082</v>
      </c>
      <c r="S984" t="s">
        <v>257</v>
      </c>
      <c r="T984" s="1">
        <v>42248</v>
      </c>
      <c r="U984" s="1">
        <v>42248</v>
      </c>
      <c r="V984" t="s">
        <v>260</v>
      </c>
      <c r="W984">
        <v>4005000</v>
      </c>
      <c r="X984">
        <v>4005000</v>
      </c>
      <c r="Y984" t="s">
        <v>270</v>
      </c>
      <c r="Z984">
        <v>1199569</v>
      </c>
      <c r="AA984">
        <v>1199569</v>
      </c>
      <c r="AB984" t="b">
        <v>1</v>
      </c>
      <c r="AC984">
        <v>1</v>
      </c>
    </row>
    <row r="985" spans="17:29" x14ac:dyDescent="0.2">
      <c r="Q985" t="s">
        <v>2082</v>
      </c>
      <c r="R985" t="s">
        <v>2082</v>
      </c>
      <c r="S985" t="s">
        <v>257</v>
      </c>
      <c r="T985" s="1">
        <v>44197</v>
      </c>
      <c r="U985" s="1">
        <v>44197</v>
      </c>
      <c r="V985" t="s">
        <v>260</v>
      </c>
      <c r="W985">
        <v>8083000</v>
      </c>
      <c r="X985">
        <v>8083000</v>
      </c>
      <c r="Y985" t="s">
        <v>270</v>
      </c>
      <c r="Z985">
        <v>1500000</v>
      </c>
      <c r="AA985">
        <v>1500000</v>
      </c>
      <c r="AB985" t="b">
        <v>1</v>
      </c>
      <c r="AC985">
        <v>1</v>
      </c>
    </row>
    <row r="986" spans="17:29" x14ac:dyDescent="0.2">
      <c r="Q986" t="s">
        <v>2082</v>
      </c>
      <c r="R986" t="s">
        <v>2082</v>
      </c>
      <c r="S986" t="s">
        <v>257</v>
      </c>
      <c r="T986" s="1">
        <v>44013</v>
      </c>
      <c r="U986" s="1">
        <v>44013</v>
      </c>
      <c r="V986" t="s">
        <v>260</v>
      </c>
      <c r="W986">
        <v>8895000</v>
      </c>
      <c r="X986">
        <v>8895000</v>
      </c>
      <c r="Y986" t="s">
        <v>270</v>
      </c>
      <c r="Z986">
        <v>1636</v>
      </c>
      <c r="AA986">
        <v>1636</v>
      </c>
      <c r="AB986" t="b">
        <v>1</v>
      </c>
      <c r="AC986">
        <v>1</v>
      </c>
    </row>
    <row r="987" spans="17:29" x14ac:dyDescent="0.2">
      <c r="Q987" t="s">
        <v>2082</v>
      </c>
      <c r="R987" t="s">
        <v>2082</v>
      </c>
      <c r="S987" t="s">
        <v>257</v>
      </c>
      <c r="T987" s="1">
        <v>43831</v>
      </c>
      <c r="U987" s="1">
        <v>43831</v>
      </c>
      <c r="V987" t="s">
        <v>260</v>
      </c>
      <c r="W987">
        <v>5250000</v>
      </c>
      <c r="X987">
        <v>5250000</v>
      </c>
      <c r="Y987" t="s">
        <v>270</v>
      </c>
      <c r="Z987">
        <v>1066000</v>
      </c>
      <c r="AA987">
        <v>1066000</v>
      </c>
      <c r="AB987" t="b">
        <v>1</v>
      </c>
      <c r="AC987">
        <v>1</v>
      </c>
    </row>
    <row r="988" spans="17:29" x14ac:dyDescent="0.2">
      <c r="Q988" t="s">
        <v>2082</v>
      </c>
      <c r="R988" t="s">
        <v>2082</v>
      </c>
      <c r="S988" t="s">
        <v>257</v>
      </c>
      <c r="T988" s="1">
        <v>43647</v>
      </c>
      <c r="U988" s="1">
        <v>43647</v>
      </c>
      <c r="V988" t="s">
        <v>260</v>
      </c>
      <c r="W988">
        <v>5522000</v>
      </c>
      <c r="X988">
        <v>5522000</v>
      </c>
      <c r="Y988" t="s">
        <v>270</v>
      </c>
      <c r="Z988">
        <v>1362000</v>
      </c>
      <c r="AA988">
        <v>1362000</v>
      </c>
      <c r="AB988" t="b">
        <v>1</v>
      </c>
      <c r="AC988">
        <v>1</v>
      </c>
    </row>
    <row r="989" spans="17:29" x14ac:dyDescent="0.2">
      <c r="Q989" t="s">
        <v>2082</v>
      </c>
      <c r="R989" t="s">
        <v>2082</v>
      </c>
      <c r="S989" t="s">
        <v>257</v>
      </c>
      <c r="T989" s="1">
        <v>43101</v>
      </c>
      <c r="U989" s="1">
        <v>43101</v>
      </c>
      <c r="V989" t="s">
        <v>260</v>
      </c>
      <c r="W989">
        <v>47660000</v>
      </c>
      <c r="X989">
        <v>47660000</v>
      </c>
      <c r="Y989" t="s">
        <v>270</v>
      </c>
      <c r="Z989">
        <v>13905585</v>
      </c>
      <c r="AA989">
        <v>13905585</v>
      </c>
      <c r="AB989" t="b">
        <v>1</v>
      </c>
      <c r="AC989">
        <v>1</v>
      </c>
    </row>
    <row r="990" spans="17:29" x14ac:dyDescent="0.2">
      <c r="Q990" t="s">
        <v>2082</v>
      </c>
      <c r="R990" t="s">
        <v>2082</v>
      </c>
      <c r="S990" t="s">
        <v>257</v>
      </c>
      <c r="T990" s="1">
        <v>42887</v>
      </c>
      <c r="U990" s="1">
        <v>42887</v>
      </c>
      <c r="V990" t="s">
        <v>260</v>
      </c>
      <c r="W990">
        <v>107510000</v>
      </c>
      <c r="X990">
        <v>107510000</v>
      </c>
      <c r="Y990" t="s">
        <v>270</v>
      </c>
      <c r="Z990">
        <v>33675803</v>
      </c>
      <c r="AA990">
        <v>33675803</v>
      </c>
      <c r="AB990" t="b">
        <v>1</v>
      </c>
      <c r="AC990">
        <v>1</v>
      </c>
    </row>
    <row r="991" spans="17:29" x14ac:dyDescent="0.2">
      <c r="Q991" t="s">
        <v>2082</v>
      </c>
      <c r="R991" t="s">
        <v>2082</v>
      </c>
      <c r="S991" t="s">
        <v>257</v>
      </c>
      <c r="T991" s="1">
        <v>42522</v>
      </c>
      <c r="U991" s="1">
        <v>42522</v>
      </c>
      <c r="V991" t="s">
        <v>260</v>
      </c>
      <c r="W991">
        <v>14661000</v>
      </c>
      <c r="X991">
        <v>14661000</v>
      </c>
      <c r="Y991" t="s">
        <v>270</v>
      </c>
      <c r="Z991">
        <v>4208940</v>
      </c>
      <c r="AA991">
        <v>4208940</v>
      </c>
      <c r="AB991" t="b">
        <v>1</v>
      </c>
      <c r="AC991">
        <v>1</v>
      </c>
    </row>
    <row r="992" spans="17:29" x14ac:dyDescent="0.2">
      <c r="Q992" t="s">
        <v>2082</v>
      </c>
      <c r="R992" t="s">
        <v>2082</v>
      </c>
      <c r="S992" t="s">
        <v>257</v>
      </c>
      <c r="T992" s="1">
        <v>42248</v>
      </c>
      <c r="U992" s="1">
        <v>42248</v>
      </c>
      <c r="V992" t="s">
        <v>260</v>
      </c>
      <c r="W992">
        <v>4005000</v>
      </c>
      <c r="X992">
        <v>4005000</v>
      </c>
      <c r="Y992" t="s">
        <v>270</v>
      </c>
      <c r="Z992">
        <v>1199569</v>
      </c>
      <c r="AA992">
        <v>1199569</v>
      </c>
      <c r="AB992" t="b">
        <v>1</v>
      </c>
      <c r="AC992">
        <v>1</v>
      </c>
    </row>
    <row r="993" spans="17:29" x14ac:dyDescent="0.2">
      <c r="Q993" t="s">
        <v>2128</v>
      </c>
      <c r="R993" t="s">
        <v>2385</v>
      </c>
      <c r="S993" t="s">
        <v>400</v>
      </c>
      <c r="T993" s="1">
        <v>43281</v>
      </c>
      <c r="U993" s="1">
        <v>43281</v>
      </c>
      <c r="V993" t="s">
        <v>401</v>
      </c>
      <c r="W993">
        <v>23500000</v>
      </c>
      <c r="X993">
        <v>23500000</v>
      </c>
      <c r="Y993" t="s">
        <v>401</v>
      </c>
      <c r="Z993">
        <v>23500000</v>
      </c>
      <c r="AA993">
        <v>23500000</v>
      </c>
      <c r="AB993" t="b">
        <v>0</v>
      </c>
      <c r="AC993">
        <v>1</v>
      </c>
    </row>
    <row r="994" spans="17:29" x14ac:dyDescent="0.2">
      <c r="Q994" t="s">
        <v>1989</v>
      </c>
      <c r="R994" t="s">
        <v>2385</v>
      </c>
      <c r="S994" t="s">
        <v>400</v>
      </c>
      <c r="T994" s="1">
        <v>43281</v>
      </c>
      <c r="U994" s="1">
        <v>43281</v>
      </c>
      <c r="V994" t="s">
        <v>401</v>
      </c>
      <c r="W994">
        <v>23500000</v>
      </c>
      <c r="X994">
        <v>23500000</v>
      </c>
      <c r="Y994" t="s">
        <v>401</v>
      </c>
      <c r="Z994">
        <v>23500000</v>
      </c>
      <c r="AA994">
        <v>23500000</v>
      </c>
      <c r="AB994" t="b">
        <v>0</v>
      </c>
      <c r="AC994">
        <v>1</v>
      </c>
    </row>
    <row r="995" spans="17:29" x14ac:dyDescent="0.2">
      <c r="Q995" t="s">
        <v>2029</v>
      </c>
      <c r="R995" t="s">
        <v>2385</v>
      </c>
      <c r="S995" t="s">
        <v>400</v>
      </c>
      <c r="T995" s="1">
        <v>43281</v>
      </c>
      <c r="U995" s="1">
        <v>43281</v>
      </c>
      <c r="V995" t="s">
        <v>401</v>
      </c>
      <c r="W995">
        <v>23500000</v>
      </c>
      <c r="X995">
        <v>23500000</v>
      </c>
      <c r="Y995" t="s">
        <v>401</v>
      </c>
      <c r="Z995">
        <v>23500000</v>
      </c>
      <c r="AA995">
        <v>23500000</v>
      </c>
      <c r="AB995" t="b">
        <v>0</v>
      </c>
      <c r="AC995">
        <v>1</v>
      </c>
    </row>
    <row r="996" spans="17:29" x14ac:dyDescent="0.2">
      <c r="Q996" t="s">
        <v>2029</v>
      </c>
      <c r="R996" t="s">
        <v>2385</v>
      </c>
      <c r="S996" t="s">
        <v>400</v>
      </c>
      <c r="T996" s="1">
        <v>43281</v>
      </c>
      <c r="U996" s="1">
        <v>43281</v>
      </c>
      <c r="V996" t="s">
        <v>401</v>
      </c>
      <c r="W996">
        <v>23500000</v>
      </c>
      <c r="X996">
        <v>23500000</v>
      </c>
      <c r="Y996" t="s">
        <v>401</v>
      </c>
      <c r="Z996">
        <v>23500000</v>
      </c>
      <c r="AA996">
        <v>23500000</v>
      </c>
      <c r="AB996" t="b">
        <v>0</v>
      </c>
      <c r="AC996">
        <v>1</v>
      </c>
    </row>
    <row r="997" spans="17:29" x14ac:dyDescent="0.2">
      <c r="Q997" t="s">
        <v>2040</v>
      </c>
      <c r="R997" t="s">
        <v>2386</v>
      </c>
      <c r="S997" t="s">
        <v>257</v>
      </c>
      <c r="T997" s="1">
        <v>44530</v>
      </c>
      <c r="U997" s="1">
        <v>44530</v>
      </c>
      <c r="V997" t="s">
        <v>260</v>
      </c>
      <c r="W997">
        <v>857321755</v>
      </c>
      <c r="X997">
        <v>857321755</v>
      </c>
      <c r="Y997" t="s">
        <v>270</v>
      </c>
      <c r="Z997">
        <v>153093171</v>
      </c>
      <c r="AA997">
        <v>153093171</v>
      </c>
      <c r="AB997" t="b">
        <v>1</v>
      </c>
      <c r="AC997">
        <v>1</v>
      </c>
    </row>
    <row r="998" spans="17:29" x14ac:dyDescent="0.2">
      <c r="Q998" t="s">
        <v>1989</v>
      </c>
      <c r="R998" t="s">
        <v>2386</v>
      </c>
      <c r="S998" t="s">
        <v>257</v>
      </c>
      <c r="T998" s="1">
        <v>44530</v>
      </c>
      <c r="U998" s="1">
        <v>44530</v>
      </c>
      <c r="V998" t="s">
        <v>260</v>
      </c>
      <c r="W998">
        <v>857321755</v>
      </c>
      <c r="X998">
        <v>857321755</v>
      </c>
      <c r="Y998" t="s">
        <v>270</v>
      </c>
      <c r="Z998">
        <v>153093171</v>
      </c>
      <c r="AA998">
        <v>153093171</v>
      </c>
      <c r="AB998" t="b">
        <v>1</v>
      </c>
      <c r="AC998">
        <v>1</v>
      </c>
    </row>
    <row r="999" spans="17:29" x14ac:dyDescent="0.2">
      <c r="Q999" t="s">
        <v>2031</v>
      </c>
      <c r="R999" t="s">
        <v>2387</v>
      </c>
      <c r="S999" t="s">
        <v>257</v>
      </c>
      <c r="T999" s="1">
        <v>44530</v>
      </c>
      <c r="U999" s="1">
        <v>44530</v>
      </c>
      <c r="V999" t="s">
        <v>260</v>
      </c>
      <c r="W999">
        <v>455956224</v>
      </c>
      <c r="X999">
        <v>455956224</v>
      </c>
      <c r="Y999" t="s">
        <v>270</v>
      </c>
      <c r="Z999">
        <v>81420754</v>
      </c>
      <c r="AA999">
        <v>81420754</v>
      </c>
      <c r="AB999" t="b">
        <v>1</v>
      </c>
      <c r="AC999">
        <v>1</v>
      </c>
    </row>
    <row r="1000" spans="17:29" x14ac:dyDescent="0.2">
      <c r="Q1000" t="s">
        <v>1989</v>
      </c>
      <c r="R1000" t="s">
        <v>2387</v>
      </c>
      <c r="S1000" t="s">
        <v>257</v>
      </c>
      <c r="T1000" s="1">
        <v>44530</v>
      </c>
      <c r="U1000" s="1">
        <v>44530</v>
      </c>
      <c r="V1000" t="s">
        <v>260</v>
      </c>
      <c r="W1000">
        <v>455956224</v>
      </c>
      <c r="X1000">
        <v>455956224</v>
      </c>
      <c r="Y1000" t="s">
        <v>270</v>
      </c>
      <c r="Z1000">
        <v>81420754</v>
      </c>
      <c r="AA1000">
        <v>81420754</v>
      </c>
      <c r="AB1000" t="b">
        <v>1</v>
      </c>
      <c r="AC1000">
        <v>1</v>
      </c>
    </row>
    <row r="1001" spans="17:29" x14ac:dyDescent="0.2">
      <c r="Q1001" t="s">
        <v>1998</v>
      </c>
      <c r="R1001" t="s">
        <v>2388</v>
      </c>
      <c r="S1001" t="s">
        <v>257</v>
      </c>
      <c r="T1001" s="1">
        <v>44530</v>
      </c>
      <c r="U1001" s="1">
        <v>44530</v>
      </c>
      <c r="V1001" t="s">
        <v>260</v>
      </c>
      <c r="W1001">
        <v>836341305</v>
      </c>
      <c r="X1001">
        <v>836341305</v>
      </c>
      <c r="Y1001" t="s">
        <v>270</v>
      </c>
      <c r="Z1001">
        <v>149346662</v>
      </c>
      <c r="AA1001">
        <v>149346662</v>
      </c>
      <c r="AB1001" t="b">
        <v>1</v>
      </c>
      <c r="AC1001">
        <v>1</v>
      </c>
    </row>
    <row r="1002" spans="17:29" x14ac:dyDescent="0.2">
      <c r="Q1002" t="s">
        <v>2000</v>
      </c>
      <c r="R1002" t="s">
        <v>2388</v>
      </c>
      <c r="S1002" t="s">
        <v>257</v>
      </c>
      <c r="T1002" s="1">
        <v>44530</v>
      </c>
      <c r="U1002" s="1">
        <v>44530</v>
      </c>
      <c r="V1002" t="s">
        <v>260</v>
      </c>
      <c r="W1002">
        <v>836341305</v>
      </c>
      <c r="X1002">
        <v>836341305</v>
      </c>
      <c r="Y1002" t="s">
        <v>270</v>
      </c>
      <c r="Z1002">
        <v>149346662</v>
      </c>
      <c r="AA1002">
        <v>149346662</v>
      </c>
      <c r="AB1002" t="b">
        <v>1</v>
      </c>
      <c r="AC1002">
        <v>1</v>
      </c>
    </row>
    <row r="1003" spans="17:29" x14ac:dyDescent="0.2">
      <c r="Q1003" t="s">
        <v>2031</v>
      </c>
      <c r="R1003" t="s">
        <v>2389</v>
      </c>
      <c r="S1003" t="s">
        <v>257</v>
      </c>
      <c r="T1003" s="1">
        <v>42901</v>
      </c>
      <c r="U1003" s="1">
        <v>43080</v>
      </c>
      <c r="V1003" t="s">
        <v>260</v>
      </c>
      <c r="W1003">
        <v>48000000</v>
      </c>
      <c r="X1003">
        <v>48000000</v>
      </c>
      <c r="Y1003" t="s">
        <v>260</v>
      </c>
      <c r="Z1003">
        <v>48000000</v>
      </c>
      <c r="AA1003">
        <v>14620773</v>
      </c>
      <c r="AB1003" t="b">
        <v>1</v>
      </c>
      <c r="AC1003">
        <v>0.15</v>
      </c>
    </row>
    <row r="1004" spans="17:29" x14ac:dyDescent="0.2">
      <c r="Q1004" t="s">
        <v>2117</v>
      </c>
      <c r="R1004" t="s">
        <v>2389</v>
      </c>
      <c r="S1004" t="s">
        <v>257</v>
      </c>
      <c r="T1004" s="1">
        <v>42901</v>
      </c>
      <c r="U1004" s="1">
        <v>43080</v>
      </c>
      <c r="V1004" t="s">
        <v>260</v>
      </c>
      <c r="W1004">
        <v>48000000</v>
      </c>
      <c r="X1004">
        <v>48000000</v>
      </c>
      <c r="Y1004" t="s">
        <v>260</v>
      </c>
      <c r="Z1004">
        <v>48000000</v>
      </c>
      <c r="AA1004">
        <v>14620773</v>
      </c>
      <c r="AB1004" t="b">
        <v>1</v>
      </c>
      <c r="AC1004">
        <v>0.15</v>
      </c>
    </row>
    <row r="1005" spans="17:29" x14ac:dyDescent="0.2">
      <c r="Q1005" t="s">
        <v>2029</v>
      </c>
      <c r="R1005" t="s">
        <v>2389</v>
      </c>
      <c r="S1005" t="s">
        <v>257</v>
      </c>
      <c r="T1005" s="1">
        <v>42901</v>
      </c>
      <c r="U1005" s="1">
        <v>43080</v>
      </c>
      <c r="V1005" t="s">
        <v>260</v>
      </c>
      <c r="W1005">
        <v>48000000</v>
      </c>
      <c r="X1005">
        <v>48000000</v>
      </c>
      <c r="Y1005" t="s">
        <v>260</v>
      </c>
      <c r="Z1005">
        <v>48000000</v>
      </c>
      <c r="AA1005">
        <v>14620773</v>
      </c>
      <c r="AB1005" t="b">
        <v>1</v>
      </c>
      <c r="AC1005">
        <v>0.15</v>
      </c>
    </row>
    <row r="1006" spans="17:29" x14ac:dyDescent="0.2">
      <c r="Q1006" t="s">
        <v>2029</v>
      </c>
      <c r="R1006" t="s">
        <v>2389</v>
      </c>
      <c r="S1006" t="s">
        <v>257</v>
      </c>
      <c r="T1006" s="1">
        <v>42901</v>
      </c>
      <c r="U1006" s="1">
        <v>43080</v>
      </c>
      <c r="V1006" t="s">
        <v>260</v>
      </c>
      <c r="W1006">
        <v>48000000</v>
      </c>
      <c r="X1006">
        <v>48000000</v>
      </c>
      <c r="Y1006" t="s">
        <v>260</v>
      </c>
      <c r="Z1006">
        <v>48000000</v>
      </c>
      <c r="AA1006">
        <v>14620773</v>
      </c>
      <c r="AB1006" t="b">
        <v>1</v>
      </c>
      <c r="AC1006">
        <v>0.15</v>
      </c>
    </row>
    <row r="1007" spans="17:29" x14ac:dyDescent="0.2">
      <c r="Q1007" t="s">
        <v>1998</v>
      </c>
      <c r="R1007" t="s">
        <v>2390</v>
      </c>
      <c r="S1007" t="s">
        <v>343</v>
      </c>
      <c r="T1007" s="1">
        <v>44196</v>
      </c>
      <c r="U1007" s="1">
        <v>44196</v>
      </c>
      <c r="V1007" t="s">
        <v>345</v>
      </c>
      <c r="W1007">
        <v>55203452</v>
      </c>
      <c r="X1007">
        <v>55203452</v>
      </c>
      <c r="Y1007" t="s">
        <v>345</v>
      </c>
      <c r="Z1007">
        <v>55203452</v>
      </c>
      <c r="AA1007">
        <v>2769145</v>
      </c>
      <c r="AB1007" t="b">
        <v>1</v>
      </c>
      <c r="AC1007">
        <v>1</v>
      </c>
    </row>
    <row r="1008" spans="17:29" x14ac:dyDescent="0.2">
      <c r="Q1008" t="s">
        <v>1998</v>
      </c>
      <c r="R1008" t="s">
        <v>2390</v>
      </c>
      <c r="S1008" t="s">
        <v>343</v>
      </c>
      <c r="T1008" s="1">
        <v>43830</v>
      </c>
      <c r="U1008" s="1">
        <v>43830</v>
      </c>
      <c r="V1008" t="s">
        <v>345</v>
      </c>
      <c r="W1008">
        <v>209620252</v>
      </c>
      <c r="X1008">
        <v>209620252</v>
      </c>
      <c r="Y1008" t="s">
        <v>345</v>
      </c>
      <c r="Z1008">
        <v>209620252</v>
      </c>
      <c r="AA1008">
        <v>11107062</v>
      </c>
      <c r="AB1008" t="b">
        <v>1</v>
      </c>
      <c r="AC1008">
        <v>1</v>
      </c>
    </row>
    <row r="1009" spans="17:29" x14ac:dyDescent="0.2">
      <c r="Q1009" t="s">
        <v>1998</v>
      </c>
      <c r="R1009" t="s">
        <v>2390</v>
      </c>
      <c r="S1009" t="s">
        <v>343</v>
      </c>
      <c r="T1009" s="1">
        <v>43465</v>
      </c>
      <c r="U1009" s="1">
        <v>43465</v>
      </c>
      <c r="V1009" t="s">
        <v>345</v>
      </c>
      <c r="W1009">
        <v>52934156</v>
      </c>
      <c r="X1009">
        <v>52934156</v>
      </c>
      <c r="Y1009" t="s">
        <v>345</v>
      </c>
      <c r="Z1009">
        <v>52934156</v>
      </c>
      <c r="AA1009">
        <v>2692946</v>
      </c>
      <c r="AB1009" t="b">
        <v>1</v>
      </c>
      <c r="AC1009">
        <v>1</v>
      </c>
    </row>
    <row r="1010" spans="17:29" x14ac:dyDescent="0.2">
      <c r="Q1010" t="s">
        <v>1998</v>
      </c>
      <c r="R1010" t="s">
        <v>2390</v>
      </c>
      <c r="S1010" t="s">
        <v>343</v>
      </c>
      <c r="T1010" s="1">
        <v>43100</v>
      </c>
      <c r="U1010" s="1">
        <v>43100</v>
      </c>
      <c r="V1010" t="s">
        <v>345</v>
      </c>
      <c r="W1010">
        <v>275000000</v>
      </c>
      <c r="X1010">
        <v>275000000</v>
      </c>
      <c r="Y1010" t="s">
        <v>345</v>
      </c>
      <c r="Z1010">
        <v>275000000</v>
      </c>
      <c r="AA1010">
        <v>14130463</v>
      </c>
      <c r="AB1010" t="b">
        <v>1</v>
      </c>
      <c r="AC1010">
        <v>1</v>
      </c>
    </row>
    <row r="1011" spans="17:29" x14ac:dyDescent="0.2">
      <c r="Q1011" t="s">
        <v>2067</v>
      </c>
      <c r="R1011" t="s">
        <v>2390</v>
      </c>
      <c r="S1011" t="s">
        <v>343</v>
      </c>
      <c r="T1011" s="1">
        <v>44196</v>
      </c>
      <c r="U1011" s="1">
        <v>44196</v>
      </c>
      <c r="V1011" t="s">
        <v>345</v>
      </c>
      <c r="W1011">
        <v>55203452</v>
      </c>
      <c r="X1011">
        <v>55203452</v>
      </c>
      <c r="Y1011" t="s">
        <v>345</v>
      </c>
      <c r="Z1011">
        <v>55203452</v>
      </c>
      <c r="AA1011">
        <v>2769145</v>
      </c>
      <c r="AB1011" t="b">
        <v>1</v>
      </c>
      <c r="AC1011">
        <v>1</v>
      </c>
    </row>
    <row r="1012" spans="17:29" x14ac:dyDescent="0.2">
      <c r="Q1012" t="s">
        <v>2067</v>
      </c>
      <c r="R1012" t="s">
        <v>2390</v>
      </c>
      <c r="S1012" t="s">
        <v>343</v>
      </c>
      <c r="T1012" s="1">
        <v>43830</v>
      </c>
      <c r="U1012" s="1">
        <v>43830</v>
      </c>
      <c r="V1012" t="s">
        <v>345</v>
      </c>
      <c r="W1012">
        <v>209620252</v>
      </c>
      <c r="X1012">
        <v>209620252</v>
      </c>
      <c r="Y1012" t="s">
        <v>345</v>
      </c>
      <c r="Z1012">
        <v>209620252</v>
      </c>
      <c r="AA1012">
        <v>11107062</v>
      </c>
      <c r="AB1012" t="b">
        <v>1</v>
      </c>
      <c r="AC1012">
        <v>1</v>
      </c>
    </row>
    <row r="1013" spans="17:29" x14ac:dyDescent="0.2">
      <c r="Q1013" t="s">
        <v>2067</v>
      </c>
      <c r="R1013" t="s">
        <v>2390</v>
      </c>
      <c r="S1013" t="s">
        <v>343</v>
      </c>
      <c r="T1013" s="1">
        <v>43465</v>
      </c>
      <c r="U1013" s="1">
        <v>43465</v>
      </c>
      <c r="V1013" t="s">
        <v>345</v>
      </c>
      <c r="W1013">
        <v>52934156</v>
      </c>
      <c r="X1013">
        <v>52934156</v>
      </c>
      <c r="Y1013" t="s">
        <v>345</v>
      </c>
      <c r="Z1013">
        <v>52934156</v>
      </c>
      <c r="AA1013">
        <v>2692946</v>
      </c>
      <c r="AB1013" t="b">
        <v>1</v>
      </c>
      <c r="AC1013">
        <v>1</v>
      </c>
    </row>
    <row r="1014" spans="17:29" x14ac:dyDescent="0.2">
      <c r="Q1014" t="s">
        <v>2067</v>
      </c>
      <c r="R1014" t="s">
        <v>2390</v>
      </c>
      <c r="S1014" t="s">
        <v>343</v>
      </c>
      <c r="T1014" s="1">
        <v>43100</v>
      </c>
      <c r="U1014" s="1">
        <v>43100</v>
      </c>
      <c r="V1014" t="s">
        <v>345</v>
      </c>
      <c r="W1014">
        <v>275000000</v>
      </c>
      <c r="X1014">
        <v>275000000</v>
      </c>
      <c r="Y1014" t="s">
        <v>345</v>
      </c>
      <c r="Z1014">
        <v>275000000</v>
      </c>
      <c r="AA1014">
        <v>14130463</v>
      </c>
      <c r="AB1014" t="b">
        <v>1</v>
      </c>
      <c r="AC1014">
        <v>1</v>
      </c>
    </row>
    <row r="1015" spans="17:29" x14ac:dyDescent="0.2">
      <c r="Q1015" t="s">
        <v>1998</v>
      </c>
      <c r="R1015" t="s">
        <v>2391</v>
      </c>
      <c r="S1015" t="s">
        <v>343</v>
      </c>
      <c r="T1015" s="1">
        <v>44196</v>
      </c>
      <c r="U1015" s="1">
        <v>44196</v>
      </c>
      <c r="V1015" t="s">
        <v>345</v>
      </c>
      <c r="W1015">
        <v>230357064</v>
      </c>
      <c r="X1015">
        <v>230357064</v>
      </c>
      <c r="Y1015" t="s">
        <v>345</v>
      </c>
      <c r="Z1015">
        <v>230357064</v>
      </c>
      <c r="AA1015">
        <v>11555292</v>
      </c>
      <c r="AB1015" t="b">
        <v>1</v>
      </c>
      <c r="AC1015">
        <v>1</v>
      </c>
    </row>
    <row r="1016" spans="17:29" x14ac:dyDescent="0.2">
      <c r="Q1016" t="s">
        <v>1998</v>
      </c>
      <c r="R1016" t="s">
        <v>2391</v>
      </c>
      <c r="S1016" t="s">
        <v>343</v>
      </c>
      <c r="T1016" s="1">
        <v>43830</v>
      </c>
      <c r="U1016" s="1">
        <v>43830</v>
      </c>
      <c r="V1016" t="s">
        <v>345</v>
      </c>
      <c r="W1016">
        <v>173699645</v>
      </c>
      <c r="X1016">
        <v>173699645</v>
      </c>
      <c r="Y1016" t="s">
        <v>345</v>
      </c>
      <c r="Z1016">
        <v>173699645</v>
      </c>
      <c r="AA1016">
        <v>9203752</v>
      </c>
      <c r="AB1016" t="b">
        <v>1</v>
      </c>
      <c r="AC1016">
        <v>1</v>
      </c>
    </row>
    <row r="1017" spans="17:29" x14ac:dyDescent="0.2">
      <c r="Q1017" t="s">
        <v>1998</v>
      </c>
      <c r="R1017" t="s">
        <v>2391</v>
      </c>
      <c r="S1017" t="s">
        <v>343</v>
      </c>
      <c r="T1017" s="1">
        <v>43465</v>
      </c>
      <c r="U1017" s="1">
        <v>43465</v>
      </c>
      <c r="V1017" t="s">
        <v>345</v>
      </c>
      <c r="W1017">
        <v>64637818</v>
      </c>
      <c r="X1017">
        <v>64637818</v>
      </c>
      <c r="Y1017" t="s">
        <v>345</v>
      </c>
      <c r="Z1017">
        <v>64637818</v>
      </c>
      <c r="AA1017">
        <v>3288352</v>
      </c>
      <c r="AB1017" t="b">
        <v>1</v>
      </c>
      <c r="AC1017">
        <v>1</v>
      </c>
    </row>
    <row r="1018" spans="17:29" x14ac:dyDescent="0.2">
      <c r="Q1018" t="s">
        <v>1998</v>
      </c>
      <c r="R1018" t="s">
        <v>2391</v>
      </c>
      <c r="S1018" t="s">
        <v>343</v>
      </c>
      <c r="T1018" s="1">
        <v>43100</v>
      </c>
      <c r="U1018" s="1">
        <v>43100</v>
      </c>
      <c r="V1018" t="s">
        <v>345</v>
      </c>
      <c r="W1018">
        <v>1562309772</v>
      </c>
      <c r="X1018">
        <v>1562309772</v>
      </c>
      <c r="Y1018" t="s">
        <v>345</v>
      </c>
      <c r="Z1018">
        <v>1562309772</v>
      </c>
      <c r="AA1018">
        <v>80276945</v>
      </c>
      <c r="AB1018" t="b">
        <v>1</v>
      </c>
      <c r="AC1018">
        <v>1</v>
      </c>
    </row>
    <row r="1019" spans="17:29" x14ac:dyDescent="0.2">
      <c r="Q1019" t="s">
        <v>2067</v>
      </c>
      <c r="R1019" t="s">
        <v>2391</v>
      </c>
      <c r="S1019" t="s">
        <v>343</v>
      </c>
      <c r="T1019" s="1">
        <v>44196</v>
      </c>
      <c r="U1019" s="1">
        <v>44196</v>
      </c>
      <c r="V1019" t="s">
        <v>345</v>
      </c>
      <c r="W1019">
        <v>230357064</v>
      </c>
      <c r="X1019">
        <v>230357064</v>
      </c>
      <c r="Y1019" t="s">
        <v>345</v>
      </c>
      <c r="Z1019">
        <v>230357064</v>
      </c>
      <c r="AA1019">
        <v>11555292</v>
      </c>
      <c r="AB1019" t="b">
        <v>1</v>
      </c>
      <c r="AC1019">
        <v>1</v>
      </c>
    </row>
    <row r="1020" spans="17:29" x14ac:dyDescent="0.2">
      <c r="Q1020" t="s">
        <v>2067</v>
      </c>
      <c r="R1020" t="s">
        <v>2391</v>
      </c>
      <c r="S1020" t="s">
        <v>343</v>
      </c>
      <c r="T1020" s="1">
        <v>43830</v>
      </c>
      <c r="U1020" s="1">
        <v>43830</v>
      </c>
      <c r="V1020" t="s">
        <v>345</v>
      </c>
      <c r="W1020">
        <v>173699645</v>
      </c>
      <c r="X1020">
        <v>173699645</v>
      </c>
      <c r="Y1020" t="s">
        <v>345</v>
      </c>
      <c r="Z1020">
        <v>173699645</v>
      </c>
      <c r="AA1020">
        <v>9203752</v>
      </c>
      <c r="AB1020" t="b">
        <v>1</v>
      </c>
      <c r="AC1020">
        <v>1</v>
      </c>
    </row>
    <row r="1021" spans="17:29" x14ac:dyDescent="0.2">
      <c r="Q1021" t="s">
        <v>2067</v>
      </c>
      <c r="R1021" t="s">
        <v>2391</v>
      </c>
      <c r="S1021" t="s">
        <v>343</v>
      </c>
      <c r="T1021" s="1">
        <v>43465</v>
      </c>
      <c r="U1021" s="1">
        <v>43465</v>
      </c>
      <c r="V1021" t="s">
        <v>345</v>
      </c>
      <c r="W1021">
        <v>64637818</v>
      </c>
      <c r="X1021">
        <v>64637818</v>
      </c>
      <c r="Y1021" t="s">
        <v>345</v>
      </c>
      <c r="Z1021">
        <v>64637818</v>
      </c>
      <c r="AA1021">
        <v>3288352</v>
      </c>
      <c r="AB1021" t="b">
        <v>1</v>
      </c>
      <c r="AC1021">
        <v>1</v>
      </c>
    </row>
    <row r="1022" spans="17:29" x14ac:dyDescent="0.2">
      <c r="Q1022" t="s">
        <v>2067</v>
      </c>
      <c r="R1022" t="s">
        <v>2391</v>
      </c>
      <c r="S1022" t="s">
        <v>343</v>
      </c>
      <c r="T1022" s="1">
        <v>43100</v>
      </c>
      <c r="U1022" s="1">
        <v>43100</v>
      </c>
      <c r="V1022" t="s">
        <v>345</v>
      </c>
      <c r="W1022">
        <v>1562309772</v>
      </c>
      <c r="X1022">
        <v>1562309772</v>
      </c>
      <c r="Y1022" t="s">
        <v>345</v>
      </c>
      <c r="Z1022">
        <v>1562309772</v>
      </c>
      <c r="AA1022">
        <v>80276945</v>
      </c>
      <c r="AB1022" t="b">
        <v>1</v>
      </c>
      <c r="AC1022">
        <v>1</v>
      </c>
    </row>
    <row r="1023" spans="17:29" x14ac:dyDescent="0.2">
      <c r="Q1023" t="s">
        <v>2392</v>
      </c>
      <c r="R1023" t="s">
        <v>2393</v>
      </c>
      <c r="S1023" t="s">
        <v>287</v>
      </c>
      <c r="T1023" s="1">
        <v>44196</v>
      </c>
      <c r="U1023" s="1">
        <v>44196</v>
      </c>
      <c r="V1023" t="s">
        <v>270</v>
      </c>
      <c r="W1023">
        <v>900000</v>
      </c>
      <c r="X1023">
        <v>900000</v>
      </c>
      <c r="Y1023" t="s">
        <v>270</v>
      </c>
      <c r="Z1023">
        <v>900000</v>
      </c>
      <c r="AA1023">
        <v>900000</v>
      </c>
      <c r="AB1023" t="b">
        <v>1</v>
      </c>
      <c r="AC1023">
        <v>1</v>
      </c>
    </row>
    <row r="1024" spans="17:29" x14ac:dyDescent="0.2">
      <c r="Q1024" t="s">
        <v>2392</v>
      </c>
      <c r="R1024" t="s">
        <v>2393</v>
      </c>
      <c r="S1024" t="s">
        <v>287</v>
      </c>
      <c r="T1024" s="1">
        <v>43830</v>
      </c>
      <c r="U1024" s="1">
        <v>43830</v>
      </c>
      <c r="V1024" t="s">
        <v>270</v>
      </c>
      <c r="W1024">
        <v>123800000</v>
      </c>
      <c r="X1024">
        <v>124700000</v>
      </c>
      <c r="Y1024" t="s">
        <v>270</v>
      </c>
      <c r="Z1024">
        <v>124700000</v>
      </c>
      <c r="AA1024">
        <v>124700000</v>
      </c>
      <c r="AB1024" t="b">
        <v>1</v>
      </c>
      <c r="AC1024">
        <v>1</v>
      </c>
    </row>
    <row r="1025" spans="17:29" x14ac:dyDescent="0.2">
      <c r="Q1025" t="s">
        <v>2392</v>
      </c>
      <c r="R1025" t="s">
        <v>2393</v>
      </c>
      <c r="S1025" t="s">
        <v>287</v>
      </c>
      <c r="T1025" s="1">
        <v>43465</v>
      </c>
      <c r="U1025" s="1">
        <v>43465</v>
      </c>
      <c r="V1025" t="s">
        <v>270</v>
      </c>
      <c r="W1025">
        <v>236700000</v>
      </c>
      <c r="X1025">
        <v>236700000</v>
      </c>
      <c r="Y1025" t="s">
        <v>270</v>
      </c>
      <c r="Z1025">
        <v>236700000</v>
      </c>
      <c r="AA1025">
        <v>236700000</v>
      </c>
      <c r="AB1025" t="b">
        <v>1</v>
      </c>
      <c r="AC1025">
        <v>1</v>
      </c>
    </row>
    <row r="1026" spans="17:29" x14ac:dyDescent="0.2">
      <c r="Q1026" t="s">
        <v>2018</v>
      </c>
      <c r="R1026" t="s">
        <v>2393</v>
      </c>
      <c r="S1026" t="s">
        <v>287</v>
      </c>
      <c r="T1026" s="1">
        <v>44196</v>
      </c>
      <c r="U1026" s="1">
        <v>44196</v>
      </c>
      <c r="V1026" t="s">
        <v>270</v>
      </c>
      <c r="W1026">
        <v>900000</v>
      </c>
      <c r="X1026">
        <v>900000</v>
      </c>
      <c r="Y1026" t="s">
        <v>270</v>
      </c>
      <c r="Z1026">
        <v>900000</v>
      </c>
      <c r="AA1026">
        <v>900000</v>
      </c>
      <c r="AB1026" t="b">
        <v>1</v>
      </c>
      <c r="AC1026">
        <v>1</v>
      </c>
    </row>
    <row r="1027" spans="17:29" x14ac:dyDescent="0.2">
      <c r="Q1027" t="s">
        <v>2018</v>
      </c>
      <c r="R1027" t="s">
        <v>2393</v>
      </c>
      <c r="S1027" t="s">
        <v>287</v>
      </c>
      <c r="T1027" s="1">
        <v>43830</v>
      </c>
      <c r="U1027" s="1">
        <v>43830</v>
      </c>
      <c r="V1027" t="s">
        <v>270</v>
      </c>
      <c r="W1027">
        <v>123800000</v>
      </c>
      <c r="X1027">
        <v>124700000</v>
      </c>
      <c r="Y1027" t="s">
        <v>270</v>
      </c>
      <c r="Z1027">
        <v>124700000</v>
      </c>
      <c r="AA1027">
        <v>124700000</v>
      </c>
      <c r="AB1027" t="b">
        <v>1</v>
      </c>
      <c r="AC1027">
        <v>1</v>
      </c>
    </row>
    <row r="1028" spans="17:29" x14ac:dyDescent="0.2">
      <c r="Q1028" t="s">
        <v>2018</v>
      </c>
      <c r="R1028" t="s">
        <v>2393</v>
      </c>
      <c r="S1028" t="s">
        <v>287</v>
      </c>
      <c r="T1028" s="1">
        <v>43465</v>
      </c>
      <c r="U1028" s="1">
        <v>43465</v>
      </c>
      <c r="V1028" t="s">
        <v>270</v>
      </c>
      <c r="W1028">
        <v>236700000</v>
      </c>
      <c r="X1028">
        <v>236700000</v>
      </c>
      <c r="Y1028" t="s">
        <v>270</v>
      </c>
      <c r="Z1028">
        <v>236700000</v>
      </c>
      <c r="AA1028">
        <v>236700000</v>
      </c>
      <c r="AB1028" t="b">
        <v>1</v>
      </c>
      <c r="AC1028">
        <v>1</v>
      </c>
    </row>
    <row r="1029" spans="17:29" x14ac:dyDescent="0.2">
      <c r="Q1029" t="s">
        <v>2392</v>
      </c>
      <c r="R1029" t="s">
        <v>2394</v>
      </c>
      <c r="S1029" t="s">
        <v>287</v>
      </c>
      <c r="T1029" s="1">
        <v>44196</v>
      </c>
      <c r="U1029" s="1">
        <v>44196</v>
      </c>
      <c r="V1029" t="s">
        <v>270</v>
      </c>
      <c r="W1029">
        <v>41000000</v>
      </c>
      <c r="X1029">
        <v>41000000</v>
      </c>
      <c r="Y1029" t="s">
        <v>270</v>
      </c>
      <c r="Z1029">
        <v>41000000</v>
      </c>
      <c r="AA1029">
        <v>41000000</v>
      </c>
      <c r="AB1029" t="b">
        <v>1</v>
      </c>
      <c r="AC1029">
        <v>1</v>
      </c>
    </row>
    <row r="1030" spans="17:29" x14ac:dyDescent="0.2">
      <c r="Q1030" t="s">
        <v>2392</v>
      </c>
      <c r="R1030" t="s">
        <v>2394</v>
      </c>
      <c r="S1030" t="s">
        <v>287</v>
      </c>
      <c r="T1030" s="1">
        <v>43830</v>
      </c>
      <c r="U1030" s="1">
        <v>43830</v>
      </c>
      <c r="V1030" t="s">
        <v>270</v>
      </c>
      <c r="W1030">
        <v>40200000</v>
      </c>
      <c r="X1030">
        <v>40200000</v>
      </c>
      <c r="Y1030" t="s">
        <v>270</v>
      </c>
      <c r="Z1030">
        <v>40200000</v>
      </c>
      <c r="AA1030">
        <v>40200000</v>
      </c>
      <c r="AB1030" t="b">
        <v>1</v>
      </c>
      <c r="AC1030">
        <v>1</v>
      </c>
    </row>
    <row r="1031" spans="17:29" x14ac:dyDescent="0.2">
      <c r="Q1031" t="s">
        <v>2392</v>
      </c>
      <c r="R1031" t="s">
        <v>2394</v>
      </c>
      <c r="S1031" t="s">
        <v>287</v>
      </c>
      <c r="T1031" s="1">
        <v>43465</v>
      </c>
      <c r="U1031" s="1">
        <v>43465</v>
      </c>
      <c r="V1031" t="s">
        <v>270</v>
      </c>
      <c r="W1031">
        <v>70200000</v>
      </c>
      <c r="X1031">
        <v>70200000</v>
      </c>
      <c r="Y1031" t="s">
        <v>270</v>
      </c>
      <c r="Z1031">
        <v>70200000</v>
      </c>
      <c r="AA1031">
        <v>70200000</v>
      </c>
      <c r="AB1031" t="b">
        <v>1</v>
      </c>
      <c r="AC1031">
        <v>1</v>
      </c>
    </row>
    <row r="1032" spans="17:29" x14ac:dyDescent="0.2">
      <c r="Q1032" t="s">
        <v>2018</v>
      </c>
      <c r="R1032" t="s">
        <v>2394</v>
      </c>
      <c r="S1032" t="s">
        <v>287</v>
      </c>
      <c r="T1032" s="1">
        <v>44196</v>
      </c>
      <c r="U1032" s="1">
        <v>44196</v>
      </c>
      <c r="V1032" t="s">
        <v>270</v>
      </c>
      <c r="W1032">
        <v>41000000</v>
      </c>
      <c r="X1032">
        <v>41000000</v>
      </c>
      <c r="Y1032" t="s">
        <v>270</v>
      </c>
      <c r="Z1032">
        <v>41000000</v>
      </c>
      <c r="AA1032">
        <v>41000000</v>
      </c>
      <c r="AB1032" t="b">
        <v>1</v>
      </c>
      <c r="AC1032">
        <v>1</v>
      </c>
    </row>
    <row r="1033" spans="17:29" x14ac:dyDescent="0.2">
      <c r="Q1033" t="s">
        <v>2018</v>
      </c>
      <c r="R1033" t="s">
        <v>2394</v>
      </c>
      <c r="S1033" t="s">
        <v>287</v>
      </c>
      <c r="T1033" s="1">
        <v>43830</v>
      </c>
      <c r="U1033" s="1">
        <v>43830</v>
      </c>
      <c r="V1033" t="s">
        <v>270</v>
      </c>
      <c r="W1033">
        <v>40200000</v>
      </c>
      <c r="X1033">
        <v>40200000</v>
      </c>
      <c r="Y1033" t="s">
        <v>270</v>
      </c>
      <c r="Z1033">
        <v>40200000</v>
      </c>
      <c r="AA1033">
        <v>40200000</v>
      </c>
      <c r="AB1033" t="b">
        <v>1</v>
      </c>
      <c r="AC1033">
        <v>1</v>
      </c>
    </row>
    <row r="1034" spans="17:29" x14ac:dyDescent="0.2">
      <c r="Q1034" t="s">
        <v>2018</v>
      </c>
      <c r="R1034" t="s">
        <v>2394</v>
      </c>
      <c r="S1034" t="s">
        <v>287</v>
      </c>
      <c r="T1034" s="1">
        <v>43465</v>
      </c>
      <c r="U1034" s="1">
        <v>43465</v>
      </c>
      <c r="V1034" t="s">
        <v>270</v>
      </c>
      <c r="W1034">
        <v>70200000</v>
      </c>
      <c r="X1034">
        <v>70200000</v>
      </c>
      <c r="Y1034" t="s">
        <v>270</v>
      </c>
      <c r="Z1034">
        <v>70200000</v>
      </c>
      <c r="AA1034">
        <v>70200000</v>
      </c>
      <c r="AB1034" t="b">
        <v>1</v>
      </c>
      <c r="AC1034">
        <v>1</v>
      </c>
    </row>
    <row r="1035" spans="17:29" x14ac:dyDescent="0.2">
      <c r="Q1035" t="s">
        <v>2392</v>
      </c>
      <c r="R1035" t="s">
        <v>2395</v>
      </c>
      <c r="S1035" t="s">
        <v>287</v>
      </c>
      <c r="T1035" s="1">
        <v>44196</v>
      </c>
      <c r="U1035" s="1">
        <v>44196</v>
      </c>
      <c r="V1035" t="s">
        <v>270</v>
      </c>
      <c r="W1035">
        <v>74700000</v>
      </c>
      <c r="X1035">
        <v>74700000</v>
      </c>
      <c r="Y1035" t="s">
        <v>270</v>
      </c>
      <c r="Z1035">
        <v>74700000</v>
      </c>
      <c r="AA1035">
        <v>74700000</v>
      </c>
      <c r="AB1035" t="b">
        <v>1</v>
      </c>
      <c r="AC1035">
        <v>1</v>
      </c>
    </row>
    <row r="1036" spans="17:29" x14ac:dyDescent="0.2">
      <c r="Q1036" t="s">
        <v>2392</v>
      </c>
      <c r="R1036" t="s">
        <v>2395</v>
      </c>
      <c r="S1036" t="s">
        <v>287</v>
      </c>
      <c r="T1036" s="1">
        <v>43830</v>
      </c>
      <c r="U1036" s="1">
        <v>43830</v>
      </c>
      <c r="V1036" t="s">
        <v>270</v>
      </c>
      <c r="W1036">
        <v>50700000</v>
      </c>
      <c r="X1036">
        <v>50700000</v>
      </c>
      <c r="Y1036" t="s">
        <v>270</v>
      </c>
      <c r="Z1036">
        <v>50700000</v>
      </c>
      <c r="AA1036">
        <v>50700000</v>
      </c>
      <c r="AB1036" t="b">
        <v>1</v>
      </c>
      <c r="AC1036">
        <v>1</v>
      </c>
    </row>
    <row r="1037" spans="17:29" x14ac:dyDescent="0.2">
      <c r="Q1037" t="s">
        <v>2392</v>
      </c>
      <c r="R1037" t="s">
        <v>2395</v>
      </c>
      <c r="S1037" t="s">
        <v>287</v>
      </c>
      <c r="T1037" s="1">
        <v>43465</v>
      </c>
      <c r="U1037" s="1">
        <v>43465</v>
      </c>
      <c r="V1037" t="s">
        <v>270</v>
      </c>
      <c r="W1037">
        <v>7700000</v>
      </c>
      <c r="X1037">
        <v>7700000</v>
      </c>
      <c r="Y1037" t="s">
        <v>270</v>
      </c>
      <c r="Z1037">
        <v>7700000</v>
      </c>
      <c r="AA1037">
        <v>7700000</v>
      </c>
      <c r="AB1037" t="b">
        <v>1</v>
      </c>
      <c r="AC1037">
        <v>1</v>
      </c>
    </row>
    <row r="1038" spans="17:29" x14ac:dyDescent="0.2">
      <c r="Q1038" t="s">
        <v>2018</v>
      </c>
      <c r="R1038" t="s">
        <v>2395</v>
      </c>
      <c r="S1038" t="s">
        <v>287</v>
      </c>
      <c r="T1038" s="1">
        <v>44196</v>
      </c>
      <c r="U1038" s="1">
        <v>44196</v>
      </c>
      <c r="V1038" t="s">
        <v>270</v>
      </c>
      <c r="W1038">
        <v>74700000</v>
      </c>
      <c r="X1038">
        <v>74700000</v>
      </c>
      <c r="Y1038" t="s">
        <v>270</v>
      </c>
      <c r="Z1038">
        <v>74700000</v>
      </c>
      <c r="AA1038">
        <v>74700000</v>
      </c>
      <c r="AB1038" t="b">
        <v>1</v>
      </c>
      <c r="AC1038">
        <v>1</v>
      </c>
    </row>
    <row r="1039" spans="17:29" x14ac:dyDescent="0.2">
      <c r="Q1039" t="s">
        <v>2018</v>
      </c>
      <c r="R1039" t="s">
        <v>2395</v>
      </c>
      <c r="S1039" t="s">
        <v>287</v>
      </c>
      <c r="T1039" s="1">
        <v>43830</v>
      </c>
      <c r="U1039" s="1">
        <v>43830</v>
      </c>
      <c r="V1039" t="s">
        <v>270</v>
      </c>
      <c r="W1039">
        <v>50700000</v>
      </c>
      <c r="X1039">
        <v>50700000</v>
      </c>
      <c r="Y1039" t="s">
        <v>270</v>
      </c>
      <c r="Z1039">
        <v>50700000</v>
      </c>
      <c r="AA1039">
        <v>50700000</v>
      </c>
      <c r="AB1039" t="b">
        <v>1</v>
      </c>
      <c r="AC1039">
        <v>1</v>
      </c>
    </row>
    <row r="1040" spans="17:29" x14ac:dyDescent="0.2">
      <c r="Q1040" t="s">
        <v>2018</v>
      </c>
      <c r="R1040" t="s">
        <v>2395</v>
      </c>
      <c r="S1040" t="s">
        <v>287</v>
      </c>
      <c r="T1040" s="1">
        <v>43465</v>
      </c>
      <c r="U1040" s="1">
        <v>43465</v>
      </c>
      <c r="V1040" t="s">
        <v>270</v>
      </c>
      <c r="W1040">
        <v>7700000</v>
      </c>
      <c r="X1040">
        <v>7700000</v>
      </c>
      <c r="Y1040" t="s">
        <v>270</v>
      </c>
      <c r="Z1040">
        <v>7700000</v>
      </c>
      <c r="AA1040">
        <v>7700000</v>
      </c>
      <c r="AB1040" t="b">
        <v>1</v>
      </c>
      <c r="AC1040">
        <v>1</v>
      </c>
    </row>
    <row r="1041" spans="17:29" x14ac:dyDescent="0.2">
      <c r="Q1041" t="s">
        <v>2392</v>
      </c>
      <c r="R1041" t="s">
        <v>2396</v>
      </c>
      <c r="S1041" t="s">
        <v>287</v>
      </c>
      <c r="T1041" s="1">
        <v>44196</v>
      </c>
      <c r="U1041" s="1">
        <v>44196</v>
      </c>
      <c r="V1041" t="s">
        <v>270</v>
      </c>
      <c r="W1041">
        <v>93800000</v>
      </c>
      <c r="X1041">
        <v>93800000</v>
      </c>
      <c r="Y1041" t="s">
        <v>270</v>
      </c>
      <c r="Z1041">
        <v>93800000</v>
      </c>
      <c r="AA1041">
        <v>93800000</v>
      </c>
      <c r="AB1041" t="b">
        <v>1</v>
      </c>
      <c r="AC1041">
        <v>1</v>
      </c>
    </row>
    <row r="1042" spans="17:29" x14ac:dyDescent="0.2">
      <c r="Q1042" t="s">
        <v>2392</v>
      </c>
      <c r="R1042" t="s">
        <v>2396</v>
      </c>
      <c r="S1042" t="s">
        <v>287</v>
      </c>
      <c r="T1042" s="1">
        <v>43830</v>
      </c>
      <c r="U1042" s="1">
        <v>43830</v>
      </c>
      <c r="V1042" t="s">
        <v>270</v>
      </c>
      <c r="W1042">
        <v>20700000</v>
      </c>
      <c r="X1042">
        <v>20700000</v>
      </c>
      <c r="Y1042" t="s">
        <v>270</v>
      </c>
      <c r="Z1042">
        <v>20700000</v>
      </c>
      <c r="AA1042">
        <v>20700000</v>
      </c>
      <c r="AB1042" t="b">
        <v>1</v>
      </c>
      <c r="AC1042">
        <v>1</v>
      </c>
    </row>
    <row r="1043" spans="17:29" x14ac:dyDescent="0.2">
      <c r="Q1043" t="s">
        <v>2392</v>
      </c>
      <c r="R1043" t="s">
        <v>2396</v>
      </c>
      <c r="S1043" t="s">
        <v>287</v>
      </c>
      <c r="T1043" s="1">
        <v>43465</v>
      </c>
      <c r="U1043" s="1">
        <v>43465</v>
      </c>
      <c r="V1043" t="s">
        <v>270</v>
      </c>
      <c r="W1043">
        <v>3800000</v>
      </c>
      <c r="X1043">
        <v>3800000</v>
      </c>
      <c r="Y1043" t="s">
        <v>270</v>
      </c>
      <c r="Z1043">
        <v>3800000</v>
      </c>
      <c r="AA1043">
        <v>3800000</v>
      </c>
      <c r="AB1043" t="b">
        <v>1</v>
      </c>
      <c r="AC1043">
        <v>1</v>
      </c>
    </row>
    <row r="1044" spans="17:29" x14ac:dyDescent="0.2">
      <c r="Q1044" t="s">
        <v>2018</v>
      </c>
      <c r="R1044" t="s">
        <v>2396</v>
      </c>
      <c r="S1044" t="s">
        <v>287</v>
      </c>
      <c r="T1044" s="1">
        <v>44196</v>
      </c>
      <c r="U1044" s="1">
        <v>44196</v>
      </c>
      <c r="V1044" t="s">
        <v>270</v>
      </c>
      <c r="W1044">
        <v>93800000</v>
      </c>
      <c r="X1044">
        <v>93800000</v>
      </c>
      <c r="Y1044" t="s">
        <v>270</v>
      </c>
      <c r="Z1044">
        <v>93800000</v>
      </c>
      <c r="AA1044">
        <v>93800000</v>
      </c>
      <c r="AB1044" t="b">
        <v>1</v>
      </c>
      <c r="AC1044">
        <v>1</v>
      </c>
    </row>
    <row r="1045" spans="17:29" x14ac:dyDescent="0.2">
      <c r="Q1045" t="s">
        <v>2018</v>
      </c>
      <c r="R1045" t="s">
        <v>2396</v>
      </c>
      <c r="S1045" t="s">
        <v>287</v>
      </c>
      <c r="T1045" s="1">
        <v>43830</v>
      </c>
      <c r="U1045" s="1">
        <v>43830</v>
      </c>
      <c r="V1045" t="s">
        <v>270</v>
      </c>
      <c r="W1045">
        <v>20700000</v>
      </c>
      <c r="X1045">
        <v>20700000</v>
      </c>
      <c r="Y1045" t="s">
        <v>270</v>
      </c>
      <c r="Z1045">
        <v>20700000</v>
      </c>
      <c r="AA1045">
        <v>20700000</v>
      </c>
      <c r="AB1045" t="b">
        <v>1</v>
      </c>
      <c r="AC1045">
        <v>1</v>
      </c>
    </row>
    <row r="1046" spans="17:29" x14ac:dyDescent="0.2">
      <c r="Q1046" t="s">
        <v>2018</v>
      </c>
      <c r="R1046" t="s">
        <v>2396</v>
      </c>
      <c r="S1046" t="s">
        <v>287</v>
      </c>
      <c r="T1046" s="1">
        <v>43465</v>
      </c>
      <c r="U1046" s="1">
        <v>43465</v>
      </c>
      <c r="V1046" t="s">
        <v>270</v>
      </c>
      <c r="W1046">
        <v>3800000</v>
      </c>
      <c r="X1046">
        <v>3800000</v>
      </c>
      <c r="Y1046" t="s">
        <v>270</v>
      </c>
      <c r="Z1046">
        <v>3800000</v>
      </c>
      <c r="AA1046">
        <v>3800000</v>
      </c>
      <c r="AB1046" t="b">
        <v>1</v>
      </c>
      <c r="AC1046">
        <v>1</v>
      </c>
    </row>
    <row r="1047" spans="17:29" x14ac:dyDescent="0.2">
      <c r="Q1047" t="s">
        <v>2392</v>
      </c>
      <c r="R1047" t="s">
        <v>2397</v>
      </c>
      <c r="S1047" t="s">
        <v>287</v>
      </c>
      <c r="T1047" s="1">
        <v>44196</v>
      </c>
      <c r="U1047" s="1">
        <v>44196</v>
      </c>
      <c r="V1047" t="s">
        <v>270</v>
      </c>
      <c r="W1047">
        <v>4500000</v>
      </c>
      <c r="X1047">
        <v>4500000</v>
      </c>
      <c r="Y1047" t="s">
        <v>270</v>
      </c>
      <c r="Z1047">
        <v>4500000</v>
      </c>
      <c r="AA1047">
        <v>4500000</v>
      </c>
      <c r="AB1047" t="b">
        <v>0</v>
      </c>
      <c r="AC1047">
        <v>0.5</v>
      </c>
    </row>
    <row r="1048" spans="17:29" x14ac:dyDescent="0.2">
      <c r="Q1048" t="s">
        <v>2392</v>
      </c>
      <c r="R1048" t="s">
        <v>2397</v>
      </c>
      <c r="S1048" t="s">
        <v>287</v>
      </c>
      <c r="T1048" s="1">
        <v>43830</v>
      </c>
      <c r="U1048" s="1">
        <v>43830</v>
      </c>
      <c r="V1048" t="s">
        <v>270</v>
      </c>
      <c r="W1048">
        <v>3200000</v>
      </c>
      <c r="X1048">
        <v>3200000</v>
      </c>
      <c r="Y1048" t="s">
        <v>270</v>
      </c>
      <c r="Z1048">
        <v>3200000</v>
      </c>
      <c r="AA1048">
        <v>3200000</v>
      </c>
      <c r="AB1048" t="b">
        <v>0</v>
      </c>
      <c r="AC1048">
        <v>0.5</v>
      </c>
    </row>
    <row r="1049" spans="17:29" x14ac:dyDescent="0.2">
      <c r="Q1049" t="s">
        <v>2392</v>
      </c>
      <c r="R1049" t="s">
        <v>2397</v>
      </c>
      <c r="S1049" t="s">
        <v>287</v>
      </c>
      <c r="T1049" s="1">
        <v>43465</v>
      </c>
      <c r="U1049" s="1">
        <v>43465</v>
      </c>
      <c r="V1049" t="s">
        <v>270</v>
      </c>
      <c r="W1049">
        <v>200000</v>
      </c>
      <c r="X1049">
        <v>200000</v>
      </c>
      <c r="Y1049" t="s">
        <v>270</v>
      </c>
      <c r="Z1049">
        <v>200000</v>
      </c>
      <c r="AA1049">
        <v>200000</v>
      </c>
      <c r="AB1049" t="b">
        <v>0</v>
      </c>
      <c r="AC1049">
        <v>0.5</v>
      </c>
    </row>
    <row r="1050" spans="17:29" x14ac:dyDescent="0.2">
      <c r="Q1050" t="s">
        <v>2398</v>
      </c>
      <c r="R1050" t="s">
        <v>2397</v>
      </c>
      <c r="S1050" t="s">
        <v>287</v>
      </c>
      <c r="T1050" s="1">
        <v>44196</v>
      </c>
      <c r="U1050" s="1">
        <v>44196</v>
      </c>
      <c r="V1050" t="s">
        <v>270</v>
      </c>
      <c r="W1050">
        <v>4500000</v>
      </c>
      <c r="X1050">
        <v>4500000</v>
      </c>
      <c r="Y1050" t="s">
        <v>270</v>
      </c>
      <c r="Z1050">
        <v>4500000</v>
      </c>
      <c r="AA1050">
        <v>4500000</v>
      </c>
      <c r="AB1050" t="b">
        <v>0</v>
      </c>
      <c r="AC1050">
        <v>0.5</v>
      </c>
    </row>
    <row r="1051" spans="17:29" x14ac:dyDescent="0.2">
      <c r="Q1051" t="s">
        <v>2398</v>
      </c>
      <c r="R1051" t="s">
        <v>2397</v>
      </c>
      <c r="S1051" t="s">
        <v>287</v>
      </c>
      <c r="T1051" s="1">
        <v>43830</v>
      </c>
      <c r="U1051" s="1">
        <v>43830</v>
      </c>
      <c r="V1051" t="s">
        <v>270</v>
      </c>
      <c r="W1051">
        <v>3200000</v>
      </c>
      <c r="X1051">
        <v>3200000</v>
      </c>
      <c r="Y1051" t="s">
        <v>270</v>
      </c>
      <c r="Z1051">
        <v>3200000</v>
      </c>
      <c r="AA1051">
        <v>3200000</v>
      </c>
      <c r="AB1051" t="b">
        <v>0</v>
      </c>
      <c r="AC1051">
        <v>0.5</v>
      </c>
    </row>
    <row r="1052" spans="17:29" x14ac:dyDescent="0.2">
      <c r="Q1052" t="s">
        <v>2398</v>
      </c>
      <c r="R1052" t="s">
        <v>2397</v>
      </c>
      <c r="S1052" t="s">
        <v>287</v>
      </c>
      <c r="T1052" s="1">
        <v>43465</v>
      </c>
      <c r="U1052" s="1">
        <v>43465</v>
      </c>
      <c r="V1052" t="s">
        <v>270</v>
      </c>
      <c r="W1052">
        <v>200000</v>
      </c>
      <c r="X1052">
        <v>200000</v>
      </c>
      <c r="Y1052" t="s">
        <v>270</v>
      </c>
      <c r="Z1052">
        <v>200000</v>
      </c>
      <c r="AA1052">
        <v>200000</v>
      </c>
      <c r="AB1052" t="b">
        <v>0</v>
      </c>
      <c r="AC1052">
        <v>0.5</v>
      </c>
    </row>
    <row r="1053" spans="17:29" x14ac:dyDescent="0.2">
      <c r="Q1053" t="s">
        <v>2392</v>
      </c>
      <c r="R1053" t="s">
        <v>2399</v>
      </c>
      <c r="S1053" t="s">
        <v>287</v>
      </c>
      <c r="T1053" s="1">
        <v>44196</v>
      </c>
      <c r="U1053" s="1">
        <v>44196</v>
      </c>
      <c r="V1053" t="s">
        <v>270</v>
      </c>
      <c r="W1053">
        <v>3500000</v>
      </c>
      <c r="X1053">
        <v>3500000</v>
      </c>
      <c r="Y1053" t="s">
        <v>270</v>
      </c>
      <c r="Z1053">
        <v>3500000</v>
      </c>
      <c r="AA1053">
        <v>3500000</v>
      </c>
      <c r="AB1053" t="b">
        <v>0</v>
      </c>
      <c r="AC1053">
        <v>0.5</v>
      </c>
    </row>
    <row r="1054" spans="17:29" x14ac:dyDescent="0.2">
      <c r="Q1054" t="s">
        <v>2392</v>
      </c>
      <c r="R1054" t="s">
        <v>2399</v>
      </c>
      <c r="S1054" t="s">
        <v>287</v>
      </c>
      <c r="T1054" s="1">
        <v>43830</v>
      </c>
      <c r="U1054" s="1">
        <v>43830</v>
      </c>
      <c r="V1054" t="s">
        <v>270</v>
      </c>
      <c r="W1054">
        <v>1600000</v>
      </c>
      <c r="X1054">
        <v>1600000</v>
      </c>
      <c r="Y1054" t="s">
        <v>270</v>
      </c>
      <c r="Z1054">
        <v>1600000</v>
      </c>
      <c r="AA1054">
        <v>1600000</v>
      </c>
      <c r="AB1054" t="b">
        <v>0</v>
      </c>
      <c r="AC1054">
        <v>0.5</v>
      </c>
    </row>
    <row r="1055" spans="17:29" x14ac:dyDescent="0.2">
      <c r="Q1055" t="s">
        <v>2398</v>
      </c>
      <c r="R1055" t="s">
        <v>2399</v>
      </c>
      <c r="S1055" t="s">
        <v>287</v>
      </c>
      <c r="T1055" s="1">
        <v>44196</v>
      </c>
      <c r="U1055" s="1">
        <v>44196</v>
      </c>
      <c r="V1055" t="s">
        <v>270</v>
      </c>
      <c r="W1055">
        <v>3500000</v>
      </c>
      <c r="X1055">
        <v>3500000</v>
      </c>
      <c r="Y1055" t="s">
        <v>270</v>
      </c>
      <c r="Z1055">
        <v>3500000</v>
      </c>
      <c r="AA1055">
        <v>3500000</v>
      </c>
      <c r="AB1055" t="b">
        <v>0</v>
      </c>
      <c r="AC1055">
        <v>0.5</v>
      </c>
    </row>
    <row r="1056" spans="17:29" x14ac:dyDescent="0.2">
      <c r="Q1056" t="s">
        <v>2398</v>
      </c>
      <c r="R1056" t="s">
        <v>2399</v>
      </c>
      <c r="S1056" t="s">
        <v>287</v>
      </c>
      <c r="T1056" s="1">
        <v>43830</v>
      </c>
      <c r="U1056" s="1">
        <v>43830</v>
      </c>
      <c r="V1056" t="s">
        <v>270</v>
      </c>
      <c r="W1056">
        <v>1600000</v>
      </c>
      <c r="X1056">
        <v>1600000</v>
      </c>
      <c r="Y1056" t="s">
        <v>270</v>
      </c>
      <c r="Z1056">
        <v>1600000</v>
      </c>
      <c r="AA1056">
        <v>1600000</v>
      </c>
      <c r="AB1056" t="b">
        <v>0</v>
      </c>
      <c r="AC1056">
        <v>0.5</v>
      </c>
    </row>
    <row r="1057" spans="17:29" x14ac:dyDescent="0.2">
      <c r="Q1057" t="s">
        <v>2392</v>
      </c>
      <c r="R1057" t="s">
        <v>2400</v>
      </c>
      <c r="S1057" t="s">
        <v>287</v>
      </c>
      <c r="T1057" s="1">
        <v>44196</v>
      </c>
      <c r="U1057" s="1">
        <v>44196</v>
      </c>
      <c r="V1057" t="s">
        <v>270</v>
      </c>
      <c r="W1057">
        <v>7400000</v>
      </c>
      <c r="X1057">
        <v>7400000</v>
      </c>
      <c r="Y1057" t="s">
        <v>270</v>
      </c>
      <c r="Z1057">
        <v>7400000</v>
      </c>
      <c r="AA1057">
        <v>7400000</v>
      </c>
      <c r="AB1057" t="b">
        <v>0</v>
      </c>
      <c r="AC1057">
        <v>0.5</v>
      </c>
    </row>
    <row r="1058" spans="17:29" x14ac:dyDescent="0.2">
      <c r="Q1058" t="s">
        <v>2392</v>
      </c>
      <c r="R1058" t="s">
        <v>2400</v>
      </c>
      <c r="S1058" t="s">
        <v>287</v>
      </c>
      <c r="T1058" s="1">
        <v>43830</v>
      </c>
      <c r="U1058" s="1">
        <v>43830</v>
      </c>
      <c r="V1058" t="s">
        <v>270</v>
      </c>
      <c r="W1058">
        <v>400000</v>
      </c>
      <c r="X1058">
        <v>400000</v>
      </c>
      <c r="Y1058" t="s">
        <v>270</v>
      </c>
      <c r="Z1058">
        <v>400000</v>
      </c>
      <c r="AA1058">
        <v>400000</v>
      </c>
      <c r="AB1058" t="b">
        <v>0</v>
      </c>
      <c r="AC1058">
        <v>0.5</v>
      </c>
    </row>
    <row r="1059" spans="17:29" x14ac:dyDescent="0.2">
      <c r="Q1059" t="s">
        <v>2398</v>
      </c>
      <c r="R1059" t="s">
        <v>2400</v>
      </c>
      <c r="S1059" t="s">
        <v>287</v>
      </c>
      <c r="T1059" s="1">
        <v>44196</v>
      </c>
      <c r="U1059" s="1">
        <v>44196</v>
      </c>
      <c r="V1059" t="s">
        <v>270</v>
      </c>
      <c r="W1059">
        <v>7400000</v>
      </c>
      <c r="X1059">
        <v>7400000</v>
      </c>
      <c r="Y1059" t="s">
        <v>270</v>
      </c>
      <c r="Z1059">
        <v>7400000</v>
      </c>
      <c r="AA1059">
        <v>7400000</v>
      </c>
      <c r="AB1059" t="b">
        <v>0</v>
      </c>
      <c r="AC1059">
        <v>0.5</v>
      </c>
    </row>
    <row r="1060" spans="17:29" x14ac:dyDescent="0.2">
      <c r="Q1060" t="s">
        <v>2398</v>
      </c>
      <c r="R1060" t="s">
        <v>2400</v>
      </c>
      <c r="S1060" t="s">
        <v>287</v>
      </c>
      <c r="T1060" s="1">
        <v>43830</v>
      </c>
      <c r="U1060" s="1">
        <v>43830</v>
      </c>
      <c r="V1060" t="s">
        <v>270</v>
      </c>
      <c r="W1060">
        <v>400000</v>
      </c>
      <c r="X1060">
        <v>400000</v>
      </c>
      <c r="Y1060" t="s">
        <v>270</v>
      </c>
      <c r="Z1060">
        <v>400000</v>
      </c>
      <c r="AA1060">
        <v>400000</v>
      </c>
      <c r="AB1060" t="b">
        <v>0</v>
      </c>
      <c r="AC1060">
        <v>0.5</v>
      </c>
    </row>
    <row r="1061" spans="17:29" x14ac:dyDescent="0.2">
      <c r="Q1061" t="s">
        <v>2392</v>
      </c>
      <c r="R1061" t="s">
        <v>2401</v>
      </c>
      <c r="S1061" t="s">
        <v>287</v>
      </c>
      <c r="T1061" s="1">
        <v>44196</v>
      </c>
      <c r="U1061" s="1">
        <v>44196</v>
      </c>
      <c r="V1061" t="s">
        <v>270</v>
      </c>
      <c r="W1061">
        <v>4700000</v>
      </c>
      <c r="X1061">
        <v>4700000</v>
      </c>
      <c r="Y1061" t="s">
        <v>270</v>
      </c>
      <c r="Z1061">
        <v>4700000</v>
      </c>
      <c r="AA1061">
        <v>4700000</v>
      </c>
      <c r="AB1061" t="b">
        <v>0</v>
      </c>
      <c r="AC1061">
        <v>0.5</v>
      </c>
    </row>
    <row r="1062" spans="17:29" x14ac:dyDescent="0.2">
      <c r="Q1062" t="s">
        <v>2398</v>
      </c>
      <c r="R1062" t="s">
        <v>2401</v>
      </c>
      <c r="S1062" t="s">
        <v>287</v>
      </c>
      <c r="T1062" s="1">
        <v>44196</v>
      </c>
      <c r="U1062" s="1">
        <v>44196</v>
      </c>
      <c r="V1062" t="s">
        <v>270</v>
      </c>
      <c r="W1062">
        <v>4700000</v>
      </c>
      <c r="X1062">
        <v>4700000</v>
      </c>
      <c r="Y1062" t="s">
        <v>270</v>
      </c>
      <c r="Z1062">
        <v>4700000</v>
      </c>
      <c r="AA1062">
        <v>4700000</v>
      </c>
      <c r="AB1062" t="b">
        <v>0</v>
      </c>
      <c r="AC1062">
        <v>0.5</v>
      </c>
    </row>
    <row r="1063" spans="17:29" x14ac:dyDescent="0.2">
      <c r="Q1063" t="s">
        <v>2392</v>
      </c>
      <c r="R1063" t="s">
        <v>2402</v>
      </c>
      <c r="S1063" t="s">
        <v>287</v>
      </c>
      <c r="T1063" s="1">
        <v>44196</v>
      </c>
      <c r="U1063" s="1">
        <v>44196</v>
      </c>
      <c r="V1063" t="s">
        <v>270</v>
      </c>
      <c r="W1063">
        <v>700000</v>
      </c>
      <c r="X1063">
        <v>700000</v>
      </c>
      <c r="Y1063" t="s">
        <v>270</v>
      </c>
      <c r="Z1063">
        <v>700000</v>
      </c>
      <c r="AA1063">
        <v>700000</v>
      </c>
      <c r="AB1063" t="b">
        <v>0</v>
      </c>
      <c r="AC1063">
        <v>1</v>
      </c>
    </row>
    <row r="1064" spans="17:29" x14ac:dyDescent="0.2">
      <c r="Q1064" t="s">
        <v>2392</v>
      </c>
      <c r="R1064" t="s">
        <v>2402</v>
      </c>
      <c r="S1064" t="s">
        <v>287</v>
      </c>
      <c r="T1064" s="1">
        <v>43830</v>
      </c>
      <c r="U1064" s="1">
        <v>43830</v>
      </c>
      <c r="V1064" t="s">
        <v>270</v>
      </c>
      <c r="W1064">
        <v>5000000</v>
      </c>
      <c r="X1064">
        <v>5000000</v>
      </c>
      <c r="Y1064" t="s">
        <v>270</v>
      </c>
      <c r="Z1064">
        <v>5000000</v>
      </c>
      <c r="AA1064">
        <v>5000000</v>
      </c>
      <c r="AB1064" t="b">
        <v>0</v>
      </c>
      <c r="AC1064">
        <v>1</v>
      </c>
    </row>
    <row r="1065" spans="17:29" x14ac:dyDescent="0.2">
      <c r="Q1065" t="s">
        <v>2018</v>
      </c>
      <c r="R1065" t="s">
        <v>2402</v>
      </c>
      <c r="S1065" t="s">
        <v>287</v>
      </c>
      <c r="T1065" s="1">
        <v>44196</v>
      </c>
      <c r="U1065" s="1">
        <v>44196</v>
      </c>
      <c r="V1065" t="s">
        <v>270</v>
      </c>
      <c r="W1065">
        <v>700000</v>
      </c>
      <c r="X1065">
        <v>700000</v>
      </c>
      <c r="Y1065" t="s">
        <v>270</v>
      </c>
      <c r="Z1065">
        <v>700000</v>
      </c>
      <c r="AA1065">
        <v>700000</v>
      </c>
      <c r="AB1065" t="b">
        <v>0</v>
      </c>
      <c r="AC1065">
        <v>1</v>
      </c>
    </row>
    <row r="1066" spans="17:29" x14ac:dyDescent="0.2">
      <c r="Q1066" t="s">
        <v>2018</v>
      </c>
      <c r="R1066" t="s">
        <v>2402</v>
      </c>
      <c r="S1066" t="s">
        <v>287</v>
      </c>
      <c r="T1066" s="1">
        <v>43830</v>
      </c>
      <c r="U1066" s="1">
        <v>43830</v>
      </c>
      <c r="V1066" t="s">
        <v>270</v>
      </c>
      <c r="W1066">
        <v>5000000</v>
      </c>
      <c r="X1066">
        <v>5000000</v>
      </c>
      <c r="Y1066" t="s">
        <v>270</v>
      </c>
      <c r="Z1066">
        <v>5000000</v>
      </c>
      <c r="AA1066">
        <v>5000000</v>
      </c>
      <c r="AB1066" t="b">
        <v>0</v>
      </c>
      <c r="AC1066">
        <v>1</v>
      </c>
    </row>
    <row r="1067" spans="17:29" x14ac:dyDescent="0.2">
      <c r="Q1067" t="s">
        <v>2141</v>
      </c>
      <c r="R1067" t="s">
        <v>2403</v>
      </c>
      <c r="S1067" t="s">
        <v>287</v>
      </c>
      <c r="T1067" s="1">
        <v>43830</v>
      </c>
      <c r="U1067" s="1">
        <v>43830</v>
      </c>
      <c r="V1067" t="s">
        <v>270</v>
      </c>
      <c r="W1067">
        <v>100000</v>
      </c>
      <c r="X1067">
        <v>100000</v>
      </c>
      <c r="Y1067" t="s">
        <v>270</v>
      </c>
      <c r="Z1067">
        <v>100000</v>
      </c>
      <c r="AA1067">
        <v>100000</v>
      </c>
      <c r="AB1067" t="b">
        <v>1</v>
      </c>
      <c r="AC1067">
        <v>1</v>
      </c>
    </row>
    <row r="1068" spans="17:29" x14ac:dyDescent="0.2">
      <c r="Q1068" t="s">
        <v>2141</v>
      </c>
      <c r="R1068" t="s">
        <v>2403</v>
      </c>
      <c r="S1068" t="s">
        <v>287</v>
      </c>
      <c r="T1068" s="1">
        <v>43465</v>
      </c>
      <c r="U1068" s="1">
        <v>43465</v>
      </c>
      <c r="V1068" t="s">
        <v>270</v>
      </c>
      <c r="W1068">
        <v>100000</v>
      </c>
      <c r="X1068">
        <v>100000</v>
      </c>
      <c r="Y1068" t="s">
        <v>270</v>
      </c>
      <c r="Z1068">
        <v>100000</v>
      </c>
      <c r="AA1068">
        <v>100000</v>
      </c>
      <c r="AB1068" t="b">
        <v>1</v>
      </c>
      <c r="AC1068">
        <v>1</v>
      </c>
    </row>
    <row r="1069" spans="17:29" x14ac:dyDescent="0.2">
      <c r="Q1069" t="s">
        <v>2036</v>
      </c>
      <c r="R1069" t="s">
        <v>2403</v>
      </c>
      <c r="S1069" t="s">
        <v>287</v>
      </c>
      <c r="T1069" s="1">
        <v>43830</v>
      </c>
      <c r="U1069" s="1">
        <v>43830</v>
      </c>
      <c r="V1069" t="s">
        <v>270</v>
      </c>
      <c r="W1069">
        <v>100000</v>
      </c>
      <c r="X1069">
        <v>100000</v>
      </c>
      <c r="Y1069" t="s">
        <v>270</v>
      </c>
      <c r="Z1069">
        <v>100000</v>
      </c>
      <c r="AA1069">
        <v>100000</v>
      </c>
      <c r="AB1069" t="b">
        <v>1</v>
      </c>
      <c r="AC1069">
        <v>1</v>
      </c>
    </row>
    <row r="1070" spans="17:29" x14ac:dyDescent="0.2">
      <c r="Q1070" t="s">
        <v>2036</v>
      </c>
      <c r="R1070" t="s">
        <v>2403</v>
      </c>
      <c r="S1070" t="s">
        <v>287</v>
      </c>
      <c r="T1070" s="1">
        <v>43465</v>
      </c>
      <c r="U1070" s="1">
        <v>43465</v>
      </c>
      <c r="V1070" t="s">
        <v>270</v>
      </c>
      <c r="W1070">
        <v>100000</v>
      </c>
      <c r="X1070">
        <v>100000</v>
      </c>
      <c r="Y1070" t="s">
        <v>270</v>
      </c>
      <c r="Z1070">
        <v>100000</v>
      </c>
      <c r="AA1070">
        <v>100000</v>
      </c>
      <c r="AB1070" t="b">
        <v>1</v>
      </c>
      <c r="AC1070">
        <v>1</v>
      </c>
    </row>
    <row r="1071" spans="17:29" x14ac:dyDescent="0.2">
      <c r="Q1071" t="s">
        <v>2128</v>
      </c>
      <c r="R1071" t="s">
        <v>2404</v>
      </c>
      <c r="S1071" t="s">
        <v>287</v>
      </c>
      <c r="T1071" s="1">
        <v>43465</v>
      </c>
      <c r="U1071" s="1">
        <v>43465</v>
      </c>
      <c r="V1071" t="s">
        <v>270</v>
      </c>
      <c r="W1071">
        <v>800000</v>
      </c>
      <c r="X1071">
        <v>800000</v>
      </c>
      <c r="Y1071" t="s">
        <v>270</v>
      </c>
      <c r="Z1071">
        <v>800000</v>
      </c>
      <c r="AA1071">
        <v>800000</v>
      </c>
      <c r="AB1071" t="b">
        <v>1</v>
      </c>
      <c r="AC1071">
        <v>1</v>
      </c>
    </row>
    <row r="1072" spans="17:29" x14ac:dyDescent="0.2">
      <c r="Q1072" t="s">
        <v>1989</v>
      </c>
      <c r="R1072" t="s">
        <v>2404</v>
      </c>
      <c r="S1072" t="s">
        <v>287</v>
      </c>
      <c r="T1072" s="1">
        <v>43465</v>
      </c>
      <c r="U1072" s="1">
        <v>43465</v>
      </c>
      <c r="V1072" t="s">
        <v>270</v>
      </c>
      <c r="W1072">
        <v>800000</v>
      </c>
      <c r="X1072">
        <v>800000</v>
      </c>
      <c r="Y1072" t="s">
        <v>270</v>
      </c>
      <c r="Z1072">
        <v>800000</v>
      </c>
      <c r="AA1072">
        <v>800000</v>
      </c>
      <c r="AB1072" t="b">
        <v>1</v>
      </c>
      <c r="AC1072">
        <v>1</v>
      </c>
    </row>
    <row r="1073" spans="17:29" x14ac:dyDescent="0.2">
      <c r="Q1073" t="s">
        <v>2128</v>
      </c>
      <c r="R1073" t="s">
        <v>2405</v>
      </c>
      <c r="S1073" t="s">
        <v>287</v>
      </c>
      <c r="T1073" s="1">
        <v>44196</v>
      </c>
      <c r="U1073" s="1">
        <v>44196</v>
      </c>
      <c r="V1073" t="s">
        <v>270</v>
      </c>
      <c r="W1073">
        <v>100000</v>
      </c>
      <c r="X1073">
        <v>100000</v>
      </c>
      <c r="Y1073" t="s">
        <v>270</v>
      </c>
      <c r="Z1073">
        <v>100000</v>
      </c>
      <c r="AA1073">
        <v>100000</v>
      </c>
      <c r="AB1073" t="b">
        <v>1</v>
      </c>
      <c r="AC1073">
        <v>1</v>
      </c>
    </row>
    <row r="1074" spans="17:29" x14ac:dyDescent="0.2">
      <c r="Q1074" t="s">
        <v>2128</v>
      </c>
      <c r="R1074" t="s">
        <v>2405</v>
      </c>
      <c r="S1074" t="s">
        <v>287</v>
      </c>
      <c r="T1074" s="1">
        <v>43830</v>
      </c>
      <c r="U1074" s="1">
        <v>43830</v>
      </c>
      <c r="V1074" t="s">
        <v>270</v>
      </c>
      <c r="W1074">
        <v>500000</v>
      </c>
      <c r="X1074">
        <v>500000</v>
      </c>
      <c r="Y1074" t="s">
        <v>270</v>
      </c>
      <c r="Z1074">
        <v>500000</v>
      </c>
      <c r="AA1074">
        <v>500000</v>
      </c>
      <c r="AB1074" t="b">
        <v>1</v>
      </c>
      <c r="AC1074">
        <v>1</v>
      </c>
    </row>
    <row r="1075" spans="17:29" x14ac:dyDescent="0.2">
      <c r="Q1075" t="s">
        <v>2128</v>
      </c>
      <c r="R1075" t="s">
        <v>2405</v>
      </c>
      <c r="S1075" t="s">
        <v>287</v>
      </c>
      <c r="T1075" s="1">
        <v>43465</v>
      </c>
      <c r="U1075" s="1">
        <v>43465</v>
      </c>
      <c r="V1075" t="s">
        <v>270</v>
      </c>
      <c r="W1075">
        <v>500000</v>
      </c>
      <c r="X1075">
        <v>500000</v>
      </c>
      <c r="Y1075" t="s">
        <v>270</v>
      </c>
      <c r="Z1075">
        <v>500000</v>
      </c>
      <c r="AA1075">
        <v>500000</v>
      </c>
      <c r="AB1075" t="b">
        <v>1</v>
      </c>
      <c r="AC1075">
        <v>1</v>
      </c>
    </row>
    <row r="1076" spans="17:29" x14ac:dyDescent="0.2">
      <c r="Q1076" t="s">
        <v>1989</v>
      </c>
      <c r="R1076" t="s">
        <v>2405</v>
      </c>
      <c r="S1076" t="s">
        <v>287</v>
      </c>
      <c r="T1076" s="1">
        <v>44196</v>
      </c>
      <c r="U1076" s="1">
        <v>44196</v>
      </c>
      <c r="V1076" t="s">
        <v>270</v>
      </c>
      <c r="W1076">
        <v>100000</v>
      </c>
      <c r="X1076">
        <v>100000</v>
      </c>
      <c r="Y1076" t="s">
        <v>270</v>
      </c>
      <c r="Z1076">
        <v>100000</v>
      </c>
      <c r="AA1076">
        <v>100000</v>
      </c>
      <c r="AB1076" t="b">
        <v>1</v>
      </c>
      <c r="AC1076">
        <v>1</v>
      </c>
    </row>
    <row r="1077" spans="17:29" x14ac:dyDescent="0.2">
      <c r="Q1077" t="s">
        <v>1989</v>
      </c>
      <c r="R1077" t="s">
        <v>2405</v>
      </c>
      <c r="S1077" t="s">
        <v>287</v>
      </c>
      <c r="T1077" s="1">
        <v>43830</v>
      </c>
      <c r="U1077" s="1">
        <v>43830</v>
      </c>
      <c r="V1077" t="s">
        <v>270</v>
      </c>
      <c r="W1077">
        <v>500000</v>
      </c>
      <c r="X1077">
        <v>500000</v>
      </c>
      <c r="Y1077" t="s">
        <v>270</v>
      </c>
      <c r="Z1077">
        <v>500000</v>
      </c>
      <c r="AA1077">
        <v>500000</v>
      </c>
      <c r="AB1077" t="b">
        <v>1</v>
      </c>
      <c r="AC1077">
        <v>1</v>
      </c>
    </row>
    <row r="1078" spans="17:29" x14ac:dyDescent="0.2">
      <c r="Q1078" t="s">
        <v>1989</v>
      </c>
      <c r="R1078" t="s">
        <v>2405</v>
      </c>
      <c r="S1078" t="s">
        <v>287</v>
      </c>
      <c r="T1078" s="1">
        <v>43465</v>
      </c>
      <c r="U1078" s="1">
        <v>43465</v>
      </c>
      <c r="V1078" t="s">
        <v>270</v>
      </c>
      <c r="W1078">
        <v>500000</v>
      </c>
      <c r="X1078">
        <v>500000</v>
      </c>
      <c r="Y1078" t="s">
        <v>270</v>
      </c>
      <c r="Z1078">
        <v>500000</v>
      </c>
      <c r="AA1078">
        <v>500000</v>
      </c>
      <c r="AB1078" t="b">
        <v>1</v>
      </c>
      <c r="AC1078">
        <v>1</v>
      </c>
    </row>
    <row r="1079" spans="17:29" x14ac:dyDescent="0.2">
      <c r="Q1079" t="s">
        <v>2406</v>
      </c>
      <c r="R1079" t="s">
        <v>2407</v>
      </c>
      <c r="S1079" t="s">
        <v>287</v>
      </c>
      <c r="T1079" s="1">
        <v>44196</v>
      </c>
      <c r="U1079" s="1">
        <v>44196</v>
      </c>
      <c r="V1079" t="s">
        <v>270</v>
      </c>
      <c r="W1079">
        <v>14900000</v>
      </c>
      <c r="X1079">
        <v>14900000</v>
      </c>
      <c r="Y1079" t="s">
        <v>270</v>
      </c>
      <c r="Z1079">
        <v>14900000</v>
      </c>
      <c r="AA1079">
        <v>14900000</v>
      </c>
      <c r="AB1079" t="b">
        <v>1</v>
      </c>
      <c r="AC1079">
        <v>1</v>
      </c>
    </row>
    <row r="1080" spans="17:29" x14ac:dyDescent="0.2">
      <c r="Q1080" t="s">
        <v>2406</v>
      </c>
      <c r="R1080" t="s">
        <v>2407</v>
      </c>
      <c r="S1080" t="s">
        <v>287</v>
      </c>
      <c r="T1080" s="1">
        <v>43830</v>
      </c>
      <c r="U1080" s="1">
        <v>43830</v>
      </c>
      <c r="V1080" t="s">
        <v>270</v>
      </c>
      <c r="W1080">
        <v>10500000</v>
      </c>
      <c r="X1080">
        <v>10500000</v>
      </c>
      <c r="Y1080" t="s">
        <v>270</v>
      </c>
      <c r="Z1080">
        <v>10500000</v>
      </c>
      <c r="AA1080">
        <v>10500000</v>
      </c>
      <c r="AB1080" t="b">
        <v>1</v>
      </c>
      <c r="AC1080">
        <v>1</v>
      </c>
    </row>
    <row r="1081" spans="17:29" x14ac:dyDescent="0.2">
      <c r="Q1081" t="s">
        <v>2406</v>
      </c>
      <c r="R1081" t="s">
        <v>2407</v>
      </c>
      <c r="S1081" t="s">
        <v>287</v>
      </c>
      <c r="T1081" s="1">
        <v>43465</v>
      </c>
      <c r="U1081" s="1">
        <v>43465</v>
      </c>
      <c r="V1081" t="s">
        <v>270</v>
      </c>
      <c r="W1081">
        <v>300000</v>
      </c>
      <c r="X1081">
        <v>300000</v>
      </c>
      <c r="Y1081" t="s">
        <v>270</v>
      </c>
      <c r="Z1081">
        <v>300000</v>
      </c>
      <c r="AA1081">
        <v>300000</v>
      </c>
      <c r="AB1081" t="b">
        <v>1</v>
      </c>
      <c r="AC1081">
        <v>1</v>
      </c>
    </row>
    <row r="1082" spans="17:29" x14ac:dyDescent="0.2">
      <c r="Q1082" t="s">
        <v>2025</v>
      </c>
      <c r="R1082" t="s">
        <v>2407</v>
      </c>
      <c r="S1082" t="s">
        <v>287</v>
      </c>
      <c r="T1082" s="1">
        <v>44196</v>
      </c>
      <c r="U1082" s="1">
        <v>44196</v>
      </c>
      <c r="V1082" t="s">
        <v>270</v>
      </c>
      <c r="W1082">
        <v>14900000</v>
      </c>
      <c r="X1082">
        <v>14900000</v>
      </c>
      <c r="Y1082" t="s">
        <v>270</v>
      </c>
      <c r="Z1082">
        <v>14900000</v>
      </c>
      <c r="AA1082">
        <v>14900000</v>
      </c>
      <c r="AB1082" t="b">
        <v>1</v>
      </c>
      <c r="AC1082">
        <v>1</v>
      </c>
    </row>
    <row r="1083" spans="17:29" x14ac:dyDescent="0.2">
      <c r="Q1083" t="s">
        <v>2025</v>
      </c>
      <c r="R1083" t="s">
        <v>2407</v>
      </c>
      <c r="S1083" t="s">
        <v>287</v>
      </c>
      <c r="T1083" s="1">
        <v>43830</v>
      </c>
      <c r="U1083" s="1">
        <v>43830</v>
      </c>
      <c r="V1083" t="s">
        <v>270</v>
      </c>
      <c r="W1083">
        <v>10500000</v>
      </c>
      <c r="X1083">
        <v>10500000</v>
      </c>
      <c r="Y1083" t="s">
        <v>270</v>
      </c>
      <c r="Z1083">
        <v>10500000</v>
      </c>
      <c r="AA1083">
        <v>10500000</v>
      </c>
      <c r="AB1083" t="b">
        <v>1</v>
      </c>
      <c r="AC1083">
        <v>1</v>
      </c>
    </row>
    <row r="1084" spans="17:29" x14ac:dyDescent="0.2">
      <c r="Q1084" t="s">
        <v>2025</v>
      </c>
      <c r="R1084" t="s">
        <v>2407</v>
      </c>
      <c r="S1084" t="s">
        <v>287</v>
      </c>
      <c r="T1084" s="1">
        <v>43465</v>
      </c>
      <c r="U1084" s="1">
        <v>43465</v>
      </c>
      <c r="V1084" t="s">
        <v>270</v>
      </c>
      <c r="W1084">
        <v>300000</v>
      </c>
      <c r="X1084">
        <v>300000</v>
      </c>
      <c r="Y1084" t="s">
        <v>270</v>
      </c>
      <c r="Z1084">
        <v>300000</v>
      </c>
      <c r="AA1084">
        <v>300000</v>
      </c>
      <c r="AB1084" t="b">
        <v>1</v>
      </c>
      <c r="AC1084">
        <v>1</v>
      </c>
    </row>
    <row r="1085" spans="17:29" x14ac:dyDescent="0.2">
      <c r="Q1085" t="s">
        <v>2408</v>
      </c>
      <c r="R1085" t="s">
        <v>2409</v>
      </c>
      <c r="S1085" t="s">
        <v>287</v>
      </c>
      <c r="T1085" s="1">
        <v>44196</v>
      </c>
      <c r="U1085" s="1">
        <v>44196</v>
      </c>
      <c r="V1085" t="s">
        <v>270</v>
      </c>
      <c r="W1085">
        <v>7800000</v>
      </c>
      <c r="X1085">
        <v>7800000</v>
      </c>
      <c r="Y1085" t="s">
        <v>270</v>
      </c>
      <c r="Z1085">
        <v>7800000</v>
      </c>
      <c r="AA1085">
        <v>7800000</v>
      </c>
      <c r="AB1085" t="b">
        <v>1</v>
      </c>
      <c r="AC1085">
        <v>1</v>
      </c>
    </row>
    <row r="1086" spans="17:29" x14ac:dyDescent="0.2">
      <c r="Q1086" t="s">
        <v>2408</v>
      </c>
      <c r="R1086" t="s">
        <v>2409</v>
      </c>
      <c r="S1086" t="s">
        <v>287</v>
      </c>
      <c r="T1086" s="1">
        <v>43830</v>
      </c>
      <c r="U1086" s="1">
        <v>43830</v>
      </c>
      <c r="V1086" t="s">
        <v>270</v>
      </c>
      <c r="W1086">
        <v>6500000</v>
      </c>
      <c r="X1086">
        <v>6500000</v>
      </c>
      <c r="Y1086" t="s">
        <v>270</v>
      </c>
      <c r="Z1086">
        <v>6500000</v>
      </c>
      <c r="AA1086">
        <v>6500000</v>
      </c>
      <c r="AB1086" t="b">
        <v>1</v>
      </c>
      <c r="AC1086">
        <v>1</v>
      </c>
    </row>
    <row r="1087" spans="17:29" x14ac:dyDescent="0.2">
      <c r="Q1087" t="s">
        <v>2408</v>
      </c>
      <c r="R1087" t="s">
        <v>2409</v>
      </c>
      <c r="S1087" t="s">
        <v>287</v>
      </c>
      <c r="T1087" s="1">
        <v>43465</v>
      </c>
      <c r="U1087" s="1">
        <v>43465</v>
      </c>
      <c r="V1087" t="s">
        <v>270</v>
      </c>
      <c r="W1087">
        <v>4900000</v>
      </c>
      <c r="X1087">
        <v>4900000</v>
      </c>
      <c r="Y1087" t="s">
        <v>270</v>
      </c>
      <c r="Z1087">
        <v>4900000</v>
      </c>
      <c r="AA1087">
        <v>4900000</v>
      </c>
      <c r="AB1087" t="b">
        <v>1</v>
      </c>
      <c r="AC1087">
        <v>1</v>
      </c>
    </row>
    <row r="1088" spans="17:29" x14ac:dyDescent="0.2">
      <c r="Q1088" t="s">
        <v>2410</v>
      </c>
      <c r="R1088" t="s">
        <v>2409</v>
      </c>
      <c r="S1088" t="s">
        <v>287</v>
      </c>
      <c r="T1088" s="1">
        <v>44196</v>
      </c>
      <c r="U1088" s="1">
        <v>44196</v>
      </c>
      <c r="V1088" t="s">
        <v>270</v>
      </c>
      <c r="W1088">
        <v>7800000</v>
      </c>
      <c r="X1088">
        <v>7800000</v>
      </c>
      <c r="Y1088" t="s">
        <v>270</v>
      </c>
      <c r="Z1088">
        <v>7800000</v>
      </c>
      <c r="AA1088">
        <v>7800000</v>
      </c>
      <c r="AB1088" t="b">
        <v>1</v>
      </c>
      <c r="AC1088">
        <v>1</v>
      </c>
    </row>
    <row r="1089" spans="17:29" x14ac:dyDescent="0.2">
      <c r="Q1089" t="s">
        <v>2410</v>
      </c>
      <c r="R1089" t="s">
        <v>2409</v>
      </c>
      <c r="S1089" t="s">
        <v>287</v>
      </c>
      <c r="T1089" s="1">
        <v>43830</v>
      </c>
      <c r="U1089" s="1">
        <v>43830</v>
      </c>
      <c r="V1089" t="s">
        <v>270</v>
      </c>
      <c r="W1089">
        <v>6500000</v>
      </c>
      <c r="X1089">
        <v>6500000</v>
      </c>
      <c r="Y1089" t="s">
        <v>270</v>
      </c>
      <c r="Z1089">
        <v>6500000</v>
      </c>
      <c r="AA1089">
        <v>6500000</v>
      </c>
      <c r="AB1089" t="b">
        <v>1</v>
      </c>
      <c r="AC1089">
        <v>1</v>
      </c>
    </row>
    <row r="1090" spans="17:29" x14ac:dyDescent="0.2">
      <c r="Q1090" t="s">
        <v>2410</v>
      </c>
      <c r="R1090" t="s">
        <v>2409</v>
      </c>
      <c r="S1090" t="s">
        <v>287</v>
      </c>
      <c r="T1090" s="1">
        <v>43465</v>
      </c>
      <c r="U1090" s="1">
        <v>43465</v>
      </c>
      <c r="V1090" t="s">
        <v>270</v>
      </c>
      <c r="W1090">
        <v>4900000</v>
      </c>
      <c r="X1090">
        <v>4900000</v>
      </c>
      <c r="Y1090" t="s">
        <v>270</v>
      </c>
      <c r="Z1090">
        <v>4900000</v>
      </c>
      <c r="AA1090">
        <v>4900000</v>
      </c>
      <c r="AB1090" t="b">
        <v>1</v>
      </c>
      <c r="AC1090">
        <v>1</v>
      </c>
    </row>
    <row r="1091" spans="17:29" x14ac:dyDescent="0.2">
      <c r="Q1091" t="s">
        <v>2392</v>
      </c>
      <c r="R1091" t="s">
        <v>2411</v>
      </c>
      <c r="S1091" t="s">
        <v>287</v>
      </c>
      <c r="T1091" s="1">
        <v>44196</v>
      </c>
      <c r="U1091" s="1">
        <v>44196</v>
      </c>
      <c r="V1091" t="s">
        <v>270</v>
      </c>
      <c r="W1091">
        <v>10100000</v>
      </c>
      <c r="X1091">
        <v>10100000</v>
      </c>
      <c r="Y1091" t="s">
        <v>270</v>
      </c>
      <c r="Z1091">
        <v>10100000</v>
      </c>
      <c r="AA1091">
        <v>10100000</v>
      </c>
      <c r="AB1091" t="b">
        <v>1</v>
      </c>
      <c r="AC1091">
        <v>1</v>
      </c>
    </row>
    <row r="1092" spans="17:29" x14ac:dyDescent="0.2">
      <c r="Q1092" t="s">
        <v>2392</v>
      </c>
      <c r="R1092" t="s">
        <v>2411</v>
      </c>
      <c r="S1092" t="s">
        <v>287</v>
      </c>
      <c r="T1092" s="1">
        <v>43830</v>
      </c>
      <c r="U1092" s="1">
        <v>43830</v>
      </c>
      <c r="V1092" t="s">
        <v>270</v>
      </c>
      <c r="W1092">
        <v>2800000</v>
      </c>
      <c r="X1092">
        <v>2800000</v>
      </c>
      <c r="Y1092" t="s">
        <v>270</v>
      </c>
      <c r="Z1092">
        <v>2800000</v>
      </c>
      <c r="AA1092">
        <v>2800000</v>
      </c>
      <c r="AB1092" t="b">
        <v>1</v>
      </c>
      <c r="AC1092">
        <v>1</v>
      </c>
    </row>
    <row r="1093" spans="17:29" x14ac:dyDescent="0.2">
      <c r="Q1093" t="s">
        <v>2018</v>
      </c>
      <c r="R1093" t="s">
        <v>2411</v>
      </c>
      <c r="S1093" t="s">
        <v>287</v>
      </c>
      <c r="T1093" s="1">
        <v>44196</v>
      </c>
      <c r="U1093" s="1">
        <v>44196</v>
      </c>
      <c r="V1093" t="s">
        <v>270</v>
      </c>
      <c r="W1093">
        <v>10100000</v>
      </c>
      <c r="X1093">
        <v>10100000</v>
      </c>
      <c r="Y1093" t="s">
        <v>270</v>
      </c>
      <c r="Z1093">
        <v>10100000</v>
      </c>
      <c r="AA1093">
        <v>10100000</v>
      </c>
      <c r="AB1093" t="b">
        <v>1</v>
      </c>
      <c r="AC1093">
        <v>1</v>
      </c>
    </row>
    <row r="1094" spans="17:29" x14ac:dyDescent="0.2">
      <c r="Q1094" t="s">
        <v>2018</v>
      </c>
      <c r="R1094" t="s">
        <v>2411</v>
      </c>
      <c r="S1094" t="s">
        <v>287</v>
      </c>
      <c r="T1094" s="1">
        <v>43830</v>
      </c>
      <c r="U1094" s="1">
        <v>43830</v>
      </c>
      <c r="V1094" t="s">
        <v>270</v>
      </c>
      <c r="W1094">
        <v>2800000</v>
      </c>
      <c r="X1094">
        <v>2800000</v>
      </c>
      <c r="Y1094" t="s">
        <v>270</v>
      </c>
      <c r="Z1094">
        <v>2800000</v>
      </c>
      <c r="AA1094">
        <v>2800000</v>
      </c>
      <c r="AB1094" t="b">
        <v>1</v>
      </c>
      <c r="AC1094">
        <v>1</v>
      </c>
    </row>
    <row r="1095" spans="17:29" x14ac:dyDescent="0.2">
      <c r="Q1095" t="s">
        <v>2392</v>
      </c>
      <c r="R1095" t="s">
        <v>2412</v>
      </c>
      <c r="S1095" t="s">
        <v>287</v>
      </c>
      <c r="T1095" s="1">
        <v>44196</v>
      </c>
      <c r="U1095" s="1">
        <v>44196</v>
      </c>
      <c r="V1095" t="s">
        <v>270</v>
      </c>
      <c r="W1095">
        <v>78900000</v>
      </c>
      <c r="X1095">
        <v>78900000</v>
      </c>
      <c r="Y1095" t="s">
        <v>270</v>
      </c>
      <c r="Z1095">
        <v>78900000</v>
      </c>
      <c r="AA1095">
        <v>78900000</v>
      </c>
      <c r="AB1095" t="b">
        <v>0</v>
      </c>
      <c r="AC1095">
        <v>1</v>
      </c>
    </row>
    <row r="1096" spans="17:29" x14ac:dyDescent="0.2">
      <c r="Q1096" t="s">
        <v>2018</v>
      </c>
      <c r="R1096" t="s">
        <v>2412</v>
      </c>
      <c r="S1096" t="s">
        <v>287</v>
      </c>
      <c r="T1096" s="1">
        <v>44196</v>
      </c>
      <c r="U1096" s="1">
        <v>44196</v>
      </c>
      <c r="V1096" t="s">
        <v>270</v>
      </c>
      <c r="W1096">
        <v>78900000</v>
      </c>
      <c r="X1096">
        <v>78900000</v>
      </c>
      <c r="Y1096" t="s">
        <v>270</v>
      </c>
      <c r="Z1096">
        <v>78900000</v>
      </c>
      <c r="AA1096">
        <v>78900000</v>
      </c>
      <c r="AB1096" t="b">
        <v>0</v>
      </c>
      <c r="AC1096">
        <v>1</v>
      </c>
    </row>
    <row r="1097" spans="17:29" x14ac:dyDescent="0.2">
      <c r="Q1097" t="s">
        <v>1998</v>
      </c>
      <c r="R1097" t="s">
        <v>2413</v>
      </c>
      <c r="S1097" t="s">
        <v>384</v>
      </c>
      <c r="T1097" s="1">
        <v>44286</v>
      </c>
      <c r="U1097" s="1">
        <v>44271</v>
      </c>
      <c r="V1097" t="s">
        <v>386</v>
      </c>
      <c r="W1097">
        <v>403999997</v>
      </c>
      <c r="X1097">
        <v>403999997</v>
      </c>
      <c r="Y1097" t="s">
        <v>386</v>
      </c>
      <c r="Z1097">
        <v>403999997</v>
      </c>
      <c r="AA1097">
        <v>109017</v>
      </c>
      <c r="AB1097" t="b">
        <v>0</v>
      </c>
      <c r="AC1097">
        <v>0.9</v>
      </c>
    </row>
    <row r="1098" spans="17:29" x14ac:dyDescent="0.2">
      <c r="Q1098" t="s">
        <v>2067</v>
      </c>
      <c r="R1098" t="s">
        <v>2413</v>
      </c>
      <c r="S1098" t="s">
        <v>384</v>
      </c>
      <c r="T1098" s="1">
        <v>44286</v>
      </c>
      <c r="U1098" s="1">
        <v>44271</v>
      </c>
      <c r="V1098" t="s">
        <v>386</v>
      </c>
      <c r="W1098">
        <v>403999997</v>
      </c>
      <c r="X1098">
        <v>403999997</v>
      </c>
      <c r="Y1098" t="s">
        <v>386</v>
      </c>
      <c r="Z1098">
        <v>403999997</v>
      </c>
      <c r="AA1098">
        <v>109017</v>
      </c>
      <c r="AB1098" t="b">
        <v>0</v>
      </c>
      <c r="AC1098">
        <v>0.9</v>
      </c>
    </row>
    <row r="1099" spans="17:29" x14ac:dyDescent="0.2">
      <c r="Q1099" t="s">
        <v>2043</v>
      </c>
      <c r="R1099" t="s">
        <v>2414</v>
      </c>
      <c r="S1099" t="s">
        <v>384</v>
      </c>
      <c r="T1099" s="1">
        <v>44377</v>
      </c>
      <c r="U1099" s="1">
        <v>43608</v>
      </c>
      <c r="V1099" t="s">
        <v>386</v>
      </c>
      <c r="W1099">
        <v>9344306175</v>
      </c>
      <c r="X1099">
        <v>9344306175</v>
      </c>
      <c r="Y1099" t="s">
        <v>386</v>
      </c>
      <c r="Z1099">
        <v>9344306175</v>
      </c>
      <c r="AA1099">
        <v>3851521</v>
      </c>
      <c r="AB1099" t="b">
        <v>1</v>
      </c>
      <c r="AC1099">
        <v>0.62</v>
      </c>
    </row>
    <row r="1100" spans="17:29" x14ac:dyDescent="0.2">
      <c r="Q1100" t="s">
        <v>2043</v>
      </c>
      <c r="R1100" t="s">
        <v>2414</v>
      </c>
      <c r="S1100" t="s">
        <v>384</v>
      </c>
      <c r="T1100" s="1">
        <v>44377</v>
      </c>
      <c r="U1100" s="1">
        <v>43608</v>
      </c>
      <c r="V1100" t="s">
        <v>386</v>
      </c>
      <c r="W1100">
        <v>9344306175</v>
      </c>
      <c r="X1100">
        <v>9344306175</v>
      </c>
      <c r="Y1100" t="s">
        <v>386</v>
      </c>
      <c r="Z1100">
        <v>9344306175</v>
      </c>
      <c r="AA1100">
        <v>3851521</v>
      </c>
      <c r="AB1100" t="b">
        <v>1</v>
      </c>
      <c r="AC1100">
        <v>0.62</v>
      </c>
    </row>
    <row r="1101" spans="17:29" x14ac:dyDescent="0.2">
      <c r="Q1101" t="s">
        <v>2029</v>
      </c>
      <c r="R1101" t="s">
        <v>2415</v>
      </c>
      <c r="S1101" t="s">
        <v>384</v>
      </c>
      <c r="T1101" s="1">
        <v>44104</v>
      </c>
      <c r="U1101" s="1">
        <v>43000</v>
      </c>
      <c r="V1101" t="s">
        <v>386</v>
      </c>
      <c r="W1101">
        <v>68103032959</v>
      </c>
      <c r="X1101">
        <v>68103032959</v>
      </c>
      <c r="Y1101" t="s">
        <v>386</v>
      </c>
      <c r="Z1101">
        <v>68103032959</v>
      </c>
      <c r="AA1101">
        <v>22614773</v>
      </c>
      <c r="AB1101" t="b">
        <v>1</v>
      </c>
      <c r="AC1101">
        <v>1</v>
      </c>
    </row>
    <row r="1102" spans="17:29" x14ac:dyDescent="0.2">
      <c r="Q1102" t="s">
        <v>2036</v>
      </c>
      <c r="R1102" t="s">
        <v>2415</v>
      </c>
      <c r="S1102" t="s">
        <v>384</v>
      </c>
      <c r="T1102" s="1">
        <v>44104</v>
      </c>
      <c r="U1102" s="1">
        <v>43000</v>
      </c>
      <c r="V1102" t="s">
        <v>386</v>
      </c>
      <c r="W1102">
        <v>68103032959</v>
      </c>
      <c r="X1102">
        <v>68103032959</v>
      </c>
      <c r="Y1102" t="s">
        <v>386</v>
      </c>
      <c r="Z1102">
        <v>68103032959</v>
      </c>
      <c r="AA1102">
        <v>22614773</v>
      </c>
      <c r="AB1102" t="b">
        <v>1</v>
      </c>
      <c r="AC1102">
        <v>1</v>
      </c>
    </row>
    <row r="1103" spans="17:29" x14ac:dyDescent="0.2">
      <c r="Q1103" t="s">
        <v>2040</v>
      </c>
      <c r="R1103" t="s">
        <v>2416</v>
      </c>
      <c r="S1103" t="s">
        <v>384</v>
      </c>
      <c r="T1103" s="1">
        <v>44255</v>
      </c>
      <c r="U1103" s="1">
        <v>44232</v>
      </c>
      <c r="V1103" t="s">
        <v>386</v>
      </c>
      <c r="W1103">
        <v>74860643133</v>
      </c>
      <c r="X1103">
        <v>74860643133</v>
      </c>
      <c r="Y1103" t="s">
        <v>386</v>
      </c>
      <c r="Z1103">
        <v>74860643133</v>
      </c>
      <c r="AA1103">
        <v>20654688</v>
      </c>
      <c r="AB1103" t="b">
        <v>0</v>
      </c>
      <c r="AC1103">
        <v>0.88</v>
      </c>
    </row>
    <row r="1104" spans="17:29" x14ac:dyDescent="0.2">
      <c r="Q1104" t="s">
        <v>1989</v>
      </c>
      <c r="R1104" t="s">
        <v>2416</v>
      </c>
      <c r="S1104" t="s">
        <v>384</v>
      </c>
      <c r="T1104" s="1">
        <v>44255</v>
      </c>
      <c r="U1104" s="1">
        <v>44232</v>
      </c>
      <c r="V1104" t="s">
        <v>386</v>
      </c>
      <c r="W1104">
        <v>74860643133</v>
      </c>
      <c r="X1104">
        <v>74860643133</v>
      </c>
      <c r="Y1104" t="s">
        <v>386</v>
      </c>
      <c r="Z1104">
        <v>74860643133</v>
      </c>
      <c r="AA1104">
        <v>20654688</v>
      </c>
      <c r="AB1104" t="b">
        <v>0</v>
      </c>
      <c r="AC1104">
        <v>0.88</v>
      </c>
    </row>
    <row r="1105" spans="17:29" x14ac:dyDescent="0.2">
      <c r="Q1105" t="s">
        <v>1987</v>
      </c>
      <c r="R1105" t="s">
        <v>2417</v>
      </c>
      <c r="S1105" t="s">
        <v>384</v>
      </c>
      <c r="T1105" s="1">
        <v>44104</v>
      </c>
      <c r="U1105" s="1">
        <v>43353</v>
      </c>
      <c r="V1105" t="s">
        <v>386</v>
      </c>
      <c r="W1105">
        <v>27279999994</v>
      </c>
      <c r="X1105">
        <v>27279999994</v>
      </c>
      <c r="Y1105" t="s">
        <v>386</v>
      </c>
      <c r="Z1105">
        <v>27279999994</v>
      </c>
      <c r="AA1105">
        <v>10430055</v>
      </c>
      <c r="AB1105" t="b">
        <v>1</v>
      </c>
      <c r="AC1105">
        <v>0.2</v>
      </c>
    </row>
    <row r="1106" spans="17:29" x14ac:dyDescent="0.2">
      <c r="Q1106" t="s">
        <v>1989</v>
      </c>
      <c r="R1106" t="s">
        <v>2417</v>
      </c>
      <c r="S1106" t="s">
        <v>384</v>
      </c>
      <c r="T1106" s="1">
        <v>44104</v>
      </c>
      <c r="U1106" s="1">
        <v>43353</v>
      </c>
      <c r="V1106" t="s">
        <v>386</v>
      </c>
      <c r="W1106">
        <v>27279999994</v>
      </c>
      <c r="X1106">
        <v>27279999994</v>
      </c>
      <c r="Y1106" t="s">
        <v>386</v>
      </c>
      <c r="Z1106">
        <v>27279999994</v>
      </c>
      <c r="AA1106">
        <v>10430055</v>
      </c>
      <c r="AB1106" t="b">
        <v>1</v>
      </c>
      <c r="AC1106">
        <v>0.2</v>
      </c>
    </row>
    <row r="1107" spans="17:29" x14ac:dyDescent="0.2">
      <c r="Q1107" t="s">
        <v>2128</v>
      </c>
      <c r="R1107" t="s">
        <v>2418</v>
      </c>
      <c r="S1107" t="s">
        <v>384</v>
      </c>
      <c r="T1107" s="1">
        <v>44227</v>
      </c>
      <c r="U1107" s="1">
        <v>44218</v>
      </c>
      <c r="V1107" t="s">
        <v>386</v>
      </c>
      <c r="W1107">
        <v>1181252113</v>
      </c>
      <c r="X1107">
        <v>1181252113</v>
      </c>
      <c r="Y1107" t="s">
        <v>386</v>
      </c>
      <c r="Z1107">
        <v>1181252113</v>
      </c>
      <c r="AA1107">
        <v>337640</v>
      </c>
      <c r="AB1107" t="b">
        <v>0</v>
      </c>
      <c r="AC1107">
        <v>1</v>
      </c>
    </row>
    <row r="1108" spans="17:29" x14ac:dyDescent="0.2">
      <c r="Q1108" t="s">
        <v>1989</v>
      </c>
      <c r="R1108" t="s">
        <v>2418</v>
      </c>
      <c r="S1108" t="s">
        <v>384</v>
      </c>
      <c r="T1108" s="1">
        <v>44227</v>
      </c>
      <c r="U1108" s="1">
        <v>44218</v>
      </c>
      <c r="V1108" t="s">
        <v>386</v>
      </c>
      <c r="W1108">
        <v>1181252113</v>
      </c>
      <c r="X1108">
        <v>1181252113</v>
      </c>
      <c r="Y1108" t="s">
        <v>386</v>
      </c>
      <c r="Z1108">
        <v>1181252113</v>
      </c>
      <c r="AA1108">
        <v>337640</v>
      </c>
      <c r="AB1108" t="b">
        <v>0</v>
      </c>
      <c r="AC1108">
        <v>1</v>
      </c>
    </row>
    <row r="1109" spans="17:29" x14ac:dyDescent="0.2">
      <c r="Q1109" t="s">
        <v>2128</v>
      </c>
      <c r="R1109" t="s">
        <v>2419</v>
      </c>
      <c r="S1109" t="s">
        <v>384</v>
      </c>
      <c r="T1109" s="1">
        <v>44286</v>
      </c>
      <c r="U1109" s="1">
        <v>43892</v>
      </c>
      <c r="V1109" t="s">
        <v>386</v>
      </c>
      <c r="W1109">
        <v>419998583</v>
      </c>
      <c r="X1109">
        <v>419998583</v>
      </c>
      <c r="Y1109" t="s">
        <v>386</v>
      </c>
      <c r="Z1109">
        <v>419998583</v>
      </c>
      <c r="AA1109">
        <v>103888</v>
      </c>
      <c r="AB1109" t="b">
        <v>1</v>
      </c>
      <c r="AC1109">
        <v>1</v>
      </c>
    </row>
    <row r="1110" spans="17:29" x14ac:dyDescent="0.2">
      <c r="Q1110" t="s">
        <v>1989</v>
      </c>
      <c r="R1110" t="s">
        <v>2419</v>
      </c>
      <c r="S1110" t="s">
        <v>384</v>
      </c>
      <c r="T1110" s="1">
        <v>44286</v>
      </c>
      <c r="U1110" s="1">
        <v>43892</v>
      </c>
      <c r="V1110" t="s">
        <v>386</v>
      </c>
      <c r="W1110">
        <v>419998583</v>
      </c>
      <c r="X1110">
        <v>419998583</v>
      </c>
      <c r="Y1110" t="s">
        <v>386</v>
      </c>
      <c r="Z1110">
        <v>419998583</v>
      </c>
      <c r="AA1110">
        <v>103888</v>
      </c>
      <c r="AB1110" t="b">
        <v>1</v>
      </c>
      <c r="AC1110">
        <v>1</v>
      </c>
    </row>
    <row r="1111" spans="17:29" x14ac:dyDescent="0.2">
      <c r="Q1111" t="s">
        <v>2128</v>
      </c>
      <c r="R1111" t="s">
        <v>2420</v>
      </c>
      <c r="S1111" t="s">
        <v>384</v>
      </c>
      <c r="T1111" s="1">
        <v>44165</v>
      </c>
      <c r="U1111" s="1">
        <v>44145</v>
      </c>
      <c r="V1111" t="s">
        <v>386</v>
      </c>
      <c r="W1111">
        <v>199999999</v>
      </c>
      <c r="X1111">
        <v>199999999</v>
      </c>
      <c r="Y1111" t="s">
        <v>386</v>
      </c>
      <c r="Z1111">
        <v>199999999</v>
      </c>
      <c r="AA1111">
        <v>55380</v>
      </c>
      <c r="AB1111" t="b">
        <v>0</v>
      </c>
      <c r="AC1111">
        <v>1</v>
      </c>
    </row>
    <row r="1112" spans="17:29" x14ac:dyDescent="0.2">
      <c r="Q1112" t="s">
        <v>1989</v>
      </c>
      <c r="R1112" t="s">
        <v>2420</v>
      </c>
      <c r="S1112" t="s">
        <v>384</v>
      </c>
      <c r="T1112" s="1">
        <v>44165</v>
      </c>
      <c r="U1112" s="1">
        <v>44145</v>
      </c>
      <c r="V1112" t="s">
        <v>386</v>
      </c>
      <c r="W1112">
        <v>199999999</v>
      </c>
      <c r="X1112">
        <v>199999999</v>
      </c>
      <c r="Y1112" t="s">
        <v>386</v>
      </c>
      <c r="Z1112">
        <v>199999999</v>
      </c>
      <c r="AA1112">
        <v>55380</v>
      </c>
      <c r="AB1112" t="b">
        <v>0</v>
      </c>
      <c r="AC1112">
        <v>1</v>
      </c>
    </row>
    <row r="1113" spans="17:29" x14ac:dyDescent="0.2">
      <c r="Q1113" t="s">
        <v>2128</v>
      </c>
      <c r="R1113" t="s">
        <v>2421</v>
      </c>
      <c r="S1113" t="s">
        <v>384</v>
      </c>
      <c r="T1113" s="1">
        <v>44165</v>
      </c>
      <c r="U1113" s="1">
        <v>43871</v>
      </c>
      <c r="V1113" t="s">
        <v>386</v>
      </c>
      <c r="W1113">
        <v>71955022</v>
      </c>
      <c r="X1113">
        <v>71955022</v>
      </c>
      <c r="Y1113" t="s">
        <v>386</v>
      </c>
      <c r="Z1113">
        <v>71955022</v>
      </c>
      <c r="AA1113">
        <v>28676</v>
      </c>
      <c r="AB1113" t="b">
        <v>1</v>
      </c>
      <c r="AC1113">
        <v>1</v>
      </c>
    </row>
    <row r="1114" spans="17:29" x14ac:dyDescent="0.2">
      <c r="Q1114" t="s">
        <v>1989</v>
      </c>
      <c r="R1114" t="s">
        <v>2421</v>
      </c>
      <c r="S1114" t="s">
        <v>384</v>
      </c>
      <c r="T1114" s="1">
        <v>44165</v>
      </c>
      <c r="U1114" s="1">
        <v>43871</v>
      </c>
      <c r="V1114" t="s">
        <v>386</v>
      </c>
      <c r="W1114">
        <v>71955022</v>
      </c>
      <c r="X1114">
        <v>71955022</v>
      </c>
      <c r="Y1114" t="s">
        <v>386</v>
      </c>
      <c r="Z1114">
        <v>71955022</v>
      </c>
      <c r="AA1114">
        <v>28676</v>
      </c>
      <c r="AB1114" t="b">
        <v>1</v>
      </c>
      <c r="AC1114">
        <v>1</v>
      </c>
    </row>
    <row r="1115" spans="17:29" x14ac:dyDescent="0.2">
      <c r="Q1115" t="s">
        <v>2128</v>
      </c>
      <c r="R1115" t="s">
        <v>2422</v>
      </c>
      <c r="S1115" t="s">
        <v>384</v>
      </c>
      <c r="T1115" s="1">
        <v>44347</v>
      </c>
      <c r="U1115" s="1">
        <v>44008</v>
      </c>
      <c r="V1115" t="s">
        <v>386</v>
      </c>
      <c r="W1115">
        <v>539166665</v>
      </c>
      <c r="X1115">
        <v>539166665</v>
      </c>
      <c r="Y1115" t="s">
        <v>386</v>
      </c>
      <c r="Z1115">
        <v>539166665</v>
      </c>
      <c r="AA1115">
        <v>172124</v>
      </c>
      <c r="AB1115" t="b">
        <v>1</v>
      </c>
      <c r="AC1115">
        <v>0.93</v>
      </c>
    </row>
    <row r="1116" spans="17:29" x14ac:dyDescent="0.2">
      <c r="Q1116" t="s">
        <v>1989</v>
      </c>
      <c r="R1116" t="s">
        <v>2422</v>
      </c>
      <c r="S1116" t="s">
        <v>384</v>
      </c>
      <c r="T1116" s="1">
        <v>44347</v>
      </c>
      <c r="U1116" s="1">
        <v>44008</v>
      </c>
      <c r="V1116" t="s">
        <v>386</v>
      </c>
      <c r="W1116">
        <v>539166665</v>
      </c>
      <c r="X1116">
        <v>539166665</v>
      </c>
      <c r="Y1116" t="s">
        <v>386</v>
      </c>
      <c r="Z1116">
        <v>539166665</v>
      </c>
      <c r="AA1116">
        <v>172124</v>
      </c>
      <c r="AB1116" t="b">
        <v>1</v>
      </c>
      <c r="AC1116">
        <v>0.93</v>
      </c>
    </row>
    <row r="1117" spans="17:29" x14ac:dyDescent="0.2">
      <c r="Q1117" t="s">
        <v>2392</v>
      </c>
      <c r="R1117" t="s">
        <v>2423</v>
      </c>
      <c r="S1117" t="s">
        <v>384</v>
      </c>
      <c r="T1117" s="1">
        <v>44165</v>
      </c>
      <c r="U1117" s="1">
        <v>42978</v>
      </c>
      <c r="V1117" t="s">
        <v>386</v>
      </c>
      <c r="W1117">
        <v>86503111250</v>
      </c>
      <c r="X1117">
        <v>86503111250</v>
      </c>
      <c r="Y1117" t="s">
        <v>386</v>
      </c>
      <c r="Z1117">
        <v>86503111250</v>
      </c>
      <c r="AA1117">
        <v>29416223</v>
      </c>
      <c r="AB1117" t="b">
        <v>1</v>
      </c>
      <c r="AC1117">
        <v>0.5</v>
      </c>
    </row>
    <row r="1118" spans="17:29" x14ac:dyDescent="0.2">
      <c r="Q1118" t="s">
        <v>2392</v>
      </c>
      <c r="R1118" t="s">
        <v>2423</v>
      </c>
      <c r="S1118" t="s">
        <v>384</v>
      </c>
      <c r="T1118" s="1">
        <v>44165</v>
      </c>
      <c r="U1118" s="1">
        <v>42978</v>
      </c>
      <c r="V1118" t="s">
        <v>386</v>
      </c>
      <c r="W1118">
        <v>86503111250</v>
      </c>
      <c r="X1118">
        <v>86503111250</v>
      </c>
      <c r="Y1118" t="s">
        <v>386</v>
      </c>
      <c r="Z1118">
        <v>86503111250</v>
      </c>
      <c r="AA1118">
        <v>29416223</v>
      </c>
      <c r="AB1118" t="b">
        <v>1</v>
      </c>
      <c r="AC1118">
        <v>0.5</v>
      </c>
    </row>
    <row r="1119" spans="17:29" x14ac:dyDescent="0.2">
      <c r="Q1119" t="s">
        <v>2128</v>
      </c>
      <c r="R1119" t="s">
        <v>2424</v>
      </c>
      <c r="S1119" t="s">
        <v>257</v>
      </c>
      <c r="T1119" s="1">
        <v>44285</v>
      </c>
      <c r="U1119" s="1">
        <v>44372</v>
      </c>
      <c r="V1119" t="s">
        <v>260</v>
      </c>
      <c r="W1119">
        <v>13105966</v>
      </c>
      <c r="X1119">
        <v>13105966</v>
      </c>
      <c r="Y1119" t="s">
        <v>260</v>
      </c>
      <c r="Z1119">
        <v>13105966</v>
      </c>
      <c r="AA1119">
        <v>2404764</v>
      </c>
      <c r="AB1119" t="b">
        <v>0</v>
      </c>
      <c r="AC1119">
        <v>0.9</v>
      </c>
    </row>
    <row r="1120" spans="17:29" x14ac:dyDescent="0.2">
      <c r="Q1120" t="s">
        <v>1989</v>
      </c>
      <c r="R1120" t="s">
        <v>2424</v>
      </c>
      <c r="S1120" t="s">
        <v>257</v>
      </c>
      <c r="T1120" s="1">
        <v>44285</v>
      </c>
      <c r="U1120" s="1">
        <v>44372</v>
      </c>
      <c r="V1120" t="s">
        <v>260</v>
      </c>
      <c r="W1120">
        <v>13105966</v>
      </c>
      <c r="X1120">
        <v>13105966</v>
      </c>
      <c r="Y1120" t="s">
        <v>260</v>
      </c>
      <c r="Z1120">
        <v>13105966</v>
      </c>
      <c r="AA1120">
        <v>2404764</v>
      </c>
      <c r="AB1120" t="b">
        <v>0</v>
      </c>
      <c r="AC1120">
        <v>0.9</v>
      </c>
    </row>
    <row r="1121" spans="17:29" x14ac:dyDescent="0.2">
      <c r="Q1121" t="s">
        <v>2128</v>
      </c>
      <c r="R1121" t="s">
        <v>2425</v>
      </c>
      <c r="S1121" t="s">
        <v>257</v>
      </c>
      <c r="T1121" s="1">
        <v>44285</v>
      </c>
      <c r="U1121" s="1">
        <v>44336</v>
      </c>
      <c r="V1121" t="s">
        <v>260</v>
      </c>
      <c r="W1121">
        <v>26323047</v>
      </c>
      <c r="X1121">
        <v>26323047</v>
      </c>
      <c r="Y1121" t="s">
        <v>260</v>
      </c>
      <c r="Z1121">
        <v>26323047</v>
      </c>
      <c r="AA1121">
        <v>4829916</v>
      </c>
      <c r="AB1121" t="b">
        <v>1</v>
      </c>
      <c r="AC1121">
        <v>1</v>
      </c>
    </row>
    <row r="1122" spans="17:29" x14ac:dyDescent="0.2">
      <c r="Q1122" t="s">
        <v>1989</v>
      </c>
      <c r="R1122" t="s">
        <v>2425</v>
      </c>
      <c r="S1122" t="s">
        <v>257</v>
      </c>
      <c r="T1122" s="1">
        <v>44285</v>
      </c>
      <c r="U1122" s="1">
        <v>44336</v>
      </c>
      <c r="V1122" t="s">
        <v>260</v>
      </c>
      <c r="W1122">
        <v>26323047</v>
      </c>
      <c r="X1122">
        <v>26323047</v>
      </c>
      <c r="Y1122" t="s">
        <v>260</v>
      </c>
      <c r="Z1122">
        <v>26323047</v>
      </c>
      <c r="AA1122">
        <v>4829916</v>
      </c>
      <c r="AB1122" t="b">
        <v>1</v>
      </c>
      <c r="AC1122">
        <v>1</v>
      </c>
    </row>
    <row r="1123" spans="17:29" x14ac:dyDescent="0.2">
      <c r="Q1123" t="s">
        <v>2128</v>
      </c>
      <c r="R1123" t="s">
        <v>2426</v>
      </c>
      <c r="S1123" t="s">
        <v>257</v>
      </c>
      <c r="T1123" s="1">
        <v>44285</v>
      </c>
      <c r="U1123" s="1">
        <v>44336</v>
      </c>
      <c r="V1123" t="s">
        <v>260</v>
      </c>
      <c r="W1123">
        <v>9911343</v>
      </c>
      <c r="X1123">
        <v>9911343</v>
      </c>
      <c r="Y1123" t="s">
        <v>260</v>
      </c>
      <c r="Z1123">
        <v>9911343</v>
      </c>
      <c r="AA1123">
        <v>1818595</v>
      </c>
      <c r="AB1123" t="b">
        <v>1</v>
      </c>
      <c r="AC1123">
        <v>1</v>
      </c>
    </row>
    <row r="1124" spans="17:29" x14ac:dyDescent="0.2">
      <c r="Q1124" t="s">
        <v>1989</v>
      </c>
      <c r="R1124" t="s">
        <v>2426</v>
      </c>
      <c r="S1124" t="s">
        <v>257</v>
      </c>
      <c r="T1124" s="1">
        <v>44285</v>
      </c>
      <c r="U1124" s="1">
        <v>44336</v>
      </c>
      <c r="V1124" t="s">
        <v>260</v>
      </c>
      <c r="W1124">
        <v>9911343</v>
      </c>
      <c r="X1124">
        <v>9911343</v>
      </c>
      <c r="Y1124" t="s">
        <v>260</v>
      </c>
      <c r="Z1124">
        <v>9911343</v>
      </c>
      <c r="AA1124">
        <v>1818595</v>
      </c>
      <c r="AB1124" t="b">
        <v>1</v>
      </c>
      <c r="AC1124">
        <v>1</v>
      </c>
    </row>
    <row r="1125" spans="17:29" x14ac:dyDescent="0.2">
      <c r="Q1125" t="s">
        <v>2128</v>
      </c>
      <c r="R1125" t="s">
        <v>2427</v>
      </c>
      <c r="S1125" t="s">
        <v>257</v>
      </c>
      <c r="T1125" s="1">
        <v>44285</v>
      </c>
      <c r="U1125" s="1">
        <v>44336</v>
      </c>
      <c r="V1125" t="s">
        <v>260</v>
      </c>
      <c r="W1125">
        <v>27524778</v>
      </c>
      <c r="X1125">
        <v>27524778</v>
      </c>
      <c r="Y1125" t="s">
        <v>260</v>
      </c>
      <c r="Z1125">
        <v>27524778</v>
      </c>
      <c r="AA1125">
        <v>5050417</v>
      </c>
      <c r="AB1125" t="b">
        <v>1</v>
      </c>
      <c r="AC1125">
        <v>1</v>
      </c>
    </row>
    <row r="1126" spans="17:29" x14ac:dyDescent="0.2">
      <c r="Q1126" t="s">
        <v>1989</v>
      </c>
      <c r="R1126" t="s">
        <v>2427</v>
      </c>
      <c r="S1126" t="s">
        <v>257</v>
      </c>
      <c r="T1126" s="1">
        <v>44285</v>
      </c>
      <c r="U1126" s="1">
        <v>44336</v>
      </c>
      <c r="V1126" t="s">
        <v>260</v>
      </c>
      <c r="W1126">
        <v>27524778</v>
      </c>
      <c r="X1126">
        <v>27524778</v>
      </c>
      <c r="Y1126" t="s">
        <v>260</v>
      </c>
      <c r="Z1126">
        <v>27524778</v>
      </c>
      <c r="AA1126">
        <v>5050417</v>
      </c>
      <c r="AB1126" t="b">
        <v>1</v>
      </c>
      <c r="AC1126">
        <v>1</v>
      </c>
    </row>
    <row r="1127" spans="17:29" x14ac:dyDescent="0.2">
      <c r="Q1127" t="s">
        <v>2128</v>
      </c>
      <c r="R1127" t="s">
        <v>2428</v>
      </c>
      <c r="S1127" t="s">
        <v>257</v>
      </c>
      <c r="T1127" s="1">
        <v>44285</v>
      </c>
      <c r="U1127" s="1">
        <v>44372</v>
      </c>
      <c r="V1127" t="s">
        <v>260</v>
      </c>
      <c r="W1127">
        <v>12778806</v>
      </c>
      <c r="X1127">
        <v>12778806</v>
      </c>
      <c r="Y1127" t="s">
        <v>260</v>
      </c>
      <c r="Z1127">
        <v>12778806</v>
      </c>
      <c r="AA1127">
        <v>2344735</v>
      </c>
      <c r="AB1127" t="b">
        <v>0</v>
      </c>
      <c r="AC1127">
        <v>0.9</v>
      </c>
    </row>
    <row r="1128" spans="17:29" x14ac:dyDescent="0.2">
      <c r="Q1128" t="s">
        <v>1989</v>
      </c>
      <c r="R1128" t="s">
        <v>2428</v>
      </c>
      <c r="S1128" t="s">
        <v>257</v>
      </c>
      <c r="T1128" s="1">
        <v>44285</v>
      </c>
      <c r="U1128" s="1">
        <v>44372</v>
      </c>
      <c r="V1128" t="s">
        <v>260</v>
      </c>
      <c r="W1128">
        <v>12778806</v>
      </c>
      <c r="X1128">
        <v>12778806</v>
      </c>
      <c r="Y1128" t="s">
        <v>260</v>
      </c>
      <c r="Z1128">
        <v>12778806</v>
      </c>
      <c r="AA1128">
        <v>2344735</v>
      </c>
      <c r="AB1128" t="b">
        <v>0</v>
      </c>
      <c r="AC1128">
        <v>0.9</v>
      </c>
    </row>
    <row r="1129" spans="17:29" x14ac:dyDescent="0.2">
      <c r="Q1129" t="s">
        <v>2128</v>
      </c>
      <c r="R1129" t="s">
        <v>2429</v>
      </c>
      <c r="S1129" t="s">
        <v>257</v>
      </c>
      <c r="T1129" s="1">
        <v>44285</v>
      </c>
      <c r="U1129" s="1">
        <v>44372</v>
      </c>
      <c r="V1129" t="s">
        <v>260</v>
      </c>
      <c r="W1129">
        <v>13531168</v>
      </c>
      <c r="X1129">
        <v>13531168</v>
      </c>
      <c r="Y1129" t="s">
        <v>260</v>
      </c>
      <c r="Z1129">
        <v>13531168</v>
      </c>
      <c r="AA1129">
        <v>2482783</v>
      </c>
      <c r="AB1129" t="b">
        <v>0</v>
      </c>
      <c r="AC1129">
        <v>0.9</v>
      </c>
    </row>
    <row r="1130" spans="17:29" x14ac:dyDescent="0.2">
      <c r="Q1130" t="s">
        <v>1989</v>
      </c>
      <c r="R1130" t="s">
        <v>2429</v>
      </c>
      <c r="S1130" t="s">
        <v>257</v>
      </c>
      <c r="T1130" s="1">
        <v>44285</v>
      </c>
      <c r="U1130" s="1">
        <v>44372</v>
      </c>
      <c r="V1130" t="s">
        <v>260</v>
      </c>
      <c r="W1130">
        <v>13531168</v>
      </c>
      <c r="X1130">
        <v>13531168</v>
      </c>
      <c r="Y1130" t="s">
        <v>260</v>
      </c>
      <c r="Z1130">
        <v>13531168</v>
      </c>
      <c r="AA1130">
        <v>2482783</v>
      </c>
      <c r="AB1130" t="b">
        <v>0</v>
      </c>
      <c r="AC1130">
        <v>0.9</v>
      </c>
    </row>
    <row r="1131" spans="17:29" x14ac:dyDescent="0.2">
      <c r="Q1131" t="s">
        <v>2128</v>
      </c>
      <c r="R1131" t="s">
        <v>2430</v>
      </c>
      <c r="S1131" t="s">
        <v>257</v>
      </c>
      <c r="T1131" s="1">
        <v>44285</v>
      </c>
      <c r="U1131" s="1">
        <v>44336</v>
      </c>
      <c r="V1131" t="s">
        <v>260</v>
      </c>
      <c r="W1131">
        <v>10313886</v>
      </c>
      <c r="X1131">
        <v>10313886</v>
      </c>
      <c r="Y1131" t="s">
        <v>260</v>
      </c>
      <c r="Z1131">
        <v>10313886</v>
      </c>
      <c r="AA1131">
        <v>1892456</v>
      </c>
      <c r="AB1131" t="b">
        <v>1</v>
      </c>
      <c r="AC1131">
        <v>1</v>
      </c>
    </row>
    <row r="1132" spans="17:29" x14ac:dyDescent="0.2">
      <c r="Q1132" t="s">
        <v>1989</v>
      </c>
      <c r="R1132" t="s">
        <v>2430</v>
      </c>
      <c r="S1132" t="s">
        <v>257</v>
      </c>
      <c r="T1132" s="1">
        <v>44285</v>
      </c>
      <c r="U1132" s="1">
        <v>44336</v>
      </c>
      <c r="V1132" t="s">
        <v>260</v>
      </c>
      <c r="W1132">
        <v>10313886</v>
      </c>
      <c r="X1132">
        <v>10313886</v>
      </c>
      <c r="Y1132" t="s">
        <v>260</v>
      </c>
      <c r="Z1132">
        <v>10313886</v>
      </c>
      <c r="AA1132">
        <v>1892456</v>
      </c>
      <c r="AB1132" t="b">
        <v>1</v>
      </c>
      <c r="AC1132">
        <v>1</v>
      </c>
    </row>
    <row r="1133" spans="17:29" x14ac:dyDescent="0.2">
      <c r="Q1133" t="s">
        <v>2128</v>
      </c>
      <c r="R1133" t="s">
        <v>2431</v>
      </c>
      <c r="S1133" t="s">
        <v>257</v>
      </c>
      <c r="T1133" s="1">
        <v>44285</v>
      </c>
      <c r="U1133" s="1">
        <v>44285</v>
      </c>
      <c r="V1133" t="s">
        <v>260</v>
      </c>
      <c r="W1133">
        <v>13560228</v>
      </c>
      <c r="X1133">
        <v>13560228</v>
      </c>
      <c r="Y1133" t="s">
        <v>260</v>
      </c>
      <c r="Z1133">
        <v>13560228</v>
      </c>
      <c r="AA1133">
        <v>2488115</v>
      </c>
      <c r="AB1133" t="b">
        <v>0</v>
      </c>
      <c r="AC1133">
        <v>0.9</v>
      </c>
    </row>
    <row r="1134" spans="17:29" x14ac:dyDescent="0.2">
      <c r="Q1134" t="s">
        <v>1989</v>
      </c>
      <c r="R1134" t="s">
        <v>2431</v>
      </c>
      <c r="S1134" t="s">
        <v>257</v>
      </c>
      <c r="T1134" s="1">
        <v>44285</v>
      </c>
      <c r="U1134" s="1">
        <v>44285</v>
      </c>
      <c r="V1134" t="s">
        <v>260</v>
      </c>
      <c r="W1134">
        <v>13560228</v>
      </c>
      <c r="X1134">
        <v>13560228</v>
      </c>
      <c r="Y1134" t="s">
        <v>260</v>
      </c>
      <c r="Z1134">
        <v>13560228</v>
      </c>
      <c r="AA1134">
        <v>2488115</v>
      </c>
      <c r="AB1134" t="b">
        <v>0</v>
      </c>
      <c r="AC1134">
        <v>0.9</v>
      </c>
    </row>
    <row r="1135" spans="17:29" x14ac:dyDescent="0.2">
      <c r="Q1135" t="s">
        <v>2128</v>
      </c>
      <c r="R1135" t="s">
        <v>2432</v>
      </c>
      <c r="S1135" t="s">
        <v>257</v>
      </c>
      <c r="T1135" s="1">
        <v>44285</v>
      </c>
      <c r="U1135" s="1">
        <v>44285</v>
      </c>
      <c r="V1135" t="s">
        <v>260</v>
      </c>
      <c r="W1135">
        <v>13340559</v>
      </c>
      <c r="X1135">
        <v>13340559</v>
      </c>
      <c r="Y1135" t="s">
        <v>260</v>
      </c>
      <c r="Z1135">
        <v>13340559</v>
      </c>
      <c r="AA1135">
        <v>2447808</v>
      </c>
      <c r="AB1135" t="b">
        <v>0</v>
      </c>
      <c r="AC1135">
        <v>0.9</v>
      </c>
    </row>
    <row r="1136" spans="17:29" x14ac:dyDescent="0.2">
      <c r="Q1136" t="s">
        <v>1989</v>
      </c>
      <c r="R1136" t="s">
        <v>2432</v>
      </c>
      <c r="S1136" t="s">
        <v>257</v>
      </c>
      <c r="T1136" s="1">
        <v>44285</v>
      </c>
      <c r="U1136" s="1">
        <v>44285</v>
      </c>
      <c r="V1136" t="s">
        <v>260</v>
      </c>
      <c r="W1136">
        <v>13340559</v>
      </c>
      <c r="X1136">
        <v>13340559</v>
      </c>
      <c r="Y1136" t="s">
        <v>260</v>
      </c>
      <c r="Z1136">
        <v>13340559</v>
      </c>
      <c r="AA1136">
        <v>2447808</v>
      </c>
      <c r="AB1136" t="b">
        <v>0</v>
      </c>
      <c r="AC1136">
        <v>0.9</v>
      </c>
    </row>
    <row r="1137" spans="17:29" x14ac:dyDescent="0.2">
      <c r="Q1137" t="s">
        <v>2087</v>
      </c>
      <c r="R1137" t="s">
        <v>2433</v>
      </c>
      <c r="S1137" t="s">
        <v>257</v>
      </c>
      <c r="T1137" s="1">
        <v>43814</v>
      </c>
      <c r="U1137" s="1">
        <v>43819</v>
      </c>
      <c r="V1137" t="s">
        <v>260</v>
      </c>
      <c r="W1137">
        <v>542370190</v>
      </c>
      <c r="X1137">
        <v>542370190</v>
      </c>
      <c r="Y1137" t="s">
        <v>260</v>
      </c>
      <c r="Z1137">
        <v>542370190</v>
      </c>
      <c r="AA1137">
        <v>133008850</v>
      </c>
      <c r="AB1137" t="b">
        <v>1</v>
      </c>
      <c r="AC1137">
        <v>0.52</v>
      </c>
    </row>
    <row r="1138" spans="17:29" x14ac:dyDescent="0.2">
      <c r="Q1138" t="s">
        <v>2087</v>
      </c>
      <c r="R1138" t="s">
        <v>2433</v>
      </c>
      <c r="S1138" t="s">
        <v>257</v>
      </c>
      <c r="T1138" s="1">
        <v>43814</v>
      </c>
      <c r="U1138" s="1">
        <v>43819</v>
      </c>
      <c r="V1138" t="s">
        <v>260</v>
      </c>
      <c r="W1138">
        <v>542370190</v>
      </c>
      <c r="X1138">
        <v>542370190</v>
      </c>
      <c r="Y1138" t="s">
        <v>260</v>
      </c>
      <c r="Z1138">
        <v>542370190</v>
      </c>
      <c r="AA1138">
        <v>133008850</v>
      </c>
      <c r="AB1138" t="b">
        <v>1</v>
      </c>
      <c r="AC1138">
        <v>0.52</v>
      </c>
    </row>
    <row r="1139" spans="17:29" x14ac:dyDescent="0.2">
      <c r="Q1139" t="s">
        <v>2087</v>
      </c>
      <c r="R1139" t="s">
        <v>2434</v>
      </c>
      <c r="S1139" t="s">
        <v>257</v>
      </c>
      <c r="T1139" s="1">
        <v>43600</v>
      </c>
      <c r="U1139" s="1">
        <v>43609</v>
      </c>
      <c r="V1139" t="s">
        <v>260</v>
      </c>
      <c r="W1139">
        <v>39388377</v>
      </c>
      <c r="X1139">
        <v>39388377</v>
      </c>
      <c r="Y1139" t="s">
        <v>260</v>
      </c>
      <c r="Z1139">
        <v>39388377</v>
      </c>
      <c r="AA1139">
        <v>9768458</v>
      </c>
      <c r="AB1139" t="b">
        <v>0</v>
      </c>
      <c r="AC1139">
        <v>0.23</v>
      </c>
    </row>
    <row r="1140" spans="17:29" x14ac:dyDescent="0.2">
      <c r="Q1140" t="s">
        <v>2087</v>
      </c>
      <c r="R1140" t="s">
        <v>2434</v>
      </c>
      <c r="S1140" t="s">
        <v>257</v>
      </c>
      <c r="T1140" s="1">
        <v>43600</v>
      </c>
      <c r="U1140" s="1">
        <v>43609</v>
      </c>
      <c r="V1140" t="s">
        <v>260</v>
      </c>
      <c r="W1140">
        <v>39388377</v>
      </c>
      <c r="X1140">
        <v>39388377</v>
      </c>
      <c r="Y1140" t="s">
        <v>260</v>
      </c>
      <c r="Z1140">
        <v>39388377</v>
      </c>
      <c r="AA1140">
        <v>9768458</v>
      </c>
      <c r="AB1140" t="b">
        <v>0</v>
      </c>
      <c r="AC1140">
        <v>0.23</v>
      </c>
    </row>
    <row r="1141" spans="17:29" x14ac:dyDescent="0.2">
      <c r="Q1141" t="s">
        <v>2087</v>
      </c>
      <c r="R1141" t="s">
        <v>2435</v>
      </c>
      <c r="S1141" t="s">
        <v>257</v>
      </c>
      <c r="T1141" s="1">
        <v>43600</v>
      </c>
      <c r="U1141" s="1">
        <v>43609</v>
      </c>
      <c r="V1141" t="s">
        <v>260</v>
      </c>
      <c r="W1141">
        <v>118165132</v>
      </c>
      <c r="X1141">
        <v>118165132</v>
      </c>
      <c r="Y1141" t="s">
        <v>260</v>
      </c>
      <c r="Z1141">
        <v>118165132</v>
      </c>
      <c r="AA1141">
        <v>29305374</v>
      </c>
      <c r="AB1141" t="b">
        <v>0</v>
      </c>
      <c r="AC1141">
        <v>0.43</v>
      </c>
    </row>
    <row r="1142" spans="17:29" x14ac:dyDescent="0.2">
      <c r="Q1142" t="s">
        <v>2087</v>
      </c>
      <c r="R1142" t="s">
        <v>2435</v>
      </c>
      <c r="S1142" t="s">
        <v>257</v>
      </c>
      <c r="T1142" s="1">
        <v>43600</v>
      </c>
      <c r="U1142" s="1">
        <v>43609</v>
      </c>
      <c r="V1142" t="s">
        <v>260</v>
      </c>
      <c r="W1142">
        <v>118165132</v>
      </c>
      <c r="X1142">
        <v>118165132</v>
      </c>
      <c r="Y1142" t="s">
        <v>260</v>
      </c>
      <c r="Z1142">
        <v>118165132</v>
      </c>
      <c r="AA1142">
        <v>29305374</v>
      </c>
      <c r="AB1142" t="b">
        <v>0</v>
      </c>
      <c r="AC1142">
        <v>0.43</v>
      </c>
    </row>
    <row r="1143" spans="17:29" x14ac:dyDescent="0.2">
      <c r="Q1143" t="s">
        <v>2087</v>
      </c>
      <c r="R1143" t="s">
        <v>2436</v>
      </c>
      <c r="S1143" t="s">
        <v>257</v>
      </c>
      <c r="T1143" s="1">
        <v>43600</v>
      </c>
      <c r="U1143" s="1">
        <v>43609</v>
      </c>
      <c r="V1143" t="s">
        <v>260</v>
      </c>
      <c r="W1143">
        <v>49235472</v>
      </c>
      <c r="X1143">
        <v>49235472</v>
      </c>
      <c r="Y1143" t="s">
        <v>260</v>
      </c>
      <c r="Z1143">
        <v>49235472</v>
      </c>
      <c r="AA1143">
        <v>12210572</v>
      </c>
      <c r="AB1143" t="b">
        <v>0</v>
      </c>
      <c r="AC1143">
        <v>0.08</v>
      </c>
    </row>
    <row r="1144" spans="17:29" x14ac:dyDescent="0.2">
      <c r="Q1144" t="s">
        <v>2087</v>
      </c>
      <c r="R1144" t="s">
        <v>2436</v>
      </c>
      <c r="S1144" t="s">
        <v>257</v>
      </c>
      <c r="T1144" s="1">
        <v>43600</v>
      </c>
      <c r="U1144" s="1">
        <v>43609</v>
      </c>
      <c r="V1144" t="s">
        <v>260</v>
      </c>
      <c r="W1144">
        <v>49235472</v>
      </c>
      <c r="X1144">
        <v>49235472</v>
      </c>
      <c r="Y1144" t="s">
        <v>260</v>
      </c>
      <c r="Z1144">
        <v>49235472</v>
      </c>
      <c r="AA1144">
        <v>12210572</v>
      </c>
      <c r="AB1144" t="b">
        <v>0</v>
      </c>
      <c r="AC1144">
        <v>0.08</v>
      </c>
    </row>
    <row r="1145" spans="17:29" x14ac:dyDescent="0.2">
      <c r="Q1145" t="s">
        <v>2087</v>
      </c>
      <c r="R1145" t="s">
        <v>2437</v>
      </c>
      <c r="S1145" t="s">
        <v>257</v>
      </c>
      <c r="T1145" s="1">
        <v>43723</v>
      </c>
      <c r="U1145" s="1">
        <v>43763</v>
      </c>
      <c r="V1145" t="s">
        <v>260</v>
      </c>
      <c r="W1145">
        <v>168549737</v>
      </c>
      <c r="X1145">
        <v>168549737</v>
      </c>
      <c r="Y1145" t="s">
        <v>260</v>
      </c>
      <c r="Z1145">
        <v>168549737</v>
      </c>
      <c r="AA1145">
        <v>41997791</v>
      </c>
      <c r="AB1145" t="b">
        <v>0</v>
      </c>
      <c r="AC1145">
        <v>0.3</v>
      </c>
    </row>
    <row r="1146" spans="17:29" x14ac:dyDescent="0.2">
      <c r="Q1146" t="s">
        <v>2087</v>
      </c>
      <c r="R1146" t="s">
        <v>2437</v>
      </c>
      <c r="S1146" t="s">
        <v>257</v>
      </c>
      <c r="T1146" s="1">
        <v>43723</v>
      </c>
      <c r="U1146" s="1">
        <v>43763</v>
      </c>
      <c r="V1146" t="s">
        <v>260</v>
      </c>
      <c r="W1146">
        <v>168549737</v>
      </c>
      <c r="X1146">
        <v>168549737</v>
      </c>
      <c r="Y1146" t="s">
        <v>260</v>
      </c>
      <c r="Z1146">
        <v>168549737</v>
      </c>
      <c r="AA1146">
        <v>41997791</v>
      </c>
      <c r="AB1146" t="b">
        <v>0</v>
      </c>
      <c r="AC1146">
        <v>0.3</v>
      </c>
    </row>
    <row r="1147" spans="17:29" x14ac:dyDescent="0.2">
      <c r="Q1147" t="s">
        <v>2087</v>
      </c>
      <c r="R1147" t="s">
        <v>2438</v>
      </c>
      <c r="S1147" t="s">
        <v>257</v>
      </c>
      <c r="T1147" s="1">
        <v>43723</v>
      </c>
      <c r="U1147" s="1">
        <v>43763</v>
      </c>
      <c r="V1147" t="s">
        <v>260</v>
      </c>
      <c r="W1147">
        <v>112366491</v>
      </c>
      <c r="X1147">
        <v>112366491</v>
      </c>
      <c r="Y1147" t="s">
        <v>260</v>
      </c>
      <c r="Z1147">
        <v>112366491</v>
      </c>
      <c r="AA1147">
        <v>27998527</v>
      </c>
      <c r="AB1147" t="b">
        <v>0</v>
      </c>
      <c r="AC1147">
        <v>0.3</v>
      </c>
    </row>
    <row r="1148" spans="17:29" x14ac:dyDescent="0.2">
      <c r="Q1148" t="s">
        <v>2087</v>
      </c>
      <c r="R1148" t="s">
        <v>2438</v>
      </c>
      <c r="S1148" t="s">
        <v>257</v>
      </c>
      <c r="T1148" s="1">
        <v>43723</v>
      </c>
      <c r="U1148" s="1">
        <v>43763</v>
      </c>
      <c r="V1148" t="s">
        <v>260</v>
      </c>
      <c r="W1148">
        <v>112366491</v>
      </c>
      <c r="X1148">
        <v>112366491</v>
      </c>
      <c r="Y1148" t="s">
        <v>260</v>
      </c>
      <c r="Z1148">
        <v>112366491</v>
      </c>
      <c r="AA1148">
        <v>27998527</v>
      </c>
      <c r="AB1148" t="b">
        <v>0</v>
      </c>
      <c r="AC1148">
        <v>0.3</v>
      </c>
    </row>
    <row r="1149" spans="17:29" x14ac:dyDescent="0.2">
      <c r="Q1149" t="s">
        <v>2087</v>
      </c>
      <c r="R1149" t="s">
        <v>2439</v>
      </c>
      <c r="S1149" t="s">
        <v>257</v>
      </c>
      <c r="T1149" s="1">
        <v>43723</v>
      </c>
      <c r="U1149" s="1">
        <v>43763</v>
      </c>
      <c r="V1149" t="s">
        <v>260</v>
      </c>
      <c r="W1149">
        <v>195667518</v>
      </c>
      <c r="X1149">
        <v>195667518</v>
      </c>
      <c r="Y1149" t="s">
        <v>260</v>
      </c>
      <c r="Z1149">
        <v>195667518</v>
      </c>
      <c r="AA1149">
        <v>48754769</v>
      </c>
      <c r="AB1149" t="b">
        <v>0</v>
      </c>
      <c r="AC1149">
        <v>0.25</v>
      </c>
    </row>
    <row r="1150" spans="17:29" x14ac:dyDescent="0.2">
      <c r="Q1150" t="s">
        <v>2087</v>
      </c>
      <c r="R1150" t="s">
        <v>2439</v>
      </c>
      <c r="S1150" t="s">
        <v>257</v>
      </c>
      <c r="T1150" s="1">
        <v>43723</v>
      </c>
      <c r="U1150" s="1">
        <v>43763</v>
      </c>
      <c r="V1150" t="s">
        <v>260</v>
      </c>
      <c r="W1150">
        <v>195667518</v>
      </c>
      <c r="X1150">
        <v>195667518</v>
      </c>
      <c r="Y1150" t="s">
        <v>260</v>
      </c>
      <c r="Z1150">
        <v>195667518</v>
      </c>
      <c r="AA1150">
        <v>48754769</v>
      </c>
      <c r="AB1150" t="b">
        <v>0</v>
      </c>
      <c r="AC1150">
        <v>0.25</v>
      </c>
    </row>
    <row r="1151" spans="17:29" x14ac:dyDescent="0.2">
      <c r="Q1151" t="s">
        <v>2087</v>
      </c>
      <c r="R1151" t="s">
        <v>2440</v>
      </c>
      <c r="S1151" t="s">
        <v>257</v>
      </c>
      <c r="T1151" s="1">
        <v>43814</v>
      </c>
      <c r="U1151" s="1">
        <v>43847</v>
      </c>
      <c r="V1151" t="s">
        <v>260</v>
      </c>
      <c r="W1151">
        <v>280702984</v>
      </c>
      <c r="X1151">
        <v>280702984</v>
      </c>
      <c r="Y1151" t="s">
        <v>260</v>
      </c>
      <c r="Z1151">
        <v>280702984</v>
      </c>
      <c r="AA1151">
        <v>67094434</v>
      </c>
      <c r="AB1151" t="b">
        <v>1</v>
      </c>
      <c r="AC1151">
        <v>0.49</v>
      </c>
    </row>
    <row r="1152" spans="17:29" x14ac:dyDescent="0.2">
      <c r="Q1152" t="s">
        <v>2087</v>
      </c>
      <c r="R1152" t="s">
        <v>2440</v>
      </c>
      <c r="S1152" t="s">
        <v>257</v>
      </c>
      <c r="T1152" s="1">
        <v>43814</v>
      </c>
      <c r="U1152" s="1">
        <v>43847</v>
      </c>
      <c r="V1152" t="s">
        <v>260</v>
      </c>
      <c r="W1152">
        <v>280702984</v>
      </c>
      <c r="X1152">
        <v>280702984</v>
      </c>
      <c r="Y1152" t="s">
        <v>260</v>
      </c>
      <c r="Z1152">
        <v>280702984</v>
      </c>
      <c r="AA1152">
        <v>67094434</v>
      </c>
      <c r="AB1152" t="b">
        <v>1</v>
      </c>
      <c r="AC1152">
        <v>0.49</v>
      </c>
    </row>
    <row r="1153" spans="17:29" x14ac:dyDescent="0.2">
      <c r="Q1153" t="s">
        <v>2087</v>
      </c>
      <c r="R1153" t="s">
        <v>2441</v>
      </c>
      <c r="S1153" t="s">
        <v>257</v>
      </c>
      <c r="T1153" s="1">
        <v>44331</v>
      </c>
      <c r="U1153" s="1">
        <v>44336</v>
      </c>
      <c r="V1153" t="s">
        <v>260</v>
      </c>
      <c r="W1153">
        <v>32701192</v>
      </c>
      <c r="X1153">
        <v>32701192</v>
      </c>
      <c r="Y1153" t="s">
        <v>260</v>
      </c>
      <c r="Z1153">
        <v>32701192</v>
      </c>
      <c r="AA1153">
        <v>6181115</v>
      </c>
      <c r="AB1153" t="b">
        <v>1</v>
      </c>
      <c r="AC1153">
        <v>0.03</v>
      </c>
    </row>
    <row r="1154" spans="17:29" x14ac:dyDescent="0.2">
      <c r="Q1154" t="s">
        <v>2087</v>
      </c>
      <c r="R1154" t="s">
        <v>2441</v>
      </c>
      <c r="S1154" t="s">
        <v>257</v>
      </c>
      <c r="T1154" s="1">
        <v>44331</v>
      </c>
      <c r="U1154" s="1">
        <v>44336</v>
      </c>
      <c r="V1154" t="s">
        <v>260</v>
      </c>
      <c r="W1154">
        <v>32701192</v>
      </c>
      <c r="X1154">
        <v>32701192</v>
      </c>
      <c r="Y1154" t="s">
        <v>260</v>
      </c>
      <c r="Z1154">
        <v>32701192</v>
      </c>
      <c r="AA1154">
        <v>6181115</v>
      </c>
      <c r="AB1154" t="b">
        <v>1</v>
      </c>
      <c r="AC1154">
        <v>0.03</v>
      </c>
    </row>
    <row r="1155" spans="17:29" x14ac:dyDescent="0.2">
      <c r="Q1155" t="s">
        <v>2087</v>
      </c>
      <c r="R1155" t="s">
        <v>2442</v>
      </c>
      <c r="S1155" t="s">
        <v>257</v>
      </c>
      <c r="T1155" s="1">
        <v>44331</v>
      </c>
      <c r="U1155" s="1">
        <v>44336</v>
      </c>
      <c r="V1155" t="s">
        <v>260</v>
      </c>
      <c r="W1155">
        <v>25764575</v>
      </c>
      <c r="X1155">
        <v>25764575</v>
      </c>
      <c r="Y1155" t="s">
        <v>260</v>
      </c>
      <c r="Z1155">
        <v>25764575</v>
      </c>
      <c r="AA1155">
        <v>4869969</v>
      </c>
      <c r="AB1155" t="b">
        <v>1</v>
      </c>
      <c r="AC1155">
        <v>0.99</v>
      </c>
    </row>
    <row r="1156" spans="17:29" x14ac:dyDescent="0.2">
      <c r="Q1156" t="s">
        <v>2087</v>
      </c>
      <c r="R1156" t="s">
        <v>2442</v>
      </c>
      <c r="S1156" t="s">
        <v>257</v>
      </c>
      <c r="T1156" s="1">
        <v>44331</v>
      </c>
      <c r="U1156" s="1">
        <v>44336</v>
      </c>
      <c r="V1156" t="s">
        <v>260</v>
      </c>
      <c r="W1156">
        <v>25764575</v>
      </c>
      <c r="X1156">
        <v>25764575</v>
      </c>
      <c r="Y1156" t="s">
        <v>260</v>
      </c>
      <c r="Z1156">
        <v>25764575</v>
      </c>
      <c r="AA1156">
        <v>4869969</v>
      </c>
      <c r="AB1156" t="b">
        <v>1</v>
      </c>
      <c r="AC1156">
        <v>0.99</v>
      </c>
    </row>
    <row r="1157" spans="17:29" x14ac:dyDescent="0.2">
      <c r="Q1157" t="s">
        <v>2087</v>
      </c>
      <c r="R1157" t="s">
        <v>2443</v>
      </c>
      <c r="S1157" t="s">
        <v>257</v>
      </c>
      <c r="T1157" s="1">
        <v>44331</v>
      </c>
      <c r="U1157" s="1">
        <v>44336</v>
      </c>
      <c r="V1157" t="s">
        <v>260</v>
      </c>
      <c r="W1157">
        <v>40628753</v>
      </c>
      <c r="X1157">
        <v>40628753</v>
      </c>
      <c r="Y1157" t="s">
        <v>260</v>
      </c>
      <c r="Z1157">
        <v>40628753</v>
      </c>
      <c r="AA1157">
        <v>7679567</v>
      </c>
      <c r="AB1157" t="b">
        <v>1</v>
      </c>
      <c r="AC1157">
        <v>0.99</v>
      </c>
    </row>
    <row r="1158" spans="17:29" x14ac:dyDescent="0.2">
      <c r="Q1158" t="s">
        <v>2087</v>
      </c>
      <c r="R1158" t="s">
        <v>2443</v>
      </c>
      <c r="S1158" t="s">
        <v>257</v>
      </c>
      <c r="T1158" s="1">
        <v>44331</v>
      </c>
      <c r="U1158" s="1">
        <v>44336</v>
      </c>
      <c r="V1158" t="s">
        <v>260</v>
      </c>
      <c r="W1158">
        <v>40628753</v>
      </c>
      <c r="X1158">
        <v>40628753</v>
      </c>
      <c r="Y1158" t="s">
        <v>260</v>
      </c>
      <c r="Z1158">
        <v>40628753</v>
      </c>
      <c r="AA1158">
        <v>7679567</v>
      </c>
      <c r="AB1158" t="b">
        <v>1</v>
      </c>
      <c r="AC1158">
        <v>0.99</v>
      </c>
    </row>
    <row r="1159" spans="17:29" x14ac:dyDescent="0.2">
      <c r="Q1159" t="s">
        <v>2290</v>
      </c>
      <c r="R1159" t="s">
        <v>2444</v>
      </c>
      <c r="S1159" t="s">
        <v>384</v>
      </c>
      <c r="T1159" s="1">
        <v>44377</v>
      </c>
      <c r="U1159" s="1">
        <v>43818</v>
      </c>
      <c r="V1159" t="s">
        <v>386</v>
      </c>
      <c r="W1159">
        <v>8593063355</v>
      </c>
      <c r="X1159">
        <v>8593063355</v>
      </c>
      <c r="Y1159" t="s">
        <v>386</v>
      </c>
      <c r="Z1159">
        <v>8593063355</v>
      </c>
      <c r="AA1159">
        <v>3323255</v>
      </c>
      <c r="AB1159" t="b">
        <v>1</v>
      </c>
      <c r="AC1159">
        <v>0.83</v>
      </c>
    </row>
    <row r="1160" spans="17:29" x14ac:dyDescent="0.2">
      <c r="Q1160" t="s">
        <v>2173</v>
      </c>
      <c r="R1160" t="s">
        <v>2444</v>
      </c>
      <c r="S1160" t="s">
        <v>384</v>
      </c>
      <c r="T1160" s="1">
        <v>44377</v>
      </c>
      <c r="U1160" s="1">
        <v>43818</v>
      </c>
      <c r="V1160" t="s">
        <v>386</v>
      </c>
      <c r="W1160">
        <v>8593063355</v>
      </c>
      <c r="X1160">
        <v>8593063355</v>
      </c>
      <c r="Y1160" t="s">
        <v>386</v>
      </c>
      <c r="Z1160">
        <v>8593063355</v>
      </c>
      <c r="AA1160">
        <v>3323255</v>
      </c>
      <c r="AB1160" t="b">
        <v>1</v>
      </c>
      <c r="AC1160">
        <v>0.83</v>
      </c>
    </row>
    <row r="1161" spans="17:29" x14ac:dyDescent="0.2">
      <c r="Q1161" t="s">
        <v>2128</v>
      </c>
      <c r="R1161" t="s">
        <v>2446</v>
      </c>
      <c r="S1161" t="s">
        <v>257</v>
      </c>
      <c r="T1161" s="1">
        <v>44439</v>
      </c>
      <c r="U1161" s="1">
        <v>44439</v>
      </c>
      <c r="V1161" t="s">
        <v>260</v>
      </c>
      <c r="W1161">
        <v>400000000</v>
      </c>
      <c r="X1161">
        <v>400000000</v>
      </c>
      <c r="Y1161" t="s">
        <v>260</v>
      </c>
      <c r="Z1161">
        <v>400000000</v>
      </c>
      <c r="AA1161">
        <v>77555000</v>
      </c>
      <c r="AB1161" t="b">
        <v>0</v>
      </c>
      <c r="AC1161">
        <v>1</v>
      </c>
    </row>
    <row r="1162" spans="17:29" x14ac:dyDescent="0.2">
      <c r="Q1162" t="s">
        <v>2036</v>
      </c>
      <c r="R1162" t="s">
        <v>2446</v>
      </c>
      <c r="S1162" t="s">
        <v>257</v>
      </c>
      <c r="T1162" s="1">
        <v>44439</v>
      </c>
      <c r="U1162" s="1">
        <v>44439</v>
      </c>
      <c r="V1162" t="s">
        <v>260</v>
      </c>
      <c r="W1162">
        <v>400000000</v>
      </c>
      <c r="X1162">
        <v>400000000</v>
      </c>
      <c r="Y1162" t="s">
        <v>260</v>
      </c>
      <c r="Z1162">
        <v>400000000</v>
      </c>
      <c r="AA1162">
        <v>77555000</v>
      </c>
      <c r="AB1162" t="b">
        <v>0</v>
      </c>
      <c r="AC1162">
        <v>1</v>
      </c>
    </row>
    <row r="1163" spans="17:29" x14ac:dyDescent="0.2">
      <c r="Q1163" t="s">
        <v>2029</v>
      </c>
      <c r="R1163" t="s">
        <v>2446</v>
      </c>
      <c r="S1163" t="s">
        <v>257</v>
      </c>
      <c r="T1163" s="1">
        <v>44439</v>
      </c>
      <c r="U1163" s="1">
        <v>44439</v>
      </c>
      <c r="V1163" t="s">
        <v>260</v>
      </c>
      <c r="W1163">
        <v>400000000</v>
      </c>
      <c r="X1163">
        <v>400000000</v>
      </c>
      <c r="Y1163" t="s">
        <v>260</v>
      </c>
      <c r="Z1163">
        <v>400000000</v>
      </c>
      <c r="AA1163">
        <v>77555000</v>
      </c>
      <c r="AB1163" t="b">
        <v>0</v>
      </c>
      <c r="AC1163">
        <v>1</v>
      </c>
    </row>
    <row r="1164" spans="17:29" x14ac:dyDescent="0.2">
      <c r="Q1164" t="s">
        <v>2029</v>
      </c>
      <c r="R1164" t="s">
        <v>2446</v>
      </c>
      <c r="S1164" t="s">
        <v>257</v>
      </c>
      <c r="T1164" s="1">
        <v>44439</v>
      </c>
      <c r="U1164" s="1">
        <v>44439</v>
      </c>
      <c r="V1164" t="s">
        <v>260</v>
      </c>
      <c r="W1164">
        <v>400000000</v>
      </c>
      <c r="X1164">
        <v>400000000</v>
      </c>
      <c r="Y1164" t="s">
        <v>260</v>
      </c>
      <c r="Z1164">
        <v>400000000</v>
      </c>
      <c r="AA1164">
        <v>77555000</v>
      </c>
      <c r="AB1164" t="b">
        <v>0</v>
      </c>
      <c r="AC1164">
        <v>1</v>
      </c>
    </row>
    <row r="1165" spans="17:29" x14ac:dyDescent="0.2">
      <c r="Q1165" t="s">
        <v>2406</v>
      </c>
      <c r="R1165" t="s">
        <v>2447</v>
      </c>
      <c r="S1165" t="s">
        <v>384</v>
      </c>
      <c r="T1165" s="1">
        <v>44165</v>
      </c>
      <c r="U1165" s="1">
        <v>44162</v>
      </c>
      <c r="V1165" t="s">
        <v>386</v>
      </c>
      <c r="W1165">
        <v>6666666666</v>
      </c>
      <c r="X1165">
        <v>6666666666</v>
      </c>
      <c r="Y1165" t="s">
        <v>386</v>
      </c>
      <c r="Z1165">
        <v>6666666666</v>
      </c>
      <c r="AA1165">
        <v>1845986</v>
      </c>
      <c r="AB1165" t="b">
        <v>0</v>
      </c>
      <c r="AC1165">
        <v>1</v>
      </c>
    </row>
    <row r="1166" spans="17:29" x14ac:dyDescent="0.2">
      <c r="Q1166" t="s">
        <v>2117</v>
      </c>
      <c r="R1166" t="s">
        <v>2447</v>
      </c>
      <c r="S1166" t="s">
        <v>384</v>
      </c>
      <c r="T1166" s="1">
        <v>44165</v>
      </c>
      <c r="U1166" s="1">
        <v>44162</v>
      </c>
      <c r="V1166" t="s">
        <v>386</v>
      </c>
      <c r="W1166">
        <v>6666666666</v>
      </c>
      <c r="X1166">
        <v>6666666666</v>
      </c>
      <c r="Y1166" t="s">
        <v>386</v>
      </c>
      <c r="Z1166">
        <v>6666666666</v>
      </c>
      <c r="AA1166">
        <v>1845986</v>
      </c>
      <c r="AB1166" t="b">
        <v>0</v>
      </c>
      <c r="AC1166">
        <v>1</v>
      </c>
    </row>
    <row r="1167" spans="17:29" x14ac:dyDescent="0.2">
      <c r="Q1167" t="s">
        <v>2031</v>
      </c>
      <c r="R1167" t="s">
        <v>2448</v>
      </c>
      <c r="S1167" t="s">
        <v>2124</v>
      </c>
      <c r="T1167" s="1">
        <v>44104</v>
      </c>
      <c r="U1167" s="1">
        <v>42255</v>
      </c>
      <c r="V1167" t="s">
        <v>386</v>
      </c>
      <c r="W1167">
        <v>15832804089</v>
      </c>
      <c r="X1167">
        <v>15832804089</v>
      </c>
      <c r="Y1167" t="s">
        <v>386</v>
      </c>
      <c r="Z1167">
        <v>15832804089</v>
      </c>
      <c r="AA1167">
        <v>18000000</v>
      </c>
      <c r="AB1167" t="b">
        <v>1</v>
      </c>
      <c r="AC1167">
        <v>0.15</v>
      </c>
    </row>
    <row r="1168" spans="17:29" x14ac:dyDescent="0.2">
      <c r="Q1168" t="s">
        <v>1989</v>
      </c>
      <c r="R1168" t="s">
        <v>2448</v>
      </c>
      <c r="S1168" t="s">
        <v>2124</v>
      </c>
      <c r="T1168" s="1">
        <v>44104</v>
      </c>
      <c r="U1168" s="1">
        <v>42255</v>
      </c>
      <c r="V1168" t="s">
        <v>386</v>
      </c>
      <c r="W1168">
        <v>15832804089</v>
      </c>
      <c r="X1168">
        <v>15832804089</v>
      </c>
      <c r="Y1168" t="s">
        <v>386</v>
      </c>
      <c r="Z1168">
        <v>15832804089</v>
      </c>
      <c r="AA1168">
        <v>18000000</v>
      </c>
      <c r="AB1168" t="b">
        <v>1</v>
      </c>
      <c r="AC1168">
        <v>0.15</v>
      </c>
    </row>
    <row r="1169" spans="17:29" x14ac:dyDescent="0.2">
      <c r="Q1169" t="s">
        <v>2025</v>
      </c>
      <c r="R1169" t="s">
        <v>2449</v>
      </c>
      <c r="S1169" t="s">
        <v>269</v>
      </c>
      <c r="T1169" s="1">
        <v>44244</v>
      </c>
      <c r="V1169" t="s">
        <v>883</v>
      </c>
      <c r="W1169">
        <v>1800000000</v>
      </c>
      <c r="Y1169" t="s">
        <v>883</v>
      </c>
      <c r="AB1169" t="b">
        <v>0</v>
      </c>
      <c r="AC1169">
        <v>0.5</v>
      </c>
    </row>
    <row r="1170" spans="17:29" x14ac:dyDescent="0.2">
      <c r="Q1170" t="s">
        <v>2025</v>
      </c>
      <c r="R1170" t="s">
        <v>2449</v>
      </c>
      <c r="S1170" t="s">
        <v>269</v>
      </c>
      <c r="T1170" s="1">
        <v>44244</v>
      </c>
      <c r="V1170" t="s">
        <v>883</v>
      </c>
      <c r="W1170">
        <v>1800000000</v>
      </c>
      <c r="Y1170" t="s">
        <v>883</v>
      </c>
      <c r="AB1170" t="b">
        <v>0</v>
      </c>
      <c r="AC1170">
        <v>0.5</v>
      </c>
    </row>
    <row r="1171" spans="17:29" x14ac:dyDescent="0.2">
      <c r="Q1171" t="s">
        <v>2165</v>
      </c>
      <c r="R1171" t="s">
        <v>2450</v>
      </c>
      <c r="S1171" t="s">
        <v>269</v>
      </c>
      <c r="T1171" s="1">
        <v>44244</v>
      </c>
      <c r="V1171" t="s">
        <v>883</v>
      </c>
      <c r="W1171">
        <v>1800000000</v>
      </c>
      <c r="Y1171" t="s">
        <v>883</v>
      </c>
      <c r="AB1171" t="b">
        <v>0</v>
      </c>
      <c r="AC1171">
        <v>0.5</v>
      </c>
    </row>
    <row r="1172" spans="17:29" x14ac:dyDescent="0.2">
      <c r="Q1172" t="s">
        <v>2165</v>
      </c>
      <c r="R1172" t="s">
        <v>2450</v>
      </c>
      <c r="S1172" t="s">
        <v>269</v>
      </c>
      <c r="T1172" s="1">
        <v>44244</v>
      </c>
      <c r="V1172" t="s">
        <v>883</v>
      </c>
      <c r="W1172">
        <v>1800000000</v>
      </c>
      <c r="Y1172" t="s">
        <v>883</v>
      </c>
      <c r="AB1172" t="b">
        <v>0</v>
      </c>
      <c r="AC1172">
        <v>0.5</v>
      </c>
    </row>
    <row r="1173" spans="17:29" x14ac:dyDescent="0.2">
      <c r="Q1173" t="s">
        <v>2043</v>
      </c>
      <c r="R1173" t="s">
        <v>2451</v>
      </c>
      <c r="S1173" t="s">
        <v>257</v>
      </c>
      <c r="T1173" s="1">
        <v>44328</v>
      </c>
      <c r="U1173" s="1">
        <v>44328</v>
      </c>
      <c r="V1173" t="s">
        <v>260</v>
      </c>
      <c r="W1173">
        <v>1666667</v>
      </c>
      <c r="X1173">
        <v>1666666.66</v>
      </c>
      <c r="Y1173" t="s">
        <v>260</v>
      </c>
      <c r="Z1173">
        <v>1666666.66</v>
      </c>
      <c r="AA1173">
        <v>310730</v>
      </c>
      <c r="AB1173" t="b">
        <v>0</v>
      </c>
      <c r="AC1173">
        <v>0.14000000000000001</v>
      </c>
    </row>
    <row r="1174" spans="17:29" x14ac:dyDescent="0.2">
      <c r="Q1174" t="s">
        <v>2043</v>
      </c>
      <c r="R1174" t="s">
        <v>2451</v>
      </c>
      <c r="S1174" t="s">
        <v>257</v>
      </c>
      <c r="T1174" s="1">
        <v>44328</v>
      </c>
      <c r="U1174" s="1">
        <v>44328</v>
      </c>
      <c r="V1174" t="s">
        <v>260</v>
      </c>
      <c r="W1174">
        <v>1666667</v>
      </c>
      <c r="X1174">
        <v>1666666.66</v>
      </c>
      <c r="Y1174" t="s">
        <v>260</v>
      </c>
      <c r="Z1174">
        <v>1666666.66</v>
      </c>
      <c r="AA1174">
        <v>310730</v>
      </c>
      <c r="AB1174" t="b">
        <v>0</v>
      </c>
      <c r="AC1174">
        <v>0.14000000000000001</v>
      </c>
    </row>
    <row r="1175" spans="17:29" x14ac:dyDescent="0.2">
      <c r="Q1175" t="s">
        <v>2043</v>
      </c>
      <c r="R1175" t="s">
        <v>2452</v>
      </c>
      <c r="S1175" t="s">
        <v>257</v>
      </c>
      <c r="T1175" s="1">
        <v>44328</v>
      </c>
      <c r="U1175" s="1">
        <v>44328</v>
      </c>
      <c r="V1175" t="s">
        <v>260</v>
      </c>
      <c r="W1175">
        <v>1666666.66</v>
      </c>
      <c r="X1175">
        <v>1666666.66</v>
      </c>
      <c r="Y1175" t="s">
        <v>260</v>
      </c>
      <c r="Z1175">
        <v>1666666.66</v>
      </c>
      <c r="AA1175">
        <v>310730</v>
      </c>
      <c r="AB1175" t="b">
        <v>0</v>
      </c>
      <c r="AC1175">
        <v>0.11</v>
      </c>
    </row>
    <row r="1176" spans="17:29" x14ac:dyDescent="0.2">
      <c r="Q1176" t="s">
        <v>2043</v>
      </c>
      <c r="R1176" t="s">
        <v>2452</v>
      </c>
      <c r="S1176" t="s">
        <v>257</v>
      </c>
      <c r="T1176" s="1">
        <v>44328</v>
      </c>
      <c r="U1176" s="1">
        <v>44328</v>
      </c>
      <c r="V1176" t="s">
        <v>260</v>
      </c>
      <c r="W1176">
        <v>1666666.66</v>
      </c>
      <c r="X1176">
        <v>1666666.66</v>
      </c>
      <c r="Y1176" t="s">
        <v>260</v>
      </c>
      <c r="Z1176">
        <v>1666666.66</v>
      </c>
      <c r="AA1176">
        <v>310730</v>
      </c>
      <c r="AB1176" t="b">
        <v>0</v>
      </c>
      <c r="AC1176">
        <v>0.11</v>
      </c>
    </row>
    <row r="1177" spans="17:29" x14ac:dyDescent="0.2">
      <c r="Q1177" t="s">
        <v>2043</v>
      </c>
      <c r="R1177" t="s">
        <v>2453</v>
      </c>
      <c r="S1177" t="s">
        <v>257</v>
      </c>
      <c r="T1177" s="1">
        <v>44328</v>
      </c>
      <c r="U1177" s="1">
        <v>44328</v>
      </c>
      <c r="V1177" t="s">
        <v>260</v>
      </c>
      <c r="W1177">
        <v>1666666.66</v>
      </c>
      <c r="X1177">
        <v>1666666.66</v>
      </c>
      <c r="Y1177" t="s">
        <v>260</v>
      </c>
      <c r="Z1177">
        <v>1666666.66</v>
      </c>
      <c r="AA1177">
        <v>310730</v>
      </c>
      <c r="AB1177" t="b">
        <v>0</v>
      </c>
      <c r="AC1177">
        <v>0.1</v>
      </c>
    </row>
    <row r="1178" spans="17:29" x14ac:dyDescent="0.2">
      <c r="Q1178" t="s">
        <v>2043</v>
      </c>
      <c r="R1178" t="s">
        <v>2453</v>
      </c>
      <c r="S1178" t="s">
        <v>257</v>
      </c>
      <c r="T1178" s="1">
        <v>44328</v>
      </c>
      <c r="U1178" s="1">
        <v>44328</v>
      </c>
      <c r="V1178" t="s">
        <v>260</v>
      </c>
      <c r="W1178">
        <v>1666666.66</v>
      </c>
      <c r="X1178">
        <v>1666666.66</v>
      </c>
      <c r="Y1178" t="s">
        <v>260</v>
      </c>
      <c r="Z1178">
        <v>1666666.66</v>
      </c>
      <c r="AA1178">
        <v>310730</v>
      </c>
      <c r="AB1178" t="b">
        <v>0</v>
      </c>
      <c r="AC1178">
        <v>0.1</v>
      </c>
    </row>
    <row r="1179" spans="17:29" x14ac:dyDescent="0.2">
      <c r="Q1179" t="s">
        <v>1987</v>
      </c>
      <c r="R1179" t="s">
        <v>2454</v>
      </c>
      <c r="S1179" t="s">
        <v>257</v>
      </c>
      <c r="T1179" s="1">
        <v>43831</v>
      </c>
      <c r="U1179" s="1">
        <v>43831</v>
      </c>
      <c r="V1179" t="s">
        <v>260</v>
      </c>
      <c r="W1179">
        <v>3366</v>
      </c>
      <c r="X1179">
        <v>3366</v>
      </c>
      <c r="Y1179" t="s">
        <v>270</v>
      </c>
      <c r="Z1179">
        <v>684000</v>
      </c>
      <c r="AA1179">
        <v>684000</v>
      </c>
      <c r="AB1179" t="b">
        <v>0</v>
      </c>
      <c r="AC1179">
        <v>1</v>
      </c>
    </row>
    <row r="1180" spans="17:29" x14ac:dyDescent="0.2">
      <c r="Q1180" t="s">
        <v>2087</v>
      </c>
      <c r="R1180" t="s">
        <v>2454</v>
      </c>
      <c r="S1180" t="s">
        <v>257</v>
      </c>
      <c r="T1180" s="1">
        <v>43831</v>
      </c>
      <c r="U1180" s="1">
        <v>43831</v>
      </c>
      <c r="V1180" t="s">
        <v>260</v>
      </c>
      <c r="W1180">
        <v>3366</v>
      </c>
      <c r="X1180">
        <v>3366</v>
      </c>
      <c r="Y1180" t="s">
        <v>270</v>
      </c>
      <c r="Z1180">
        <v>684000</v>
      </c>
      <c r="AA1180">
        <v>684000</v>
      </c>
      <c r="AB1180" t="b">
        <v>0</v>
      </c>
      <c r="AC1180">
        <v>1</v>
      </c>
    </row>
    <row r="1181" spans="17:29" x14ac:dyDescent="0.2">
      <c r="Q1181" t="s">
        <v>1998</v>
      </c>
      <c r="R1181" t="s">
        <v>2455</v>
      </c>
      <c r="S1181" t="s">
        <v>257</v>
      </c>
      <c r="T1181" s="1">
        <v>43831</v>
      </c>
      <c r="U1181" s="1">
        <v>43831</v>
      </c>
      <c r="V1181" t="s">
        <v>260</v>
      </c>
      <c r="W1181">
        <v>807000</v>
      </c>
      <c r="X1181">
        <v>807000</v>
      </c>
      <c r="Y1181" t="s">
        <v>270</v>
      </c>
      <c r="Z1181">
        <v>164000</v>
      </c>
      <c r="AA1181">
        <v>164000</v>
      </c>
      <c r="AB1181" t="b">
        <v>0</v>
      </c>
      <c r="AC1181">
        <v>1</v>
      </c>
    </row>
    <row r="1182" spans="17:29" x14ac:dyDescent="0.2">
      <c r="Q1182" t="s">
        <v>1998</v>
      </c>
      <c r="R1182" t="s">
        <v>2455</v>
      </c>
      <c r="S1182" t="s">
        <v>257</v>
      </c>
      <c r="T1182" s="1">
        <v>43647</v>
      </c>
      <c r="U1182" s="1">
        <v>43647</v>
      </c>
      <c r="V1182" t="s">
        <v>260</v>
      </c>
      <c r="W1182">
        <v>666000</v>
      </c>
      <c r="X1182">
        <v>666000</v>
      </c>
      <c r="Y1182" t="s">
        <v>270</v>
      </c>
      <c r="Z1182">
        <v>164000</v>
      </c>
      <c r="AA1182">
        <v>164000</v>
      </c>
      <c r="AB1182" t="b">
        <v>0</v>
      </c>
      <c r="AC1182">
        <v>1</v>
      </c>
    </row>
    <row r="1183" spans="17:29" x14ac:dyDescent="0.2">
      <c r="Q1183" t="s">
        <v>1998</v>
      </c>
      <c r="R1183" t="s">
        <v>2455</v>
      </c>
      <c r="S1183" t="s">
        <v>257</v>
      </c>
      <c r="T1183" s="1">
        <v>43466</v>
      </c>
      <c r="U1183" s="1">
        <v>43466</v>
      </c>
      <c r="V1183" t="s">
        <v>260</v>
      </c>
      <c r="W1183">
        <v>177060</v>
      </c>
      <c r="X1183">
        <v>177060</v>
      </c>
      <c r="Y1183" t="s">
        <v>270</v>
      </c>
      <c r="Z1183">
        <v>46040</v>
      </c>
      <c r="AA1183">
        <v>46040</v>
      </c>
      <c r="AB1183" t="b">
        <v>0</v>
      </c>
      <c r="AC1183">
        <v>1</v>
      </c>
    </row>
    <row r="1184" spans="17:29" x14ac:dyDescent="0.2">
      <c r="Q1184" t="s">
        <v>1998</v>
      </c>
      <c r="R1184" t="s">
        <v>2455</v>
      </c>
      <c r="S1184" t="s">
        <v>257</v>
      </c>
      <c r="T1184" s="1">
        <v>43282</v>
      </c>
      <c r="U1184" s="1">
        <v>43282</v>
      </c>
      <c r="V1184" t="s">
        <v>260</v>
      </c>
      <c r="W1184">
        <v>18390</v>
      </c>
      <c r="X1184">
        <v>18390</v>
      </c>
      <c r="Y1184" t="s">
        <v>270</v>
      </c>
      <c r="Z1184">
        <v>4740</v>
      </c>
      <c r="AA1184">
        <v>4740</v>
      </c>
      <c r="AB1184" t="b">
        <v>0</v>
      </c>
      <c r="AC1184">
        <v>1</v>
      </c>
    </row>
    <row r="1185" spans="17:29" x14ac:dyDescent="0.2">
      <c r="Q1185" t="s">
        <v>2067</v>
      </c>
      <c r="R1185" t="s">
        <v>2455</v>
      </c>
      <c r="S1185" t="s">
        <v>257</v>
      </c>
      <c r="T1185" s="1">
        <v>43831</v>
      </c>
      <c r="U1185" s="1">
        <v>43831</v>
      </c>
      <c r="V1185" t="s">
        <v>260</v>
      </c>
      <c r="W1185">
        <v>807000</v>
      </c>
      <c r="X1185">
        <v>807000</v>
      </c>
      <c r="Y1185" t="s">
        <v>270</v>
      </c>
      <c r="Z1185">
        <v>164000</v>
      </c>
      <c r="AA1185">
        <v>164000</v>
      </c>
      <c r="AB1185" t="b">
        <v>0</v>
      </c>
      <c r="AC1185">
        <v>1</v>
      </c>
    </row>
    <row r="1186" spans="17:29" x14ac:dyDescent="0.2">
      <c r="Q1186" t="s">
        <v>2067</v>
      </c>
      <c r="R1186" t="s">
        <v>2455</v>
      </c>
      <c r="S1186" t="s">
        <v>257</v>
      </c>
      <c r="T1186" s="1">
        <v>43647</v>
      </c>
      <c r="U1186" s="1">
        <v>43647</v>
      </c>
      <c r="V1186" t="s">
        <v>260</v>
      </c>
      <c r="W1186">
        <v>666000</v>
      </c>
      <c r="X1186">
        <v>666000</v>
      </c>
      <c r="Y1186" t="s">
        <v>270</v>
      </c>
      <c r="Z1186">
        <v>164000</v>
      </c>
      <c r="AA1186">
        <v>164000</v>
      </c>
      <c r="AB1186" t="b">
        <v>0</v>
      </c>
      <c r="AC1186">
        <v>1</v>
      </c>
    </row>
    <row r="1187" spans="17:29" x14ac:dyDescent="0.2">
      <c r="Q1187" t="s">
        <v>2067</v>
      </c>
      <c r="R1187" t="s">
        <v>2455</v>
      </c>
      <c r="S1187" t="s">
        <v>257</v>
      </c>
      <c r="T1187" s="1">
        <v>43466</v>
      </c>
      <c r="U1187" s="1">
        <v>43466</v>
      </c>
      <c r="V1187" t="s">
        <v>260</v>
      </c>
      <c r="W1187">
        <v>177060</v>
      </c>
      <c r="X1187">
        <v>177060</v>
      </c>
      <c r="Y1187" t="s">
        <v>270</v>
      </c>
      <c r="Z1187">
        <v>46040</v>
      </c>
      <c r="AA1187">
        <v>46040</v>
      </c>
      <c r="AB1187" t="b">
        <v>0</v>
      </c>
      <c r="AC1187">
        <v>1</v>
      </c>
    </row>
    <row r="1188" spans="17:29" x14ac:dyDescent="0.2">
      <c r="Q1188" t="s">
        <v>2067</v>
      </c>
      <c r="R1188" t="s">
        <v>2455</v>
      </c>
      <c r="S1188" t="s">
        <v>257</v>
      </c>
      <c r="T1188" s="1">
        <v>43282</v>
      </c>
      <c r="U1188" s="1">
        <v>43282</v>
      </c>
      <c r="V1188" t="s">
        <v>260</v>
      </c>
      <c r="W1188">
        <v>18390</v>
      </c>
      <c r="X1188">
        <v>18390</v>
      </c>
      <c r="Y1188" t="s">
        <v>270</v>
      </c>
      <c r="Z1188">
        <v>4740</v>
      </c>
      <c r="AA1188">
        <v>4740</v>
      </c>
      <c r="AB1188" t="b">
        <v>0</v>
      </c>
      <c r="AC1188">
        <v>1</v>
      </c>
    </row>
    <row r="1189" spans="17:29" x14ac:dyDescent="0.2">
      <c r="Q1189" t="s">
        <v>1998</v>
      </c>
      <c r="R1189" t="s">
        <v>2456</v>
      </c>
      <c r="S1189" t="s">
        <v>257</v>
      </c>
      <c r="T1189" s="1">
        <v>44197</v>
      </c>
      <c r="U1189" s="1">
        <v>44197</v>
      </c>
      <c r="V1189" t="s">
        <v>260</v>
      </c>
      <c r="W1189">
        <v>1926000</v>
      </c>
      <c r="X1189">
        <v>1926000</v>
      </c>
      <c r="Y1189" t="s">
        <v>270</v>
      </c>
      <c r="Z1189">
        <v>357000</v>
      </c>
      <c r="AA1189">
        <v>357000</v>
      </c>
      <c r="AB1189" t="b">
        <v>0</v>
      </c>
      <c r="AC1189">
        <v>1</v>
      </c>
    </row>
    <row r="1190" spans="17:29" x14ac:dyDescent="0.2">
      <c r="Q1190" t="s">
        <v>1998</v>
      </c>
      <c r="R1190" t="s">
        <v>2456</v>
      </c>
      <c r="S1190" t="s">
        <v>257</v>
      </c>
      <c r="T1190" s="1">
        <v>44013</v>
      </c>
      <c r="U1190" s="1">
        <v>44013</v>
      </c>
      <c r="V1190" t="s">
        <v>260</v>
      </c>
      <c r="W1190">
        <v>1594000</v>
      </c>
      <c r="X1190">
        <v>1594000</v>
      </c>
      <c r="Y1190" t="s">
        <v>270</v>
      </c>
      <c r="Z1190">
        <v>293000</v>
      </c>
      <c r="AA1190">
        <v>293000</v>
      </c>
      <c r="AB1190" t="b">
        <v>0</v>
      </c>
      <c r="AC1190">
        <v>1</v>
      </c>
    </row>
    <row r="1191" spans="17:29" x14ac:dyDescent="0.2">
      <c r="Q1191" t="s">
        <v>2067</v>
      </c>
      <c r="R1191" t="s">
        <v>2456</v>
      </c>
      <c r="S1191" t="s">
        <v>257</v>
      </c>
      <c r="T1191" s="1">
        <v>44197</v>
      </c>
      <c r="U1191" s="1">
        <v>44197</v>
      </c>
      <c r="V1191" t="s">
        <v>260</v>
      </c>
      <c r="W1191">
        <v>1926000</v>
      </c>
      <c r="X1191">
        <v>1926000</v>
      </c>
      <c r="Y1191" t="s">
        <v>270</v>
      </c>
      <c r="Z1191">
        <v>357000</v>
      </c>
      <c r="AA1191">
        <v>357000</v>
      </c>
      <c r="AB1191" t="b">
        <v>0</v>
      </c>
      <c r="AC1191">
        <v>1</v>
      </c>
    </row>
    <row r="1192" spans="17:29" x14ac:dyDescent="0.2">
      <c r="Q1192" t="s">
        <v>2067</v>
      </c>
      <c r="R1192" t="s">
        <v>2456</v>
      </c>
      <c r="S1192" t="s">
        <v>257</v>
      </c>
      <c r="T1192" s="1">
        <v>44013</v>
      </c>
      <c r="U1192" s="1">
        <v>44013</v>
      </c>
      <c r="V1192" t="s">
        <v>260</v>
      </c>
      <c r="W1192">
        <v>1594000</v>
      </c>
      <c r="X1192">
        <v>1594000</v>
      </c>
      <c r="Y1192" t="s">
        <v>270</v>
      </c>
      <c r="Z1192">
        <v>293000</v>
      </c>
      <c r="AA1192">
        <v>293000</v>
      </c>
      <c r="AB1192" t="b">
        <v>0</v>
      </c>
      <c r="AC1192">
        <v>1</v>
      </c>
    </row>
    <row r="1193" spans="17:29" x14ac:dyDescent="0.2">
      <c r="Q1193" t="s">
        <v>2141</v>
      </c>
      <c r="R1193" t="s">
        <v>2457</v>
      </c>
      <c r="S1193" t="s">
        <v>257</v>
      </c>
      <c r="T1193" s="1">
        <v>43466</v>
      </c>
      <c r="U1193" s="1">
        <v>43466</v>
      </c>
      <c r="V1193" t="s">
        <v>260</v>
      </c>
      <c r="W1193">
        <v>1749680</v>
      </c>
      <c r="X1193">
        <v>1749680</v>
      </c>
      <c r="Y1193" t="s">
        <v>270</v>
      </c>
      <c r="Z1193">
        <v>454950</v>
      </c>
      <c r="AA1193">
        <v>454950</v>
      </c>
      <c r="AB1193" t="b">
        <v>0</v>
      </c>
      <c r="AC1193">
        <v>1</v>
      </c>
    </row>
    <row r="1194" spans="17:29" x14ac:dyDescent="0.2">
      <c r="Q1194" t="s">
        <v>2036</v>
      </c>
      <c r="R1194" t="s">
        <v>2457</v>
      </c>
      <c r="S1194" t="s">
        <v>257</v>
      </c>
      <c r="T1194" s="1">
        <v>43466</v>
      </c>
      <c r="U1194" s="1">
        <v>43466</v>
      </c>
      <c r="V1194" t="s">
        <v>260</v>
      </c>
      <c r="W1194">
        <v>1749680</v>
      </c>
      <c r="X1194">
        <v>1749680</v>
      </c>
      <c r="Y1194" t="s">
        <v>270</v>
      </c>
      <c r="Z1194">
        <v>454950</v>
      </c>
      <c r="AA1194">
        <v>454950</v>
      </c>
      <c r="AB1194" t="b">
        <v>0</v>
      </c>
      <c r="AC1194">
        <v>1</v>
      </c>
    </row>
    <row r="1195" spans="17:29" x14ac:dyDescent="0.2">
      <c r="Q1195" t="s">
        <v>2087</v>
      </c>
      <c r="R1195" t="s">
        <v>2458</v>
      </c>
      <c r="S1195" t="s">
        <v>257</v>
      </c>
      <c r="T1195" s="1">
        <v>44172</v>
      </c>
      <c r="U1195" s="1">
        <v>44561</v>
      </c>
      <c r="V1195" t="s">
        <v>260</v>
      </c>
      <c r="W1195">
        <v>365000000</v>
      </c>
      <c r="X1195">
        <v>281050000</v>
      </c>
      <c r="Y1195" t="s">
        <v>260</v>
      </c>
      <c r="Z1195">
        <v>281050000</v>
      </c>
      <c r="AA1195">
        <v>55094880</v>
      </c>
      <c r="AB1195" t="b">
        <v>0</v>
      </c>
      <c r="AC1195">
        <v>0.02</v>
      </c>
    </row>
    <row r="1196" spans="17:29" x14ac:dyDescent="0.2">
      <c r="Q1196" t="s">
        <v>2087</v>
      </c>
      <c r="R1196" t="s">
        <v>2458</v>
      </c>
      <c r="S1196" t="s">
        <v>257</v>
      </c>
      <c r="T1196" s="1">
        <v>44172</v>
      </c>
      <c r="U1196" s="1">
        <v>44561</v>
      </c>
      <c r="V1196" t="s">
        <v>260</v>
      </c>
      <c r="W1196">
        <v>365000000</v>
      </c>
      <c r="X1196">
        <v>281050000</v>
      </c>
      <c r="Y1196" t="s">
        <v>260</v>
      </c>
      <c r="Z1196">
        <v>281050000</v>
      </c>
      <c r="AA1196">
        <v>55094880</v>
      </c>
      <c r="AB1196" t="b">
        <v>0</v>
      </c>
      <c r="AC1196">
        <v>0.02</v>
      </c>
    </row>
    <row r="1197" spans="17:29" x14ac:dyDescent="0.2">
      <c r="Q1197" t="s">
        <v>2014</v>
      </c>
      <c r="R1197" t="s">
        <v>2459</v>
      </c>
      <c r="S1197" t="s">
        <v>257</v>
      </c>
      <c r="T1197" s="1">
        <v>42887</v>
      </c>
      <c r="U1197" s="1">
        <v>42887</v>
      </c>
      <c r="V1197" t="s">
        <v>260</v>
      </c>
      <c r="W1197">
        <v>547050</v>
      </c>
      <c r="X1197">
        <v>547050</v>
      </c>
      <c r="Y1197" t="s">
        <v>270</v>
      </c>
      <c r="Z1197">
        <v>171355</v>
      </c>
      <c r="AA1197">
        <v>171355</v>
      </c>
      <c r="AB1197" t="b">
        <v>1</v>
      </c>
      <c r="AC1197">
        <v>1</v>
      </c>
    </row>
    <row r="1198" spans="17:29" x14ac:dyDescent="0.2">
      <c r="Q1198" t="s">
        <v>2014</v>
      </c>
      <c r="R1198" t="s">
        <v>2459</v>
      </c>
      <c r="S1198" t="s">
        <v>257</v>
      </c>
      <c r="T1198" s="1">
        <v>42522</v>
      </c>
      <c r="U1198" s="1">
        <v>42522</v>
      </c>
      <c r="V1198" t="s">
        <v>260</v>
      </c>
      <c r="W1198">
        <v>1542300</v>
      </c>
      <c r="X1198">
        <v>1542300</v>
      </c>
      <c r="Y1198" t="s">
        <v>270</v>
      </c>
      <c r="Z1198">
        <v>442770</v>
      </c>
      <c r="AA1198">
        <v>442770</v>
      </c>
      <c r="AB1198" t="b">
        <v>1</v>
      </c>
      <c r="AC1198">
        <v>1</v>
      </c>
    </row>
    <row r="1199" spans="17:29" x14ac:dyDescent="0.2">
      <c r="Q1199" t="s">
        <v>2014</v>
      </c>
      <c r="R1199" t="s">
        <v>2459</v>
      </c>
      <c r="S1199" t="s">
        <v>257</v>
      </c>
      <c r="T1199" s="1">
        <v>42248</v>
      </c>
      <c r="U1199" s="1">
        <v>42248</v>
      </c>
      <c r="V1199" t="s">
        <v>260</v>
      </c>
      <c r="W1199">
        <v>1647300</v>
      </c>
      <c r="X1199">
        <v>1647300</v>
      </c>
      <c r="Y1199" t="s">
        <v>270</v>
      </c>
      <c r="Z1199">
        <v>493396</v>
      </c>
      <c r="AA1199">
        <v>493396</v>
      </c>
      <c r="AB1199" t="b">
        <v>1</v>
      </c>
      <c r="AC1199">
        <v>1</v>
      </c>
    </row>
    <row r="1200" spans="17:29" x14ac:dyDescent="0.2">
      <c r="Q1200" t="s">
        <v>2087</v>
      </c>
      <c r="R1200" t="s">
        <v>2459</v>
      </c>
      <c r="S1200" t="s">
        <v>257</v>
      </c>
      <c r="T1200" s="1">
        <v>42887</v>
      </c>
      <c r="U1200" s="1">
        <v>42887</v>
      </c>
      <c r="V1200" t="s">
        <v>260</v>
      </c>
      <c r="W1200">
        <v>547050</v>
      </c>
      <c r="X1200">
        <v>547050</v>
      </c>
      <c r="Y1200" t="s">
        <v>270</v>
      </c>
      <c r="Z1200">
        <v>171355</v>
      </c>
      <c r="AA1200">
        <v>171355</v>
      </c>
      <c r="AB1200" t="b">
        <v>1</v>
      </c>
      <c r="AC1200">
        <v>1</v>
      </c>
    </row>
    <row r="1201" spans="17:29" x14ac:dyDescent="0.2">
      <c r="Q1201" t="s">
        <v>2087</v>
      </c>
      <c r="R1201" t="s">
        <v>2459</v>
      </c>
      <c r="S1201" t="s">
        <v>257</v>
      </c>
      <c r="T1201" s="1">
        <v>42522</v>
      </c>
      <c r="U1201" s="1">
        <v>42522</v>
      </c>
      <c r="V1201" t="s">
        <v>260</v>
      </c>
      <c r="W1201">
        <v>1542300</v>
      </c>
      <c r="X1201">
        <v>1542300</v>
      </c>
      <c r="Y1201" t="s">
        <v>270</v>
      </c>
      <c r="Z1201">
        <v>442770</v>
      </c>
      <c r="AA1201">
        <v>442770</v>
      </c>
      <c r="AB1201" t="b">
        <v>1</v>
      </c>
      <c r="AC1201">
        <v>1</v>
      </c>
    </row>
    <row r="1202" spans="17:29" x14ac:dyDescent="0.2">
      <c r="Q1202" t="s">
        <v>2087</v>
      </c>
      <c r="R1202" t="s">
        <v>2459</v>
      </c>
      <c r="S1202" t="s">
        <v>257</v>
      </c>
      <c r="T1202" s="1">
        <v>42248</v>
      </c>
      <c r="U1202" s="1">
        <v>42248</v>
      </c>
      <c r="V1202" t="s">
        <v>260</v>
      </c>
      <c r="W1202">
        <v>1647300</v>
      </c>
      <c r="X1202">
        <v>1647300</v>
      </c>
      <c r="Y1202" t="s">
        <v>270</v>
      </c>
      <c r="Z1202">
        <v>493396</v>
      </c>
      <c r="AA1202">
        <v>493396</v>
      </c>
      <c r="AB1202" t="b">
        <v>1</v>
      </c>
      <c r="AC1202">
        <v>1</v>
      </c>
    </row>
    <row r="1203" spans="17:29" x14ac:dyDescent="0.2">
      <c r="Q1203" t="s">
        <v>2208</v>
      </c>
      <c r="R1203" t="s">
        <v>2460</v>
      </c>
      <c r="S1203" t="s">
        <v>257</v>
      </c>
      <c r="T1203" s="1">
        <v>44197</v>
      </c>
      <c r="U1203" s="1">
        <v>44197</v>
      </c>
      <c r="V1203" t="s">
        <v>260</v>
      </c>
      <c r="W1203">
        <v>468000</v>
      </c>
      <c r="X1203">
        <v>468000</v>
      </c>
      <c r="Y1203" t="s">
        <v>270</v>
      </c>
      <c r="Z1203">
        <v>87000</v>
      </c>
      <c r="AA1203">
        <v>87000</v>
      </c>
      <c r="AB1203" t="b">
        <v>0</v>
      </c>
      <c r="AC1203">
        <v>1</v>
      </c>
    </row>
    <row r="1204" spans="17:29" x14ac:dyDescent="0.2">
      <c r="Q1204" t="s">
        <v>2208</v>
      </c>
      <c r="R1204" t="s">
        <v>2460</v>
      </c>
      <c r="S1204" t="s">
        <v>257</v>
      </c>
      <c r="T1204" s="1">
        <v>44013</v>
      </c>
      <c r="U1204" s="1">
        <v>44013</v>
      </c>
      <c r="V1204" t="s">
        <v>260</v>
      </c>
      <c r="W1204">
        <v>615000</v>
      </c>
      <c r="X1204">
        <v>615000</v>
      </c>
      <c r="Y1204" t="s">
        <v>270</v>
      </c>
      <c r="Z1204">
        <v>113000</v>
      </c>
      <c r="AA1204">
        <v>113000</v>
      </c>
      <c r="AB1204" t="b">
        <v>0</v>
      </c>
      <c r="AC1204">
        <v>1</v>
      </c>
    </row>
    <row r="1205" spans="17:29" x14ac:dyDescent="0.2">
      <c r="Q1205" t="s">
        <v>2208</v>
      </c>
      <c r="R1205" t="s">
        <v>2460</v>
      </c>
      <c r="S1205" t="s">
        <v>257</v>
      </c>
      <c r="T1205" s="1">
        <v>43831</v>
      </c>
      <c r="U1205" s="1">
        <v>43831</v>
      </c>
      <c r="V1205" t="s">
        <v>260</v>
      </c>
      <c r="W1205">
        <v>48000</v>
      </c>
      <c r="X1205">
        <v>48000</v>
      </c>
      <c r="Y1205" t="s">
        <v>270</v>
      </c>
      <c r="Z1205">
        <v>10000</v>
      </c>
      <c r="AA1205">
        <v>10000</v>
      </c>
      <c r="AB1205" t="b">
        <v>0</v>
      </c>
      <c r="AC1205">
        <v>1</v>
      </c>
    </row>
    <row r="1206" spans="17:29" x14ac:dyDescent="0.2">
      <c r="Q1206" t="s">
        <v>2208</v>
      </c>
      <c r="R1206" t="s">
        <v>2460</v>
      </c>
      <c r="S1206" t="s">
        <v>257</v>
      </c>
      <c r="T1206" s="1">
        <v>43647</v>
      </c>
      <c r="U1206" s="1">
        <v>43647</v>
      </c>
      <c r="V1206" t="s">
        <v>260</v>
      </c>
      <c r="W1206">
        <v>377000</v>
      </c>
      <c r="X1206">
        <v>377000</v>
      </c>
      <c r="Y1206" t="s">
        <v>270</v>
      </c>
      <c r="Z1206">
        <v>93000</v>
      </c>
      <c r="AA1206">
        <v>93000</v>
      </c>
      <c r="AB1206" t="b">
        <v>0</v>
      </c>
      <c r="AC1206">
        <v>1</v>
      </c>
    </row>
    <row r="1207" spans="17:29" x14ac:dyDescent="0.2">
      <c r="Q1207" t="s">
        <v>2208</v>
      </c>
      <c r="R1207" t="s">
        <v>2460</v>
      </c>
      <c r="S1207" t="s">
        <v>257</v>
      </c>
      <c r="T1207" s="1">
        <v>43466</v>
      </c>
      <c r="U1207" s="1">
        <v>43466</v>
      </c>
      <c r="V1207" t="s">
        <v>260</v>
      </c>
      <c r="W1207">
        <v>51950</v>
      </c>
      <c r="X1207">
        <v>51950</v>
      </c>
      <c r="Y1207" t="s">
        <v>270</v>
      </c>
      <c r="Z1207">
        <v>13510</v>
      </c>
      <c r="AA1207">
        <v>13510</v>
      </c>
      <c r="AB1207" t="b">
        <v>0</v>
      </c>
      <c r="AC1207">
        <v>1</v>
      </c>
    </row>
    <row r="1208" spans="17:29" x14ac:dyDescent="0.2">
      <c r="Q1208" t="s">
        <v>2210</v>
      </c>
      <c r="R1208" t="s">
        <v>2460</v>
      </c>
      <c r="S1208" t="s">
        <v>257</v>
      </c>
      <c r="T1208" s="1">
        <v>44197</v>
      </c>
      <c r="U1208" s="1">
        <v>44197</v>
      </c>
      <c r="V1208" t="s">
        <v>260</v>
      </c>
      <c r="W1208">
        <v>468000</v>
      </c>
      <c r="X1208">
        <v>468000</v>
      </c>
      <c r="Y1208" t="s">
        <v>270</v>
      </c>
      <c r="Z1208">
        <v>87000</v>
      </c>
      <c r="AA1208">
        <v>87000</v>
      </c>
      <c r="AB1208" t="b">
        <v>0</v>
      </c>
      <c r="AC1208">
        <v>1</v>
      </c>
    </row>
    <row r="1209" spans="17:29" x14ac:dyDescent="0.2">
      <c r="Q1209" t="s">
        <v>2210</v>
      </c>
      <c r="R1209" t="s">
        <v>2460</v>
      </c>
      <c r="S1209" t="s">
        <v>257</v>
      </c>
      <c r="T1209" s="1">
        <v>44013</v>
      </c>
      <c r="U1209" s="1">
        <v>44013</v>
      </c>
      <c r="V1209" t="s">
        <v>260</v>
      </c>
      <c r="W1209">
        <v>615000</v>
      </c>
      <c r="X1209">
        <v>615000</v>
      </c>
      <c r="Y1209" t="s">
        <v>270</v>
      </c>
      <c r="Z1209">
        <v>113000</v>
      </c>
      <c r="AA1209">
        <v>113000</v>
      </c>
      <c r="AB1209" t="b">
        <v>0</v>
      </c>
      <c r="AC1209">
        <v>1</v>
      </c>
    </row>
    <row r="1210" spans="17:29" x14ac:dyDescent="0.2">
      <c r="Q1210" t="s">
        <v>2210</v>
      </c>
      <c r="R1210" t="s">
        <v>2460</v>
      </c>
      <c r="S1210" t="s">
        <v>257</v>
      </c>
      <c r="T1210" s="1">
        <v>43831</v>
      </c>
      <c r="U1210" s="1">
        <v>43831</v>
      </c>
      <c r="V1210" t="s">
        <v>260</v>
      </c>
      <c r="W1210">
        <v>48000</v>
      </c>
      <c r="X1210">
        <v>48000</v>
      </c>
      <c r="Y1210" t="s">
        <v>270</v>
      </c>
      <c r="Z1210">
        <v>10000</v>
      </c>
      <c r="AA1210">
        <v>10000</v>
      </c>
      <c r="AB1210" t="b">
        <v>0</v>
      </c>
      <c r="AC1210">
        <v>1</v>
      </c>
    </row>
    <row r="1211" spans="17:29" x14ac:dyDescent="0.2">
      <c r="Q1211" t="s">
        <v>2210</v>
      </c>
      <c r="R1211" t="s">
        <v>2460</v>
      </c>
      <c r="S1211" t="s">
        <v>257</v>
      </c>
      <c r="T1211" s="1">
        <v>43647</v>
      </c>
      <c r="U1211" s="1">
        <v>43647</v>
      </c>
      <c r="V1211" t="s">
        <v>260</v>
      </c>
      <c r="W1211">
        <v>377000</v>
      </c>
      <c r="X1211">
        <v>377000</v>
      </c>
      <c r="Y1211" t="s">
        <v>270</v>
      </c>
      <c r="Z1211">
        <v>93000</v>
      </c>
      <c r="AA1211">
        <v>93000</v>
      </c>
      <c r="AB1211" t="b">
        <v>0</v>
      </c>
      <c r="AC1211">
        <v>1</v>
      </c>
    </row>
    <row r="1212" spans="17:29" x14ac:dyDescent="0.2">
      <c r="Q1212" t="s">
        <v>2210</v>
      </c>
      <c r="R1212" t="s">
        <v>2460</v>
      </c>
      <c r="S1212" t="s">
        <v>257</v>
      </c>
      <c r="T1212" s="1">
        <v>43466</v>
      </c>
      <c r="U1212" s="1">
        <v>43466</v>
      </c>
      <c r="V1212" t="s">
        <v>260</v>
      </c>
      <c r="W1212">
        <v>51950</v>
      </c>
      <c r="X1212">
        <v>51950</v>
      </c>
      <c r="Y1212" t="s">
        <v>270</v>
      </c>
      <c r="Z1212">
        <v>13510</v>
      </c>
      <c r="AA1212">
        <v>13510</v>
      </c>
      <c r="AB1212" t="b">
        <v>0</v>
      </c>
      <c r="AC1212">
        <v>1</v>
      </c>
    </row>
    <row r="1213" spans="17:29" x14ac:dyDescent="0.2">
      <c r="Q1213" t="s">
        <v>2040</v>
      </c>
      <c r="R1213" t="s">
        <v>2461</v>
      </c>
      <c r="S1213" t="s">
        <v>257</v>
      </c>
      <c r="T1213" s="1">
        <v>44197</v>
      </c>
      <c r="U1213" s="1">
        <v>44197</v>
      </c>
      <c r="V1213" t="s">
        <v>260</v>
      </c>
      <c r="W1213">
        <v>1036000</v>
      </c>
      <c r="X1213">
        <v>1036000</v>
      </c>
      <c r="Y1213" t="s">
        <v>270</v>
      </c>
      <c r="Z1213">
        <v>192000</v>
      </c>
      <c r="AA1213">
        <v>192000</v>
      </c>
      <c r="AB1213" t="b">
        <v>0</v>
      </c>
      <c r="AC1213">
        <v>1</v>
      </c>
    </row>
    <row r="1214" spans="17:29" x14ac:dyDescent="0.2">
      <c r="Q1214" t="s">
        <v>2040</v>
      </c>
      <c r="R1214" t="s">
        <v>2461</v>
      </c>
      <c r="S1214" t="s">
        <v>257</v>
      </c>
      <c r="T1214" s="1">
        <v>44013</v>
      </c>
      <c r="U1214" s="1">
        <v>44013</v>
      </c>
      <c r="V1214" t="s">
        <v>260</v>
      </c>
      <c r="W1214">
        <v>1902000</v>
      </c>
      <c r="X1214">
        <v>1902000</v>
      </c>
      <c r="Y1214" t="s">
        <v>270</v>
      </c>
      <c r="Z1214">
        <v>350000</v>
      </c>
      <c r="AA1214">
        <v>350000</v>
      </c>
      <c r="AB1214" t="b">
        <v>0</v>
      </c>
      <c r="AC1214">
        <v>1</v>
      </c>
    </row>
    <row r="1215" spans="17:29" x14ac:dyDescent="0.2">
      <c r="Q1215" t="s">
        <v>2117</v>
      </c>
      <c r="R1215" t="s">
        <v>2461</v>
      </c>
      <c r="S1215" t="s">
        <v>257</v>
      </c>
      <c r="T1215" s="1">
        <v>44197</v>
      </c>
      <c r="U1215" s="1">
        <v>44197</v>
      </c>
      <c r="V1215" t="s">
        <v>260</v>
      </c>
      <c r="W1215">
        <v>1036000</v>
      </c>
      <c r="X1215">
        <v>1036000</v>
      </c>
      <c r="Y1215" t="s">
        <v>270</v>
      </c>
      <c r="Z1215">
        <v>192000</v>
      </c>
      <c r="AA1215">
        <v>192000</v>
      </c>
      <c r="AB1215" t="b">
        <v>0</v>
      </c>
      <c r="AC1215">
        <v>1</v>
      </c>
    </row>
    <row r="1216" spans="17:29" x14ac:dyDescent="0.2">
      <c r="Q1216" t="s">
        <v>2117</v>
      </c>
      <c r="R1216" t="s">
        <v>2461</v>
      </c>
      <c r="S1216" t="s">
        <v>257</v>
      </c>
      <c r="T1216" s="1">
        <v>44013</v>
      </c>
      <c r="U1216" s="1">
        <v>44013</v>
      </c>
      <c r="V1216" t="s">
        <v>260</v>
      </c>
      <c r="W1216">
        <v>1902000</v>
      </c>
      <c r="X1216">
        <v>1902000</v>
      </c>
      <c r="Y1216" t="s">
        <v>270</v>
      </c>
      <c r="Z1216">
        <v>350000</v>
      </c>
      <c r="AA1216">
        <v>350000</v>
      </c>
      <c r="AB1216" t="b">
        <v>0</v>
      </c>
      <c r="AC1216">
        <v>1</v>
      </c>
    </row>
    <row r="1217" spans="17:29" x14ac:dyDescent="0.2">
      <c r="Q1217" t="s">
        <v>2040</v>
      </c>
      <c r="R1217" t="s">
        <v>2462</v>
      </c>
      <c r="S1217" t="s">
        <v>257</v>
      </c>
      <c r="T1217" s="1">
        <v>44197</v>
      </c>
      <c r="U1217" s="1">
        <v>44197</v>
      </c>
      <c r="V1217" t="s">
        <v>260</v>
      </c>
      <c r="W1217">
        <v>16000</v>
      </c>
      <c r="X1217">
        <v>16000</v>
      </c>
      <c r="Y1217" t="s">
        <v>270</v>
      </c>
      <c r="Z1217">
        <v>3000</v>
      </c>
      <c r="AA1217">
        <v>3000</v>
      </c>
      <c r="AB1217" t="b">
        <v>0</v>
      </c>
      <c r="AC1217">
        <v>1</v>
      </c>
    </row>
    <row r="1218" spans="17:29" x14ac:dyDescent="0.2">
      <c r="Q1218" t="s">
        <v>2036</v>
      </c>
      <c r="R1218" t="s">
        <v>2462</v>
      </c>
      <c r="S1218" t="s">
        <v>257</v>
      </c>
      <c r="T1218" s="1">
        <v>44197</v>
      </c>
      <c r="U1218" s="1">
        <v>44197</v>
      </c>
      <c r="V1218" t="s">
        <v>260</v>
      </c>
      <c r="W1218">
        <v>16000</v>
      </c>
      <c r="X1218">
        <v>16000</v>
      </c>
      <c r="Y1218" t="s">
        <v>270</v>
      </c>
      <c r="Z1218">
        <v>3000</v>
      </c>
      <c r="AA1218">
        <v>3000</v>
      </c>
      <c r="AB1218" t="b">
        <v>0</v>
      </c>
      <c r="AC1218">
        <v>1</v>
      </c>
    </row>
    <row r="1219" spans="17:29" x14ac:dyDescent="0.2">
      <c r="Q1219" t="s">
        <v>2208</v>
      </c>
      <c r="R1219" t="s">
        <v>2463</v>
      </c>
      <c r="S1219" t="s">
        <v>257</v>
      </c>
      <c r="T1219" s="1">
        <v>44013</v>
      </c>
      <c r="U1219" s="1">
        <v>44013</v>
      </c>
      <c r="V1219" t="s">
        <v>260</v>
      </c>
      <c r="W1219">
        <v>154000</v>
      </c>
      <c r="X1219">
        <v>154000</v>
      </c>
      <c r="Y1219" t="s">
        <v>270</v>
      </c>
      <c r="Z1219">
        <v>28000</v>
      </c>
      <c r="AA1219">
        <v>28000</v>
      </c>
      <c r="AB1219" t="b">
        <v>0</v>
      </c>
      <c r="AC1219">
        <v>1</v>
      </c>
    </row>
    <row r="1220" spans="17:29" x14ac:dyDescent="0.2">
      <c r="Q1220" t="s">
        <v>2208</v>
      </c>
      <c r="R1220" t="s">
        <v>2463</v>
      </c>
      <c r="S1220" t="s">
        <v>257</v>
      </c>
      <c r="T1220" s="1">
        <v>43831</v>
      </c>
      <c r="U1220" s="1">
        <v>43831</v>
      </c>
      <c r="V1220" t="s">
        <v>260</v>
      </c>
      <c r="W1220">
        <v>18000</v>
      </c>
      <c r="X1220">
        <v>18000</v>
      </c>
      <c r="Y1220" t="s">
        <v>270</v>
      </c>
      <c r="Z1220">
        <v>4000</v>
      </c>
      <c r="AA1220">
        <v>4000</v>
      </c>
      <c r="AB1220" t="b">
        <v>0</v>
      </c>
      <c r="AC1220">
        <v>1</v>
      </c>
    </row>
    <row r="1221" spans="17:29" x14ac:dyDescent="0.2">
      <c r="Q1221" t="s">
        <v>2208</v>
      </c>
      <c r="R1221" t="s">
        <v>2463</v>
      </c>
      <c r="S1221" t="s">
        <v>257</v>
      </c>
      <c r="T1221" s="1">
        <v>43647</v>
      </c>
      <c r="U1221" s="1">
        <v>43647</v>
      </c>
      <c r="V1221" t="s">
        <v>260</v>
      </c>
      <c r="W1221">
        <v>107000</v>
      </c>
      <c r="X1221">
        <v>107000</v>
      </c>
      <c r="Y1221" t="s">
        <v>270</v>
      </c>
      <c r="Z1221">
        <v>26000</v>
      </c>
      <c r="AA1221">
        <v>26000</v>
      </c>
      <c r="AB1221" t="b">
        <v>0</v>
      </c>
      <c r="AC1221">
        <v>1</v>
      </c>
    </row>
    <row r="1222" spans="17:29" x14ac:dyDescent="0.2">
      <c r="Q1222" t="s">
        <v>2210</v>
      </c>
      <c r="R1222" t="s">
        <v>2463</v>
      </c>
      <c r="S1222" t="s">
        <v>257</v>
      </c>
      <c r="T1222" s="1">
        <v>44013</v>
      </c>
      <c r="U1222" s="1">
        <v>44013</v>
      </c>
      <c r="V1222" t="s">
        <v>260</v>
      </c>
      <c r="W1222">
        <v>154000</v>
      </c>
      <c r="X1222">
        <v>154000</v>
      </c>
      <c r="Y1222" t="s">
        <v>270</v>
      </c>
      <c r="Z1222">
        <v>28000</v>
      </c>
      <c r="AA1222">
        <v>28000</v>
      </c>
      <c r="AB1222" t="b">
        <v>0</v>
      </c>
      <c r="AC1222">
        <v>1</v>
      </c>
    </row>
    <row r="1223" spans="17:29" x14ac:dyDescent="0.2">
      <c r="Q1223" t="s">
        <v>2210</v>
      </c>
      <c r="R1223" t="s">
        <v>2463</v>
      </c>
      <c r="S1223" t="s">
        <v>257</v>
      </c>
      <c r="T1223" s="1">
        <v>43831</v>
      </c>
      <c r="U1223" s="1">
        <v>43831</v>
      </c>
      <c r="V1223" t="s">
        <v>260</v>
      </c>
      <c r="W1223">
        <v>18000</v>
      </c>
      <c r="X1223">
        <v>18000</v>
      </c>
      <c r="Y1223" t="s">
        <v>270</v>
      </c>
      <c r="Z1223">
        <v>4000</v>
      </c>
      <c r="AA1223">
        <v>4000</v>
      </c>
      <c r="AB1223" t="b">
        <v>0</v>
      </c>
      <c r="AC1223">
        <v>1</v>
      </c>
    </row>
    <row r="1224" spans="17:29" x14ac:dyDescent="0.2">
      <c r="Q1224" t="s">
        <v>2210</v>
      </c>
      <c r="R1224" t="s">
        <v>2463</v>
      </c>
      <c r="S1224" t="s">
        <v>257</v>
      </c>
      <c r="T1224" s="1">
        <v>43647</v>
      </c>
      <c r="U1224" s="1">
        <v>43647</v>
      </c>
      <c r="V1224" t="s">
        <v>260</v>
      </c>
      <c r="W1224">
        <v>107000</v>
      </c>
      <c r="X1224">
        <v>107000</v>
      </c>
      <c r="Y1224" t="s">
        <v>270</v>
      </c>
      <c r="Z1224">
        <v>26000</v>
      </c>
      <c r="AA1224">
        <v>26000</v>
      </c>
      <c r="AB1224" t="b">
        <v>0</v>
      </c>
      <c r="AC1224">
        <v>1</v>
      </c>
    </row>
    <row r="1225" spans="17:29" x14ac:dyDescent="0.2">
      <c r="Q1225" t="s">
        <v>1998</v>
      </c>
      <c r="R1225" t="s">
        <v>2464</v>
      </c>
      <c r="S1225" t="s">
        <v>269</v>
      </c>
      <c r="T1225" s="1">
        <v>43602</v>
      </c>
      <c r="U1225" s="1">
        <v>43830</v>
      </c>
      <c r="V1225" t="s">
        <v>270</v>
      </c>
      <c r="W1225">
        <v>798491</v>
      </c>
      <c r="X1225">
        <v>798491</v>
      </c>
      <c r="Y1225" t="s">
        <v>290</v>
      </c>
      <c r="Z1225">
        <v>29</v>
      </c>
      <c r="AA1225">
        <v>798491</v>
      </c>
      <c r="AB1225" t="b">
        <v>0</v>
      </c>
      <c r="AC1225">
        <v>1</v>
      </c>
    </row>
    <row r="1226" spans="17:29" x14ac:dyDescent="0.2">
      <c r="Q1226" t="s">
        <v>1998</v>
      </c>
      <c r="R1226" t="s">
        <v>2464</v>
      </c>
      <c r="S1226" t="s">
        <v>269</v>
      </c>
      <c r="T1226" s="1">
        <v>43602</v>
      </c>
      <c r="U1226" s="1">
        <v>44196</v>
      </c>
      <c r="V1226" t="s">
        <v>270</v>
      </c>
      <c r="W1226">
        <v>149528</v>
      </c>
      <c r="X1226">
        <v>149528</v>
      </c>
      <c r="Y1226" t="s">
        <v>290</v>
      </c>
      <c r="Z1226">
        <v>5</v>
      </c>
      <c r="AA1226">
        <v>149528</v>
      </c>
      <c r="AB1226" t="b">
        <v>0</v>
      </c>
      <c r="AC1226">
        <v>1</v>
      </c>
    </row>
    <row r="1227" spans="17:29" x14ac:dyDescent="0.2">
      <c r="Q1227" t="s">
        <v>2067</v>
      </c>
      <c r="R1227" t="s">
        <v>2464</v>
      </c>
      <c r="S1227" t="s">
        <v>269</v>
      </c>
      <c r="T1227" s="1">
        <v>43602</v>
      </c>
      <c r="U1227" s="1">
        <v>43830</v>
      </c>
      <c r="V1227" t="s">
        <v>270</v>
      </c>
      <c r="W1227">
        <v>798491</v>
      </c>
      <c r="X1227">
        <v>798491</v>
      </c>
      <c r="Y1227" t="s">
        <v>290</v>
      </c>
      <c r="Z1227">
        <v>29</v>
      </c>
      <c r="AA1227">
        <v>798491</v>
      </c>
      <c r="AB1227" t="b">
        <v>0</v>
      </c>
      <c r="AC1227">
        <v>1</v>
      </c>
    </row>
    <row r="1228" spans="17:29" x14ac:dyDescent="0.2">
      <c r="Q1228" t="s">
        <v>2067</v>
      </c>
      <c r="R1228" t="s">
        <v>2464</v>
      </c>
      <c r="S1228" t="s">
        <v>269</v>
      </c>
      <c r="T1228" s="1">
        <v>43602</v>
      </c>
      <c r="U1228" s="1">
        <v>44196</v>
      </c>
      <c r="V1228" t="s">
        <v>270</v>
      </c>
      <c r="W1228">
        <v>149528</v>
      </c>
      <c r="X1228">
        <v>149528</v>
      </c>
      <c r="Y1228" t="s">
        <v>290</v>
      </c>
      <c r="Z1228">
        <v>5</v>
      </c>
      <c r="AA1228">
        <v>149528</v>
      </c>
      <c r="AB1228" t="b">
        <v>0</v>
      </c>
      <c r="AC1228">
        <v>1</v>
      </c>
    </row>
    <row r="1229" spans="17:29" x14ac:dyDescent="0.2">
      <c r="Q1229" t="s">
        <v>2208</v>
      </c>
      <c r="R1229" t="s">
        <v>2465</v>
      </c>
      <c r="S1229" t="s">
        <v>287</v>
      </c>
      <c r="T1229" s="1">
        <v>43602</v>
      </c>
      <c r="U1229" s="1">
        <v>43830</v>
      </c>
      <c r="V1229" t="s">
        <v>270</v>
      </c>
      <c r="W1229">
        <v>243026</v>
      </c>
      <c r="X1229">
        <v>243026</v>
      </c>
      <c r="Y1229" t="s">
        <v>290</v>
      </c>
      <c r="Z1229">
        <v>9</v>
      </c>
      <c r="AA1229">
        <v>243026</v>
      </c>
      <c r="AB1229" t="b">
        <v>0</v>
      </c>
      <c r="AC1229">
        <v>1</v>
      </c>
    </row>
    <row r="1230" spans="17:29" x14ac:dyDescent="0.2">
      <c r="Q1230" t="s">
        <v>2208</v>
      </c>
      <c r="R1230" t="s">
        <v>2465</v>
      </c>
      <c r="S1230" t="s">
        <v>287</v>
      </c>
      <c r="T1230" s="1">
        <v>43602</v>
      </c>
      <c r="U1230" s="1">
        <v>44196</v>
      </c>
      <c r="V1230" t="s">
        <v>270</v>
      </c>
      <c r="W1230">
        <v>715507</v>
      </c>
      <c r="X1230">
        <v>715507</v>
      </c>
      <c r="Y1230" t="s">
        <v>290</v>
      </c>
      <c r="Z1230">
        <v>26</v>
      </c>
      <c r="AA1230">
        <v>715507</v>
      </c>
      <c r="AB1230" t="b">
        <v>0</v>
      </c>
      <c r="AC1230">
        <v>1</v>
      </c>
    </row>
    <row r="1231" spans="17:29" x14ac:dyDescent="0.2">
      <c r="Q1231" t="s">
        <v>2169</v>
      </c>
      <c r="R1231" t="s">
        <v>2465</v>
      </c>
      <c r="S1231" t="s">
        <v>287</v>
      </c>
      <c r="T1231" s="1">
        <v>43602</v>
      </c>
      <c r="U1231" s="1">
        <v>43830</v>
      </c>
      <c r="V1231" t="s">
        <v>270</v>
      </c>
      <c r="W1231">
        <v>243026</v>
      </c>
      <c r="X1231">
        <v>243026</v>
      </c>
      <c r="Y1231" t="s">
        <v>290</v>
      </c>
      <c r="Z1231">
        <v>9</v>
      </c>
      <c r="AA1231">
        <v>243026</v>
      </c>
      <c r="AB1231" t="b">
        <v>0</v>
      </c>
      <c r="AC1231">
        <v>1</v>
      </c>
    </row>
    <row r="1232" spans="17:29" x14ac:dyDescent="0.2">
      <c r="Q1232" t="s">
        <v>2169</v>
      </c>
      <c r="R1232" t="s">
        <v>2465</v>
      </c>
      <c r="S1232" t="s">
        <v>287</v>
      </c>
      <c r="T1232" s="1">
        <v>43602</v>
      </c>
      <c r="U1232" s="1">
        <v>44196</v>
      </c>
      <c r="V1232" t="s">
        <v>270</v>
      </c>
      <c r="W1232">
        <v>715507</v>
      </c>
      <c r="X1232">
        <v>715507</v>
      </c>
      <c r="Y1232" t="s">
        <v>290</v>
      </c>
      <c r="Z1232">
        <v>26</v>
      </c>
      <c r="AA1232">
        <v>715507</v>
      </c>
      <c r="AB1232" t="b">
        <v>0</v>
      </c>
      <c r="AC1232">
        <v>1</v>
      </c>
    </row>
    <row r="1233" spans="17:29" x14ac:dyDescent="0.2">
      <c r="Q1233" t="s">
        <v>2128</v>
      </c>
      <c r="R1233" t="s">
        <v>2466</v>
      </c>
      <c r="S1233" t="s">
        <v>257</v>
      </c>
      <c r="T1233" s="1">
        <v>43731</v>
      </c>
      <c r="U1233" s="1">
        <v>44043</v>
      </c>
      <c r="V1233" t="s">
        <v>260</v>
      </c>
      <c r="W1233">
        <v>2160100</v>
      </c>
      <c r="X1233">
        <v>2160100</v>
      </c>
      <c r="Y1233" t="s">
        <v>260</v>
      </c>
      <c r="Z1233">
        <v>2160100</v>
      </c>
      <c r="AA1233">
        <v>415404</v>
      </c>
      <c r="AB1233" t="b">
        <v>0</v>
      </c>
      <c r="AC1233">
        <v>0.68</v>
      </c>
    </row>
    <row r="1234" spans="17:29" x14ac:dyDescent="0.2">
      <c r="Q1234" t="s">
        <v>1989</v>
      </c>
      <c r="R1234" t="s">
        <v>2466</v>
      </c>
      <c r="S1234" t="s">
        <v>257</v>
      </c>
      <c r="T1234" s="1">
        <v>43731</v>
      </c>
      <c r="U1234" s="1">
        <v>44043</v>
      </c>
      <c r="V1234" t="s">
        <v>260</v>
      </c>
      <c r="W1234">
        <v>2160100</v>
      </c>
      <c r="X1234">
        <v>2160100</v>
      </c>
      <c r="Y1234" t="s">
        <v>260</v>
      </c>
      <c r="Z1234">
        <v>2160100</v>
      </c>
      <c r="AA1234">
        <v>415404</v>
      </c>
      <c r="AB1234" t="b">
        <v>0</v>
      </c>
      <c r="AC1234">
        <v>0.68</v>
      </c>
    </row>
    <row r="1235" spans="17:29" x14ac:dyDescent="0.2">
      <c r="Q1235" t="s">
        <v>2029</v>
      </c>
      <c r="R1235" t="s">
        <v>2466</v>
      </c>
      <c r="S1235" t="s">
        <v>257</v>
      </c>
      <c r="T1235" s="1">
        <v>43731</v>
      </c>
      <c r="U1235" s="1">
        <v>44043</v>
      </c>
      <c r="V1235" t="s">
        <v>260</v>
      </c>
      <c r="W1235">
        <v>2160100</v>
      </c>
      <c r="X1235">
        <v>2160100</v>
      </c>
      <c r="Y1235" t="s">
        <v>260</v>
      </c>
      <c r="Z1235">
        <v>2160100</v>
      </c>
      <c r="AA1235">
        <v>415404</v>
      </c>
      <c r="AB1235" t="b">
        <v>0</v>
      </c>
      <c r="AC1235">
        <v>0.68</v>
      </c>
    </row>
    <row r="1236" spans="17:29" x14ac:dyDescent="0.2">
      <c r="Q1236" t="s">
        <v>2029</v>
      </c>
      <c r="R1236" t="s">
        <v>2466</v>
      </c>
      <c r="S1236" t="s">
        <v>257</v>
      </c>
      <c r="T1236" s="1">
        <v>43731</v>
      </c>
      <c r="U1236" s="1">
        <v>44043</v>
      </c>
      <c r="V1236" t="s">
        <v>260</v>
      </c>
      <c r="W1236">
        <v>2160100</v>
      </c>
      <c r="X1236">
        <v>2160100</v>
      </c>
      <c r="Y1236" t="s">
        <v>260</v>
      </c>
      <c r="Z1236">
        <v>2160100</v>
      </c>
      <c r="AA1236">
        <v>415404</v>
      </c>
      <c r="AB1236" t="b">
        <v>0</v>
      </c>
      <c r="AC1236">
        <v>0.68</v>
      </c>
    </row>
    <row r="1237" spans="17:29" x14ac:dyDescent="0.2">
      <c r="Q1237" t="s">
        <v>2128</v>
      </c>
      <c r="R1237" t="s">
        <v>2467</v>
      </c>
      <c r="S1237" t="s">
        <v>257</v>
      </c>
      <c r="T1237" s="1">
        <v>43731</v>
      </c>
      <c r="U1237" s="1">
        <v>44043</v>
      </c>
      <c r="V1237" t="s">
        <v>260</v>
      </c>
      <c r="W1237">
        <v>8966833</v>
      </c>
      <c r="X1237">
        <v>8966833</v>
      </c>
      <c r="Y1237" t="s">
        <v>260</v>
      </c>
      <c r="Z1237">
        <v>8966833</v>
      </c>
      <c r="AA1237">
        <v>1724390</v>
      </c>
      <c r="AB1237" t="b">
        <v>0</v>
      </c>
      <c r="AC1237">
        <v>0.68</v>
      </c>
    </row>
    <row r="1238" spans="17:29" x14ac:dyDescent="0.2">
      <c r="Q1238" t="s">
        <v>1989</v>
      </c>
      <c r="R1238" t="s">
        <v>2467</v>
      </c>
      <c r="S1238" t="s">
        <v>257</v>
      </c>
      <c r="T1238" s="1">
        <v>43731</v>
      </c>
      <c r="U1238" s="1">
        <v>44043</v>
      </c>
      <c r="V1238" t="s">
        <v>260</v>
      </c>
      <c r="W1238">
        <v>8966833</v>
      </c>
      <c r="X1238">
        <v>8966833</v>
      </c>
      <c r="Y1238" t="s">
        <v>260</v>
      </c>
      <c r="Z1238">
        <v>8966833</v>
      </c>
      <c r="AA1238">
        <v>1724390</v>
      </c>
      <c r="AB1238" t="b">
        <v>0</v>
      </c>
      <c r="AC1238">
        <v>0.68</v>
      </c>
    </row>
    <row r="1239" spans="17:29" x14ac:dyDescent="0.2">
      <c r="Q1239" t="s">
        <v>2029</v>
      </c>
      <c r="R1239" t="s">
        <v>2467</v>
      </c>
      <c r="S1239" t="s">
        <v>257</v>
      </c>
      <c r="T1239" s="1">
        <v>43731</v>
      </c>
      <c r="U1239" s="1">
        <v>44043</v>
      </c>
      <c r="V1239" t="s">
        <v>260</v>
      </c>
      <c r="W1239">
        <v>8966833</v>
      </c>
      <c r="X1239">
        <v>8966833</v>
      </c>
      <c r="Y1239" t="s">
        <v>260</v>
      </c>
      <c r="Z1239">
        <v>8966833</v>
      </c>
      <c r="AA1239">
        <v>1724390</v>
      </c>
      <c r="AB1239" t="b">
        <v>0</v>
      </c>
      <c r="AC1239">
        <v>0.68</v>
      </c>
    </row>
    <row r="1240" spans="17:29" x14ac:dyDescent="0.2">
      <c r="Q1240" t="s">
        <v>2029</v>
      </c>
      <c r="R1240" t="s">
        <v>2467</v>
      </c>
      <c r="S1240" t="s">
        <v>257</v>
      </c>
      <c r="T1240" s="1">
        <v>43731</v>
      </c>
      <c r="U1240" s="1">
        <v>44043</v>
      </c>
      <c r="V1240" t="s">
        <v>260</v>
      </c>
      <c r="W1240">
        <v>8966833</v>
      </c>
      <c r="X1240">
        <v>8966833</v>
      </c>
      <c r="Y1240" t="s">
        <v>260</v>
      </c>
      <c r="Z1240">
        <v>8966833</v>
      </c>
      <c r="AA1240">
        <v>1724390</v>
      </c>
      <c r="AB1240" t="b">
        <v>0</v>
      </c>
      <c r="AC1240">
        <v>0.68</v>
      </c>
    </row>
    <row r="1241" spans="17:29" x14ac:dyDescent="0.2">
      <c r="Q1241" t="s">
        <v>2128</v>
      </c>
      <c r="R1241" t="s">
        <v>2468</v>
      </c>
      <c r="S1241" t="s">
        <v>257</v>
      </c>
      <c r="T1241" s="1">
        <v>43731</v>
      </c>
      <c r="U1241" s="1">
        <v>44043</v>
      </c>
      <c r="V1241" t="s">
        <v>260</v>
      </c>
      <c r="W1241">
        <v>2348384</v>
      </c>
      <c r="X1241">
        <v>2348384</v>
      </c>
      <c r="Y1241" t="s">
        <v>260</v>
      </c>
      <c r="Z1241">
        <v>2348384</v>
      </c>
      <c r="AA1241">
        <v>451612</v>
      </c>
      <c r="AB1241" t="b">
        <v>0</v>
      </c>
      <c r="AC1241">
        <v>0.68</v>
      </c>
    </row>
    <row r="1242" spans="17:29" x14ac:dyDescent="0.2">
      <c r="Q1242" t="s">
        <v>1989</v>
      </c>
      <c r="R1242" t="s">
        <v>2468</v>
      </c>
      <c r="S1242" t="s">
        <v>257</v>
      </c>
      <c r="T1242" s="1">
        <v>43731</v>
      </c>
      <c r="U1242" s="1">
        <v>44043</v>
      </c>
      <c r="V1242" t="s">
        <v>260</v>
      </c>
      <c r="W1242">
        <v>2348384</v>
      </c>
      <c r="X1242">
        <v>2348384</v>
      </c>
      <c r="Y1242" t="s">
        <v>260</v>
      </c>
      <c r="Z1242">
        <v>2348384</v>
      </c>
      <c r="AA1242">
        <v>451612</v>
      </c>
      <c r="AB1242" t="b">
        <v>0</v>
      </c>
      <c r="AC1242">
        <v>0.68</v>
      </c>
    </row>
    <row r="1243" spans="17:29" x14ac:dyDescent="0.2">
      <c r="Q1243" t="s">
        <v>2029</v>
      </c>
      <c r="R1243" t="s">
        <v>2468</v>
      </c>
      <c r="S1243" t="s">
        <v>257</v>
      </c>
      <c r="T1243" s="1">
        <v>43731</v>
      </c>
      <c r="U1243" s="1">
        <v>44043</v>
      </c>
      <c r="V1243" t="s">
        <v>260</v>
      </c>
      <c r="W1243">
        <v>2348384</v>
      </c>
      <c r="X1243">
        <v>2348384</v>
      </c>
      <c r="Y1243" t="s">
        <v>260</v>
      </c>
      <c r="Z1243">
        <v>2348384</v>
      </c>
      <c r="AA1243">
        <v>451612</v>
      </c>
      <c r="AB1243" t="b">
        <v>0</v>
      </c>
      <c r="AC1243">
        <v>0.68</v>
      </c>
    </row>
    <row r="1244" spans="17:29" x14ac:dyDescent="0.2">
      <c r="Q1244" t="s">
        <v>2029</v>
      </c>
      <c r="R1244" t="s">
        <v>2468</v>
      </c>
      <c r="S1244" t="s">
        <v>257</v>
      </c>
      <c r="T1244" s="1">
        <v>43731</v>
      </c>
      <c r="U1244" s="1">
        <v>44043</v>
      </c>
      <c r="V1244" t="s">
        <v>260</v>
      </c>
      <c r="W1244">
        <v>2348384</v>
      </c>
      <c r="X1244">
        <v>2348384</v>
      </c>
      <c r="Y1244" t="s">
        <v>260</v>
      </c>
      <c r="Z1244">
        <v>2348384</v>
      </c>
      <c r="AA1244">
        <v>451612</v>
      </c>
      <c r="AB1244" t="b">
        <v>0</v>
      </c>
      <c r="AC1244">
        <v>0.68</v>
      </c>
    </row>
    <row r="1245" spans="17:29" x14ac:dyDescent="0.2">
      <c r="Q1245" t="s">
        <v>2128</v>
      </c>
      <c r="R1245" t="s">
        <v>2469</v>
      </c>
      <c r="S1245" t="s">
        <v>257</v>
      </c>
      <c r="T1245" s="1">
        <v>43731</v>
      </c>
      <c r="U1245" s="1">
        <v>44043</v>
      </c>
      <c r="V1245" t="s">
        <v>260</v>
      </c>
      <c r="W1245">
        <v>8206497</v>
      </c>
      <c r="X1245">
        <v>8206497</v>
      </c>
      <c r="Y1245" t="s">
        <v>260</v>
      </c>
      <c r="Z1245">
        <v>8206497</v>
      </c>
      <c r="AA1245">
        <v>1578172</v>
      </c>
      <c r="AB1245" t="b">
        <v>0</v>
      </c>
      <c r="AC1245">
        <v>0.68</v>
      </c>
    </row>
    <row r="1246" spans="17:29" x14ac:dyDescent="0.2">
      <c r="Q1246" t="s">
        <v>1989</v>
      </c>
      <c r="R1246" t="s">
        <v>2469</v>
      </c>
      <c r="S1246" t="s">
        <v>257</v>
      </c>
      <c r="T1246" s="1">
        <v>43731</v>
      </c>
      <c r="U1246" s="1">
        <v>44043</v>
      </c>
      <c r="V1246" t="s">
        <v>260</v>
      </c>
      <c r="W1246">
        <v>8206497</v>
      </c>
      <c r="X1246">
        <v>8206497</v>
      </c>
      <c r="Y1246" t="s">
        <v>260</v>
      </c>
      <c r="Z1246">
        <v>8206497</v>
      </c>
      <c r="AA1246">
        <v>1578172</v>
      </c>
      <c r="AB1246" t="b">
        <v>0</v>
      </c>
      <c r="AC1246">
        <v>0.68</v>
      </c>
    </row>
    <row r="1247" spans="17:29" x14ac:dyDescent="0.2">
      <c r="Q1247" t="s">
        <v>2029</v>
      </c>
      <c r="R1247" t="s">
        <v>2469</v>
      </c>
      <c r="S1247" t="s">
        <v>257</v>
      </c>
      <c r="T1247" s="1">
        <v>43731</v>
      </c>
      <c r="U1247" s="1">
        <v>44043</v>
      </c>
      <c r="V1247" t="s">
        <v>260</v>
      </c>
      <c r="W1247">
        <v>8206497</v>
      </c>
      <c r="X1247">
        <v>8206497</v>
      </c>
      <c r="Y1247" t="s">
        <v>260</v>
      </c>
      <c r="Z1247">
        <v>8206497</v>
      </c>
      <c r="AA1247">
        <v>1578172</v>
      </c>
      <c r="AB1247" t="b">
        <v>0</v>
      </c>
      <c r="AC1247">
        <v>0.68</v>
      </c>
    </row>
    <row r="1248" spans="17:29" x14ac:dyDescent="0.2">
      <c r="Q1248" t="s">
        <v>2029</v>
      </c>
      <c r="R1248" t="s">
        <v>2469</v>
      </c>
      <c r="S1248" t="s">
        <v>257</v>
      </c>
      <c r="T1248" s="1">
        <v>43731</v>
      </c>
      <c r="U1248" s="1">
        <v>44043</v>
      </c>
      <c r="V1248" t="s">
        <v>260</v>
      </c>
      <c r="W1248">
        <v>8206497</v>
      </c>
      <c r="X1248">
        <v>8206497</v>
      </c>
      <c r="Y1248" t="s">
        <v>260</v>
      </c>
      <c r="Z1248">
        <v>8206497</v>
      </c>
      <c r="AA1248">
        <v>1578172</v>
      </c>
      <c r="AB1248" t="b">
        <v>0</v>
      </c>
      <c r="AC1248">
        <v>0.68</v>
      </c>
    </row>
    <row r="1249" spans="17:29" x14ac:dyDescent="0.2">
      <c r="Q1249" t="s">
        <v>2128</v>
      </c>
      <c r="R1249" t="s">
        <v>2470</v>
      </c>
      <c r="S1249" t="s">
        <v>257</v>
      </c>
      <c r="T1249" s="1">
        <v>43731</v>
      </c>
      <c r="U1249" s="1">
        <v>44043</v>
      </c>
      <c r="V1249" t="s">
        <v>260</v>
      </c>
      <c r="W1249">
        <v>3566013</v>
      </c>
      <c r="X1249">
        <v>3566013</v>
      </c>
      <c r="Y1249" t="s">
        <v>260</v>
      </c>
      <c r="Z1249">
        <v>3566013</v>
      </c>
      <c r="AA1249">
        <v>685771</v>
      </c>
      <c r="AB1249" t="b">
        <v>0</v>
      </c>
      <c r="AC1249">
        <v>0.68</v>
      </c>
    </row>
    <row r="1250" spans="17:29" x14ac:dyDescent="0.2">
      <c r="Q1250" t="s">
        <v>1989</v>
      </c>
      <c r="R1250" t="s">
        <v>2470</v>
      </c>
      <c r="S1250" t="s">
        <v>257</v>
      </c>
      <c r="T1250" s="1">
        <v>43731</v>
      </c>
      <c r="U1250" s="1">
        <v>44043</v>
      </c>
      <c r="V1250" t="s">
        <v>260</v>
      </c>
      <c r="W1250">
        <v>3566013</v>
      </c>
      <c r="X1250">
        <v>3566013</v>
      </c>
      <c r="Y1250" t="s">
        <v>260</v>
      </c>
      <c r="Z1250">
        <v>3566013</v>
      </c>
      <c r="AA1250">
        <v>685771</v>
      </c>
      <c r="AB1250" t="b">
        <v>0</v>
      </c>
      <c r="AC1250">
        <v>0.68</v>
      </c>
    </row>
    <row r="1251" spans="17:29" x14ac:dyDescent="0.2">
      <c r="Q1251" t="s">
        <v>2029</v>
      </c>
      <c r="R1251" t="s">
        <v>2470</v>
      </c>
      <c r="S1251" t="s">
        <v>257</v>
      </c>
      <c r="T1251" s="1">
        <v>43731</v>
      </c>
      <c r="U1251" s="1">
        <v>44043</v>
      </c>
      <c r="V1251" t="s">
        <v>260</v>
      </c>
      <c r="W1251">
        <v>3566013</v>
      </c>
      <c r="X1251">
        <v>3566013</v>
      </c>
      <c r="Y1251" t="s">
        <v>260</v>
      </c>
      <c r="Z1251">
        <v>3566013</v>
      </c>
      <c r="AA1251">
        <v>685771</v>
      </c>
      <c r="AB1251" t="b">
        <v>0</v>
      </c>
      <c r="AC1251">
        <v>0.68</v>
      </c>
    </row>
    <row r="1252" spans="17:29" x14ac:dyDescent="0.2">
      <c r="Q1252" t="s">
        <v>2029</v>
      </c>
      <c r="R1252" t="s">
        <v>2470</v>
      </c>
      <c r="S1252" t="s">
        <v>257</v>
      </c>
      <c r="T1252" s="1">
        <v>43731</v>
      </c>
      <c r="U1252" s="1">
        <v>44043</v>
      </c>
      <c r="V1252" t="s">
        <v>260</v>
      </c>
      <c r="W1252">
        <v>3566013</v>
      </c>
      <c r="X1252">
        <v>3566013</v>
      </c>
      <c r="Y1252" t="s">
        <v>260</v>
      </c>
      <c r="Z1252">
        <v>3566013</v>
      </c>
      <c r="AA1252">
        <v>685771</v>
      </c>
      <c r="AB1252" t="b">
        <v>0</v>
      </c>
      <c r="AC1252">
        <v>0.68</v>
      </c>
    </row>
    <row r="1253" spans="17:29" x14ac:dyDescent="0.2">
      <c r="Q1253" t="s">
        <v>2082</v>
      </c>
      <c r="R1253" t="s">
        <v>2471</v>
      </c>
      <c r="S1253" t="s">
        <v>287</v>
      </c>
      <c r="T1253" s="1">
        <v>42829</v>
      </c>
      <c r="U1253" s="1">
        <v>43465</v>
      </c>
      <c r="V1253" t="s">
        <v>270</v>
      </c>
      <c r="W1253">
        <v>223764</v>
      </c>
      <c r="X1253">
        <v>223764</v>
      </c>
      <c r="Y1253" t="s">
        <v>270</v>
      </c>
      <c r="Z1253">
        <v>223764</v>
      </c>
      <c r="AA1253">
        <v>223764</v>
      </c>
      <c r="AB1253" t="b">
        <v>0</v>
      </c>
      <c r="AC1253">
        <v>1</v>
      </c>
    </row>
    <row r="1254" spans="17:29" x14ac:dyDescent="0.2">
      <c r="Q1254" t="s">
        <v>2082</v>
      </c>
      <c r="R1254" t="s">
        <v>2471</v>
      </c>
      <c r="S1254" t="s">
        <v>287</v>
      </c>
      <c r="T1254" s="1">
        <v>42829</v>
      </c>
      <c r="U1254" s="1">
        <v>42735</v>
      </c>
      <c r="V1254" t="s">
        <v>270</v>
      </c>
      <c r="W1254">
        <v>221222</v>
      </c>
      <c r="X1254">
        <v>221222</v>
      </c>
      <c r="Y1254" t="s">
        <v>270</v>
      </c>
      <c r="Z1254">
        <v>221222</v>
      </c>
      <c r="AA1254">
        <v>221222</v>
      </c>
      <c r="AB1254" t="b">
        <v>0</v>
      </c>
      <c r="AC1254">
        <v>1</v>
      </c>
    </row>
    <row r="1255" spans="17:29" x14ac:dyDescent="0.2">
      <c r="Q1255" t="s">
        <v>2208</v>
      </c>
      <c r="R1255" t="s">
        <v>2471</v>
      </c>
      <c r="S1255" t="s">
        <v>287</v>
      </c>
      <c r="T1255" s="1">
        <v>42829</v>
      </c>
      <c r="U1255" s="1">
        <v>43465</v>
      </c>
      <c r="V1255" t="s">
        <v>270</v>
      </c>
      <c r="W1255">
        <v>223764</v>
      </c>
      <c r="X1255">
        <v>223764</v>
      </c>
      <c r="Y1255" t="s">
        <v>270</v>
      </c>
      <c r="Z1255">
        <v>223764</v>
      </c>
      <c r="AA1255">
        <v>223764</v>
      </c>
      <c r="AB1255" t="b">
        <v>0</v>
      </c>
      <c r="AC1255">
        <v>1</v>
      </c>
    </row>
    <row r="1256" spans="17:29" x14ac:dyDescent="0.2">
      <c r="Q1256" t="s">
        <v>2208</v>
      </c>
      <c r="R1256" t="s">
        <v>2471</v>
      </c>
      <c r="S1256" t="s">
        <v>287</v>
      </c>
      <c r="T1256" s="1">
        <v>42829</v>
      </c>
      <c r="U1256" s="1">
        <v>42735</v>
      </c>
      <c r="V1256" t="s">
        <v>270</v>
      </c>
      <c r="W1256">
        <v>221222</v>
      </c>
      <c r="X1256">
        <v>221222</v>
      </c>
      <c r="Y1256" t="s">
        <v>270</v>
      </c>
      <c r="Z1256">
        <v>221222</v>
      </c>
      <c r="AA1256">
        <v>221222</v>
      </c>
      <c r="AB1256" t="b">
        <v>0</v>
      </c>
      <c r="AC1256">
        <v>1</v>
      </c>
    </row>
    <row r="1257" spans="17:29" x14ac:dyDescent="0.2">
      <c r="Q1257" t="s">
        <v>2029</v>
      </c>
      <c r="R1257" t="s">
        <v>2471</v>
      </c>
      <c r="S1257" t="s">
        <v>287</v>
      </c>
      <c r="T1257" s="1">
        <v>42829</v>
      </c>
      <c r="U1257" s="1">
        <v>43465</v>
      </c>
      <c r="V1257" t="s">
        <v>270</v>
      </c>
      <c r="W1257">
        <v>223764</v>
      </c>
      <c r="X1257">
        <v>223764</v>
      </c>
      <c r="Y1257" t="s">
        <v>270</v>
      </c>
      <c r="Z1257">
        <v>223764</v>
      </c>
      <c r="AA1257">
        <v>223764</v>
      </c>
      <c r="AB1257" t="b">
        <v>0</v>
      </c>
      <c r="AC1257">
        <v>1</v>
      </c>
    </row>
    <row r="1258" spans="17:29" x14ac:dyDescent="0.2">
      <c r="Q1258" t="s">
        <v>2029</v>
      </c>
      <c r="R1258" t="s">
        <v>2471</v>
      </c>
      <c r="S1258" t="s">
        <v>287</v>
      </c>
      <c r="T1258" s="1">
        <v>42829</v>
      </c>
      <c r="U1258" s="1">
        <v>42735</v>
      </c>
      <c r="V1258" t="s">
        <v>270</v>
      </c>
      <c r="W1258">
        <v>221222</v>
      </c>
      <c r="X1258">
        <v>221222</v>
      </c>
      <c r="Y1258" t="s">
        <v>270</v>
      </c>
      <c r="Z1258">
        <v>221222</v>
      </c>
      <c r="AA1258">
        <v>221222</v>
      </c>
      <c r="AB1258" t="b">
        <v>0</v>
      </c>
      <c r="AC1258">
        <v>1</v>
      </c>
    </row>
    <row r="1259" spans="17:29" x14ac:dyDescent="0.2">
      <c r="Q1259" t="s">
        <v>2029</v>
      </c>
      <c r="R1259" t="s">
        <v>2471</v>
      </c>
      <c r="S1259" t="s">
        <v>287</v>
      </c>
      <c r="T1259" s="1">
        <v>42829</v>
      </c>
      <c r="U1259" s="1">
        <v>43465</v>
      </c>
      <c r="V1259" t="s">
        <v>270</v>
      </c>
      <c r="W1259">
        <v>223764</v>
      </c>
      <c r="X1259">
        <v>223764</v>
      </c>
      <c r="Y1259" t="s">
        <v>270</v>
      </c>
      <c r="Z1259">
        <v>223764</v>
      </c>
      <c r="AA1259">
        <v>223764</v>
      </c>
      <c r="AB1259" t="b">
        <v>0</v>
      </c>
      <c r="AC1259">
        <v>1</v>
      </c>
    </row>
    <row r="1260" spans="17:29" x14ac:dyDescent="0.2">
      <c r="Q1260" t="s">
        <v>2029</v>
      </c>
      <c r="R1260" t="s">
        <v>2471</v>
      </c>
      <c r="S1260" t="s">
        <v>287</v>
      </c>
      <c r="T1260" s="1">
        <v>42829</v>
      </c>
      <c r="U1260" s="1">
        <v>42735</v>
      </c>
      <c r="V1260" t="s">
        <v>270</v>
      </c>
      <c r="W1260">
        <v>221222</v>
      </c>
      <c r="X1260">
        <v>221222</v>
      </c>
      <c r="Y1260" t="s">
        <v>270</v>
      </c>
      <c r="Z1260">
        <v>221222</v>
      </c>
      <c r="AA1260">
        <v>221222</v>
      </c>
      <c r="AB1260" t="b">
        <v>0</v>
      </c>
      <c r="AC1260">
        <v>1</v>
      </c>
    </row>
    <row r="1261" spans="17:29" x14ac:dyDescent="0.2">
      <c r="Q1261" t="s">
        <v>1998</v>
      </c>
      <c r="R1261" t="s">
        <v>2472</v>
      </c>
      <c r="S1261" t="s">
        <v>287</v>
      </c>
      <c r="T1261" s="1">
        <v>42829</v>
      </c>
      <c r="U1261" s="1">
        <v>43465</v>
      </c>
      <c r="V1261" t="s">
        <v>270</v>
      </c>
      <c r="W1261">
        <v>2598713</v>
      </c>
      <c r="X1261">
        <v>2598713</v>
      </c>
      <c r="Y1261" t="s">
        <v>270</v>
      </c>
      <c r="Z1261">
        <v>2598713</v>
      </c>
      <c r="AA1261">
        <v>2598713</v>
      </c>
      <c r="AB1261" t="b">
        <v>0</v>
      </c>
      <c r="AC1261">
        <v>1</v>
      </c>
    </row>
    <row r="1262" spans="17:29" x14ac:dyDescent="0.2">
      <c r="Q1262" t="s">
        <v>1998</v>
      </c>
      <c r="R1262" t="s">
        <v>2472</v>
      </c>
      <c r="S1262" t="s">
        <v>287</v>
      </c>
      <c r="T1262" s="1">
        <v>42829</v>
      </c>
      <c r="U1262" s="1">
        <v>42735</v>
      </c>
      <c r="V1262" t="s">
        <v>270</v>
      </c>
      <c r="W1262">
        <v>511545</v>
      </c>
      <c r="X1262">
        <v>511545</v>
      </c>
      <c r="Y1262" t="s">
        <v>270</v>
      </c>
      <c r="Z1262">
        <v>511545</v>
      </c>
      <c r="AA1262">
        <v>511545</v>
      </c>
      <c r="AB1262" t="b">
        <v>0</v>
      </c>
      <c r="AC1262">
        <v>1</v>
      </c>
    </row>
    <row r="1263" spans="17:29" x14ac:dyDescent="0.2">
      <c r="Q1263" t="s">
        <v>2067</v>
      </c>
      <c r="R1263" t="s">
        <v>2472</v>
      </c>
      <c r="S1263" t="s">
        <v>287</v>
      </c>
      <c r="T1263" s="1">
        <v>42829</v>
      </c>
      <c r="U1263" s="1">
        <v>43465</v>
      </c>
      <c r="V1263" t="s">
        <v>270</v>
      </c>
      <c r="W1263">
        <v>2598713</v>
      </c>
      <c r="X1263">
        <v>2598713</v>
      </c>
      <c r="Y1263" t="s">
        <v>270</v>
      </c>
      <c r="Z1263">
        <v>2598713</v>
      </c>
      <c r="AA1263">
        <v>2598713</v>
      </c>
      <c r="AB1263" t="b">
        <v>0</v>
      </c>
      <c r="AC1263">
        <v>1</v>
      </c>
    </row>
    <row r="1264" spans="17:29" x14ac:dyDescent="0.2">
      <c r="Q1264" t="s">
        <v>2067</v>
      </c>
      <c r="R1264" t="s">
        <v>2472</v>
      </c>
      <c r="S1264" t="s">
        <v>287</v>
      </c>
      <c r="T1264" s="1">
        <v>42829</v>
      </c>
      <c r="U1264" s="1">
        <v>42735</v>
      </c>
      <c r="V1264" t="s">
        <v>270</v>
      </c>
      <c r="W1264">
        <v>511545</v>
      </c>
      <c r="X1264">
        <v>511545</v>
      </c>
      <c r="Y1264" t="s">
        <v>270</v>
      </c>
      <c r="Z1264">
        <v>511545</v>
      </c>
      <c r="AA1264">
        <v>511545</v>
      </c>
      <c r="AB1264" t="b">
        <v>0</v>
      </c>
      <c r="AC1264">
        <v>1</v>
      </c>
    </row>
    <row r="1265" spans="17:29" x14ac:dyDescent="0.2">
      <c r="Q1265" t="s">
        <v>2029</v>
      </c>
      <c r="R1265" t="s">
        <v>2472</v>
      </c>
      <c r="S1265" t="s">
        <v>287</v>
      </c>
      <c r="T1265" s="1">
        <v>42829</v>
      </c>
      <c r="U1265" s="1">
        <v>43465</v>
      </c>
      <c r="V1265" t="s">
        <v>270</v>
      </c>
      <c r="W1265">
        <v>2598713</v>
      </c>
      <c r="X1265">
        <v>2598713</v>
      </c>
      <c r="Y1265" t="s">
        <v>270</v>
      </c>
      <c r="Z1265">
        <v>2598713</v>
      </c>
      <c r="AA1265">
        <v>2598713</v>
      </c>
      <c r="AB1265" t="b">
        <v>0</v>
      </c>
      <c r="AC1265">
        <v>1</v>
      </c>
    </row>
    <row r="1266" spans="17:29" x14ac:dyDescent="0.2">
      <c r="Q1266" t="s">
        <v>2029</v>
      </c>
      <c r="R1266" t="s">
        <v>2472</v>
      </c>
      <c r="S1266" t="s">
        <v>287</v>
      </c>
      <c r="T1266" s="1">
        <v>42829</v>
      </c>
      <c r="U1266" s="1">
        <v>42735</v>
      </c>
      <c r="V1266" t="s">
        <v>270</v>
      </c>
      <c r="W1266">
        <v>511545</v>
      </c>
      <c r="X1266">
        <v>511545</v>
      </c>
      <c r="Y1266" t="s">
        <v>270</v>
      </c>
      <c r="Z1266">
        <v>511545</v>
      </c>
      <c r="AA1266">
        <v>511545</v>
      </c>
      <c r="AB1266" t="b">
        <v>0</v>
      </c>
      <c r="AC1266">
        <v>1</v>
      </c>
    </row>
    <row r="1267" spans="17:29" x14ac:dyDescent="0.2">
      <c r="Q1267" t="s">
        <v>2029</v>
      </c>
      <c r="R1267" t="s">
        <v>2472</v>
      </c>
      <c r="S1267" t="s">
        <v>287</v>
      </c>
      <c r="T1267" s="1">
        <v>42829</v>
      </c>
      <c r="U1267" s="1">
        <v>43465</v>
      </c>
      <c r="V1267" t="s">
        <v>270</v>
      </c>
      <c r="W1267">
        <v>2598713</v>
      </c>
      <c r="X1267">
        <v>2598713</v>
      </c>
      <c r="Y1267" t="s">
        <v>270</v>
      </c>
      <c r="Z1267">
        <v>2598713</v>
      </c>
      <c r="AA1267">
        <v>2598713</v>
      </c>
      <c r="AB1267" t="b">
        <v>0</v>
      </c>
      <c r="AC1267">
        <v>1</v>
      </c>
    </row>
    <row r="1268" spans="17:29" x14ac:dyDescent="0.2">
      <c r="Q1268" t="s">
        <v>2029</v>
      </c>
      <c r="R1268" t="s">
        <v>2472</v>
      </c>
      <c r="S1268" t="s">
        <v>287</v>
      </c>
      <c r="T1268" s="1">
        <v>42829</v>
      </c>
      <c r="U1268" s="1">
        <v>42735</v>
      </c>
      <c r="V1268" t="s">
        <v>270</v>
      </c>
      <c r="W1268">
        <v>511545</v>
      </c>
      <c r="X1268">
        <v>511545</v>
      </c>
      <c r="Y1268" t="s">
        <v>270</v>
      </c>
      <c r="Z1268">
        <v>511545</v>
      </c>
      <c r="AA1268">
        <v>511545</v>
      </c>
      <c r="AB1268" t="b">
        <v>0</v>
      </c>
      <c r="AC1268">
        <v>1</v>
      </c>
    </row>
    <row r="1269" spans="17:29" x14ac:dyDescent="0.2">
      <c r="Q1269" t="s">
        <v>2117</v>
      </c>
      <c r="R1269" t="s">
        <v>2473</v>
      </c>
      <c r="S1269" t="s">
        <v>257</v>
      </c>
      <c r="T1269" s="1">
        <v>42829</v>
      </c>
      <c r="U1269" s="1">
        <v>43465</v>
      </c>
      <c r="V1269" t="s">
        <v>270</v>
      </c>
      <c r="W1269">
        <v>23952</v>
      </c>
      <c r="X1269">
        <v>23952</v>
      </c>
      <c r="Y1269" t="s">
        <v>270</v>
      </c>
      <c r="Z1269">
        <v>23952</v>
      </c>
      <c r="AA1269">
        <v>23952</v>
      </c>
      <c r="AB1269" t="b">
        <v>0</v>
      </c>
      <c r="AC1269">
        <v>1</v>
      </c>
    </row>
    <row r="1270" spans="17:29" x14ac:dyDescent="0.2">
      <c r="Q1270" t="s">
        <v>2117</v>
      </c>
      <c r="R1270" t="s">
        <v>2473</v>
      </c>
      <c r="S1270" t="s">
        <v>257</v>
      </c>
      <c r="T1270" s="1">
        <v>42829</v>
      </c>
      <c r="U1270" s="1">
        <v>42735</v>
      </c>
      <c r="V1270" t="s">
        <v>270</v>
      </c>
      <c r="W1270">
        <v>5627230</v>
      </c>
      <c r="X1270">
        <v>5627230</v>
      </c>
      <c r="Y1270" t="s">
        <v>270</v>
      </c>
      <c r="Z1270">
        <v>5627230</v>
      </c>
      <c r="AA1270">
        <v>5627230</v>
      </c>
      <c r="AB1270" t="b">
        <v>0</v>
      </c>
      <c r="AC1270">
        <v>1</v>
      </c>
    </row>
    <row r="1271" spans="17:29" x14ac:dyDescent="0.2">
      <c r="Q1271" t="s">
        <v>2029</v>
      </c>
      <c r="R1271" t="s">
        <v>2473</v>
      </c>
      <c r="S1271" t="s">
        <v>257</v>
      </c>
      <c r="T1271" s="1">
        <v>42829</v>
      </c>
      <c r="U1271" s="1">
        <v>43465</v>
      </c>
      <c r="V1271" t="s">
        <v>270</v>
      </c>
      <c r="W1271">
        <v>23952</v>
      </c>
      <c r="X1271">
        <v>23952</v>
      </c>
      <c r="Y1271" t="s">
        <v>270</v>
      </c>
      <c r="Z1271">
        <v>23952</v>
      </c>
      <c r="AA1271">
        <v>23952</v>
      </c>
      <c r="AB1271" t="b">
        <v>0</v>
      </c>
      <c r="AC1271">
        <v>1</v>
      </c>
    </row>
    <row r="1272" spans="17:29" x14ac:dyDescent="0.2">
      <c r="Q1272" t="s">
        <v>2029</v>
      </c>
      <c r="R1272" t="s">
        <v>2473</v>
      </c>
      <c r="S1272" t="s">
        <v>257</v>
      </c>
      <c r="T1272" s="1">
        <v>42829</v>
      </c>
      <c r="U1272" s="1">
        <v>42735</v>
      </c>
      <c r="V1272" t="s">
        <v>270</v>
      </c>
      <c r="W1272">
        <v>5627230</v>
      </c>
      <c r="X1272">
        <v>5627230</v>
      </c>
      <c r="Y1272" t="s">
        <v>270</v>
      </c>
      <c r="Z1272">
        <v>5627230</v>
      </c>
      <c r="AA1272">
        <v>5627230</v>
      </c>
      <c r="AB1272" t="b">
        <v>0</v>
      </c>
      <c r="AC1272">
        <v>1</v>
      </c>
    </row>
    <row r="1273" spans="17:29" x14ac:dyDescent="0.2">
      <c r="Q1273" t="s">
        <v>2029</v>
      </c>
      <c r="R1273" t="s">
        <v>2473</v>
      </c>
      <c r="S1273" t="s">
        <v>257</v>
      </c>
      <c r="T1273" s="1">
        <v>42829</v>
      </c>
      <c r="U1273" s="1">
        <v>43465</v>
      </c>
      <c r="V1273" t="s">
        <v>270</v>
      </c>
      <c r="W1273">
        <v>23952</v>
      </c>
      <c r="X1273">
        <v>23952</v>
      </c>
      <c r="Y1273" t="s">
        <v>270</v>
      </c>
      <c r="Z1273">
        <v>23952</v>
      </c>
      <c r="AA1273">
        <v>23952</v>
      </c>
      <c r="AB1273" t="b">
        <v>0</v>
      </c>
      <c r="AC1273">
        <v>1</v>
      </c>
    </row>
    <row r="1274" spans="17:29" x14ac:dyDescent="0.2">
      <c r="Q1274" t="s">
        <v>2029</v>
      </c>
      <c r="R1274" t="s">
        <v>2473</v>
      </c>
      <c r="S1274" t="s">
        <v>257</v>
      </c>
      <c r="T1274" s="1">
        <v>42829</v>
      </c>
      <c r="U1274" s="1">
        <v>42735</v>
      </c>
      <c r="V1274" t="s">
        <v>270</v>
      </c>
      <c r="W1274">
        <v>5627230</v>
      </c>
      <c r="X1274">
        <v>5627230</v>
      </c>
      <c r="Y1274" t="s">
        <v>270</v>
      </c>
      <c r="Z1274">
        <v>5627230</v>
      </c>
      <c r="AA1274">
        <v>5627230</v>
      </c>
      <c r="AB1274" t="b">
        <v>0</v>
      </c>
      <c r="AC1274">
        <v>1</v>
      </c>
    </row>
    <row r="1275" spans="17:29" x14ac:dyDescent="0.2">
      <c r="Q1275" t="s">
        <v>2029</v>
      </c>
      <c r="R1275" t="s">
        <v>2473</v>
      </c>
      <c r="S1275" t="s">
        <v>257</v>
      </c>
      <c r="T1275" s="1">
        <v>42829</v>
      </c>
      <c r="U1275" s="1">
        <v>43465</v>
      </c>
      <c r="V1275" t="s">
        <v>270</v>
      </c>
      <c r="W1275">
        <v>23952</v>
      </c>
      <c r="X1275">
        <v>23952</v>
      </c>
      <c r="Y1275" t="s">
        <v>270</v>
      </c>
      <c r="Z1275">
        <v>23952</v>
      </c>
      <c r="AA1275">
        <v>23952</v>
      </c>
      <c r="AB1275" t="b">
        <v>0</v>
      </c>
      <c r="AC1275">
        <v>1</v>
      </c>
    </row>
    <row r="1276" spans="17:29" x14ac:dyDescent="0.2">
      <c r="Q1276" t="s">
        <v>2029</v>
      </c>
      <c r="R1276" t="s">
        <v>2473</v>
      </c>
      <c r="S1276" t="s">
        <v>257</v>
      </c>
      <c r="T1276" s="1">
        <v>42829</v>
      </c>
      <c r="U1276" s="1">
        <v>42735</v>
      </c>
      <c r="V1276" t="s">
        <v>270</v>
      </c>
      <c r="W1276">
        <v>5627230</v>
      </c>
      <c r="X1276">
        <v>5627230</v>
      </c>
      <c r="Y1276" t="s">
        <v>270</v>
      </c>
      <c r="Z1276">
        <v>5627230</v>
      </c>
      <c r="AA1276">
        <v>5627230</v>
      </c>
      <c r="AB1276" t="b">
        <v>0</v>
      </c>
      <c r="AC1276">
        <v>1</v>
      </c>
    </row>
    <row r="1277" spans="17:29" x14ac:dyDescent="0.2">
      <c r="Q1277" t="s">
        <v>2169</v>
      </c>
      <c r="R1277" t="s">
        <v>2474</v>
      </c>
      <c r="S1277" t="s">
        <v>287</v>
      </c>
      <c r="T1277" s="1">
        <v>42829</v>
      </c>
      <c r="U1277" s="1">
        <v>43465</v>
      </c>
      <c r="V1277" t="s">
        <v>270</v>
      </c>
      <c r="W1277">
        <v>147614</v>
      </c>
      <c r="X1277">
        <v>147614</v>
      </c>
      <c r="Y1277" t="s">
        <v>270</v>
      </c>
      <c r="Z1277">
        <v>147614</v>
      </c>
      <c r="AA1277">
        <v>147614</v>
      </c>
      <c r="AB1277" t="b">
        <v>0</v>
      </c>
      <c r="AC1277">
        <v>1</v>
      </c>
    </row>
    <row r="1278" spans="17:29" x14ac:dyDescent="0.2">
      <c r="Q1278" t="s">
        <v>2169</v>
      </c>
      <c r="R1278" t="s">
        <v>2474</v>
      </c>
      <c r="S1278" t="s">
        <v>287</v>
      </c>
      <c r="T1278" s="1">
        <v>42829</v>
      </c>
      <c r="U1278" s="1">
        <v>42735</v>
      </c>
      <c r="V1278" t="s">
        <v>270</v>
      </c>
      <c r="W1278">
        <v>262209</v>
      </c>
      <c r="X1278">
        <v>262209</v>
      </c>
      <c r="Y1278" t="s">
        <v>270</v>
      </c>
      <c r="Z1278">
        <v>262209</v>
      </c>
      <c r="AA1278">
        <v>262209</v>
      </c>
      <c r="AB1278" t="b">
        <v>0</v>
      </c>
      <c r="AC1278">
        <v>1</v>
      </c>
    </row>
    <row r="1279" spans="17:29" x14ac:dyDescent="0.2">
      <c r="Q1279" t="s">
        <v>2208</v>
      </c>
      <c r="R1279" t="s">
        <v>2474</v>
      </c>
      <c r="S1279" t="s">
        <v>287</v>
      </c>
      <c r="T1279" s="1">
        <v>42829</v>
      </c>
      <c r="U1279" s="1">
        <v>43465</v>
      </c>
      <c r="V1279" t="s">
        <v>270</v>
      </c>
      <c r="W1279">
        <v>147614</v>
      </c>
      <c r="X1279">
        <v>147614</v>
      </c>
      <c r="Y1279" t="s">
        <v>270</v>
      </c>
      <c r="Z1279">
        <v>147614</v>
      </c>
      <c r="AA1279">
        <v>147614</v>
      </c>
      <c r="AB1279" t="b">
        <v>0</v>
      </c>
      <c r="AC1279">
        <v>1</v>
      </c>
    </row>
    <row r="1280" spans="17:29" x14ac:dyDescent="0.2">
      <c r="Q1280" t="s">
        <v>2208</v>
      </c>
      <c r="R1280" t="s">
        <v>2474</v>
      </c>
      <c r="S1280" t="s">
        <v>287</v>
      </c>
      <c r="T1280" s="1">
        <v>42829</v>
      </c>
      <c r="U1280" s="1">
        <v>42735</v>
      </c>
      <c r="V1280" t="s">
        <v>270</v>
      </c>
      <c r="W1280">
        <v>262209</v>
      </c>
      <c r="X1280">
        <v>262209</v>
      </c>
      <c r="Y1280" t="s">
        <v>270</v>
      </c>
      <c r="Z1280">
        <v>262209</v>
      </c>
      <c r="AA1280">
        <v>262209</v>
      </c>
      <c r="AB1280" t="b">
        <v>0</v>
      </c>
      <c r="AC1280">
        <v>1</v>
      </c>
    </row>
    <row r="1281" spans="17:29" x14ac:dyDescent="0.2">
      <c r="Q1281" t="s">
        <v>2029</v>
      </c>
      <c r="R1281" t="s">
        <v>2474</v>
      </c>
      <c r="S1281" t="s">
        <v>287</v>
      </c>
      <c r="T1281" s="1">
        <v>42829</v>
      </c>
      <c r="U1281" s="1">
        <v>43465</v>
      </c>
      <c r="V1281" t="s">
        <v>270</v>
      </c>
      <c r="W1281">
        <v>147614</v>
      </c>
      <c r="X1281">
        <v>147614</v>
      </c>
      <c r="Y1281" t="s">
        <v>270</v>
      </c>
      <c r="Z1281">
        <v>147614</v>
      </c>
      <c r="AA1281">
        <v>147614</v>
      </c>
      <c r="AB1281" t="b">
        <v>0</v>
      </c>
      <c r="AC1281">
        <v>1</v>
      </c>
    </row>
    <row r="1282" spans="17:29" x14ac:dyDescent="0.2">
      <c r="Q1282" t="s">
        <v>2029</v>
      </c>
      <c r="R1282" t="s">
        <v>2474</v>
      </c>
      <c r="S1282" t="s">
        <v>287</v>
      </c>
      <c r="T1282" s="1">
        <v>42829</v>
      </c>
      <c r="U1282" s="1">
        <v>42735</v>
      </c>
      <c r="V1282" t="s">
        <v>270</v>
      </c>
      <c r="W1282">
        <v>262209</v>
      </c>
      <c r="X1282">
        <v>262209</v>
      </c>
      <c r="Y1282" t="s">
        <v>270</v>
      </c>
      <c r="Z1282">
        <v>262209</v>
      </c>
      <c r="AA1282">
        <v>262209</v>
      </c>
      <c r="AB1282" t="b">
        <v>0</v>
      </c>
      <c r="AC1282">
        <v>1</v>
      </c>
    </row>
    <row r="1283" spans="17:29" x14ac:dyDescent="0.2">
      <c r="Q1283" t="s">
        <v>2029</v>
      </c>
      <c r="R1283" t="s">
        <v>2474</v>
      </c>
      <c r="S1283" t="s">
        <v>287</v>
      </c>
      <c r="T1283" s="1">
        <v>42829</v>
      </c>
      <c r="U1283" s="1">
        <v>43465</v>
      </c>
      <c r="V1283" t="s">
        <v>270</v>
      </c>
      <c r="W1283">
        <v>147614</v>
      </c>
      <c r="X1283">
        <v>147614</v>
      </c>
      <c r="Y1283" t="s">
        <v>270</v>
      </c>
      <c r="Z1283">
        <v>147614</v>
      </c>
      <c r="AA1283">
        <v>147614</v>
      </c>
      <c r="AB1283" t="b">
        <v>0</v>
      </c>
      <c r="AC1283">
        <v>1</v>
      </c>
    </row>
    <row r="1284" spans="17:29" x14ac:dyDescent="0.2">
      <c r="Q1284" t="s">
        <v>2029</v>
      </c>
      <c r="R1284" t="s">
        <v>2474</v>
      </c>
      <c r="S1284" t="s">
        <v>287</v>
      </c>
      <c r="T1284" s="1">
        <v>42829</v>
      </c>
      <c r="U1284" s="1">
        <v>42735</v>
      </c>
      <c r="V1284" t="s">
        <v>270</v>
      </c>
      <c r="W1284">
        <v>262209</v>
      </c>
      <c r="X1284">
        <v>262209</v>
      </c>
      <c r="Y1284" t="s">
        <v>270</v>
      </c>
      <c r="Z1284">
        <v>262209</v>
      </c>
      <c r="AA1284">
        <v>262209</v>
      </c>
      <c r="AB1284" t="b">
        <v>0</v>
      </c>
      <c r="AC1284">
        <v>1</v>
      </c>
    </row>
    <row r="1285" spans="17:29" x14ac:dyDescent="0.2">
      <c r="Q1285" t="s">
        <v>2475</v>
      </c>
      <c r="R1285" t="s">
        <v>2476</v>
      </c>
      <c r="S1285" t="s">
        <v>287</v>
      </c>
      <c r="T1285" s="1">
        <v>42829</v>
      </c>
      <c r="U1285" s="1">
        <v>43465</v>
      </c>
      <c r="V1285" t="s">
        <v>270</v>
      </c>
      <c r="W1285">
        <v>23865968</v>
      </c>
      <c r="X1285">
        <v>23865968</v>
      </c>
      <c r="Y1285" t="s">
        <v>270</v>
      </c>
      <c r="Z1285">
        <v>23865968</v>
      </c>
      <c r="AA1285">
        <v>23865968</v>
      </c>
      <c r="AB1285" t="b">
        <v>0</v>
      </c>
      <c r="AC1285">
        <v>1</v>
      </c>
    </row>
    <row r="1286" spans="17:29" x14ac:dyDescent="0.2">
      <c r="Q1286" t="s">
        <v>2475</v>
      </c>
      <c r="R1286" t="s">
        <v>2476</v>
      </c>
      <c r="S1286" t="s">
        <v>287</v>
      </c>
      <c r="T1286" s="1">
        <v>42829</v>
      </c>
      <c r="U1286" s="1">
        <v>42735</v>
      </c>
      <c r="V1286" t="s">
        <v>270</v>
      </c>
      <c r="W1286">
        <v>13526355</v>
      </c>
      <c r="X1286">
        <v>13526355</v>
      </c>
      <c r="Y1286" t="s">
        <v>270</v>
      </c>
      <c r="Z1286">
        <v>13526355</v>
      </c>
      <c r="AA1286">
        <v>13526355</v>
      </c>
      <c r="AB1286" t="b">
        <v>0</v>
      </c>
      <c r="AC1286">
        <v>1</v>
      </c>
    </row>
    <row r="1287" spans="17:29" x14ac:dyDescent="0.2">
      <c r="Q1287" t="s">
        <v>2127</v>
      </c>
      <c r="R1287" t="s">
        <v>2476</v>
      </c>
      <c r="S1287" t="s">
        <v>287</v>
      </c>
      <c r="T1287" s="1">
        <v>42829</v>
      </c>
      <c r="U1287" s="1">
        <v>43465</v>
      </c>
      <c r="V1287" t="s">
        <v>270</v>
      </c>
      <c r="W1287">
        <v>23865968</v>
      </c>
      <c r="X1287">
        <v>23865968</v>
      </c>
      <c r="Y1287" t="s">
        <v>270</v>
      </c>
      <c r="Z1287">
        <v>23865968</v>
      </c>
      <c r="AA1287">
        <v>23865968</v>
      </c>
      <c r="AB1287" t="b">
        <v>0</v>
      </c>
      <c r="AC1287">
        <v>1</v>
      </c>
    </row>
    <row r="1288" spans="17:29" x14ac:dyDescent="0.2">
      <c r="Q1288" t="s">
        <v>2127</v>
      </c>
      <c r="R1288" t="s">
        <v>2476</v>
      </c>
      <c r="S1288" t="s">
        <v>287</v>
      </c>
      <c r="T1288" s="1">
        <v>42829</v>
      </c>
      <c r="U1288" s="1">
        <v>42735</v>
      </c>
      <c r="V1288" t="s">
        <v>270</v>
      </c>
      <c r="W1288">
        <v>13526355</v>
      </c>
      <c r="X1288">
        <v>13526355</v>
      </c>
      <c r="Y1288" t="s">
        <v>270</v>
      </c>
      <c r="Z1288">
        <v>13526355</v>
      </c>
      <c r="AA1288">
        <v>13526355</v>
      </c>
      <c r="AB1288" t="b">
        <v>0</v>
      </c>
      <c r="AC1288">
        <v>1</v>
      </c>
    </row>
    <row r="1289" spans="17:29" x14ac:dyDescent="0.2">
      <c r="Q1289" t="s">
        <v>2029</v>
      </c>
      <c r="R1289" t="s">
        <v>2476</v>
      </c>
      <c r="S1289" t="s">
        <v>287</v>
      </c>
      <c r="T1289" s="1">
        <v>42829</v>
      </c>
      <c r="U1289" s="1">
        <v>43465</v>
      </c>
      <c r="V1289" t="s">
        <v>270</v>
      </c>
      <c r="W1289">
        <v>23865968</v>
      </c>
      <c r="X1289">
        <v>23865968</v>
      </c>
      <c r="Y1289" t="s">
        <v>270</v>
      </c>
      <c r="Z1289">
        <v>23865968</v>
      </c>
      <c r="AA1289">
        <v>23865968</v>
      </c>
      <c r="AB1289" t="b">
        <v>0</v>
      </c>
      <c r="AC1289">
        <v>1</v>
      </c>
    </row>
    <row r="1290" spans="17:29" x14ac:dyDescent="0.2">
      <c r="Q1290" t="s">
        <v>2029</v>
      </c>
      <c r="R1290" t="s">
        <v>2476</v>
      </c>
      <c r="S1290" t="s">
        <v>287</v>
      </c>
      <c r="T1290" s="1">
        <v>42829</v>
      </c>
      <c r="U1290" s="1">
        <v>42735</v>
      </c>
      <c r="V1290" t="s">
        <v>270</v>
      </c>
      <c r="W1290">
        <v>13526355</v>
      </c>
      <c r="X1290">
        <v>13526355</v>
      </c>
      <c r="Y1290" t="s">
        <v>270</v>
      </c>
      <c r="Z1290">
        <v>13526355</v>
      </c>
      <c r="AA1290">
        <v>13526355</v>
      </c>
      <c r="AB1290" t="b">
        <v>0</v>
      </c>
      <c r="AC1290">
        <v>1</v>
      </c>
    </row>
    <row r="1291" spans="17:29" x14ac:dyDescent="0.2">
      <c r="Q1291" t="s">
        <v>2029</v>
      </c>
      <c r="R1291" t="s">
        <v>2476</v>
      </c>
      <c r="S1291" t="s">
        <v>287</v>
      </c>
      <c r="T1291" s="1">
        <v>42829</v>
      </c>
      <c r="U1291" s="1">
        <v>43465</v>
      </c>
      <c r="V1291" t="s">
        <v>270</v>
      </c>
      <c r="W1291">
        <v>23865968</v>
      </c>
      <c r="X1291">
        <v>23865968</v>
      </c>
      <c r="Y1291" t="s">
        <v>270</v>
      </c>
      <c r="Z1291">
        <v>23865968</v>
      </c>
      <c r="AA1291">
        <v>23865968</v>
      </c>
      <c r="AB1291" t="b">
        <v>0</v>
      </c>
      <c r="AC1291">
        <v>1</v>
      </c>
    </row>
    <row r="1292" spans="17:29" x14ac:dyDescent="0.2">
      <c r="Q1292" t="s">
        <v>2029</v>
      </c>
      <c r="R1292" t="s">
        <v>2476</v>
      </c>
      <c r="S1292" t="s">
        <v>287</v>
      </c>
      <c r="T1292" s="1">
        <v>42829</v>
      </c>
      <c r="U1292" s="1">
        <v>42735</v>
      </c>
      <c r="V1292" t="s">
        <v>270</v>
      </c>
      <c r="W1292">
        <v>13526355</v>
      </c>
      <c r="X1292">
        <v>13526355</v>
      </c>
      <c r="Y1292" t="s">
        <v>270</v>
      </c>
      <c r="Z1292">
        <v>13526355</v>
      </c>
      <c r="AA1292">
        <v>13526355</v>
      </c>
      <c r="AB1292" t="b">
        <v>0</v>
      </c>
      <c r="AC1292">
        <v>1</v>
      </c>
    </row>
    <row r="1293" spans="17:29" x14ac:dyDescent="0.2">
      <c r="Q1293" t="s">
        <v>2169</v>
      </c>
      <c r="R1293" t="s">
        <v>2477</v>
      </c>
      <c r="S1293" t="s">
        <v>287</v>
      </c>
      <c r="T1293" s="1">
        <v>42829</v>
      </c>
      <c r="U1293" s="1">
        <v>43465</v>
      </c>
      <c r="V1293" t="s">
        <v>270</v>
      </c>
      <c r="W1293">
        <v>269496</v>
      </c>
      <c r="X1293">
        <v>269496</v>
      </c>
      <c r="Y1293" t="s">
        <v>270</v>
      </c>
      <c r="Z1293">
        <v>269496</v>
      </c>
      <c r="AA1293">
        <v>269496</v>
      </c>
      <c r="AB1293" t="b">
        <v>0</v>
      </c>
      <c r="AC1293">
        <v>1</v>
      </c>
    </row>
    <row r="1294" spans="17:29" x14ac:dyDescent="0.2">
      <c r="Q1294" t="s">
        <v>2169</v>
      </c>
      <c r="R1294" t="s">
        <v>2477</v>
      </c>
      <c r="S1294" t="s">
        <v>287</v>
      </c>
      <c r="T1294" s="1">
        <v>42829</v>
      </c>
      <c r="U1294" s="1">
        <v>42735</v>
      </c>
      <c r="V1294" t="s">
        <v>270</v>
      </c>
      <c r="W1294">
        <v>1058735</v>
      </c>
      <c r="X1294">
        <v>1058735</v>
      </c>
      <c r="Y1294" t="s">
        <v>270</v>
      </c>
      <c r="Z1294">
        <v>1058735</v>
      </c>
      <c r="AA1294">
        <v>1058735</v>
      </c>
      <c r="AB1294" t="b">
        <v>0</v>
      </c>
      <c r="AC1294">
        <v>1</v>
      </c>
    </row>
    <row r="1295" spans="17:29" x14ac:dyDescent="0.2">
      <c r="Q1295" t="s">
        <v>2208</v>
      </c>
      <c r="R1295" t="s">
        <v>2477</v>
      </c>
      <c r="S1295" t="s">
        <v>287</v>
      </c>
      <c r="T1295" s="1">
        <v>42829</v>
      </c>
      <c r="U1295" s="1">
        <v>43465</v>
      </c>
      <c r="V1295" t="s">
        <v>270</v>
      </c>
      <c r="W1295">
        <v>269496</v>
      </c>
      <c r="X1295">
        <v>269496</v>
      </c>
      <c r="Y1295" t="s">
        <v>270</v>
      </c>
      <c r="Z1295">
        <v>269496</v>
      </c>
      <c r="AA1295">
        <v>269496</v>
      </c>
      <c r="AB1295" t="b">
        <v>0</v>
      </c>
      <c r="AC1295">
        <v>1</v>
      </c>
    </row>
    <row r="1296" spans="17:29" x14ac:dyDescent="0.2">
      <c r="Q1296" t="s">
        <v>2208</v>
      </c>
      <c r="R1296" t="s">
        <v>2477</v>
      </c>
      <c r="S1296" t="s">
        <v>287</v>
      </c>
      <c r="T1296" s="1">
        <v>42829</v>
      </c>
      <c r="U1296" s="1">
        <v>42735</v>
      </c>
      <c r="V1296" t="s">
        <v>270</v>
      </c>
      <c r="W1296">
        <v>1058735</v>
      </c>
      <c r="X1296">
        <v>1058735</v>
      </c>
      <c r="Y1296" t="s">
        <v>270</v>
      </c>
      <c r="Z1296">
        <v>1058735</v>
      </c>
      <c r="AA1296">
        <v>1058735</v>
      </c>
      <c r="AB1296" t="b">
        <v>0</v>
      </c>
      <c r="AC1296">
        <v>1</v>
      </c>
    </row>
    <row r="1297" spans="17:29" x14ac:dyDescent="0.2">
      <c r="Q1297" t="s">
        <v>2029</v>
      </c>
      <c r="R1297" t="s">
        <v>2477</v>
      </c>
      <c r="S1297" t="s">
        <v>287</v>
      </c>
      <c r="T1297" s="1">
        <v>42829</v>
      </c>
      <c r="U1297" s="1">
        <v>43465</v>
      </c>
      <c r="V1297" t="s">
        <v>270</v>
      </c>
      <c r="W1297">
        <v>269496</v>
      </c>
      <c r="X1297">
        <v>269496</v>
      </c>
      <c r="Y1297" t="s">
        <v>270</v>
      </c>
      <c r="Z1297">
        <v>269496</v>
      </c>
      <c r="AA1297">
        <v>269496</v>
      </c>
      <c r="AB1297" t="b">
        <v>0</v>
      </c>
      <c r="AC1297">
        <v>1</v>
      </c>
    </row>
    <row r="1298" spans="17:29" x14ac:dyDescent="0.2">
      <c r="Q1298" t="s">
        <v>2029</v>
      </c>
      <c r="R1298" t="s">
        <v>2477</v>
      </c>
      <c r="S1298" t="s">
        <v>287</v>
      </c>
      <c r="T1298" s="1">
        <v>42829</v>
      </c>
      <c r="U1298" s="1">
        <v>42735</v>
      </c>
      <c r="V1298" t="s">
        <v>270</v>
      </c>
      <c r="W1298">
        <v>1058735</v>
      </c>
      <c r="X1298">
        <v>1058735</v>
      </c>
      <c r="Y1298" t="s">
        <v>270</v>
      </c>
      <c r="Z1298">
        <v>1058735</v>
      </c>
      <c r="AA1298">
        <v>1058735</v>
      </c>
      <c r="AB1298" t="b">
        <v>0</v>
      </c>
      <c r="AC1298">
        <v>1</v>
      </c>
    </row>
    <row r="1299" spans="17:29" x14ac:dyDescent="0.2">
      <c r="Q1299" t="s">
        <v>2029</v>
      </c>
      <c r="R1299" t="s">
        <v>2477</v>
      </c>
      <c r="S1299" t="s">
        <v>287</v>
      </c>
      <c r="T1299" s="1">
        <v>42829</v>
      </c>
      <c r="U1299" s="1">
        <v>43465</v>
      </c>
      <c r="V1299" t="s">
        <v>270</v>
      </c>
      <c r="W1299">
        <v>269496</v>
      </c>
      <c r="X1299">
        <v>269496</v>
      </c>
      <c r="Y1299" t="s">
        <v>270</v>
      </c>
      <c r="Z1299">
        <v>269496</v>
      </c>
      <c r="AA1299">
        <v>269496</v>
      </c>
      <c r="AB1299" t="b">
        <v>0</v>
      </c>
      <c r="AC1299">
        <v>1</v>
      </c>
    </row>
    <row r="1300" spans="17:29" x14ac:dyDescent="0.2">
      <c r="Q1300" t="s">
        <v>2029</v>
      </c>
      <c r="R1300" t="s">
        <v>2477</v>
      </c>
      <c r="S1300" t="s">
        <v>287</v>
      </c>
      <c r="T1300" s="1">
        <v>42829</v>
      </c>
      <c r="U1300" s="1">
        <v>42735</v>
      </c>
      <c r="V1300" t="s">
        <v>270</v>
      </c>
      <c r="W1300">
        <v>1058735</v>
      </c>
      <c r="X1300">
        <v>1058735</v>
      </c>
      <c r="Y1300" t="s">
        <v>270</v>
      </c>
      <c r="Z1300">
        <v>1058735</v>
      </c>
      <c r="AA1300">
        <v>1058735</v>
      </c>
      <c r="AB1300" t="b">
        <v>0</v>
      </c>
      <c r="AC1300">
        <v>1</v>
      </c>
    </row>
    <row r="1301" spans="17:29" x14ac:dyDescent="0.2">
      <c r="Q1301" t="s">
        <v>2087</v>
      </c>
      <c r="R1301" t="s">
        <v>2478</v>
      </c>
      <c r="S1301" t="s">
        <v>257</v>
      </c>
      <c r="T1301" s="1">
        <v>44497</v>
      </c>
      <c r="U1301" s="1">
        <v>44561</v>
      </c>
      <c r="V1301" t="s">
        <v>260</v>
      </c>
      <c r="W1301">
        <v>3248198</v>
      </c>
      <c r="X1301">
        <v>3248198</v>
      </c>
      <c r="Y1301" t="s">
        <v>260</v>
      </c>
      <c r="Z1301">
        <v>3248198</v>
      </c>
      <c r="AA1301">
        <v>578816</v>
      </c>
      <c r="AB1301" t="b">
        <v>0</v>
      </c>
      <c r="AC1301">
        <v>0.03</v>
      </c>
    </row>
    <row r="1302" spans="17:29" x14ac:dyDescent="0.2">
      <c r="Q1302" t="s">
        <v>2087</v>
      </c>
      <c r="R1302" t="s">
        <v>2478</v>
      </c>
      <c r="S1302" t="s">
        <v>257</v>
      </c>
      <c r="T1302" s="1">
        <v>44497</v>
      </c>
      <c r="U1302" s="1">
        <v>44561</v>
      </c>
      <c r="V1302" t="s">
        <v>260</v>
      </c>
      <c r="W1302">
        <v>3248198</v>
      </c>
      <c r="X1302">
        <v>3248198</v>
      </c>
      <c r="Y1302" t="s">
        <v>260</v>
      </c>
      <c r="Z1302">
        <v>3248198</v>
      </c>
      <c r="AA1302">
        <v>578816</v>
      </c>
      <c r="AB1302" t="b">
        <v>0</v>
      </c>
      <c r="AC1302">
        <v>0.03</v>
      </c>
    </row>
    <row r="1303" spans="17:29" x14ac:dyDescent="0.2">
      <c r="Q1303" t="s">
        <v>2087</v>
      </c>
      <c r="R1303" t="s">
        <v>2479</v>
      </c>
      <c r="S1303" t="s">
        <v>257</v>
      </c>
      <c r="T1303" s="1">
        <v>44497</v>
      </c>
      <c r="U1303" s="1">
        <v>44561</v>
      </c>
      <c r="V1303" t="s">
        <v>260</v>
      </c>
      <c r="W1303">
        <v>47188660</v>
      </c>
      <c r="X1303">
        <v>37750928</v>
      </c>
      <c r="Y1303" t="s">
        <v>260</v>
      </c>
      <c r="Z1303">
        <v>37750928</v>
      </c>
      <c r="AA1303">
        <v>6727062</v>
      </c>
      <c r="AB1303" t="b">
        <v>0</v>
      </c>
      <c r="AC1303">
        <v>0.2</v>
      </c>
    </row>
    <row r="1304" spans="17:29" x14ac:dyDescent="0.2">
      <c r="Q1304" t="s">
        <v>2087</v>
      </c>
      <c r="R1304" t="s">
        <v>2479</v>
      </c>
      <c r="S1304" t="s">
        <v>257</v>
      </c>
      <c r="T1304" s="1">
        <v>44497</v>
      </c>
      <c r="U1304" s="1">
        <v>44561</v>
      </c>
      <c r="V1304" t="s">
        <v>260</v>
      </c>
      <c r="W1304">
        <v>47188660</v>
      </c>
      <c r="X1304">
        <v>37750928</v>
      </c>
      <c r="Y1304" t="s">
        <v>260</v>
      </c>
      <c r="Z1304">
        <v>37750928</v>
      </c>
      <c r="AA1304">
        <v>6727062</v>
      </c>
      <c r="AB1304" t="b">
        <v>0</v>
      </c>
      <c r="AC1304">
        <v>0.2</v>
      </c>
    </row>
    <row r="1305" spans="17:29" x14ac:dyDescent="0.2">
      <c r="Q1305" t="s">
        <v>2087</v>
      </c>
      <c r="R1305" t="s">
        <v>2480</v>
      </c>
      <c r="S1305" t="s">
        <v>257</v>
      </c>
      <c r="T1305" s="1">
        <v>44497</v>
      </c>
      <c r="U1305" s="1">
        <v>44561</v>
      </c>
      <c r="V1305" t="s">
        <v>260</v>
      </c>
      <c r="W1305">
        <v>106154536</v>
      </c>
      <c r="X1305">
        <v>96600628</v>
      </c>
      <c r="Y1305" t="s">
        <v>260</v>
      </c>
      <c r="Z1305">
        <v>96600628</v>
      </c>
      <c r="AA1305">
        <v>17213840</v>
      </c>
      <c r="AB1305" t="b">
        <v>0</v>
      </c>
      <c r="AC1305">
        <v>0.21</v>
      </c>
    </row>
    <row r="1306" spans="17:29" x14ac:dyDescent="0.2">
      <c r="Q1306" t="s">
        <v>2087</v>
      </c>
      <c r="R1306" t="s">
        <v>2480</v>
      </c>
      <c r="S1306" t="s">
        <v>257</v>
      </c>
      <c r="T1306" s="1">
        <v>44497</v>
      </c>
      <c r="U1306" s="1">
        <v>44561</v>
      </c>
      <c r="V1306" t="s">
        <v>260</v>
      </c>
      <c r="W1306">
        <v>106154536</v>
      </c>
      <c r="X1306">
        <v>96600628</v>
      </c>
      <c r="Y1306" t="s">
        <v>260</v>
      </c>
      <c r="Z1306">
        <v>96600628</v>
      </c>
      <c r="AA1306">
        <v>17213840</v>
      </c>
      <c r="AB1306" t="b">
        <v>0</v>
      </c>
      <c r="AC1306">
        <v>0.21</v>
      </c>
    </row>
    <row r="1307" spans="17:29" x14ac:dyDescent="0.2">
      <c r="Q1307" t="s">
        <v>2087</v>
      </c>
      <c r="R1307" t="s">
        <v>2481</v>
      </c>
      <c r="S1307" t="s">
        <v>257</v>
      </c>
      <c r="T1307" s="1">
        <v>44497</v>
      </c>
      <c r="U1307" s="1">
        <v>44561</v>
      </c>
      <c r="V1307" t="s">
        <v>260</v>
      </c>
      <c r="W1307">
        <v>12868662</v>
      </c>
      <c r="X1307">
        <v>12868662</v>
      </c>
      <c r="Y1307" t="s">
        <v>260</v>
      </c>
      <c r="Z1307">
        <v>12868662</v>
      </c>
      <c r="AA1307">
        <v>2293143</v>
      </c>
      <c r="AB1307" t="b">
        <v>0</v>
      </c>
      <c r="AC1307">
        <v>0.1</v>
      </c>
    </row>
    <row r="1308" spans="17:29" x14ac:dyDescent="0.2">
      <c r="Q1308" t="s">
        <v>2087</v>
      </c>
      <c r="R1308" t="s">
        <v>2481</v>
      </c>
      <c r="S1308" t="s">
        <v>257</v>
      </c>
      <c r="T1308" s="1">
        <v>44497</v>
      </c>
      <c r="U1308" s="1">
        <v>44561</v>
      </c>
      <c r="V1308" t="s">
        <v>260</v>
      </c>
      <c r="W1308">
        <v>12868662</v>
      </c>
      <c r="X1308">
        <v>12868662</v>
      </c>
      <c r="Y1308" t="s">
        <v>260</v>
      </c>
      <c r="Z1308">
        <v>12868662</v>
      </c>
      <c r="AA1308">
        <v>2293143</v>
      </c>
      <c r="AB1308" t="b">
        <v>0</v>
      </c>
      <c r="AC1308">
        <v>0.1</v>
      </c>
    </row>
    <row r="1309" spans="17:29" x14ac:dyDescent="0.2">
      <c r="Q1309" t="s">
        <v>2087</v>
      </c>
      <c r="R1309" t="s">
        <v>2482</v>
      </c>
      <c r="S1309" t="s">
        <v>257</v>
      </c>
      <c r="T1309" s="1">
        <v>44497</v>
      </c>
      <c r="U1309" s="1">
        <v>44561</v>
      </c>
      <c r="V1309" t="s">
        <v>260</v>
      </c>
      <c r="W1309">
        <v>229679930</v>
      </c>
      <c r="X1309">
        <v>133214359</v>
      </c>
      <c r="Y1309" t="s">
        <v>260</v>
      </c>
      <c r="Z1309">
        <v>133214359</v>
      </c>
      <c r="AA1309">
        <v>23738259</v>
      </c>
      <c r="AB1309" t="b">
        <v>0</v>
      </c>
      <c r="AC1309">
        <v>0.36</v>
      </c>
    </row>
    <row r="1310" spans="17:29" x14ac:dyDescent="0.2">
      <c r="Q1310" t="s">
        <v>2087</v>
      </c>
      <c r="R1310" t="s">
        <v>2482</v>
      </c>
      <c r="S1310" t="s">
        <v>257</v>
      </c>
      <c r="T1310" s="1">
        <v>44497</v>
      </c>
      <c r="U1310" s="1">
        <v>44561</v>
      </c>
      <c r="V1310" t="s">
        <v>260</v>
      </c>
      <c r="W1310">
        <v>229679930</v>
      </c>
      <c r="X1310">
        <v>133214359</v>
      </c>
      <c r="Y1310" t="s">
        <v>260</v>
      </c>
      <c r="Z1310">
        <v>133214359</v>
      </c>
      <c r="AA1310">
        <v>23738259</v>
      </c>
      <c r="AB1310" t="b">
        <v>0</v>
      </c>
      <c r="AC1310">
        <v>0.36</v>
      </c>
    </row>
    <row r="1311" spans="17:29" x14ac:dyDescent="0.2">
      <c r="Q1311" t="s">
        <v>2087</v>
      </c>
      <c r="R1311" t="s">
        <v>2483</v>
      </c>
      <c r="S1311" t="s">
        <v>257</v>
      </c>
      <c r="T1311" s="1">
        <v>44497</v>
      </c>
      <c r="U1311" s="1">
        <v>44561</v>
      </c>
      <c r="V1311" t="s">
        <v>260</v>
      </c>
      <c r="W1311">
        <v>74163838</v>
      </c>
      <c r="X1311">
        <v>74163838</v>
      </c>
      <c r="Y1311" t="s">
        <v>260</v>
      </c>
      <c r="Z1311">
        <v>74163838</v>
      </c>
      <c r="AA1311">
        <v>13215695</v>
      </c>
      <c r="AB1311" t="b">
        <v>0</v>
      </c>
      <c r="AC1311">
        <v>0.22</v>
      </c>
    </row>
    <row r="1312" spans="17:29" x14ac:dyDescent="0.2">
      <c r="Q1312" t="s">
        <v>2087</v>
      </c>
      <c r="R1312" t="s">
        <v>2483</v>
      </c>
      <c r="S1312" t="s">
        <v>257</v>
      </c>
      <c r="T1312" s="1">
        <v>44497</v>
      </c>
      <c r="U1312" s="1">
        <v>44561</v>
      </c>
      <c r="V1312" t="s">
        <v>260</v>
      </c>
      <c r="W1312">
        <v>74163838</v>
      </c>
      <c r="X1312">
        <v>74163838</v>
      </c>
      <c r="Y1312" t="s">
        <v>260</v>
      </c>
      <c r="Z1312">
        <v>74163838</v>
      </c>
      <c r="AA1312">
        <v>13215695</v>
      </c>
      <c r="AB1312" t="b">
        <v>0</v>
      </c>
      <c r="AC1312">
        <v>0.22</v>
      </c>
    </row>
    <row r="1313" spans="17:29" x14ac:dyDescent="0.2">
      <c r="Q1313" t="s">
        <v>2087</v>
      </c>
      <c r="R1313" t="s">
        <v>2484</v>
      </c>
      <c r="S1313" t="s">
        <v>257</v>
      </c>
      <c r="T1313" s="1">
        <v>44497</v>
      </c>
      <c r="U1313" s="1">
        <v>44561</v>
      </c>
      <c r="V1313" t="s">
        <v>260</v>
      </c>
      <c r="W1313">
        <v>111497951</v>
      </c>
      <c r="X1313">
        <v>44599180</v>
      </c>
      <c r="Y1313" t="s">
        <v>260</v>
      </c>
      <c r="Z1313">
        <v>44599180</v>
      </c>
      <c r="AA1313">
        <v>7947393</v>
      </c>
      <c r="AB1313" t="b">
        <v>0</v>
      </c>
      <c r="AC1313">
        <v>0.37</v>
      </c>
    </row>
    <row r="1314" spans="17:29" x14ac:dyDescent="0.2">
      <c r="Q1314" t="s">
        <v>2087</v>
      </c>
      <c r="R1314" t="s">
        <v>2484</v>
      </c>
      <c r="S1314" t="s">
        <v>257</v>
      </c>
      <c r="T1314" s="1">
        <v>44497</v>
      </c>
      <c r="U1314" s="1">
        <v>44561</v>
      </c>
      <c r="V1314" t="s">
        <v>260</v>
      </c>
      <c r="W1314">
        <v>111497951</v>
      </c>
      <c r="X1314">
        <v>44599180</v>
      </c>
      <c r="Y1314" t="s">
        <v>260</v>
      </c>
      <c r="Z1314">
        <v>44599180</v>
      </c>
      <c r="AA1314">
        <v>7947393</v>
      </c>
      <c r="AB1314" t="b">
        <v>0</v>
      </c>
      <c r="AC1314">
        <v>0.37</v>
      </c>
    </row>
    <row r="1315" spans="17:29" x14ac:dyDescent="0.2">
      <c r="Q1315" t="s">
        <v>2087</v>
      </c>
      <c r="R1315" t="s">
        <v>2485</v>
      </c>
      <c r="S1315" t="s">
        <v>257</v>
      </c>
      <c r="T1315" s="1">
        <v>44497</v>
      </c>
      <c r="U1315" s="1">
        <v>44561</v>
      </c>
      <c r="V1315" t="s">
        <v>260</v>
      </c>
      <c r="W1315">
        <v>111647396</v>
      </c>
      <c r="X1315">
        <v>96016761</v>
      </c>
      <c r="Y1315" t="s">
        <v>260</v>
      </c>
      <c r="Z1315">
        <v>96016761</v>
      </c>
      <c r="AA1315">
        <v>17109797</v>
      </c>
      <c r="AB1315" t="b">
        <v>0</v>
      </c>
      <c r="AC1315">
        <v>0.11</v>
      </c>
    </row>
    <row r="1316" spans="17:29" x14ac:dyDescent="0.2">
      <c r="Q1316" t="s">
        <v>2087</v>
      </c>
      <c r="R1316" t="s">
        <v>2485</v>
      </c>
      <c r="S1316" t="s">
        <v>257</v>
      </c>
      <c r="T1316" s="1">
        <v>44497</v>
      </c>
      <c r="U1316" s="1">
        <v>44561</v>
      </c>
      <c r="V1316" t="s">
        <v>260</v>
      </c>
      <c r="W1316">
        <v>111647396</v>
      </c>
      <c r="X1316">
        <v>96016761</v>
      </c>
      <c r="Y1316" t="s">
        <v>260</v>
      </c>
      <c r="Z1316">
        <v>96016761</v>
      </c>
      <c r="AA1316">
        <v>17109797</v>
      </c>
      <c r="AB1316" t="b">
        <v>0</v>
      </c>
      <c r="AC1316">
        <v>0.11</v>
      </c>
    </row>
    <row r="1317" spans="17:29" x14ac:dyDescent="0.2">
      <c r="Q1317" t="s">
        <v>2029</v>
      </c>
      <c r="R1317" t="s">
        <v>2486</v>
      </c>
      <c r="S1317" t="s">
        <v>257</v>
      </c>
      <c r="T1317" s="1">
        <v>43101</v>
      </c>
      <c r="U1317" s="1">
        <v>43101</v>
      </c>
      <c r="V1317" t="s">
        <v>260</v>
      </c>
      <c r="W1317">
        <v>14586808</v>
      </c>
      <c r="X1317">
        <v>14586808</v>
      </c>
      <c r="Y1317" t="s">
        <v>270</v>
      </c>
      <c r="Z1317">
        <v>4255940</v>
      </c>
      <c r="AA1317">
        <v>4255940</v>
      </c>
      <c r="AB1317" t="b">
        <v>1</v>
      </c>
      <c r="AC1317">
        <v>1</v>
      </c>
    </row>
    <row r="1318" spans="17:29" x14ac:dyDescent="0.2">
      <c r="Q1318" t="s">
        <v>2029</v>
      </c>
      <c r="R1318" t="s">
        <v>2486</v>
      </c>
      <c r="S1318" t="s">
        <v>257</v>
      </c>
      <c r="T1318" s="1">
        <v>42887</v>
      </c>
      <c r="U1318" s="1">
        <v>42887</v>
      </c>
      <c r="V1318" t="s">
        <v>260</v>
      </c>
      <c r="W1318">
        <v>37599504</v>
      </c>
      <c r="X1318">
        <v>37599504</v>
      </c>
      <c r="Y1318" t="s">
        <v>270</v>
      </c>
      <c r="Z1318">
        <v>11777449</v>
      </c>
      <c r="AA1318">
        <v>11777449</v>
      </c>
      <c r="AB1318" t="b">
        <v>1</v>
      </c>
      <c r="AC1318">
        <v>1</v>
      </c>
    </row>
    <row r="1319" spans="17:29" x14ac:dyDescent="0.2">
      <c r="Q1319" t="s">
        <v>2029</v>
      </c>
      <c r="R1319" t="s">
        <v>2486</v>
      </c>
      <c r="S1319" t="s">
        <v>257</v>
      </c>
      <c r="T1319" s="1">
        <v>42522</v>
      </c>
      <c r="U1319" s="1">
        <v>42522</v>
      </c>
      <c r="V1319" t="s">
        <v>260</v>
      </c>
      <c r="W1319">
        <v>17351717</v>
      </c>
      <c r="X1319">
        <v>17351717</v>
      </c>
      <c r="Y1319" t="s">
        <v>270</v>
      </c>
      <c r="Z1319">
        <v>4981402</v>
      </c>
      <c r="AA1319">
        <v>4981402</v>
      </c>
      <c r="AB1319" t="b">
        <v>1</v>
      </c>
      <c r="AC1319">
        <v>1</v>
      </c>
    </row>
    <row r="1320" spans="17:29" x14ac:dyDescent="0.2">
      <c r="Q1320" t="s">
        <v>2029</v>
      </c>
      <c r="R1320" t="s">
        <v>2486</v>
      </c>
      <c r="S1320" t="s">
        <v>257</v>
      </c>
      <c r="T1320" s="1">
        <v>42248</v>
      </c>
      <c r="U1320" s="1">
        <v>42248</v>
      </c>
      <c r="V1320" t="s">
        <v>260</v>
      </c>
      <c r="W1320">
        <v>4541711</v>
      </c>
      <c r="X1320">
        <v>4541711</v>
      </c>
      <c r="Y1320" t="s">
        <v>270</v>
      </c>
      <c r="Z1320">
        <v>1360324</v>
      </c>
      <c r="AA1320">
        <v>1360324</v>
      </c>
      <c r="AB1320" t="b">
        <v>1</v>
      </c>
      <c r="AC1320">
        <v>1</v>
      </c>
    </row>
    <row r="1321" spans="17:29" x14ac:dyDescent="0.2">
      <c r="Q1321" t="s">
        <v>2029</v>
      </c>
      <c r="R1321" t="s">
        <v>2486</v>
      </c>
      <c r="S1321" t="s">
        <v>257</v>
      </c>
      <c r="T1321" s="1">
        <v>43101</v>
      </c>
      <c r="U1321" s="1">
        <v>43101</v>
      </c>
      <c r="V1321" t="s">
        <v>260</v>
      </c>
      <c r="W1321">
        <v>14586808</v>
      </c>
      <c r="X1321">
        <v>14586808</v>
      </c>
      <c r="Y1321" t="s">
        <v>270</v>
      </c>
      <c r="Z1321">
        <v>4255940</v>
      </c>
      <c r="AA1321">
        <v>4255940</v>
      </c>
      <c r="AB1321" t="b">
        <v>1</v>
      </c>
      <c r="AC1321">
        <v>1</v>
      </c>
    </row>
    <row r="1322" spans="17:29" x14ac:dyDescent="0.2">
      <c r="Q1322" t="s">
        <v>2029</v>
      </c>
      <c r="R1322" t="s">
        <v>2486</v>
      </c>
      <c r="S1322" t="s">
        <v>257</v>
      </c>
      <c r="T1322" s="1">
        <v>42887</v>
      </c>
      <c r="U1322" s="1">
        <v>42887</v>
      </c>
      <c r="V1322" t="s">
        <v>260</v>
      </c>
      <c r="W1322">
        <v>37599504</v>
      </c>
      <c r="X1322">
        <v>37599504</v>
      </c>
      <c r="Y1322" t="s">
        <v>270</v>
      </c>
      <c r="Z1322">
        <v>11777449</v>
      </c>
      <c r="AA1322">
        <v>11777449</v>
      </c>
      <c r="AB1322" t="b">
        <v>1</v>
      </c>
      <c r="AC1322">
        <v>1</v>
      </c>
    </row>
    <row r="1323" spans="17:29" x14ac:dyDescent="0.2">
      <c r="Q1323" t="s">
        <v>2029</v>
      </c>
      <c r="R1323" t="s">
        <v>2486</v>
      </c>
      <c r="S1323" t="s">
        <v>257</v>
      </c>
      <c r="T1323" s="1">
        <v>42522</v>
      </c>
      <c r="U1323" s="1">
        <v>42522</v>
      </c>
      <c r="V1323" t="s">
        <v>260</v>
      </c>
      <c r="W1323">
        <v>17351717</v>
      </c>
      <c r="X1323">
        <v>17351717</v>
      </c>
      <c r="Y1323" t="s">
        <v>270</v>
      </c>
      <c r="Z1323">
        <v>4981402</v>
      </c>
      <c r="AA1323">
        <v>4981402</v>
      </c>
      <c r="AB1323" t="b">
        <v>1</v>
      </c>
      <c r="AC1323">
        <v>1</v>
      </c>
    </row>
    <row r="1324" spans="17:29" x14ac:dyDescent="0.2">
      <c r="Q1324" t="s">
        <v>2029</v>
      </c>
      <c r="R1324" t="s">
        <v>2486</v>
      </c>
      <c r="S1324" t="s">
        <v>257</v>
      </c>
      <c r="T1324" s="1">
        <v>42248</v>
      </c>
      <c r="U1324" s="1">
        <v>42248</v>
      </c>
      <c r="V1324" t="s">
        <v>260</v>
      </c>
      <c r="W1324">
        <v>4541711</v>
      </c>
      <c r="X1324">
        <v>4541711</v>
      </c>
      <c r="Y1324" t="s">
        <v>270</v>
      </c>
      <c r="Z1324">
        <v>1360324</v>
      </c>
      <c r="AA1324">
        <v>1360324</v>
      </c>
      <c r="AB1324" t="b">
        <v>1</v>
      </c>
      <c r="AC1324">
        <v>1</v>
      </c>
    </row>
    <row r="1325" spans="17:29" x14ac:dyDescent="0.2">
      <c r="Q1325" t="s">
        <v>2208</v>
      </c>
      <c r="R1325" t="s">
        <v>2487</v>
      </c>
      <c r="S1325" t="s">
        <v>257</v>
      </c>
      <c r="T1325" s="1">
        <v>44197</v>
      </c>
      <c r="U1325" s="1">
        <v>44197</v>
      </c>
      <c r="V1325" t="s">
        <v>260</v>
      </c>
      <c r="W1325">
        <v>1617000</v>
      </c>
      <c r="X1325">
        <v>1617000</v>
      </c>
      <c r="Y1325" t="s">
        <v>270</v>
      </c>
      <c r="Z1325">
        <v>300000</v>
      </c>
      <c r="AA1325">
        <v>300000</v>
      </c>
      <c r="AB1325" t="b">
        <v>1</v>
      </c>
      <c r="AC1325">
        <v>1</v>
      </c>
    </row>
    <row r="1326" spans="17:29" x14ac:dyDescent="0.2">
      <c r="Q1326" t="s">
        <v>2208</v>
      </c>
      <c r="R1326" t="s">
        <v>2487</v>
      </c>
      <c r="S1326" t="s">
        <v>257</v>
      </c>
      <c r="T1326" s="1">
        <v>44013</v>
      </c>
      <c r="U1326" s="1">
        <v>44013</v>
      </c>
      <c r="V1326" t="s">
        <v>260</v>
      </c>
      <c r="W1326">
        <v>1498000</v>
      </c>
      <c r="X1326">
        <v>1498000</v>
      </c>
      <c r="Y1326" t="s">
        <v>270</v>
      </c>
      <c r="Z1326">
        <v>275000</v>
      </c>
      <c r="AA1326">
        <v>275000</v>
      </c>
      <c r="AB1326" t="b">
        <v>1</v>
      </c>
      <c r="AC1326">
        <v>1</v>
      </c>
    </row>
    <row r="1327" spans="17:29" x14ac:dyDescent="0.2">
      <c r="Q1327" t="s">
        <v>2208</v>
      </c>
      <c r="R1327" t="s">
        <v>2487</v>
      </c>
      <c r="S1327" t="s">
        <v>257</v>
      </c>
      <c r="T1327" s="1">
        <v>43831</v>
      </c>
      <c r="U1327" s="1">
        <v>43831</v>
      </c>
      <c r="V1327" t="s">
        <v>260</v>
      </c>
      <c r="W1327">
        <v>1202000</v>
      </c>
      <c r="X1327">
        <v>1202000</v>
      </c>
      <c r="Y1327" t="s">
        <v>270</v>
      </c>
      <c r="Z1327">
        <v>244000</v>
      </c>
      <c r="AA1327">
        <v>244000</v>
      </c>
      <c r="AB1327" t="b">
        <v>1</v>
      </c>
      <c r="AC1327">
        <v>1</v>
      </c>
    </row>
    <row r="1328" spans="17:29" x14ac:dyDescent="0.2">
      <c r="Q1328" t="s">
        <v>2208</v>
      </c>
      <c r="R1328" t="s">
        <v>2487</v>
      </c>
      <c r="S1328" t="s">
        <v>257</v>
      </c>
      <c r="T1328" s="1">
        <v>43647</v>
      </c>
      <c r="U1328" s="1">
        <v>43647</v>
      </c>
      <c r="V1328" t="s">
        <v>260</v>
      </c>
      <c r="W1328">
        <v>1511000</v>
      </c>
      <c r="X1328">
        <v>1511000</v>
      </c>
      <c r="Y1328" t="s">
        <v>270</v>
      </c>
      <c r="Z1328">
        <v>373000</v>
      </c>
      <c r="AA1328">
        <v>373000</v>
      </c>
      <c r="AB1328" t="b">
        <v>1</v>
      </c>
      <c r="AC1328">
        <v>1</v>
      </c>
    </row>
    <row r="1329" spans="17:29" x14ac:dyDescent="0.2">
      <c r="Q1329" t="s">
        <v>2208</v>
      </c>
      <c r="R1329" t="s">
        <v>2487</v>
      </c>
      <c r="S1329" t="s">
        <v>257</v>
      </c>
      <c r="T1329" s="1">
        <v>43466</v>
      </c>
      <c r="U1329" s="1">
        <v>43466</v>
      </c>
      <c r="V1329" t="s">
        <v>260</v>
      </c>
      <c r="W1329">
        <v>1158380</v>
      </c>
      <c r="X1329">
        <v>1158380</v>
      </c>
      <c r="Y1329" t="s">
        <v>270</v>
      </c>
      <c r="Z1329">
        <v>301200</v>
      </c>
      <c r="AA1329">
        <v>301200</v>
      </c>
      <c r="AB1329" t="b">
        <v>1</v>
      </c>
      <c r="AC1329">
        <v>1</v>
      </c>
    </row>
    <row r="1330" spans="17:29" x14ac:dyDescent="0.2">
      <c r="Q1330" t="s">
        <v>2208</v>
      </c>
      <c r="R1330" t="s">
        <v>2487</v>
      </c>
      <c r="S1330" t="s">
        <v>257</v>
      </c>
      <c r="T1330" s="1">
        <v>43282</v>
      </c>
      <c r="U1330" s="1">
        <v>43282</v>
      </c>
      <c r="V1330" t="s">
        <v>260</v>
      </c>
      <c r="W1330">
        <v>1439520</v>
      </c>
      <c r="X1330">
        <v>1439520</v>
      </c>
      <c r="Y1330" t="s">
        <v>270</v>
      </c>
      <c r="Z1330">
        <v>370950</v>
      </c>
      <c r="AA1330">
        <v>370950</v>
      </c>
      <c r="AB1330" t="b">
        <v>1</v>
      </c>
      <c r="AC1330">
        <v>1</v>
      </c>
    </row>
    <row r="1331" spans="17:29" x14ac:dyDescent="0.2">
      <c r="Q1331" t="s">
        <v>2208</v>
      </c>
      <c r="R1331" t="s">
        <v>2487</v>
      </c>
      <c r="S1331" t="s">
        <v>257</v>
      </c>
      <c r="T1331" s="1">
        <v>43101</v>
      </c>
      <c r="U1331" s="1">
        <v>43101</v>
      </c>
      <c r="V1331" t="s">
        <v>260</v>
      </c>
      <c r="W1331">
        <v>1024000</v>
      </c>
      <c r="X1331">
        <v>1024000</v>
      </c>
      <c r="Y1331" t="s">
        <v>270</v>
      </c>
      <c r="Z1331">
        <v>298769</v>
      </c>
      <c r="AA1331">
        <v>298769</v>
      </c>
      <c r="AB1331" t="b">
        <v>1</v>
      </c>
      <c r="AC1331">
        <v>1</v>
      </c>
    </row>
    <row r="1332" spans="17:29" x14ac:dyDescent="0.2">
      <c r="Q1332" t="s">
        <v>2208</v>
      </c>
      <c r="R1332" t="s">
        <v>2487</v>
      </c>
      <c r="S1332" t="s">
        <v>257</v>
      </c>
      <c r="T1332" s="1">
        <v>42887</v>
      </c>
      <c r="U1332" s="1">
        <v>42887</v>
      </c>
      <c r="V1332" t="s">
        <v>260</v>
      </c>
      <c r="W1332">
        <v>3216000</v>
      </c>
      <c r="X1332">
        <v>3216000</v>
      </c>
      <c r="Y1332" t="s">
        <v>270</v>
      </c>
      <c r="Z1332">
        <v>1007362</v>
      </c>
      <c r="AA1332">
        <v>1007362</v>
      </c>
      <c r="AB1332" t="b">
        <v>1</v>
      </c>
      <c r="AC1332">
        <v>1</v>
      </c>
    </row>
    <row r="1333" spans="17:29" x14ac:dyDescent="0.2">
      <c r="Q1333" t="s">
        <v>2208</v>
      </c>
      <c r="R1333" t="s">
        <v>2487</v>
      </c>
      <c r="S1333" t="s">
        <v>257</v>
      </c>
      <c r="T1333" s="1">
        <v>42522</v>
      </c>
      <c r="U1333" s="1">
        <v>42522</v>
      </c>
      <c r="V1333" t="s">
        <v>260</v>
      </c>
      <c r="W1333">
        <v>3353000</v>
      </c>
      <c r="X1333">
        <v>3353000</v>
      </c>
      <c r="Y1333" t="s">
        <v>270</v>
      </c>
      <c r="Z1333">
        <v>962593</v>
      </c>
      <c r="AA1333">
        <v>962593</v>
      </c>
      <c r="AB1333" t="b">
        <v>1</v>
      </c>
      <c r="AC1333">
        <v>1</v>
      </c>
    </row>
    <row r="1334" spans="17:29" x14ac:dyDescent="0.2">
      <c r="Q1334" t="s">
        <v>2208</v>
      </c>
      <c r="R1334" t="s">
        <v>2487</v>
      </c>
      <c r="S1334" t="s">
        <v>257</v>
      </c>
      <c r="T1334" s="1">
        <v>42248</v>
      </c>
      <c r="U1334" s="1">
        <v>42248</v>
      </c>
      <c r="V1334" t="s">
        <v>260</v>
      </c>
      <c r="W1334">
        <v>1192000</v>
      </c>
      <c r="X1334">
        <v>1192000</v>
      </c>
      <c r="Y1334" t="s">
        <v>270</v>
      </c>
      <c r="Z1334">
        <v>357026</v>
      </c>
      <c r="AA1334">
        <v>357026</v>
      </c>
      <c r="AB1334" t="b">
        <v>1</v>
      </c>
      <c r="AC1334">
        <v>1</v>
      </c>
    </row>
    <row r="1335" spans="17:29" x14ac:dyDescent="0.2">
      <c r="Q1335" t="s">
        <v>2210</v>
      </c>
      <c r="R1335" t="s">
        <v>2487</v>
      </c>
      <c r="S1335" t="s">
        <v>257</v>
      </c>
      <c r="T1335" s="1">
        <v>44197</v>
      </c>
      <c r="U1335" s="1">
        <v>44197</v>
      </c>
      <c r="V1335" t="s">
        <v>260</v>
      </c>
      <c r="W1335">
        <v>1617000</v>
      </c>
      <c r="X1335">
        <v>1617000</v>
      </c>
      <c r="Y1335" t="s">
        <v>270</v>
      </c>
      <c r="Z1335">
        <v>300000</v>
      </c>
      <c r="AA1335">
        <v>300000</v>
      </c>
      <c r="AB1335" t="b">
        <v>1</v>
      </c>
      <c r="AC1335">
        <v>1</v>
      </c>
    </row>
    <row r="1336" spans="17:29" x14ac:dyDescent="0.2">
      <c r="Q1336" t="s">
        <v>2210</v>
      </c>
      <c r="R1336" t="s">
        <v>2487</v>
      </c>
      <c r="S1336" t="s">
        <v>257</v>
      </c>
      <c r="T1336" s="1">
        <v>44013</v>
      </c>
      <c r="U1336" s="1">
        <v>44013</v>
      </c>
      <c r="V1336" t="s">
        <v>260</v>
      </c>
      <c r="W1336">
        <v>1498000</v>
      </c>
      <c r="X1336">
        <v>1498000</v>
      </c>
      <c r="Y1336" t="s">
        <v>270</v>
      </c>
      <c r="Z1336">
        <v>275000</v>
      </c>
      <c r="AA1336">
        <v>275000</v>
      </c>
      <c r="AB1336" t="b">
        <v>1</v>
      </c>
      <c r="AC1336">
        <v>1</v>
      </c>
    </row>
    <row r="1337" spans="17:29" x14ac:dyDescent="0.2">
      <c r="Q1337" t="s">
        <v>2210</v>
      </c>
      <c r="R1337" t="s">
        <v>2487</v>
      </c>
      <c r="S1337" t="s">
        <v>257</v>
      </c>
      <c r="T1337" s="1">
        <v>43831</v>
      </c>
      <c r="U1337" s="1">
        <v>43831</v>
      </c>
      <c r="V1337" t="s">
        <v>260</v>
      </c>
      <c r="W1337">
        <v>1202000</v>
      </c>
      <c r="X1337">
        <v>1202000</v>
      </c>
      <c r="Y1337" t="s">
        <v>270</v>
      </c>
      <c r="Z1337">
        <v>244000</v>
      </c>
      <c r="AA1337">
        <v>244000</v>
      </c>
      <c r="AB1337" t="b">
        <v>1</v>
      </c>
      <c r="AC1337">
        <v>1</v>
      </c>
    </row>
    <row r="1338" spans="17:29" x14ac:dyDescent="0.2">
      <c r="Q1338" t="s">
        <v>2210</v>
      </c>
      <c r="R1338" t="s">
        <v>2487</v>
      </c>
      <c r="S1338" t="s">
        <v>257</v>
      </c>
      <c r="T1338" s="1">
        <v>43647</v>
      </c>
      <c r="U1338" s="1">
        <v>43647</v>
      </c>
      <c r="V1338" t="s">
        <v>260</v>
      </c>
      <c r="W1338">
        <v>1511000</v>
      </c>
      <c r="X1338">
        <v>1511000</v>
      </c>
      <c r="Y1338" t="s">
        <v>270</v>
      </c>
      <c r="Z1338">
        <v>373000</v>
      </c>
      <c r="AA1338">
        <v>373000</v>
      </c>
      <c r="AB1338" t="b">
        <v>1</v>
      </c>
      <c r="AC1338">
        <v>1</v>
      </c>
    </row>
    <row r="1339" spans="17:29" x14ac:dyDescent="0.2">
      <c r="Q1339" t="s">
        <v>2210</v>
      </c>
      <c r="R1339" t="s">
        <v>2487</v>
      </c>
      <c r="S1339" t="s">
        <v>257</v>
      </c>
      <c r="T1339" s="1">
        <v>43466</v>
      </c>
      <c r="U1339" s="1">
        <v>43466</v>
      </c>
      <c r="V1339" t="s">
        <v>260</v>
      </c>
      <c r="W1339">
        <v>1158380</v>
      </c>
      <c r="X1339">
        <v>1158380</v>
      </c>
      <c r="Y1339" t="s">
        <v>270</v>
      </c>
      <c r="Z1339">
        <v>301200</v>
      </c>
      <c r="AA1339">
        <v>301200</v>
      </c>
      <c r="AB1339" t="b">
        <v>1</v>
      </c>
      <c r="AC1339">
        <v>1</v>
      </c>
    </row>
    <row r="1340" spans="17:29" x14ac:dyDescent="0.2">
      <c r="Q1340" t="s">
        <v>2210</v>
      </c>
      <c r="R1340" t="s">
        <v>2487</v>
      </c>
      <c r="S1340" t="s">
        <v>257</v>
      </c>
      <c r="T1340" s="1">
        <v>43282</v>
      </c>
      <c r="U1340" s="1">
        <v>43282</v>
      </c>
      <c r="V1340" t="s">
        <v>260</v>
      </c>
      <c r="W1340">
        <v>1439520</v>
      </c>
      <c r="X1340">
        <v>1439520</v>
      </c>
      <c r="Y1340" t="s">
        <v>270</v>
      </c>
      <c r="Z1340">
        <v>370950</v>
      </c>
      <c r="AA1340">
        <v>370950</v>
      </c>
      <c r="AB1340" t="b">
        <v>1</v>
      </c>
      <c r="AC1340">
        <v>1</v>
      </c>
    </row>
    <row r="1341" spans="17:29" x14ac:dyDescent="0.2">
      <c r="Q1341" t="s">
        <v>2210</v>
      </c>
      <c r="R1341" t="s">
        <v>2487</v>
      </c>
      <c r="S1341" t="s">
        <v>257</v>
      </c>
      <c r="T1341" s="1">
        <v>43101</v>
      </c>
      <c r="U1341" s="1">
        <v>43101</v>
      </c>
      <c r="V1341" t="s">
        <v>260</v>
      </c>
      <c r="W1341">
        <v>1024000</v>
      </c>
      <c r="X1341">
        <v>1024000</v>
      </c>
      <c r="Y1341" t="s">
        <v>270</v>
      </c>
      <c r="Z1341">
        <v>298769</v>
      </c>
      <c r="AA1341">
        <v>298769</v>
      </c>
      <c r="AB1341" t="b">
        <v>1</v>
      </c>
      <c r="AC1341">
        <v>1</v>
      </c>
    </row>
    <row r="1342" spans="17:29" x14ac:dyDescent="0.2">
      <c r="Q1342" t="s">
        <v>2210</v>
      </c>
      <c r="R1342" t="s">
        <v>2487</v>
      </c>
      <c r="S1342" t="s">
        <v>257</v>
      </c>
      <c r="T1342" s="1">
        <v>42887</v>
      </c>
      <c r="U1342" s="1">
        <v>42887</v>
      </c>
      <c r="V1342" t="s">
        <v>260</v>
      </c>
      <c r="W1342">
        <v>3216000</v>
      </c>
      <c r="X1342">
        <v>3216000</v>
      </c>
      <c r="Y1342" t="s">
        <v>270</v>
      </c>
      <c r="Z1342">
        <v>1007362</v>
      </c>
      <c r="AA1342">
        <v>1007362</v>
      </c>
      <c r="AB1342" t="b">
        <v>1</v>
      </c>
      <c r="AC1342">
        <v>1</v>
      </c>
    </row>
    <row r="1343" spans="17:29" x14ac:dyDescent="0.2">
      <c r="Q1343" t="s">
        <v>2210</v>
      </c>
      <c r="R1343" t="s">
        <v>2487</v>
      </c>
      <c r="S1343" t="s">
        <v>257</v>
      </c>
      <c r="T1343" s="1">
        <v>42522</v>
      </c>
      <c r="U1343" s="1">
        <v>42522</v>
      </c>
      <c r="V1343" t="s">
        <v>260</v>
      </c>
      <c r="W1343">
        <v>3353000</v>
      </c>
      <c r="X1343">
        <v>3353000</v>
      </c>
      <c r="Y1343" t="s">
        <v>270</v>
      </c>
      <c r="Z1343">
        <v>962593</v>
      </c>
      <c r="AA1343">
        <v>962593</v>
      </c>
      <c r="AB1343" t="b">
        <v>1</v>
      </c>
      <c r="AC1343">
        <v>1</v>
      </c>
    </row>
    <row r="1344" spans="17:29" x14ac:dyDescent="0.2">
      <c r="Q1344" t="s">
        <v>2210</v>
      </c>
      <c r="R1344" t="s">
        <v>2487</v>
      </c>
      <c r="S1344" t="s">
        <v>257</v>
      </c>
      <c r="T1344" s="1">
        <v>42248</v>
      </c>
      <c r="U1344" s="1">
        <v>42248</v>
      </c>
      <c r="V1344" t="s">
        <v>260</v>
      </c>
      <c r="W1344">
        <v>1192000</v>
      </c>
      <c r="X1344">
        <v>1192000</v>
      </c>
      <c r="Y1344" t="s">
        <v>270</v>
      </c>
      <c r="Z1344">
        <v>357026</v>
      </c>
      <c r="AA1344">
        <v>357026</v>
      </c>
      <c r="AB1344" t="b">
        <v>1</v>
      </c>
      <c r="AC1344">
        <v>1</v>
      </c>
    </row>
    <row r="1345" spans="17:29" x14ac:dyDescent="0.2">
      <c r="Q1345" t="s">
        <v>2208</v>
      </c>
      <c r="R1345" t="s">
        <v>2488</v>
      </c>
      <c r="S1345" t="s">
        <v>257</v>
      </c>
      <c r="T1345" s="1">
        <v>44197</v>
      </c>
      <c r="U1345" s="1">
        <v>44197</v>
      </c>
      <c r="V1345" t="s">
        <v>260</v>
      </c>
      <c r="W1345">
        <v>442000</v>
      </c>
      <c r="X1345">
        <v>442000</v>
      </c>
      <c r="Y1345" t="s">
        <v>270</v>
      </c>
      <c r="Z1345">
        <v>82000</v>
      </c>
      <c r="AA1345">
        <v>82000</v>
      </c>
      <c r="AB1345" t="b">
        <v>1</v>
      </c>
      <c r="AC1345">
        <v>1</v>
      </c>
    </row>
    <row r="1346" spans="17:29" x14ac:dyDescent="0.2">
      <c r="Q1346" t="s">
        <v>2208</v>
      </c>
      <c r="R1346" t="s">
        <v>2488</v>
      </c>
      <c r="S1346" t="s">
        <v>257</v>
      </c>
      <c r="T1346" s="1">
        <v>44013</v>
      </c>
      <c r="U1346" s="1">
        <v>44013</v>
      </c>
      <c r="V1346" t="s">
        <v>260</v>
      </c>
      <c r="W1346">
        <v>488000</v>
      </c>
      <c r="X1346">
        <v>488000</v>
      </c>
      <c r="Y1346" t="s">
        <v>270</v>
      </c>
      <c r="Z1346">
        <v>90000</v>
      </c>
      <c r="AA1346">
        <v>90000</v>
      </c>
      <c r="AB1346" t="b">
        <v>1</v>
      </c>
      <c r="AC1346">
        <v>1</v>
      </c>
    </row>
    <row r="1347" spans="17:29" x14ac:dyDescent="0.2">
      <c r="Q1347" t="s">
        <v>2208</v>
      </c>
      <c r="R1347" t="s">
        <v>2488</v>
      </c>
      <c r="S1347" t="s">
        <v>257</v>
      </c>
      <c r="T1347" s="1">
        <v>43831</v>
      </c>
      <c r="U1347" s="1">
        <v>43831</v>
      </c>
      <c r="V1347" t="s">
        <v>260</v>
      </c>
      <c r="W1347">
        <v>170000</v>
      </c>
      <c r="X1347">
        <v>170000</v>
      </c>
      <c r="Y1347" t="s">
        <v>270</v>
      </c>
      <c r="Z1347">
        <v>35000</v>
      </c>
      <c r="AA1347">
        <v>35000</v>
      </c>
      <c r="AB1347" t="b">
        <v>1</v>
      </c>
      <c r="AC1347">
        <v>1</v>
      </c>
    </row>
    <row r="1348" spans="17:29" x14ac:dyDescent="0.2">
      <c r="Q1348" t="s">
        <v>2208</v>
      </c>
      <c r="R1348" t="s">
        <v>2488</v>
      </c>
      <c r="S1348" t="s">
        <v>257</v>
      </c>
      <c r="T1348" s="1">
        <v>43647</v>
      </c>
      <c r="U1348" s="1">
        <v>43647</v>
      </c>
      <c r="V1348" t="s">
        <v>260</v>
      </c>
      <c r="W1348">
        <v>423000</v>
      </c>
      <c r="X1348">
        <v>423000</v>
      </c>
      <c r="Y1348" t="s">
        <v>270</v>
      </c>
      <c r="Z1348">
        <v>104000</v>
      </c>
      <c r="AA1348">
        <v>104000</v>
      </c>
      <c r="AB1348" t="b">
        <v>1</v>
      </c>
      <c r="AC1348">
        <v>1</v>
      </c>
    </row>
    <row r="1349" spans="17:29" x14ac:dyDescent="0.2">
      <c r="Q1349" t="s">
        <v>2208</v>
      </c>
      <c r="R1349" t="s">
        <v>2488</v>
      </c>
      <c r="S1349" t="s">
        <v>257</v>
      </c>
      <c r="T1349" s="1">
        <v>43466</v>
      </c>
      <c r="U1349" s="1">
        <v>43466</v>
      </c>
      <c r="V1349" t="s">
        <v>260</v>
      </c>
      <c r="W1349">
        <v>56000</v>
      </c>
      <c r="X1349">
        <v>56000</v>
      </c>
      <c r="Y1349" t="s">
        <v>270</v>
      </c>
      <c r="Z1349">
        <v>14560</v>
      </c>
      <c r="AA1349">
        <v>14560</v>
      </c>
      <c r="AB1349" t="b">
        <v>1</v>
      </c>
      <c r="AC1349">
        <v>1</v>
      </c>
    </row>
    <row r="1350" spans="17:29" x14ac:dyDescent="0.2">
      <c r="Q1350" t="s">
        <v>2208</v>
      </c>
      <c r="R1350" t="s">
        <v>2488</v>
      </c>
      <c r="S1350" t="s">
        <v>257</v>
      </c>
      <c r="T1350" s="1">
        <v>43282</v>
      </c>
      <c r="U1350" s="1">
        <v>43282</v>
      </c>
      <c r="V1350" t="s">
        <v>260</v>
      </c>
      <c r="W1350">
        <v>7920</v>
      </c>
      <c r="X1350">
        <v>7920</v>
      </c>
      <c r="Y1350" t="s">
        <v>270</v>
      </c>
      <c r="Z1350">
        <v>2040</v>
      </c>
      <c r="AA1350">
        <v>2040</v>
      </c>
      <c r="AB1350" t="b">
        <v>1</v>
      </c>
      <c r="AC1350">
        <v>1</v>
      </c>
    </row>
    <row r="1351" spans="17:29" x14ac:dyDescent="0.2">
      <c r="Q1351" t="s">
        <v>2208</v>
      </c>
      <c r="R1351" t="s">
        <v>2488</v>
      </c>
      <c r="S1351" t="s">
        <v>257</v>
      </c>
      <c r="T1351" s="1">
        <v>42887</v>
      </c>
      <c r="U1351" s="1">
        <v>42887</v>
      </c>
      <c r="V1351" t="s">
        <v>260</v>
      </c>
      <c r="W1351">
        <v>485000</v>
      </c>
      <c r="X1351">
        <v>485000</v>
      </c>
      <c r="Y1351" t="s">
        <v>270</v>
      </c>
      <c r="Z1351">
        <v>151919</v>
      </c>
      <c r="AA1351">
        <v>151919</v>
      </c>
      <c r="AB1351" t="b">
        <v>1</v>
      </c>
      <c r="AC1351">
        <v>1</v>
      </c>
    </row>
    <row r="1352" spans="17:29" x14ac:dyDescent="0.2">
      <c r="Q1352" t="s">
        <v>2208</v>
      </c>
      <c r="R1352" t="s">
        <v>2488</v>
      </c>
      <c r="S1352" t="s">
        <v>257</v>
      </c>
      <c r="T1352" s="1">
        <v>42522</v>
      </c>
      <c r="U1352" s="1">
        <v>42522</v>
      </c>
      <c r="V1352" t="s">
        <v>260</v>
      </c>
      <c r="W1352">
        <v>485000</v>
      </c>
      <c r="X1352">
        <v>485000</v>
      </c>
      <c r="Y1352" t="s">
        <v>270</v>
      </c>
      <c r="Z1352">
        <v>139236</v>
      </c>
      <c r="AA1352">
        <v>139236</v>
      </c>
      <c r="AB1352" t="b">
        <v>1</v>
      </c>
      <c r="AC1352">
        <v>1</v>
      </c>
    </row>
    <row r="1353" spans="17:29" x14ac:dyDescent="0.2">
      <c r="Q1353" t="s">
        <v>2208</v>
      </c>
      <c r="R1353" t="s">
        <v>2488</v>
      </c>
      <c r="S1353" t="s">
        <v>257</v>
      </c>
      <c r="T1353" s="1">
        <v>42248</v>
      </c>
      <c r="U1353" s="1">
        <v>42248</v>
      </c>
      <c r="V1353" t="s">
        <v>260</v>
      </c>
      <c r="W1353">
        <v>455000</v>
      </c>
      <c r="X1353">
        <v>455000</v>
      </c>
      <c r="Y1353" t="s">
        <v>270</v>
      </c>
      <c r="Z1353">
        <v>136281</v>
      </c>
      <c r="AA1353">
        <v>136281</v>
      </c>
      <c r="AB1353" t="b">
        <v>1</v>
      </c>
      <c r="AC1353">
        <v>1</v>
      </c>
    </row>
    <row r="1354" spans="17:29" x14ac:dyDescent="0.2">
      <c r="Q1354" t="s">
        <v>2210</v>
      </c>
      <c r="R1354" t="s">
        <v>2488</v>
      </c>
      <c r="S1354" t="s">
        <v>257</v>
      </c>
      <c r="T1354" s="1">
        <v>44197</v>
      </c>
      <c r="U1354" s="1">
        <v>44197</v>
      </c>
      <c r="V1354" t="s">
        <v>260</v>
      </c>
      <c r="W1354">
        <v>442000</v>
      </c>
      <c r="X1354">
        <v>442000</v>
      </c>
      <c r="Y1354" t="s">
        <v>270</v>
      </c>
      <c r="Z1354">
        <v>82000</v>
      </c>
      <c r="AA1354">
        <v>82000</v>
      </c>
      <c r="AB1354" t="b">
        <v>1</v>
      </c>
      <c r="AC1354">
        <v>1</v>
      </c>
    </row>
    <row r="1355" spans="17:29" x14ac:dyDescent="0.2">
      <c r="Q1355" t="s">
        <v>2210</v>
      </c>
      <c r="R1355" t="s">
        <v>2488</v>
      </c>
      <c r="S1355" t="s">
        <v>257</v>
      </c>
      <c r="T1355" s="1">
        <v>44013</v>
      </c>
      <c r="U1355" s="1">
        <v>44013</v>
      </c>
      <c r="V1355" t="s">
        <v>260</v>
      </c>
      <c r="W1355">
        <v>488000</v>
      </c>
      <c r="X1355">
        <v>488000</v>
      </c>
      <c r="Y1355" t="s">
        <v>270</v>
      </c>
      <c r="Z1355">
        <v>90000</v>
      </c>
      <c r="AA1355">
        <v>90000</v>
      </c>
      <c r="AB1355" t="b">
        <v>1</v>
      </c>
      <c r="AC1355">
        <v>1</v>
      </c>
    </row>
    <row r="1356" spans="17:29" x14ac:dyDescent="0.2">
      <c r="Q1356" t="s">
        <v>2210</v>
      </c>
      <c r="R1356" t="s">
        <v>2488</v>
      </c>
      <c r="S1356" t="s">
        <v>257</v>
      </c>
      <c r="T1356" s="1">
        <v>43831</v>
      </c>
      <c r="U1356" s="1">
        <v>43831</v>
      </c>
      <c r="V1356" t="s">
        <v>260</v>
      </c>
      <c r="W1356">
        <v>170000</v>
      </c>
      <c r="X1356">
        <v>170000</v>
      </c>
      <c r="Y1356" t="s">
        <v>270</v>
      </c>
      <c r="Z1356">
        <v>35000</v>
      </c>
      <c r="AA1356">
        <v>35000</v>
      </c>
      <c r="AB1356" t="b">
        <v>1</v>
      </c>
      <c r="AC1356">
        <v>1</v>
      </c>
    </row>
    <row r="1357" spans="17:29" x14ac:dyDescent="0.2">
      <c r="Q1357" t="s">
        <v>2210</v>
      </c>
      <c r="R1357" t="s">
        <v>2488</v>
      </c>
      <c r="S1357" t="s">
        <v>257</v>
      </c>
      <c r="T1357" s="1">
        <v>43647</v>
      </c>
      <c r="U1357" s="1">
        <v>43647</v>
      </c>
      <c r="V1357" t="s">
        <v>260</v>
      </c>
      <c r="W1357">
        <v>423000</v>
      </c>
      <c r="X1357">
        <v>423000</v>
      </c>
      <c r="Y1357" t="s">
        <v>270</v>
      </c>
      <c r="Z1357">
        <v>104000</v>
      </c>
      <c r="AA1357">
        <v>104000</v>
      </c>
      <c r="AB1357" t="b">
        <v>1</v>
      </c>
      <c r="AC1357">
        <v>1</v>
      </c>
    </row>
    <row r="1358" spans="17:29" x14ac:dyDescent="0.2">
      <c r="Q1358" t="s">
        <v>2210</v>
      </c>
      <c r="R1358" t="s">
        <v>2488</v>
      </c>
      <c r="S1358" t="s">
        <v>257</v>
      </c>
      <c r="T1358" s="1">
        <v>43466</v>
      </c>
      <c r="U1358" s="1">
        <v>43466</v>
      </c>
      <c r="V1358" t="s">
        <v>260</v>
      </c>
      <c r="W1358">
        <v>56000</v>
      </c>
      <c r="X1358">
        <v>56000</v>
      </c>
      <c r="Y1358" t="s">
        <v>270</v>
      </c>
      <c r="Z1358">
        <v>14560</v>
      </c>
      <c r="AA1358">
        <v>14560</v>
      </c>
      <c r="AB1358" t="b">
        <v>1</v>
      </c>
      <c r="AC1358">
        <v>1</v>
      </c>
    </row>
    <row r="1359" spans="17:29" x14ac:dyDescent="0.2">
      <c r="Q1359" t="s">
        <v>2210</v>
      </c>
      <c r="R1359" t="s">
        <v>2488</v>
      </c>
      <c r="S1359" t="s">
        <v>257</v>
      </c>
      <c r="T1359" s="1">
        <v>43282</v>
      </c>
      <c r="U1359" s="1">
        <v>43282</v>
      </c>
      <c r="V1359" t="s">
        <v>260</v>
      </c>
      <c r="W1359">
        <v>7920</v>
      </c>
      <c r="X1359">
        <v>7920</v>
      </c>
      <c r="Y1359" t="s">
        <v>270</v>
      </c>
      <c r="Z1359">
        <v>2040</v>
      </c>
      <c r="AA1359">
        <v>2040</v>
      </c>
      <c r="AB1359" t="b">
        <v>1</v>
      </c>
      <c r="AC1359">
        <v>1</v>
      </c>
    </row>
    <row r="1360" spans="17:29" x14ac:dyDescent="0.2">
      <c r="Q1360" t="s">
        <v>2210</v>
      </c>
      <c r="R1360" t="s">
        <v>2488</v>
      </c>
      <c r="S1360" t="s">
        <v>257</v>
      </c>
      <c r="T1360" s="1">
        <v>42887</v>
      </c>
      <c r="U1360" s="1">
        <v>42887</v>
      </c>
      <c r="V1360" t="s">
        <v>260</v>
      </c>
      <c r="W1360">
        <v>485000</v>
      </c>
      <c r="X1360">
        <v>485000</v>
      </c>
      <c r="Y1360" t="s">
        <v>270</v>
      </c>
      <c r="Z1360">
        <v>151919</v>
      </c>
      <c r="AA1360">
        <v>151919</v>
      </c>
      <c r="AB1360" t="b">
        <v>1</v>
      </c>
      <c r="AC1360">
        <v>1</v>
      </c>
    </row>
    <row r="1361" spans="17:29" x14ac:dyDescent="0.2">
      <c r="Q1361" t="s">
        <v>2210</v>
      </c>
      <c r="R1361" t="s">
        <v>2488</v>
      </c>
      <c r="S1361" t="s">
        <v>257</v>
      </c>
      <c r="T1361" s="1">
        <v>42522</v>
      </c>
      <c r="U1361" s="1">
        <v>42522</v>
      </c>
      <c r="V1361" t="s">
        <v>260</v>
      </c>
      <c r="W1361">
        <v>485000</v>
      </c>
      <c r="X1361">
        <v>485000</v>
      </c>
      <c r="Y1361" t="s">
        <v>270</v>
      </c>
      <c r="Z1361">
        <v>139236</v>
      </c>
      <c r="AA1361">
        <v>139236</v>
      </c>
      <c r="AB1361" t="b">
        <v>1</v>
      </c>
      <c r="AC1361">
        <v>1</v>
      </c>
    </row>
    <row r="1362" spans="17:29" x14ac:dyDescent="0.2">
      <c r="Q1362" t="s">
        <v>2210</v>
      </c>
      <c r="R1362" t="s">
        <v>2488</v>
      </c>
      <c r="S1362" t="s">
        <v>257</v>
      </c>
      <c r="T1362" s="1">
        <v>42248</v>
      </c>
      <c r="U1362" s="1">
        <v>42248</v>
      </c>
      <c r="V1362" t="s">
        <v>260</v>
      </c>
      <c r="W1362">
        <v>455000</v>
      </c>
      <c r="X1362">
        <v>455000</v>
      </c>
      <c r="Y1362" t="s">
        <v>270</v>
      </c>
      <c r="Z1362">
        <v>136281</v>
      </c>
      <c r="AA1362">
        <v>136281</v>
      </c>
      <c r="AB1362" t="b">
        <v>1</v>
      </c>
      <c r="AC1362">
        <v>1</v>
      </c>
    </row>
    <row r="1363" spans="17:29" x14ac:dyDescent="0.2">
      <c r="Q1363" t="s">
        <v>2141</v>
      </c>
      <c r="R1363" t="s">
        <v>2489</v>
      </c>
      <c r="S1363" t="s">
        <v>257</v>
      </c>
      <c r="T1363" s="1">
        <v>43466</v>
      </c>
      <c r="U1363" s="1">
        <v>43466</v>
      </c>
      <c r="V1363" t="s">
        <v>260</v>
      </c>
      <c r="W1363">
        <v>8267690</v>
      </c>
      <c r="X1363">
        <v>8267690</v>
      </c>
      <c r="Y1363" t="s">
        <v>270</v>
      </c>
      <c r="Z1363">
        <v>2149740</v>
      </c>
      <c r="AA1363">
        <v>2149740</v>
      </c>
      <c r="AB1363" t="b">
        <v>0</v>
      </c>
      <c r="AC1363">
        <v>1</v>
      </c>
    </row>
    <row r="1364" spans="17:29" x14ac:dyDescent="0.2">
      <c r="Q1364" t="s">
        <v>2376</v>
      </c>
      <c r="R1364" t="s">
        <v>2489</v>
      </c>
      <c r="S1364" t="s">
        <v>257</v>
      </c>
      <c r="T1364" s="1">
        <v>43466</v>
      </c>
      <c r="U1364" s="1">
        <v>43466</v>
      </c>
      <c r="V1364" t="s">
        <v>260</v>
      </c>
      <c r="W1364">
        <v>8267690</v>
      </c>
      <c r="X1364">
        <v>8267690</v>
      </c>
      <c r="Y1364" t="s">
        <v>270</v>
      </c>
      <c r="Z1364">
        <v>2149740</v>
      </c>
      <c r="AA1364">
        <v>2149740</v>
      </c>
      <c r="AB1364" t="b">
        <v>0</v>
      </c>
      <c r="AC1364">
        <v>1</v>
      </c>
    </row>
    <row r="1365" spans="17:29" x14ac:dyDescent="0.2">
      <c r="Q1365" t="s">
        <v>2029</v>
      </c>
      <c r="R1365" t="s">
        <v>2490</v>
      </c>
      <c r="S1365" t="s">
        <v>257</v>
      </c>
      <c r="T1365" s="1">
        <v>44197</v>
      </c>
      <c r="U1365" s="1">
        <v>44197</v>
      </c>
      <c r="V1365" t="s">
        <v>260</v>
      </c>
      <c r="W1365">
        <v>1661000</v>
      </c>
      <c r="X1365">
        <v>1661000</v>
      </c>
      <c r="Y1365" t="s">
        <v>270</v>
      </c>
      <c r="Z1365">
        <v>308000</v>
      </c>
      <c r="AA1365">
        <v>308000</v>
      </c>
      <c r="AB1365" t="b">
        <v>0</v>
      </c>
      <c r="AC1365">
        <v>1</v>
      </c>
    </row>
    <row r="1366" spans="17:29" x14ac:dyDescent="0.2">
      <c r="Q1366" t="s">
        <v>2029</v>
      </c>
      <c r="R1366" t="s">
        <v>2490</v>
      </c>
      <c r="S1366" t="s">
        <v>257</v>
      </c>
      <c r="T1366" s="1">
        <v>44013</v>
      </c>
      <c r="U1366" s="1">
        <v>44013</v>
      </c>
      <c r="V1366" t="s">
        <v>260</v>
      </c>
      <c r="W1366">
        <v>1397000</v>
      </c>
      <c r="X1366">
        <v>1397000</v>
      </c>
      <c r="Y1366" t="s">
        <v>270</v>
      </c>
      <c r="Z1366">
        <v>257000</v>
      </c>
      <c r="AA1366">
        <v>257000</v>
      </c>
      <c r="AB1366" t="b">
        <v>0</v>
      </c>
      <c r="AC1366">
        <v>1</v>
      </c>
    </row>
    <row r="1367" spans="17:29" x14ac:dyDescent="0.2">
      <c r="Q1367" t="s">
        <v>2029</v>
      </c>
      <c r="R1367" t="s">
        <v>2490</v>
      </c>
      <c r="S1367" t="s">
        <v>257</v>
      </c>
      <c r="T1367" s="1">
        <v>43831</v>
      </c>
      <c r="U1367" s="1">
        <v>43831</v>
      </c>
      <c r="V1367" t="s">
        <v>260</v>
      </c>
      <c r="W1367">
        <v>851000</v>
      </c>
      <c r="X1367">
        <v>851000</v>
      </c>
      <c r="Y1367" t="s">
        <v>270</v>
      </c>
      <c r="Z1367">
        <v>173000</v>
      </c>
      <c r="AA1367">
        <v>173000</v>
      </c>
      <c r="AB1367" t="b">
        <v>0</v>
      </c>
      <c r="AC1367">
        <v>1</v>
      </c>
    </row>
    <row r="1368" spans="17:29" x14ac:dyDescent="0.2">
      <c r="Q1368" t="s">
        <v>2029</v>
      </c>
      <c r="R1368" t="s">
        <v>2490</v>
      </c>
      <c r="S1368" t="s">
        <v>257</v>
      </c>
      <c r="T1368" s="1">
        <v>43647</v>
      </c>
      <c r="U1368" s="1">
        <v>43647</v>
      </c>
      <c r="V1368" t="s">
        <v>260</v>
      </c>
      <c r="W1368">
        <v>2720000</v>
      </c>
      <c r="X1368">
        <v>2720000</v>
      </c>
      <c r="Y1368" t="s">
        <v>270</v>
      </c>
      <c r="Z1368">
        <v>671000</v>
      </c>
      <c r="AA1368">
        <v>671000</v>
      </c>
      <c r="AB1368" t="b">
        <v>0</v>
      </c>
      <c r="AC1368">
        <v>1</v>
      </c>
    </row>
    <row r="1369" spans="17:29" x14ac:dyDescent="0.2">
      <c r="Q1369" t="s">
        <v>2382</v>
      </c>
      <c r="R1369" t="s">
        <v>2490</v>
      </c>
      <c r="S1369" t="s">
        <v>257</v>
      </c>
      <c r="T1369" s="1">
        <v>44197</v>
      </c>
      <c r="U1369" s="1">
        <v>44197</v>
      </c>
      <c r="V1369" t="s">
        <v>260</v>
      </c>
      <c r="W1369">
        <v>1661000</v>
      </c>
      <c r="X1369">
        <v>1661000</v>
      </c>
      <c r="Y1369" t="s">
        <v>270</v>
      </c>
      <c r="Z1369">
        <v>308000</v>
      </c>
      <c r="AA1369">
        <v>308000</v>
      </c>
      <c r="AB1369" t="b">
        <v>0</v>
      </c>
      <c r="AC1369">
        <v>1</v>
      </c>
    </row>
    <row r="1370" spans="17:29" x14ac:dyDescent="0.2">
      <c r="Q1370" t="s">
        <v>2382</v>
      </c>
      <c r="R1370" t="s">
        <v>2490</v>
      </c>
      <c r="S1370" t="s">
        <v>257</v>
      </c>
      <c r="T1370" s="1">
        <v>44013</v>
      </c>
      <c r="U1370" s="1">
        <v>44013</v>
      </c>
      <c r="V1370" t="s">
        <v>260</v>
      </c>
      <c r="W1370">
        <v>1397000</v>
      </c>
      <c r="X1370">
        <v>1397000</v>
      </c>
      <c r="Y1370" t="s">
        <v>270</v>
      </c>
      <c r="Z1370">
        <v>257000</v>
      </c>
      <c r="AA1370">
        <v>257000</v>
      </c>
      <c r="AB1370" t="b">
        <v>0</v>
      </c>
      <c r="AC1370">
        <v>1</v>
      </c>
    </row>
    <row r="1371" spans="17:29" x14ac:dyDescent="0.2">
      <c r="Q1371" t="s">
        <v>2382</v>
      </c>
      <c r="R1371" t="s">
        <v>2490</v>
      </c>
      <c r="S1371" t="s">
        <v>257</v>
      </c>
      <c r="T1371" s="1">
        <v>43831</v>
      </c>
      <c r="U1371" s="1">
        <v>43831</v>
      </c>
      <c r="V1371" t="s">
        <v>260</v>
      </c>
      <c r="W1371">
        <v>851000</v>
      </c>
      <c r="X1371">
        <v>851000</v>
      </c>
      <c r="Y1371" t="s">
        <v>270</v>
      </c>
      <c r="Z1371">
        <v>173000</v>
      </c>
      <c r="AA1371">
        <v>173000</v>
      </c>
      <c r="AB1371" t="b">
        <v>0</v>
      </c>
      <c r="AC1371">
        <v>1</v>
      </c>
    </row>
    <row r="1372" spans="17:29" x14ac:dyDescent="0.2">
      <c r="Q1372" t="s">
        <v>2382</v>
      </c>
      <c r="R1372" t="s">
        <v>2490</v>
      </c>
      <c r="S1372" t="s">
        <v>257</v>
      </c>
      <c r="T1372" s="1">
        <v>43647</v>
      </c>
      <c r="U1372" s="1">
        <v>43647</v>
      </c>
      <c r="V1372" t="s">
        <v>260</v>
      </c>
      <c r="W1372">
        <v>2720000</v>
      </c>
      <c r="X1372">
        <v>2720000</v>
      </c>
      <c r="Y1372" t="s">
        <v>270</v>
      </c>
      <c r="Z1372">
        <v>671000</v>
      </c>
      <c r="AA1372">
        <v>671000</v>
      </c>
      <c r="AB1372" t="b">
        <v>0</v>
      </c>
      <c r="AC1372">
        <v>1</v>
      </c>
    </row>
    <row r="1373" spans="17:29" x14ac:dyDescent="0.2">
      <c r="Q1373" t="s">
        <v>2208</v>
      </c>
      <c r="R1373" t="s">
        <v>2491</v>
      </c>
      <c r="S1373" t="s">
        <v>257</v>
      </c>
      <c r="T1373" s="1">
        <v>43647</v>
      </c>
      <c r="U1373" s="1">
        <v>43647</v>
      </c>
      <c r="V1373" t="s">
        <v>260</v>
      </c>
      <c r="W1373">
        <v>7000</v>
      </c>
      <c r="X1373">
        <v>7000</v>
      </c>
      <c r="Y1373" t="s">
        <v>270</v>
      </c>
      <c r="Z1373">
        <v>2000</v>
      </c>
      <c r="AA1373">
        <v>2000</v>
      </c>
      <c r="AB1373" t="b">
        <v>0</v>
      </c>
      <c r="AC1373">
        <v>1</v>
      </c>
    </row>
    <row r="1374" spans="17:29" x14ac:dyDescent="0.2">
      <c r="Q1374" t="s">
        <v>2210</v>
      </c>
      <c r="R1374" t="s">
        <v>2491</v>
      </c>
      <c r="S1374" t="s">
        <v>257</v>
      </c>
      <c r="T1374" s="1">
        <v>43647</v>
      </c>
      <c r="U1374" s="1">
        <v>43647</v>
      </c>
      <c r="V1374" t="s">
        <v>260</v>
      </c>
      <c r="W1374">
        <v>7000</v>
      </c>
      <c r="X1374">
        <v>7000</v>
      </c>
      <c r="Y1374" t="s">
        <v>270</v>
      </c>
      <c r="Z1374">
        <v>2000</v>
      </c>
      <c r="AA1374">
        <v>2000</v>
      </c>
      <c r="AB1374" t="b">
        <v>0</v>
      </c>
      <c r="AC1374">
        <v>1</v>
      </c>
    </row>
    <row r="1375" spans="17:29" x14ac:dyDescent="0.2">
      <c r="Q1375" t="s">
        <v>2029</v>
      </c>
      <c r="R1375" t="s">
        <v>2492</v>
      </c>
      <c r="S1375" t="s">
        <v>257</v>
      </c>
      <c r="T1375" s="1">
        <v>44197</v>
      </c>
      <c r="U1375" s="1">
        <v>44197</v>
      </c>
      <c r="V1375" t="s">
        <v>260</v>
      </c>
      <c r="W1375">
        <v>5353000</v>
      </c>
      <c r="X1375">
        <v>5353000</v>
      </c>
      <c r="Y1375" t="s">
        <v>270</v>
      </c>
      <c r="Z1375">
        <v>993000</v>
      </c>
      <c r="AA1375">
        <v>993000</v>
      </c>
      <c r="AB1375" t="b">
        <v>0</v>
      </c>
      <c r="AC1375">
        <v>1</v>
      </c>
    </row>
    <row r="1376" spans="17:29" x14ac:dyDescent="0.2">
      <c r="Q1376" t="s">
        <v>2029</v>
      </c>
      <c r="R1376" t="s">
        <v>2492</v>
      </c>
      <c r="S1376" t="s">
        <v>257</v>
      </c>
      <c r="T1376" s="1">
        <v>44013</v>
      </c>
      <c r="U1376" s="1">
        <v>44013</v>
      </c>
      <c r="V1376" t="s">
        <v>260</v>
      </c>
      <c r="W1376">
        <v>3438000</v>
      </c>
      <c r="X1376">
        <v>3438000</v>
      </c>
      <c r="Y1376" t="s">
        <v>270</v>
      </c>
      <c r="Z1376">
        <v>632000</v>
      </c>
      <c r="AA1376">
        <v>632000</v>
      </c>
      <c r="AB1376" t="b">
        <v>0</v>
      </c>
      <c r="AC1376">
        <v>1</v>
      </c>
    </row>
    <row r="1377" spans="17:29" x14ac:dyDescent="0.2">
      <c r="Q1377" t="s">
        <v>2374</v>
      </c>
      <c r="R1377" t="s">
        <v>2492</v>
      </c>
      <c r="S1377" t="s">
        <v>257</v>
      </c>
      <c r="T1377" s="1">
        <v>44197</v>
      </c>
      <c r="U1377" s="1">
        <v>44197</v>
      </c>
      <c r="V1377" t="s">
        <v>260</v>
      </c>
      <c r="W1377">
        <v>5353000</v>
      </c>
      <c r="X1377">
        <v>5353000</v>
      </c>
      <c r="Y1377" t="s">
        <v>270</v>
      </c>
      <c r="Z1377">
        <v>993000</v>
      </c>
      <c r="AA1377">
        <v>993000</v>
      </c>
      <c r="AB1377" t="b">
        <v>0</v>
      </c>
      <c r="AC1377">
        <v>1</v>
      </c>
    </row>
    <row r="1378" spans="17:29" x14ac:dyDescent="0.2">
      <c r="Q1378" t="s">
        <v>2374</v>
      </c>
      <c r="R1378" t="s">
        <v>2492</v>
      </c>
      <c r="S1378" t="s">
        <v>257</v>
      </c>
      <c r="T1378" s="1">
        <v>44013</v>
      </c>
      <c r="U1378" s="1">
        <v>44013</v>
      </c>
      <c r="V1378" t="s">
        <v>260</v>
      </c>
      <c r="W1378">
        <v>3438000</v>
      </c>
      <c r="X1378">
        <v>3438000</v>
      </c>
      <c r="Y1378" t="s">
        <v>270</v>
      </c>
      <c r="Z1378">
        <v>632000</v>
      </c>
      <c r="AA1378">
        <v>632000</v>
      </c>
      <c r="AB1378" t="b">
        <v>0</v>
      </c>
      <c r="AC1378">
        <v>1</v>
      </c>
    </row>
    <row r="1379" spans="17:29" x14ac:dyDescent="0.2">
      <c r="Q1379" t="s">
        <v>2141</v>
      </c>
      <c r="R1379" t="s">
        <v>2493</v>
      </c>
      <c r="S1379" t="s">
        <v>257</v>
      </c>
      <c r="T1379" s="1">
        <v>43647</v>
      </c>
      <c r="U1379" s="1">
        <v>43647</v>
      </c>
      <c r="V1379" t="s">
        <v>260</v>
      </c>
      <c r="W1379">
        <v>43000</v>
      </c>
      <c r="X1379">
        <v>43000</v>
      </c>
      <c r="Y1379" t="s">
        <v>270</v>
      </c>
      <c r="Z1379">
        <v>11000</v>
      </c>
      <c r="AA1379">
        <v>11000</v>
      </c>
      <c r="AB1379" t="b">
        <v>0</v>
      </c>
      <c r="AC1379">
        <v>1</v>
      </c>
    </row>
    <row r="1380" spans="17:29" x14ac:dyDescent="0.2">
      <c r="Q1380" t="s">
        <v>2141</v>
      </c>
      <c r="R1380" t="s">
        <v>2493</v>
      </c>
      <c r="S1380" t="s">
        <v>257</v>
      </c>
      <c r="T1380" s="1">
        <v>43466</v>
      </c>
      <c r="U1380" s="1">
        <v>43466</v>
      </c>
      <c r="V1380" t="s">
        <v>260</v>
      </c>
      <c r="W1380">
        <v>502070</v>
      </c>
      <c r="X1380">
        <v>502070</v>
      </c>
      <c r="Y1380" t="s">
        <v>270</v>
      </c>
      <c r="Z1380">
        <v>130540</v>
      </c>
      <c r="AA1380">
        <v>130540</v>
      </c>
      <c r="AB1380" t="b">
        <v>0</v>
      </c>
      <c r="AC1380">
        <v>1</v>
      </c>
    </row>
    <row r="1381" spans="17:29" x14ac:dyDescent="0.2">
      <c r="Q1381" t="s">
        <v>2141</v>
      </c>
      <c r="R1381" t="s">
        <v>2493</v>
      </c>
      <c r="S1381" t="s">
        <v>257</v>
      </c>
      <c r="T1381" s="1">
        <v>43282</v>
      </c>
      <c r="U1381" s="1">
        <v>43282</v>
      </c>
      <c r="V1381" t="s">
        <v>260</v>
      </c>
      <c r="W1381">
        <v>156370</v>
      </c>
      <c r="X1381">
        <v>156370</v>
      </c>
      <c r="Y1381" t="s">
        <v>270</v>
      </c>
      <c r="Z1381">
        <v>40290</v>
      </c>
      <c r="AA1381">
        <v>40290</v>
      </c>
      <c r="AB1381" t="b">
        <v>0</v>
      </c>
      <c r="AC1381">
        <v>1</v>
      </c>
    </row>
    <row r="1382" spans="17:29" x14ac:dyDescent="0.2">
      <c r="Q1382" t="s">
        <v>2141</v>
      </c>
      <c r="R1382" t="s">
        <v>2493</v>
      </c>
      <c r="S1382" t="s">
        <v>257</v>
      </c>
      <c r="T1382" s="1">
        <v>44198</v>
      </c>
      <c r="U1382" s="1">
        <v>44198</v>
      </c>
      <c r="V1382" t="s">
        <v>260</v>
      </c>
      <c r="W1382">
        <v>181000</v>
      </c>
      <c r="X1382">
        <v>181000</v>
      </c>
      <c r="Y1382" t="s">
        <v>270</v>
      </c>
      <c r="Z1382">
        <v>34000</v>
      </c>
      <c r="AA1382">
        <v>34000</v>
      </c>
      <c r="AB1382" t="b">
        <v>0</v>
      </c>
      <c r="AC1382">
        <v>1</v>
      </c>
    </row>
    <row r="1383" spans="17:29" x14ac:dyDescent="0.2">
      <c r="Q1383" t="s">
        <v>2141</v>
      </c>
      <c r="R1383" t="s">
        <v>2493</v>
      </c>
      <c r="S1383" t="s">
        <v>257</v>
      </c>
      <c r="T1383" s="1">
        <v>44013</v>
      </c>
      <c r="U1383" s="1">
        <v>44013</v>
      </c>
      <c r="V1383" t="s">
        <v>260</v>
      </c>
      <c r="W1383">
        <v>557000</v>
      </c>
      <c r="X1383">
        <v>557000</v>
      </c>
      <c r="Y1383" t="s">
        <v>270</v>
      </c>
      <c r="Z1383">
        <v>102000</v>
      </c>
      <c r="AA1383">
        <v>102000</v>
      </c>
      <c r="AB1383" t="b">
        <v>0</v>
      </c>
      <c r="AC1383">
        <v>1</v>
      </c>
    </row>
    <row r="1384" spans="17:29" x14ac:dyDescent="0.2">
      <c r="Q1384" t="s">
        <v>2376</v>
      </c>
      <c r="R1384" t="s">
        <v>2493</v>
      </c>
      <c r="S1384" t="s">
        <v>257</v>
      </c>
      <c r="T1384" s="1">
        <v>43647</v>
      </c>
      <c r="U1384" s="1">
        <v>43647</v>
      </c>
      <c r="V1384" t="s">
        <v>260</v>
      </c>
      <c r="W1384">
        <v>43000</v>
      </c>
      <c r="X1384">
        <v>43000</v>
      </c>
      <c r="Y1384" t="s">
        <v>270</v>
      </c>
      <c r="Z1384">
        <v>11000</v>
      </c>
      <c r="AA1384">
        <v>11000</v>
      </c>
      <c r="AB1384" t="b">
        <v>0</v>
      </c>
      <c r="AC1384">
        <v>1</v>
      </c>
    </row>
    <row r="1385" spans="17:29" x14ac:dyDescent="0.2">
      <c r="Q1385" t="s">
        <v>2376</v>
      </c>
      <c r="R1385" t="s">
        <v>2493</v>
      </c>
      <c r="S1385" t="s">
        <v>257</v>
      </c>
      <c r="T1385" s="1">
        <v>43466</v>
      </c>
      <c r="U1385" s="1">
        <v>43466</v>
      </c>
      <c r="V1385" t="s">
        <v>260</v>
      </c>
      <c r="W1385">
        <v>502070</v>
      </c>
      <c r="X1385">
        <v>502070</v>
      </c>
      <c r="Y1385" t="s">
        <v>270</v>
      </c>
      <c r="Z1385">
        <v>130540</v>
      </c>
      <c r="AA1385">
        <v>130540</v>
      </c>
      <c r="AB1385" t="b">
        <v>0</v>
      </c>
      <c r="AC1385">
        <v>1</v>
      </c>
    </row>
    <row r="1386" spans="17:29" x14ac:dyDescent="0.2">
      <c r="Q1386" t="s">
        <v>2376</v>
      </c>
      <c r="R1386" t="s">
        <v>2493</v>
      </c>
      <c r="S1386" t="s">
        <v>257</v>
      </c>
      <c r="T1386" s="1">
        <v>43282</v>
      </c>
      <c r="U1386" s="1">
        <v>43282</v>
      </c>
      <c r="V1386" t="s">
        <v>260</v>
      </c>
      <c r="W1386">
        <v>156370</v>
      </c>
      <c r="X1386">
        <v>156370</v>
      </c>
      <c r="Y1386" t="s">
        <v>270</v>
      </c>
      <c r="Z1386">
        <v>40290</v>
      </c>
      <c r="AA1386">
        <v>40290</v>
      </c>
      <c r="AB1386" t="b">
        <v>0</v>
      </c>
      <c r="AC1386">
        <v>1</v>
      </c>
    </row>
    <row r="1387" spans="17:29" x14ac:dyDescent="0.2">
      <c r="Q1387" t="s">
        <v>2376</v>
      </c>
      <c r="R1387" t="s">
        <v>2493</v>
      </c>
      <c r="S1387" t="s">
        <v>257</v>
      </c>
      <c r="T1387" s="1">
        <v>44198</v>
      </c>
      <c r="U1387" s="1">
        <v>44198</v>
      </c>
      <c r="V1387" t="s">
        <v>260</v>
      </c>
      <c r="W1387">
        <v>181000</v>
      </c>
      <c r="X1387">
        <v>181000</v>
      </c>
      <c r="Y1387" t="s">
        <v>270</v>
      </c>
      <c r="Z1387">
        <v>34000</v>
      </c>
      <c r="AA1387">
        <v>34000</v>
      </c>
      <c r="AB1387" t="b">
        <v>0</v>
      </c>
      <c r="AC1387">
        <v>1</v>
      </c>
    </row>
    <row r="1388" spans="17:29" x14ac:dyDescent="0.2">
      <c r="Q1388" t="s">
        <v>2376</v>
      </c>
      <c r="R1388" t="s">
        <v>2493</v>
      </c>
      <c r="S1388" t="s">
        <v>257</v>
      </c>
      <c r="T1388" s="1">
        <v>44013</v>
      </c>
      <c r="U1388" s="1">
        <v>44013</v>
      </c>
      <c r="V1388" t="s">
        <v>260</v>
      </c>
      <c r="W1388">
        <v>557000</v>
      </c>
      <c r="X1388">
        <v>557000</v>
      </c>
      <c r="Y1388" t="s">
        <v>270</v>
      </c>
      <c r="Z1388">
        <v>102000</v>
      </c>
      <c r="AA1388">
        <v>102000</v>
      </c>
      <c r="AB1388" t="b">
        <v>0</v>
      </c>
      <c r="AC1388">
        <v>1</v>
      </c>
    </row>
    <row r="1389" spans="17:29" x14ac:dyDescent="0.2">
      <c r="Q1389" t="s">
        <v>2040</v>
      </c>
      <c r="R1389" t="s">
        <v>2494</v>
      </c>
      <c r="S1389" t="s">
        <v>257</v>
      </c>
      <c r="T1389" s="1">
        <v>44197</v>
      </c>
      <c r="U1389" s="1">
        <v>44197</v>
      </c>
      <c r="V1389" t="s">
        <v>260</v>
      </c>
      <c r="W1389">
        <v>171000</v>
      </c>
      <c r="X1389">
        <v>171000</v>
      </c>
      <c r="Y1389" t="s">
        <v>270</v>
      </c>
      <c r="Z1389">
        <v>32000</v>
      </c>
      <c r="AA1389">
        <v>32000</v>
      </c>
      <c r="AB1389" t="b">
        <v>0</v>
      </c>
      <c r="AC1389">
        <v>1</v>
      </c>
    </row>
    <row r="1390" spans="17:29" x14ac:dyDescent="0.2">
      <c r="Q1390" t="s">
        <v>2040</v>
      </c>
      <c r="R1390" t="s">
        <v>2494</v>
      </c>
      <c r="S1390" t="s">
        <v>257</v>
      </c>
      <c r="T1390" s="1">
        <v>44013</v>
      </c>
      <c r="U1390" s="1">
        <v>44013</v>
      </c>
      <c r="V1390" t="s">
        <v>260</v>
      </c>
      <c r="W1390">
        <v>218000</v>
      </c>
      <c r="X1390">
        <v>218000</v>
      </c>
      <c r="Y1390" t="s">
        <v>270</v>
      </c>
      <c r="Z1390">
        <v>40000</v>
      </c>
      <c r="AA1390">
        <v>40000</v>
      </c>
      <c r="AB1390" t="b">
        <v>0</v>
      </c>
      <c r="AC1390">
        <v>1</v>
      </c>
    </row>
    <row r="1391" spans="17:29" x14ac:dyDescent="0.2">
      <c r="Q1391" t="s">
        <v>2036</v>
      </c>
      <c r="R1391" t="s">
        <v>2494</v>
      </c>
      <c r="S1391" t="s">
        <v>257</v>
      </c>
      <c r="T1391" s="1">
        <v>44197</v>
      </c>
      <c r="U1391" s="1">
        <v>44197</v>
      </c>
      <c r="V1391" t="s">
        <v>260</v>
      </c>
      <c r="W1391">
        <v>171000</v>
      </c>
      <c r="X1391">
        <v>171000</v>
      </c>
      <c r="Y1391" t="s">
        <v>270</v>
      </c>
      <c r="Z1391">
        <v>32000</v>
      </c>
      <c r="AA1391">
        <v>32000</v>
      </c>
      <c r="AB1391" t="b">
        <v>0</v>
      </c>
      <c r="AC1391">
        <v>1</v>
      </c>
    </row>
    <row r="1392" spans="17:29" x14ac:dyDescent="0.2">
      <c r="Q1392" t="s">
        <v>2036</v>
      </c>
      <c r="R1392" t="s">
        <v>2494</v>
      </c>
      <c r="S1392" t="s">
        <v>257</v>
      </c>
      <c r="T1392" s="1">
        <v>44013</v>
      </c>
      <c r="U1392" s="1">
        <v>44013</v>
      </c>
      <c r="V1392" t="s">
        <v>260</v>
      </c>
      <c r="W1392">
        <v>218000</v>
      </c>
      <c r="X1392">
        <v>218000</v>
      </c>
      <c r="Y1392" t="s">
        <v>270</v>
      </c>
      <c r="Z1392">
        <v>40000</v>
      </c>
      <c r="AA1392">
        <v>40000</v>
      </c>
      <c r="AB1392" t="b">
        <v>0</v>
      </c>
      <c r="AC1392">
        <v>1</v>
      </c>
    </row>
    <row r="1393" spans="17:29" x14ac:dyDescent="0.2">
      <c r="Q1393" t="s">
        <v>2128</v>
      </c>
      <c r="R1393" t="s">
        <v>2495</v>
      </c>
      <c r="S1393" t="s">
        <v>257</v>
      </c>
      <c r="T1393" s="1">
        <v>43101</v>
      </c>
      <c r="U1393" s="1">
        <v>43101</v>
      </c>
      <c r="V1393" t="s">
        <v>260</v>
      </c>
      <c r="W1393">
        <v>136000</v>
      </c>
      <c r="X1393">
        <v>136000</v>
      </c>
      <c r="Y1393" t="s">
        <v>270</v>
      </c>
      <c r="Z1393">
        <v>39681</v>
      </c>
      <c r="AA1393">
        <v>39681</v>
      </c>
      <c r="AB1393" t="b">
        <v>1</v>
      </c>
      <c r="AC1393">
        <v>1</v>
      </c>
    </row>
    <row r="1394" spans="17:29" x14ac:dyDescent="0.2">
      <c r="Q1394" t="s">
        <v>2036</v>
      </c>
      <c r="R1394" t="s">
        <v>2495</v>
      </c>
      <c r="S1394" t="s">
        <v>257</v>
      </c>
      <c r="T1394" s="1">
        <v>43101</v>
      </c>
      <c r="U1394" s="1">
        <v>43101</v>
      </c>
      <c r="V1394" t="s">
        <v>260</v>
      </c>
      <c r="W1394">
        <v>136000</v>
      </c>
      <c r="X1394">
        <v>136000</v>
      </c>
      <c r="Y1394" t="s">
        <v>270</v>
      </c>
      <c r="Z1394">
        <v>39681</v>
      </c>
      <c r="AA1394">
        <v>39681</v>
      </c>
      <c r="AB1394" t="b">
        <v>1</v>
      </c>
      <c r="AC1394">
        <v>1</v>
      </c>
    </row>
    <row r="1395" spans="17:29" x14ac:dyDescent="0.2">
      <c r="Q1395" t="s">
        <v>2029</v>
      </c>
      <c r="R1395" t="s">
        <v>2496</v>
      </c>
      <c r="S1395" t="s">
        <v>257</v>
      </c>
      <c r="T1395" s="1">
        <v>44199</v>
      </c>
      <c r="U1395" s="1">
        <v>44199</v>
      </c>
      <c r="V1395" t="s">
        <v>260</v>
      </c>
      <c r="W1395">
        <v>115000</v>
      </c>
      <c r="X1395">
        <v>115000</v>
      </c>
      <c r="Y1395" t="s">
        <v>270</v>
      </c>
      <c r="Z1395">
        <v>21000</v>
      </c>
      <c r="AA1395">
        <v>21000</v>
      </c>
      <c r="AB1395" t="b">
        <v>0</v>
      </c>
      <c r="AC1395">
        <v>1</v>
      </c>
    </row>
    <row r="1396" spans="17:29" x14ac:dyDescent="0.2">
      <c r="Q1396" t="s">
        <v>2029</v>
      </c>
      <c r="R1396" t="s">
        <v>2496</v>
      </c>
      <c r="S1396" t="s">
        <v>257</v>
      </c>
      <c r="T1396" s="1">
        <v>44013</v>
      </c>
      <c r="U1396" s="1">
        <v>44013</v>
      </c>
      <c r="V1396" t="s">
        <v>260</v>
      </c>
      <c r="W1396">
        <v>737000</v>
      </c>
      <c r="X1396">
        <v>737000</v>
      </c>
      <c r="Y1396" t="s">
        <v>270</v>
      </c>
      <c r="Z1396">
        <v>136000</v>
      </c>
      <c r="AA1396">
        <v>136000</v>
      </c>
      <c r="AB1396" t="b">
        <v>0</v>
      </c>
      <c r="AC1396">
        <v>1</v>
      </c>
    </row>
    <row r="1397" spans="17:29" x14ac:dyDescent="0.2">
      <c r="Q1397" t="s">
        <v>2374</v>
      </c>
      <c r="R1397" t="s">
        <v>2496</v>
      </c>
      <c r="S1397" t="s">
        <v>257</v>
      </c>
      <c r="T1397" s="1">
        <v>44199</v>
      </c>
      <c r="U1397" s="1">
        <v>44199</v>
      </c>
      <c r="V1397" t="s">
        <v>260</v>
      </c>
      <c r="W1397">
        <v>115000</v>
      </c>
      <c r="X1397">
        <v>115000</v>
      </c>
      <c r="Y1397" t="s">
        <v>270</v>
      </c>
      <c r="Z1397">
        <v>21000</v>
      </c>
      <c r="AA1397">
        <v>21000</v>
      </c>
      <c r="AB1397" t="b">
        <v>0</v>
      </c>
      <c r="AC1397">
        <v>1</v>
      </c>
    </row>
    <row r="1398" spans="17:29" x14ac:dyDescent="0.2">
      <c r="Q1398" t="s">
        <v>2374</v>
      </c>
      <c r="R1398" t="s">
        <v>2496</v>
      </c>
      <c r="S1398" t="s">
        <v>257</v>
      </c>
      <c r="T1398" s="1">
        <v>44013</v>
      </c>
      <c r="U1398" s="1">
        <v>44013</v>
      </c>
      <c r="V1398" t="s">
        <v>260</v>
      </c>
      <c r="W1398">
        <v>737000</v>
      </c>
      <c r="X1398">
        <v>737000</v>
      </c>
      <c r="Y1398" t="s">
        <v>270</v>
      </c>
      <c r="Z1398">
        <v>136000</v>
      </c>
      <c r="AA1398">
        <v>136000</v>
      </c>
      <c r="AB1398" t="b">
        <v>0</v>
      </c>
      <c r="AC1398">
        <v>1</v>
      </c>
    </row>
    <row r="1399" spans="17:29" x14ac:dyDescent="0.2">
      <c r="Q1399" t="s">
        <v>2141</v>
      </c>
      <c r="R1399" t="s">
        <v>2497</v>
      </c>
      <c r="S1399" t="s">
        <v>257</v>
      </c>
      <c r="T1399" s="1">
        <v>43101</v>
      </c>
      <c r="U1399" s="1">
        <v>43101</v>
      </c>
      <c r="V1399" t="s">
        <v>260</v>
      </c>
      <c r="W1399">
        <v>2892076</v>
      </c>
      <c r="X1399">
        <v>2892076</v>
      </c>
      <c r="Y1399" t="s">
        <v>270</v>
      </c>
      <c r="Z1399">
        <v>843811</v>
      </c>
      <c r="AA1399">
        <v>843811</v>
      </c>
      <c r="AB1399" t="b">
        <v>1</v>
      </c>
      <c r="AC1399">
        <v>1</v>
      </c>
    </row>
    <row r="1400" spans="17:29" x14ac:dyDescent="0.2">
      <c r="Q1400" t="s">
        <v>2141</v>
      </c>
      <c r="R1400" t="s">
        <v>2497</v>
      </c>
      <c r="S1400" t="s">
        <v>257</v>
      </c>
      <c r="T1400" s="1">
        <v>42887</v>
      </c>
      <c r="U1400" s="1">
        <v>42887</v>
      </c>
      <c r="V1400" t="s">
        <v>260</v>
      </c>
      <c r="W1400">
        <v>2062700</v>
      </c>
      <c r="X1400">
        <v>2062700</v>
      </c>
      <c r="Y1400" t="s">
        <v>270</v>
      </c>
      <c r="Z1400">
        <v>646109</v>
      </c>
      <c r="AA1400">
        <v>646109</v>
      </c>
      <c r="AB1400" t="b">
        <v>1</v>
      </c>
      <c r="AC1400">
        <v>1</v>
      </c>
    </row>
    <row r="1401" spans="17:29" x14ac:dyDescent="0.2">
      <c r="Q1401" t="s">
        <v>2141</v>
      </c>
      <c r="R1401" t="s">
        <v>2497</v>
      </c>
      <c r="S1401" t="s">
        <v>257</v>
      </c>
      <c r="T1401" s="1">
        <v>42522</v>
      </c>
      <c r="U1401" s="1">
        <v>42522</v>
      </c>
      <c r="V1401" t="s">
        <v>260</v>
      </c>
      <c r="W1401">
        <v>45672014</v>
      </c>
      <c r="X1401">
        <v>45672014</v>
      </c>
      <c r="Y1401" t="s">
        <v>270</v>
      </c>
      <c r="Z1401">
        <v>13111709</v>
      </c>
      <c r="AA1401">
        <v>13111709</v>
      </c>
      <c r="AB1401" t="b">
        <v>1</v>
      </c>
      <c r="AC1401">
        <v>1</v>
      </c>
    </row>
    <row r="1402" spans="17:29" x14ac:dyDescent="0.2">
      <c r="Q1402" t="s">
        <v>2141</v>
      </c>
      <c r="R1402" t="s">
        <v>2497</v>
      </c>
      <c r="S1402" t="s">
        <v>257</v>
      </c>
      <c r="T1402" s="1">
        <v>42248</v>
      </c>
      <c r="U1402" s="1">
        <v>42248</v>
      </c>
      <c r="V1402" t="s">
        <v>260</v>
      </c>
      <c r="W1402">
        <v>49459442</v>
      </c>
      <c r="X1402">
        <v>49459442</v>
      </c>
      <c r="Y1402" t="s">
        <v>270</v>
      </c>
      <c r="Z1402">
        <v>14813982</v>
      </c>
      <c r="AA1402">
        <v>14813982</v>
      </c>
      <c r="AB1402" t="b">
        <v>1</v>
      </c>
      <c r="AC1402">
        <v>1</v>
      </c>
    </row>
    <row r="1403" spans="17:29" x14ac:dyDescent="0.2">
      <c r="Q1403" t="s">
        <v>2036</v>
      </c>
      <c r="R1403" t="s">
        <v>2497</v>
      </c>
      <c r="S1403" t="s">
        <v>257</v>
      </c>
      <c r="T1403" s="1">
        <v>43101</v>
      </c>
      <c r="U1403" s="1">
        <v>43101</v>
      </c>
      <c r="V1403" t="s">
        <v>260</v>
      </c>
      <c r="W1403">
        <v>2892076</v>
      </c>
      <c r="X1403">
        <v>2892076</v>
      </c>
      <c r="Y1403" t="s">
        <v>270</v>
      </c>
      <c r="Z1403">
        <v>843811</v>
      </c>
      <c r="AA1403">
        <v>843811</v>
      </c>
      <c r="AB1403" t="b">
        <v>1</v>
      </c>
      <c r="AC1403">
        <v>1</v>
      </c>
    </row>
    <row r="1404" spans="17:29" x14ac:dyDescent="0.2">
      <c r="Q1404" t="s">
        <v>2036</v>
      </c>
      <c r="R1404" t="s">
        <v>2497</v>
      </c>
      <c r="S1404" t="s">
        <v>257</v>
      </c>
      <c r="T1404" s="1">
        <v>42887</v>
      </c>
      <c r="U1404" s="1">
        <v>42887</v>
      </c>
      <c r="V1404" t="s">
        <v>260</v>
      </c>
      <c r="W1404">
        <v>2062700</v>
      </c>
      <c r="X1404">
        <v>2062700</v>
      </c>
      <c r="Y1404" t="s">
        <v>270</v>
      </c>
      <c r="Z1404">
        <v>646109</v>
      </c>
      <c r="AA1404">
        <v>646109</v>
      </c>
      <c r="AB1404" t="b">
        <v>1</v>
      </c>
      <c r="AC1404">
        <v>1</v>
      </c>
    </row>
    <row r="1405" spans="17:29" x14ac:dyDescent="0.2">
      <c r="Q1405" t="s">
        <v>2036</v>
      </c>
      <c r="R1405" t="s">
        <v>2497</v>
      </c>
      <c r="S1405" t="s">
        <v>257</v>
      </c>
      <c r="T1405" s="1">
        <v>42522</v>
      </c>
      <c r="U1405" s="1">
        <v>42522</v>
      </c>
      <c r="V1405" t="s">
        <v>260</v>
      </c>
      <c r="W1405">
        <v>45672014</v>
      </c>
      <c r="X1405">
        <v>45672014</v>
      </c>
      <c r="Y1405" t="s">
        <v>270</v>
      </c>
      <c r="Z1405">
        <v>13111709</v>
      </c>
      <c r="AA1405">
        <v>13111709</v>
      </c>
      <c r="AB1405" t="b">
        <v>1</v>
      </c>
      <c r="AC1405">
        <v>1</v>
      </c>
    </row>
    <row r="1406" spans="17:29" x14ac:dyDescent="0.2">
      <c r="Q1406" t="s">
        <v>2036</v>
      </c>
      <c r="R1406" t="s">
        <v>2497</v>
      </c>
      <c r="S1406" t="s">
        <v>257</v>
      </c>
      <c r="T1406" s="1">
        <v>42248</v>
      </c>
      <c r="U1406" s="1">
        <v>42248</v>
      </c>
      <c r="V1406" t="s">
        <v>260</v>
      </c>
      <c r="W1406">
        <v>49459442</v>
      </c>
      <c r="X1406">
        <v>49459442</v>
      </c>
      <c r="Y1406" t="s">
        <v>270</v>
      </c>
      <c r="Z1406">
        <v>14813982</v>
      </c>
      <c r="AA1406">
        <v>14813982</v>
      </c>
      <c r="AB1406" t="b">
        <v>1</v>
      </c>
      <c r="AC1406">
        <v>1</v>
      </c>
    </row>
    <row r="1407" spans="17:29" x14ac:dyDescent="0.2">
      <c r="Q1407" t="s">
        <v>2080</v>
      </c>
      <c r="R1407" t="s">
        <v>2498</v>
      </c>
      <c r="S1407" t="s">
        <v>257</v>
      </c>
      <c r="T1407" s="1">
        <v>44197</v>
      </c>
      <c r="U1407" s="1">
        <v>44197</v>
      </c>
      <c r="V1407" t="s">
        <v>260</v>
      </c>
      <c r="W1407">
        <v>1836000</v>
      </c>
      <c r="X1407">
        <v>1836000</v>
      </c>
      <c r="Y1407" t="s">
        <v>270</v>
      </c>
      <c r="Z1407">
        <v>341000</v>
      </c>
      <c r="AA1407">
        <v>341000</v>
      </c>
      <c r="AB1407" t="b">
        <v>0</v>
      </c>
      <c r="AC1407">
        <v>1</v>
      </c>
    </row>
    <row r="1408" spans="17:29" x14ac:dyDescent="0.2">
      <c r="Q1408" t="s">
        <v>2080</v>
      </c>
      <c r="R1408" t="s">
        <v>2498</v>
      </c>
      <c r="S1408" t="s">
        <v>257</v>
      </c>
      <c r="T1408" s="1">
        <v>44013</v>
      </c>
      <c r="U1408" s="1">
        <v>44013</v>
      </c>
      <c r="V1408" t="s">
        <v>260</v>
      </c>
      <c r="W1408">
        <v>2358000</v>
      </c>
      <c r="X1408">
        <v>2358000</v>
      </c>
      <c r="Y1408" t="s">
        <v>270</v>
      </c>
      <c r="Z1408">
        <v>434000</v>
      </c>
      <c r="AA1408">
        <v>434000</v>
      </c>
      <c r="AB1408" t="b">
        <v>0</v>
      </c>
      <c r="AC1408">
        <v>1</v>
      </c>
    </row>
    <row r="1409" spans="17:29" x14ac:dyDescent="0.2">
      <c r="Q1409" t="s">
        <v>2080</v>
      </c>
      <c r="R1409" t="s">
        <v>2498</v>
      </c>
      <c r="S1409" t="s">
        <v>257</v>
      </c>
      <c r="T1409" s="1">
        <v>43831</v>
      </c>
      <c r="U1409" s="1">
        <v>43831</v>
      </c>
      <c r="V1409" t="s">
        <v>260</v>
      </c>
      <c r="W1409">
        <v>1315000</v>
      </c>
      <c r="X1409">
        <v>1315000</v>
      </c>
      <c r="Y1409" t="s">
        <v>270</v>
      </c>
      <c r="Z1409">
        <v>267000</v>
      </c>
      <c r="AA1409">
        <v>267000</v>
      </c>
      <c r="AB1409" t="b">
        <v>0</v>
      </c>
      <c r="AC1409">
        <v>1</v>
      </c>
    </row>
    <row r="1410" spans="17:29" x14ac:dyDescent="0.2">
      <c r="Q1410" t="s">
        <v>2080</v>
      </c>
      <c r="R1410" t="s">
        <v>2498</v>
      </c>
      <c r="S1410" t="s">
        <v>257</v>
      </c>
      <c r="T1410" s="1">
        <v>43647</v>
      </c>
      <c r="U1410" s="1">
        <v>43647</v>
      </c>
      <c r="V1410" t="s">
        <v>260</v>
      </c>
      <c r="W1410">
        <v>1667000</v>
      </c>
      <c r="X1410">
        <v>1667000</v>
      </c>
      <c r="Y1410" t="s">
        <v>270</v>
      </c>
      <c r="Z1410">
        <v>411000</v>
      </c>
      <c r="AA1410">
        <v>411000</v>
      </c>
      <c r="AB1410" t="b">
        <v>0</v>
      </c>
      <c r="AC1410">
        <v>1</v>
      </c>
    </row>
    <row r="1411" spans="17:29" x14ac:dyDescent="0.2">
      <c r="Q1411" t="s">
        <v>2082</v>
      </c>
      <c r="R1411" t="s">
        <v>2498</v>
      </c>
      <c r="S1411" t="s">
        <v>257</v>
      </c>
      <c r="T1411" s="1">
        <v>44197</v>
      </c>
      <c r="U1411" s="1">
        <v>44197</v>
      </c>
      <c r="V1411" t="s">
        <v>260</v>
      </c>
      <c r="W1411">
        <v>1836000</v>
      </c>
      <c r="X1411">
        <v>1836000</v>
      </c>
      <c r="Y1411" t="s">
        <v>270</v>
      </c>
      <c r="Z1411">
        <v>341000</v>
      </c>
      <c r="AA1411">
        <v>341000</v>
      </c>
      <c r="AB1411" t="b">
        <v>0</v>
      </c>
      <c r="AC1411">
        <v>1</v>
      </c>
    </row>
    <row r="1412" spans="17:29" x14ac:dyDescent="0.2">
      <c r="Q1412" t="s">
        <v>2082</v>
      </c>
      <c r="R1412" t="s">
        <v>2498</v>
      </c>
      <c r="S1412" t="s">
        <v>257</v>
      </c>
      <c r="T1412" s="1">
        <v>44013</v>
      </c>
      <c r="U1412" s="1">
        <v>44013</v>
      </c>
      <c r="V1412" t="s">
        <v>260</v>
      </c>
      <c r="W1412">
        <v>2358000</v>
      </c>
      <c r="X1412">
        <v>2358000</v>
      </c>
      <c r="Y1412" t="s">
        <v>270</v>
      </c>
      <c r="Z1412">
        <v>434000</v>
      </c>
      <c r="AA1412">
        <v>434000</v>
      </c>
      <c r="AB1412" t="b">
        <v>0</v>
      </c>
      <c r="AC1412">
        <v>1</v>
      </c>
    </row>
    <row r="1413" spans="17:29" x14ac:dyDescent="0.2">
      <c r="Q1413" t="s">
        <v>2082</v>
      </c>
      <c r="R1413" t="s">
        <v>2498</v>
      </c>
      <c r="S1413" t="s">
        <v>257</v>
      </c>
      <c r="T1413" s="1">
        <v>43831</v>
      </c>
      <c r="U1413" s="1">
        <v>43831</v>
      </c>
      <c r="V1413" t="s">
        <v>260</v>
      </c>
      <c r="W1413">
        <v>1315000</v>
      </c>
      <c r="X1413">
        <v>1315000</v>
      </c>
      <c r="Y1413" t="s">
        <v>270</v>
      </c>
      <c r="Z1413">
        <v>267000</v>
      </c>
      <c r="AA1413">
        <v>267000</v>
      </c>
      <c r="AB1413" t="b">
        <v>0</v>
      </c>
      <c r="AC1413">
        <v>1</v>
      </c>
    </row>
    <row r="1414" spans="17:29" x14ac:dyDescent="0.2">
      <c r="Q1414" t="s">
        <v>2082</v>
      </c>
      <c r="R1414" t="s">
        <v>2498</v>
      </c>
      <c r="S1414" t="s">
        <v>257</v>
      </c>
      <c r="T1414" s="1">
        <v>43647</v>
      </c>
      <c r="U1414" s="1">
        <v>43647</v>
      </c>
      <c r="V1414" t="s">
        <v>260</v>
      </c>
      <c r="W1414">
        <v>1667000</v>
      </c>
      <c r="X1414">
        <v>1667000</v>
      </c>
      <c r="Y1414" t="s">
        <v>270</v>
      </c>
      <c r="Z1414">
        <v>411000</v>
      </c>
      <c r="AA1414">
        <v>411000</v>
      </c>
      <c r="AB1414" t="b">
        <v>0</v>
      </c>
      <c r="AC1414">
        <v>1</v>
      </c>
    </row>
    <row r="1415" spans="17:29" x14ac:dyDescent="0.2">
      <c r="Q1415" t="s">
        <v>2408</v>
      </c>
      <c r="R1415" t="s">
        <v>2499</v>
      </c>
      <c r="S1415" t="s">
        <v>257</v>
      </c>
      <c r="T1415" s="1">
        <v>44197</v>
      </c>
      <c r="U1415" s="1">
        <v>44197</v>
      </c>
      <c r="V1415" t="s">
        <v>260</v>
      </c>
      <c r="W1415">
        <v>294000</v>
      </c>
      <c r="X1415">
        <v>294000</v>
      </c>
      <c r="Y1415" t="s">
        <v>270</v>
      </c>
      <c r="Z1415">
        <v>55000</v>
      </c>
      <c r="AA1415">
        <v>55000</v>
      </c>
      <c r="AB1415" t="b">
        <v>0</v>
      </c>
      <c r="AC1415">
        <v>1</v>
      </c>
    </row>
    <row r="1416" spans="17:29" x14ac:dyDescent="0.2">
      <c r="Q1416" t="s">
        <v>2408</v>
      </c>
      <c r="R1416" t="s">
        <v>2499</v>
      </c>
      <c r="S1416" t="s">
        <v>257</v>
      </c>
      <c r="T1416" s="1">
        <v>44013</v>
      </c>
      <c r="U1416" s="1">
        <v>44013</v>
      </c>
      <c r="V1416" t="s">
        <v>260</v>
      </c>
      <c r="W1416">
        <v>516000</v>
      </c>
      <c r="X1416">
        <v>516000</v>
      </c>
      <c r="Y1416" t="s">
        <v>270</v>
      </c>
      <c r="Z1416">
        <v>95000</v>
      </c>
      <c r="AA1416">
        <v>95000</v>
      </c>
      <c r="AB1416" t="b">
        <v>0</v>
      </c>
      <c r="AC1416">
        <v>1</v>
      </c>
    </row>
    <row r="1417" spans="17:29" x14ac:dyDescent="0.2">
      <c r="Q1417" t="s">
        <v>2067</v>
      </c>
      <c r="R1417" t="s">
        <v>2499</v>
      </c>
      <c r="S1417" t="s">
        <v>257</v>
      </c>
      <c r="T1417" s="1">
        <v>44197</v>
      </c>
      <c r="U1417" s="1">
        <v>44197</v>
      </c>
      <c r="V1417" t="s">
        <v>260</v>
      </c>
      <c r="W1417">
        <v>294000</v>
      </c>
      <c r="X1417">
        <v>294000</v>
      </c>
      <c r="Y1417" t="s">
        <v>270</v>
      </c>
      <c r="Z1417">
        <v>55000</v>
      </c>
      <c r="AA1417">
        <v>55000</v>
      </c>
      <c r="AB1417" t="b">
        <v>0</v>
      </c>
      <c r="AC1417">
        <v>1</v>
      </c>
    </row>
    <row r="1418" spans="17:29" x14ac:dyDescent="0.2">
      <c r="Q1418" t="s">
        <v>2067</v>
      </c>
      <c r="R1418" t="s">
        <v>2499</v>
      </c>
      <c r="S1418" t="s">
        <v>257</v>
      </c>
      <c r="T1418" s="1">
        <v>44013</v>
      </c>
      <c r="U1418" s="1">
        <v>44013</v>
      </c>
      <c r="V1418" t="s">
        <v>260</v>
      </c>
      <c r="W1418">
        <v>516000</v>
      </c>
      <c r="X1418">
        <v>516000</v>
      </c>
      <c r="Y1418" t="s">
        <v>270</v>
      </c>
      <c r="Z1418">
        <v>95000</v>
      </c>
      <c r="AA1418">
        <v>95000</v>
      </c>
      <c r="AB1418" t="b">
        <v>0</v>
      </c>
      <c r="AC1418">
        <v>1</v>
      </c>
    </row>
    <row r="1419" spans="17:29" x14ac:dyDescent="0.2">
      <c r="Q1419" t="s">
        <v>2208</v>
      </c>
      <c r="R1419" t="s">
        <v>2500</v>
      </c>
      <c r="S1419" t="s">
        <v>257</v>
      </c>
      <c r="T1419" s="1">
        <v>43466</v>
      </c>
      <c r="U1419" s="1">
        <v>43466</v>
      </c>
      <c r="V1419" t="s">
        <v>260</v>
      </c>
      <c r="W1419">
        <v>1586010</v>
      </c>
      <c r="X1419">
        <v>1586010</v>
      </c>
      <c r="Y1419" t="s">
        <v>270</v>
      </c>
      <c r="Z1419">
        <v>412390</v>
      </c>
      <c r="AA1419">
        <v>412390</v>
      </c>
      <c r="AB1419" t="b">
        <v>0</v>
      </c>
      <c r="AC1419">
        <v>1</v>
      </c>
    </row>
    <row r="1420" spans="17:29" x14ac:dyDescent="0.2">
      <c r="Q1420" t="s">
        <v>2208</v>
      </c>
      <c r="R1420" t="s">
        <v>2500</v>
      </c>
      <c r="S1420" t="s">
        <v>257</v>
      </c>
      <c r="T1420" s="1">
        <v>43282</v>
      </c>
      <c r="U1420" s="1">
        <v>43282</v>
      </c>
      <c r="V1420" t="s">
        <v>260</v>
      </c>
      <c r="W1420">
        <v>177960</v>
      </c>
      <c r="X1420">
        <v>177960</v>
      </c>
      <c r="Y1420" t="s">
        <v>270</v>
      </c>
      <c r="Z1420">
        <v>45860</v>
      </c>
      <c r="AA1420">
        <v>45860</v>
      </c>
      <c r="AB1420" t="b">
        <v>0</v>
      </c>
      <c r="AC1420">
        <v>1</v>
      </c>
    </row>
    <row r="1421" spans="17:29" x14ac:dyDescent="0.2">
      <c r="Q1421" t="s">
        <v>2210</v>
      </c>
      <c r="R1421" t="s">
        <v>2500</v>
      </c>
      <c r="S1421" t="s">
        <v>257</v>
      </c>
      <c r="T1421" s="1">
        <v>43466</v>
      </c>
      <c r="U1421" s="1">
        <v>43466</v>
      </c>
      <c r="V1421" t="s">
        <v>260</v>
      </c>
      <c r="W1421">
        <v>1586010</v>
      </c>
      <c r="X1421">
        <v>1586010</v>
      </c>
      <c r="Y1421" t="s">
        <v>270</v>
      </c>
      <c r="Z1421">
        <v>412390</v>
      </c>
      <c r="AA1421">
        <v>412390</v>
      </c>
      <c r="AB1421" t="b">
        <v>0</v>
      </c>
      <c r="AC1421">
        <v>1</v>
      </c>
    </row>
    <row r="1422" spans="17:29" x14ac:dyDescent="0.2">
      <c r="Q1422" t="s">
        <v>2210</v>
      </c>
      <c r="R1422" t="s">
        <v>2500</v>
      </c>
      <c r="S1422" t="s">
        <v>257</v>
      </c>
      <c r="T1422" s="1">
        <v>43282</v>
      </c>
      <c r="U1422" s="1">
        <v>43282</v>
      </c>
      <c r="V1422" t="s">
        <v>260</v>
      </c>
      <c r="W1422">
        <v>177960</v>
      </c>
      <c r="X1422">
        <v>177960</v>
      </c>
      <c r="Y1422" t="s">
        <v>270</v>
      </c>
      <c r="Z1422">
        <v>45860</v>
      </c>
      <c r="AA1422">
        <v>45860</v>
      </c>
      <c r="AB1422" t="b">
        <v>0</v>
      </c>
      <c r="AC1422">
        <v>1</v>
      </c>
    </row>
    <row r="1423" spans="17:29" x14ac:dyDescent="0.2">
      <c r="Q1423" t="s">
        <v>2080</v>
      </c>
      <c r="R1423" t="s">
        <v>2501</v>
      </c>
      <c r="S1423" t="s">
        <v>257</v>
      </c>
      <c r="T1423" s="1">
        <v>44197</v>
      </c>
      <c r="U1423" s="1">
        <v>44197</v>
      </c>
      <c r="V1423" t="s">
        <v>260</v>
      </c>
      <c r="W1423">
        <v>156794000</v>
      </c>
      <c r="X1423">
        <v>156794000</v>
      </c>
      <c r="Y1423" t="s">
        <v>270</v>
      </c>
      <c r="Z1423">
        <v>29089000</v>
      </c>
      <c r="AA1423">
        <v>29089000</v>
      </c>
      <c r="AB1423" t="b">
        <v>0</v>
      </c>
      <c r="AC1423">
        <v>1</v>
      </c>
    </row>
    <row r="1424" spans="17:29" x14ac:dyDescent="0.2">
      <c r="Q1424" t="s">
        <v>2080</v>
      </c>
      <c r="R1424" t="s">
        <v>2501</v>
      </c>
      <c r="S1424" t="s">
        <v>257</v>
      </c>
      <c r="T1424" s="1">
        <v>44013</v>
      </c>
      <c r="U1424" s="1">
        <v>44013</v>
      </c>
      <c r="V1424" t="s">
        <v>260</v>
      </c>
      <c r="W1424">
        <v>147935000</v>
      </c>
      <c r="X1424">
        <v>147935000</v>
      </c>
      <c r="Y1424" t="s">
        <v>270</v>
      </c>
      <c r="Z1424">
        <v>27214000</v>
      </c>
      <c r="AA1424">
        <v>27214000</v>
      </c>
      <c r="AB1424" t="b">
        <v>0</v>
      </c>
      <c r="AC1424">
        <v>1</v>
      </c>
    </row>
    <row r="1425" spans="17:29" x14ac:dyDescent="0.2">
      <c r="Q1425" t="s">
        <v>2080</v>
      </c>
      <c r="R1425" t="s">
        <v>2501</v>
      </c>
      <c r="S1425" t="s">
        <v>257</v>
      </c>
      <c r="T1425" s="1">
        <v>43101</v>
      </c>
      <c r="U1425" s="1">
        <v>43101</v>
      </c>
      <c r="V1425" t="s">
        <v>260</v>
      </c>
      <c r="W1425">
        <v>29207000</v>
      </c>
      <c r="X1425">
        <v>29207000</v>
      </c>
      <c r="Y1425" t="s">
        <v>270</v>
      </c>
      <c r="Z1425">
        <v>8521620</v>
      </c>
      <c r="AA1425">
        <v>8521620</v>
      </c>
      <c r="AB1425" t="b">
        <v>0</v>
      </c>
      <c r="AC1425">
        <v>1</v>
      </c>
    </row>
    <row r="1426" spans="17:29" x14ac:dyDescent="0.2">
      <c r="Q1426" t="s">
        <v>2080</v>
      </c>
      <c r="R1426" t="s">
        <v>2501</v>
      </c>
      <c r="S1426" t="s">
        <v>257</v>
      </c>
      <c r="T1426" s="1">
        <v>42887</v>
      </c>
      <c r="U1426" s="1">
        <v>42887</v>
      </c>
      <c r="V1426" t="s">
        <v>260</v>
      </c>
      <c r="W1426">
        <v>21682000</v>
      </c>
      <c r="X1426">
        <v>21682000</v>
      </c>
      <c r="Y1426" t="s">
        <v>270</v>
      </c>
      <c r="Z1426">
        <v>6791543</v>
      </c>
      <c r="AA1426">
        <v>6791543</v>
      </c>
      <c r="AB1426" t="b">
        <v>0</v>
      </c>
      <c r="AC1426">
        <v>1</v>
      </c>
    </row>
    <row r="1427" spans="17:29" x14ac:dyDescent="0.2">
      <c r="Q1427" t="s">
        <v>2080</v>
      </c>
      <c r="R1427" t="s">
        <v>2501</v>
      </c>
      <c r="S1427" t="s">
        <v>257</v>
      </c>
      <c r="T1427" s="1">
        <v>42522</v>
      </c>
      <c r="U1427" s="1">
        <v>42522</v>
      </c>
      <c r="V1427" t="s">
        <v>260</v>
      </c>
      <c r="W1427">
        <v>140676000</v>
      </c>
      <c r="X1427">
        <v>140676000</v>
      </c>
      <c r="Y1427" t="s">
        <v>270</v>
      </c>
      <c r="Z1427">
        <v>40385842</v>
      </c>
      <c r="AA1427">
        <v>40385842</v>
      </c>
      <c r="AB1427" t="b">
        <v>0</v>
      </c>
      <c r="AC1427">
        <v>1</v>
      </c>
    </row>
    <row r="1428" spans="17:29" x14ac:dyDescent="0.2">
      <c r="Q1428" t="s">
        <v>2080</v>
      </c>
      <c r="R1428" t="s">
        <v>2501</v>
      </c>
      <c r="S1428" t="s">
        <v>257</v>
      </c>
      <c r="T1428" s="1">
        <v>42248</v>
      </c>
      <c r="U1428" s="1">
        <v>42248</v>
      </c>
      <c r="V1428" t="s">
        <v>260</v>
      </c>
      <c r="W1428">
        <v>18663000</v>
      </c>
      <c r="X1428">
        <v>18663000</v>
      </c>
      <c r="Y1428" t="s">
        <v>270</v>
      </c>
      <c r="Z1428">
        <v>5589901</v>
      </c>
      <c r="AA1428">
        <v>5589901</v>
      </c>
      <c r="AB1428" t="b">
        <v>0</v>
      </c>
      <c r="AC1428">
        <v>1</v>
      </c>
    </row>
    <row r="1429" spans="17:29" x14ac:dyDescent="0.2">
      <c r="Q1429" t="s">
        <v>2080</v>
      </c>
      <c r="R1429" t="s">
        <v>2501</v>
      </c>
      <c r="S1429" t="s">
        <v>257</v>
      </c>
      <c r="T1429" s="1">
        <v>43831</v>
      </c>
      <c r="U1429" s="1">
        <v>43831</v>
      </c>
      <c r="V1429" t="s">
        <v>260</v>
      </c>
      <c r="W1429">
        <v>266819000</v>
      </c>
      <c r="X1429">
        <v>266819000</v>
      </c>
      <c r="Y1429" t="s">
        <v>270</v>
      </c>
      <c r="Z1429">
        <v>54195000</v>
      </c>
      <c r="AA1429">
        <v>54195000</v>
      </c>
      <c r="AB1429" t="b">
        <v>0</v>
      </c>
      <c r="AC1429">
        <v>1</v>
      </c>
    </row>
    <row r="1430" spans="17:29" x14ac:dyDescent="0.2">
      <c r="Q1430" t="s">
        <v>2080</v>
      </c>
      <c r="R1430" t="s">
        <v>2501</v>
      </c>
      <c r="S1430" t="s">
        <v>257</v>
      </c>
      <c r="T1430" s="1">
        <v>43647</v>
      </c>
      <c r="U1430" s="1">
        <v>43647</v>
      </c>
      <c r="V1430" t="s">
        <v>260</v>
      </c>
      <c r="W1430">
        <v>63284000</v>
      </c>
      <c r="X1430">
        <v>63284000</v>
      </c>
      <c r="Y1430" t="s">
        <v>270</v>
      </c>
      <c r="Z1430">
        <v>15609000</v>
      </c>
      <c r="AA1430">
        <v>15609000</v>
      </c>
      <c r="AB1430" t="b">
        <v>0</v>
      </c>
      <c r="AC1430">
        <v>1</v>
      </c>
    </row>
    <row r="1431" spans="17:29" x14ac:dyDescent="0.2">
      <c r="Q1431" t="s">
        <v>2080</v>
      </c>
      <c r="R1431" t="s">
        <v>2501</v>
      </c>
      <c r="S1431" t="s">
        <v>257</v>
      </c>
      <c r="T1431" s="1">
        <v>43466</v>
      </c>
      <c r="U1431" s="1">
        <v>43466</v>
      </c>
      <c r="V1431" t="s">
        <v>260</v>
      </c>
      <c r="W1431">
        <v>112021550</v>
      </c>
      <c r="X1431">
        <v>112021550</v>
      </c>
      <c r="Y1431" t="s">
        <v>270</v>
      </c>
      <c r="Z1431">
        <v>29127530</v>
      </c>
      <c r="AA1431">
        <v>29127530</v>
      </c>
      <c r="AB1431" t="b">
        <v>0</v>
      </c>
      <c r="AC1431">
        <v>1</v>
      </c>
    </row>
    <row r="1432" spans="17:29" x14ac:dyDescent="0.2">
      <c r="Q1432" t="s">
        <v>2082</v>
      </c>
      <c r="R1432" t="s">
        <v>2501</v>
      </c>
      <c r="S1432" t="s">
        <v>257</v>
      </c>
      <c r="T1432" s="1">
        <v>44197</v>
      </c>
      <c r="U1432" s="1">
        <v>44197</v>
      </c>
      <c r="V1432" t="s">
        <v>260</v>
      </c>
      <c r="W1432">
        <v>156794000</v>
      </c>
      <c r="X1432">
        <v>156794000</v>
      </c>
      <c r="Y1432" t="s">
        <v>270</v>
      </c>
      <c r="Z1432">
        <v>29089000</v>
      </c>
      <c r="AA1432">
        <v>29089000</v>
      </c>
      <c r="AB1432" t="b">
        <v>0</v>
      </c>
      <c r="AC1432">
        <v>1</v>
      </c>
    </row>
    <row r="1433" spans="17:29" x14ac:dyDescent="0.2">
      <c r="Q1433" t="s">
        <v>2082</v>
      </c>
      <c r="R1433" t="s">
        <v>2501</v>
      </c>
      <c r="S1433" t="s">
        <v>257</v>
      </c>
      <c r="T1433" s="1">
        <v>44013</v>
      </c>
      <c r="U1433" s="1">
        <v>44013</v>
      </c>
      <c r="V1433" t="s">
        <v>260</v>
      </c>
      <c r="W1433">
        <v>147935000</v>
      </c>
      <c r="X1433">
        <v>147935000</v>
      </c>
      <c r="Y1433" t="s">
        <v>270</v>
      </c>
      <c r="Z1433">
        <v>27214000</v>
      </c>
      <c r="AA1433">
        <v>27214000</v>
      </c>
      <c r="AB1433" t="b">
        <v>0</v>
      </c>
      <c r="AC1433">
        <v>1</v>
      </c>
    </row>
    <row r="1434" spans="17:29" x14ac:dyDescent="0.2">
      <c r="Q1434" t="s">
        <v>2082</v>
      </c>
      <c r="R1434" t="s">
        <v>2501</v>
      </c>
      <c r="S1434" t="s">
        <v>257</v>
      </c>
      <c r="T1434" s="1">
        <v>43101</v>
      </c>
      <c r="U1434" s="1">
        <v>43101</v>
      </c>
      <c r="V1434" t="s">
        <v>260</v>
      </c>
      <c r="W1434">
        <v>29207000</v>
      </c>
      <c r="X1434">
        <v>29207000</v>
      </c>
      <c r="Y1434" t="s">
        <v>270</v>
      </c>
      <c r="Z1434">
        <v>8521620</v>
      </c>
      <c r="AA1434">
        <v>8521620</v>
      </c>
      <c r="AB1434" t="b">
        <v>0</v>
      </c>
      <c r="AC1434">
        <v>1</v>
      </c>
    </row>
    <row r="1435" spans="17:29" x14ac:dyDescent="0.2">
      <c r="Q1435" t="s">
        <v>2082</v>
      </c>
      <c r="R1435" t="s">
        <v>2501</v>
      </c>
      <c r="S1435" t="s">
        <v>257</v>
      </c>
      <c r="T1435" s="1">
        <v>42887</v>
      </c>
      <c r="U1435" s="1">
        <v>42887</v>
      </c>
      <c r="V1435" t="s">
        <v>260</v>
      </c>
      <c r="W1435">
        <v>21682000</v>
      </c>
      <c r="X1435">
        <v>21682000</v>
      </c>
      <c r="Y1435" t="s">
        <v>270</v>
      </c>
      <c r="Z1435">
        <v>6791543</v>
      </c>
      <c r="AA1435">
        <v>6791543</v>
      </c>
      <c r="AB1435" t="b">
        <v>0</v>
      </c>
      <c r="AC1435">
        <v>1</v>
      </c>
    </row>
    <row r="1436" spans="17:29" x14ac:dyDescent="0.2">
      <c r="Q1436" t="s">
        <v>2082</v>
      </c>
      <c r="R1436" t="s">
        <v>2501</v>
      </c>
      <c r="S1436" t="s">
        <v>257</v>
      </c>
      <c r="T1436" s="1">
        <v>42522</v>
      </c>
      <c r="U1436" s="1">
        <v>42522</v>
      </c>
      <c r="V1436" t="s">
        <v>260</v>
      </c>
      <c r="W1436">
        <v>140676000</v>
      </c>
      <c r="X1436">
        <v>140676000</v>
      </c>
      <c r="Y1436" t="s">
        <v>270</v>
      </c>
      <c r="Z1436">
        <v>40385842</v>
      </c>
      <c r="AA1436">
        <v>40385842</v>
      </c>
      <c r="AB1436" t="b">
        <v>0</v>
      </c>
      <c r="AC1436">
        <v>1</v>
      </c>
    </row>
    <row r="1437" spans="17:29" x14ac:dyDescent="0.2">
      <c r="Q1437" t="s">
        <v>2082</v>
      </c>
      <c r="R1437" t="s">
        <v>2501</v>
      </c>
      <c r="S1437" t="s">
        <v>257</v>
      </c>
      <c r="T1437" s="1">
        <v>42248</v>
      </c>
      <c r="U1437" s="1">
        <v>42248</v>
      </c>
      <c r="V1437" t="s">
        <v>260</v>
      </c>
      <c r="W1437">
        <v>18663000</v>
      </c>
      <c r="X1437">
        <v>18663000</v>
      </c>
      <c r="Y1437" t="s">
        <v>270</v>
      </c>
      <c r="Z1437">
        <v>5589901</v>
      </c>
      <c r="AA1437">
        <v>5589901</v>
      </c>
      <c r="AB1437" t="b">
        <v>0</v>
      </c>
      <c r="AC1437">
        <v>1</v>
      </c>
    </row>
    <row r="1438" spans="17:29" x14ac:dyDescent="0.2">
      <c r="Q1438" t="s">
        <v>2082</v>
      </c>
      <c r="R1438" t="s">
        <v>2501</v>
      </c>
      <c r="S1438" t="s">
        <v>257</v>
      </c>
      <c r="T1438" s="1">
        <v>43831</v>
      </c>
      <c r="U1438" s="1">
        <v>43831</v>
      </c>
      <c r="V1438" t="s">
        <v>260</v>
      </c>
      <c r="W1438">
        <v>266819000</v>
      </c>
      <c r="X1438">
        <v>266819000</v>
      </c>
      <c r="Y1438" t="s">
        <v>270</v>
      </c>
      <c r="Z1438">
        <v>54195000</v>
      </c>
      <c r="AA1438">
        <v>54195000</v>
      </c>
      <c r="AB1438" t="b">
        <v>0</v>
      </c>
      <c r="AC1438">
        <v>1</v>
      </c>
    </row>
    <row r="1439" spans="17:29" x14ac:dyDescent="0.2">
      <c r="Q1439" t="s">
        <v>2082</v>
      </c>
      <c r="R1439" t="s">
        <v>2501</v>
      </c>
      <c r="S1439" t="s">
        <v>257</v>
      </c>
      <c r="T1439" s="1">
        <v>43647</v>
      </c>
      <c r="U1439" s="1">
        <v>43647</v>
      </c>
      <c r="V1439" t="s">
        <v>260</v>
      </c>
      <c r="W1439">
        <v>63284000</v>
      </c>
      <c r="X1439">
        <v>63284000</v>
      </c>
      <c r="Y1439" t="s">
        <v>270</v>
      </c>
      <c r="Z1439">
        <v>15609000</v>
      </c>
      <c r="AA1439">
        <v>15609000</v>
      </c>
      <c r="AB1439" t="b">
        <v>0</v>
      </c>
      <c r="AC1439">
        <v>1</v>
      </c>
    </row>
    <row r="1440" spans="17:29" x14ac:dyDescent="0.2">
      <c r="Q1440" t="s">
        <v>2082</v>
      </c>
      <c r="R1440" t="s">
        <v>2501</v>
      </c>
      <c r="S1440" t="s">
        <v>257</v>
      </c>
      <c r="T1440" s="1">
        <v>43466</v>
      </c>
      <c r="U1440" s="1">
        <v>43466</v>
      </c>
      <c r="V1440" t="s">
        <v>260</v>
      </c>
      <c r="W1440">
        <v>112021550</v>
      </c>
      <c r="X1440">
        <v>112021550</v>
      </c>
      <c r="Y1440" t="s">
        <v>270</v>
      </c>
      <c r="Z1440">
        <v>29127530</v>
      </c>
      <c r="AA1440">
        <v>29127530</v>
      </c>
      <c r="AB1440" t="b">
        <v>0</v>
      </c>
      <c r="AC1440">
        <v>1</v>
      </c>
    </row>
    <row r="1441" spans="17:29" x14ac:dyDescent="0.2">
      <c r="Q1441" t="s">
        <v>2502</v>
      </c>
      <c r="R1441" t="s">
        <v>2503</v>
      </c>
      <c r="S1441" t="s">
        <v>257</v>
      </c>
      <c r="T1441" s="1">
        <v>42522</v>
      </c>
      <c r="U1441" s="1">
        <v>42522</v>
      </c>
      <c r="V1441" t="s">
        <v>260</v>
      </c>
      <c r="W1441">
        <v>57932000</v>
      </c>
      <c r="X1441">
        <v>57932000</v>
      </c>
      <c r="Y1441" t="s">
        <v>270</v>
      </c>
      <c r="Z1441">
        <v>16631356</v>
      </c>
      <c r="AA1441">
        <v>16631356</v>
      </c>
      <c r="AB1441" t="b">
        <v>1</v>
      </c>
      <c r="AC1441">
        <v>1</v>
      </c>
    </row>
    <row r="1442" spans="17:29" x14ac:dyDescent="0.2">
      <c r="Q1442" t="s">
        <v>2502</v>
      </c>
      <c r="R1442" t="s">
        <v>2503</v>
      </c>
      <c r="S1442" t="s">
        <v>257</v>
      </c>
      <c r="T1442" s="1">
        <v>42248</v>
      </c>
      <c r="U1442" s="1">
        <v>42248</v>
      </c>
      <c r="V1442" t="s">
        <v>260</v>
      </c>
      <c r="W1442">
        <v>24130000</v>
      </c>
      <c r="X1442">
        <v>24130000</v>
      </c>
      <c r="Y1442" t="s">
        <v>270</v>
      </c>
      <c r="Z1442">
        <v>7227364</v>
      </c>
      <c r="AA1442">
        <v>7227364</v>
      </c>
      <c r="AB1442" t="b">
        <v>1</v>
      </c>
      <c r="AC1442">
        <v>1</v>
      </c>
    </row>
    <row r="1443" spans="17:29" x14ac:dyDescent="0.2">
      <c r="Q1443" t="s">
        <v>2018</v>
      </c>
      <c r="R1443" t="s">
        <v>2503</v>
      </c>
      <c r="S1443" t="s">
        <v>257</v>
      </c>
      <c r="T1443" s="1">
        <v>42522</v>
      </c>
      <c r="U1443" s="1">
        <v>42522</v>
      </c>
      <c r="V1443" t="s">
        <v>260</v>
      </c>
      <c r="W1443">
        <v>57932000</v>
      </c>
      <c r="X1443">
        <v>57932000</v>
      </c>
      <c r="Y1443" t="s">
        <v>270</v>
      </c>
      <c r="Z1443">
        <v>16631356</v>
      </c>
      <c r="AA1443">
        <v>16631356</v>
      </c>
      <c r="AB1443" t="b">
        <v>1</v>
      </c>
      <c r="AC1443">
        <v>1</v>
      </c>
    </row>
    <row r="1444" spans="17:29" x14ac:dyDescent="0.2">
      <c r="Q1444" t="s">
        <v>2018</v>
      </c>
      <c r="R1444" t="s">
        <v>2503</v>
      </c>
      <c r="S1444" t="s">
        <v>257</v>
      </c>
      <c r="T1444" s="1">
        <v>42248</v>
      </c>
      <c r="U1444" s="1">
        <v>42248</v>
      </c>
      <c r="V1444" t="s">
        <v>260</v>
      </c>
      <c r="W1444">
        <v>24130000</v>
      </c>
      <c r="X1444">
        <v>24130000</v>
      </c>
      <c r="Y1444" t="s">
        <v>270</v>
      </c>
      <c r="Z1444">
        <v>7227364</v>
      </c>
      <c r="AA1444">
        <v>7227364</v>
      </c>
      <c r="AB1444" t="b">
        <v>1</v>
      </c>
      <c r="AC1444">
        <v>1</v>
      </c>
    </row>
    <row r="1445" spans="17:29" x14ac:dyDescent="0.2">
      <c r="Q1445" t="s">
        <v>2208</v>
      </c>
      <c r="R1445" t="s">
        <v>2504</v>
      </c>
      <c r="S1445" t="s">
        <v>257</v>
      </c>
      <c r="T1445" s="1">
        <v>43101</v>
      </c>
      <c r="U1445" s="1">
        <v>43101</v>
      </c>
      <c r="V1445" t="s">
        <v>260</v>
      </c>
      <c r="W1445">
        <v>22000</v>
      </c>
      <c r="X1445">
        <v>22000</v>
      </c>
      <c r="Y1445" t="s">
        <v>270</v>
      </c>
      <c r="Z1445">
        <v>6419</v>
      </c>
      <c r="AA1445">
        <v>6419</v>
      </c>
      <c r="AB1445" t="b">
        <v>1</v>
      </c>
      <c r="AC1445">
        <v>1</v>
      </c>
    </row>
    <row r="1446" spans="17:29" x14ac:dyDescent="0.2">
      <c r="Q1446" t="s">
        <v>2208</v>
      </c>
      <c r="R1446" t="s">
        <v>2504</v>
      </c>
      <c r="S1446" t="s">
        <v>257</v>
      </c>
      <c r="T1446" s="1">
        <v>42887</v>
      </c>
      <c r="U1446" s="1">
        <v>42887</v>
      </c>
      <c r="V1446" t="s">
        <v>260</v>
      </c>
      <c r="W1446">
        <v>274000</v>
      </c>
      <c r="X1446">
        <v>274000</v>
      </c>
      <c r="Y1446" t="s">
        <v>270</v>
      </c>
      <c r="Z1446">
        <v>85827</v>
      </c>
      <c r="AA1446">
        <v>85827</v>
      </c>
      <c r="AB1446" t="b">
        <v>1</v>
      </c>
      <c r="AC1446">
        <v>1</v>
      </c>
    </row>
    <row r="1447" spans="17:29" x14ac:dyDescent="0.2">
      <c r="Q1447" t="s">
        <v>2208</v>
      </c>
      <c r="R1447" t="s">
        <v>2504</v>
      </c>
      <c r="S1447" t="s">
        <v>257</v>
      </c>
      <c r="T1447" s="1">
        <v>42522</v>
      </c>
      <c r="U1447" s="1">
        <v>42522</v>
      </c>
      <c r="V1447" t="s">
        <v>260</v>
      </c>
      <c r="W1447">
        <v>1104000</v>
      </c>
      <c r="X1447">
        <v>1104000</v>
      </c>
      <c r="Y1447" t="s">
        <v>270</v>
      </c>
      <c r="Z1447">
        <v>316941</v>
      </c>
      <c r="AA1447">
        <v>316941</v>
      </c>
      <c r="AB1447" t="b">
        <v>1</v>
      </c>
      <c r="AC1447">
        <v>1</v>
      </c>
    </row>
    <row r="1448" spans="17:29" x14ac:dyDescent="0.2">
      <c r="Q1448" t="s">
        <v>2169</v>
      </c>
      <c r="R1448" t="s">
        <v>2504</v>
      </c>
      <c r="S1448" t="s">
        <v>257</v>
      </c>
      <c r="T1448" s="1">
        <v>43101</v>
      </c>
      <c r="U1448" s="1">
        <v>43101</v>
      </c>
      <c r="V1448" t="s">
        <v>260</v>
      </c>
      <c r="W1448">
        <v>22000</v>
      </c>
      <c r="X1448">
        <v>22000</v>
      </c>
      <c r="Y1448" t="s">
        <v>270</v>
      </c>
      <c r="Z1448">
        <v>6419</v>
      </c>
      <c r="AA1448">
        <v>6419</v>
      </c>
      <c r="AB1448" t="b">
        <v>1</v>
      </c>
      <c r="AC1448">
        <v>1</v>
      </c>
    </row>
    <row r="1449" spans="17:29" x14ac:dyDescent="0.2">
      <c r="Q1449" t="s">
        <v>2169</v>
      </c>
      <c r="R1449" t="s">
        <v>2504</v>
      </c>
      <c r="S1449" t="s">
        <v>257</v>
      </c>
      <c r="T1449" s="1">
        <v>42887</v>
      </c>
      <c r="U1449" s="1">
        <v>42887</v>
      </c>
      <c r="V1449" t="s">
        <v>260</v>
      </c>
      <c r="W1449">
        <v>274000</v>
      </c>
      <c r="X1449">
        <v>274000</v>
      </c>
      <c r="Y1449" t="s">
        <v>270</v>
      </c>
      <c r="Z1449">
        <v>85827</v>
      </c>
      <c r="AA1449">
        <v>85827</v>
      </c>
      <c r="AB1449" t="b">
        <v>1</v>
      </c>
      <c r="AC1449">
        <v>1</v>
      </c>
    </row>
    <row r="1450" spans="17:29" x14ac:dyDescent="0.2">
      <c r="Q1450" t="s">
        <v>2169</v>
      </c>
      <c r="R1450" t="s">
        <v>2504</v>
      </c>
      <c r="S1450" t="s">
        <v>257</v>
      </c>
      <c r="T1450" s="1">
        <v>42522</v>
      </c>
      <c r="U1450" s="1">
        <v>42522</v>
      </c>
      <c r="V1450" t="s">
        <v>260</v>
      </c>
      <c r="W1450">
        <v>1104000</v>
      </c>
      <c r="X1450">
        <v>1104000</v>
      </c>
      <c r="Y1450" t="s">
        <v>270</v>
      </c>
      <c r="Z1450">
        <v>316941</v>
      </c>
      <c r="AA1450">
        <v>316941</v>
      </c>
      <c r="AB1450" t="b">
        <v>1</v>
      </c>
      <c r="AC1450">
        <v>1</v>
      </c>
    </row>
    <row r="1451" spans="17:29" x14ac:dyDescent="0.2">
      <c r="Q1451" t="s">
        <v>2141</v>
      </c>
      <c r="R1451" t="s">
        <v>2505</v>
      </c>
      <c r="S1451" t="s">
        <v>257</v>
      </c>
      <c r="T1451" s="1">
        <v>44197</v>
      </c>
      <c r="U1451" s="1">
        <v>44197</v>
      </c>
      <c r="V1451" t="s">
        <v>260</v>
      </c>
      <c r="W1451">
        <v>10741000</v>
      </c>
      <c r="X1451">
        <v>10741000</v>
      </c>
      <c r="Y1451" t="s">
        <v>270</v>
      </c>
      <c r="Z1451">
        <v>1993000</v>
      </c>
      <c r="AA1451">
        <v>1993000</v>
      </c>
      <c r="AB1451" t="b">
        <v>0</v>
      </c>
      <c r="AC1451">
        <v>1</v>
      </c>
    </row>
    <row r="1452" spans="17:29" x14ac:dyDescent="0.2">
      <c r="Q1452" t="s">
        <v>2141</v>
      </c>
      <c r="R1452" t="s">
        <v>2505</v>
      </c>
      <c r="S1452" t="s">
        <v>257</v>
      </c>
      <c r="T1452" s="1">
        <v>44013</v>
      </c>
      <c r="U1452" s="1">
        <v>44013</v>
      </c>
      <c r="V1452" t="s">
        <v>260</v>
      </c>
      <c r="W1452">
        <v>6253000</v>
      </c>
      <c r="X1452">
        <v>6253000</v>
      </c>
      <c r="Y1452" t="s">
        <v>270</v>
      </c>
      <c r="Z1452">
        <v>1150000</v>
      </c>
      <c r="AA1452">
        <v>1150000</v>
      </c>
      <c r="AB1452" t="b">
        <v>0</v>
      </c>
      <c r="AC1452">
        <v>1</v>
      </c>
    </row>
    <row r="1453" spans="17:29" x14ac:dyDescent="0.2">
      <c r="Q1453" t="s">
        <v>2141</v>
      </c>
      <c r="R1453" t="s">
        <v>2505</v>
      </c>
      <c r="S1453" t="s">
        <v>257</v>
      </c>
      <c r="T1453" s="1">
        <v>43831</v>
      </c>
      <c r="U1453" s="1">
        <v>43831</v>
      </c>
      <c r="V1453" t="s">
        <v>260</v>
      </c>
      <c r="W1453">
        <v>5082000</v>
      </c>
      <c r="X1453">
        <v>5082000</v>
      </c>
      <c r="Y1453" t="s">
        <v>270</v>
      </c>
      <c r="Z1453">
        <v>1032000</v>
      </c>
      <c r="AA1453">
        <v>1032000</v>
      </c>
      <c r="AB1453" t="b">
        <v>0</v>
      </c>
      <c r="AC1453">
        <v>1</v>
      </c>
    </row>
    <row r="1454" spans="17:29" x14ac:dyDescent="0.2">
      <c r="Q1454" t="s">
        <v>2141</v>
      </c>
      <c r="R1454" t="s">
        <v>2505</v>
      </c>
      <c r="S1454" t="s">
        <v>257</v>
      </c>
      <c r="T1454" s="1">
        <v>43647</v>
      </c>
      <c r="U1454" s="1">
        <v>43647</v>
      </c>
      <c r="V1454" t="s">
        <v>260</v>
      </c>
      <c r="W1454">
        <v>17188000</v>
      </c>
      <c r="X1454">
        <v>17188000</v>
      </c>
      <c r="Y1454" t="s">
        <v>270</v>
      </c>
      <c r="Z1454">
        <v>4239000</v>
      </c>
      <c r="AA1454">
        <v>4239000</v>
      </c>
      <c r="AB1454" t="b">
        <v>0</v>
      </c>
      <c r="AC1454">
        <v>1</v>
      </c>
    </row>
    <row r="1455" spans="17:29" x14ac:dyDescent="0.2">
      <c r="Q1455" t="s">
        <v>2376</v>
      </c>
      <c r="R1455" t="s">
        <v>2505</v>
      </c>
      <c r="S1455" t="s">
        <v>257</v>
      </c>
      <c r="T1455" s="1">
        <v>44197</v>
      </c>
      <c r="U1455" s="1">
        <v>44197</v>
      </c>
      <c r="V1455" t="s">
        <v>260</v>
      </c>
      <c r="W1455">
        <v>10741000</v>
      </c>
      <c r="X1455">
        <v>10741000</v>
      </c>
      <c r="Y1455" t="s">
        <v>270</v>
      </c>
      <c r="Z1455">
        <v>1993000</v>
      </c>
      <c r="AA1455">
        <v>1993000</v>
      </c>
      <c r="AB1455" t="b">
        <v>0</v>
      </c>
      <c r="AC1455">
        <v>1</v>
      </c>
    </row>
    <row r="1456" spans="17:29" x14ac:dyDescent="0.2">
      <c r="Q1456" t="s">
        <v>2376</v>
      </c>
      <c r="R1456" t="s">
        <v>2505</v>
      </c>
      <c r="S1456" t="s">
        <v>257</v>
      </c>
      <c r="T1456" s="1">
        <v>44013</v>
      </c>
      <c r="U1456" s="1">
        <v>44013</v>
      </c>
      <c r="V1456" t="s">
        <v>260</v>
      </c>
      <c r="W1456">
        <v>6253000</v>
      </c>
      <c r="X1456">
        <v>6253000</v>
      </c>
      <c r="Y1456" t="s">
        <v>270</v>
      </c>
      <c r="Z1456">
        <v>1150000</v>
      </c>
      <c r="AA1456">
        <v>1150000</v>
      </c>
      <c r="AB1456" t="b">
        <v>0</v>
      </c>
      <c r="AC1456">
        <v>1</v>
      </c>
    </row>
    <row r="1457" spans="17:29" x14ac:dyDescent="0.2">
      <c r="Q1457" t="s">
        <v>2376</v>
      </c>
      <c r="R1457" t="s">
        <v>2505</v>
      </c>
      <c r="S1457" t="s">
        <v>257</v>
      </c>
      <c r="T1457" s="1">
        <v>43831</v>
      </c>
      <c r="U1457" s="1">
        <v>43831</v>
      </c>
      <c r="V1457" t="s">
        <v>260</v>
      </c>
      <c r="W1457">
        <v>5082000</v>
      </c>
      <c r="X1457">
        <v>5082000</v>
      </c>
      <c r="Y1457" t="s">
        <v>270</v>
      </c>
      <c r="Z1457">
        <v>1032000</v>
      </c>
      <c r="AA1457">
        <v>1032000</v>
      </c>
      <c r="AB1457" t="b">
        <v>0</v>
      </c>
      <c r="AC1457">
        <v>1</v>
      </c>
    </row>
    <row r="1458" spans="17:29" x14ac:dyDescent="0.2">
      <c r="Q1458" t="s">
        <v>2376</v>
      </c>
      <c r="R1458" t="s">
        <v>2505</v>
      </c>
      <c r="S1458" t="s">
        <v>257</v>
      </c>
      <c r="T1458" s="1">
        <v>43647</v>
      </c>
      <c r="U1458" s="1">
        <v>43647</v>
      </c>
      <c r="V1458" t="s">
        <v>260</v>
      </c>
      <c r="W1458">
        <v>17188000</v>
      </c>
      <c r="X1458">
        <v>17188000</v>
      </c>
      <c r="Y1458" t="s">
        <v>270</v>
      </c>
      <c r="Z1458">
        <v>4239000</v>
      </c>
      <c r="AA1458">
        <v>4239000</v>
      </c>
      <c r="AB1458" t="b">
        <v>0</v>
      </c>
      <c r="AC1458">
        <v>1</v>
      </c>
    </row>
    <row r="1459" spans="17:29" x14ac:dyDescent="0.2">
      <c r="Q1459" t="s">
        <v>2141</v>
      </c>
      <c r="R1459" t="s">
        <v>2506</v>
      </c>
      <c r="S1459" t="s">
        <v>257</v>
      </c>
      <c r="T1459" s="1">
        <v>43101</v>
      </c>
      <c r="U1459" s="1">
        <v>43101</v>
      </c>
      <c r="V1459" t="s">
        <v>260</v>
      </c>
      <c r="W1459">
        <v>3523000</v>
      </c>
      <c r="X1459">
        <v>3523000</v>
      </c>
      <c r="Y1459" t="s">
        <v>270</v>
      </c>
      <c r="Z1459">
        <v>1027893</v>
      </c>
      <c r="AA1459">
        <v>1027893</v>
      </c>
      <c r="AB1459" t="b">
        <v>1</v>
      </c>
      <c r="AC1459">
        <v>1</v>
      </c>
    </row>
    <row r="1460" spans="17:29" x14ac:dyDescent="0.2">
      <c r="Q1460" t="s">
        <v>2141</v>
      </c>
      <c r="R1460" t="s">
        <v>2506</v>
      </c>
      <c r="S1460" t="s">
        <v>257</v>
      </c>
      <c r="T1460" s="1">
        <v>42887</v>
      </c>
      <c r="U1460" s="1">
        <v>42887</v>
      </c>
      <c r="V1460" t="s">
        <v>260</v>
      </c>
      <c r="W1460">
        <v>64000</v>
      </c>
      <c r="X1460">
        <v>64000</v>
      </c>
      <c r="Y1460" t="s">
        <v>270</v>
      </c>
      <c r="Z1460">
        <v>20047</v>
      </c>
      <c r="AA1460">
        <v>20047</v>
      </c>
      <c r="AB1460" t="b">
        <v>1</v>
      </c>
      <c r="AC1460">
        <v>1</v>
      </c>
    </row>
    <row r="1461" spans="17:29" x14ac:dyDescent="0.2">
      <c r="Q1461" t="s">
        <v>2036</v>
      </c>
      <c r="R1461" t="s">
        <v>2506</v>
      </c>
      <c r="S1461" t="s">
        <v>257</v>
      </c>
      <c r="T1461" s="1">
        <v>43101</v>
      </c>
      <c r="U1461" s="1">
        <v>43101</v>
      </c>
      <c r="V1461" t="s">
        <v>260</v>
      </c>
      <c r="W1461">
        <v>3523000</v>
      </c>
      <c r="X1461">
        <v>3523000</v>
      </c>
      <c r="Y1461" t="s">
        <v>270</v>
      </c>
      <c r="Z1461">
        <v>1027893</v>
      </c>
      <c r="AA1461">
        <v>1027893</v>
      </c>
      <c r="AB1461" t="b">
        <v>1</v>
      </c>
      <c r="AC1461">
        <v>1</v>
      </c>
    </row>
    <row r="1462" spans="17:29" x14ac:dyDescent="0.2">
      <c r="Q1462" t="s">
        <v>2036</v>
      </c>
      <c r="R1462" t="s">
        <v>2506</v>
      </c>
      <c r="S1462" t="s">
        <v>257</v>
      </c>
      <c r="T1462" s="1">
        <v>42887</v>
      </c>
      <c r="U1462" s="1">
        <v>42887</v>
      </c>
      <c r="V1462" t="s">
        <v>260</v>
      </c>
      <c r="W1462">
        <v>64000</v>
      </c>
      <c r="X1462">
        <v>64000</v>
      </c>
      <c r="Y1462" t="s">
        <v>270</v>
      </c>
      <c r="Z1462">
        <v>20047</v>
      </c>
      <c r="AA1462">
        <v>20047</v>
      </c>
      <c r="AB1462" t="b">
        <v>1</v>
      </c>
      <c r="AC1462">
        <v>1</v>
      </c>
    </row>
    <row r="1463" spans="17:29" x14ac:dyDescent="0.2">
      <c r="Q1463" t="s">
        <v>2040</v>
      </c>
      <c r="R1463" t="s">
        <v>2507</v>
      </c>
      <c r="S1463" t="s">
        <v>257</v>
      </c>
      <c r="T1463" s="1">
        <v>43647</v>
      </c>
      <c r="U1463" s="1">
        <v>43647</v>
      </c>
      <c r="V1463" t="s">
        <v>260</v>
      </c>
      <c r="W1463">
        <v>588000</v>
      </c>
      <c r="X1463">
        <v>588000</v>
      </c>
      <c r="Y1463" t="s">
        <v>270</v>
      </c>
      <c r="Z1463">
        <v>145027</v>
      </c>
      <c r="AA1463">
        <v>145027</v>
      </c>
      <c r="AB1463" t="b">
        <v>0</v>
      </c>
      <c r="AC1463">
        <v>1</v>
      </c>
    </row>
    <row r="1464" spans="17:29" x14ac:dyDescent="0.2">
      <c r="Q1464" t="s">
        <v>2036</v>
      </c>
      <c r="R1464" t="s">
        <v>2507</v>
      </c>
      <c r="S1464" t="s">
        <v>257</v>
      </c>
      <c r="T1464" s="1">
        <v>43647</v>
      </c>
      <c r="U1464" s="1">
        <v>43647</v>
      </c>
      <c r="V1464" t="s">
        <v>260</v>
      </c>
      <c r="W1464">
        <v>588000</v>
      </c>
      <c r="X1464">
        <v>588000</v>
      </c>
      <c r="Y1464" t="s">
        <v>270</v>
      </c>
      <c r="Z1464">
        <v>145027</v>
      </c>
      <c r="AA1464">
        <v>145027</v>
      </c>
      <c r="AB1464" t="b">
        <v>0</v>
      </c>
      <c r="AC1464">
        <v>1</v>
      </c>
    </row>
    <row r="1465" spans="17:29" x14ac:dyDescent="0.2">
      <c r="Q1465" t="s">
        <v>2208</v>
      </c>
      <c r="R1465" t="s">
        <v>2508</v>
      </c>
      <c r="S1465" t="s">
        <v>257</v>
      </c>
      <c r="T1465" s="1">
        <v>43466</v>
      </c>
      <c r="U1465" s="1">
        <v>43466</v>
      </c>
      <c r="V1465" t="s">
        <v>260</v>
      </c>
      <c r="W1465">
        <v>27920</v>
      </c>
      <c r="X1465">
        <v>27920</v>
      </c>
      <c r="Y1465" t="s">
        <v>270</v>
      </c>
      <c r="Z1465">
        <v>7260</v>
      </c>
      <c r="AA1465">
        <v>7260</v>
      </c>
      <c r="AB1465" t="b">
        <v>0</v>
      </c>
      <c r="AC1465">
        <v>1</v>
      </c>
    </row>
    <row r="1466" spans="17:29" x14ac:dyDescent="0.2">
      <c r="Q1466" t="s">
        <v>2208</v>
      </c>
      <c r="R1466" t="s">
        <v>2508</v>
      </c>
      <c r="S1466" t="s">
        <v>257</v>
      </c>
      <c r="T1466" s="1">
        <v>43282</v>
      </c>
      <c r="U1466" s="1">
        <v>43282</v>
      </c>
      <c r="V1466" t="s">
        <v>260</v>
      </c>
      <c r="W1466">
        <v>15050</v>
      </c>
      <c r="X1466">
        <v>15050</v>
      </c>
      <c r="Y1466" t="s">
        <v>270</v>
      </c>
      <c r="Z1466">
        <v>3880</v>
      </c>
      <c r="AA1466">
        <v>3880</v>
      </c>
      <c r="AB1466" t="b">
        <v>0</v>
      </c>
      <c r="AC1466">
        <v>1</v>
      </c>
    </row>
    <row r="1467" spans="17:29" x14ac:dyDescent="0.2">
      <c r="Q1467" t="s">
        <v>2082</v>
      </c>
      <c r="R1467" t="s">
        <v>2508</v>
      </c>
      <c r="S1467" t="s">
        <v>257</v>
      </c>
      <c r="T1467" s="1">
        <v>43466</v>
      </c>
      <c r="U1467" s="1">
        <v>43466</v>
      </c>
      <c r="V1467" t="s">
        <v>260</v>
      </c>
      <c r="W1467">
        <v>27920</v>
      </c>
      <c r="X1467">
        <v>27920</v>
      </c>
      <c r="Y1467" t="s">
        <v>270</v>
      </c>
      <c r="Z1467">
        <v>7260</v>
      </c>
      <c r="AA1467">
        <v>7260</v>
      </c>
      <c r="AB1467" t="b">
        <v>0</v>
      </c>
      <c r="AC1467">
        <v>1</v>
      </c>
    </row>
    <row r="1468" spans="17:29" x14ac:dyDescent="0.2">
      <c r="Q1468" t="s">
        <v>2082</v>
      </c>
      <c r="R1468" t="s">
        <v>2508</v>
      </c>
      <c r="S1468" t="s">
        <v>257</v>
      </c>
      <c r="T1468" s="1">
        <v>43282</v>
      </c>
      <c r="U1468" s="1">
        <v>43282</v>
      </c>
      <c r="V1468" t="s">
        <v>260</v>
      </c>
      <c r="W1468">
        <v>15050</v>
      </c>
      <c r="X1468">
        <v>15050</v>
      </c>
      <c r="Y1468" t="s">
        <v>270</v>
      </c>
      <c r="Z1468">
        <v>3880</v>
      </c>
      <c r="AA1468">
        <v>3880</v>
      </c>
      <c r="AB1468" t="b">
        <v>0</v>
      </c>
      <c r="AC1468">
        <v>1</v>
      </c>
    </row>
    <row r="1469" spans="17:29" x14ac:dyDescent="0.2">
      <c r="Q1469" t="s">
        <v>2141</v>
      </c>
      <c r="R1469" t="s">
        <v>2509</v>
      </c>
      <c r="S1469" t="s">
        <v>257</v>
      </c>
      <c r="T1469" s="1">
        <v>43466</v>
      </c>
      <c r="U1469" s="1">
        <v>43466</v>
      </c>
      <c r="V1469" t="s">
        <v>260</v>
      </c>
      <c r="W1469">
        <v>1956000</v>
      </c>
      <c r="X1469">
        <v>1956000</v>
      </c>
      <c r="Y1469" t="s">
        <v>270</v>
      </c>
      <c r="Z1469">
        <v>508590</v>
      </c>
      <c r="AA1469">
        <v>508590</v>
      </c>
      <c r="AB1469" t="b">
        <v>0</v>
      </c>
      <c r="AC1469">
        <v>1</v>
      </c>
    </row>
    <row r="1470" spans="17:29" x14ac:dyDescent="0.2">
      <c r="Q1470" t="s">
        <v>2036</v>
      </c>
      <c r="R1470" t="s">
        <v>2509</v>
      </c>
      <c r="S1470" t="s">
        <v>257</v>
      </c>
      <c r="T1470" s="1">
        <v>43466</v>
      </c>
      <c r="U1470" s="1">
        <v>43466</v>
      </c>
      <c r="V1470" t="s">
        <v>260</v>
      </c>
      <c r="W1470">
        <v>1956000</v>
      </c>
      <c r="X1470">
        <v>1956000</v>
      </c>
      <c r="Y1470" t="s">
        <v>270</v>
      </c>
      <c r="Z1470">
        <v>508590</v>
      </c>
      <c r="AA1470">
        <v>508590</v>
      </c>
      <c r="AB1470" t="b">
        <v>0</v>
      </c>
      <c r="AC1470">
        <v>1</v>
      </c>
    </row>
    <row r="1471" spans="17:29" x14ac:dyDescent="0.2">
      <c r="Q1471" t="s">
        <v>2208</v>
      </c>
      <c r="R1471" t="s">
        <v>2510</v>
      </c>
      <c r="S1471" t="s">
        <v>257</v>
      </c>
      <c r="T1471" s="1">
        <v>43466</v>
      </c>
      <c r="U1471" s="1">
        <v>43466</v>
      </c>
      <c r="V1471" t="s">
        <v>260</v>
      </c>
      <c r="W1471">
        <v>200680</v>
      </c>
      <c r="X1471">
        <v>200680</v>
      </c>
      <c r="Y1471" t="s">
        <v>270</v>
      </c>
      <c r="Z1471">
        <v>52180</v>
      </c>
      <c r="AA1471">
        <v>52180</v>
      </c>
      <c r="AB1471" t="b">
        <v>0</v>
      </c>
      <c r="AC1471">
        <v>1</v>
      </c>
    </row>
    <row r="1472" spans="17:29" x14ac:dyDescent="0.2">
      <c r="Q1472" t="s">
        <v>2208</v>
      </c>
      <c r="R1472" t="s">
        <v>2510</v>
      </c>
      <c r="S1472" t="s">
        <v>257</v>
      </c>
      <c r="T1472" s="1">
        <v>43282</v>
      </c>
      <c r="U1472" s="1">
        <v>43282</v>
      </c>
      <c r="V1472" t="s">
        <v>260</v>
      </c>
      <c r="W1472">
        <v>411270</v>
      </c>
      <c r="X1472">
        <v>411270</v>
      </c>
      <c r="Y1472" t="s">
        <v>270</v>
      </c>
      <c r="Z1472">
        <v>105980</v>
      </c>
      <c r="AA1472">
        <v>105980</v>
      </c>
      <c r="AB1472" t="b">
        <v>0</v>
      </c>
      <c r="AC1472">
        <v>1</v>
      </c>
    </row>
    <row r="1473" spans="17:29" x14ac:dyDescent="0.2">
      <c r="Q1473" t="s">
        <v>2208</v>
      </c>
      <c r="R1473" t="s">
        <v>2510</v>
      </c>
      <c r="S1473" t="s">
        <v>257</v>
      </c>
      <c r="T1473" s="1">
        <v>42887</v>
      </c>
      <c r="U1473" s="1">
        <v>42887</v>
      </c>
      <c r="V1473" t="s">
        <v>260</v>
      </c>
      <c r="W1473">
        <v>345000</v>
      </c>
      <c r="X1473">
        <v>345000</v>
      </c>
      <c r="Y1473" t="s">
        <v>270</v>
      </c>
      <c r="Z1473">
        <v>108066</v>
      </c>
      <c r="AA1473">
        <v>108066</v>
      </c>
      <c r="AB1473" t="b">
        <v>0</v>
      </c>
      <c r="AC1473">
        <v>1</v>
      </c>
    </row>
    <row r="1474" spans="17:29" x14ac:dyDescent="0.2">
      <c r="Q1474" t="s">
        <v>2210</v>
      </c>
      <c r="R1474" t="s">
        <v>2510</v>
      </c>
      <c r="S1474" t="s">
        <v>257</v>
      </c>
      <c r="T1474" s="1">
        <v>43466</v>
      </c>
      <c r="U1474" s="1">
        <v>43466</v>
      </c>
      <c r="V1474" t="s">
        <v>260</v>
      </c>
      <c r="W1474">
        <v>200680</v>
      </c>
      <c r="X1474">
        <v>200680</v>
      </c>
      <c r="Y1474" t="s">
        <v>270</v>
      </c>
      <c r="Z1474">
        <v>52180</v>
      </c>
      <c r="AA1474">
        <v>52180</v>
      </c>
      <c r="AB1474" t="b">
        <v>0</v>
      </c>
      <c r="AC1474">
        <v>1</v>
      </c>
    </row>
    <row r="1475" spans="17:29" x14ac:dyDescent="0.2">
      <c r="Q1475" t="s">
        <v>2210</v>
      </c>
      <c r="R1475" t="s">
        <v>2510</v>
      </c>
      <c r="S1475" t="s">
        <v>257</v>
      </c>
      <c r="T1475" s="1">
        <v>43282</v>
      </c>
      <c r="U1475" s="1">
        <v>43282</v>
      </c>
      <c r="V1475" t="s">
        <v>260</v>
      </c>
      <c r="W1475">
        <v>411270</v>
      </c>
      <c r="X1475">
        <v>411270</v>
      </c>
      <c r="Y1475" t="s">
        <v>270</v>
      </c>
      <c r="Z1475">
        <v>105980</v>
      </c>
      <c r="AA1475">
        <v>105980</v>
      </c>
      <c r="AB1475" t="b">
        <v>0</v>
      </c>
      <c r="AC1475">
        <v>1</v>
      </c>
    </row>
    <row r="1476" spans="17:29" x14ac:dyDescent="0.2">
      <c r="Q1476" t="s">
        <v>2210</v>
      </c>
      <c r="R1476" t="s">
        <v>2510</v>
      </c>
      <c r="S1476" t="s">
        <v>257</v>
      </c>
      <c r="T1476" s="1">
        <v>42887</v>
      </c>
      <c r="U1476" s="1">
        <v>42887</v>
      </c>
      <c r="V1476" t="s">
        <v>260</v>
      </c>
      <c r="W1476">
        <v>345000</v>
      </c>
      <c r="X1476">
        <v>345000</v>
      </c>
      <c r="Y1476" t="s">
        <v>270</v>
      </c>
      <c r="Z1476">
        <v>108066</v>
      </c>
      <c r="AA1476">
        <v>108066</v>
      </c>
      <c r="AB1476" t="b">
        <v>0</v>
      </c>
      <c r="AC1476">
        <v>1</v>
      </c>
    </row>
    <row r="1477" spans="17:29" x14ac:dyDescent="0.2">
      <c r="Q1477" t="s">
        <v>2029</v>
      </c>
      <c r="R1477" t="s">
        <v>2511</v>
      </c>
      <c r="S1477" t="s">
        <v>257</v>
      </c>
      <c r="T1477" s="1">
        <v>44197</v>
      </c>
      <c r="U1477" s="1">
        <v>44197</v>
      </c>
      <c r="V1477" t="s">
        <v>260</v>
      </c>
      <c r="W1477">
        <v>720000</v>
      </c>
      <c r="X1477">
        <v>720000</v>
      </c>
      <c r="Y1477" t="s">
        <v>270</v>
      </c>
      <c r="Z1477">
        <v>134000</v>
      </c>
      <c r="AA1477">
        <v>134000</v>
      </c>
      <c r="AB1477" t="b">
        <v>0</v>
      </c>
      <c r="AC1477">
        <v>1</v>
      </c>
    </row>
    <row r="1478" spans="17:29" x14ac:dyDescent="0.2">
      <c r="Q1478" t="s">
        <v>2029</v>
      </c>
      <c r="R1478" t="s">
        <v>2511</v>
      </c>
      <c r="S1478" t="s">
        <v>257</v>
      </c>
      <c r="T1478" s="1">
        <v>44013</v>
      </c>
      <c r="U1478" s="1">
        <v>44013</v>
      </c>
      <c r="V1478" t="s">
        <v>260</v>
      </c>
      <c r="W1478">
        <v>22000</v>
      </c>
      <c r="X1478">
        <v>22000</v>
      </c>
      <c r="Y1478" t="s">
        <v>270</v>
      </c>
      <c r="Z1478">
        <v>4000</v>
      </c>
      <c r="AA1478">
        <v>4000</v>
      </c>
      <c r="AB1478" t="b">
        <v>0</v>
      </c>
      <c r="AC1478">
        <v>1</v>
      </c>
    </row>
    <row r="1479" spans="17:29" x14ac:dyDescent="0.2">
      <c r="Q1479" t="s">
        <v>2376</v>
      </c>
      <c r="R1479" t="s">
        <v>2511</v>
      </c>
      <c r="S1479" t="s">
        <v>257</v>
      </c>
      <c r="T1479" s="1">
        <v>44197</v>
      </c>
      <c r="U1479" s="1">
        <v>44197</v>
      </c>
      <c r="V1479" t="s">
        <v>260</v>
      </c>
      <c r="W1479">
        <v>720000</v>
      </c>
      <c r="X1479">
        <v>720000</v>
      </c>
      <c r="Y1479" t="s">
        <v>270</v>
      </c>
      <c r="Z1479">
        <v>134000</v>
      </c>
      <c r="AA1479">
        <v>134000</v>
      </c>
      <c r="AB1479" t="b">
        <v>0</v>
      </c>
      <c r="AC1479">
        <v>1</v>
      </c>
    </row>
    <row r="1480" spans="17:29" x14ac:dyDescent="0.2">
      <c r="Q1480" t="s">
        <v>2376</v>
      </c>
      <c r="R1480" t="s">
        <v>2511</v>
      </c>
      <c r="S1480" t="s">
        <v>257</v>
      </c>
      <c r="T1480" s="1">
        <v>44013</v>
      </c>
      <c r="U1480" s="1">
        <v>44013</v>
      </c>
      <c r="V1480" t="s">
        <v>260</v>
      </c>
      <c r="W1480">
        <v>22000</v>
      </c>
      <c r="X1480">
        <v>22000</v>
      </c>
      <c r="Y1480" t="s">
        <v>270</v>
      </c>
      <c r="Z1480">
        <v>4000</v>
      </c>
      <c r="AA1480">
        <v>4000</v>
      </c>
      <c r="AB1480" t="b">
        <v>0</v>
      </c>
      <c r="AC1480">
        <v>1</v>
      </c>
    </row>
    <row r="1481" spans="17:29" x14ac:dyDescent="0.2">
      <c r="Q1481" t="s">
        <v>2141</v>
      </c>
      <c r="R1481" t="s">
        <v>2512</v>
      </c>
      <c r="S1481" t="s">
        <v>257</v>
      </c>
      <c r="T1481" s="1">
        <v>44197</v>
      </c>
      <c r="U1481" s="1">
        <v>44197</v>
      </c>
      <c r="V1481" t="s">
        <v>260</v>
      </c>
      <c r="W1481">
        <v>231000</v>
      </c>
      <c r="X1481">
        <v>231000</v>
      </c>
      <c r="Y1481" t="s">
        <v>270</v>
      </c>
      <c r="Z1481">
        <v>43000</v>
      </c>
      <c r="AA1481">
        <v>43000</v>
      </c>
      <c r="AB1481" t="b">
        <v>0</v>
      </c>
      <c r="AC1481">
        <v>1</v>
      </c>
    </row>
    <row r="1482" spans="17:29" x14ac:dyDescent="0.2">
      <c r="Q1482" t="s">
        <v>2141</v>
      </c>
      <c r="R1482" t="s">
        <v>2512</v>
      </c>
      <c r="S1482" t="s">
        <v>257</v>
      </c>
      <c r="T1482" s="1">
        <v>44013</v>
      </c>
      <c r="U1482" s="1">
        <v>44013</v>
      </c>
      <c r="V1482" t="s">
        <v>260</v>
      </c>
      <c r="W1482">
        <v>214000</v>
      </c>
      <c r="X1482">
        <v>214000</v>
      </c>
      <c r="Y1482" t="s">
        <v>270</v>
      </c>
      <c r="Z1482">
        <v>39000</v>
      </c>
      <c r="AA1482">
        <v>39000</v>
      </c>
      <c r="AB1482" t="b">
        <v>0</v>
      </c>
      <c r="AC1482">
        <v>1</v>
      </c>
    </row>
    <row r="1483" spans="17:29" x14ac:dyDescent="0.2">
      <c r="Q1483" t="s">
        <v>2141</v>
      </c>
      <c r="R1483" t="s">
        <v>2512</v>
      </c>
      <c r="S1483" t="s">
        <v>257</v>
      </c>
      <c r="T1483" s="1">
        <v>43831</v>
      </c>
      <c r="U1483" s="1">
        <v>43831</v>
      </c>
      <c r="V1483" t="s">
        <v>260</v>
      </c>
      <c r="W1483">
        <v>4041000</v>
      </c>
      <c r="X1483">
        <v>4041000</v>
      </c>
      <c r="Y1483" t="s">
        <v>270</v>
      </c>
      <c r="Z1483">
        <v>821000</v>
      </c>
      <c r="AA1483">
        <v>821000</v>
      </c>
      <c r="AB1483" t="b">
        <v>0</v>
      </c>
      <c r="AC1483">
        <v>1</v>
      </c>
    </row>
    <row r="1484" spans="17:29" x14ac:dyDescent="0.2">
      <c r="Q1484" t="s">
        <v>2141</v>
      </c>
      <c r="R1484" t="s">
        <v>2512</v>
      </c>
      <c r="S1484" t="s">
        <v>257</v>
      </c>
      <c r="T1484" s="1">
        <v>43647</v>
      </c>
      <c r="U1484" s="1">
        <v>43647</v>
      </c>
      <c r="V1484" t="s">
        <v>260</v>
      </c>
      <c r="W1484">
        <v>20892436</v>
      </c>
      <c r="X1484">
        <v>20892436</v>
      </c>
      <c r="Y1484" t="s">
        <v>270</v>
      </c>
      <c r="Z1484">
        <v>5153028</v>
      </c>
      <c r="AA1484">
        <v>5153028</v>
      </c>
      <c r="AB1484" t="b">
        <v>0</v>
      </c>
      <c r="AC1484">
        <v>1</v>
      </c>
    </row>
    <row r="1485" spans="17:29" x14ac:dyDescent="0.2">
      <c r="Q1485" t="s">
        <v>2141</v>
      </c>
      <c r="R1485" t="s">
        <v>2512</v>
      </c>
      <c r="S1485" t="s">
        <v>257</v>
      </c>
      <c r="T1485" s="1">
        <v>43466</v>
      </c>
      <c r="U1485" s="1">
        <v>43466</v>
      </c>
      <c r="V1485" t="s">
        <v>260</v>
      </c>
      <c r="W1485">
        <v>6480390</v>
      </c>
      <c r="X1485">
        <v>6480390</v>
      </c>
      <c r="Y1485" t="s">
        <v>270</v>
      </c>
      <c r="Z1485">
        <v>1685010</v>
      </c>
      <c r="AA1485">
        <v>1685010</v>
      </c>
      <c r="AB1485" t="b">
        <v>0</v>
      </c>
      <c r="AC1485">
        <v>1</v>
      </c>
    </row>
    <row r="1486" spans="17:29" x14ac:dyDescent="0.2">
      <c r="Q1486" t="s">
        <v>2117</v>
      </c>
      <c r="R1486" t="s">
        <v>2512</v>
      </c>
      <c r="S1486" t="s">
        <v>257</v>
      </c>
      <c r="T1486" s="1">
        <v>44197</v>
      </c>
      <c r="U1486" s="1">
        <v>44197</v>
      </c>
      <c r="V1486" t="s">
        <v>260</v>
      </c>
      <c r="W1486">
        <v>231000</v>
      </c>
      <c r="X1486">
        <v>231000</v>
      </c>
      <c r="Y1486" t="s">
        <v>270</v>
      </c>
      <c r="Z1486">
        <v>43000</v>
      </c>
      <c r="AA1486">
        <v>43000</v>
      </c>
      <c r="AB1486" t="b">
        <v>0</v>
      </c>
      <c r="AC1486">
        <v>1</v>
      </c>
    </row>
    <row r="1487" spans="17:29" x14ac:dyDescent="0.2">
      <c r="Q1487" t="s">
        <v>2117</v>
      </c>
      <c r="R1487" t="s">
        <v>2512</v>
      </c>
      <c r="S1487" t="s">
        <v>257</v>
      </c>
      <c r="T1487" s="1">
        <v>44013</v>
      </c>
      <c r="U1487" s="1">
        <v>44013</v>
      </c>
      <c r="V1487" t="s">
        <v>260</v>
      </c>
      <c r="W1487">
        <v>214000</v>
      </c>
      <c r="X1487">
        <v>214000</v>
      </c>
      <c r="Y1487" t="s">
        <v>270</v>
      </c>
      <c r="Z1487">
        <v>39000</v>
      </c>
      <c r="AA1487">
        <v>39000</v>
      </c>
      <c r="AB1487" t="b">
        <v>0</v>
      </c>
      <c r="AC1487">
        <v>1</v>
      </c>
    </row>
    <row r="1488" spans="17:29" x14ac:dyDescent="0.2">
      <c r="Q1488" t="s">
        <v>2117</v>
      </c>
      <c r="R1488" t="s">
        <v>2512</v>
      </c>
      <c r="S1488" t="s">
        <v>257</v>
      </c>
      <c r="T1488" s="1">
        <v>43831</v>
      </c>
      <c r="U1488" s="1">
        <v>43831</v>
      </c>
      <c r="V1488" t="s">
        <v>260</v>
      </c>
      <c r="W1488">
        <v>4041000</v>
      </c>
      <c r="X1488">
        <v>4041000</v>
      </c>
      <c r="Y1488" t="s">
        <v>270</v>
      </c>
      <c r="Z1488">
        <v>821000</v>
      </c>
      <c r="AA1488">
        <v>821000</v>
      </c>
      <c r="AB1488" t="b">
        <v>0</v>
      </c>
      <c r="AC1488">
        <v>1</v>
      </c>
    </row>
    <row r="1489" spans="17:29" x14ac:dyDescent="0.2">
      <c r="Q1489" t="s">
        <v>2117</v>
      </c>
      <c r="R1489" t="s">
        <v>2512</v>
      </c>
      <c r="S1489" t="s">
        <v>257</v>
      </c>
      <c r="T1489" s="1">
        <v>43647</v>
      </c>
      <c r="U1489" s="1">
        <v>43647</v>
      </c>
      <c r="V1489" t="s">
        <v>260</v>
      </c>
      <c r="W1489">
        <v>20892436</v>
      </c>
      <c r="X1489">
        <v>20892436</v>
      </c>
      <c r="Y1489" t="s">
        <v>270</v>
      </c>
      <c r="Z1489">
        <v>5153028</v>
      </c>
      <c r="AA1489">
        <v>5153028</v>
      </c>
      <c r="AB1489" t="b">
        <v>0</v>
      </c>
      <c r="AC1489">
        <v>1</v>
      </c>
    </row>
    <row r="1490" spans="17:29" x14ac:dyDescent="0.2">
      <c r="Q1490" t="s">
        <v>2117</v>
      </c>
      <c r="R1490" t="s">
        <v>2512</v>
      </c>
      <c r="S1490" t="s">
        <v>257</v>
      </c>
      <c r="T1490" s="1">
        <v>43466</v>
      </c>
      <c r="U1490" s="1">
        <v>43466</v>
      </c>
      <c r="V1490" t="s">
        <v>260</v>
      </c>
      <c r="W1490">
        <v>6480390</v>
      </c>
      <c r="X1490">
        <v>6480390</v>
      </c>
      <c r="Y1490" t="s">
        <v>270</v>
      </c>
      <c r="Z1490">
        <v>1685010</v>
      </c>
      <c r="AA1490">
        <v>1685010</v>
      </c>
      <c r="AB1490" t="b">
        <v>0</v>
      </c>
      <c r="AC1490">
        <v>1</v>
      </c>
    </row>
    <row r="1491" spans="17:29" x14ac:dyDescent="0.2">
      <c r="Q1491" t="s">
        <v>2513</v>
      </c>
      <c r="R1491" t="s">
        <v>2514</v>
      </c>
      <c r="S1491" t="s">
        <v>257</v>
      </c>
      <c r="T1491" s="1">
        <v>42522</v>
      </c>
      <c r="U1491" s="1">
        <v>42522</v>
      </c>
      <c r="V1491" t="s">
        <v>260</v>
      </c>
      <c r="W1491">
        <v>5837400</v>
      </c>
      <c r="X1491">
        <v>5837400</v>
      </c>
      <c r="Y1491" t="s">
        <v>270</v>
      </c>
      <c r="Z1491">
        <v>1675825</v>
      </c>
      <c r="AA1491">
        <v>1675825</v>
      </c>
      <c r="AB1491" t="b">
        <v>1</v>
      </c>
      <c r="AC1491">
        <v>1</v>
      </c>
    </row>
    <row r="1492" spans="17:29" x14ac:dyDescent="0.2">
      <c r="Q1492" t="s">
        <v>2513</v>
      </c>
      <c r="R1492" t="s">
        <v>2514</v>
      </c>
      <c r="S1492" t="s">
        <v>257</v>
      </c>
      <c r="T1492" s="1">
        <v>42248</v>
      </c>
      <c r="U1492" s="1">
        <v>42248</v>
      </c>
      <c r="V1492" t="s">
        <v>260</v>
      </c>
      <c r="W1492">
        <v>250000</v>
      </c>
      <c r="X1492">
        <v>250000</v>
      </c>
      <c r="Y1492" t="s">
        <v>270</v>
      </c>
      <c r="Z1492">
        <v>74880</v>
      </c>
      <c r="AA1492">
        <v>74880</v>
      </c>
      <c r="AB1492" t="b">
        <v>1</v>
      </c>
      <c r="AC1492">
        <v>1</v>
      </c>
    </row>
    <row r="1493" spans="17:29" x14ac:dyDescent="0.2">
      <c r="Q1493" t="s">
        <v>2000</v>
      </c>
      <c r="R1493" t="s">
        <v>2514</v>
      </c>
      <c r="S1493" t="s">
        <v>257</v>
      </c>
      <c r="T1493" s="1">
        <v>42522</v>
      </c>
      <c r="U1493" s="1">
        <v>42522</v>
      </c>
      <c r="V1493" t="s">
        <v>260</v>
      </c>
      <c r="W1493">
        <v>5837400</v>
      </c>
      <c r="X1493">
        <v>5837400</v>
      </c>
      <c r="Y1493" t="s">
        <v>270</v>
      </c>
      <c r="Z1493">
        <v>1675825</v>
      </c>
      <c r="AA1493">
        <v>1675825</v>
      </c>
      <c r="AB1493" t="b">
        <v>1</v>
      </c>
      <c r="AC1493">
        <v>1</v>
      </c>
    </row>
    <row r="1494" spans="17:29" x14ac:dyDescent="0.2">
      <c r="Q1494" t="s">
        <v>2000</v>
      </c>
      <c r="R1494" t="s">
        <v>2514</v>
      </c>
      <c r="S1494" t="s">
        <v>257</v>
      </c>
      <c r="T1494" s="1">
        <v>42248</v>
      </c>
      <c r="U1494" s="1">
        <v>42248</v>
      </c>
      <c r="V1494" t="s">
        <v>260</v>
      </c>
      <c r="W1494">
        <v>250000</v>
      </c>
      <c r="X1494">
        <v>250000</v>
      </c>
      <c r="Y1494" t="s">
        <v>270</v>
      </c>
      <c r="Z1494">
        <v>74880</v>
      </c>
      <c r="AA1494">
        <v>74880</v>
      </c>
      <c r="AB1494" t="b">
        <v>1</v>
      </c>
      <c r="AC1494">
        <v>1</v>
      </c>
    </row>
    <row r="1495" spans="17:29" x14ac:dyDescent="0.2">
      <c r="Q1495" t="s">
        <v>2018</v>
      </c>
      <c r="R1495" t="s">
        <v>2515</v>
      </c>
      <c r="S1495" t="s">
        <v>257</v>
      </c>
      <c r="T1495" s="1">
        <v>44348</v>
      </c>
      <c r="U1495" s="1">
        <v>44348</v>
      </c>
      <c r="V1495" t="s">
        <v>270</v>
      </c>
      <c r="W1495">
        <v>676446</v>
      </c>
      <c r="X1495">
        <v>676446</v>
      </c>
      <c r="Y1495" t="s">
        <v>270</v>
      </c>
      <c r="Z1495">
        <v>676446</v>
      </c>
      <c r="AA1495">
        <v>676446</v>
      </c>
      <c r="AB1495" t="b">
        <v>1</v>
      </c>
    </row>
    <row r="1496" spans="17:29" x14ac:dyDescent="0.2">
      <c r="Q1496" t="s">
        <v>2018</v>
      </c>
      <c r="R1496" t="s">
        <v>2515</v>
      </c>
      <c r="S1496" t="s">
        <v>257</v>
      </c>
      <c r="T1496" s="1">
        <v>44317</v>
      </c>
      <c r="U1496" s="1">
        <v>44317</v>
      </c>
      <c r="V1496" t="s">
        <v>270</v>
      </c>
      <c r="W1496">
        <v>413692</v>
      </c>
      <c r="X1496">
        <v>413692</v>
      </c>
      <c r="Y1496" t="s">
        <v>270</v>
      </c>
      <c r="Z1496">
        <v>413692</v>
      </c>
      <c r="AA1496">
        <v>413692</v>
      </c>
      <c r="AB1496" t="b">
        <v>1</v>
      </c>
    </row>
    <row r="1497" spans="17:29" x14ac:dyDescent="0.2">
      <c r="Q1497" t="s">
        <v>2018</v>
      </c>
      <c r="R1497" t="s">
        <v>2515</v>
      </c>
      <c r="S1497" t="s">
        <v>257</v>
      </c>
      <c r="T1497" s="1">
        <v>44287</v>
      </c>
      <c r="U1497" s="1">
        <v>44287</v>
      </c>
      <c r="V1497" t="s">
        <v>270</v>
      </c>
      <c r="W1497">
        <v>367977</v>
      </c>
      <c r="X1497">
        <v>367977</v>
      </c>
      <c r="Y1497" t="s">
        <v>270</v>
      </c>
      <c r="Z1497">
        <v>367977</v>
      </c>
      <c r="AA1497">
        <v>367977</v>
      </c>
      <c r="AB1497" t="b">
        <v>1</v>
      </c>
    </row>
    <row r="1498" spans="17:29" x14ac:dyDescent="0.2">
      <c r="Q1498" t="s">
        <v>2018</v>
      </c>
      <c r="R1498" t="s">
        <v>2515</v>
      </c>
      <c r="S1498" t="s">
        <v>257</v>
      </c>
      <c r="T1498" s="1">
        <v>44256</v>
      </c>
      <c r="U1498" s="1">
        <v>44256</v>
      </c>
      <c r="V1498" t="s">
        <v>270</v>
      </c>
      <c r="W1498">
        <v>721803</v>
      </c>
      <c r="X1498">
        <v>721803</v>
      </c>
      <c r="Y1498" t="s">
        <v>270</v>
      </c>
      <c r="Z1498">
        <v>721803</v>
      </c>
      <c r="AA1498">
        <v>721803</v>
      </c>
      <c r="AB1498" t="b">
        <v>1</v>
      </c>
    </row>
    <row r="1499" spans="17:29" x14ac:dyDescent="0.2">
      <c r="Q1499" t="s">
        <v>2018</v>
      </c>
      <c r="R1499" t="s">
        <v>2515</v>
      </c>
      <c r="S1499" t="s">
        <v>257</v>
      </c>
      <c r="T1499" s="1">
        <v>44228</v>
      </c>
      <c r="U1499" s="1">
        <v>44228</v>
      </c>
      <c r="V1499" t="s">
        <v>270</v>
      </c>
      <c r="W1499">
        <v>639493</v>
      </c>
      <c r="X1499">
        <v>639493</v>
      </c>
      <c r="Y1499" t="s">
        <v>270</v>
      </c>
      <c r="Z1499">
        <v>639493</v>
      </c>
      <c r="AA1499">
        <v>639493</v>
      </c>
      <c r="AB1499" t="b">
        <v>1</v>
      </c>
    </row>
    <row r="1500" spans="17:29" x14ac:dyDescent="0.2">
      <c r="Q1500" t="s">
        <v>2018</v>
      </c>
      <c r="R1500" t="s">
        <v>2515</v>
      </c>
      <c r="S1500" t="s">
        <v>257</v>
      </c>
      <c r="T1500" s="1">
        <v>44197</v>
      </c>
      <c r="U1500" s="1">
        <v>44197</v>
      </c>
      <c r="V1500" t="s">
        <v>270</v>
      </c>
      <c r="W1500">
        <v>34256</v>
      </c>
      <c r="X1500">
        <v>34256</v>
      </c>
      <c r="Y1500" t="s">
        <v>270</v>
      </c>
      <c r="Z1500">
        <v>34256</v>
      </c>
      <c r="AA1500">
        <v>34256</v>
      </c>
      <c r="AB1500" t="b">
        <v>1</v>
      </c>
    </row>
    <row r="1501" spans="17:29" x14ac:dyDescent="0.2">
      <c r="Q1501" t="s">
        <v>2018</v>
      </c>
      <c r="R1501" t="s">
        <v>2515</v>
      </c>
      <c r="S1501" t="s">
        <v>257</v>
      </c>
      <c r="T1501" s="1">
        <v>44166</v>
      </c>
      <c r="U1501" s="1">
        <v>44166</v>
      </c>
      <c r="V1501" t="s">
        <v>270</v>
      </c>
      <c r="W1501">
        <v>2051510</v>
      </c>
      <c r="X1501">
        <v>2051510</v>
      </c>
      <c r="Y1501" t="s">
        <v>270</v>
      </c>
      <c r="Z1501">
        <v>2051510</v>
      </c>
      <c r="AA1501">
        <v>2051510</v>
      </c>
      <c r="AB1501" t="b">
        <v>1</v>
      </c>
    </row>
    <row r="1502" spans="17:29" x14ac:dyDescent="0.2">
      <c r="Q1502" t="s">
        <v>2018</v>
      </c>
      <c r="R1502" t="s">
        <v>2515</v>
      </c>
      <c r="S1502" t="s">
        <v>257</v>
      </c>
      <c r="T1502" s="1">
        <v>44136</v>
      </c>
      <c r="U1502" s="1">
        <v>44136</v>
      </c>
      <c r="V1502" t="s">
        <v>270</v>
      </c>
      <c r="W1502">
        <v>783815</v>
      </c>
      <c r="X1502">
        <v>783815</v>
      </c>
      <c r="Y1502" t="s">
        <v>270</v>
      </c>
      <c r="Z1502">
        <v>783815</v>
      </c>
      <c r="AA1502">
        <v>783815</v>
      </c>
      <c r="AB1502" t="b">
        <v>1</v>
      </c>
    </row>
    <row r="1503" spans="17:29" x14ac:dyDescent="0.2">
      <c r="Q1503" t="s">
        <v>2018</v>
      </c>
      <c r="R1503" t="s">
        <v>2515</v>
      </c>
      <c r="S1503" t="s">
        <v>257</v>
      </c>
      <c r="T1503" s="1">
        <v>44105</v>
      </c>
      <c r="U1503" s="1">
        <v>44105</v>
      </c>
      <c r="V1503" t="s">
        <v>270</v>
      </c>
      <c r="W1503">
        <v>226561</v>
      </c>
      <c r="X1503">
        <v>226561</v>
      </c>
      <c r="Y1503" t="s">
        <v>270</v>
      </c>
      <c r="Z1503">
        <v>226561</v>
      </c>
      <c r="AA1503">
        <v>226561</v>
      </c>
      <c r="AB1503" t="b">
        <v>1</v>
      </c>
    </row>
    <row r="1504" spans="17:29" x14ac:dyDescent="0.2">
      <c r="Q1504" t="s">
        <v>2018</v>
      </c>
      <c r="R1504" t="s">
        <v>2515</v>
      </c>
      <c r="S1504" t="s">
        <v>257</v>
      </c>
      <c r="T1504" s="1">
        <v>44075</v>
      </c>
      <c r="U1504" s="1">
        <v>44075</v>
      </c>
      <c r="V1504" t="s">
        <v>270</v>
      </c>
      <c r="W1504">
        <v>253382</v>
      </c>
      <c r="X1504">
        <v>253382</v>
      </c>
      <c r="Y1504" t="s">
        <v>270</v>
      </c>
      <c r="Z1504">
        <v>253382</v>
      </c>
      <c r="AA1504">
        <v>253382</v>
      </c>
      <c r="AB1504" t="b">
        <v>1</v>
      </c>
    </row>
    <row r="1505" spans="17:28" x14ac:dyDescent="0.2">
      <c r="Q1505" t="s">
        <v>2018</v>
      </c>
      <c r="R1505" t="s">
        <v>2515</v>
      </c>
      <c r="S1505" t="s">
        <v>257</v>
      </c>
      <c r="T1505" s="1">
        <v>44044</v>
      </c>
      <c r="U1505" s="1">
        <v>44044</v>
      </c>
      <c r="V1505" t="s">
        <v>270</v>
      </c>
      <c r="W1505">
        <v>273356</v>
      </c>
      <c r="X1505">
        <v>273356</v>
      </c>
      <c r="Y1505" t="s">
        <v>270</v>
      </c>
      <c r="Z1505">
        <v>273356</v>
      </c>
      <c r="AA1505">
        <v>273356</v>
      </c>
      <c r="AB1505" t="b">
        <v>1</v>
      </c>
    </row>
    <row r="1506" spans="17:28" x14ac:dyDescent="0.2">
      <c r="Q1506" t="s">
        <v>2018</v>
      </c>
      <c r="R1506" t="s">
        <v>2515</v>
      </c>
      <c r="S1506" t="s">
        <v>257</v>
      </c>
      <c r="T1506" s="1">
        <v>44013</v>
      </c>
      <c r="U1506" s="1">
        <v>44013</v>
      </c>
      <c r="V1506" t="s">
        <v>270</v>
      </c>
      <c r="W1506">
        <v>265419</v>
      </c>
      <c r="X1506">
        <v>265419</v>
      </c>
      <c r="Y1506" t="s">
        <v>270</v>
      </c>
      <c r="Z1506">
        <v>265419</v>
      </c>
      <c r="AA1506">
        <v>265419</v>
      </c>
      <c r="AB1506" t="b">
        <v>1</v>
      </c>
    </row>
    <row r="1507" spans="17:28" x14ac:dyDescent="0.2">
      <c r="Q1507" t="s">
        <v>2018</v>
      </c>
      <c r="R1507" t="s">
        <v>2515</v>
      </c>
      <c r="S1507" t="s">
        <v>257</v>
      </c>
      <c r="T1507" s="1">
        <v>44348</v>
      </c>
      <c r="U1507" s="1">
        <v>44348</v>
      </c>
      <c r="V1507" t="s">
        <v>270</v>
      </c>
      <c r="W1507">
        <v>676446</v>
      </c>
      <c r="X1507">
        <v>676446</v>
      </c>
      <c r="Y1507" t="s">
        <v>270</v>
      </c>
      <c r="Z1507">
        <v>676446</v>
      </c>
      <c r="AA1507">
        <v>676446</v>
      </c>
      <c r="AB1507" t="b">
        <v>1</v>
      </c>
    </row>
    <row r="1508" spans="17:28" x14ac:dyDescent="0.2">
      <c r="Q1508" t="s">
        <v>2018</v>
      </c>
      <c r="R1508" t="s">
        <v>2515</v>
      </c>
      <c r="S1508" t="s">
        <v>257</v>
      </c>
      <c r="T1508" s="1">
        <v>44317</v>
      </c>
      <c r="U1508" s="1">
        <v>44317</v>
      </c>
      <c r="V1508" t="s">
        <v>270</v>
      </c>
      <c r="W1508">
        <v>413692</v>
      </c>
      <c r="X1508">
        <v>413692</v>
      </c>
      <c r="Y1508" t="s">
        <v>270</v>
      </c>
      <c r="Z1508">
        <v>413692</v>
      </c>
      <c r="AA1508">
        <v>413692</v>
      </c>
      <c r="AB1508" t="b">
        <v>1</v>
      </c>
    </row>
    <row r="1509" spans="17:28" x14ac:dyDescent="0.2">
      <c r="Q1509" t="s">
        <v>2018</v>
      </c>
      <c r="R1509" t="s">
        <v>2515</v>
      </c>
      <c r="S1509" t="s">
        <v>257</v>
      </c>
      <c r="T1509" s="1">
        <v>44287</v>
      </c>
      <c r="U1509" s="1">
        <v>44287</v>
      </c>
      <c r="V1509" t="s">
        <v>270</v>
      </c>
      <c r="W1509">
        <v>367977</v>
      </c>
      <c r="X1509">
        <v>367977</v>
      </c>
      <c r="Y1509" t="s">
        <v>270</v>
      </c>
      <c r="Z1509">
        <v>367977</v>
      </c>
      <c r="AA1509">
        <v>367977</v>
      </c>
      <c r="AB1509" t="b">
        <v>1</v>
      </c>
    </row>
    <row r="1510" spans="17:28" x14ac:dyDescent="0.2">
      <c r="Q1510" t="s">
        <v>2018</v>
      </c>
      <c r="R1510" t="s">
        <v>2515</v>
      </c>
      <c r="S1510" t="s">
        <v>257</v>
      </c>
      <c r="T1510" s="1">
        <v>44256</v>
      </c>
      <c r="U1510" s="1">
        <v>44256</v>
      </c>
      <c r="V1510" t="s">
        <v>270</v>
      </c>
      <c r="W1510">
        <v>721803</v>
      </c>
      <c r="X1510">
        <v>721803</v>
      </c>
      <c r="Y1510" t="s">
        <v>270</v>
      </c>
      <c r="Z1510">
        <v>721803</v>
      </c>
      <c r="AA1510">
        <v>721803</v>
      </c>
      <c r="AB1510" t="b">
        <v>1</v>
      </c>
    </row>
    <row r="1511" spans="17:28" x14ac:dyDescent="0.2">
      <c r="Q1511" t="s">
        <v>2018</v>
      </c>
      <c r="R1511" t="s">
        <v>2515</v>
      </c>
      <c r="S1511" t="s">
        <v>257</v>
      </c>
      <c r="T1511" s="1">
        <v>44228</v>
      </c>
      <c r="U1511" s="1">
        <v>44228</v>
      </c>
      <c r="V1511" t="s">
        <v>270</v>
      </c>
      <c r="W1511">
        <v>639493</v>
      </c>
      <c r="X1511">
        <v>639493</v>
      </c>
      <c r="Y1511" t="s">
        <v>270</v>
      </c>
      <c r="Z1511">
        <v>639493</v>
      </c>
      <c r="AA1511">
        <v>639493</v>
      </c>
      <c r="AB1511" t="b">
        <v>1</v>
      </c>
    </row>
    <row r="1512" spans="17:28" x14ac:dyDescent="0.2">
      <c r="Q1512" t="s">
        <v>2018</v>
      </c>
      <c r="R1512" t="s">
        <v>2515</v>
      </c>
      <c r="S1512" t="s">
        <v>257</v>
      </c>
      <c r="T1512" s="1">
        <v>44197</v>
      </c>
      <c r="U1512" s="1">
        <v>44197</v>
      </c>
      <c r="V1512" t="s">
        <v>270</v>
      </c>
      <c r="W1512">
        <v>34256</v>
      </c>
      <c r="X1512">
        <v>34256</v>
      </c>
      <c r="Y1512" t="s">
        <v>270</v>
      </c>
      <c r="Z1512">
        <v>34256</v>
      </c>
      <c r="AA1512">
        <v>34256</v>
      </c>
      <c r="AB1512" t="b">
        <v>1</v>
      </c>
    </row>
    <row r="1513" spans="17:28" x14ac:dyDescent="0.2">
      <c r="Q1513" t="s">
        <v>2018</v>
      </c>
      <c r="R1513" t="s">
        <v>2515</v>
      </c>
      <c r="S1513" t="s">
        <v>257</v>
      </c>
      <c r="T1513" s="1">
        <v>44166</v>
      </c>
      <c r="U1513" s="1">
        <v>44166</v>
      </c>
      <c r="V1513" t="s">
        <v>270</v>
      </c>
      <c r="W1513">
        <v>2051510</v>
      </c>
      <c r="X1513">
        <v>2051510</v>
      </c>
      <c r="Y1513" t="s">
        <v>270</v>
      </c>
      <c r="Z1513">
        <v>2051510</v>
      </c>
      <c r="AA1513">
        <v>2051510</v>
      </c>
      <c r="AB1513" t="b">
        <v>1</v>
      </c>
    </row>
    <row r="1514" spans="17:28" x14ac:dyDescent="0.2">
      <c r="Q1514" t="s">
        <v>2018</v>
      </c>
      <c r="R1514" t="s">
        <v>2515</v>
      </c>
      <c r="S1514" t="s">
        <v>257</v>
      </c>
      <c r="T1514" s="1">
        <v>44136</v>
      </c>
      <c r="U1514" s="1">
        <v>44136</v>
      </c>
      <c r="V1514" t="s">
        <v>270</v>
      </c>
      <c r="W1514">
        <v>783815</v>
      </c>
      <c r="X1514">
        <v>783815</v>
      </c>
      <c r="Y1514" t="s">
        <v>270</v>
      </c>
      <c r="Z1514">
        <v>783815</v>
      </c>
      <c r="AA1514">
        <v>783815</v>
      </c>
      <c r="AB1514" t="b">
        <v>1</v>
      </c>
    </row>
    <row r="1515" spans="17:28" x14ac:dyDescent="0.2">
      <c r="Q1515" t="s">
        <v>2018</v>
      </c>
      <c r="R1515" t="s">
        <v>2515</v>
      </c>
      <c r="S1515" t="s">
        <v>257</v>
      </c>
      <c r="T1515" s="1">
        <v>44105</v>
      </c>
      <c r="U1515" s="1">
        <v>44105</v>
      </c>
      <c r="V1515" t="s">
        <v>270</v>
      </c>
      <c r="W1515">
        <v>226561</v>
      </c>
      <c r="X1515">
        <v>226561</v>
      </c>
      <c r="Y1515" t="s">
        <v>270</v>
      </c>
      <c r="Z1515">
        <v>226561</v>
      </c>
      <c r="AA1515">
        <v>226561</v>
      </c>
      <c r="AB1515" t="b">
        <v>1</v>
      </c>
    </row>
    <row r="1516" spans="17:28" x14ac:dyDescent="0.2">
      <c r="Q1516" t="s">
        <v>2018</v>
      </c>
      <c r="R1516" t="s">
        <v>2515</v>
      </c>
      <c r="S1516" t="s">
        <v>257</v>
      </c>
      <c r="T1516" s="1">
        <v>44075</v>
      </c>
      <c r="U1516" s="1">
        <v>44075</v>
      </c>
      <c r="V1516" t="s">
        <v>270</v>
      </c>
      <c r="W1516">
        <v>253382</v>
      </c>
      <c r="X1516">
        <v>253382</v>
      </c>
      <c r="Y1516" t="s">
        <v>270</v>
      </c>
      <c r="Z1516">
        <v>253382</v>
      </c>
      <c r="AA1516">
        <v>253382</v>
      </c>
      <c r="AB1516" t="b">
        <v>1</v>
      </c>
    </row>
    <row r="1517" spans="17:28" x14ac:dyDescent="0.2">
      <c r="Q1517" t="s">
        <v>2018</v>
      </c>
      <c r="R1517" t="s">
        <v>2515</v>
      </c>
      <c r="S1517" t="s">
        <v>257</v>
      </c>
      <c r="T1517" s="1">
        <v>44044</v>
      </c>
      <c r="U1517" s="1">
        <v>44044</v>
      </c>
      <c r="V1517" t="s">
        <v>270</v>
      </c>
      <c r="W1517">
        <v>273356</v>
      </c>
      <c r="X1517">
        <v>273356</v>
      </c>
      <c r="Y1517" t="s">
        <v>270</v>
      </c>
      <c r="Z1517">
        <v>273356</v>
      </c>
      <c r="AA1517">
        <v>273356</v>
      </c>
      <c r="AB1517" t="b">
        <v>1</v>
      </c>
    </row>
    <row r="1518" spans="17:28" x14ac:dyDescent="0.2">
      <c r="Q1518" t="s">
        <v>2018</v>
      </c>
      <c r="R1518" t="s">
        <v>2515</v>
      </c>
      <c r="S1518" t="s">
        <v>257</v>
      </c>
      <c r="T1518" s="1">
        <v>44013</v>
      </c>
      <c r="U1518" s="1">
        <v>44013</v>
      </c>
      <c r="V1518" t="s">
        <v>270</v>
      </c>
      <c r="W1518">
        <v>265419</v>
      </c>
      <c r="X1518">
        <v>265419</v>
      </c>
      <c r="Y1518" t="s">
        <v>270</v>
      </c>
      <c r="Z1518">
        <v>265419</v>
      </c>
      <c r="AA1518">
        <v>265419</v>
      </c>
      <c r="AB1518" t="b">
        <v>1</v>
      </c>
    </row>
    <row r="1519" spans="17:28" x14ac:dyDescent="0.2">
      <c r="Q1519" t="s">
        <v>2018</v>
      </c>
      <c r="R1519" t="s">
        <v>2516</v>
      </c>
      <c r="S1519" t="s">
        <v>257</v>
      </c>
      <c r="T1519" s="1">
        <v>44317</v>
      </c>
      <c r="U1519" s="1">
        <v>44317</v>
      </c>
      <c r="V1519" t="s">
        <v>270</v>
      </c>
      <c r="W1519">
        <v>133266</v>
      </c>
      <c r="X1519">
        <v>133266</v>
      </c>
      <c r="Y1519" t="s">
        <v>270</v>
      </c>
      <c r="Z1519">
        <v>133266</v>
      </c>
      <c r="AA1519">
        <v>133266</v>
      </c>
      <c r="AB1519" t="b">
        <v>1</v>
      </c>
    </row>
    <row r="1520" spans="17:28" x14ac:dyDescent="0.2">
      <c r="Q1520" t="s">
        <v>2018</v>
      </c>
      <c r="R1520" t="s">
        <v>2516</v>
      </c>
      <c r="S1520" t="s">
        <v>257</v>
      </c>
      <c r="T1520" s="1">
        <v>44287</v>
      </c>
      <c r="U1520" s="1">
        <v>44287</v>
      </c>
      <c r="V1520" t="s">
        <v>270</v>
      </c>
      <c r="W1520">
        <v>9642</v>
      </c>
      <c r="X1520">
        <v>9642</v>
      </c>
      <c r="Y1520" t="s">
        <v>270</v>
      </c>
      <c r="Z1520">
        <v>9642</v>
      </c>
      <c r="AA1520">
        <v>9642</v>
      </c>
      <c r="AB1520" t="b">
        <v>1</v>
      </c>
    </row>
    <row r="1521" spans="17:28" x14ac:dyDescent="0.2">
      <c r="Q1521" t="s">
        <v>2018</v>
      </c>
      <c r="R1521" t="s">
        <v>2516</v>
      </c>
      <c r="S1521" t="s">
        <v>257</v>
      </c>
      <c r="T1521" s="1">
        <v>44256</v>
      </c>
      <c r="U1521" s="1">
        <v>44256</v>
      </c>
      <c r="V1521" t="s">
        <v>270</v>
      </c>
      <c r="W1521">
        <v>93816</v>
      </c>
      <c r="X1521">
        <v>93816</v>
      </c>
      <c r="Y1521" t="s">
        <v>270</v>
      </c>
      <c r="Z1521">
        <v>93816</v>
      </c>
      <c r="AA1521">
        <v>93816</v>
      </c>
      <c r="AB1521" t="b">
        <v>1</v>
      </c>
    </row>
    <row r="1522" spans="17:28" x14ac:dyDescent="0.2">
      <c r="Q1522" t="s">
        <v>2018</v>
      </c>
      <c r="R1522" t="s">
        <v>2516</v>
      </c>
      <c r="S1522" t="s">
        <v>257</v>
      </c>
      <c r="T1522" s="1">
        <v>44228</v>
      </c>
      <c r="U1522" s="1">
        <v>44228</v>
      </c>
      <c r="V1522" t="s">
        <v>270</v>
      </c>
      <c r="W1522">
        <v>369759</v>
      </c>
      <c r="X1522">
        <v>369759</v>
      </c>
      <c r="Y1522" t="s">
        <v>270</v>
      </c>
      <c r="Z1522">
        <v>369759</v>
      </c>
      <c r="AA1522">
        <v>369759</v>
      </c>
      <c r="AB1522" t="b">
        <v>1</v>
      </c>
    </row>
    <row r="1523" spans="17:28" x14ac:dyDescent="0.2">
      <c r="Q1523" t="s">
        <v>2018</v>
      </c>
      <c r="R1523" t="s">
        <v>2516</v>
      </c>
      <c r="S1523" t="s">
        <v>257</v>
      </c>
      <c r="T1523" s="1">
        <v>44197</v>
      </c>
      <c r="U1523" s="1">
        <v>44197</v>
      </c>
      <c r="V1523" t="s">
        <v>270</v>
      </c>
      <c r="W1523">
        <v>105163</v>
      </c>
      <c r="X1523">
        <v>105163</v>
      </c>
      <c r="Y1523" t="s">
        <v>270</v>
      </c>
      <c r="Z1523">
        <v>105163</v>
      </c>
      <c r="AA1523">
        <v>105163</v>
      </c>
      <c r="AB1523" t="b">
        <v>1</v>
      </c>
    </row>
    <row r="1524" spans="17:28" x14ac:dyDescent="0.2">
      <c r="Q1524" t="s">
        <v>2018</v>
      </c>
      <c r="R1524" t="s">
        <v>2516</v>
      </c>
      <c r="S1524" t="s">
        <v>257</v>
      </c>
      <c r="T1524" s="1">
        <v>44166</v>
      </c>
      <c r="U1524" s="1">
        <v>44166</v>
      </c>
      <c r="V1524" t="s">
        <v>270</v>
      </c>
      <c r="W1524">
        <v>1781229</v>
      </c>
      <c r="X1524">
        <v>1781229</v>
      </c>
      <c r="Y1524" t="s">
        <v>270</v>
      </c>
      <c r="Z1524">
        <v>1781229</v>
      </c>
      <c r="AA1524">
        <v>1781229</v>
      </c>
      <c r="AB1524" t="b">
        <v>1</v>
      </c>
    </row>
    <row r="1525" spans="17:28" x14ac:dyDescent="0.2">
      <c r="Q1525" t="s">
        <v>2018</v>
      </c>
      <c r="R1525" t="s">
        <v>2516</v>
      </c>
      <c r="S1525" t="s">
        <v>257</v>
      </c>
      <c r="T1525" s="1">
        <v>44136</v>
      </c>
      <c r="U1525" s="1">
        <v>44136</v>
      </c>
      <c r="V1525" t="s">
        <v>270</v>
      </c>
      <c r="W1525">
        <v>1459926</v>
      </c>
      <c r="X1525">
        <v>1459926</v>
      </c>
      <c r="Y1525" t="s">
        <v>270</v>
      </c>
      <c r="Z1525">
        <v>1459926</v>
      </c>
      <c r="AA1525">
        <v>1459926</v>
      </c>
      <c r="AB1525" t="b">
        <v>1</v>
      </c>
    </row>
    <row r="1526" spans="17:28" x14ac:dyDescent="0.2">
      <c r="Q1526" t="s">
        <v>2018</v>
      </c>
      <c r="R1526" t="s">
        <v>2516</v>
      </c>
      <c r="S1526" t="s">
        <v>257</v>
      </c>
      <c r="T1526" s="1">
        <v>44105</v>
      </c>
      <c r="U1526" s="1">
        <v>44105</v>
      </c>
      <c r="V1526" t="s">
        <v>270</v>
      </c>
      <c r="W1526">
        <v>1086350</v>
      </c>
      <c r="X1526">
        <v>1086350</v>
      </c>
      <c r="Y1526" t="s">
        <v>270</v>
      </c>
      <c r="Z1526">
        <v>1086350</v>
      </c>
      <c r="AA1526">
        <v>1086350</v>
      </c>
      <c r="AB1526" t="b">
        <v>1</v>
      </c>
    </row>
    <row r="1527" spans="17:28" x14ac:dyDescent="0.2">
      <c r="Q1527" t="s">
        <v>2018</v>
      </c>
      <c r="R1527" t="s">
        <v>2516</v>
      </c>
      <c r="S1527" t="s">
        <v>257</v>
      </c>
      <c r="T1527" s="1">
        <v>44075</v>
      </c>
      <c r="U1527" s="1">
        <v>44075</v>
      </c>
      <c r="V1527" t="s">
        <v>270</v>
      </c>
      <c r="W1527">
        <v>285887</v>
      </c>
      <c r="X1527">
        <v>285887</v>
      </c>
      <c r="Y1527" t="s">
        <v>270</v>
      </c>
      <c r="Z1527">
        <v>285887</v>
      </c>
      <c r="AA1527">
        <v>285887</v>
      </c>
      <c r="AB1527" t="b">
        <v>1</v>
      </c>
    </row>
    <row r="1528" spans="17:28" x14ac:dyDescent="0.2">
      <c r="Q1528" t="s">
        <v>2018</v>
      </c>
      <c r="R1528" t="s">
        <v>2516</v>
      </c>
      <c r="S1528" t="s">
        <v>257</v>
      </c>
      <c r="T1528" s="1">
        <v>44044</v>
      </c>
      <c r="U1528" s="1">
        <v>44044</v>
      </c>
      <c r="V1528" t="s">
        <v>270</v>
      </c>
      <c r="W1528">
        <v>17577</v>
      </c>
      <c r="X1528">
        <v>17577</v>
      </c>
      <c r="Y1528" t="s">
        <v>270</v>
      </c>
      <c r="Z1528">
        <v>17577</v>
      </c>
      <c r="AA1528">
        <v>17577</v>
      </c>
      <c r="AB1528" t="b">
        <v>1</v>
      </c>
    </row>
    <row r="1529" spans="17:28" x14ac:dyDescent="0.2">
      <c r="Q1529" t="s">
        <v>2018</v>
      </c>
      <c r="R1529" t="s">
        <v>2516</v>
      </c>
      <c r="S1529" t="s">
        <v>257</v>
      </c>
      <c r="T1529" s="1">
        <v>44013</v>
      </c>
      <c r="U1529" s="1">
        <v>44013</v>
      </c>
      <c r="V1529" t="s">
        <v>270</v>
      </c>
      <c r="W1529">
        <v>35153</v>
      </c>
      <c r="X1529">
        <v>35153</v>
      </c>
      <c r="Y1529" t="s">
        <v>270</v>
      </c>
      <c r="Z1529">
        <v>35153</v>
      </c>
      <c r="AA1529">
        <v>35153</v>
      </c>
      <c r="AB1529" t="b">
        <v>1</v>
      </c>
    </row>
    <row r="1530" spans="17:28" x14ac:dyDescent="0.2">
      <c r="Q1530" t="s">
        <v>2018</v>
      </c>
      <c r="R1530" t="s">
        <v>2516</v>
      </c>
      <c r="S1530" t="s">
        <v>257</v>
      </c>
      <c r="T1530" s="1">
        <v>44317</v>
      </c>
      <c r="U1530" s="1">
        <v>44317</v>
      </c>
      <c r="V1530" t="s">
        <v>270</v>
      </c>
      <c r="W1530">
        <v>133266</v>
      </c>
      <c r="X1530">
        <v>133266</v>
      </c>
      <c r="Y1530" t="s">
        <v>270</v>
      </c>
      <c r="Z1530">
        <v>133266</v>
      </c>
      <c r="AA1530">
        <v>133266</v>
      </c>
      <c r="AB1530" t="b">
        <v>1</v>
      </c>
    </row>
    <row r="1531" spans="17:28" x14ac:dyDescent="0.2">
      <c r="Q1531" t="s">
        <v>2018</v>
      </c>
      <c r="R1531" t="s">
        <v>2516</v>
      </c>
      <c r="S1531" t="s">
        <v>257</v>
      </c>
      <c r="T1531" s="1">
        <v>44287</v>
      </c>
      <c r="U1531" s="1">
        <v>44287</v>
      </c>
      <c r="V1531" t="s">
        <v>270</v>
      </c>
      <c r="W1531">
        <v>9642</v>
      </c>
      <c r="X1531">
        <v>9642</v>
      </c>
      <c r="Y1531" t="s">
        <v>270</v>
      </c>
      <c r="Z1531">
        <v>9642</v>
      </c>
      <c r="AA1531">
        <v>9642</v>
      </c>
      <c r="AB1531" t="b">
        <v>1</v>
      </c>
    </row>
    <row r="1532" spans="17:28" x14ac:dyDescent="0.2">
      <c r="Q1532" t="s">
        <v>2018</v>
      </c>
      <c r="R1532" t="s">
        <v>2516</v>
      </c>
      <c r="S1532" t="s">
        <v>257</v>
      </c>
      <c r="T1532" s="1">
        <v>44256</v>
      </c>
      <c r="U1532" s="1">
        <v>44256</v>
      </c>
      <c r="V1532" t="s">
        <v>270</v>
      </c>
      <c r="W1532">
        <v>93816</v>
      </c>
      <c r="X1532">
        <v>93816</v>
      </c>
      <c r="Y1532" t="s">
        <v>270</v>
      </c>
      <c r="Z1532">
        <v>93816</v>
      </c>
      <c r="AA1532">
        <v>93816</v>
      </c>
      <c r="AB1532" t="b">
        <v>1</v>
      </c>
    </row>
    <row r="1533" spans="17:28" x14ac:dyDescent="0.2">
      <c r="Q1533" t="s">
        <v>2018</v>
      </c>
      <c r="R1533" t="s">
        <v>2516</v>
      </c>
      <c r="S1533" t="s">
        <v>257</v>
      </c>
      <c r="T1533" s="1">
        <v>44228</v>
      </c>
      <c r="U1533" s="1">
        <v>44228</v>
      </c>
      <c r="V1533" t="s">
        <v>270</v>
      </c>
      <c r="W1533">
        <v>369759</v>
      </c>
      <c r="X1533">
        <v>369759</v>
      </c>
      <c r="Y1533" t="s">
        <v>270</v>
      </c>
      <c r="Z1533">
        <v>369759</v>
      </c>
      <c r="AA1533">
        <v>369759</v>
      </c>
      <c r="AB1533" t="b">
        <v>1</v>
      </c>
    </row>
    <row r="1534" spans="17:28" x14ac:dyDescent="0.2">
      <c r="Q1534" t="s">
        <v>2018</v>
      </c>
      <c r="R1534" t="s">
        <v>2516</v>
      </c>
      <c r="S1534" t="s">
        <v>257</v>
      </c>
      <c r="T1534" s="1">
        <v>44197</v>
      </c>
      <c r="U1534" s="1">
        <v>44197</v>
      </c>
      <c r="V1534" t="s">
        <v>270</v>
      </c>
      <c r="W1534">
        <v>105163</v>
      </c>
      <c r="X1534">
        <v>105163</v>
      </c>
      <c r="Y1534" t="s">
        <v>270</v>
      </c>
      <c r="Z1534">
        <v>105163</v>
      </c>
      <c r="AA1534">
        <v>105163</v>
      </c>
      <c r="AB1534" t="b">
        <v>1</v>
      </c>
    </row>
    <row r="1535" spans="17:28" x14ac:dyDescent="0.2">
      <c r="Q1535" t="s">
        <v>2018</v>
      </c>
      <c r="R1535" t="s">
        <v>2516</v>
      </c>
      <c r="S1535" t="s">
        <v>257</v>
      </c>
      <c r="T1535" s="1">
        <v>44166</v>
      </c>
      <c r="U1535" s="1">
        <v>44166</v>
      </c>
      <c r="V1535" t="s">
        <v>270</v>
      </c>
      <c r="W1535">
        <v>1781229</v>
      </c>
      <c r="X1535">
        <v>1781229</v>
      </c>
      <c r="Y1535" t="s">
        <v>270</v>
      </c>
      <c r="Z1535">
        <v>1781229</v>
      </c>
      <c r="AA1535">
        <v>1781229</v>
      </c>
      <c r="AB1535" t="b">
        <v>1</v>
      </c>
    </row>
    <row r="1536" spans="17:28" x14ac:dyDescent="0.2">
      <c r="Q1536" t="s">
        <v>2018</v>
      </c>
      <c r="R1536" t="s">
        <v>2516</v>
      </c>
      <c r="S1536" t="s">
        <v>257</v>
      </c>
      <c r="T1536" s="1">
        <v>44136</v>
      </c>
      <c r="U1536" s="1">
        <v>44136</v>
      </c>
      <c r="V1536" t="s">
        <v>270</v>
      </c>
      <c r="W1536">
        <v>1459926</v>
      </c>
      <c r="X1536">
        <v>1459926</v>
      </c>
      <c r="Y1536" t="s">
        <v>270</v>
      </c>
      <c r="Z1536">
        <v>1459926</v>
      </c>
      <c r="AA1536">
        <v>1459926</v>
      </c>
      <c r="AB1536" t="b">
        <v>1</v>
      </c>
    </row>
    <row r="1537" spans="17:28" x14ac:dyDescent="0.2">
      <c r="Q1537" t="s">
        <v>2018</v>
      </c>
      <c r="R1537" t="s">
        <v>2516</v>
      </c>
      <c r="S1537" t="s">
        <v>257</v>
      </c>
      <c r="T1537" s="1">
        <v>44105</v>
      </c>
      <c r="U1537" s="1">
        <v>44105</v>
      </c>
      <c r="V1537" t="s">
        <v>270</v>
      </c>
      <c r="W1537">
        <v>1086350</v>
      </c>
      <c r="X1537">
        <v>1086350</v>
      </c>
      <c r="Y1537" t="s">
        <v>270</v>
      </c>
      <c r="Z1537">
        <v>1086350</v>
      </c>
      <c r="AA1537">
        <v>1086350</v>
      </c>
      <c r="AB1537" t="b">
        <v>1</v>
      </c>
    </row>
    <row r="1538" spans="17:28" x14ac:dyDescent="0.2">
      <c r="Q1538" t="s">
        <v>2018</v>
      </c>
      <c r="R1538" t="s">
        <v>2516</v>
      </c>
      <c r="S1538" t="s">
        <v>257</v>
      </c>
      <c r="T1538" s="1">
        <v>44075</v>
      </c>
      <c r="U1538" s="1">
        <v>44075</v>
      </c>
      <c r="V1538" t="s">
        <v>270</v>
      </c>
      <c r="W1538">
        <v>285887</v>
      </c>
      <c r="X1538">
        <v>285887</v>
      </c>
      <c r="Y1538" t="s">
        <v>270</v>
      </c>
      <c r="Z1538">
        <v>285887</v>
      </c>
      <c r="AA1538">
        <v>285887</v>
      </c>
      <c r="AB1538" t="b">
        <v>1</v>
      </c>
    </row>
    <row r="1539" spans="17:28" x14ac:dyDescent="0.2">
      <c r="Q1539" t="s">
        <v>2018</v>
      </c>
      <c r="R1539" t="s">
        <v>2516</v>
      </c>
      <c r="S1539" t="s">
        <v>257</v>
      </c>
      <c r="T1539" s="1">
        <v>44044</v>
      </c>
      <c r="U1539" s="1">
        <v>44044</v>
      </c>
      <c r="V1539" t="s">
        <v>270</v>
      </c>
      <c r="W1539">
        <v>17577</v>
      </c>
      <c r="X1539">
        <v>17577</v>
      </c>
      <c r="Y1539" t="s">
        <v>270</v>
      </c>
      <c r="Z1539">
        <v>17577</v>
      </c>
      <c r="AA1539">
        <v>17577</v>
      </c>
      <c r="AB1539" t="b">
        <v>1</v>
      </c>
    </row>
    <row r="1540" spans="17:28" x14ac:dyDescent="0.2">
      <c r="Q1540" t="s">
        <v>2018</v>
      </c>
      <c r="R1540" t="s">
        <v>2516</v>
      </c>
      <c r="S1540" t="s">
        <v>257</v>
      </c>
      <c r="T1540" s="1">
        <v>44013</v>
      </c>
      <c r="U1540" s="1">
        <v>44013</v>
      </c>
      <c r="V1540" t="s">
        <v>270</v>
      </c>
      <c r="W1540">
        <v>35153</v>
      </c>
      <c r="X1540">
        <v>35153</v>
      </c>
      <c r="Y1540" t="s">
        <v>270</v>
      </c>
      <c r="Z1540">
        <v>35153</v>
      </c>
      <c r="AA1540">
        <v>35153</v>
      </c>
      <c r="AB1540" t="b">
        <v>1</v>
      </c>
    </row>
    <row r="1541" spans="17:28" x14ac:dyDescent="0.2">
      <c r="Q1541" t="s">
        <v>2018</v>
      </c>
      <c r="R1541" t="s">
        <v>2517</v>
      </c>
      <c r="S1541" t="s">
        <v>257</v>
      </c>
      <c r="T1541" s="1">
        <v>44348</v>
      </c>
      <c r="U1541" s="1">
        <v>44348</v>
      </c>
      <c r="V1541" t="s">
        <v>270</v>
      </c>
      <c r="W1541">
        <v>1084899</v>
      </c>
      <c r="X1541">
        <v>1084899</v>
      </c>
      <c r="Y1541" t="s">
        <v>270</v>
      </c>
      <c r="Z1541">
        <v>1084899</v>
      </c>
      <c r="AA1541">
        <v>1084899</v>
      </c>
      <c r="AB1541" t="b">
        <v>1</v>
      </c>
    </row>
    <row r="1542" spans="17:28" x14ac:dyDescent="0.2">
      <c r="Q1542" t="s">
        <v>2018</v>
      </c>
      <c r="R1542" t="s">
        <v>2517</v>
      </c>
      <c r="S1542" t="s">
        <v>257</v>
      </c>
      <c r="T1542" s="1">
        <v>44317</v>
      </c>
      <c r="U1542" s="1">
        <v>44317</v>
      </c>
      <c r="V1542" t="s">
        <v>270</v>
      </c>
      <c r="W1542">
        <v>864731</v>
      </c>
      <c r="X1542">
        <v>864731</v>
      </c>
      <c r="Y1542" t="s">
        <v>270</v>
      </c>
      <c r="Z1542">
        <v>864731</v>
      </c>
      <c r="AA1542">
        <v>864731</v>
      </c>
      <c r="AB1542" t="b">
        <v>1</v>
      </c>
    </row>
    <row r="1543" spans="17:28" x14ac:dyDescent="0.2">
      <c r="Q1543" t="s">
        <v>2018</v>
      </c>
      <c r="R1543" t="s">
        <v>2517</v>
      </c>
      <c r="S1543" t="s">
        <v>257</v>
      </c>
      <c r="T1543" s="1">
        <v>44287</v>
      </c>
      <c r="U1543" s="1">
        <v>44287</v>
      </c>
      <c r="V1543" t="s">
        <v>270</v>
      </c>
      <c r="W1543">
        <v>1472847</v>
      </c>
      <c r="X1543">
        <v>1472847</v>
      </c>
      <c r="Y1543" t="s">
        <v>270</v>
      </c>
      <c r="Z1543">
        <v>1472847</v>
      </c>
      <c r="AA1543">
        <v>1472847</v>
      </c>
      <c r="AB1543" t="b">
        <v>1</v>
      </c>
    </row>
    <row r="1544" spans="17:28" x14ac:dyDescent="0.2">
      <c r="Q1544" t="s">
        <v>2018</v>
      </c>
      <c r="R1544" t="s">
        <v>2517</v>
      </c>
      <c r="S1544" t="s">
        <v>257</v>
      </c>
      <c r="T1544" s="1">
        <v>44256</v>
      </c>
      <c r="U1544" s="1">
        <v>44256</v>
      </c>
      <c r="V1544" t="s">
        <v>270</v>
      </c>
      <c r="W1544">
        <v>330193</v>
      </c>
      <c r="X1544">
        <v>330193</v>
      </c>
      <c r="Y1544" t="s">
        <v>270</v>
      </c>
      <c r="Z1544">
        <v>330193</v>
      </c>
      <c r="AA1544">
        <v>330193</v>
      </c>
      <c r="AB1544" t="b">
        <v>1</v>
      </c>
    </row>
    <row r="1545" spans="17:28" x14ac:dyDescent="0.2">
      <c r="Q1545" t="s">
        <v>2018</v>
      </c>
      <c r="R1545" t="s">
        <v>2517</v>
      </c>
      <c r="S1545" t="s">
        <v>257</v>
      </c>
      <c r="T1545" s="1">
        <v>44228</v>
      </c>
      <c r="U1545" s="1">
        <v>44228</v>
      </c>
      <c r="V1545" t="s">
        <v>270</v>
      </c>
      <c r="W1545">
        <v>192516</v>
      </c>
      <c r="X1545">
        <v>192516</v>
      </c>
      <c r="Y1545" t="s">
        <v>270</v>
      </c>
      <c r="Z1545">
        <v>192516</v>
      </c>
      <c r="AA1545">
        <v>192516</v>
      </c>
      <c r="AB1545" t="b">
        <v>1</v>
      </c>
    </row>
    <row r="1546" spans="17:28" x14ac:dyDescent="0.2">
      <c r="Q1546" t="s">
        <v>2018</v>
      </c>
      <c r="R1546" t="s">
        <v>2517</v>
      </c>
      <c r="S1546" t="s">
        <v>257</v>
      </c>
      <c r="T1546" s="1">
        <v>44166</v>
      </c>
      <c r="U1546" s="1">
        <v>44166</v>
      </c>
      <c r="V1546" t="s">
        <v>270</v>
      </c>
      <c r="W1546">
        <v>515813</v>
      </c>
      <c r="X1546">
        <v>515813</v>
      </c>
      <c r="Y1546" t="s">
        <v>270</v>
      </c>
      <c r="Z1546">
        <v>515813</v>
      </c>
      <c r="AA1546">
        <v>515813</v>
      </c>
      <c r="AB1546" t="b">
        <v>1</v>
      </c>
    </row>
    <row r="1547" spans="17:28" x14ac:dyDescent="0.2">
      <c r="Q1547" t="s">
        <v>2018</v>
      </c>
      <c r="R1547" t="s">
        <v>2517</v>
      </c>
      <c r="S1547" t="s">
        <v>257</v>
      </c>
      <c r="T1547" s="1">
        <v>44136</v>
      </c>
      <c r="U1547" s="1">
        <v>44136</v>
      </c>
      <c r="V1547" t="s">
        <v>270</v>
      </c>
      <c r="W1547">
        <v>127820</v>
      </c>
      <c r="X1547">
        <v>127820</v>
      </c>
      <c r="Y1547" t="s">
        <v>270</v>
      </c>
      <c r="Z1547">
        <v>127820</v>
      </c>
      <c r="AA1547">
        <v>127820</v>
      </c>
      <c r="AB1547" t="b">
        <v>1</v>
      </c>
    </row>
    <row r="1548" spans="17:28" x14ac:dyDescent="0.2">
      <c r="Q1548" t="s">
        <v>2018</v>
      </c>
      <c r="R1548" t="s">
        <v>2517</v>
      </c>
      <c r="S1548" t="s">
        <v>257</v>
      </c>
      <c r="T1548" s="1">
        <v>44105</v>
      </c>
      <c r="U1548" s="1">
        <v>44105</v>
      </c>
      <c r="V1548" t="s">
        <v>270</v>
      </c>
      <c r="W1548">
        <v>75236</v>
      </c>
      <c r="X1548">
        <v>75236</v>
      </c>
      <c r="Y1548" t="s">
        <v>270</v>
      </c>
      <c r="Z1548">
        <v>75236</v>
      </c>
      <c r="AA1548">
        <v>75236</v>
      </c>
      <c r="AB1548" t="b">
        <v>1</v>
      </c>
    </row>
    <row r="1549" spans="17:28" x14ac:dyDescent="0.2">
      <c r="Q1549" t="s">
        <v>2018</v>
      </c>
      <c r="R1549" t="s">
        <v>2517</v>
      </c>
      <c r="S1549" t="s">
        <v>257</v>
      </c>
      <c r="T1549" s="1">
        <v>44348</v>
      </c>
      <c r="U1549" s="1">
        <v>44348</v>
      </c>
      <c r="V1549" t="s">
        <v>270</v>
      </c>
      <c r="W1549">
        <v>1084899</v>
      </c>
      <c r="X1549">
        <v>1084899</v>
      </c>
      <c r="Y1549" t="s">
        <v>270</v>
      </c>
      <c r="Z1549">
        <v>1084899</v>
      </c>
      <c r="AA1549">
        <v>1084899</v>
      </c>
      <c r="AB1549" t="b">
        <v>1</v>
      </c>
    </row>
    <row r="1550" spans="17:28" x14ac:dyDescent="0.2">
      <c r="Q1550" t="s">
        <v>2018</v>
      </c>
      <c r="R1550" t="s">
        <v>2517</v>
      </c>
      <c r="S1550" t="s">
        <v>257</v>
      </c>
      <c r="T1550" s="1">
        <v>44317</v>
      </c>
      <c r="U1550" s="1">
        <v>44317</v>
      </c>
      <c r="V1550" t="s">
        <v>270</v>
      </c>
      <c r="W1550">
        <v>864731</v>
      </c>
      <c r="X1550">
        <v>864731</v>
      </c>
      <c r="Y1550" t="s">
        <v>270</v>
      </c>
      <c r="Z1550">
        <v>864731</v>
      </c>
      <c r="AA1550">
        <v>864731</v>
      </c>
      <c r="AB1550" t="b">
        <v>1</v>
      </c>
    </row>
    <row r="1551" spans="17:28" x14ac:dyDescent="0.2">
      <c r="Q1551" t="s">
        <v>2018</v>
      </c>
      <c r="R1551" t="s">
        <v>2517</v>
      </c>
      <c r="S1551" t="s">
        <v>257</v>
      </c>
      <c r="T1551" s="1">
        <v>44287</v>
      </c>
      <c r="U1551" s="1">
        <v>44287</v>
      </c>
      <c r="V1551" t="s">
        <v>270</v>
      </c>
      <c r="W1551">
        <v>1472847</v>
      </c>
      <c r="X1551">
        <v>1472847</v>
      </c>
      <c r="Y1551" t="s">
        <v>270</v>
      </c>
      <c r="Z1551">
        <v>1472847</v>
      </c>
      <c r="AA1551">
        <v>1472847</v>
      </c>
      <c r="AB1551" t="b">
        <v>1</v>
      </c>
    </row>
    <row r="1552" spans="17:28" x14ac:dyDescent="0.2">
      <c r="Q1552" t="s">
        <v>2018</v>
      </c>
      <c r="R1552" t="s">
        <v>2517</v>
      </c>
      <c r="S1552" t="s">
        <v>257</v>
      </c>
      <c r="T1552" s="1">
        <v>44256</v>
      </c>
      <c r="U1552" s="1">
        <v>44256</v>
      </c>
      <c r="V1552" t="s">
        <v>270</v>
      </c>
      <c r="W1552">
        <v>330193</v>
      </c>
      <c r="X1552">
        <v>330193</v>
      </c>
      <c r="Y1552" t="s">
        <v>270</v>
      </c>
      <c r="Z1552">
        <v>330193</v>
      </c>
      <c r="AA1552">
        <v>330193</v>
      </c>
      <c r="AB1552" t="b">
        <v>1</v>
      </c>
    </row>
    <row r="1553" spans="17:28" x14ac:dyDescent="0.2">
      <c r="Q1553" t="s">
        <v>2018</v>
      </c>
      <c r="R1553" t="s">
        <v>2517</v>
      </c>
      <c r="S1553" t="s">
        <v>257</v>
      </c>
      <c r="T1553" s="1">
        <v>44228</v>
      </c>
      <c r="U1553" s="1">
        <v>44228</v>
      </c>
      <c r="V1553" t="s">
        <v>270</v>
      </c>
      <c r="W1553">
        <v>192516</v>
      </c>
      <c r="X1553">
        <v>192516</v>
      </c>
      <c r="Y1553" t="s">
        <v>270</v>
      </c>
      <c r="Z1553">
        <v>192516</v>
      </c>
      <c r="AA1553">
        <v>192516</v>
      </c>
      <c r="AB1553" t="b">
        <v>1</v>
      </c>
    </row>
    <row r="1554" spans="17:28" x14ac:dyDescent="0.2">
      <c r="Q1554" t="s">
        <v>2018</v>
      </c>
      <c r="R1554" t="s">
        <v>2517</v>
      </c>
      <c r="S1554" t="s">
        <v>257</v>
      </c>
      <c r="T1554" s="1">
        <v>44166</v>
      </c>
      <c r="U1554" s="1">
        <v>44166</v>
      </c>
      <c r="V1554" t="s">
        <v>270</v>
      </c>
      <c r="W1554">
        <v>515813</v>
      </c>
      <c r="X1554">
        <v>515813</v>
      </c>
      <c r="Y1554" t="s">
        <v>270</v>
      </c>
      <c r="Z1554">
        <v>515813</v>
      </c>
      <c r="AA1554">
        <v>515813</v>
      </c>
      <c r="AB1554" t="b">
        <v>1</v>
      </c>
    </row>
    <row r="1555" spans="17:28" x14ac:dyDescent="0.2">
      <c r="Q1555" t="s">
        <v>2018</v>
      </c>
      <c r="R1555" t="s">
        <v>2517</v>
      </c>
      <c r="S1555" t="s">
        <v>257</v>
      </c>
      <c r="T1555" s="1">
        <v>44136</v>
      </c>
      <c r="U1555" s="1">
        <v>44136</v>
      </c>
      <c r="V1555" t="s">
        <v>270</v>
      </c>
      <c r="W1555">
        <v>127820</v>
      </c>
      <c r="X1555">
        <v>127820</v>
      </c>
      <c r="Y1555" t="s">
        <v>270</v>
      </c>
      <c r="Z1555">
        <v>127820</v>
      </c>
      <c r="AA1555">
        <v>127820</v>
      </c>
      <c r="AB1555" t="b">
        <v>1</v>
      </c>
    </row>
    <row r="1556" spans="17:28" x14ac:dyDescent="0.2">
      <c r="Q1556" t="s">
        <v>2018</v>
      </c>
      <c r="R1556" t="s">
        <v>2517</v>
      </c>
      <c r="S1556" t="s">
        <v>257</v>
      </c>
      <c r="T1556" s="1">
        <v>44105</v>
      </c>
      <c r="U1556" s="1">
        <v>44105</v>
      </c>
      <c r="V1556" t="s">
        <v>270</v>
      </c>
      <c r="W1556">
        <v>75236</v>
      </c>
      <c r="X1556">
        <v>75236</v>
      </c>
      <c r="Y1556" t="s">
        <v>270</v>
      </c>
      <c r="Z1556">
        <v>75236</v>
      </c>
      <c r="AA1556">
        <v>75236</v>
      </c>
      <c r="AB1556" t="b">
        <v>1</v>
      </c>
    </row>
    <row r="1557" spans="17:28" x14ac:dyDescent="0.2">
      <c r="Q1557" t="s">
        <v>2018</v>
      </c>
      <c r="R1557" t="s">
        <v>2518</v>
      </c>
      <c r="S1557" t="s">
        <v>257</v>
      </c>
      <c r="T1557" s="1">
        <v>44348</v>
      </c>
      <c r="U1557" s="1">
        <v>44348</v>
      </c>
      <c r="V1557" t="s">
        <v>270</v>
      </c>
      <c r="W1557">
        <v>1748440</v>
      </c>
      <c r="X1557">
        <v>1748440</v>
      </c>
      <c r="Y1557" t="s">
        <v>270</v>
      </c>
      <c r="Z1557">
        <v>1748440</v>
      </c>
      <c r="AA1557">
        <v>1748440</v>
      </c>
      <c r="AB1557" t="b">
        <v>1</v>
      </c>
    </row>
    <row r="1558" spans="17:28" x14ac:dyDescent="0.2">
      <c r="Q1558" t="s">
        <v>2018</v>
      </c>
      <c r="R1558" t="s">
        <v>2518</v>
      </c>
      <c r="S1558" t="s">
        <v>257</v>
      </c>
      <c r="T1558" s="1">
        <v>44317</v>
      </c>
      <c r="U1558" s="1">
        <v>44317</v>
      </c>
      <c r="V1558" t="s">
        <v>270</v>
      </c>
      <c r="W1558">
        <v>953016</v>
      </c>
      <c r="X1558">
        <v>953016</v>
      </c>
      <c r="Y1558" t="s">
        <v>270</v>
      </c>
      <c r="Z1558">
        <v>953016</v>
      </c>
      <c r="AA1558">
        <v>953016</v>
      </c>
      <c r="AB1558" t="b">
        <v>1</v>
      </c>
    </row>
    <row r="1559" spans="17:28" x14ac:dyDescent="0.2">
      <c r="Q1559" t="s">
        <v>2018</v>
      </c>
      <c r="R1559" t="s">
        <v>2518</v>
      </c>
      <c r="S1559" t="s">
        <v>257</v>
      </c>
      <c r="T1559" s="1">
        <v>44287</v>
      </c>
      <c r="U1559" s="1">
        <v>44287</v>
      </c>
      <c r="V1559" t="s">
        <v>270</v>
      </c>
      <c r="W1559">
        <v>586283</v>
      </c>
      <c r="X1559">
        <v>586283</v>
      </c>
      <c r="Y1559" t="s">
        <v>270</v>
      </c>
      <c r="Z1559">
        <v>586283</v>
      </c>
      <c r="AA1559">
        <v>586283</v>
      </c>
      <c r="AB1559" t="b">
        <v>1</v>
      </c>
    </row>
    <row r="1560" spans="17:28" x14ac:dyDescent="0.2">
      <c r="Q1560" t="s">
        <v>2018</v>
      </c>
      <c r="R1560" t="s">
        <v>2518</v>
      </c>
      <c r="S1560" t="s">
        <v>257</v>
      </c>
      <c r="T1560" s="1">
        <v>44256</v>
      </c>
      <c r="U1560" s="1">
        <v>44256</v>
      </c>
      <c r="V1560" t="s">
        <v>270</v>
      </c>
      <c r="W1560">
        <v>254276</v>
      </c>
      <c r="X1560">
        <v>254276</v>
      </c>
      <c r="Y1560" t="s">
        <v>270</v>
      </c>
      <c r="Z1560">
        <v>254276</v>
      </c>
      <c r="AA1560">
        <v>254276</v>
      </c>
      <c r="AB1560" t="b">
        <v>1</v>
      </c>
    </row>
    <row r="1561" spans="17:28" x14ac:dyDescent="0.2">
      <c r="Q1561" t="s">
        <v>2018</v>
      </c>
      <c r="R1561" t="s">
        <v>2518</v>
      </c>
      <c r="S1561" t="s">
        <v>257</v>
      </c>
      <c r="T1561" s="1">
        <v>44228</v>
      </c>
      <c r="U1561" s="1">
        <v>44228</v>
      </c>
      <c r="V1561" t="s">
        <v>270</v>
      </c>
      <c r="W1561">
        <v>87438</v>
      </c>
      <c r="X1561">
        <v>87438</v>
      </c>
      <c r="Y1561" t="s">
        <v>270</v>
      </c>
      <c r="Z1561">
        <v>87438</v>
      </c>
      <c r="AA1561">
        <v>87438</v>
      </c>
      <c r="AB1561" t="b">
        <v>1</v>
      </c>
    </row>
    <row r="1562" spans="17:28" x14ac:dyDescent="0.2">
      <c r="Q1562" t="s">
        <v>2018</v>
      </c>
      <c r="R1562" t="s">
        <v>2518</v>
      </c>
      <c r="S1562" t="s">
        <v>257</v>
      </c>
      <c r="T1562" s="1">
        <v>44197</v>
      </c>
      <c r="U1562" s="1">
        <v>44197</v>
      </c>
      <c r="V1562" t="s">
        <v>270</v>
      </c>
      <c r="W1562">
        <v>157</v>
      </c>
      <c r="X1562">
        <v>157</v>
      </c>
      <c r="Y1562" t="s">
        <v>270</v>
      </c>
      <c r="Z1562">
        <v>157</v>
      </c>
      <c r="AA1562">
        <v>157</v>
      </c>
      <c r="AB1562" t="b">
        <v>1</v>
      </c>
    </row>
    <row r="1563" spans="17:28" x14ac:dyDescent="0.2">
      <c r="Q1563" t="s">
        <v>2018</v>
      </c>
      <c r="R1563" t="s">
        <v>2518</v>
      </c>
      <c r="S1563" t="s">
        <v>257</v>
      </c>
      <c r="T1563" s="1">
        <v>44166</v>
      </c>
      <c r="U1563" s="1">
        <v>44166</v>
      </c>
      <c r="V1563" t="s">
        <v>270</v>
      </c>
      <c r="W1563">
        <v>572756</v>
      </c>
      <c r="X1563">
        <v>572756</v>
      </c>
      <c r="Y1563" t="s">
        <v>270</v>
      </c>
      <c r="Z1563">
        <v>572756</v>
      </c>
      <c r="AA1563">
        <v>572756</v>
      </c>
      <c r="AB1563" t="b">
        <v>1</v>
      </c>
    </row>
    <row r="1564" spans="17:28" x14ac:dyDescent="0.2">
      <c r="Q1564" t="s">
        <v>2018</v>
      </c>
      <c r="R1564" t="s">
        <v>2518</v>
      </c>
      <c r="S1564" t="s">
        <v>257</v>
      </c>
      <c r="T1564" s="1">
        <v>44136</v>
      </c>
      <c r="U1564" s="1">
        <v>44136</v>
      </c>
      <c r="V1564" t="s">
        <v>270</v>
      </c>
      <c r="W1564">
        <v>59431</v>
      </c>
      <c r="X1564">
        <v>59431</v>
      </c>
      <c r="Y1564" t="s">
        <v>270</v>
      </c>
      <c r="Z1564">
        <v>59431</v>
      </c>
      <c r="AA1564">
        <v>59431</v>
      </c>
      <c r="AB1564" t="b">
        <v>1</v>
      </c>
    </row>
    <row r="1565" spans="17:28" x14ac:dyDescent="0.2">
      <c r="Q1565" t="s">
        <v>2018</v>
      </c>
      <c r="R1565" t="s">
        <v>2518</v>
      </c>
      <c r="S1565" t="s">
        <v>257</v>
      </c>
      <c r="T1565" s="1">
        <v>44105</v>
      </c>
      <c r="U1565" s="1">
        <v>44105</v>
      </c>
      <c r="V1565" t="s">
        <v>270</v>
      </c>
      <c r="W1565">
        <v>11198</v>
      </c>
      <c r="X1565">
        <v>11198</v>
      </c>
      <c r="Y1565" t="s">
        <v>270</v>
      </c>
      <c r="Z1565">
        <v>11198</v>
      </c>
      <c r="AA1565">
        <v>11198</v>
      </c>
      <c r="AB1565" t="b">
        <v>1</v>
      </c>
    </row>
    <row r="1566" spans="17:28" x14ac:dyDescent="0.2">
      <c r="Q1566" t="s">
        <v>2018</v>
      </c>
      <c r="R1566" t="s">
        <v>2518</v>
      </c>
      <c r="S1566" t="s">
        <v>257</v>
      </c>
      <c r="T1566" s="1">
        <v>44075</v>
      </c>
      <c r="U1566" s="1">
        <v>44075</v>
      </c>
      <c r="V1566" t="s">
        <v>270</v>
      </c>
      <c r="W1566">
        <v>10375</v>
      </c>
      <c r="X1566">
        <v>10375</v>
      </c>
      <c r="Y1566" t="s">
        <v>270</v>
      </c>
      <c r="Z1566">
        <v>10375</v>
      </c>
      <c r="AA1566">
        <v>10375</v>
      </c>
      <c r="AB1566" t="b">
        <v>1</v>
      </c>
    </row>
    <row r="1567" spans="17:28" x14ac:dyDescent="0.2">
      <c r="Q1567" t="s">
        <v>2018</v>
      </c>
      <c r="R1567" t="s">
        <v>2518</v>
      </c>
      <c r="S1567" t="s">
        <v>257</v>
      </c>
      <c r="T1567" s="1">
        <v>44348</v>
      </c>
      <c r="U1567" s="1">
        <v>44348</v>
      </c>
      <c r="V1567" t="s">
        <v>270</v>
      </c>
      <c r="W1567">
        <v>1748440</v>
      </c>
      <c r="X1567">
        <v>1748440</v>
      </c>
      <c r="Y1567" t="s">
        <v>270</v>
      </c>
      <c r="Z1567">
        <v>1748440</v>
      </c>
      <c r="AA1567">
        <v>1748440</v>
      </c>
      <c r="AB1567" t="b">
        <v>1</v>
      </c>
    </row>
    <row r="1568" spans="17:28" x14ac:dyDescent="0.2">
      <c r="Q1568" t="s">
        <v>2018</v>
      </c>
      <c r="R1568" t="s">
        <v>2518</v>
      </c>
      <c r="S1568" t="s">
        <v>257</v>
      </c>
      <c r="T1568" s="1">
        <v>44317</v>
      </c>
      <c r="U1568" s="1">
        <v>44317</v>
      </c>
      <c r="V1568" t="s">
        <v>270</v>
      </c>
      <c r="W1568">
        <v>953016</v>
      </c>
      <c r="X1568">
        <v>953016</v>
      </c>
      <c r="Y1568" t="s">
        <v>270</v>
      </c>
      <c r="Z1568">
        <v>953016</v>
      </c>
      <c r="AA1568">
        <v>953016</v>
      </c>
      <c r="AB1568" t="b">
        <v>1</v>
      </c>
    </row>
    <row r="1569" spans="17:28" x14ac:dyDescent="0.2">
      <c r="Q1569" t="s">
        <v>2018</v>
      </c>
      <c r="R1569" t="s">
        <v>2518</v>
      </c>
      <c r="S1569" t="s">
        <v>257</v>
      </c>
      <c r="T1569" s="1">
        <v>44287</v>
      </c>
      <c r="U1569" s="1">
        <v>44287</v>
      </c>
      <c r="V1569" t="s">
        <v>270</v>
      </c>
      <c r="W1569">
        <v>586283</v>
      </c>
      <c r="X1569">
        <v>586283</v>
      </c>
      <c r="Y1569" t="s">
        <v>270</v>
      </c>
      <c r="Z1569">
        <v>586283</v>
      </c>
      <c r="AA1569">
        <v>586283</v>
      </c>
      <c r="AB1569" t="b">
        <v>1</v>
      </c>
    </row>
    <row r="1570" spans="17:28" x14ac:dyDescent="0.2">
      <c r="Q1570" t="s">
        <v>2018</v>
      </c>
      <c r="R1570" t="s">
        <v>2518</v>
      </c>
      <c r="S1570" t="s">
        <v>257</v>
      </c>
      <c r="T1570" s="1">
        <v>44256</v>
      </c>
      <c r="U1570" s="1">
        <v>44256</v>
      </c>
      <c r="V1570" t="s">
        <v>270</v>
      </c>
      <c r="W1570">
        <v>254276</v>
      </c>
      <c r="X1570">
        <v>254276</v>
      </c>
      <c r="Y1570" t="s">
        <v>270</v>
      </c>
      <c r="Z1570">
        <v>254276</v>
      </c>
      <c r="AA1570">
        <v>254276</v>
      </c>
      <c r="AB1570" t="b">
        <v>1</v>
      </c>
    </row>
    <row r="1571" spans="17:28" x14ac:dyDescent="0.2">
      <c r="Q1571" t="s">
        <v>2018</v>
      </c>
      <c r="R1571" t="s">
        <v>2518</v>
      </c>
      <c r="S1571" t="s">
        <v>257</v>
      </c>
      <c r="T1571" s="1">
        <v>44228</v>
      </c>
      <c r="U1571" s="1">
        <v>44228</v>
      </c>
      <c r="V1571" t="s">
        <v>270</v>
      </c>
      <c r="W1571">
        <v>87438</v>
      </c>
      <c r="X1571">
        <v>87438</v>
      </c>
      <c r="Y1571" t="s">
        <v>270</v>
      </c>
      <c r="Z1571">
        <v>87438</v>
      </c>
      <c r="AA1571">
        <v>87438</v>
      </c>
      <c r="AB1571" t="b">
        <v>1</v>
      </c>
    </row>
    <row r="1572" spans="17:28" x14ac:dyDescent="0.2">
      <c r="Q1572" t="s">
        <v>2018</v>
      </c>
      <c r="R1572" t="s">
        <v>2518</v>
      </c>
      <c r="S1572" t="s">
        <v>257</v>
      </c>
      <c r="T1572" s="1">
        <v>44197</v>
      </c>
      <c r="U1572" s="1">
        <v>44197</v>
      </c>
      <c r="V1572" t="s">
        <v>270</v>
      </c>
      <c r="W1572">
        <v>157</v>
      </c>
      <c r="X1572">
        <v>157</v>
      </c>
      <c r="Y1572" t="s">
        <v>270</v>
      </c>
      <c r="Z1572">
        <v>157</v>
      </c>
      <c r="AA1572">
        <v>157</v>
      </c>
      <c r="AB1572" t="b">
        <v>1</v>
      </c>
    </row>
    <row r="1573" spans="17:28" x14ac:dyDescent="0.2">
      <c r="Q1573" t="s">
        <v>2018</v>
      </c>
      <c r="R1573" t="s">
        <v>2518</v>
      </c>
      <c r="S1573" t="s">
        <v>257</v>
      </c>
      <c r="T1573" s="1">
        <v>44166</v>
      </c>
      <c r="U1573" s="1">
        <v>44166</v>
      </c>
      <c r="V1573" t="s">
        <v>270</v>
      </c>
      <c r="W1573">
        <v>572756</v>
      </c>
      <c r="X1573">
        <v>572756</v>
      </c>
      <c r="Y1573" t="s">
        <v>270</v>
      </c>
      <c r="Z1573">
        <v>572756</v>
      </c>
      <c r="AA1573">
        <v>572756</v>
      </c>
      <c r="AB1573" t="b">
        <v>1</v>
      </c>
    </row>
    <row r="1574" spans="17:28" x14ac:dyDescent="0.2">
      <c r="Q1574" t="s">
        <v>2018</v>
      </c>
      <c r="R1574" t="s">
        <v>2518</v>
      </c>
      <c r="S1574" t="s">
        <v>257</v>
      </c>
      <c r="T1574" s="1">
        <v>44136</v>
      </c>
      <c r="U1574" s="1">
        <v>44136</v>
      </c>
      <c r="V1574" t="s">
        <v>270</v>
      </c>
      <c r="W1574">
        <v>59431</v>
      </c>
      <c r="X1574">
        <v>59431</v>
      </c>
      <c r="Y1574" t="s">
        <v>270</v>
      </c>
      <c r="Z1574">
        <v>59431</v>
      </c>
      <c r="AA1574">
        <v>59431</v>
      </c>
      <c r="AB1574" t="b">
        <v>1</v>
      </c>
    </row>
    <row r="1575" spans="17:28" x14ac:dyDescent="0.2">
      <c r="Q1575" t="s">
        <v>2018</v>
      </c>
      <c r="R1575" t="s">
        <v>2518</v>
      </c>
      <c r="S1575" t="s">
        <v>257</v>
      </c>
      <c r="T1575" s="1">
        <v>44105</v>
      </c>
      <c r="U1575" s="1">
        <v>44105</v>
      </c>
      <c r="V1575" t="s">
        <v>270</v>
      </c>
      <c r="W1575">
        <v>11198</v>
      </c>
      <c r="X1575">
        <v>11198</v>
      </c>
      <c r="Y1575" t="s">
        <v>270</v>
      </c>
      <c r="Z1575">
        <v>11198</v>
      </c>
      <c r="AA1575">
        <v>11198</v>
      </c>
      <c r="AB1575" t="b">
        <v>1</v>
      </c>
    </row>
    <row r="1576" spans="17:28" x14ac:dyDescent="0.2">
      <c r="Q1576" t="s">
        <v>2018</v>
      </c>
      <c r="R1576" t="s">
        <v>2518</v>
      </c>
      <c r="S1576" t="s">
        <v>257</v>
      </c>
      <c r="T1576" s="1">
        <v>44075</v>
      </c>
      <c r="U1576" s="1">
        <v>44075</v>
      </c>
      <c r="V1576" t="s">
        <v>270</v>
      </c>
      <c r="W1576">
        <v>10375</v>
      </c>
      <c r="X1576">
        <v>10375</v>
      </c>
      <c r="Y1576" t="s">
        <v>270</v>
      </c>
      <c r="Z1576">
        <v>10375</v>
      </c>
      <c r="AA1576">
        <v>10375</v>
      </c>
      <c r="AB1576" t="b">
        <v>1</v>
      </c>
    </row>
    <row r="1577" spans="17:28" x14ac:dyDescent="0.2">
      <c r="Q1577" t="s">
        <v>2018</v>
      </c>
      <c r="R1577" t="s">
        <v>2519</v>
      </c>
      <c r="S1577" t="s">
        <v>257</v>
      </c>
      <c r="T1577" s="1">
        <v>44348</v>
      </c>
      <c r="U1577" s="1">
        <v>44348</v>
      </c>
      <c r="V1577" t="s">
        <v>270</v>
      </c>
      <c r="W1577">
        <v>1622986</v>
      </c>
      <c r="X1577">
        <v>1622986</v>
      </c>
      <c r="Y1577" t="s">
        <v>270</v>
      </c>
      <c r="Z1577">
        <v>1622986</v>
      </c>
      <c r="AA1577">
        <v>1622986</v>
      </c>
      <c r="AB1577" t="b">
        <v>1</v>
      </c>
    </row>
    <row r="1578" spans="17:28" x14ac:dyDescent="0.2">
      <c r="Q1578" t="s">
        <v>2018</v>
      </c>
      <c r="R1578" t="s">
        <v>2519</v>
      </c>
      <c r="S1578" t="s">
        <v>257</v>
      </c>
      <c r="T1578" s="1">
        <v>44317</v>
      </c>
      <c r="U1578" s="1">
        <v>44317</v>
      </c>
      <c r="V1578" t="s">
        <v>270</v>
      </c>
      <c r="W1578">
        <v>992367</v>
      </c>
      <c r="X1578">
        <v>992367</v>
      </c>
      <c r="Y1578" t="s">
        <v>270</v>
      </c>
      <c r="Z1578">
        <v>992367</v>
      </c>
      <c r="AA1578">
        <v>992367</v>
      </c>
      <c r="AB1578" t="b">
        <v>1</v>
      </c>
    </row>
    <row r="1579" spans="17:28" x14ac:dyDescent="0.2">
      <c r="Q1579" t="s">
        <v>2018</v>
      </c>
      <c r="R1579" t="s">
        <v>2519</v>
      </c>
      <c r="S1579" t="s">
        <v>257</v>
      </c>
      <c r="T1579" s="1">
        <v>44287</v>
      </c>
      <c r="U1579" s="1">
        <v>44287</v>
      </c>
      <c r="V1579" t="s">
        <v>270</v>
      </c>
      <c r="W1579">
        <v>287281</v>
      </c>
      <c r="X1579">
        <v>287281</v>
      </c>
      <c r="Y1579" t="s">
        <v>270</v>
      </c>
      <c r="Z1579">
        <v>287281</v>
      </c>
      <c r="AA1579">
        <v>287281</v>
      </c>
      <c r="AB1579" t="b">
        <v>1</v>
      </c>
    </row>
    <row r="1580" spans="17:28" x14ac:dyDescent="0.2">
      <c r="Q1580" t="s">
        <v>2018</v>
      </c>
      <c r="R1580" t="s">
        <v>2519</v>
      </c>
      <c r="S1580" t="s">
        <v>257</v>
      </c>
      <c r="T1580" s="1">
        <v>44256</v>
      </c>
      <c r="U1580" s="1">
        <v>44256</v>
      </c>
      <c r="V1580" t="s">
        <v>270</v>
      </c>
      <c r="W1580">
        <v>305055</v>
      </c>
      <c r="X1580">
        <v>305055</v>
      </c>
      <c r="Y1580" t="s">
        <v>270</v>
      </c>
      <c r="Z1580">
        <v>305055</v>
      </c>
      <c r="AA1580">
        <v>305055</v>
      </c>
      <c r="AB1580" t="b">
        <v>1</v>
      </c>
    </row>
    <row r="1581" spans="17:28" x14ac:dyDescent="0.2">
      <c r="Q1581" t="s">
        <v>2018</v>
      </c>
      <c r="R1581" t="s">
        <v>2519</v>
      </c>
      <c r="S1581" t="s">
        <v>257</v>
      </c>
      <c r="T1581" s="1">
        <v>44228</v>
      </c>
      <c r="U1581" s="1">
        <v>44228</v>
      </c>
      <c r="V1581" t="s">
        <v>270</v>
      </c>
      <c r="W1581">
        <v>246637</v>
      </c>
      <c r="X1581">
        <v>246637</v>
      </c>
      <c r="Y1581" t="s">
        <v>270</v>
      </c>
      <c r="Z1581">
        <v>246637</v>
      </c>
      <c r="AA1581">
        <v>246637</v>
      </c>
      <c r="AB1581" t="b">
        <v>1</v>
      </c>
    </row>
    <row r="1582" spans="17:28" x14ac:dyDescent="0.2">
      <c r="Q1582" t="s">
        <v>2018</v>
      </c>
      <c r="R1582" t="s">
        <v>2519</v>
      </c>
      <c r="S1582" t="s">
        <v>257</v>
      </c>
      <c r="T1582" s="1">
        <v>44197</v>
      </c>
      <c r="U1582" s="1">
        <v>44197</v>
      </c>
      <c r="V1582" t="s">
        <v>270</v>
      </c>
      <c r="W1582">
        <v>203322</v>
      </c>
      <c r="X1582">
        <v>203322</v>
      </c>
      <c r="Y1582" t="s">
        <v>270</v>
      </c>
      <c r="Z1582">
        <v>203322</v>
      </c>
      <c r="AA1582">
        <v>203322</v>
      </c>
      <c r="AB1582" t="b">
        <v>1</v>
      </c>
    </row>
    <row r="1583" spans="17:28" x14ac:dyDescent="0.2">
      <c r="Q1583" t="s">
        <v>2018</v>
      </c>
      <c r="R1583" t="s">
        <v>2519</v>
      </c>
      <c r="S1583" t="s">
        <v>257</v>
      </c>
      <c r="T1583" s="1">
        <v>44166</v>
      </c>
      <c r="U1583" s="1">
        <v>44166</v>
      </c>
      <c r="V1583" t="s">
        <v>270</v>
      </c>
      <c r="W1583">
        <v>171041</v>
      </c>
      <c r="X1583">
        <v>171041</v>
      </c>
      <c r="Y1583" t="s">
        <v>270</v>
      </c>
      <c r="Z1583">
        <v>171041</v>
      </c>
      <c r="AA1583">
        <v>171041</v>
      </c>
      <c r="AB1583" t="b">
        <v>1</v>
      </c>
    </row>
    <row r="1584" spans="17:28" x14ac:dyDescent="0.2">
      <c r="Q1584" t="s">
        <v>2018</v>
      </c>
      <c r="R1584" t="s">
        <v>2519</v>
      </c>
      <c r="S1584" t="s">
        <v>257</v>
      </c>
      <c r="T1584" s="1">
        <v>44136</v>
      </c>
      <c r="U1584" s="1">
        <v>44136</v>
      </c>
      <c r="V1584" t="s">
        <v>270</v>
      </c>
      <c r="W1584">
        <v>210331</v>
      </c>
      <c r="X1584">
        <v>210331</v>
      </c>
      <c r="Y1584" t="s">
        <v>270</v>
      </c>
      <c r="Z1584">
        <v>210331</v>
      </c>
      <c r="AA1584">
        <v>210331</v>
      </c>
      <c r="AB1584" t="b">
        <v>1</v>
      </c>
    </row>
    <row r="1585" spans="17:28" x14ac:dyDescent="0.2">
      <c r="Q1585" t="s">
        <v>2018</v>
      </c>
      <c r="R1585" t="s">
        <v>2519</v>
      </c>
      <c r="S1585" t="s">
        <v>257</v>
      </c>
      <c r="T1585" s="1">
        <v>44105</v>
      </c>
      <c r="U1585" s="1">
        <v>44105</v>
      </c>
      <c r="V1585" t="s">
        <v>270</v>
      </c>
      <c r="W1585">
        <v>11198</v>
      </c>
      <c r="X1585">
        <v>11198</v>
      </c>
      <c r="Y1585" t="s">
        <v>270</v>
      </c>
      <c r="Z1585">
        <v>11198</v>
      </c>
      <c r="AA1585">
        <v>11198</v>
      </c>
      <c r="AB1585" t="b">
        <v>1</v>
      </c>
    </row>
    <row r="1586" spans="17:28" x14ac:dyDescent="0.2">
      <c r="Q1586" t="s">
        <v>2018</v>
      </c>
      <c r="R1586" t="s">
        <v>2519</v>
      </c>
      <c r="S1586" t="s">
        <v>257</v>
      </c>
      <c r="T1586" s="1">
        <v>44075</v>
      </c>
      <c r="U1586" s="1">
        <v>44075</v>
      </c>
      <c r="V1586" t="s">
        <v>270</v>
      </c>
      <c r="W1586">
        <v>10375</v>
      </c>
      <c r="X1586">
        <v>10375</v>
      </c>
      <c r="Y1586" t="s">
        <v>270</v>
      </c>
      <c r="Z1586">
        <v>10375</v>
      </c>
      <c r="AA1586">
        <v>10375</v>
      </c>
      <c r="AB1586" t="b">
        <v>1</v>
      </c>
    </row>
    <row r="1587" spans="17:28" x14ac:dyDescent="0.2">
      <c r="Q1587" t="s">
        <v>2018</v>
      </c>
      <c r="R1587" t="s">
        <v>2519</v>
      </c>
      <c r="S1587" t="s">
        <v>257</v>
      </c>
      <c r="T1587" s="1">
        <v>44348</v>
      </c>
      <c r="U1587" s="1">
        <v>44348</v>
      </c>
      <c r="V1587" t="s">
        <v>270</v>
      </c>
      <c r="W1587">
        <v>1622986</v>
      </c>
      <c r="X1587">
        <v>1622986</v>
      </c>
      <c r="Y1587" t="s">
        <v>270</v>
      </c>
      <c r="Z1587">
        <v>1622986</v>
      </c>
      <c r="AA1587">
        <v>1622986</v>
      </c>
      <c r="AB1587" t="b">
        <v>1</v>
      </c>
    </row>
    <row r="1588" spans="17:28" x14ac:dyDescent="0.2">
      <c r="Q1588" t="s">
        <v>2018</v>
      </c>
      <c r="R1588" t="s">
        <v>2519</v>
      </c>
      <c r="S1588" t="s">
        <v>257</v>
      </c>
      <c r="T1588" s="1">
        <v>44317</v>
      </c>
      <c r="U1588" s="1">
        <v>44317</v>
      </c>
      <c r="V1588" t="s">
        <v>270</v>
      </c>
      <c r="W1588">
        <v>992367</v>
      </c>
      <c r="X1588">
        <v>992367</v>
      </c>
      <c r="Y1588" t="s">
        <v>270</v>
      </c>
      <c r="Z1588">
        <v>992367</v>
      </c>
      <c r="AA1588">
        <v>992367</v>
      </c>
      <c r="AB1588" t="b">
        <v>1</v>
      </c>
    </row>
    <row r="1589" spans="17:28" x14ac:dyDescent="0.2">
      <c r="Q1589" t="s">
        <v>2018</v>
      </c>
      <c r="R1589" t="s">
        <v>2519</v>
      </c>
      <c r="S1589" t="s">
        <v>257</v>
      </c>
      <c r="T1589" s="1">
        <v>44287</v>
      </c>
      <c r="U1589" s="1">
        <v>44287</v>
      </c>
      <c r="V1589" t="s">
        <v>270</v>
      </c>
      <c r="W1589">
        <v>287281</v>
      </c>
      <c r="X1589">
        <v>287281</v>
      </c>
      <c r="Y1589" t="s">
        <v>270</v>
      </c>
      <c r="Z1589">
        <v>287281</v>
      </c>
      <c r="AA1589">
        <v>287281</v>
      </c>
      <c r="AB1589" t="b">
        <v>1</v>
      </c>
    </row>
    <row r="1590" spans="17:28" x14ac:dyDescent="0.2">
      <c r="Q1590" t="s">
        <v>2018</v>
      </c>
      <c r="R1590" t="s">
        <v>2519</v>
      </c>
      <c r="S1590" t="s">
        <v>257</v>
      </c>
      <c r="T1590" s="1">
        <v>44256</v>
      </c>
      <c r="U1590" s="1">
        <v>44256</v>
      </c>
      <c r="V1590" t="s">
        <v>270</v>
      </c>
      <c r="W1590">
        <v>305055</v>
      </c>
      <c r="X1590">
        <v>305055</v>
      </c>
      <c r="Y1590" t="s">
        <v>270</v>
      </c>
      <c r="Z1590">
        <v>305055</v>
      </c>
      <c r="AA1590">
        <v>305055</v>
      </c>
      <c r="AB1590" t="b">
        <v>1</v>
      </c>
    </row>
    <row r="1591" spans="17:28" x14ac:dyDescent="0.2">
      <c r="Q1591" t="s">
        <v>2018</v>
      </c>
      <c r="R1591" t="s">
        <v>2519</v>
      </c>
      <c r="S1591" t="s">
        <v>257</v>
      </c>
      <c r="T1591" s="1">
        <v>44228</v>
      </c>
      <c r="U1591" s="1">
        <v>44228</v>
      </c>
      <c r="V1591" t="s">
        <v>270</v>
      </c>
      <c r="W1591">
        <v>246637</v>
      </c>
      <c r="X1591">
        <v>246637</v>
      </c>
      <c r="Y1591" t="s">
        <v>270</v>
      </c>
      <c r="Z1591">
        <v>246637</v>
      </c>
      <c r="AA1591">
        <v>246637</v>
      </c>
      <c r="AB1591" t="b">
        <v>1</v>
      </c>
    </row>
    <row r="1592" spans="17:28" x14ac:dyDescent="0.2">
      <c r="Q1592" t="s">
        <v>2018</v>
      </c>
      <c r="R1592" t="s">
        <v>2519</v>
      </c>
      <c r="S1592" t="s">
        <v>257</v>
      </c>
      <c r="T1592" s="1">
        <v>44197</v>
      </c>
      <c r="U1592" s="1">
        <v>44197</v>
      </c>
      <c r="V1592" t="s">
        <v>270</v>
      </c>
      <c r="W1592">
        <v>203322</v>
      </c>
      <c r="X1592">
        <v>203322</v>
      </c>
      <c r="Y1592" t="s">
        <v>270</v>
      </c>
      <c r="Z1592">
        <v>203322</v>
      </c>
      <c r="AA1592">
        <v>203322</v>
      </c>
      <c r="AB1592" t="b">
        <v>1</v>
      </c>
    </row>
    <row r="1593" spans="17:28" x14ac:dyDescent="0.2">
      <c r="Q1593" t="s">
        <v>2018</v>
      </c>
      <c r="R1593" t="s">
        <v>2519</v>
      </c>
      <c r="S1593" t="s">
        <v>257</v>
      </c>
      <c r="T1593" s="1">
        <v>44166</v>
      </c>
      <c r="U1593" s="1">
        <v>44166</v>
      </c>
      <c r="V1593" t="s">
        <v>270</v>
      </c>
      <c r="W1593">
        <v>171041</v>
      </c>
      <c r="X1593">
        <v>171041</v>
      </c>
      <c r="Y1593" t="s">
        <v>270</v>
      </c>
      <c r="Z1593">
        <v>171041</v>
      </c>
      <c r="AA1593">
        <v>171041</v>
      </c>
      <c r="AB1593" t="b">
        <v>1</v>
      </c>
    </row>
    <row r="1594" spans="17:28" x14ac:dyDescent="0.2">
      <c r="Q1594" t="s">
        <v>2018</v>
      </c>
      <c r="R1594" t="s">
        <v>2519</v>
      </c>
      <c r="S1594" t="s">
        <v>257</v>
      </c>
      <c r="T1594" s="1">
        <v>44136</v>
      </c>
      <c r="U1594" s="1">
        <v>44136</v>
      </c>
      <c r="V1594" t="s">
        <v>270</v>
      </c>
      <c r="W1594">
        <v>210331</v>
      </c>
      <c r="X1594">
        <v>210331</v>
      </c>
      <c r="Y1594" t="s">
        <v>270</v>
      </c>
      <c r="Z1594">
        <v>210331</v>
      </c>
      <c r="AA1594">
        <v>210331</v>
      </c>
      <c r="AB1594" t="b">
        <v>1</v>
      </c>
    </row>
    <row r="1595" spans="17:28" x14ac:dyDescent="0.2">
      <c r="Q1595" t="s">
        <v>2018</v>
      </c>
      <c r="R1595" t="s">
        <v>2519</v>
      </c>
      <c r="S1595" t="s">
        <v>257</v>
      </c>
      <c r="T1595" s="1">
        <v>44105</v>
      </c>
      <c r="U1595" s="1">
        <v>44105</v>
      </c>
      <c r="V1595" t="s">
        <v>270</v>
      </c>
      <c r="W1595">
        <v>11198</v>
      </c>
      <c r="X1595">
        <v>11198</v>
      </c>
      <c r="Y1595" t="s">
        <v>270</v>
      </c>
      <c r="Z1595">
        <v>11198</v>
      </c>
      <c r="AA1595">
        <v>11198</v>
      </c>
      <c r="AB1595" t="b">
        <v>1</v>
      </c>
    </row>
    <row r="1596" spans="17:28" x14ac:dyDescent="0.2">
      <c r="Q1596" t="s">
        <v>2018</v>
      </c>
      <c r="R1596" t="s">
        <v>2519</v>
      </c>
      <c r="S1596" t="s">
        <v>257</v>
      </c>
      <c r="T1596" s="1">
        <v>44075</v>
      </c>
      <c r="U1596" s="1">
        <v>44075</v>
      </c>
      <c r="V1596" t="s">
        <v>270</v>
      </c>
      <c r="W1596">
        <v>10375</v>
      </c>
      <c r="X1596">
        <v>10375</v>
      </c>
      <c r="Y1596" t="s">
        <v>270</v>
      </c>
      <c r="Z1596">
        <v>10375</v>
      </c>
      <c r="AA1596">
        <v>10375</v>
      </c>
      <c r="AB1596" t="b">
        <v>1</v>
      </c>
    </row>
    <row r="1597" spans="17:28" x14ac:dyDescent="0.2">
      <c r="Q1597" t="s">
        <v>2018</v>
      </c>
      <c r="R1597" t="s">
        <v>2520</v>
      </c>
      <c r="S1597" t="s">
        <v>257</v>
      </c>
      <c r="T1597" s="1">
        <v>44317</v>
      </c>
      <c r="U1597" s="1">
        <v>44317</v>
      </c>
      <c r="V1597" t="s">
        <v>270</v>
      </c>
      <c r="W1597">
        <v>33581</v>
      </c>
      <c r="X1597">
        <v>33581</v>
      </c>
      <c r="Y1597" t="s">
        <v>270</v>
      </c>
      <c r="Z1597">
        <v>33581</v>
      </c>
      <c r="AA1597">
        <v>33581</v>
      </c>
      <c r="AB1597" t="b">
        <v>1</v>
      </c>
    </row>
    <row r="1598" spans="17:28" x14ac:dyDescent="0.2">
      <c r="Q1598" t="s">
        <v>2018</v>
      </c>
      <c r="R1598" t="s">
        <v>2520</v>
      </c>
      <c r="S1598" t="s">
        <v>257</v>
      </c>
      <c r="T1598" s="1">
        <v>44228</v>
      </c>
      <c r="U1598" s="1">
        <v>44228</v>
      </c>
      <c r="V1598" t="s">
        <v>270</v>
      </c>
      <c r="W1598">
        <v>29030</v>
      </c>
      <c r="X1598">
        <v>29030</v>
      </c>
      <c r="Y1598" t="s">
        <v>270</v>
      </c>
      <c r="Z1598">
        <v>29030</v>
      </c>
      <c r="AA1598">
        <v>29030</v>
      </c>
      <c r="AB1598" t="b">
        <v>1</v>
      </c>
    </row>
    <row r="1599" spans="17:28" x14ac:dyDescent="0.2">
      <c r="Q1599" t="s">
        <v>2018</v>
      </c>
      <c r="R1599" t="s">
        <v>2520</v>
      </c>
      <c r="S1599" t="s">
        <v>257</v>
      </c>
      <c r="T1599" s="1">
        <v>44166</v>
      </c>
      <c r="U1599" s="1">
        <v>44166</v>
      </c>
      <c r="V1599" t="s">
        <v>270</v>
      </c>
      <c r="W1599">
        <v>1864446</v>
      </c>
      <c r="X1599">
        <v>1864446</v>
      </c>
      <c r="Y1599" t="s">
        <v>270</v>
      </c>
      <c r="Z1599">
        <v>1864446</v>
      </c>
      <c r="AA1599">
        <v>1864446</v>
      </c>
      <c r="AB1599" t="b">
        <v>1</v>
      </c>
    </row>
    <row r="1600" spans="17:28" x14ac:dyDescent="0.2">
      <c r="Q1600" t="s">
        <v>2018</v>
      </c>
      <c r="R1600" t="s">
        <v>2520</v>
      </c>
      <c r="S1600" t="s">
        <v>257</v>
      </c>
      <c r="T1600" s="1">
        <v>44136</v>
      </c>
      <c r="U1600" s="1">
        <v>44136</v>
      </c>
      <c r="V1600" t="s">
        <v>270</v>
      </c>
      <c r="W1600">
        <v>345348</v>
      </c>
      <c r="X1600">
        <v>345348</v>
      </c>
      <c r="Y1600" t="s">
        <v>270</v>
      </c>
      <c r="Z1600">
        <v>345348</v>
      </c>
      <c r="AA1600">
        <v>345348</v>
      </c>
      <c r="AB1600" t="b">
        <v>1</v>
      </c>
    </row>
    <row r="1601" spans="17:28" x14ac:dyDescent="0.2">
      <c r="Q1601" t="s">
        <v>2018</v>
      </c>
      <c r="R1601" t="s">
        <v>2520</v>
      </c>
      <c r="S1601" t="s">
        <v>257</v>
      </c>
      <c r="T1601" s="1">
        <v>44105</v>
      </c>
      <c r="U1601" s="1">
        <v>44105</v>
      </c>
      <c r="V1601" t="s">
        <v>270</v>
      </c>
      <c r="W1601">
        <v>128964</v>
      </c>
      <c r="X1601">
        <v>128964</v>
      </c>
      <c r="Y1601" t="s">
        <v>270</v>
      </c>
      <c r="Z1601">
        <v>128964</v>
      </c>
      <c r="AA1601">
        <v>128964</v>
      </c>
      <c r="AB1601" t="b">
        <v>1</v>
      </c>
    </row>
    <row r="1602" spans="17:28" x14ac:dyDescent="0.2">
      <c r="Q1602" t="s">
        <v>2018</v>
      </c>
      <c r="R1602" t="s">
        <v>2520</v>
      </c>
      <c r="S1602" t="s">
        <v>257</v>
      </c>
      <c r="T1602" s="1">
        <v>44075</v>
      </c>
      <c r="U1602" s="1">
        <v>44075</v>
      </c>
      <c r="V1602" t="s">
        <v>270</v>
      </c>
      <c r="W1602">
        <v>73700</v>
      </c>
      <c r="X1602">
        <v>73700</v>
      </c>
      <c r="Y1602" t="s">
        <v>270</v>
      </c>
      <c r="Z1602">
        <v>73700</v>
      </c>
      <c r="AA1602">
        <v>73700</v>
      </c>
      <c r="AB1602" t="b">
        <v>1</v>
      </c>
    </row>
    <row r="1603" spans="17:28" x14ac:dyDescent="0.2">
      <c r="Q1603" t="s">
        <v>2018</v>
      </c>
      <c r="R1603" t="s">
        <v>2520</v>
      </c>
      <c r="S1603" t="s">
        <v>257</v>
      </c>
      <c r="T1603" s="1">
        <v>44317</v>
      </c>
      <c r="U1603" s="1">
        <v>44317</v>
      </c>
      <c r="V1603" t="s">
        <v>270</v>
      </c>
      <c r="W1603">
        <v>33581</v>
      </c>
      <c r="X1603">
        <v>33581</v>
      </c>
      <c r="Y1603" t="s">
        <v>270</v>
      </c>
      <c r="Z1603">
        <v>33581</v>
      </c>
      <c r="AA1603">
        <v>33581</v>
      </c>
      <c r="AB1603" t="b">
        <v>1</v>
      </c>
    </row>
    <row r="1604" spans="17:28" x14ac:dyDescent="0.2">
      <c r="Q1604" t="s">
        <v>2018</v>
      </c>
      <c r="R1604" t="s">
        <v>2520</v>
      </c>
      <c r="S1604" t="s">
        <v>257</v>
      </c>
      <c r="T1604" s="1">
        <v>44228</v>
      </c>
      <c r="U1604" s="1">
        <v>44228</v>
      </c>
      <c r="V1604" t="s">
        <v>270</v>
      </c>
      <c r="W1604">
        <v>29030</v>
      </c>
      <c r="X1604">
        <v>29030</v>
      </c>
      <c r="Y1604" t="s">
        <v>270</v>
      </c>
      <c r="Z1604">
        <v>29030</v>
      </c>
      <c r="AA1604">
        <v>29030</v>
      </c>
      <c r="AB1604" t="b">
        <v>1</v>
      </c>
    </row>
    <row r="1605" spans="17:28" x14ac:dyDescent="0.2">
      <c r="Q1605" t="s">
        <v>2018</v>
      </c>
      <c r="R1605" t="s">
        <v>2520</v>
      </c>
      <c r="S1605" t="s">
        <v>257</v>
      </c>
      <c r="T1605" s="1">
        <v>44166</v>
      </c>
      <c r="U1605" s="1">
        <v>44166</v>
      </c>
      <c r="V1605" t="s">
        <v>270</v>
      </c>
      <c r="W1605">
        <v>1864446</v>
      </c>
      <c r="X1605">
        <v>1864446</v>
      </c>
      <c r="Y1605" t="s">
        <v>270</v>
      </c>
      <c r="Z1605">
        <v>1864446</v>
      </c>
      <c r="AA1605">
        <v>1864446</v>
      </c>
      <c r="AB1605" t="b">
        <v>1</v>
      </c>
    </row>
    <row r="1606" spans="17:28" x14ac:dyDescent="0.2">
      <c r="Q1606" t="s">
        <v>2018</v>
      </c>
      <c r="R1606" t="s">
        <v>2520</v>
      </c>
      <c r="S1606" t="s">
        <v>257</v>
      </c>
      <c r="T1606" s="1">
        <v>44136</v>
      </c>
      <c r="U1606" s="1">
        <v>44136</v>
      </c>
      <c r="V1606" t="s">
        <v>270</v>
      </c>
      <c r="W1606">
        <v>345348</v>
      </c>
      <c r="X1606">
        <v>345348</v>
      </c>
      <c r="Y1606" t="s">
        <v>270</v>
      </c>
      <c r="Z1606">
        <v>345348</v>
      </c>
      <c r="AA1606">
        <v>345348</v>
      </c>
      <c r="AB1606" t="b">
        <v>1</v>
      </c>
    </row>
    <row r="1607" spans="17:28" x14ac:dyDescent="0.2">
      <c r="Q1607" t="s">
        <v>2018</v>
      </c>
      <c r="R1607" t="s">
        <v>2520</v>
      </c>
      <c r="S1607" t="s">
        <v>257</v>
      </c>
      <c r="T1607" s="1">
        <v>44105</v>
      </c>
      <c r="U1607" s="1">
        <v>44105</v>
      </c>
      <c r="V1607" t="s">
        <v>270</v>
      </c>
      <c r="W1607">
        <v>128964</v>
      </c>
      <c r="X1607">
        <v>128964</v>
      </c>
      <c r="Y1607" t="s">
        <v>270</v>
      </c>
      <c r="Z1607">
        <v>128964</v>
      </c>
      <c r="AA1607">
        <v>128964</v>
      </c>
      <c r="AB1607" t="b">
        <v>1</v>
      </c>
    </row>
    <row r="1608" spans="17:28" x14ac:dyDescent="0.2">
      <c r="Q1608" t="s">
        <v>2018</v>
      </c>
      <c r="R1608" t="s">
        <v>2520</v>
      </c>
      <c r="S1608" t="s">
        <v>257</v>
      </c>
      <c r="T1608" s="1">
        <v>44075</v>
      </c>
      <c r="U1608" s="1">
        <v>44075</v>
      </c>
      <c r="V1608" t="s">
        <v>270</v>
      </c>
      <c r="W1608">
        <v>73700</v>
      </c>
      <c r="X1608">
        <v>73700</v>
      </c>
      <c r="Y1608" t="s">
        <v>270</v>
      </c>
      <c r="Z1608">
        <v>73700</v>
      </c>
      <c r="AA1608">
        <v>73700</v>
      </c>
      <c r="AB1608" t="b">
        <v>1</v>
      </c>
    </row>
    <row r="1609" spans="17:28" x14ac:dyDescent="0.2">
      <c r="Q1609" t="s">
        <v>2018</v>
      </c>
      <c r="R1609" t="s">
        <v>2521</v>
      </c>
      <c r="S1609" t="s">
        <v>257</v>
      </c>
      <c r="T1609" s="1">
        <v>44166</v>
      </c>
      <c r="U1609" s="1">
        <v>44166</v>
      </c>
      <c r="V1609" t="s">
        <v>270</v>
      </c>
      <c r="W1609">
        <v>61614</v>
      </c>
      <c r="X1609">
        <v>61614</v>
      </c>
      <c r="Y1609" t="s">
        <v>270</v>
      </c>
      <c r="Z1609">
        <v>61614</v>
      </c>
      <c r="AA1609">
        <v>61614</v>
      </c>
      <c r="AB1609" t="b">
        <v>1</v>
      </c>
    </row>
    <row r="1610" spans="17:28" x14ac:dyDescent="0.2">
      <c r="Q1610" t="s">
        <v>2018</v>
      </c>
      <c r="R1610" t="s">
        <v>2521</v>
      </c>
      <c r="S1610" t="s">
        <v>257</v>
      </c>
      <c r="T1610" s="1">
        <v>44136</v>
      </c>
      <c r="U1610" s="1">
        <v>44136</v>
      </c>
      <c r="V1610" t="s">
        <v>270</v>
      </c>
      <c r="W1610">
        <v>137181</v>
      </c>
      <c r="X1610">
        <v>137181</v>
      </c>
      <c r="Y1610" t="s">
        <v>270</v>
      </c>
      <c r="Z1610">
        <v>137181</v>
      </c>
      <c r="AA1610">
        <v>137181</v>
      </c>
      <c r="AB1610" t="b">
        <v>1</v>
      </c>
    </row>
    <row r="1611" spans="17:28" x14ac:dyDescent="0.2">
      <c r="Q1611" t="s">
        <v>2018</v>
      </c>
      <c r="R1611" t="s">
        <v>2521</v>
      </c>
      <c r="S1611" t="s">
        <v>257</v>
      </c>
      <c r="T1611" s="1">
        <v>44105</v>
      </c>
      <c r="U1611" s="1">
        <v>44105</v>
      </c>
      <c r="V1611" t="s">
        <v>270</v>
      </c>
      <c r="W1611">
        <v>6</v>
      </c>
      <c r="X1611">
        <v>6</v>
      </c>
      <c r="Y1611" t="s">
        <v>270</v>
      </c>
      <c r="Z1611">
        <v>6</v>
      </c>
      <c r="AA1611">
        <v>6</v>
      </c>
      <c r="AB1611" t="b">
        <v>1</v>
      </c>
    </row>
    <row r="1612" spans="17:28" x14ac:dyDescent="0.2">
      <c r="Q1612" t="s">
        <v>2018</v>
      </c>
      <c r="R1612" t="s">
        <v>2521</v>
      </c>
      <c r="S1612" t="s">
        <v>257</v>
      </c>
      <c r="T1612" s="1">
        <v>44075</v>
      </c>
      <c r="U1612" s="1">
        <v>44075</v>
      </c>
      <c r="V1612" t="s">
        <v>270</v>
      </c>
      <c r="W1612">
        <v>842204</v>
      </c>
      <c r="X1612">
        <v>842204</v>
      </c>
      <c r="Y1612" t="s">
        <v>270</v>
      </c>
      <c r="Z1612">
        <v>842204</v>
      </c>
      <c r="AA1612">
        <v>842204</v>
      </c>
      <c r="AB1612" t="b">
        <v>1</v>
      </c>
    </row>
    <row r="1613" spans="17:28" x14ac:dyDescent="0.2">
      <c r="Q1613" t="s">
        <v>2018</v>
      </c>
      <c r="R1613" t="s">
        <v>2521</v>
      </c>
      <c r="S1613" t="s">
        <v>257</v>
      </c>
      <c r="T1613" s="1">
        <v>44044</v>
      </c>
      <c r="U1613" s="1">
        <v>44044</v>
      </c>
      <c r="V1613" t="s">
        <v>270</v>
      </c>
      <c r="W1613">
        <v>1186686</v>
      </c>
      <c r="X1613">
        <v>1186686</v>
      </c>
      <c r="Y1613" t="s">
        <v>270</v>
      </c>
      <c r="Z1613">
        <v>1186686</v>
      </c>
      <c r="AA1613">
        <v>1186686</v>
      </c>
      <c r="AB1613" t="b">
        <v>1</v>
      </c>
    </row>
    <row r="1614" spans="17:28" x14ac:dyDescent="0.2">
      <c r="Q1614" t="s">
        <v>2018</v>
      </c>
      <c r="R1614" t="s">
        <v>2521</v>
      </c>
      <c r="S1614" t="s">
        <v>257</v>
      </c>
      <c r="T1614" s="1">
        <v>44013</v>
      </c>
      <c r="U1614" s="1">
        <v>44013</v>
      </c>
      <c r="V1614" t="s">
        <v>270</v>
      </c>
      <c r="W1614">
        <v>99001</v>
      </c>
      <c r="X1614">
        <v>99001</v>
      </c>
      <c r="Y1614" t="s">
        <v>270</v>
      </c>
      <c r="Z1614">
        <v>99001</v>
      </c>
      <c r="AA1614">
        <v>99001</v>
      </c>
      <c r="AB1614" t="b">
        <v>1</v>
      </c>
    </row>
    <row r="1615" spans="17:28" x14ac:dyDescent="0.2">
      <c r="Q1615" t="s">
        <v>2018</v>
      </c>
      <c r="R1615" t="s">
        <v>2521</v>
      </c>
      <c r="S1615" t="s">
        <v>257</v>
      </c>
      <c r="T1615" s="1">
        <v>44166</v>
      </c>
      <c r="U1615" s="1">
        <v>44166</v>
      </c>
      <c r="V1615" t="s">
        <v>270</v>
      </c>
      <c r="W1615">
        <v>61614</v>
      </c>
      <c r="X1615">
        <v>61614</v>
      </c>
      <c r="Y1615" t="s">
        <v>270</v>
      </c>
      <c r="Z1615">
        <v>61614</v>
      </c>
      <c r="AA1615">
        <v>61614</v>
      </c>
      <c r="AB1615" t="b">
        <v>1</v>
      </c>
    </row>
    <row r="1616" spans="17:28" x14ac:dyDescent="0.2">
      <c r="Q1616" t="s">
        <v>2018</v>
      </c>
      <c r="R1616" t="s">
        <v>2521</v>
      </c>
      <c r="S1616" t="s">
        <v>257</v>
      </c>
      <c r="T1616" s="1">
        <v>44136</v>
      </c>
      <c r="U1616" s="1">
        <v>44136</v>
      </c>
      <c r="V1616" t="s">
        <v>270</v>
      </c>
      <c r="W1616">
        <v>137181</v>
      </c>
      <c r="X1616">
        <v>137181</v>
      </c>
      <c r="Y1616" t="s">
        <v>270</v>
      </c>
      <c r="Z1616">
        <v>137181</v>
      </c>
      <c r="AA1616">
        <v>137181</v>
      </c>
      <c r="AB1616" t="b">
        <v>1</v>
      </c>
    </row>
    <row r="1617" spans="17:28" x14ac:dyDescent="0.2">
      <c r="Q1617" t="s">
        <v>2018</v>
      </c>
      <c r="R1617" t="s">
        <v>2521</v>
      </c>
      <c r="S1617" t="s">
        <v>257</v>
      </c>
      <c r="T1617" s="1">
        <v>44105</v>
      </c>
      <c r="U1617" s="1">
        <v>44105</v>
      </c>
      <c r="V1617" t="s">
        <v>270</v>
      </c>
      <c r="W1617">
        <v>6</v>
      </c>
      <c r="X1617">
        <v>6</v>
      </c>
      <c r="Y1617" t="s">
        <v>270</v>
      </c>
      <c r="Z1617">
        <v>6</v>
      </c>
      <c r="AA1617">
        <v>6</v>
      </c>
      <c r="AB1617" t="b">
        <v>1</v>
      </c>
    </row>
    <row r="1618" spans="17:28" x14ac:dyDescent="0.2">
      <c r="Q1618" t="s">
        <v>2018</v>
      </c>
      <c r="R1618" t="s">
        <v>2521</v>
      </c>
      <c r="S1618" t="s">
        <v>257</v>
      </c>
      <c r="T1618" s="1">
        <v>44075</v>
      </c>
      <c r="U1618" s="1">
        <v>44075</v>
      </c>
      <c r="V1618" t="s">
        <v>270</v>
      </c>
      <c r="W1618">
        <v>842204</v>
      </c>
      <c r="X1618">
        <v>842204</v>
      </c>
      <c r="Y1618" t="s">
        <v>270</v>
      </c>
      <c r="Z1618">
        <v>842204</v>
      </c>
      <c r="AA1618">
        <v>842204</v>
      </c>
      <c r="AB1618" t="b">
        <v>1</v>
      </c>
    </row>
    <row r="1619" spans="17:28" x14ac:dyDescent="0.2">
      <c r="Q1619" t="s">
        <v>2018</v>
      </c>
      <c r="R1619" t="s">
        <v>2521</v>
      </c>
      <c r="S1619" t="s">
        <v>257</v>
      </c>
      <c r="T1619" s="1">
        <v>44044</v>
      </c>
      <c r="U1619" s="1">
        <v>44044</v>
      </c>
      <c r="V1619" t="s">
        <v>270</v>
      </c>
      <c r="W1619">
        <v>1186686</v>
      </c>
      <c r="X1619">
        <v>1186686</v>
      </c>
      <c r="Y1619" t="s">
        <v>270</v>
      </c>
      <c r="Z1619">
        <v>1186686</v>
      </c>
      <c r="AA1619">
        <v>1186686</v>
      </c>
      <c r="AB1619" t="b">
        <v>1</v>
      </c>
    </row>
    <row r="1620" spans="17:28" x14ac:dyDescent="0.2">
      <c r="Q1620" t="s">
        <v>2018</v>
      </c>
      <c r="R1620" t="s">
        <v>2521</v>
      </c>
      <c r="S1620" t="s">
        <v>257</v>
      </c>
      <c r="T1620" s="1">
        <v>44013</v>
      </c>
      <c r="U1620" s="1">
        <v>44013</v>
      </c>
      <c r="V1620" t="s">
        <v>270</v>
      </c>
      <c r="W1620">
        <v>99001</v>
      </c>
      <c r="X1620">
        <v>99001</v>
      </c>
      <c r="Y1620" t="s">
        <v>270</v>
      </c>
      <c r="Z1620">
        <v>99001</v>
      </c>
      <c r="AA1620">
        <v>99001</v>
      </c>
      <c r="AB1620" t="b">
        <v>1</v>
      </c>
    </row>
    <row r="1621" spans="17:28" x14ac:dyDescent="0.2">
      <c r="Q1621" t="s">
        <v>2018</v>
      </c>
      <c r="R1621" t="s">
        <v>2522</v>
      </c>
      <c r="S1621" t="s">
        <v>257</v>
      </c>
      <c r="T1621" s="1">
        <v>44197</v>
      </c>
      <c r="U1621" s="1">
        <v>44197</v>
      </c>
      <c r="V1621" t="s">
        <v>270</v>
      </c>
      <c r="W1621">
        <v>35980</v>
      </c>
      <c r="X1621">
        <v>35980</v>
      </c>
      <c r="Y1621" t="s">
        <v>270</v>
      </c>
      <c r="Z1621">
        <v>35980</v>
      </c>
      <c r="AA1621">
        <v>35980</v>
      </c>
      <c r="AB1621" t="b">
        <v>1</v>
      </c>
    </row>
    <row r="1622" spans="17:28" x14ac:dyDescent="0.2">
      <c r="Q1622" t="s">
        <v>2018</v>
      </c>
      <c r="R1622" t="s">
        <v>2522</v>
      </c>
      <c r="S1622" t="s">
        <v>257</v>
      </c>
      <c r="T1622" s="1">
        <v>44166</v>
      </c>
      <c r="U1622" s="1">
        <v>44166</v>
      </c>
      <c r="V1622" t="s">
        <v>270</v>
      </c>
      <c r="W1622">
        <v>374303</v>
      </c>
      <c r="X1622">
        <v>374303</v>
      </c>
      <c r="Y1622" t="s">
        <v>270</v>
      </c>
      <c r="Z1622">
        <v>374303</v>
      </c>
      <c r="AA1622">
        <v>374303</v>
      </c>
      <c r="AB1622" t="b">
        <v>1</v>
      </c>
    </row>
    <row r="1623" spans="17:28" x14ac:dyDescent="0.2">
      <c r="Q1623" t="s">
        <v>2018</v>
      </c>
      <c r="R1623" t="s">
        <v>2522</v>
      </c>
      <c r="S1623" t="s">
        <v>257</v>
      </c>
      <c r="T1623" s="1">
        <v>44136</v>
      </c>
      <c r="U1623" s="1">
        <v>44136</v>
      </c>
      <c r="V1623" t="s">
        <v>270</v>
      </c>
      <c r="W1623">
        <v>467185</v>
      </c>
      <c r="X1623">
        <v>467185</v>
      </c>
      <c r="Y1623" t="s">
        <v>270</v>
      </c>
      <c r="Z1623">
        <v>467185</v>
      </c>
      <c r="AA1623">
        <v>467185</v>
      </c>
      <c r="AB1623" t="b">
        <v>1</v>
      </c>
    </row>
    <row r="1624" spans="17:28" x14ac:dyDescent="0.2">
      <c r="Q1624" t="s">
        <v>2018</v>
      </c>
      <c r="R1624" t="s">
        <v>2522</v>
      </c>
      <c r="S1624" t="s">
        <v>257</v>
      </c>
      <c r="T1624" s="1">
        <v>44105</v>
      </c>
      <c r="U1624" s="1">
        <v>44105</v>
      </c>
      <c r="V1624" t="s">
        <v>270</v>
      </c>
      <c r="W1624">
        <v>543521</v>
      </c>
      <c r="X1624">
        <v>543521</v>
      </c>
      <c r="Y1624" t="s">
        <v>270</v>
      </c>
      <c r="Z1624">
        <v>543521</v>
      </c>
      <c r="AA1624">
        <v>543521</v>
      </c>
      <c r="AB1624" t="b">
        <v>1</v>
      </c>
    </row>
    <row r="1625" spans="17:28" x14ac:dyDescent="0.2">
      <c r="Q1625" t="s">
        <v>2018</v>
      </c>
      <c r="R1625" t="s">
        <v>2522</v>
      </c>
      <c r="S1625" t="s">
        <v>257</v>
      </c>
      <c r="T1625" s="1">
        <v>44075</v>
      </c>
      <c r="U1625" s="1">
        <v>44075</v>
      </c>
      <c r="V1625" t="s">
        <v>270</v>
      </c>
      <c r="W1625">
        <v>274964</v>
      </c>
      <c r="X1625">
        <v>274964</v>
      </c>
      <c r="Y1625" t="s">
        <v>270</v>
      </c>
      <c r="Z1625">
        <v>274964</v>
      </c>
      <c r="AA1625">
        <v>274964</v>
      </c>
      <c r="AB1625" t="b">
        <v>1</v>
      </c>
    </row>
    <row r="1626" spans="17:28" x14ac:dyDescent="0.2">
      <c r="Q1626" t="s">
        <v>2018</v>
      </c>
      <c r="R1626" t="s">
        <v>2522</v>
      </c>
      <c r="S1626" t="s">
        <v>257</v>
      </c>
      <c r="T1626" s="1">
        <v>44044</v>
      </c>
      <c r="U1626" s="1">
        <v>44044</v>
      </c>
      <c r="V1626" t="s">
        <v>270</v>
      </c>
      <c r="W1626">
        <v>183445</v>
      </c>
      <c r="X1626">
        <v>183445</v>
      </c>
      <c r="Y1626" t="s">
        <v>270</v>
      </c>
      <c r="Z1626">
        <v>183445</v>
      </c>
      <c r="AA1626">
        <v>183445</v>
      </c>
      <c r="AB1626" t="b">
        <v>1</v>
      </c>
    </row>
    <row r="1627" spans="17:28" x14ac:dyDescent="0.2">
      <c r="Q1627" t="s">
        <v>2018</v>
      </c>
      <c r="R1627" t="s">
        <v>2522</v>
      </c>
      <c r="S1627" t="s">
        <v>257</v>
      </c>
      <c r="T1627" s="1">
        <v>44013</v>
      </c>
      <c r="U1627" s="1">
        <v>44013</v>
      </c>
      <c r="V1627" t="s">
        <v>270</v>
      </c>
      <c r="W1627">
        <v>80081</v>
      </c>
      <c r="X1627">
        <v>80081</v>
      </c>
      <c r="Y1627" t="s">
        <v>270</v>
      </c>
      <c r="Z1627">
        <v>80081</v>
      </c>
      <c r="AA1627">
        <v>80081</v>
      </c>
      <c r="AB1627" t="b">
        <v>1</v>
      </c>
    </row>
    <row r="1628" spans="17:28" x14ac:dyDescent="0.2">
      <c r="Q1628" t="s">
        <v>2018</v>
      </c>
      <c r="R1628" t="s">
        <v>2522</v>
      </c>
      <c r="S1628" t="s">
        <v>257</v>
      </c>
      <c r="T1628" s="1">
        <v>44197</v>
      </c>
      <c r="U1628" s="1">
        <v>44197</v>
      </c>
      <c r="V1628" t="s">
        <v>270</v>
      </c>
      <c r="W1628">
        <v>35980</v>
      </c>
      <c r="X1628">
        <v>35980</v>
      </c>
      <c r="Y1628" t="s">
        <v>270</v>
      </c>
      <c r="Z1628">
        <v>35980</v>
      </c>
      <c r="AA1628">
        <v>35980</v>
      </c>
      <c r="AB1628" t="b">
        <v>1</v>
      </c>
    </row>
    <row r="1629" spans="17:28" x14ac:dyDescent="0.2">
      <c r="Q1629" t="s">
        <v>2018</v>
      </c>
      <c r="R1629" t="s">
        <v>2522</v>
      </c>
      <c r="S1629" t="s">
        <v>257</v>
      </c>
      <c r="T1629" s="1">
        <v>44166</v>
      </c>
      <c r="U1629" s="1">
        <v>44166</v>
      </c>
      <c r="V1629" t="s">
        <v>270</v>
      </c>
      <c r="W1629">
        <v>374303</v>
      </c>
      <c r="X1629">
        <v>374303</v>
      </c>
      <c r="Y1629" t="s">
        <v>270</v>
      </c>
      <c r="Z1629">
        <v>374303</v>
      </c>
      <c r="AA1629">
        <v>374303</v>
      </c>
      <c r="AB1629" t="b">
        <v>1</v>
      </c>
    </row>
    <row r="1630" spans="17:28" x14ac:dyDescent="0.2">
      <c r="Q1630" t="s">
        <v>2018</v>
      </c>
      <c r="R1630" t="s">
        <v>2522</v>
      </c>
      <c r="S1630" t="s">
        <v>257</v>
      </c>
      <c r="T1630" s="1">
        <v>44136</v>
      </c>
      <c r="U1630" s="1">
        <v>44136</v>
      </c>
      <c r="V1630" t="s">
        <v>270</v>
      </c>
      <c r="W1630">
        <v>467185</v>
      </c>
      <c r="X1630">
        <v>467185</v>
      </c>
      <c r="Y1630" t="s">
        <v>270</v>
      </c>
      <c r="Z1630">
        <v>467185</v>
      </c>
      <c r="AA1630">
        <v>467185</v>
      </c>
      <c r="AB1630" t="b">
        <v>1</v>
      </c>
    </row>
    <row r="1631" spans="17:28" x14ac:dyDescent="0.2">
      <c r="Q1631" t="s">
        <v>2018</v>
      </c>
      <c r="R1631" t="s">
        <v>2522</v>
      </c>
      <c r="S1631" t="s">
        <v>257</v>
      </c>
      <c r="T1631" s="1">
        <v>44105</v>
      </c>
      <c r="U1631" s="1">
        <v>44105</v>
      </c>
      <c r="V1631" t="s">
        <v>270</v>
      </c>
      <c r="W1631">
        <v>543521</v>
      </c>
      <c r="X1631">
        <v>543521</v>
      </c>
      <c r="Y1631" t="s">
        <v>270</v>
      </c>
      <c r="Z1631">
        <v>543521</v>
      </c>
      <c r="AA1631">
        <v>543521</v>
      </c>
      <c r="AB1631" t="b">
        <v>1</v>
      </c>
    </row>
    <row r="1632" spans="17:28" x14ac:dyDescent="0.2">
      <c r="Q1632" t="s">
        <v>2018</v>
      </c>
      <c r="R1632" t="s">
        <v>2522</v>
      </c>
      <c r="S1632" t="s">
        <v>257</v>
      </c>
      <c r="T1632" s="1">
        <v>44075</v>
      </c>
      <c r="U1632" s="1">
        <v>44075</v>
      </c>
      <c r="V1632" t="s">
        <v>270</v>
      </c>
      <c r="W1632">
        <v>274964</v>
      </c>
      <c r="X1632">
        <v>274964</v>
      </c>
      <c r="Y1632" t="s">
        <v>270</v>
      </c>
      <c r="Z1632">
        <v>274964</v>
      </c>
      <c r="AA1632">
        <v>274964</v>
      </c>
      <c r="AB1632" t="b">
        <v>1</v>
      </c>
    </row>
    <row r="1633" spans="17:28" x14ac:dyDescent="0.2">
      <c r="Q1633" t="s">
        <v>2018</v>
      </c>
      <c r="R1633" t="s">
        <v>2522</v>
      </c>
      <c r="S1633" t="s">
        <v>257</v>
      </c>
      <c r="T1633" s="1">
        <v>44044</v>
      </c>
      <c r="U1633" s="1">
        <v>44044</v>
      </c>
      <c r="V1633" t="s">
        <v>270</v>
      </c>
      <c r="W1633">
        <v>183445</v>
      </c>
      <c r="X1633">
        <v>183445</v>
      </c>
      <c r="Y1633" t="s">
        <v>270</v>
      </c>
      <c r="Z1633">
        <v>183445</v>
      </c>
      <c r="AA1633">
        <v>183445</v>
      </c>
      <c r="AB1633" t="b">
        <v>1</v>
      </c>
    </row>
    <row r="1634" spans="17:28" x14ac:dyDescent="0.2">
      <c r="Q1634" t="s">
        <v>2018</v>
      </c>
      <c r="R1634" t="s">
        <v>2522</v>
      </c>
      <c r="S1634" t="s">
        <v>257</v>
      </c>
      <c r="T1634" s="1">
        <v>44013</v>
      </c>
      <c r="U1634" s="1">
        <v>44013</v>
      </c>
      <c r="V1634" t="s">
        <v>270</v>
      </c>
      <c r="W1634">
        <v>80081</v>
      </c>
      <c r="X1634">
        <v>80081</v>
      </c>
      <c r="Y1634" t="s">
        <v>270</v>
      </c>
      <c r="Z1634">
        <v>80081</v>
      </c>
      <c r="AA1634">
        <v>80081</v>
      </c>
      <c r="AB1634" t="b">
        <v>1</v>
      </c>
    </row>
    <row r="1635" spans="17:28" x14ac:dyDescent="0.2">
      <c r="Q1635" t="s">
        <v>2018</v>
      </c>
      <c r="R1635" t="s">
        <v>2523</v>
      </c>
      <c r="S1635" t="s">
        <v>257</v>
      </c>
      <c r="T1635" s="1">
        <v>44348</v>
      </c>
      <c r="U1635" s="1">
        <v>44348</v>
      </c>
      <c r="V1635" t="s">
        <v>270</v>
      </c>
      <c r="W1635">
        <v>185996</v>
      </c>
      <c r="X1635">
        <v>185996</v>
      </c>
      <c r="Y1635" t="s">
        <v>270</v>
      </c>
      <c r="Z1635">
        <v>185996</v>
      </c>
      <c r="AA1635">
        <v>185996</v>
      </c>
      <c r="AB1635" t="b">
        <v>1</v>
      </c>
    </row>
    <row r="1636" spans="17:28" x14ac:dyDescent="0.2">
      <c r="Q1636" t="s">
        <v>2018</v>
      </c>
      <c r="R1636" t="s">
        <v>2523</v>
      </c>
      <c r="S1636" t="s">
        <v>257</v>
      </c>
      <c r="T1636" s="1">
        <v>44317</v>
      </c>
      <c r="U1636" s="1">
        <v>44317</v>
      </c>
      <c r="V1636" t="s">
        <v>270</v>
      </c>
      <c r="W1636">
        <v>356176</v>
      </c>
      <c r="X1636">
        <v>356176</v>
      </c>
      <c r="Y1636" t="s">
        <v>270</v>
      </c>
      <c r="Z1636">
        <v>356176</v>
      </c>
      <c r="AA1636">
        <v>356176</v>
      </c>
      <c r="AB1636" t="b">
        <v>1</v>
      </c>
    </row>
    <row r="1637" spans="17:28" x14ac:dyDescent="0.2">
      <c r="Q1637" t="s">
        <v>2018</v>
      </c>
      <c r="R1637" t="s">
        <v>2523</v>
      </c>
      <c r="S1637" t="s">
        <v>257</v>
      </c>
      <c r="T1637" s="1">
        <v>44287</v>
      </c>
      <c r="U1637" s="1">
        <v>44287</v>
      </c>
      <c r="V1637" t="s">
        <v>270</v>
      </c>
      <c r="W1637">
        <v>641707</v>
      </c>
      <c r="X1637">
        <v>641707</v>
      </c>
      <c r="Y1637" t="s">
        <v>270</v>
      </c>
      <c r="Z1637">
        <v>641707</v>
      </c>
      <c r="AA1637">
        <v>641707</v>
      </c>
      <c r="AB1637" t="b">
        <v>1</v>
      </c>
    </row>
    <row r="1638" spans="17:28" x14ac:dyDescent="0.2">
      <c r="Q1638" t="s">
        <v>2018</v>
      </c>
      <c r="R1638" t="s">
        <v>2523</v>
      </c>
      <c r="S1638" t="s">
        <v>257</v>
      </c>
      <c r="T1638" s="1">
        <v>44256</v>
      </c>
      <c r="U1638" s="1">
        <v>44256</v>
      </c>
      <c r="V1638" t="s">
        <v>270</v>
      </c>
      <c r="W1638">
        <v>130862</v>
      </c>
      <c r="X1638">
        <v>130862</v>
      </c>
      <c r="Y1638" t="s">
        <v>270</v>
      </c>
      <c r="Z1638">
        <v>130862</v>
      </c>
      <c r="AA1638">
        <v>130862</v>
      </c>
      <c r="AB1638" t="b">
        <v>1</v>
      </c>
    </row>
    <row r="1639" spans="17:28" x14ac:dyDescent="0.2">
      <c r="Q1639" t="s">
        <v>2018</v>
      </c>
      <c r="R1639" t="s">
        <v>2523</v>
      </c>
      <c r="S1639" t="s">
        <v>257</v>
      </c>
      <c r="T1639" s="1">
        <v>44228</v>
      </c>
      <c r="U1639" s="1">
        <v>44228</v>
      </c>
      <c r="V1639" t="s">
        <v>270</v>
      </c>
      <c r="W1639">
        <v>61292</v>
      </c>
      <c r="X1639">
        <v>61292</v>
      </c>
      <c r="Y1639" t="s">
        <v>270</v>
      </c>
      <c r="Z1639">
        <v>61292</v>
      </c>
      <c r="AA1639">
        <v>61292</v>
      </c>
      <c r="AB1639" t="b">
        <v>1</v>
      </c>
    </row>
    <row r="1640" spans="17:28" x14ac:dyDescent="0.2">
      <c r="Q1640" t="s">
        <v>2018</v>
      </c>
      <c r="R1640" t="s">
        <v>2523</v>
      </c>
      <c r="S1640" t="s">
        <v>257</v>
      </c>
      <c r="T1640" s="1">
        <v>44166</v>
      </c>
      <c r="U1640" s="1">
        <v>44166</v>
      </c>
      <c r="V1640" t="s">
        <v>270</v>
      </c>
      <c r="W1640">
        <v>433766</v>
      </c>
      <c r="X1640">
        <v>433766</v>
      </c>
      <c r="Y1640" t="s">
        <v>270</v>
      </c>
      <c r="Z1640">
        <v>433766</v>
      </c>
      <c r="AA1640">
        <v>433766</v>
      </c>
      <c r="AB1640" t="b">
        <v>1</v>
      </c>
    </row>
    <row r="1641" spans="17:28" x14ac:dyDescent="0.2">
      <c r="Q1641" t="s">
        <v>2018</v>
      </c>
      <c r="R1641" t="s">
        <v>2523</v>
      </c>
      <c r="S1641" t="s">
        <v>257</v>
      </c>
      <c r="T1641" s="1">
        <v>44105</v>
      </c>
      <c r="U1641" s="1">
        <v>44105</v>
      </c>
      <c r="V1641" t="s">
        <v>270</v>
      </c>
      <c r="W1641">
        <v>103638</v>
      </c>
      <c r="X1641">
        <v>103638</v>
      </c>
      <c r="Y1641" t="s">
        <v>270</v>
      </c>
      <c r="Z1641">
        <v>103638</v>
      </c>
      <c r="AA1641">
        <v>103638</v>
      </c>
      <c r="AB1641" t="b">
        <v>1</v>
      </c>
    </row>
    <row r="1642" spans="17:28" x14ac:dyDescent="0.2">
      <c r="Q1642" t="s">
        <v>2018</v>
      </c>
      <c r="R1642" t="s">
        <v>2523</v>
      </c>
      <c r="S1642" t="s">
        <v>257</v>
      </c>
      <c r="T1642" s="1">
        <v>44348</v>
      </c>
      <c r="U1642" s="1">
        <v>44348</v>
      </c>
      <c r="V1642" t="s">
        <v>270</v>
      </c>
      <c r="W1642">
        <v>185996</v>
      </c>
      <c r="X1642">
        <v>185996</v>
      </c>
      <c r="Y1642" t="s">
        <v>270</v>
      </c>
      <c r="Z1642">
        <v>185996</v>
      </c>
      <c r="AA1642">
        <v>185996</v>
      </c>
      <c r="AB1642" t="b">
        <v>1</v>
      </c>
    </row>
    <row r="1643" spans="17:28" x14ac:dyDescent="0.2">
      <c r="Q1643" t="s">
        <v>2018</v>
      </c>
      <c r="R1643" t="s">
        <v>2523</v>
      </c>
      <c r="S1643" t="s">
        <v>257</v>
      </c>
      <c r="T1643" s="1">
        <v>44317</v>
      </c>
      <c r="U1643" s="1">
        <v>44317</v>
      </c>
      <c r="V1643" t="s">
        <v>270</v>
      </c>
      <c r="W1643">
        <v>356176</v>
      </c>
      <c r="X1643">
        <v>356176</v>
      </c>
      <c r="Y1643" t="s">
        <v>270</v>
      </c>
      <c r="Z1643">
        <v>356176</v>
      </c>
      <c r="AA1643">
        <v>356176</v>
      </c>
      <c r="AB1643" t="b">
        <v>1</v>
      </c>
    </row>
    <row r="1644" spans="17:28" x14ac:dyDescent="0.2">
      <c r="Q1644" t="s">
        <v>2018</v>
      </c>
      <c r="R1644" t="s">
        <v>2523</v>
      </c>
      <c r="S1644" t="s">
        <v>257</v>
      </c>
      <c r="T1644" s="1">
        <v>44287</v>
      </c>
      <c r="U1644" s="1">
        <v>44287</v>
      </c>
      <c r="V1644" t="s">
        <v>270</v>
      </c>
      <c r="W1644">
        <v>641707</v>
      </c>
      <c r="X1644">
        <v>641707</v>
      </c>
      <c r="Y1644" t="s">
        <v>270</v>
      </c>
      <c r="Z1644">
        <v>641707</v>
      </c>
      <c r="AA1644">
        <v>641707</v>
      </c>
      <c r="AB1644" t="b">
        <v>1</v>
      </c>
    </row>
    <row r="1645" spans="17:28" x14ac:dyDescent="0.2">
      <c r="Q1645" t="s">
        <v>2018</v>
      </c>
      <c r="R1645" t="s">
        <v>2523</v>
      </c>
      <c r="S1645" t="s">
        <v>257</v>
      </c>
      <c r="T1645" s="1">
        <v>44256</v>
      </c>
      <c r="U1645" s="1">
        <v>44256</v>
      </c>
      <c r="V1645" t="s">
        <v>270</v>
      </c>
      <c r="W1645">
        <v>130862</v>
      </c>
      <c r="X1645">
        <v>130862</v>
      </c>
      <c r="Y1645" t="s">
        <v>270</v>
      </c>
      <c r="Z1645">
        <v>130862</v>
      </c>
      <c r="AA1645">
        <v>130862</v>
      </c>
      <c r="AB1645" t="b">
        <v>1</v>
      </c>
    </row>
    <row r="1646" spans="17:28" x14ac:dyDescent="0.2">
      <c r="Q1646" t="s">
        <v>2018</v>
      </c>
      <c r="R1646" t="s">
        <v>2523</v>
      </c>
      <c r="S1646" t="s">
        <v>257</v>
      </c>
      <c r="T1646" s="1">
        <v>44228</v>
      </c>
      <c r="U1646" s="1">
        <v>44228</v>
      </c>
      <c r="V1646" t="s">
        <v>270</v>
      </c>
      <c r="W1646">
        <v>61292</v>
      </c>
      <c r="X1646">
        <v>61292</v>
      </c>
      <c r="Y1646" t="s">
        <v>270</v>
      </c>
      <c r="Z1646">
        <v>61292</v>
      </c>
      <c r="AA1646">
        <v>61292</v>
      </c>
      <c r="AB1646" t="b">
        <v>1</v>
      </c>
    </row>
    <row r="1647" spans="17:28" x14ac:dyDescent="0.2">
      <c r="Q1647" t="s">
        <v>2018</v>
      </c>
      <c r="R1647" t="s">
        <v>2523</v>
      </c>
      <c r="S1647" t="s">
        <v>257</v>
      </c>
      <c r="T1647" s="1">
        <v>44166</v>
      </c>
      <c r="U1647" s="1">
        <v>44166</v>
      </c>
      <c r="V1647" t="s">
        <v>270</v>
      </c>
      <c r="W1647">
        <v>433766</v>
      </c>
      <c r="X1647">
        <v>433766</v>
      </c>
      <c r="Y1647" t="s">
        <v>270</v>
      </c>
      <c r="Z1647">
        <v>433766</v>
      </c>
      <c r="AA1647">
        <v>433766</v>
      </c>
      <c r="AB1647" t="b">
        <v>1</v>
      </c>
    </row>
    <row r="1648" spans="17:28" x14ac:dyDescent="0.2">
      <c r="Q1648" t="s">
        <v>2018</v>
      </c>
      <c r="R1648" t="s">
        <v>2523</v>
      </c>
      <c r="S1648" t="s">
        <v>257</v>
      </c>
      <c r="T1648" s="1">
        <v>44105</v>
      </c>
      <c r="U1648" s="1">
        <v>44105</v>
      </c>
      <c r="V1648" t="s">
        <v>270</v>
      </c>
      <c r="W1648">
        <v>103638</v>
      </c>
      <c r="X1648">
        <v>103638</v>
      </c>
      <c r="Y1648" t="s">
        <v>270</v>
      </c>
      <c r="Z1648">
        <v>103638</v>
      </c>
      <c r="AA1648">
        <v>103638</v>
      </c>
      <c r="AB1648" t="b">
        <v>1</v>
      </c>
    </row>
    <row r="1649" spans="17:28" x14ac:dyDescent="0.2">
      <c r="Q1649" t="s">
        <v>2018</v>
      </c>
      <c r="R1649" t="s">
        <v>2524</v>
      </c>
      <c r="S1649" t="s">
        <v>257</v>
      </c>
      <c r="T1649" s="1">
        <v>44256</v>
      </c>
      <c r="U1649" s="1">
        <v>44256</v>
      </c>
      <c r="V1649" t="s">
        <v>270</v>
      </c>
      <c r="W1649">
        <v>4882</v>
      </c>
      <c r="X1649">
        <v>4882</v>
      </c>
      <c r="Y1649" t="s">
        <v>270</v>
      </c>
      <c r="Z1649">
        <v>4882</v>
      </c>
      <c r="AA1649">
        <v>4882</v>
      </c>
      <c r="AB1649" t="b">
        <v>1</v>
      </c>
    </row>
    <row r="1650" spans="17:28" x14ac:dyDescent="0.2">
      <c r="Q1650" t="s">
        <v>2018</v>
      </c>
      <c r="R1650" t="s">
        <v>2524</v>
      </c>
      <c r="S1650" t="s">
        <v>257</v>
      </c>
      <c r="T1650" s="1">
        <v>44228</v>
      </c>
      <c r="U1650" s="1">
        <v>44228</v>
      </c>
      <c r="V1650" t="s">
        <v>270</v>
      </c>
      <c r="W1650">
        <v>53352</v>
      </c>
      <c r="X1650">
        <v>53352</v>
      </c>
      <c r="Y1650" t="s">
        <v>270</v>
      </c>
      <c r="Z1650">
        <v>53352</v>
      </c>
      <c r="AA1650">
        <v>53352</v>
      </c>
      <c r="AB1650" t="b">
        <v>1</v>
      </c>
    </row>
    <row r="1651" spans="17:28" x14ac:dyDescent="0.2">
      <c r="Q1651" t="s">
        <v>2018</v>
      </c>
      <c r="R1651" t="s">
        <v>2524</v>
      </c>
      <c r="S1651" t="s">
        <v>257</v>
      </c>
      <c r="T1651" s="1">
        <v>44197</v>
      </c>
      <c r="U1651" s="1">
        <v>44197</v>
      </c>
      <c r="V1651" t="s">
        <v>270</v>
      </c>
      <c r="W1651">
        <v>443</v>
      </c>
      <c r="X1651">
        <v>443</v>
      </c>
      <c r="Y1651" t="s">
        <v>270</v>
      </c>
      <c r="Z1651">
        <v>443</v>
      </c>
      <c r="AA1651">
        <v>443</v>
      </c>
      <c r="AB1651" t="b">
        <v>1</v>
      </c>
    </row>
    <row r="1652" spans="17:28" x14ac:dyDescent="0.2">
      <c r="Q1652" t="s">
        <v>2018</v>
      </c>
      <c r="R1652" t="s">
        <v>2524</v>
      </c>
      <c r="S1652" t="s">
        <v>257</v>
      </c>
      <c r="T1652" s="1">
        <v>44166</v>
      </c>
      <c r="U1652" s="1">
        <v>44166</v>
      </c>
      <c r="V1652" t="s">
        <v>270</v>
      </c>
      <c r="W1652">
        <v>178882</v>
      </c>
      <c r="X1652">
        <v>178882</v>
      </c>
      <c r="Y1652" t="s">
        <v>270</v>
      </c>
      <c r="Z1652">
        <v>178882</v>
      </c>
      <c r="AA1652">
        <v>178882</v>
      </c>
      <c r="AB1652" t="b">
        <v>1</v>
      </c>
    </row>
    <row r="1653" spans="17:28" x14ac:dyDescent="0.2">
      <c r="Q1653" t="s">
        <v>2018</v>
      </c>
      <c r="R1653" t="s">
        <v>2524</v>
      </c>
      <c r="S1653" t="s">
        <v>257</v>
      </c>
      <c r="T1653" s="1">
        <v>44136</v>
      </c>
      <c r="U1653" s="1">
        <v>44136</v>
      </c>
      <c r="V1653" t="s">
        <v>270</v>
      </c>
      <c r="W1653">
        <v>937192</v>
      </c>
      <c r="X1653">
        <v>937192</v>
      </c>
      <c r="Y1653" t="s">
        <v>270</v>
      </c>
      <c r="Z1653">
        <v>937192</v>
      </c>
      <c r="AA1653">
        <v>937192</v>
      </c>
      <c r="AB1653" t="b">
        <v>1</v>
      </c>
    </row>
    <row r="1654" spans="17:28" x14ac:dyDescent="0.2">
      <c r="Q1654" t="s">
        <v>2018</v>
      </c>
      <c r="R1654" t="s">
        <v>2524</v>
      </c>
      <c r="S1654" t="s">
        <v>257</v>
      </c>
      <c r="T1654" s="1">
        <v>44105</v>
      </c>
      <c r="U1654" s="1">
        <v>44105</v>
      </c>
      <c r="V1654" t="s">
        <v>270</v>
      </c>
      <c r="W1654">
        <v>484848</v>
      </c>
      <c r="X1654">
        <v>484848</v>
      </c>
      <c r="Y1654" t="s">
        <v>270</v>
      </c>
      <c r="Z1654">
        <v>484848</v>
      </c>
      <c r="AA1654">
        <v>484848</v>
      </c>
      <c r="AB1654" t="b">
        <v>1</v>
      </c>
    </row>
    <row r="1655" spans="17:28" x14ac:dyDescent="0.2">
      <c r="Q1655" t="s">
        <v>2018</v>
      </c>
      <c r="R1655" t="s">
        <v>2524</v>
      </c>
      <c r="S1655" t="s">
        <v>257</v>
      </c>
      <c r="T1655" s="1">
        <v>44075</v>
      </c>
      <c r="U1655" s="1">
        <v>44075</v>
      </c>
      <c r="V1655" t="s">
        <v>270</v>
      </c>
      <c r="W1655">
        <v>421</v>
      </c>
      <c r="X1655">
        <v>421</v>
      </c>
      <c r="Y1655" t="s">
        <v>270</v>
      </c>
      <c r="Z1655">
        <v>421</v>
      </c>
      <c r="AA1655">
        <v>421</v>
      </c>
      <c r="AB1655" t="b">
        <v>1</v>
      </c>
    </row>
    <row r="1656" spans="17:28" x14ac:dyDescent="0.2">
      <c r="Q1656" t="s">
        <v>2018</v>
      </c>
      <c r="R1656" t="s">
        <v>2524</v>
      </c>
      <c r="S1656" t="s">
        <v>257</v>
      </c>
      <c r="T1656" s="1">
        <v>44044</v>
      </c>
      <c r="U1656" s="1">
        <v>44044</v>
      </c>
      <c r="V1656" t="s">
        <v>270</v>
      </c>
      <c r="W1656">
        <v>51783</v>
      </c>
      <c r="X1656">
        <v>51783</v>
      </c>
      <c r="Y1656" t="s">
        <v>270</v>
      </c>
      <c r="Z1656">
        <v>51783</v>
      </c>
      <c r="AA1656">
        <v>51783</v>
      </c>
      <c r="AB1656" t="b">
        <v>1</v>
      </c>
    </row>
    <row r="1657" spans="17:28" x14ac:dyDescent="0.2">
      <c r="Q1657" t="s">
        <v>2018</v>
      </c>
      <c r="R1657" t="s">
        <v>2524</v>
      </c>
      <c r="S1657" t="s">
        <v>257</v>
      </c>
      <c r="T1657" s="1">
        <v>44013</v>
      </c>
      <c r="U1657" s="1">
        <v>44013</v>
      </c>
      <c r="V1657" t="s">
        <v>270</v>
      </c>
      <c r="W1657">
        <v>114197</v>
      </c>
      <c r="X1657">
        <v>114197</v>
      </c>
      <c r="Y1657" t="s">
        <v>270</v>
      </c>
      <c r="Z1657">
        <v>114197</v>
      </c>
      <c r="AA1657">
        <v>114197</v>
      </c>
      <c r="AB1657" t="b">
        <v>1</v>
      </c>
    </row>
    <row r="1658" spans="17:28" x14ac:dyDescent="0.2">
      <c r="Q1658" t="s">
        <v>2018</v>
      </c>
      <c r="R1658" t="s">
        <v>2524</v>
      </c>
      <c r="S1658" t="s">
        <v>257</v>
      </c>
      <c r="T1658" s="1">
        <v>44256</v>
      </c>
      <c r="U1658" s="1">
        <v>44256</v>
      </c>
      <c r="V1658" t="s">
        <v>270</v>
      </c>
      <c r="W1658">
        <v>4882</v>
      </c>
      <c r="X1658">
        <v>4882</v>
      </c>
      <c r="Y1658" t="s">
        <v>270</v>
      </c>
      <c r="Z1658">
        <v>4882</v>
      </c>
      <c r="AA1658">
        <v>4882</v>
      </c>
      <c r="AB1658" t="b">
        <v>1</v>
      </c>
    </row>
    <row r="1659" spans="17:28" x14ac:dyDescent="0.2">
      <c r="Q1659" t="s">
        <v>2018</v>
      </c>
      <c r="R1659" t="s">
        <v>2524</v>
      </c>
      <c r="S1659" t="s">
        <v>257</v>
      </c>
      <c r="T1659" s="1">
        <v>44228</v>
      </c>
      <c r="U1659" s="1">
        <v>44228</v>
      </c>
      <c r="V1659" t="s">
        <v>270</v>
      </c>
      <c r="W1659">
        <v>53352</v>
      </c>
      <c r="X1659">
        <v>53352</v>
      </c>
      <c r="Y1659" t="s">
        <v>270</v>
      </c>
      <c r="Z1659">
        <v>53352</v>
      </c>
      <c r="AA1659">
        <v>53352</v>
      </c>
      <c r="AB1659" t="b">
        <v>1</v>
      </c>
    </row>
    <row r="1660" spans="17:28" x14ac:dyDescent="0.2">
      <c r="Q1660" t="s">
        <v>2018</v>
      </c>
      <c r="R1660" t="s">
        <v>2524</v>
      </c>
      <c r="S1660" t="s">
        <v>257</v>
      </c>
      <c r="T1660" s="1">
        <v>44197</v>
      </c>
      <c r="U1660" s="1">
        <v>44197</v>
      </c>
      <c r="V1660" t="s">
        <v>270</v>
      </c>
      <c r="W1660">
        <v>443</v>
      </c>
      <c r="X1660">
        <v>443</v>
      </c>
      <c r="Y1660" t="s">
        <v>270</v>
      </c>
      <c r="Z1660">
        <v>443</v>
      </c>
      <c r="AA1660">
        <v>443</v>
      </c>
      <c r="AB1660" t="b">
        <v>1</v>
      </c>
    </row>
    <row r="1661" spans="17:28" x14ac:dyDescent="0.2">
      <c r="Q1661" t="s">
        <v>2018</v>
      </c>
      <c r="R1661" t="s">
        <v>2524</v>
      </c>
      <c r="S1661" t="s">
        <v>257</v>
      </c>
      <c r="T1661" s="1">
        <v>44166</v>
      </c>
      <c r="U1661" s="1">
        <v>44166</v>
      </c>
      <c r="V1661" t="s">
        <v>270</v>
      </c>
      <c r="W1661">
        <v>178882</v>
      </c>
      <c r="X1661">
        <v>178882</v>
      </c>
      <c r="Y1661" t="s">
        <v>270</v>
      </c>
      <c r="Z1661">
        <v>178882</v>
      </c>
      <c r="AA1661">
        <v>178882</v>
      </c>
      <c r="AB1661" t="b">
        <v>1</v>
      </c>
    </row>
    <row r="1662" spans="17:28" x14ac:dyDescent="0.2">
      <c r="Q1662" t="s">
        <v>2018</v>
      </c>
      <c r="R1662" t="s">
        <v>2524</v>
      </c>
      <c r="S1662" t="s">
        <v>257</v>
      </c>
      <c r="T1662" s="1">
        <v>44136</v>
      </c>
      <c r="U1662" s="1">
        <v>44136</v>
      </c>
      <c r="V1662" t="s">
        <v>270</v>
      </c>
      <c r="W1662">
        <v>937192</v>
      </c>
      <c r="X1662">
        <v>937192</v>
      </c>
      <c r="Y1662" t="s">
        <v>270</v>
      </c>
      <c r="Z1662">
        <v>937192</v>
      </c>
      <c r="AA1662">
        <v>937192</v>
      </c>
      <c r="AB1662" t="b">
        <v>1</v>
      </c>
    </row>
    <row r="1663" spans="17:28" x14ac:dyDescent="0.2">
      <c r="Q1663" t="s">
        <v>2018</v>
      </c>
      <c r="R1663" t="s">
        <v>2524</v>
      </c>
      <c r="S1663" t="s">
        <v>257</v>
      </c>
      <c r="T1663" s="1">
        <v>44105</v>
      </c>
      <c r="U1663" s="1">
        <v>44105</v>
      </c>
      <c r="V1663" t="s">
        <v>270</v>
      </c>
      <c r="W1663">
        <v>484848</v>
      </c>
      <c r="X1663">
        <v>484848</v>
      </c>
      <c r="Y1663" t="s">
        <v>270</v>
      </c>
      <c r="Z1663">
        <v>484848</v>
      </c>
      <c r="AA1663">
        <v>484848</v>
      </c>
      <c r="AB1663" t="b">
        <v>1</v>
      </c>
    </row>
    <row r="1664" spans="17:28" x14ac:dyDescent="0.2">
      <c r="Q1664" t="s">
        <v>2018</v>
      </c>
      <c r="R1664" t="s">
        <v>2524</v>
      </c>
      <c r="S1664" t="s">
        <v>257</v>
      </c>
      <c r="T1664" s="1">
        <v>44075</v>
      </c>
      <c r="U1664" s="1">
        <v>44075</v>
      </c>
      <c r="V1664" t="s">
        <v>270</v>
      </c>
      <c r="W1664">
        <v>421</v>
      </c>
      <c r="X1664">
        <v>421</v>
      </c>
      <c r="Y1664" t="s">
        <v>270</v>
      </c>
      <c r="Z1664">
        <v>421</v>
      </c>
      <c r="AA1664">
        <v>421</v>
      </c>
      <c r="AB1664" t="b">
        <v>1</v>
      </c>
    </row>
    <row r="1665" spans="17:28" x14ac:dyDescent="0.2">
      <c r="Q1665" t="s">
        <v>2018</v>
      </c>
      <c r="R1665" t="s">
        <v>2524</v>
      </c>
      <c r="S1665" t="s">
        <v>257</v>
      </c>
      <c r="T1665" s="1">
        <v>44044</v>
      </c>
      <c r="U1665" s="1">
        <v>44044</v>
      </c>
      <c r="V1665" t="s">
        <v>270</v>
      </c>
      <c r="W1665">
        <v>51783</v>
      </c>
      <c r="X1665">
        <v>51783</v>
      </c>
      <c r="Y1665" t="s">
        <v>270</v>
      </c>
      <c r="Z1665">
        <v>51783</v>
      </c>
      <c r="AA1665">
        <v>51783</v>
      </c>
      <c r="AB1665" t="b">
        <v>1</v>
      </c>
    </row>
    <row r="1666" spans="17:28" x14ac:dyDescent="0.2">
      <c r="Q1666" t="s">
        <v>2018</v>
      </c>
      <c r="R1666" t="s">
        <v>2524</v>
      </c>
      <c r="S1666" t="s">
        <v>257</v>
      </c>
      <c r="T1666" s="1">
        <v>44013</v>
      </c>
      <c r="U1666" s="1">
        <v>44013</v>
      </c>
      <c r="V1666" t="s">
        <v>270</v>
      </c>
      <c r="W1666">
        <v>114197</v>
      </c>
      <c r="X1666">
        <v>114197</v>
      </c>
      <c r="Y1666" t="s">
        <v>270</v>
      </c>
      <c r="Z1666">
        <v>114197</v>
      </c>
      <c r="AA1666">
        <v>114197</v>
      </c>
      <c r="AB1666" t="b">
        <v>1</v>
      </c>
    </row>
    <row r="1667" spans="17:28" x14ac:dyDescent="0.2">
      <c r="Q1667" t="s">
        <v>2018</v>
      </c>
      <c r="R1667" t="s">
        <v>2525</v>
      </c>
      <c r="S1667" t="s">
        <v>257</v>
      </c>
      <c r="T1667" s="1">
        <v>44348</v>
      </c>
      <c r="U1667" s="1">
        <v>44348</v>
      </c>
      <c r="V1667" t="s">
        <v>270</v>
      </c>
      <c r="W1667">
        <v>201611</v>
      </c>
      <c r="X1667">
        <v>201611</v>
      </c>
      <c r="Y1667" t="s">
        <v>270</v>
      </c>
      <c r="Z1667">
        <v>201611</v>
      </c>
      <c r="AA1667">
        <v>201611</v>
      </c>
      <c r="AB1667" t="b">
        <v>1</v>
      </c>
    </row>
    <row r="1668" spans="17:28" x14ac:dyDescent="0.2">
      <c r="Q1668" t="s">
        <v>2018</v>
      </c>
      <c r="R1668" t="s">
        <v>2525</v>
      </c>
      <c r="S1668" t="s">
        <v>257</v>
      </c>
      <c r="T1668" s="1">
        <v>44317</v>
      </c>
      <c r="U1668" s="1">
        <v>44317</v>
      </c>
      <c r="V1668" t="s">
        <v>270</v>
      </c>
      <c r="W1668">
        <v>124394</v>
      </c>
      <c r="X1668">
        <v>124394</v>
      </c>
      <c r="Y1668" t="s">
        <v>270</v>
      </c>
      <c r="Z1668">
        <v>124394</v>
      </c>
      <c r="AA1668">
        <v>124394</v>
      </c>
      <c r="AB1668" t="b">
        <v>1</v>
      </c>
    </row>
    <row r="1669" spans="17:28" x14ac:dyDescent="0.2">
      <c r="Q1669" t="s">
        <v>2018</v>
      </c>
      <c r="R1669" t="s">
        <v>2525</v>
      </c>
      <c r="S1669" t="s">
        <v>257</v>
      </c>
      <c r="T1669" s="1">
        <v>44287</v>
      </c>
      <c r="U1669" s="1">
        <v>44287</v>
      </c>
      <c r="V1669" t="s">
        <v>270</v>
      </c>
      <c r="W1669">
        <v>148087</v>
      </c>
      <c r="X1669">
        <v>148087</v>
      </c>
      <c r="Y1669" t="s">
        <v>270</v>
      </c>
      <c r="Z1669">
        <v>148087</v>
      </c>
      <c r="AA1669">
        <v>148087</v>
      </c>
      <c r="AB1669" t="b">
        <v>1</v>
      </c>
    </row>
    <row r="1670" spans="17:28" x14ac:dyDescent="0.2">
      <c r="Q1670" t="s">
        <v>2018</v>
      </c>
      <c r="R1670" t="s">
        <v>2525</v>
      </c>
      <c r="S1670" t="s">
        <v>257</v>
      </c>
      <c r="T1670" s="1">
        <v>44256</v>
      </c>
      <c r="U1670" s="1">
        <v>44256</v>
      </c>
      <c r="V1670" t="s">
        <v>270</v>
      </c>
      <c r="W1670">
        <v>606904</v>
      </c>
      <c r="X1670">
        <v>606904</v>
      </c>
      <c r="Y1670" t="s">
        <v>270</v>
      </c>
      <c r="Z1670">
        <v>606904</v>
      </c>
      <c r="AA1670">
        <v>606904</v>
      </c>
      <c r="AB1670" t="b">
        <v>1</v>
      </c>
    </row>
    <row r="1671" spans="17:28" x14ac:dyDescent="0.2">
      <c r="Q1671" t="s">
        <v>2018</v>
      </c>
      <c r="R1671" t="s">
        <v>2525</v>
      </c>
      <c r="S1671" t="s">
        <v>257</v>
      </c>
      <c r="T1671" s="1">
        <v>44228</v>
      </c>
      <c r="U1671" s="1">
        <v>44228</v>
      </c>
      <c r="V1671" t="s">
        <v>270</v>
      </c>
      <c r="W1671">
        <v>144653</v>
      </c>
      <c r="X1671">
        <v>144653</v>
      </c>
      <c r="Y1671" t="s">
        <v>270</v>
      </c>
      <c r="Z1671">
        <v>144653</v>
      </c>
      <c r="AA1671">
        <v>144653</v>
      </c>
      <c r="AB1671" t="b">
        <v>1</v>
      </c>
    </row>
    <row r="1672" spans="17:28" x14ac:dyDescent="0.2">
      <c r="Q1672" t="s">
        <v>2018</v>
      </c>
      <c r="R1672" t="s">
        <v>2525</v>
      </c>
      <c r="S1672" t="s">
        <v>257</v>
      </c>
      <c r="T1672" s="1">
        <v>44197</v>
      </c>
      <c r="U1672" s="1">
        <v>44197</v>
      </c>
      <c r="V1672" t="s">
        <v>270</v>
      </c>
      <c r="W1672">
        <v>421</v>
      </c>
      <c r="X1672">
        <v>421</v>
      </c>
      <c r="Y1672" t="s">
        <v>270</v>
      </c>
      <c r="Z1672">
        <v>421</v>
      </c>
      <c r="AA1672">
        <v>421</v>
      </c>
      <c r="AB1672" t="b">
        <v>1</v>
      </c>
    </row>
    <row r="1673" spans="17:28" x14ac:dyDescent="0.2">
      <c r="Q1673" t="s">
        <v>2018</v>
      </c>
      <c r="R1673" t="s">
        <v>2525</v>
      </c>
      <c r="S1673" t="s">
        <v>257</v>
      </c>
      <c r="T1673" s="1">
        <v>44166</v>
      </c>
      <c r="U1673" s="1">
        <v>44166</v>
      </c>
      <c r="V1673" t="s">
        <v>270</v>
      </c>
      <c r="W1673">
        <v>312811</v>
      </c>
      <c r="X1673">
        <v>312811</v>
      </c>
      <c r="Y1673" t="s">
        <v>270</v>
      </c>
      <c r="Z1673">
        <v>312811</v>
      </c>
      <c r="AA1673">
        <v>312811</v>
      </c>
      <c r="AB1673" t="b">
        <v>1</v>
      </c>
    </row>
    <row r="1674" spans="17:28" x14ac:dyDescent="0.2">
      <c r="Q1674" t="s">
        <v>2018</v>
      </c>
      <c r="R1674" t="s">
        <v>2525</v>
      </c>
      <c r="S1674" t="s">
        <v>257</v>
      </c>
      <c r="T1674" s="1">
        <v>44348</v>
      </c>
      <c r="U1674" s="1">
        <v>44348</v>
      </c>
      <c r="V1674" t="s">
        <v>270</v>
      </c>
      <c r="W1674">
        <v>201611</v>
      </c>
      <c r="X1674">
        <v>201611</v>
      </c>
      <c r="Y1674" t="s">
        <v>270</v>
      </c>
      <c r="Z1674">
        <v>201611</v>
      </c>
      <c r="AA1674">
        <v>201611</v>
      </c>
      <c r="AB1674" t="b">
        <v>1</v>
      </c>
    </row>
    <row r="1675" spans="17:28" x14ac:dyDescent="0.2">
      <c r="Q1675" t="s">
        <v>2018</v>
      </c>
      <c r="R1675" t="s">
        <v>2525</v>
      </c>
      <c r="S1675" t="s">
        <v>257</v>
      </c>
      <c r="T1675" s="1">
        <v>44317</v>
      </c>
      <c r="U1675" s="1">
        <v>44317</v>
      </c>
      <c r="V1675" t="s">
        <v>270</v>
      </c>
      <c r="W1675">
        <v>124394</v>
      </c>
      <c r="X1675">
        <v>124394</v>
      </c>
      <c r="Y1675" t="s">
        <v>270</v>
      </c>
      <c r="Z1675">
        <v>124394</v>
      </c>
      <c r="AA1675">
        <v>124394</v>
      </c>
      <c r="AB1675" t="b">
        <v>1</v>
      </c>
    </row>
    <row r="1676" spans="17:28" x14ac:dyDescent="0.2">
      <c r="Q1676" t="s">
        <v>2018</v>
      </c>
      <c r="R1676" t="s">
        <v>2525</v>
      </c>
      <c r="S1676" t="s">
        <v>257</v>
      </c>
      <c r="T1676" s="1">
        <v>44287</v>
      </c>
      <c r="U1676" s="1">
        <v>44287</v>
      </c>
      <c r="V1676" t="s">
        <v>270</v>
      </c>
      <c r="W1676">
        <v>148087</v>
      </c>
      <c r="X1676">
        <v>148087</v>
      </c>
      <c r="Y1676" t="s">
        <v>270</v>
      </c>
      <c r="Z1676">
        <v>148087</v>
      </c>
      <c r="AA1676">
        <v>148087</v>
      </c>
      <c r="AB1676" t="b">
        <v>1</v>
      </c>
    </row>
    <row r="1677" spans="17:28" x14ac:dyDescent="0.2">
      <c r="Q1677" t="s">
        <v>2018</v>
      </c>
      <c r="R1677" t="s">
        <v>2525</v>
      </c>
      <c r="S1677" t="s">
        <v>257</v>
      </c>
      <c r="T1677" s="1">
        <v>44256</v>
      </c>
      <c r="U1677" s="1">
        <v>44256</v>
      </c>
      <c r="V1677" t="s">
        <v>270</v>
      </c>
      <c r="W1677">
        <v>606904</v>
      </c>
      <c r="X1677">
        <v>606904</v>
      </c>
      <c r="Y1677" t="s">
        <v>270</v>
      </c>
      <c r="Z1677">
        <v>606904</v>
      </c>
      <c r="AA1677">
        <v>606904</v>
      </c>
      <c r="AB1677" t="b">
        <v>1</v>
      </c>
    </row>
    <row r="1678" spans="17:28" x14ac:dyDescent="0.2">
      <c r="Q1678" t="s">
        <v>2018</v>
      </c>
      <c r="R1678" t="s">
        <v>2525</v>
      </c>
      <c r="S1678" t="s">
        <v>257</v>
      </c>
      <c r="T1678" s="1">
        <v>44228</v>
      </c>
      <c r="U1678" s="1">
        <v>44228</v>
      </c>
      <c r="V1678" t="s">
        <v>270</v>
      </c>
      <c r="W1678">
        <v>144653</v>
      </c>
      <c r="X1678">
        <v>144653</v>
      </c>
      <c r="Y1678" t="s">
        <v>270</v>
      </c>
      <c r="Z1678">
        <v>144653</v>
      </c>
      <c r="AA1678">
        <v>144653</v>
      </c>
      <c r="AB1678" t="b">
        <v>1</v>
      </c>
    </row>
    <row r="1679" spans="17:28" x14ac:dyDescent="0.2">
      <c r="Q1679" t="s">
        <v>2018</v>
      </c>
      <c r="R1679" t="s">
        <v>2525</v>
      </c>
      <c r="S1679" t="s">
        <v>257</v>
      </c>
      <c r="T1679" s="1">
        <v>44197</v>
      </c>
      <c r="U1679" s="1">
        <v>44197</v>
      </c>
      <c r="V1679" t="s">
        <v>270</v>
      </c>
      <c r="W1679">
        <v>421</v>
      </c>
      <c r="X1679">
        <v>421</v>
      </c>
      <c r="Y1679" t="s">
        <v>270</v>
      </c>
      <c r="Z1679">
        <v>421</v>
      </c>
      <c r="AA1679">
        <v>421</v>
      </c>
      <c r="AB1679" t="b">
        <v>1</v>
      </c>
    </row>
    <row r="1680" spans="17:28" x14ac:dyDescent="0.2">
      <c r="Q1680" t="s">
        <v>2018</v>
      </c>
      <c r="R1680" t="s">
        <v>2525</v>
      </c>
      <c r="S1680" t="s">
        <v>257</v>
      </c>
      <c r="T1680" s="1">
        <v>44166</v>
      </c>
      <c r="U1680" s="1">
        <v>44166</v>
      </c>
      <c r="V1680" t="s">
        <v>270</v>
      </c>
      <c r="W1680">
        <v>312811</v>
      </c>
      <c r="X1680">
        <v>312811</v>
      </c>
      <c r="Y1680" t="s">
        <v>270</v>
      </c>
      <c r="Z1680">
        <v>312811</v>
      </c>
      <c r="AA1680">
        <v>312811</v>
      </c>
      <c r="AB1680" t="b">
        <v>1</v>
      </c>
    </row>
    <row r="1681" spans="17:28" x14ac:dyDescent="0.2">
      <c r="Q1681" t="s">
        <v>2018</v>
      </c>
      <c r="R1681" t="s">
        <v>2526</v>
      </c>
      <c r="S1681" t="s">
        <v>257</v>
      </c>
      <c r="T1681" s="1">
        <v>44317</v>
      </c>
      <c r="U1681" s="1">
        <v>44317</v>
      </c>
      <c r="V1681" t="s">
        <v>270</v>
      </c>
      <c r="W1681">
        <v>136855</v>
      </c>
      <c r="X1681">
        <v>136855</v>
      </c>
      <c r="Y1681" t="s">
        <v>270</v>
      </c>
      <c r="Z1681">
        <v>136855</v>
      </c>
      <c r="AA1681">
        <v>136855</v>
      </c>
      <c r="AB1681" t="b">
        <v>1</v>
      </c>
    </row>
    <row r="1682" spans="17:28" x14ac:dyDescent="0.2">
      <c r="Q1682" t="s">
        <v>2018</v>
      </c>
      <c r="R1682" t="s">
        <v>2526</v>
      </c>
      <c r="S1682" t="s">
        <v>257</v>
      </c>
      <c r="T1682" s="1">
        <v>44287</v>
      </c>
      <c r="U1682" s="1">
        <v>44287</v>
      </c>
      <c r="V1682" t="s">
        <v>270</v>
      </c>
      <c r="W1682">
        <v>157925</v>
      </c>
      <c r="X1682">
        <v>157925</v>
      </c>
      <c r="Y1682" t="s">
        <v>270</v>
      </c>
      <c r="Z1682">
        <v>157925</v>
      </c>
      <c r="AA1682">
        <v>157925</v>
      </c>
      <c r="AB1682" t="b">
        <v>1</v>
      </c>
    </row>
    <row r="1683" spans="17:28" x14ac:dyDescent="0.2">
      <c r="Q1683" t="s">
        <v>2018</v>
      </c>
      <c r="R1683" t="s">
        <v>2526</v>
      </c>
      <c r="S1683" t="s">
        <v>257</v>
      </c>
      <c r="T1683" s="1">
        <v>44256</v>
      </c>
      <c r="U1683" s="1">
        <v>44256</v>
      </c>
      <c r="V1683" t="s">
        <v>270</v>
      </c>
      <c r="W1683">
        <v>113239</v>
      </c>
      <c r="X1683">
        <v>113239</v>
      </c>
      <c r="Y1683" t="s">
        <v>270</v>
      </c>
      <c r="Z1683">
        <v>113239</v>
      </c>
      <c r="AA1683">
        <v>113239</v>
      </c>
      <c r="AB1683" t="b">
        <v>1</v>
      </c>
    </row>
    <row r="1684" spans="17:28" x14ac:dyDescent="0.2">
      <c r="Q1684" t="s">
        <v>2018</v>
      </c>
      <c r="R1684" t="s">
        <v>2526</v>
      </c>
      <c r="S1684" t="s">
        <v>257</v>
      </c>
      <c r="T1684" s="1">
        <v>44228</v>
      </c>
      <c r="U1684" s="1">
        <v>44228</v>
      </c>
      <c r="V1684" t="s">
        <v>270</v>
      </c>
      <c r="W1684">
        <v>254197</v>
      </c>
      <c r="X1684">
        <v>254197</v>
      </c>
      <c r="Y1684" t="s">
        <v>270</v>
      </c>
      <c r="Z1684">
        <v>254197</v>
      </c>
      <c r="AA1684">
        <v>254197</v>
      </c>
      <c r="AB1684" t="b">
        <v>1</v>
      </c>
    </row>
    <row r="1685" spans="17:28" x14ac:dyDescent="0.2">
      <c r="Q1685" t="s">
        <v>2018</v>
      </c>
      <c r="R1685" t="s">
        <v>2526</v>
      </c>
      <c r="S1685" t="s">
        <v>257</v>
      </c>
      <c r="T1685" s="1">
        <v>44197</v>
      </c>
      <c r="U1685" s="1">
        <v>44197</v>
      </c>
      <c r="V1685" t="s">
        <v>270</v>
      </c>
      <c r="W1685">
        <v>77337</v>
      </c>
      <c r="X1685">
        <v>77337</v>
      </c>
      <c r="Y1685" t="s">
        <v>270</v>
      </c>
      <c r="Z1685">
        <v>77337</v>
      </c>
      <c r="AA1685">
        <v>77337</v>
      </c>
      <c r="AB1685" t="b">
        <v>1</v>
      </c>
    </row>
    <row r="1686" spans="17:28" x14ac:dyDescent="0.2">
      <c r="Q1686" t="s">
        <v>2018</v>
      </c>
      <c r="R1686" t="s">
        <v>2526</v>
      </c>
      <c r="S1686" t="s">
        <v>257</v>
      </c>
      <c r="T1686" s="1">
        <v>44166</v>
      </c>
      <c r="U1686" s="1">
        <v>44166</v>
      </c>
      <c r="V1686" t="s">
        <v>270</v>
      </c>
      <c r="W1686">
        <v>579326</v>
      </c>
      <c r="X1686">
        <v>579326</v>
      </c>
      <c r="Y1686" t="s">
        <v>270</v>
      </c>
      <c r="Z1686">
        <v>579326</v>
      </c>
      <c r="AA1686">
        <v>579326</v>
      </c>
      <c r="AB1686" t="b">
        <v>1</v>
      </c>
    </row>
    <row r="1687" spans="17:28" x14ac:dyDescent="0.2">
      <c r="Q1687" t="s">
        <v>2018</v>
      </c>
      <c r="R1687" t="s">
        <v>2526</v>
      </c>
      <c r="S1687" t="s">
        <v>257</v>
      </c>
      <c r="T1687" s="1">
        <v>44136</v>
      </c>
      <c r="U1687" s="1">
        <v>44136</v>
      </c>
      <c r="V1687" t="s">
        <v>270</v>
      </c>
      <c r="W1687">
        <v>90998</v>
      </c>
      <c r="X1687">
        <v>90998</v>
      </c>
      <c r="Y1687" t="s">
        <v>270</v>
      </c>
      <c r="Z1687">
        <v>90998</v>
      </c>
      <c r="AA1687">
        <v>90998</v>
      </c>
      <c r="AB1687" t="b">
        <v>1</v>
      </c>
    </row>
    <row r="1688" spans="17:28" x14ac:dyDescent="0.2">
      <c r="Q1688" t="s">
        <v>2018</v>
      </c>
      <c r="R1688" t="s">
        <v>2526</v>
      </c>
      <c r="S1688" t="s">
        <v>257</v>
      </c>
      <c r="T1688" s="1">
        <v>44105</v>
      </c>
      <c r="U1688" s="1">
        <v>44105</v>
      </c>
      <c r="V1688" t="s">
        <v>270</v>
      </c>
      <c r="W1688">
        <v>107351</v>
      </c>
      <c r="X1688">
        <v>107351</v>
      </c>
      <c r="Y1688" t="s">
        <v>270</v>
      </c>
      <c r="Z1688">
        <v>107351</v>
      </c>
      <c r="AA1688">
        <v>107351</v>
      </c>
      <c r="AB1688" t="b">
        <v>1</v>
      </c>
    </row>
    <row r="1689" spans="17:28" x14ac:dyDescent="0.2">
      <c r="Q1689" t="s">
        <v>2018</v>
      </c>
      <c r="R1689" t="s">
        <v>2526</v>
      </c>
      <c r="S1689" t="s">
        <v>257</v>
      </c>
      <c r="T1689" s="1">
        <v>44317</v>
      </c>
      <c r="U1689" s="1">
        <v>44317</v>
      </c>
      <c r="V1689" t="s">
        <v>270</v>
      </c>
      <c r="W1689">
        <v>136855</v>
      </c>
      <c r="X1689">
        <v>136855</v>
      </c>
      <c r="Y1689" t="s">
        <v>270</v>
      </c>
      <c r="Z1689">
        <v>136855</v>
      </c>
      <c r="AA1689">
        <v>136855</v>
      </c>
      <c r="AB1689" t="b">
        <v>1</v>
      </c>
    </row>
    <row r="1690" spans="17:28" x14ac:dyDescent="0.2">
      <c r="Q1690" t="s">
        <v>2018</v>
      </c>
      <c r="R1690" t="s">
        <v>2526</v>
      </c>
      <c r="S1690" t="s">
        <v>257</v>
      </c>
      <c r="T1690" s="1">
        <v>44287</v>
      </c>
      <c r="U1690" s="1">
        <v>44287</v>
      </c>
      <c r="V1690" t="s">
        <v>270</v>
      </c>
      <c r="W1690">
        <v>157925</v>
      </c>
      <c r="X1690">
        <v>157925</v>
      </c>
      <c r="Y1690" t="s">
        <v>270</v>
      </c>
      <c r="Z1690">
        <v>157925</v>
      </c>
      <c r="AA1690">
        <v>157925</v>
      </c>
      <c r="AB1690" t="b">
        <v>1</v>
      </c>
    </row>
    <row r="1691" spans="17:28" x14ac:dyDescent="0.2">
      <c r="Q1691" t="s">
        <v>2018</v>
      </c>
      <c r="R1691" t="s">
        <v>2526</v>
      </c>
      <c r="S1691" t="s">
        <v>257</v>
      </c>
      <c r="T1691" s="1">
        <v>44256</v>
      </c>
      <c r="U1691" s="1">
        <v>44256</v>
      </c>
      <c r="V1691" t="s">
        <v>270</v>
      </c>
      <c r="W1691">
        <v>113239</v>
      </c>
      <c r="X1691">
        <v>113239</v>
      </c>
      <c r="Y1691" t="s">
        <v>270</v>
      </c>
      <c r="Z1691">
        <v>113239</v>
      </c>
      <c r="AA1691">
        <v>113239</v>
      </c>
      <c r="AB1691" t="b">
        <v>1</v>
      </c>
    </row>
    <row r="1692" spans="17:28" x14ac:dyDescent="0.2">
      <c r="Q1692" t="s">
        <v>2018</v>
      </c>
      <c r="R1692" t="s">
        <v>2526</v>
      </c>
      <c r="S1692" t="s">
        <v>257</v>
      </c>
      <c r="T1692" s="1">
        <v>44228</v>
      </c>
      <c r="U1692" s="1">
        <v>44228</v>
      </c>
      <c r="V1692" t="s">
        <v>270</v>
      </c>
      <c r="W1692">
        <v>254197</v>
      </c>
      <c r="X1692">
        <v>254197</v>
      </c>
      <c r="Y1692" t="s">
        <v>270</v>
      </c>
      <c r="Z1692">
        <v>254197</v>
      </c>
      <c r="AA1692">
        <v>254197</v>
      </c>
      <c r="AB1692" t="b">
        <v>1</v>
      </c>
    </row>
    <row r="1693" spans="17:28" x14ac:dyDescent="0.2">
      <c r="Q1693" t="s">
        <v>2018</v>
      </c>
      <c r="R1693" t="s">
        <v>2526</v>
      </c>
      <c r="S1693" t="s">
        <v>257</v>
      </c>
      <c r="T1693" s="1">
        <v>44197</v>
      </c>
      <c r="U1693" s="1">
        <v>44197</v>
      </c>
      <c r="V1693" t="s">
        <v>270</v>
      </c>
      <c r="W1693">
        <v>77337</v>
      </c>
      <c r="X1693">
        <v>77337</v>
      </c>
      <c r="Y1693" t="s">
        <v>270</v>
      </c>
      <c r="Z1693">
        <v>77337</v>
      </c>
      <c r="AA1693">
        <v>77337</v>
      </c>
      <c r="AB1693" t="b">
        <v>1</v>
      </c>
    </row>
    <row r="1694" spans="17:28" x14ac:dyDescent="0.2">
      <c r="Q1694" t="s">
        <v>2018</v>
      </c>
      <c r="R1694" t="s">
        <v>2526</v>
      </c>
      <c r="S1694" t="s">
        <v>257</v>
      </c>
      <c r="T1694" s="1">
        <v>44166</v>
      </c>
      <c r="U1694" s="1">
        <v>44166</v>
      </c>
      <c r="V1694" t="s">
        <v>270</v>
      </c>
      <c r="W1694">
        <v>579326</v>
      </c>
      <c r="X1694">
        <v>579326</v>
      </c>
      <c r="Y1694" t="s">
        <v>270</v>
      </c>
      <c r="Z1694">
        <v>579326</v>
      </c>
      <c r="AA1694">
        <v>579326</v>
      </c>
      <c r="AB1694" t="b">
        <v>1</v>
      </c>
    </row>
    <row r="1695" spans="17:28" x14ac:dyDescent="0.2">
      <c r="Q1695" t="s">
        <v>2018</v>
      </c>
      <c r="R1695" t="s">
        <v>2526</v>
      </c>
      <c r="S1695" t="s">
        <v>257</v>
      </c>
      <c r="T1695" s="1">
        <v>44136</v>
      </c>
      <c r="U1695" s="1">
        <v>44136</v>
      </c>
      <c r="V1695" t="s">
        <v>270</v>
      </c>
      <c r="W1695">
        <v>90998</v>
      </c>
      <c r="X1695">
        <v>90998</v>
      </c>
      <c r="Y1695" t="s">
        <v>270</v>
      </c>
      <c r="Z1695">
        <v>90998</v>
      </c>
      <c r="AA1695">
        <v>90998</v>
      </c>
      <c r="AB1695" t="b">
        <v>1</v>
      </c>
    </row>
    <row r="1696" spans="17:28" x14ac:dyDescent="0.2">
      <c r="Q1696" t="s">
        <v>2018</v>
      </c>
      <c r="R1696" t="s">
        <v>2526</v>
      </c>
      <c r="S1696" t="s">
        <v>257</v>
      </c>
      <c r="T1696" s="1">
        <v>44105</v>
      </c>
      <c r="U1696" s="1">
        <v>44105</v>
      </c>
      <c r="V1696" t="s">
        <v>270</v>
      </c>
      <c r="W1696">
        <v>107351</v>
      </c>
      <c r="X1696">
        <v>107351</v>
      </c>
      <c r="Y1696" t="s">
        <v>270</v>
      </c>
      <c r="Z1696">
        <v>107351</v>
      </c>
      <c r="AA1696">
        <v>107351</v>
      </c>
      <c r="AB1696" t="b">
        <v>1</v>
      </c>
    </row>
    <row r="1697" spans="17:28" x14ac:dyDescent="0.2">
      <c r="Q1697" t="s">
        <v>2018</v>
      </c>
      <c r="R1697" t="s">
        <v>2527</v>
      </c>
      <c r="S1697" t="s">
        <v>257</v>
      </c>
      <c r="T1697" s="1">
        <v>44348</v>
      </c>
      <c r="U1697" s="1">
        <v>44348</v>
      </c>
      <c r="V1697" t="s">
        <v>270</v>
      </c>
      <c r="W1697">
        <v>63436</v>
      </c>
      <c r="X1697">
        <v>63436</v>
      </c>
      <c r="Y1697" t="s">
        <v>270</v>
      </c>
      <c r="Z1697">
        <v>63436</v>
      </c>
      <c r="AA1697">
        <v>63436</v>
      </c>
      <c r="AB1697" t="b">
        <v>1</v>
      </c>
    </row>
    <row r="1698" spans="17:28" x14ac:dyDescent="0.2">
      <c r="Q1698" t="s">
        <v>2018</v>
      </c>
      <c r="R1698" t="s">
        <v>2527</v>
      </c>
      <c r="S1698" t="s">
        <v>257</v>
      </c>
      <c r="T1698" s="1">
        <v>44317</v>
      </c>
      <c r="U1698" s="1">
        <v>44317</v>
      </c>
      <c r="V1698" t="s">
        <v>270</v>
      </c>
      <c r="W1698">
        <v>37122</v>
      </c>
      <c r="X1698">
        <v>37122</v>
      </c>
      <c r="Y1698" t="s">
        <v>270</v>
      </c>
      <c r="Z1698">
        <v>37122</v>
      </c>
      <c r="AA1698">
        <v>37122</v>
      </c>
      <c r="AB1698" t="b">
        <v>1</v>
      </c>
    </row>
    <row r="1699" spans="17:28" x14ac:dyDescent="0.2">
      <c r="Q1699" t="s">
        <v>2018</v>
      </c>
      <c r="R1699" t="s">
        <v>2527</v>
      </c>
      <c r="S1699" t="s">
        <v>257</v>
      </c>
      <c r="T1699" s="1">
        <v>44287</v>
      </c>
      <c r="U1699" s="1">
        <v>44287</v>
      </c>
      <c r="V1699" t="s">
        <v>270</v>
      </c>
      <c r="W1699">
        <v>458129</v>
      </c>
      <c r="X1699">
        <v>458129</v>
      </c>
      <c r="Y1699" t="s">
        <v>270</v>
      </c>
      <c r="Z1699">
        <v>458129</v>
      </c>
      <c r="AA1699">
        <v>458129</v>
      </c>
      <c r="AB1699" t="b">
        <v>1</v>
      </c>
    </row>
    <row r="1700" spans="17:28" x14ac:dyDescent="0.2">
      <c r="Q1700" t="s">
        <v>2018</v>
      </c>
      <c r="R1700" t="s">
        <v>2527</v>
      </c>
      <c r="S1700" t="s">
        <v>257</v>
      </c>
      <c r="T1700" s="1">
        <v>44256</v>
      </c>
      <c r="U1700" s="1">
        <v>44256</v>
      </c>
      <c r="V1700" t="s">
        <v>270</v>
      </c>
      <c r="W1700">
        <v>172052</v>
      </c>
      <c r="X1700">
        <v>172052</v>
      </c>
      <c r="Y1700" t="s">
        <v>270</v>
      </c>
      <c r="Z1700">
        <v>172052</v>
      </c>
      <c r="AA1700">
        <v>172052</v>
      </c>
      <c r="AB1700" t="b">
        <v>1</v>
      </c>
    </row>
    <row r="1701" spans="17:28" x14ac:dyDescent="0.2">
      <c r="Q1701" t="s">
        <v>2018</v>
      </c>
      <c r="R1701" t="s">
        <v>2527</v>
      </c>
      <c r="S1701" t="s">
        <v>257</v>
      </c>
      <c r="T1701" s="1">
        <v>44228</v>
      </c>
      <c r="U1701" s="1">
        <v>44228</v>
      </c>
      <c r="V1701" t="s">
        <v>270</v>
      </c>
      <c r="W1701">
        <v>588</v>
      </c>
      <c r="X1701">
        <v>588</v>
      </c>
      <c r="Y1701" t="s">
        <v>270</v>
      </c>
      <c r="Z1701">
        <v>588</v>
      </c>
      <c r="AA1701">
        <v>588</v>
      </c>
      <c r="AB1701" t="b">
        <v>1</v>
      </c>
    </row>
    <row r="1702" spans="17:28" x14ac:dyDescent="0.2">
      <c r="Q1702" t="s">
        <v>2018</v>
      </c>
      <c r="R1702" t="s">
        <v>2527</v>
      </c>
      <c r="S1702" t="s">
        <v>257</v>
      </c>
      <c r="T1702" s="1">
        <v>44166</v>
      </c>
      <c r="U1702" s="1">
        <v>44166</v>
      </c>
      <c r="V1702" t="s">
        <v>270</v>
      </c>
      <c r="W1702">
        <v>609924</v>
      </c>
      <c r="X1702">
        <v>609924</v>
      </c>
      <c r="Y1702" t="s">
        <v>270</v>
      </c>
      <c r="Z1702">
        <v>609924</v>
      </c>
      <c r="AA1702">
        <v>609924</v>
      </c>
      <c r="AB1702" t="b">
        <v>1</v>
      </c>
    </row>
    <row r="1703" spans="17:28" x14ac:dyDescent="0.2">
      <c r="Q1703" t="s">
        <v>2018</v>
      </c>
      <c r="R1703" t="s">
        <v>2527</v>
      </c>
      <c r="S1703" t="s">
        <v>257</v>
      </c>
      <c r="T1703" s="1">
        <v>44136</v>
      </c>
      <c r="U1703" s="1">
        <v>44136</v>
      </c>
      <c r="V1703" t="s">
        <v>270</v>
      </c>
      <c r="W1703">
        <v>17069</v>
      </c>
      <c r="X1703">
        <v>17069</v>
      </c>
      <c r="Y1703" t="s">
        <v>270</v>
      </c>
      <c r="Z1703">
        <v>17069</v>
      </c>
      <c r="AA1703">
        <v>17069</v>
      </c>
      <c r="AB1703" t="b">
        <v>1</v>
      </c>
    </row>
    <row r="1704" spans="17:28" x14ac:dyDescent="0.2">
      <c r="Q1704" t="s">
        <v>2018</v>
      </c>
      <c r="R1704" t="s">
        <v>2527</v>
      </c>
      <c r="S1704" t="s">
        <v>257</v>
      </c>
      <c r="T1704" s="1">
        <v>44105</v>
      </c>
      <c r="U1704" s="1">
        <v>44105</v>
      </c>
      <c r="V1704" t="s">
        <v>270</v>
      </c>
      <c r="W1704">
        <v>7122</v>
      </c>
      <c r="X1704">
        <v>7122</v>
      </c>
      <c r="Y1704" t="s">
        <v>270</v>
      </c>
      <c r="Z1704">
        <v>7122</v>
      </c>
      <c r="AA1704">
        <v>7122</v>
      </c>
      <c r="AB1704" t="b">
        <v>1</v>
      </c>
    </row>
    <row r="1705" spans="17:28" x14ac:dyDescent="0.2">
      <c r="Q1705" t="s">
        <v>2018</v>
      </c>
      <c r="R1705" t="s">
        <v>2527</v>
      </c>
      <c r="S1705" t="s">
        <v>257</v>
      </c>
      <c r="T1705" s="1">
        <v>44044</v>
      </c>
      <c r="U1705" s="1">
        <v>44044</v>
      </c>
      <c r="V1705" t="s">
        <v>270</v>
      </c>
      <c r="W1705">
        <v>61617</v>
      </c>
      <c r="X1705">
        <v>61617</v>
      </c>
      <c r="Y1705" t="s">
        <v>270</v>
      </c>
      <c r="Z1705">
        <v>61617</v>
      </c>
      <c r="AA1705">
        <v>61617</v>
      </c>
      <c r="AB1705" t="b">
        <v>1</v>
      </c>
    </row>
    <row r="1706" spans="17:28" x14ac:dyDescent="0.2">
      <c r="Q1706" t="s">
        <v>2018</v>
      </c>
      <c r="R1706" t="s">
        <v>2527</v>
      </c>
      <c r="S1706" t="s">
        <v>257</v>
      </c>
      <c r="T1706" s="1">
        <v>44013</v>
      </c>
      <c r="U1706" s="1">
        <v>44013</v>
      </c>
      <c r="V1706" t="s">
        <v>270</v>
      </c>
      <c r="W1706">
        <v>35480</v>
      </c>
      <c r="X1706">
        <v>35480</v>
      </c>
      <c r="Y1706" t="s">
        <v>270</v>
      </c>
      <c r="Z1706">
        <v>35480</v>
      </c>
      <c r="AA1706">
        <v>35480</v>
      </c>
      <c r="AB1706" t="b">
        <v>1</v>
      </c>
    </row>
    <row r="1707" spans="17:28" x14ac:dyDescent="0.2">
      <c r="Q1707" t="s">
        <v>2018</v>
      </c>
      <c r="R1707" t="s">
        <v>2527</v>
      </c>
      <c r="S1707" t="s">
        <v>257</v>
      </c>
      <c r="T1707" s="1">
        <v>44348</v>
      </c>
      <c r="U1707" s="1">
        <v>44348</v>
      </c>
      <c r="V1707" t="s">
        <v>270</v>
      </c>
      <c r="W1707">
        <v>63436</v>
      </c>
      <c r="X1707">
        <v>63436</v>
      </c>
      <c r="Y1707" t="s">
        <v>270</v>
      </c>
      <c r="Z1707">
        <v>63436</v>
      </c>
      <c r="AA1707">
        <v>63436</v>
      </c>
      <c r="AB1707" t="b">
        <v>1</v>
      </c>
    </row>
    <row r="1708" spans="17:28" x14ac:dyDescent="0.2">
      <c r="Q1708" t="s">
        <v>2018</v>
      </c>
      <c r="R1708" t="s">
        <v>2527</v>
      </c>
      <c r="S1708" t="s">
        <v>257</v>
      </c>
      <c r="T1708" s="1">
        <v>44317</v>
      </c>
      <c r="U1708" s="1">
        <v>44317</v>
      </c>
      <c r="V1708" t="s">
        <v>270</v>
      </c>
      <c r="W1708">
        <v>37122</v>
      </c>
      <c r="X1708">
        <v>37122</v>
      </c>
      <c r="Y1708" t="s">
        <v>270</v>
      </c>
      <c r="Z1708">
        <v>37122</v>
      </c>
      <c r="AA1708">
        <v>37122</v>
      </c>
      <c r="AB1708" t="b">
        <v>1</v>
      </c>
    </row>
    <row r="1709" spans="17:28" x14ac:dyDescent="0.2">
      <c r="Q1709" t="s">
        <v>2018</v>
      </c>
      <c r="R1709" t="s">
        <v>2527</v>
      </c>
      <c r="S1709" t="s">
        <v>257</v>
      </c>
      <c r="T1709" s="1">
        <v>44287</v>
      </c>
      <c r="U1709" s="1">
        <v>44287</v>
      </c>
      <c r="V1709" t="s">
        <v>270</v>
      </c>
      <c r="W1709">
        <v>458129</v>
      </c>
      <c r="X1709">
        <v>458129</v>
      </c>
      <c r="Y1709" t="s">
        <v>270</v>
      </c>
      <c r="Z1709">
        <v>458129</v>
      </c>
      <c r="AA1709">
        <v>458129</v>
      </c>
      <c r="AB1709" t="b">
        <v>1</v>
      </c>
    </row>
    <row r="1710" spans="17:28" x14ac:dyDescent="0.2">
      <c r="Q1710" t="s">
        <v>2018</v>
      </c>
      <c r="R1710" t="s">
        <v>2527</v>
      </c>
      <c r="S1710" t="s">
        <v>257</v>
      </c>
      <c r="T1710" s="1">
        <v>44256</v>
      </c>
      <c r="U1710" s="1">
        <v>44256</v>
      </c>
      <c r="V1710" t="s">
        <v>270</v>
      </c>
      <c r="W1710">
        <v>172052</v>
      </c>
      <c r="X1710">
        <v>172052</v>
      </c>
      <c r="Y1710" t="s">
        <v>270</v>
      </c>
      <c r="Z1710">
        <v>172052</v>
      </c>
      <c r="AA1710">
        <v>172052</v>
      </c>
      <c r="AB1710" t="b">
        <v>1</v>
      </c>
    </row>
    <row r="1711" spans="17:28" x14ac:dyDescent="0.2">
      <c r="Q1711" t="s">
        <v>2018</v>
      </c>
      <c r="R1711" t="s">
        <v>2527</v>
      </c>
      <c r="S1711" t="s">
        <v>257</v>
      </c>
      <c r="T1711" s="1">
        <v>44228</v>
      </c>
      <c r="U1711" s="1">
        <v>44228</v>
      </c>
      <c r="V1711" t="s">
        <v>270</v>
      </c>
      <c r="W1711">
        <v>588</v>
      </c>
      <c r="X1711">
        <v>588</v>
      </c>
      <c r="Y1711" t="s">
        <v>270</v>
      </c>
      <c r="Z1711">
        <v>588</v>
      </c>
      <c r="AA1711">
        <v>588</v>
      </c>
      <c r="AB1711" t="b">
        <v>1</v>
      </c>
    </row>
    <row r="1712" spans="17:28" x14ac:dyDescent="0.2">
      <c r="Q1712" t="s">
        <v>2018</v>
      </c>
      <c r="R1712" t="s">
        <v>2527</v>
      </c>
      <c r="S1712" t="s">
        <v>257</v>
      </c>
      <c r="T1712" s="1">
        <v>44166</v>
      </c>
      <c r="U1712" s="1">
        <v>44166</v>
      </c>
      <c r="V1712" t="s">
        <v>270</v>
      </c>
      <c r="W1712">
        <v>609924</v>
      </c>
      <c r="X1712">
        <v>609924</v>
      </c>
      <c r="Y1712" t="s">
        <v>270</v>
      </c>
      <c r="Z1712">
        <v>609924</v>
      </c>
      <c r="AA1712">
        <v>609924</v>
      </c>
      <c r="AB1712" t="b">
        <v>1</v>
      </c>
    </row>
    <row r="1713" spans="17:28" x14ac:dyDescent="0.2">
      <c r="Q1713" t="s">
        <v>2018</v>
      </c>
      <c r="R1713" t="s">
        <v>2527</v>
      </c>
      <c r="S1713" t="s">
        <v>257</v>
      </c>
      <c r="T1713" s="1">
        <v>44136</v>
      </c>
      <c r="U1713" s="1">
        <v>44136</v>
      </c>
      <c r="V1713" t="s">
        <v>270</v>
      </c>
      <c r="W1713">
        <v>17069</v>
      </c>
      <c r="X1713">
        <v>17069</v>
      </c>
      <c r="Y1713" t="s">
        <v>270</v>
      </c>
      <c r="Z1713">
        <v>17069</v>
      </c>
      <c r="AA1713">
        <v>17069</v>
      </c>
      <c r="AB1713" t="b">
        <v>1</v>
      </c>
    </row>
    <row r="1714" spans="17:28" x14ac:dyDescent="0.2">
      <c r="Q1714" t="s">
        <v>2018</v>
      </c>
      <c r="R1714" t="s">
        <v>2527</v>
      </c>
      <c r="S1714" t="s">
        <v>257</v>
      </c>
      <c r="T1714" s="1">
        <v>44105</v>
      </c>
      <c r="U1714" s="1">
        <v>44105</v>
      </c>
      <c r="V1714" t="s">
        <v>270</v>
      </c>
      <c r="W1714">
        <v>7122</v>
      </c>
      <c r="X1714">
        <v>7122</v>
      </c>
      <c r="Y1714" t="s">
        <v>270</v>
      </c>
      <c r="Z1714">
        <v>7122</v>
      </c>
      <c r="AA1714">
        <v>7122</v>
      </c>
      <c r="AB1714" t="b">
        <v>1</v>
      </c>
    </row>
    <row r="1715" spans="17:28" x14ac:dyDescent="0.2">
      <c r="Q1715" t="s">
        <v>2018</v>
      </c>
      <c r="R1715" t="s">
        <v>2527</v>
      </c>
      <c r="S1715" t="s">
        <v>257</v>
      </c>
      <c r="T1715" s="1">
        <v>44044</v>
      </c>
      <c r="U1715" s="1">
        <v>44044</v>
      </c>
      <c r="V1715" t="s">
        <v>270</v>
      </c>
      <c r="W1715">
        <v>61617</v>
      </c>
      <c r="X1715">
        <v>61617</v>
      </c>
      <c r="Y1715" t="s">
        <v>270</v>
      </c>
      <c r="Z1715">
        <v>61617</v>
      </c>
      <c r="AA1715">
        <v>61617</v>
      </c>
      <c r="AB1715" t="b">
        <v>1</v>
      </c>
    </row>
    <row r="1716" spans="17:28" x14ac:dyDescent="0.2">
      <c r="Q1716" t="s">
        <v>2018</v>
      </c>
      <c r="R1716" t="s">
        <v>2527</v>
      </c>
      <c r="S1716" t="s">
        <v>257</v>
      </c>
      <c r="T1716" s="1">
        <v>44013</v>
      </c>
      <c r="U1716" s="1">
        <v>44013</v>
      </c>
      <c r="V1716" t="s">
        <v>270</v>
      </c>
      <c r="W1716">
        <v>35480</v>
      </c>
      <c r="X1716">
        <v>35480</v>
      </c>
      <c r="Y1716" t="s">
        <v>270</v>
      </c>
      <c r="Z1716">
        <v>35480</v>
      </c>
      <c r="AA1716">
        <v>35480</v>
      </c>
      <c r="AB1716" t="b">
        <v>1</v>
      </c>
    </row>
    <row r="1717" spans="17:28" x14ac:dyDescent="0.2">
      <c r="Q1717" t="s">
        <v>2018</v>
      </c>
      <c r="R1717" t="s">
        <v>2528</v>
      </c>
      <c r="S1717" t="s">
        <v>257</v>
      </c>
      <c r="T1717" s="1">
        <v>44348</v>
      </c>
      <c r="U1717" s="1">
        <v>44348</v>
      </c>
      <c r="V1717" t="s">
        <v>270</v>
      </c>
      <c r="W1717">
        <v>114260</v>
      </c>
      <c r="X1717">
        <v>114260</v>
      </c>
      <c r="Y1717" t="s">
        <v>270</v>
      </c>
      <c r="Z1717">
        <v>114260</v>
      </c>
      <c r="AA1717">
        <v>114260</v>
      </c>
      <c r="AB1717" t="b">
        <v>1</v>
      </c>
    </row>
    <row r="1718" spans="17:28" x14ac:dyDescent="0.2">
      <c r="Q1718" t="s">
        <v>2018</v>
      </c>
      <c r="R1718" t="s">
        <v>2528</v>
      </c>
      <c r="S1718" t="s">
        <v>257</v>
      </c>
      <c r="T1718" s="1">
        <v>44317</v>
      </c>
      <c r="U1718" s="1">
        <v>44317</v>
      </c>
      <c r="V1718" t="s">
        <v>270</v>
      </c>
      <c r="W1718">
        <v>27930</v>
      </c>
      <c r="X1718">
        <v>27930</v>
      </c>
      <c r="Y1718" t="s">
        <v>270</v>
      </c>
      <c r="Z1718">
        <v>27930</v>
      </c>
      <c r="AA1718">
        <v>27930</v>
      </c>
      <c r="AB1718" t="b">
        <v>1</v>
      </c>
    </row>
    <row r="1719" spans="17:28" x14ac:dyDescent="0.2">
      <c r="Q1719" t="s">
        <v>2018</v>
      </c>
      <c r="R1719" t="s">
        <v>2528</v>
      </c>
      <c r="S1719" t="s">
        <v>257</v>
      </c>
      <c r="T1719" s="1">
        <v>44287</v>
      </c>
      <c r="U1719" s="1">
        <v>44287</v>
      </c>
      <c r="V1719" t="s">
        <v>270</v>
      </c>
      <c r="W1719">
        <v>39010</v>
      </c>
      <c r="X1719">
        <v>39010</v>
      </c>
      <c r="Y1719" t="s">
        <v>270</v>
      </c>
      <c r="Z1719">
        <v>39010</v>
      </c>
      <c r="AA1719">
        <v>39010</v>
      </c>
      <c r="AB1719" t="b">
        <v>1</v>
      </c>
    </row>
    <row r="1720" spans="17:28" x14ac:dyDescent="0.2">
      <c r="Q1720" t="s">
        <v>2018</v>
      </c>
      <c r="R1720" t="s">
        <v>2528</v>
      </c>
      <c r="S1720" t="s">
        <v>257</v>
      </c>
      <c r="T1720" s="1">
        <v>44256</v>
      </c>
      <c r="U1720" s="1">
        <v>44256</v>
      </c>
      <c r="V1720" t="s">
        <v>270</v>
      </c>
      <c r="W1720">
        <v>28277</v>
      </c>
      <c r="X1720">
        <v>28277</v>
      </c>
      <c r="Y1720" t="s">
        <v>270</v>
      </c>
      <c r="Z1720">
        <v>28277</v>
      </c>
      <c r="AA1720">
        <v>28277</v>
      </c>
      <c r="AB1720" t="b">
        <v>1</v>
      </c>
    </row>
    <row r="1721" spans="17:28" x14ac:dyDescent="0.2">
      <c r="Q1721" t="s">
        <v>2018</v>
      </c>
      <c r="R1721" t="s">
        <v>2528</v>
      </c>
      <c r="S1721" t="s">
        <v>257</v>
      </c>
      <c r="T1721" s="1">
        <v>44228</v>
      </c>
      <c r="U1721" s="1">
        <v>44228</v>
      </c>
      <c r="V1721" t="s">
        <v>270</v>
      </c>
      <c r="W1721">
        <v>107510</v>
      </c>
      <c r="X1721">
        <v>107510</v>
      </c>
      <c r="Y1721" t="s">
        <v>270</v>
      </c>
      <c r="Z1721">
        <v>107510</v>
      </c>
      <c r="AA1721">
        <v>107510</v>
      </c>
      <c r="AB1721" t="b">
        <v>1</v>
      </c>
    </row>
    <row r="1722" spans="17:28" x14ac:dyDescent="0.2">
      <c r="Q1722" t="s">
        <v>2018</v>
      </c>
      <c r="R1722" t="s">
        <v>2528</v>
      </c>
      <c r="S1722" t="s">
        <v>257</v>
      </c>
      <c r="T1722" s="1">
        <v>44197</v>
      </c>
      <c r="U1722" s="1">
        <v>44197</v>
      </c>
      <c r="V1722" t="s">
        <v>270</v>
      </c>
      <c r="W1722">
        <v>2923</v>
      </c>
      <c r="X1722">
        <v>2923</v>
      </c>
      <c r="Y1722" t="s">
        <v>270</v>
      </c>
      <c r="Z1722">
        <v>2923</v>
      </c>
      <c r="AA1722">
        <v>2923</v>
      </c>
      <c r="AB1722" t="b">
        <v>1</v>
      </c>
    </row>
    <row r="1723" spans="17:28" x14ac:dyDescent="0.2">
      <c r="Q1723" t="s">
        <v>2018</v>
      </c>
      <c r="R1723" t="s">
        <v>2528</v>
      </c>
      <c r="S1723" t="s">
        <v>257</v>
      </c>
      <c r="T1723" s="1">
        <v>44166</v>
      </c>
      <c r="U1723" s="1">
        <v>44166</v>
      </c>
      <c r="V1723" t="s">
        <v>270</v>
      </c>
      <c r="W1723">
        <v>294856</v>
      </c>
      <c r="X1723">
        <v>294856</v>
      </c>
      <c r="Y1723" t="s">
        <v>270</v>
      </c>
      <c r="Z1723">
        <v>294856</v>
      </c>
      <c r="AA1723">
        <v>294856</v>
      </c>
      <c r="AB1723" t="b">
        <v>1</v>
      </c>
    </row>
    <row r="1724" spans="17:28" x14ac:dyDescent="0.2">
      <c r="Q1724" t="s">
        <v>2018</v>
      </c>
      <c r="R1724" t="s">
        <v>2528</v>
      </c>
      <c r="S1724" t="s">
        <v>257</v>
      </c>
      <c r="T1724" s="1">
        <v>44136</v>
      </c>
      <c r="U1724" s="1">
        <v>44136</v>
      </c>
      <c r="V1724" t="s">
        <v>270</v>
      </c>
      <c r="W1724">
        <v>537002</v>
      </c>
      <c r="X1724">
        <v>537002</v>
      </c>
      <c r="Y1724" t="s">
        <v>270</v>
      </c>
      <c r="Z1724">
        <v>537002</v>
      </c>
      <c r="AA1724">
        <v>537002</v>
      </c>
      <c r="AB1724" t="b">
        <v>1</v>
      </c>
    </row>
    <row r="1725" spans="17:28" x14ac:dyDescent="0.2">
      <c r="Q1725" t="s">
        <v>2018</v>
      </c>
      <c r="R1725" t="s">
        <v>2528</v>
      </c>
      <c r="S1725" t="s">
        <v>257</v>
      </c>
      <c r="T1725" s="1">
        <v>44105</v>
      </c>
      <c r="U1725" s="1">
        <v>44105</v>
      </c>
      <c r="V1725" t="s">
        <v>270</v>
      </c>
      <c r="W1725">
        <v>5739</v>
      </c>
      <c r="X1725">
        <v>5739</v>
      </c>
      <c r="Y1725" t="s">
        <v>270</v>
      </c>
      <c r="Z1725">
        <v>5739</v>
      </c>
      <c r="AA1725">
        <v>5739</v>
      </c>
      <c r="AB1725" t="b">
        <v>1</v>
      </c>
    </row>
    <row r="1726" spans="17:28" x14ac:dyDescent="0.2">
      <c r="Q1726" t="s">
        <v>2018</v>
      </c>
      <c r="R1726" t="s">
        <v>2528</v>
      </c>
      <c r="S1726" t="s">
        <v>257</v>
      </c>
      <c r="T1726" s="1">
        <v>44075</v>
      </c>
      <c r="U1726" s="1">
        <v>44075</v>
      </c>
      <c r="V1726" t="s">
        <v>270</v>
      </c>
      <c r="W1726">
        <v>74658</v>
      </c>
      <c r="X1726">
        <v>74658</v>
      </c>
      <c r="Y1726" t="s">
        <v>270</v>
      </c>
      <c r="Z1726">
        <v>74658</v>
      </c>
      <c r="AA1726">
        <v>74658</v>
      </c>
      <c r="AB1726" t="b">
        <v>1</v>
      </c>
    </row>
    <row r="1727" spans="17:28" x14ac:dyDescent="0.2">
      <c r="Q1727" t="s">
        <v>2018</v>
      </c>
      <c r="R1727" t="s">
        <v>2528</v>
      </c>
      <c r="S1727" t="s">
        <v>257</v>
      </c>
      <c r="T1727" s="1">
        <v>44013</v>
      </c>
      <c r="U1727" s="1">
        <v>44013</v>
      </c>
      <c r="V1727" t="s">
        <v>270</v>
      </c>
      <c r="W1727">
        <v>93704</v>
      </c>
      <c r="X1727">
        <v>93704</v>
      </c>
      <c r="Y1727" t="s">
        <v>270</v>
      </c>
      <c r="Z1727">
        <v>93704</v>
      </c>
      <c r="AA1727">
        <v>93704</v>
      </c>
      <c r="AB1727" t="b">
        <v>1</v>
      </c>
    </row>
    <row r="1728" spans="17:28" x14ac:dyDescent="0.2">
      <c r="Q1728" t="s">
        <v>2022</v>
      </c>
      <c r="R1728" t="s">
        <v>2528</v>
      </c>
      <c r="S1728" t="s">
        <v>257</v>
      </c>
      <c r="T1728" s="1">
        <v>44348</v>
      </c>
      <c r="U1728" s="1">
        <v>44348</v>
      </c>
      <c r="V1728" t="s">
        <v>270</v>
      </c>
      <c r="W1728">
        <v>114260</v>
      </c>
      <c r="X1728">
        <v>114260</v>
      </c>
      <c r="Y1728" t="s">
        <v>270</v>
      </c>
      <c r="Z1728">
        <v>114260</v>
      </c>
      <c r="AA1728">
        <v>114260</v>
      </c>
      <c r="AB1728" t="b">
        <v>1</v>
      </c>
    </row>
    <row r="1729" spans="17:28" x14ac:dyDescent="0.2">
      <c r="Q1729" t="s">
        <v>2022</v>
      </c>
      <c r="R1729" t="s">
        <v>2528</v>
      </c>
      <c r="S1729" t="s">
        <v>257</v>
      </c>
      <c r="T1729" s="1">
        <v>44317</v>
      </c>
      <c r="U1729" s="1">
        <v>44317</v>
      </c>
      <c r="V1729" t="s">
        <v>270</v>
      </c>
      <c r="W1729">
        <v>27930</v>
      </c>
      <c r="X1729">
        <v>27930</v>
      </c>
      <c r="Y1729" t="s">
        <v>270</v>
      </c>
      <c r="Z1729">
        <v>27930</v>
      </c>
      <c r="AA1729">
        <v>27930</v>
      </c>
      <c r="AB1729" t="b">
        <v>1</v>
      </c>
    </row>
    <row r="1730" spans="17:28" x14ac:dyDescent="0.2">
      <c r="Q1730" t="s">
        <v>2022</v>
      </c>
      <c r="R1730" t="s">
        <v>2528</v>
      </c>
      <c r="S1730" t="s">
        <v>257</v>
      </c>
      <c r="T1730" s="1">
        <v>44287</v>
      </c>
      <c r="U1730" s="1">
        <v>44287</v>
      </c>
      <c r="V1730" t="s">
        <v>270</v>
      </c>
      <c r="W1730">
        <v>39010</v>
      </c>
      <c r="X1730">
        <v>39010</v>
      </c>
      <c r="Y1730" t="s">
        <v>270</v>
      </c>
      <c r="Z1730">
        <v>39010</v>
      </c>
      <c r="AA1730">
        <v>39010</v>
      </c>
      <c r="AB1730" t="b">
        <v>1</v>
      </c>
    </row>
    <row r="1731" spans="17:28" x14ac:dyDescent="0.2">
      <c r="Q1731" t="s">
        <v>2022</v>
      </c>
      <c r="R1731" t="s">
        <v>2528</v>
      </c>
      <c r="S1731" t="s">
        <v>257</v>
      </c>
      <c r="T1731" s="1">
        <v>44256</v>
      </c>
      <c r="U1731" s="1">
        <v>44256</v>
      </c>
      <c r="V1731" t="s">
        <v>270</v>
      </c>
      <c r="W1731">
        <v>28277</v>
      </c>
      <c r="X1731">
        <v>28277</v>
      </c>
      <c r="Y1731" t="s">
        <v>270</v>
      </c>
      <c r="Z1731">
        <v>28277</v>
      </c>
      <c r="AA1731">
        <v>28277</v>
      </c>
      <c r="AB1731" t="b">
        <v>1</v>
      </c>
    </row>
    <row r="1732" spans="17:28" x14ac:dyDescent="0.2">
      <c r="Q1732" t="s">
        <v>2022</v>
      </c>
      <c r="R1732" t="s">
        <v>2528</v>
      </c>
      <c r="S1732" t="s">
        <v>257</v>
      </c>
      <c r="T1732" s="1">
        <v>44228</v>
      </c>
      <c r="U1732" s="1">
        <v>44228</v>
      </c>
      <c r="V1732" t="s">
        <v>270</v>
      </c>
      <c r="W1732">
        <v>107510</v>
      </c>
      <c r="X1732">
        <v>107510</v>
      </c>
      <c r="Y1732" t="s">
        <v>270</v>
      </c>
      <c r="Z1732">
        <v>107510</v>
      </c>
      <c r="AA1732">
        <v>107510</v>
      </c>
      <c r="AB1732" t="b">
        <v>1</v>
      </c>
    </row>
    <row r="1733" spans="17:28" x14ac:dyDescent="0.2">
      <c r="Q1733" t="s">
        <v>2022</v>
      </c>
      <c r="R1733" t="s">
        <v>2528</v>
      </c>
      <c r="S1733" t="s">
        <v>257</v>
      </c>
      <c r="T1733" s="1">
        <v>44197</v>
      </c>
      <c r="U1733" s="1">
        <v>44197</v>
      </c>
      <c r="V1733" t="s">
        <v>270</v>
      </c>
      <c r="W1733">
        <v>2923</v>
      </c>
      <c r="X1733">
        <v>2923</v>
      </c>
      <c r="Y1733" t="s">
        <v>270</v>
      </c>
      <c r="Z1733">
        <v>2923</v>
      </c>
      <c r="AA1733">
        <v>2923</v>
      </c>
      <c r="AB1733" t="b">
        <v>1</v>
      </c>
    </row>
    <row r="1734" spans="17:28" x14ac:dyDescent="0.2">
      <c r="Q1734" t="s">
        <v>2022</v>
      </c>
      <c r="R1734" t="s">
        <v>2528</v>
      </c>
      <c r="S1734" t="s">
        <v>257</v>
      </c>
      <c r="T1734" s="1">
        <v>44166</v>
      </c>
      <c r="U1734" s="1">
        <v>44166</v>
      </c>
      <c r="V1734" t="s">
        <v>270</v>
      </c>
      <c r="W1734">
        <v>294856</v>
      </c>
      <c r="X1734">
        <v>294856</v>
      </c>
      <c r="Y1734" t="s">
        <v>270</v>
      </c>
      <c r="Z1734">
        <v>294856</v>
      </c>
      <c r="AA1734">
        <v>294856</v>
      </c>
      <c r="AB1734" t="b">
        <v>1</v>
      </c>
    </row>
    <row r="1735" spans="17:28" x14ac:dyDescent="0.2">
      <c r="Q1735" t="s">
        <v>2022</v>
      </c>
      <c r="R1735" t="s">
        <v>2528</v>
      </c>
      <c r="S1735" t="s">
        <v>257</v>
      </c>
      <c r="T1735" s="1">
        <v>44136</v>
      </c>
      <c r="U1735" s="1">
        <v>44136</v>
      </c>
      <c r="V1735" t="s">
        <v>270</v>
      </c>
      <c r="W1735">
        <v>537002</v>
      </c>
      <c r="X1735">
        <v>537002</v>
      </c>
      <c r="Y1735" t="s">
        <v>270</v>
      </c>
      <c r="Z1735">
        <v>537002</v>
      </c>
      <c r="AA1735">
        <v>537002</v>
      </c>
      <c r="AB1735" t="b">
        <v>1</v>
      </c>
    </row>
    <row r="1736" spans="17:28" x14ac:dyDescent="0.2">
      <c r="Q1736" t="s">
        <v>2022</v>
      </c>
      <c r="R1736" t="s">
        <v>2528</v>
      </c>
      <c r="S1736" t="s">
        <v>257</v>
      </c>
      <c r="T1736" s="1">
        <v>44105</v>
      </c>
      <c r="U1736" s="1">
        <v>44105</v>
      </c>
      <c r="V1736" t="s">
        <v>270</v>
      </c>
      <c r="W1736">
        <v>5739</v>
      </c>
      <c r="X1736">
        <v>5739</v>
      </c>
      <c r="Y1736" t="s">
        <v>270</v>
      </c>
      <c r="Z1736">
        <v>5739</v>
      </c>
      <c r="AA1736">
        <v>5739</v>
      </c>
      <c r="AB1736" t="b">
        <v>1</v>
      </c>
    </row>
    <row r="1737" spans="17:28" x14ac:dyDescent="0.2">
      <c r="Q1737" t="s">
        <v>2022</v>
      </c>
      <c r="R1737" t="s">
        <v>2528</v>
      </c>
      <c r="S1737" t="s">
        <v>257</v>
      </c>
      <c r="T1737" s="1">
        <v>44075</v>
      </c>
      <c r="U1737" s="1">
        <v>44075</v>
      </c>
      <c r="V1737" t="s">
        <v>270</v>
      </c>
      <c r="W1737">
        <v>74658</v>
      </c>
      <c r="X1737">
        <v>74658</v>
      </c>
      <c r="Y1737" t="s">
        <v>270</v>
      </c>
      <c r="Z1737">
        <v>74658</v>
      </c>
      <c r="AA1737">
        <v>74658</v>
      </c>
      <c r="AB1737" t="b">
        <v>1</v>
      </c>
    </row>
    <row r="1738" spans="17:28" x14ac:dyDescent="0.2">
      <c r="Q1738" t="s">
        <v>2022</v>
      </c>
      <c r="R1738" t="s">
        <v>2528</v>
      </c>
      <c r="S1738" t="s">
        <v>257</v>
      </c>
      <c r="T1738" s="1">
        <v>44013</v>
      </c>
      <c r="U1738" s="1">
        <v>44013</v>
      </c>
      <c r="V1738" t="s">
        <v>270</v>
      </c>
      <c r="W1738">
        <v>93704</v>
      </c>
      <c r="X1738">
        <v>93704</v>
      </c>
      <c r="Y1738" t="s">
        <v>270</v>
      </c>
      <c r="Z1738">
        <v>93704</v>
      </c>
      <c r="AA1738">
        <v>93704</v>
      </c>
      <c r="AB1738" t="b">
        <v>1</v>
      </c>
    </row>
    <row r="1739" spans="17:28" x14ac:dyDescent="0.2">
      <c r="Q1739" t="s">
        <v>2018</v>
      </c>
      <c r="R1739" t="s">
        <v>2529</v>
      </c>
      <c r="S1739" t="s">
        <v>257</v>
      </c>
      <c r="T1739" s="1">
        <v>44348</v>
      </c>
      <c r="U1739" s="1">
        <v>44348</v>
      </c>
      <c r="V1739" t="s">
        <v>270</v>
      </c>
      <c r="W1739">
        <v>16682</v>
      </c>
      <c r="X1739">
        <v>16682</v>
      </c>
      <c r="Y1739" t="s">
        <v>270</v>
      </c>
      <c r="Z1739">
        <v>16682</v>
      </c>
      <c r="AA1739">
        <v>16682</v>
      </c>
      <c r="AB1739" t="b">
        <v>1</v>
      </c>
    </row>
    <row r="1740" spans="17:28" x14ac:dyDescent="0.2">
      <c r="Q1740" t="s">
        <v>2018</v>
      </c>
      <c r="R1740" t="s">
        <v>2529</v>
      </c>
      <c r="S1740" t="s">
        <v>257</v>
      </c>
      <c r="T1740" s="1">
        <v>44317</v>
      </c>
      <c r="U1740" s="1">
        <v>44317</v>
      </c>
      <c r="V1740" t="s">
        <v>270</v>
      </c>
      <c r="W1740">
        <v>27996</v>
      </c>
      <c r="X1740">
        <v>27996</v>
      </c>
      <c r="Y1740" t="s">
        <v>270</v>
      </c>
      <c r="Z1740">
        <v>27996</v>
      </c>
      <c r="AA1740">
        <v>27996</v>
      </c>
      <c r="AB1740" t="b">
        <v>1</v>
      </c>
    </row>
    <row r="1741" spans="17:28" x14ac:dyDescent="0.2">
      <c r="Q1741" t="s">
        <v>2018</v>
      </c>
      <c r="R1741" t="s">
        <v>2529</v>
      </c>
      <c r="S1741" t="s">
        <v>257</v>
      </c>
      <c r="T1741" s="1">
        <v>44287</v>
      </c>
      <c r="U1741" s="1">
        <v>44287</v>
      </c>
      <c r="V1741" t="s">
        <v>270</v>
      </c>
      <c r="W1741">
        <v>9567</v>
      </c>
      <c r="X1741">
        <v>9567</v>
      </c>
      <c r="Y1741" t="s">
        <v>270</v>
      </c>
      <c r="Z1741">
        <v>9567</v>
      </c>
      <c r="AA1741">
        <v>9567</v>
      </c>
      <c r="AB1741" t="b">
        <v>1</v>
      </c>
    </row>
    <row r="1742" spans="17:28" x14ac:dyDescent="0.2">
      <c r="Q1742" t="s">
        <v>2018</v>
      </c>
      <c r="R1742" t="s">
        <v>2529</v>
      </c>
      <c r="S1742" t="s">
        <v>257</v>
      </c>
      <c r="T1742" s="1">
        <v>44256</v>
      </c>
      <c r="U1742" s="1">
        <v>44256</v>
      </c>
      <c r="V1742" t="s">
        <v>270</v>
      </c>
      <c r="W1742">
        <v>42423</v>
      </c>
      <c r="X1742">
        <v>42423</v>
      </c>
      <c r="Y1742" t="s">
        <v>270</v>
      </c>
      <c r="Z1742">
        <v>42423</v>
      </c>
      <c r="AA1742">
        <v>42423</v>
      </c>
      <c r="AB1742" t="b">
        <v>1</v>
      </c>
    </row>
    <row r="1743" spans="17:28" x14ac:dyDescent="0.2">
      <c r="Q1743" t="s">
        <v>2018</v>
      </c>
      <c r="R1743" t="s">
        <v>2529</v>
      </c>
      <c r="S1743" t="s">
        <v>257</v>
      </c>
      <c r="T1743" s="1">
        <v>44228</v>
      </c>
      <c r="U1743" s="1">
        <v>44228</v>
      </c>
      <c r="V1743" t="s">
        <v>270</v>
      </c>
      <c r="W1743">
        <v>88448</v>
      </c>
      <c r="X1743">
        <v>88448</v>
      </c>
      <c r="Y1743" t="s">
        <v>270</v>
      </c>
      <c r="Z1743">
        <v>88448</v>
      </c>
      <c r="AA1743">
        <v>88448</v>
      </c>
      <c r="AB1743" t="b">
        <v>1</v>
      </c>
    </row>
    <row r="1744" spans="17:28" x14ac:dyDescent="0.2">
      <c r="Q1744" t="s">
        <v>2018</v>
      </c>
      <c r="R1744" t="s">
        <v>2529</v>
      </c>
      <c r="S1744" t="s">
        <v>257</v>
      </c>
      <c r="T1744" s="1">
        <v>44197</v>
      </c>
      <c r="U1744" s="1">
        <v>44197</v>
      </c>
      <c r="V1744" t="s">
        <v>270</v>
      </c>
      <c r="W1744">
        <v>47724</v>
      </c>
      <c r="X1744">
        <v>47724</v>
      </c>
      <c r="Y1744" t="s">
        <v>270</v>
      </c>
      <c r="Z1744">
        <v>47724</v>
      </c>
      <c r="AA1744">
        <v>47724</v>
      </c>
      <c r="AB1744" t="b">
        <v>1</v>
      </c>
    </row>
    <row r="1745" spans="17:28" x14ac:dyDescent="0.2">
      <c r="Q1745" t="s">
        <v>2018</v>
      </c>
      <c r="R1745" t="s">
        <v>2529</v>
      </c>
      <c r="S1745" t="s">
        <v>257</v>
      </c>
      <c r="T1745" s="1">
        <v>44166</v>
      </c>
      <c r="U1745" s="1">
        <v>44166</v>
      </c>
      <c r="V1745" t="s">
        <v>270</v>
      </c>
      <c r="W1745">
        <v>336212</v>
      </c>
      <c r="X1745">
        <v>336212</v>
      </c>
      <c r="Y1745" t="s">
        <v>270</v>
      </c>
      <c r="Z1745">
        <v>336212</v>
      </c>
      <c r="AA1745">
        <v>336212</v>
      </c>
      <c r="AB1745" t="b">
        <v>1</v>
      </c>
    </row>
    <row r="1746" spans="17:28" x14ac:dyDescent="0.2">
      <c r="Q1746" t="s">
        <v>2018</v>
      </c>
      <c r="R1746" t="s">
        <v>2529</v>
      </c>
      <c r="S1746" t="s">
        <v>257</v>
      </c>
      <c r="T1746" s="1">
        <v>44136</v>
      </c>
      <c r="U1746" s="1">
        <v>44136</v>
      </c>
      <c r="V1746" t="s">
        <v>270</v>
      </c>
      <c r="W1746">
        <v>192842</v>
      </c>
      <c r="X1746">
        <v>192842</v>
      </c>
      <c r="Y1746" t="s">
        <v>270</v>
      </c>
      <c r="Z1746">
        <v>192842</v>
      </c>
      <c r="AA1746">
        <v>192842</v>
      </c>
      <c r="AB1746" t="b">
        <v>1</v>
      </c>
    </row>
    <row r="1747" spans="17:28" x14ac:dyDescent="0.2">
      <c r="Q1747" t="s">
        <v>2018</v>
      </c>
      <c r="R1747" t="s">
        <v>2529</v>
      </c>
      <c r="S1747" t="s">
        <v>257</v>
      </c>
      <c r="T1747" s="1">
        <v>44105</v>
      </c>
      <c r="U1747" s="1">
        <v>44105</v>
      </c>
      <c r="V1747" t="s">
        <v>270</v>
      </c>
      <c r="W1747">
        <v>138237</v>
      </c>
      <c r="X1747">
        <v>138237</v>
      </c>
      <c r="Y1747" t="s">
        <v>270</v>
      </c>
      <c r="Z1747">
        <v>138237</v>
      </c>
      <c r="AA1747">
        <v>138237</v>
      </c>
      <c r="AB1747" t="b">
        <v>1</v>
      </c>
    </row>
    <row r="1748" spans="17:28" x14ac:dyDescent="0.2">
      <c r="Q1748" t="s">
        <v>2018</v>
      </c>
      <c r="R1748" t="s">
        <v>2529</v>
      </c>
      <c r="S1748" t="s">
        <v>257</v>
      </c>
      <c r="T1748" s="1">
        <v>44075</v>
      </c>
      <c r="U1748" s="1">
        <v>44075</v>
      </c>
      <c r="V1748" t="s">
        <v>270</v>
      </c>
      <c r="W1748">
        <v>92003</v>
      </c>
      <c r="X1748">
        <v>92003</v>
      </c>
      <c r="Y1748" t="s">
        <v>270</v>
      </c>
      <c r="Z1748">
        <v>92003</v>
      </c>
      <c r="AA1748">
        <v>92003</v>
      </c>
      <c r="AB1748" t="b">
        <v>1</v>
      </c>
    </row>
    <row r="1749" spans="17:28" x14ac:dyDescent="0.2">
      <c r="Q1749" t="s">
        <v>2018</v>
      </c>
      <c r="R1749" t="s">
        <v>2529</v>
      </c>
      <c r="S1749" t="s">
        <v>257</v>
      </c>
      <c r="T1749" s="1">
        <v>44044</v>
      </c>
      <c r="U1749" s="1">
        <v>44044</v>
      </c>
      <c r="V1749" t="s">
        <v>270</v>
      </c>
      <c r="W1749">
        <v>210117</v>
      </c>
      <c r="X1749">
        <v>210117</v>
      </c>
      <c r="Y1749" t="s">
        <v>270</v>
      </c>
      <c r="Z1749">
        <v>210117</v>
      </c>
      <c r="AA1749">
        <v>210117</v>
      </c>
      <c r="AB1749" t="b">
        <v>1</v>
      </c>
    </row>
    <row r="1750" spans="17:28" x14ac:dyDescent="0.2">
      <c r="Q1750" t="s">
        <v>2018</v>
      </c>
      <c r="R1750" t="s">
        <v>2529</v>
      </c>
      <c r="S1750" t="s">
        <v>257</v>
      </c>
      <c r="T1750" s="1">
        <v>44013</v>
      </c>
      <c r="U1750" s="1">
        <v>44013</v>
      </c>
      <c r="V1750" t="s">
        <v>270</v>
      </c>
      <c r="W1750">
        <v>104448</v>
      </c>
      <c r="X1750">
        <v>104448</v>
      </c>
      <c r="Y1750" t="s">
        <v>270</v>
      </c>
      <c r="Z1750">
        <v>104448</v>
      </c>
      <c r="AA1750">
        <v>104448</v>
      </c>
      <c r="AB1750" t="b">
        <v>1</v>
      </c>
    </row>
    <row r="1751" spans="17:28" x14ac:dyDescent="0.2">
      <c r="Q1751" t="s">
        <v>2022</v>
      </c>
      <c r="R1751" t="s">
        <v>2529</v>
      </c>
      <c r="S1751" t="s">
        <v>257</v>
      </c>
      <c r="T1751" s="1">
        <v>44348</v>
      </c>
      <c r="U1751" s="1">
        <v>44348</v>
      </c>
      <c r="V1751" t="s">
        <v>270</v>
      </c>
      <c r="W1751">
        <v>16682</v>
      </c>
      <c r="X1751">
        <v>16682</v>
      </c>
      <c r="Y1751" t="s">
        <v>270</v>
      </c>
      <c r="Z1751">
        <v>16682</v>
      </c>
      <c r="AA1751">
        <v>16682</v>
      </c>
      <c r="AB1751" t="b">
        <v>1</v>
      </c>
    </row>
    <row r="1752" spans="17:28" x14ac:dyDescent="0.2">
      <c r="Q1752" t="s">
        <v>2022</v>
      </c>
      <c r="R1752" t="s">
        <v>2529</v>
      </c>
      <c r="S1752" t="s">
        <v>257</v>
      </c>
      <c r="T1752" s="1">
        <v>44317</v>
      </c>
      <c r="U1752" s="1">
        <v>44317</v>
      </c>
      <c r="V1752" t="s">
        <v>270</v>
      </c>
      <c r="W1752">
        <v>27996</v>
      </c>
      <c r="X1752">
        <v>27996</v>
      </c>
      <c r="Y1752" t="s">
        <v>270</v>
      </c>
      <c r="Z1752">
        <v>27996</v>
      </c>
      <c r="AA1752">
        <v>27996</v>
      </c>
      <c r="AB1752" t="b">
        <v>1</v>
      </c>
    </row>
    <row r="1753" spans="17:28" x14ac:dyDescent="0.2">
      <c r="Q1753" t="s">
        <v>2022</v>
      </c>
      <c r="R1753" t="s">
        <v>2529</v>
      </c>
      <c r="S1753" t="s">
        <v>257</v>
      </c>
      <c r="T1753" s="1">
        <v>44287</v>
      </c>
      <c r="U1753" s="1">
        <v>44287</v>
      </c>
      <c r="V1753" t="s">
        <v>270</v>
      </c>
      <c r="W1753">
        <v>9567</v>
      </c>
      <c r="X1753">
        <v>9567</v>
      </c>
      <c r="Y1753" t="s">
        <v>270</v>
      </c>
      <c r="Z1753">
        <v>9567</v>
      </c>
      <c r="AA1753">
        <v>9567</v>
      </c>
      <c r="AB1753" t="b">
        <v>1</v>
      </c>
    </row>
    <row r="1754" spans="17:28" x14ac:dyDescent="0.2">
      <c r="Q1754" t="s">
        <v>2022</v>
      </c>
      <c r="R1754" t="s">
        <v>2529</v>
      </c>
      <c r="S1754" t="s">
        <v>257</v>
      </c>
      <c r="T1754" s="1">
        <v>44256</v>
      </c>
      <c r="U1754" s="1">
        <v>44256</v>
      </c>
      <c r="V1754" t="s">
        <v>270</v>
      </c>
      <c r="W1754">
        <v>42423</v>
      </c>
      <c r="X1754">
        <v>42423</v>
      </c>
      <c r="Y1754" t="s">
        <v>270</v>
      </c>
      <c r="Z1754">
        <v>42423</v>
      </c>
      <c r="AA1754">
        <v>42423</v>
      </c>
      <c r="AB1754" t="b">
        <v>1</v>
      </c>
    </row>
    <row r="1755" spans="17:28" x14ac:dyDescent="0.2">
      <c r="Q1755" t="s">
        <v>2022</v>
      </c>
      <c r="R1755" t="s">
        <v>2529</v>
      </c>
      <c r="S1755" t="s">
        <v>257</v>
      </c>
      <c r="T1755" s="1">
        <v>44228</v>
      </c>
      <c r="U1755" s="1">
        <v>44228</v>
      </c>
      <c r="V1755" t="s">
        <v>270</v>
      </c>
      <c r="W1755">
        <v>88448</v>
      </c>
      <c r="X1755">
        <v>88448</v>
      </c>
      <c r="Y1755" t="s">
        <v>270</v>
      </c>
      <c r="Z1755">
        <v>88448</v>
      </c>
      <c r="AA1755">
        <v>88448</v>
      </c>
      <c r="AB1755" t="b">
        <v>1</v>
      </c>
    </row>
    <row r="1756" spans="17:28" x14ac:dyDescent="0.2">
      <c r="Q1756" t="s">
        <v>2022</v>
      </c>
      <c r="R1756" t="s">
        <v>2529</v>
      </c>
      <c r="S1756" t="s">
        <v>257</v>
      </c>
      <c r="T1756" s="1">
        <v>44197</v>
      </c>
      <c r="U1756" s="1">
        <v>44197</v>
      </c>
      <c r="V1756" t="s">
        <v>270</v>
      </c>
      <c r="W1756">
        <v>47724</v>
      </c>
      <c r="X1756">
        <v>47724</v>
      </c>
      <c r="Y1756" t="s">
        <v>270</v>
      </c>
      <c r="Z1756">
        <v>47724</v>
      </c>
      <c r="AA1756">
        <v>47724</v>
      </c>
      <c r="AB1756" t="b">
        <v>1</v>
      </c>
    </row>
    <row r="1757" spans="17:28" x14ac:dyDescent="0.2">
      <c r="Q1757" t="s">
        <v>2022</v>
      </c>
      <c r="R1757" t="s">
        <v>2529</v>
      </c>
      <c r="S1757" t="s">
        <v>257</v>
      </c>
      <c r="T1757" s="1">
        <v>44166</v>
      </c>
      <c r="U1757" s="1">
        <v>44166</v>
      </c>
      <c r="V1757" t="s">
        <v>270</v>
      </c>
      <c r="W1757">
        <v>336212</v>
      </c>
      <c r="X1757">
        <v>336212</v>
      </c>
      <c r="Y1757" t="s">
        <v>270</v>
      </c>
      <c r="Z1757">
        <v>336212</v>
      </c>
      <c r="AA1757">
        <v>336212</v>
      </c>
      <c r="AB1757" t="b">
        <v>1</v>
      </c>
    </row>
    <row r="1758" spans="17:28" x14ac:dyDescent="0.2">
      <c r="Q1758" t="s">
        <v>2022</v>
      </c>
      <c r="R1758" t="s">
        <v>2529</v>
      </c>
      <c r="S1758" t="s">
        <v>257</v>
      </c>
      <c r="T1758" s="1">
        <v>44136</v>
      </c>
      <c r="U1758" s="1">
        <v>44136</v>
      </c>
      <c r="V1758" t="s">
        <v>270</v>
      </c>
      <c r="W1758">
        <v>192842</v>
      </c>
      <c r="X1758">
        <v>192842</v>
      </c>
      <c r="Y1758" t="s">
        <v>270</v>
      </c>
      <c r="Z1758">
        <v>192842</v>
      </c>
      <c r="AA1758">
        <v>192842</v>
      </c>
      <c r="AB1758" t="b">
        <v>1</v>
      </c>
    </row>
    <row r="1759" spans="17:28" x14ac:dyDescent="0.2">
      <c r="Q1759" t="s">
        <v>2022</v>
      </c>
      <c r="R1759" t="s">
        <v>2529</v>
      </c>
      <c r="S1759" t="s">
        <v>257</v>
      </c>
      <c r="T1759" s="1">
        <v>44105</v>
      </c>
      <c r="U1759" s="1">
        <v>44105</v>
      </c>
      <c r="V1759" t="s">
        <v>270</v>
      </c>
      <c r="W1759">
        <v>138237</v>
      </c>
      <c r="X1759">
        <v>138237</v>
      </c>
      <c r="Y1759" t="s">
        <v>270</v>
      </c>
      <c r="Z1759">
        <v>138237</v>
      </c>
      <c r="AA1759">
        <v>138237</v>
      </c>
      <c r="AB1759" t="b">
        <v>1</v>
      </c>
    </row>
    <row r="1760" spans="17:28" x14ac:dyDescent="0.2">
      <c r="Q1760" t="s">
        <v>2022</v>
      </c>
      <c r="R1760" t="s">
        <v>2529</v>
      </c>
      <c r="S1760" t="s">
        <v>257</v>
      </c>
      <c r="T1760" s="1">
        <v>44075</v>
      </c>
      <c r="U1760" s="1">
        <v>44075</v>
      </c>
      <c r="V1760" t="s">
        <v>270</v>
      </c>
      <c r="W1760">
        <v>92003</v>
      </c>
      <c r="X1760">
        <v>92003</v>
      </c>
      <c r="Y1760" t="s">
        <v>270</v>
      </c>
      <c r="Z1760">
        <v>92003</v>
      </c>
      <c r="AA1760">
        <v>92003</v>
      </c>
      <c r="AB1760" t="b">
        <v>1</v>
      </c>
    </row>
    <row r="1761" spans="17:28" x14ac:dyDescent="0.2">
      <c r="Q1761" t="s">
        <v>2022</v>
      </c>
      <c r="R1761" t="s">
        <v>2529</v>
      </c>
      <c r="S1761" t="s">
        <v>257</v>
      </c>
      <c r="T1761" s="1">
        <v>44044</v>
      </c>
      <c r="U1761" s="1">
        <v>44044</v>
      </c>
      <c r="V1761" t="s">
        <v>270</v>
      </c>
      <c r="W1761">
        <v>210117</v>
      </c>
      <c r="X1761">
        <v>210117</v>
      </c>
      <c r="Y1761" t="s">
        <v>270</v>
      </c>
      <c r="Z1761">
        <v>210117</v>
      </c>
      <c r="AA1761">
        <v>210117</v>
      </c>
      <c r="AB1761" t="b">
        <v>1</v>
      </c>
    </row>
    <row r="1762" spans="17:28" x14ac:dyDescent="0.2">
      <c r="Q1762" t="s">
        <v>2022</v>
      </c>
      <c r="R1762" t="s">
        <v>2529</v>
      </c>
      <c r="S1762" t="s">
        <v>257</v>
      </c>
      <c r="T1762" s="1">
        <v>44013</v>
      </c>
      <c r="U1762" s="1">
        <v>44013</v>
      </c>
      <c r="V1762" t="s">
        <v>270</v>
      </c>
      <c r="W1762">
        <v>104448</v>
      </c>
      <c r="X1762">
        <v>104448</v>
      </c>
      <c r="Y1762" t="s">
        <v>270</v>
      </c>
      <c r="Z1762">
        <v>104448</v>
      </c>
      <c r="AA1762">
        <v>104448</v>
      </c>
      <c r="AB1762" t="b">
        <v>1</v>
      </c>
    </row>
    <row r="1763" spans="17:28" x14ac:dyDescent="0.2">
      <c r="Q1763" t="s">
        <v>2018</v>
      </c>
      <c r="R1763" t="s">
        <v>2530</v>
      </c>
      <c r="S1763" t="s">
        <v>257</v>
      </c>
      <c r="T1763" s="1">
        <v>44348</v>
      </c>
      <c r="U1763" s="1">
        <v>44348</v>
      </c>
      <c r="V1763" t="s">
        <v>270</v>
      </c>
      <c r="W1763">
        <v>1111316</v>
      </c>
      <c r="X1763">
        <v>1111316</v>
      </c>
      <c r="Y1763" t="s">
        <v>270</v>
      </c>
      <c r="Z1763">
        <v>1111316</v>
      </c>
      <c r="AA1763">
        <v>1111316</v>
      </c>
      <c r="AB1763" t="b">
        <v>1</v>
      </c>
    </row>
    <row r="1764" spans="17:28" x14ac:dyDescent="0.2">
      <c r="Q1764" t="s">
        <v>2018</v>
      </c>
      <c r="R1764" t="s">
        <v>2530</v>
      </c>
      <c r="S1764" t="s">
        <v>257</v>
      </c>
      <c r="T1764" s="1">
        <v>44317</v>
      </c>
      <c r="U1764" s="1">
        <v>44317</v>
      </c>
      <c r="V1764" t="s">
        <v>270</v>
      </c>
      <c r="W1764">
        <v>269392</v>
      </c>
      <c r="X1764">
        <v>269392</v>
      </c>
      <c r="Y1764" t="s">
        <v>270</v>
      </c>
      <c r="Z1764">
        <v>269392</v>
      </c>
      <c r="AA1764">
        <v>269392</v>
      </c>
      <c r="AB1764" t="b">
        <v>1</v>
      </c>
    </row>
    <row r="1765" spans="17:28" x14ac:dyDescent="0.2">
      <c r="Q1765" t="s">
        <v>2018</v>
      </c>
      <c r="R1765" t="s">
        <v>2530</v>
      </c>
      <c r="S1765" t="s">
        <v>257</v>
      </c>
      <c r="T1765" s="1">
        <v>44287</v>
      </c>
      <c r="U1765" s="1">
        <v>44287</v>
      </c>
      <c r="V1765" t="s">
        <v>270</v>
      </c>
      <c r="W1765">
        <v>810563</v>
      </c>
      <c r="X1765">
        <v>810563</v>
      </c>
      <c r="Y1765" t="s">
        <v>270</v>
      </c>
      <c r="Z1765">
        <v>810563</v>
      </c>
      <c r="AA1765">
        <v>810563</v>
      </c>
      <c r="AB1765" t="b">
        <v>1</v>
      </c>
    </row>
    <row r="1766" spans="17:28" x14ac:dyDescent="0.2">
      <c r="Q1766" t="s">
        <v>2018</v>
      </c>
      <c r="R1766" t="s">
        <v>2530</v>
      </c>
      <c r="S1766" t="s">
        <v>257</v>
      </c>
      <c r="T1766" s="1">
        <v>44256</v>
      </c>
      <c r="U1766" s="1">
        <v>44256</v>
      </c>
      <c r="V1766" t="s">
        <v>270</v>
      </c>
      <c r="W1766">
        <v>118891</v>
      </c>
      <c r="X1766">
        <v>118891</v>
      </c>
      <c r="Y1766" t="s">
        <v>270</v>
      </c>
      <c r="Z1766">
        <v>118891</v>
      </c>
      <c r="AA1766">
        <v>118891</v>
      </c>
      <c r="AB1766" t="b">
        <v>1</v>
      </c>
    </row>
    <row r="1767" spans="17:28" x14ac:dyDescent="0.2">
      <c r="Q1767" t="s">
        <v>2018</v>
      </c>
      <c r="R1767" t="s">
        <v>2530</v>
      </c>
      <c r="S1767" t="s">
        <v>257</v>
      </c>
      <c r="T1767" s="1">
        <v>44228</v>
      </c>
      <c r="U1767" s="1">
        <v>44228</v>
      </c>
      <c r="V1767" t="s">
        <v>270</v>
      </c>
      <c r="W1767">
        <v>5020</v>
      </c>
      <c r="X1767">
        <v>5020</v>
      </c>
      <c r="Y1767" t="s">
        <v>270</v>
      </c>
      <c r="Z1767">
        <v>5020</v>
      </c>
      <c r="AA1767">
        <v>5020</v>
      </c>
      <c r="AB1767" t="b">
        <v>1</v>
      </c>
    </row>
    <row r="1768" spans="17:28" x14ac:dyDescent="0.2">
      <c r="Q1768" t="s">
        <v>2018</v>
      </c>
      <c r="R1768" t="s">
        <v>2530</v>
      </c>
      <c r="S1768" t="s">
        <v>257</v>
      </c>
      <c r="T1768" s="1">
        <v>44348</v>
      </c>
      <c r="U1768" s="1">
        <v>44348</v>
      </c>
      <c r="V1768" t="s">
        <v>270</v>
      </c>
      <c r="W1768">
        <v>1111316</v>
      </c>
      <c r="X1768">
        <v>1111316</v>
      </c>
      <c r="Y1768" t="s">
        <v>270</v>
      </c>
      <c r="Z1768">
        <v>1111316</v>
      </c>
      <c r="AA1768">
        <v>1111316</v>
      </c>
      <c r="AB1768" t="b">
        <v>1</v>
      </c>
    </row>
    <row r="1769" spans="17:28" x14ac:dyDescent="0.2">
      <c r="Q1769" t="s">
        <v>2018</v>
      </c>
      <c r="R1769" t="s">
        <v>2530</v>
      </c>
      <c r="S1769" t="s">
        <v>257</v>
      </c>
      <c r="T1769" s="1">
        <v>44317</v>
      </c>
      <c r="U1769" s="1">
        <v>44317</v>
      </c>
      <c r="V1769" t="s">
        <v>270</v>
      </c>
      <c r="W1769">
        <v>269392</v>
      </c>
      <c r="X1769">
        <v>269392</v>
      </c>
      <c r="Y1769" t="s">
        <v>270</v>
      </c>
      <c r="Z1769">
        <v>269392</v>
      </c>
      <c r="AA1769">
        <v>269392</v>
      </c>
      <c r="AB1769" t="b">
        <v>1</v>
      </c>
    </row>
    <row r="1770" spans="17:28" x14ac:dyDescent="0.2">
      <c r="Q1770" t="s">
        <v>2018</v>
      </c>
      <c r="R1770" t="s">
        <v>2530</v>
      </c>
      <c r="S1770" t="s">
        <v>257</v>
      </c>
      <c r="T1770" s="1">
        <v>44287</v>
      </c>
      <c r="U1770" s="1">
        <v>44287</v>
      </c>
      <c r="V1770" t="s">
        <v>270</v>
      </c>
      <c r="W1770">
        <v>810563</v>
      </c>
      <c r="X1770">
        <v>810563</v>
      </c>
      <c r="Y1770" t="s">
        <v>270</v>
      </c>
      <c r="Z1770">
        <v>810563</v>
      </c>
      <c r="AA1770">
        <v>810563</v>
      </c>
      <c r="AB1770" t="b">
        <v>1</v>
      </c>
    </row>
    <row r="1771" spans="17:28" x14ac:dyDescent="0.2">
      <c r="Q1771" t="s">
        <v>2018</v>
      </c>
      <c r="R1771" t="s">
        <v>2530</v>
      </c>
      <c r="S1771" t="s">
        <v>257</v>
      </c>
      <c r="T1771" s="1">
        <v>44256</v>
      </c>
      <c r="U1771" s="1">
        <v>44256</v>
      </c>
      <c r="V1771" t="s">
        <v>270</v>
      </c>
      <c r="W1771">
        <v>118891</v>
      </c>
      <c r="X1771">
        <v>118891</v>
      </c>
      <c r="Y1771" t="s">
        <v>270</v>
      </c>
      <c r="Z1771">
        <v>118891</v>
      </c>
      <c r="AA1771">
        <v>118891</v>
      </c>
      <c r="AB1771" t="b">
        <v>1</v>
      </c>
    </row>
    <row r="1772" spans="17:28" x14ac:dyDescent="0.2">
      <c r="Q1772" t="s">
        <v>2018</v>
      </c>
      <c r="R1772" t="s">
        <v>2530</v>
      </c>
      <c r="S1772" t="s">
        <v>257</v>
      </c>
      <c r="T1772" s="1">
        <v>44228</v>
      </c>
      <c r="U1772" s="1">
        <v>44228</v>
      </c>
      <c r="V1772" t="s">
        <v>270</v>
      </c>
      <c r="W1772">
        <v>5020</v>
      </c>
      <c r="X1772">
        <v>5020</v>
      </c>
      <c r="Y1772" t="s">
        <v>270</v>
      </c>
      <c r="Z1772">
        <v>5020</v>
      </c>
      <c r="AA1772">
        <v>5020</v>
      </c>
      <c r="AB1772" t="b">
        <v>1</v>
      </c>
    </row>
    <row r="1773" spans="17:28" x14ac:dyDescent="0.2">
      <c r="Q1773" t="s">
        <v>2018</v>
      </c>
      <c r="R1773" t="s">
        <v>2531</v>
      </c>
      <c r="S1773" t="s">
        <v>257</v>
      </c>
      <c r="T1773" s="1">
        <v>44348</v>
      </c>
      <c r="U1773" s="1">
        <v>44348</v>
      </c>
      <c r="V1773" t="s">
        <v>270</v>
      </c>
      <c r="W1773">
        <v>117417</v>
      </c>
      <c r="X1773">
        <v>117417</v>
      </c>
      <c r="Y1773" t="s">
        <v>270</v>
      </c>
      <c r="Z1773">
        <v>117417</v>
      </c>
      <c r="AA1773">
        <v>117417</v>
      </c>
      <c r="AB1773" t="b">
        <v>1</v>
      </c>
    </row>
    <row r="1774" spans="17:28" x14ac:dyDescent="0.2">
      <c r="Q1774" t="s">
        <v>2018</v>
      </c>
      <c r="R1774" t="s">
        <v>2531</v>
      </c>
      <c r="S1774" t="s">
        <v>257</v>
      </c>
      <c r="T1774" s="1">
        <v>44317</v>
      </c>
      <c r="U1774" s="1">
        <v>44317</v>
      </c>
      <c r="V1774" t="s">
        <v>270</v>
      </c>
      <c r="W1774">
        <v>12872</v>
      </c>
      <c r="X1774">
        <v>12872</v>
      </c>
      <c r="Y1774" t="s">
        <v>270</v>
      </c>
      <c r="Z1774">
        <v>12872</v>
      </c>
      <c r="AA1774">
        <v>12872</v>
      </c>
      <c r="AB1774" t="b">
        <v>1</v>
      </c>
    </row>
    <row r="1775" spans="17:28" x14ac:dyDescent="0.2">
      <c r="Q1775" t="s">
        <v>2018</v>
      </c>
      <c r="R1775" t="s">
        <v>2531</v>
      </c>
      <c r="S1775" t="s">
        <v>257</v>
      </c>
      <c r="T1775" s="1">
        <v>44287</v>
      </c>
      <c r="U1775" s="1">
        <v>44287</v>
      </c>
      <c r="V1775" t="s">
        <v>270</v>
      </c>
      <c r="W1775">
        <v>251716</v>
      </c>
      <c r="X1775">
        <v>251716</v>
      </c>
      <c r="Y1775" t="s">
        <v>270</v>
      </c>
      <c r="Z1775">
        <v>251716</v>
      </c>
      <c r="AA1775">
        <v>251716</v>
      </c>
      <c r="AB1775" t="b">
        <v>1</v>
      </c>
    </row>
    <row r="1776" spans="17:28" x14ac:dyDescent="0.2">
      <c r="Q1776" t="s">
        <v>2018</v>
      </c>
      <c r="R1776" t="s">
        <v>2531</v>
      </c>
      <c r="S1776" t="s">
        <v>257</v>
      </c>
      <c r="T1776" s="1">
        <v>44256</v>
      </c>
      <c r="U1776" s="1">
        <v>44256</v>
      </c>
      <c r="V1776" t="s">
        <v>270</v>
      </c>
      <c r="W1776">
        <v>1141034</v>
      </c>
      <c r="X1776">
        <v>1141034</v>
      </c>
      <c r="Y1776" t="s">
        <v>270</v>
      </c>
      <c r="Z1776">
        <v>1141034</v>
      </c>
      <c r="AA1776">
        <v>1141034</v>
      </c>
      <c r="AB1776" t="b">
        <v>1</v>
      </c>
    </row>
    <row r="1777" spans="17:28" x14ac:dyDescent="0.2">
      <c r="Q1777" t="s">
        <v>2018</v>
      </c>
      <c r="R1777" t="s">
        <v>2531</v>
      </c>
      <c r="S1777" t="s">
        <v>257</v>
      </c>
      <c r="T1777" s="1">
        <v>44228</v>
      </c>
      <c r="U1777" s="1">
        <v>44228</v>
      </c>
      <c r="V1777" t="s">
        <v>270</v>
      </c>
      <c r="W1777">
        <v>553482</v>
      </c>
      <c r="X1777">
        <v>553482</v>
      </c>
      <c r="Y1777" t="s">
        <v>270</v>
      </c>
      <c r="Z1777">
        <v>553482</v>
      </c>
      <c r="AA1777">
        <v>553482</v>
      </c>
      <c r="AB1777" t="b">
        <v>1</v>
      </c>
    </row>
    <row r="1778" spans="17:28" x14ac:dyDescent="0.2">
      <c r="Q1778" t="s">
        <v>2018</v>
      </c>
      <c r="R1778" t="s">
        <v>2531</v>
      </c>
      <c r="S1778" t="s">
        <v>257</v>
      </c>
      <c r="T1778" s="1">
        <v>44348</v>
      </c>
      <c r="U1778" s="1">
        <v>44348</v>
      </c>
      <c r="V1778" t="s">
        <v>270</v>
      </c>
      <c r="W1778">
        <v>117417</v>
      </c>
      <c r="X1778">
        <v>117417</v>
      </c>
      <c r="Y1778" t="s">
        <v>270</v>
      </c>
      <c r="Z1778">
        <v>117417</v>
      </c>
      <c r="AA1778">
        <v>117417</v>
      </c>
      <c r="AB1778" t="b">
        <v>1</v>
      </c>
    </row>
    <row r="1779" spans="17:28" x14ac:dyDescent="0.2">
      <c r="Q1779" t="s">
        <v>2018</v>
      </c>
      <c r="R1779" t="s">
        <v>2531</v>
      </c>
      <c r="S1779" t="s">
        <v>257</v>
      </c>
      <c r="T1779" s="1">
        <v>44317</v>
      </c>
      <c r="U1779" s="1">
        <v>44317</v>
      </c>
      <c r="V1779" t="s">
        <v>270</v>
      </c>
      <c r="W1779">
        <v>12872</v>
      </c>
      <c r="X1779">
        <v>12872</v>
      </c>
      <c r="Y1779" t="s">
        <v>270</v>
      </c>
      <c r="Z1779">
        <v>12872</v>
      </c>
      <c r="AA1779">
        <v>12872</v>
      </c>
      <c r="AB1779" t="b">
        <v>1</v>
      </c>
    </row>
    <row r="1780" spans="17:28" x14ac:dyDescent="0.2">
      <c r="Q1780" t="s">
        <v>2018</v>
      </c>
      <c r="R1780" t="s">
        <v>2531</v>
      </c>
      <c r="S1780" t="s">
        <v>257</v>
      </c>
      <c r="T1780" s="1">
        <v>44287</v>
      </c>
      <c r="U1780" s="1">
        <v>44287</v>
      </c>
      <c r="V1780" t="s">
        <v>270</v>
      </c>
      <c r="W1780">
        <v>251716</v>
      </c>
      <c r="X1780">
        <v>251716</v>
      </c>
      <c r="Y1780" t="s">
        <v>270</v>
      </c>
      <c r="Z1780">
        <v>251716</v>
      </c>
      <c r="AA1780">
        <v>251716</v>
      </c>
      <c r="AB1780" t="b">
        <v>1</v>
      </c>
    </row>
    <row r="1781" spans="17:28" x14ac:dyDescent="0.2">
      <c r="Q1781" t="s">
        <v>2018</v>
      </c>
      <c r="R1781" t="s">
        <v>2531</v>
      </c>
      <c r="S1781" t="s">
        <v>257</v>
      </c>
      <c r="T1781" s="1">
        <v>44256</v>
      </c>
      <c r="U1781" s="1">
        <v>44256</v>
      </c>
      <c r="V1781" t="s">
        <v>270</v>
      </c>
      <c r="W1781">
        <v>1141034</v>
      </c>
      <c r="X1781">
        <v>1141034</v>
      </c>
      <c r="Y1781" t="s">
        <v>270</v>
      </c>
      <c r="Z1781">
        <v>1141034</v>
      </c>
      <c r="AA1781">
        <v>1141034</v>
      </c>
      <c r="AB1781" t="b">
        <v>1</v>
      </c>
    </row>
    <row r="1782" spans="17:28" x14ac:dyDescent="0.2">
      <c r="Q1782" t="s">
        <v>2018</v>
      </c>
      <c r="R1782" t="s">
        <v>2531</v>
      </c>
      <c r="S1782" t="s">
        <v>257</v>
      </c>
      <c r="T1782" s="1">
        <v>44228</v>
      </c>
      <c r="U1782" s="1">
        <v>44228</v>
      </c>
      <c r="V1782" t="s">
        <v>270</v>
      </c>
      <c r="W1782">
        <v>553482</v>
      </c>
      <c r="X1782">
        <v>553482</v>
      </c>
      <c r="Y1782" t="s">
        <v>270</v>
      </c>
      <c r="Z1782">
        <v>553482</v>
      </c>
      <c r="AA1782">
        <v>553482</v>
      </c>
      <c r="AB1782" t="b">
        <v>1</v>
      </c>
    </row>
    <row r="1783" spans="17:28" x14ac:dyDescent="0.2">
      <c r="Q1783" t="s">
        <v>2018</v>
      </c>
      <c r="R1783" t="s">
        <v>2532</v>
      </c>
      <c r="S1783" t="s">
        <v>257</v>
      </c>
      <c r="T1783" s="1">
        <v>44348</v>
      </c>
      <c r="U1783" s="1">
        <v>44348</v>
      </c>
      <c r="V1783" t="s">
        <v>270</v>
      </c>
      <c r="W1783">
        <v>380825</v>
      </c>
      <c r="X1783">
        <v>380825</v>
      </c>
      <c r="Y1783" t="s">
        <v>270</v>
      </c>
      <c r="Z1783">
        <v>380825</v>
      </c>
      <c r="AA1783">
        <v>380825</v>
      </c>
      <c r="AB1783" t="b">
        <v>1</v>
      </c>
    </row>
    <row r="1784" spans="17:28" x14ac:dyDescent="0.2">
      <c r="Q1784" t="s">
        <v>2018</v>
      </c>
      <c r="R1784" t="s">
        <v>2532</v>
      </c>
      <c r="S1784" t="s">
        <v>257</v>
      </c>
      <c r="T1784" s="1">
        <v>44317</v>
      </c>
      <c r="U1784" s="1">
        <v>44317</v>
      </c>
      <c r="V1784" t="s">
        <v>270</v>
      </c>
      <c r="W1784">
        <v>525581</v>
      </c>
      <c r="X1784">
        <v>525581</v>
      </c>
      <c r="Y1784" t="s">
        <v>270</v>
      </c>
      <c r="Z1784">
        <v>525581</v>
      </c>
      <c r="AA1784">
        <v>525581</v>
      </c>
      <c r="AB1784" t="b">
        <v>1</v>
      </c>
    </row>
    <row r="1785" spans="17:28" x14ac:dyDescent="0.2">
      <c r="Q1785" t="s">
        <v>2018</v>
      </c>
      <c r="R1785" t="s">
        <v>2532</v>
      </c>
      <c r="S1785" t="s">
        <v>257</v>
      </c>
      <c r="T1785" s="1">
        <v>44287</v>
      </c>
      <c r="U1785" s="1">
        <v>44287</v>
      </c>
      <c r="V1785" t="s">
        <v>270</v>
      </c>
      <c r="W1785">
        <v>5060</v>
      </c>
      <c r="X1785">
        <v>5060</v>
      </c>
      <c r="Y1785" t="s">
        <v>270</v>
      </c>
      <c r="Z1785">
        <v>5060</v>
      </c>
      <c r="AA1785">
        <v>5060</v>
      </c>
      <c r="AB1785" t="b">
        <v>1</v>
      </c>
    </row>
    <row r="1786" spans="17:28" x14ac:dyDescent="0.2">
      <c r="Q1786" t="s">
        <v>2018</v>
      </c>
      <c r="R1786" t="s">
        <v>2532</v>
      </c>
      <c r="S1786" t="s">
        <v>257</v>
      </c>
      <c r="T1786" s="1">
        <v>44256</v>
      </c>
      <c r="U1786" s="1">
        <v>44256</v>
      </c>
      <c r="V1786" t="s">
        <v>270</v>
      </c>
      <c r="W1786">
        <v>161831</v>
      </c>
      <c r="X1786">
        <v>161831</v>
      </c>
      <c r="Y1786" t="s">
        <v>270</v>
      </c>
      <c r="Z1786">
        <v>161831</v>
      </c>
      <c r="AA1786">
        <v>161831</v>
      </c>
      <c r="AB1786" t="b">
        <v>1</v>
      </c>
    </row>
    <row r="1787" spans="17:28" x14ac:dyDescent="0.2">
      <c r="Q1787" t="s">
        <v>2018</v>
      </c>
      <c r="R1787" t="s">
        <v>2532</v>
      </c>
      <c r="S1787" t="s">
        <v>257</v>
      </c>
      <c r="T1787" s="1">
        <v>44228</v>
      </c>
      <c r="U1787" s="1">
        <v>44228</v>
      </c>
      <c r="V1787" t="s">
        <v>270</v>
      </c>
      <c r="W1787">
        <v>75</v>
      </c>
      <c r="X1787">
        <v>75</v>
      </c>
      <c r="Y1787" t="s">
        <v>270</v>
      </c>
      <c r="Z1787">
        <v>75</v>
      </c>
      <c r="AA1787">
        <v>75</v>
      </c>
      <c r="AB1787" t="b">
        <v>1</v>
      </c>
    </row>
    <row r="1788" spans="17:28" x14ac:dyDescent="0.2">
      <c r="Q1788" t="s">
        <v>2018</v>
      </c>
      <c r="R1788" t="s">
        <v>2532</v>
      </c>
      <c r="S1788" t="s">
        <v>257</v>
      </c>
      <c r="T1788" s="1">
        <v>44197</v>
      </c>
      <c r="U1788" s="1">
        <v>44197</v>
      </c>
      <c r="V1788" t="s">
        <v>270</v>
      </c>
      <c r="W1788">
        <v>89</v>
      </c>
      <c r="X1788">
        <v>89</v>
      </c>
      <c r="Y1788" t="s">
        <v>270</v>
      </c>
      <c r="Z1788">
        <v>89</v>
      </c>
      <c r="AA1788">
        <v>89</v>
      </c>
      <c r="AB1788" t="b">
        <v>1</v>
      </c>
    </row>
    <row r="1789" spans="17:28" x14ac:dyDescent="0.2">
      <c r="Q1789" t="s">
        <v>2018</v>
      </c>
      <c r="R1789" t="s">
        <v>2532</v>
      </c>
      <c r="S1789" t="s">
        <v>257</v>
      </c>
      <c r="T1789" s="1">
        <v>44166</v>
      </c>
      <c r="U1789" s="1">
        <v>44166</v>
      </c>
      <c r="V1789" t="s">
        <v>270</v>
      </c>
      <c r="W1789">
        <v>1047054</v>
      </c>
      <c r="X1789">
        <v>1047054</v>
      </c>
      <c r="Y1789" t="s">
        <v>270</v>
      </c>
      <c r="Z1789">
        <v>1047054</v>
      </c>
      <c r="AA1789">
        <v>1047054</v>
      </c>
      <c r="AB1789" t="b">
        <v>1</v>
      </c>
    </row>
    <row r="1790" spans="17:28" x14ac:dyDescent="0.2">
      <c r="Q1790" t="s">
        <v>2018</v>
      </c>
      <c r="R1790" t="s">
        <v>2532</v>
      </c>
      <c r="S1790" t="s">
        <v>257</v>
      </c>
      <c r="T1790" s="1">
        <v>44136</v>
      </c>
      <c r="U1790" s="1">
        <v>44136</v>
      </c>
      <c r="V1790" t="s">
        <v>270</v>
      </c>
      <c r="W1790">
        <v>897506</v>
      </c>
      <c r="X1790">
        <v>897506</v>
      </c>
      <c r="Y1790" t="s">
        <v>270</v>
      </c>
      <c r="Z1790">
        <v>897506</v>
      </c>
      <c r="AA1790">
        <v>897506</v>
      </c>
      <c r="AB1790" t="b">
        <v>1</v>
      </c>
    </row>
    <row r="1791" spans="17:28" x14ac:dyDescent="0.2">
      <c r="Q1791" t="s">
        <v>2018</v>
      </c>
      <c r="R1791" t="s">
        <v>2532</v>
      </c>
      <c r="S1791" t="s">
        <v>257</v>
      </c>
      <c r="T1791" s="1">
        <v>44105</v>
      </c>
      <c r="U1791" s="1">
        <v>44105</v>
      </c>
      <c r="V1791" t="s">
        <v>270</v>
      </c>
      <c r="W1791">
        <v>190766</v>
      </c>
      <c r="X1791">
        <v>190766</v>
      </c>
      <c r="Y1791" t="s">
        <v>270</v>
      </c>
      <c r="Z1791">
        <v>190766</v>
      </c>
      <c r="AA1791">
        <v>190766</v>
      </c>
      <c r="AB1791" t="b">
        <v>1</v>
      </c>
    </row>
    <row r="1792" spans="17:28" x14ac:dyDescent="0.2">
      <c r="Q1792" t="s">
        <v>2018</v>
      </c>
      <c r="R1792" t="s">
        <v>2532</v>
      </c>
      <c r="S1792" t="s">
        <v>257</v>
      </c>
      <c r="T1792" s="1">
        <v>44075</v>
      </c>
      <c r="U1792" s="1">
        <v>44075</v>
      </c>
      <c r="V1792" t="s">
        <v>270</v>
      </c>
      <c r="W1792">
        <v>771368</v>
      </c>
      <c r="X1792">
        <v>771368</v>
      </c>
      <c r="Y1792" t="s">
        <v>270</v>
      </c>
      <c r="Z1792">
        <v>771368</v>
      </c>
      <c r="AA1792">
        <v>771368</v>
      </c>
      <c r="AB1792" t="b">
        <v>1</v>
      </c>
    </row>
    <row r="1793" spans="17:28" x14ac:dyDescent="0.2">
      <c r="Q1793" t="s">
        <v>2018</v>
      </c>
      <c r="R1793" t="s">
        <v>2532</v>
      </c>
      <c r="S1793" t="s">
        <v>257</v>
      </c>
      <c r="T1793" s="1">
        <v>44044</v>
      </c>
      <c r="U1793" s="1">
        <v>44044</v>
      </c>
      <c r="V1793" t="s">
        <v>270</v>
      </c>
      <c r="W1793">
        <v>7031</v>
      </c>
      <c r="X1793">
        <v>7031</v>
      </c>
      <c r="Y1793" t="s">
        <v>270</v>
      </c>
      <c r="Z1793">
        <v>7031</v>
      </c>
      <c r="AA1793">
        <v>7031</v>
      </c>
      <c r="AB1793" t="b">
        <v>1</v>
      </c>
    </row>
    <row r="1794" spans="17:28" x14ac:dyDescent="0.2">
      <c r="Q1794" t="s">
        <v>2018</v>
      </c>
      <c r="R1794" t="s">
        <v>2532</v>
      </c>
      <c r="S1794" t="s">
        <v>257</v>
      </c>
      <c r="T1794" s="1">
        <v>44348</v>
      </c>
      <c r="U1794" s="1">
        <v>44348</v>
      </c>
      <c r="V1794" t="s">
        <v>270</v>
      </c>
      <c r="W1794">
        <v>380825</v>
      </c>
      <c r="X1794">
        <v>380825</v>
      </c>
      <c r="Y1794" t="s">
        <v>270</v>
      </c>
      <c r="Z1794">
        <v>380825</v>
      </c>
      <c r="AA1794">
        <v>380825</v>
      </c>
      <c r="AB1794" t="b">
        <v>1</v>
      </c>
    </row>
    <row r="1795" spans="17:28" x14ac:dyDescent="0.2">
      <c r="Q1795" t="s">
        <v>2018</v>
      </c>
      <c r="R1795" t="s">
        <v>2532</v>
      </c>
      <c r="S1795" t="s">
        <v>257</v>
      </c>
      <c r="T1795" s="1">
        <v>44317</v>
      </c>
      <c r="U1795" s="1">
        <v>44317</v>
      </c>
      <c r="V1795" t="s">
        <v>270</v>
      </c>
      <c r="W1795">
        <v>525581</v>
      </c>
      <c r="X1795">
        <v>525581</v>
      </c>
      <c r="Y1795" t="s">
        <v>270</v>
      </c>
      <c r="Z1795">
        <v>525581</v>
      </c>
      <c r="AA1795">
        <v>525581</v>
      </c>
      <c r="AB1795" t="b">
        <v>1</v>
      </c>
    </row>
    <row r="1796" spans="17:28" x14ac:dyDescent="0.2">
      <c r="Q1796" t="s">
        <v>2018</v>
      </c>
      <c r="R1796" t="s">
        <v>2532</v>
      </c>
      <c r="S1796" t="s">
        <v>257</v>
      </c>
      <c r="T1796" s="1">
        <v>44287</v>
      </c>
      <c r="U1796" s="1">
        <v>44287</v>
      </c>
      <c r="V1796" t="s">
        <v>270</v>
      </c>
      <c r="W1796">
        <v>5060</v>
      </c>
      <c r="X1796">
        <v>5060</v>
      </c>
      <c r="Y1796" t="s">
        <v>270</v>
      </c>
      <c r="Z1796">
        <v>5060</v>
      </c>
      <c r="AA1796">
        <v>5060</v>
      </c>
      <c r="AB1796" t="b">
        <v>1</v>
      </c>
    </row>
    <row r="1797" spans="17:28" x14ac:dyDescent="0.2">
      <c r="Q1797" t="s">
        <v>2018</v>
      </c>
      <c r="R1797" t="s">
        <v>2532</v>
      </c>
      <c r="S1797" t="s">
        <v>257</v>
      </c>
      <c r="T1797" s="1">
        <v>44256</v>
      </c>
      <c r="U1797" s="1">
        <v>44256</v>
      </c>
      <c r="V1797" t="s">
        <v>270</v>
      </c>
      <c r="W1797">
        <v>161831</v>
      </c>
      <c r="X1797">
        <v>161831</v>
      </c>
      <c r="Y1797" t="s">
        <v>270</v>
      </c>
      <c r="Z1797">
        <v>161831</v>
      </c>
      <c r="AA1797">
        <v>161831</v>
      </c>
      <c r="AB1797" t="b">
        <v>1</v>
      </c>
    </row>
    <row r="1798" spans="17:28" x14ac:dyDescent="0.2">
      <c r="Q1798" t="s">
        <v>2018</v>
      </c>
      <c r="R1798" t="s">
        <v>2532</v>
      </c>
      <c r="S1798" t="s">
        <v>257</v>
      </c>
      <c r="T1798" s="1">
        <v>44228</v>
      </c>
      <c r="U1798" s="1">
        <v>44228</v>
      </c>
      <c r="V1798" t="s">
        <v>270</v>
      </c>
      <c r="W1798">
        <v>75</v>
      </c>
      <c r="X1798">
        <v>75</v>
      </c>
      <c r="Y1798" t="s">
        <v>270</v>
      </c>
      <c r="Z1798">
        <v>75</v>
      </c>
      <c r="AA1798">
        <v>75</v>
      </c>
      <c r="AB1798" t="b">
        <v>1</v>
      </c>
    </row>
    <row r="1799" spans="17:28" x14ac:dyDescent="0.2">
      <c r="Q1799" t="s">
        <v>2018</v>
      </c>
      <c r="R1799" t="s">
        <v>2532</v>
      </c>
      <c r="S1799" t="s">
        <v>257</v>
      </c>
      <c r="T1799" s="1">
        <v>44197</v>
      </c>
      <c r="U1799" s="1">
        <v>44197</v>
      </c>
      <c r="V1799" t="s">
        <v>270</v>
      </c>
      <c r="W1799">
        <v>89</v>
      </c>
      <c r="X1799">
        <v>89</v>
      </c>
      <c r="Y1799" t="s">
        <v>270</v>
      </c>
      <c r="Z1799">
        <v>89</v>
      </c>
      <c r="AA1799">
        <v>89</v>
      </c>
      <c r="AB1799" t="b">
        <v>1</v>
      </c>
    </row>
    <row r="1800" spans="17:28" x14ac:dyDescent="0.2">
      <c r="Q1800" t="s">
        <v>2018</v>
      </c>
      <c r="R1800" t="s">
        <v>2532</v>
      </c>
      <c r="S1800" t="s">
        <v>257</v>
      </c>
      <c r="T1800" s="1">
        <v>44166</v>
      </c>
      <c r="U1800" s="1">
        <v>44166</v>
      </c>
      <c r="V1800" t="s">
        <v>270</v>
      </c>
      <c r="W1800">
        <v>1047054</v>
      </c>
      <c r="X1800">
        <v>1047054</v>
      </c>
      <c r="Y1800" t="s">
        <v>270</v>
      </c>
      <c r="Z1800">
        <v>1047054</v>
      </c>
      <c r="AA1800">
        <v>1047054</v>
      </c>
      <c r="AB1800" t="b">
        <v>1</v>
      </c>
    </row>
    <row r="1801" spans="17:28" x14ac:dyDescent="0.2">
      <c r="Q1801" t="s">
        <v>2018</v>
      </c>
      <c r="R1801" t="s">
        <v>2532</v>
      </c>
      <c r="S1801" t="s">
        <v>257</v>
      </c>
      <c r="T1801" s="1">
        <v>44136</v>
      </c>
      <c r="U1801" s="1">
        <v>44136</v>
      </c>
      <c r="V1801" t="s">
        <v>270</v>
      </c>
      <c r="W1801">
        <v>897506</v>
      </c>
      <c r="X1801">
        <v>897506</v>
      </c>
      <c r="Y1801" t="s">
        <v>270</v>
      </c>
      <c r="Z1801">
        <v>897506</v>
      </c>
      <c r="AA1801">
        <v>897506</v>
      </c>
      <c r="AB1801" t="b">
        <v>1</v>
      </c>
    </row>
    <row r="1802" spans="17:28" x14ac:dyDescent="0.2">
      <c r="Q1802" t="s">
        <v>2018</v>
      </c>
      <c r="R1802" t="s">
        <v>2532</v>
      </c>
      <c r="S1802" t="s">
        <v>257</v>
      </c>
      <c r="T1802" s="1">
        <v>44105</v>
      </c>
      <c r="U1802" s="1">
        <v>44105</v>
      </c>
      <c r="V1802" t="s">
        <v>270</v>
      </c>
      <c r="W1802">
        <v>190766</v>
      </c>
      <c r="X1802">
        <v>190766</v>
      </c>
      <c r="Y1802" t="s">
        <v>270</v>
      </c>
      <c r="Z1802">
        <v>190766</v>
      </c>
      <c r="AA1802">
        <v>190766</v>
      </c>
      <c r="AB1802" t="b">
        <v>1</v>
      </c>
    </row>
    <row r="1803" spans="17:28" x14ac:dyDescent="0.2">
      <c r="Q1803" t="s">
        <v>2018</v>
      </c>
      <c r="R1803" t="s">
        <v>2532</v>
      </c>
      <c r="S1803" t="s">
        <v>257</v>
      </c>
      <c r="T1803" s="1">
        <v>44075</v>
      </c>
      <c r="U1803" s="1">
        <v>44075</v>
      </c>
      <c r="V1803" t="s">
        <v>270</v>
      </c>
      <c r="W1803">
        <v>771368</v>
      </c>
      <c r="X1803">
        <v>771368</v>
      </c>
      <c r="Y1803" t="s">
        <v>270</v>
      </c>
      <c r="Z1803">
        <v>771368</v>
      </c>
      <c r="AA1803">
        <v>771368</v>
      </c>
      <c r="AB1803" t="b">
        <v>1</v>
      </c>
    </row>
    <row r="1804" spans="17:28" x14ac:dyDescent="0.2">
      <c r="Q1804" t="s">
        <v>2018</v>
      </c>
      <c r="R1804" t="s">
        <v>2532</v>
      </c>
      <c r="S1804" t="s">
        <v>257</v>
      </c>
      <c r="T1804" s="1">
        <v>44044</v>
      </c>
      <c r="U1804" s="1">
        <v>44044</v>
      </c>
      <c r="V1804" t="s">
        <v>270</v>
      </c>
      <c r="W1804">
        <v>7031</v>
      </c>
      <c r="X1804">
        <v>7031</v>
      </c>
      <c r="Y1804" t="s">
        <v>270</v>
      </c>
      <c r="Z1804">
        <v>7031</v>
      </c>
      <c r="AA1804">
        <v>7031</v>
      </c>
      <c r="AB1804" t="b">
        <v>1</v>
      </c>
    </row>
    <row r="1805" spans="17:28" x14ac:dyDescent="0.2">
      <c r="Q1805" t="s">
        <v>2029</v>
      </c>
      <c r="R1805" t="s">
        <v>2532</v>
      </c>
      <c r="S1805" t="s">
        <v>257</v>
      </c>
      <c r="T1805" s="1">
        <v>44348</v>
      </c>
      <c r="U1805" s="1">
        <v>44348</v>
      </c>
      <c r="V1805" t="s">
        <v>270</v>
      </c>
      <c r="W1805">
        <v>380825</v>
      </c>
      <c r="X1805">
        <v>380825</v>
      </c>
      <c r="Y1805" t="s">
        <v>270</v>
      </c>
      <c r="Z1805">
        <v>380825</v>
      </c>
      <c r="AA1805">
        <v>380825</v>
      </c>
      <c r="AB1805" t="b">
        <v>1</v>
      </c>
    </row>
    <row r="1806" spans="17:28" x14ac:dyDescent="0.2">
      <c r="Q1806" t="s">
        <v>2029</v>
      </c>
      <c r="R1806" t="s">
        <v>2532</v>
      </c>
      <c r="S1806" t="s">
        <v>257</v>
      </c>
      <c r="T1806" s="1">
        <v>44317</v>
      </c>
      <c r="U1806" s="1">
        <v>44317</v>
      </c>
      <c r="V1806" t="s">
        <v>270</v>
      </c>
      <c r="W1806">
        <v>525581</v>
      </c>
      <c r="X1806">
        <v>525581</v>
      </c>
      <c r="Y1806" t="s">
        <v>270</v>
      </c>
      <c r="Z1806">
        <v>525581</v>
      </c>
      <c r="AA1806">
        <v>525581</v>
      </c>
      <c r="AB1806" t="b">
        <v>1</v>
      </c>
    </row>
    <row r="1807" spans="17:28" x14ac:dyDescent="0.2">
      <c r="Q1807" t="s">
        <v>2029</v>
      </c>
      <c r="R1807" t="s">
        <v>2532</v>
      </c>
      <c r="S1807" t="s">
        <v>257</v>
      </c>
      <c r="T1807" s="1">
        <v>44287</v>
      </c>
      <c r="U1807" s="1">
        <v>44287</v>
      </c>
      <c r="V1807" t="s">
        <v>270</v>
      </c>
      <c r="W1807">
        <v>5060</v>
      </c>
      <c r="X1807">
        <v>5060</v>
      </c>
      <c r="Y1807" t="s">
        <v>270</v>
      </c>
      <c r="Z1807">
        <v>5060</v>
      </c>
      <c r="AA1807">
        <v>5060</v>
      </c>
      <c r="AB1807" t="b">
        <v>1</v>
      </c>
    </row>
    <row r="1808" spans="17:28" x14ac:dyDescent="0.2">
      <c r="Q1808" t="s">
        <v>2029</v>
      </c>
      <c r="R1808" t="s">
        <v>2532</v>
      </c>
      <c r="S1808" t="s">
        <v>257</v>
      </c>
      <c r="T1808" s="1">
        <v>44256</v>
      </c>
      <c r="U1808" s="1">
        <v>44256</v>
      </c>
      <c r="V1808" t="s">
        <v>270</v>
      </c>
      <c r="W1808">
        <v>161831</v>
      </c>
      <c r="X1808">
        <v>161831</v>
      </c>
      <c r="Y1808" t="s">
        <v>270</v>
      </c>
      <c r="Z1808">
        <v>161831</v>
      </c>
      <c r="AA1808">
        <v>161831</v>
      </c>
      <c r="AB1808" t="b">
        <v>1</v>
      </c>
    </row>
    <row r="1809" spans="17:28" x14ac:dyDescent="0.2">
      <c r="Q1809" t="s">
        <v>2029</v>
      </c>
      <c r="R1809" t="s">
        <v>2532</v>
      </c>
      <c r="S1809" t="s">
        <v>257</v>
      </c>
      <c r="T1809" s="1">
        <v>44228</v>
      </c>
      <c r="U1809" s="1">
        <v>44228</v>
      </c>
      <c r="V1809" t="s">
        <v>270</v>
      </c>
      <c r="W1809">
        <v>75</v>
      </c>
      <c r="X1809">
        <v>75</v>
      </c>
      <c r="Y1809" t="s">
        <v>270</v>
      </c>
      <c r="Z1809">
        <v>75</v>
      </c>
      <c r="AA1809">
        <v>75</v>
      </c>
      <c r="AB1809" t="b">
        <v>1</v>
      </c>
    </row>
    <row r="1810" spans="17:28" x14ac:dyDescent="0.2">
      <c r="Q1810" t="s">
        <v>2029</v>
      </c>
      <c r="R1810" t="s">
        <v>2532</v>
      </c>
      <c r="S1810" t="s">
        <v>257</v>
      </c>
      <c r="T1810" s="1">
        <v>44197</v>
      </c>
      <c r="U1810" s="1">
        <v>44197</v>
      </c>
      <c r="V1810" t="s">
        <v>270</v>
      </c>
      <c r="W1810">
        <v>89</v>
      </c>
      <c r="X1810">
        <v>89</v>
      </c>
      <c r="Y1810" t="s">
        <v>270</v>
      </c>
      <c r="Z1810">
        <v>89</v>
      </c>
      <c r="AA1810">
        <v>89</v>
      </c>
      <c r="AB1810" t="b">
        <v>1</v>
      </c>
    </row>
    <row r="1811" spans="17:28" x14ac:dyDescent="0.2">
      <c r="Q1811" t="s">
        <v>2029</v>
      </c>
      <c r="R1811" t="s">
        <v>2532</v>
      </c>
      <c r="S1811" t="s">
        <v>257</v>
      </c>
      <c r="T1811" s="1">
        <v>44166</v>
      </c>
      <c r="U1811" s="1">
        <v>44166</v>
      </c>
      <c r="V1811" t="s">
        <v>270</v>
      </c>
      <c r="W1811">
        <v>1047054</v>
      </c>
      <c r="X1811">
        <v>1047054</v>
      </c>
      <c r="Y1811" t="s">
        <v>270</v>
      </c>
      <c r="Z1811">
        <v>1047054</v>
      </c>
      <c r="AA1811">
        <v>1047054</v>
      </c>
      <c r="AB1811" t="b">
        <v>1</v>
      </c>
    </row>
    <row r="1812" spans="17:28" x14ac:dyDescent="0.2">
      <c r="Q1812" t="s">
        <v>2029</v>
      </c>
      <c r="R1812" t="s">
        <v>2532</v>
      </c>
      <c r="S1812" t="s">
        <v>257</v>
      </c>
      <c r="T1812" s="1">
        <v>44136</v>
      </c>
      <c r="U1812" s="1">
        <v>44136</v>
      </c>
      <c r="V1812" t="s">
        <v>270</v>
      </c>
      <c r="W1812">
        <v>897506</v>
      </c>
      <c r="X1812">
        <v>897506</v>
      </c>
      <c r="Y1812" t="s">
        <v>270</v>
      </c>
      <c r="Z1812">
        <v>897506</v>
      </c>
      <c r="AA1812">
        <v>897506</v>
      </c>
      <c r="AB1812" t="b">
        <v>1</v>
      </c>
    </row>
    <row r="1813" spans="17:28" x14ac:dyDescent="0.2">
      <c r="Q1813" t="s">
        <v>2029</v>
      </c>
      <c r="R1813" t="s">
        <v>2532</v>
      </c>
      <c r="S1813" t="s">
        <v>257</v>
      </c>
      <c r="T1813" s="1">
        <v>44105</v>
      </c>
      <c r="U1813" s="1">
        <v>44105</v>
      </c>
      <c r="V1813" t="s">
        <v>270</v>
      </c>
      <c r="W1813">
        <v>190766</v>
      </c>
      <c r="X1813">
        <v>190766</v>
      </c>
      <c r="Y1813" t="s">
        <v>270</v>
      </c>
      <c r="Z1813">
        <v>190766</v>
      </c>
      <c r="AA1813">
        <v>190766</v>
      </c>
      <c r="AB1813" t="b">
        <v>1</v>
      </c>
    </row>
    <row r="1814" spans="17:28" x14ac:dyDescent="0.2">
      <c r="Q1814" t="s">
        <v>2029</v>
      </c>
      <c r="R1814" t="s">
        <v>2532</v>
      </c>
      <c r="S1814" t="s">
        <v>257</v>
      </c>
      <c r="T1814" s="1">
        <v>44075</v>
      </c>
      <c r="U1814" s="1">
        <v>44075</v>
      </c>
      <c r="V1814" t="s">
        <v>270</v>
      </c>
      <c r="W1814">
        <v>771368</v>
      </c>
      <c r="X1814">
        <v>771368</v>
      </c>
      <c r="Y1814" t="s">
        <v>270</v>
      </c>
      <c r="Z1814">
        <v>771368</v>
      </c>
      <c r="AA1814">
        <v>771368</v>
      </c>
      <c r="AB1814" t="b">
        <v>1</v>
      </c>
    </row>
    <row r="1815" spans="17:28" x14ac:dyDescent="0.2">
      <c r="Q1815" t="s">
        <v>2029</v>
      </c>
      <c r="R1815" t="s">
        <v>2532</v>
      </c>
      <c r="S1815" t="s">
        <v>257</v>
      </c>
      <c r="T1815" s="1">
        <v>44044</v>
      </c>
      <c r="U1815" s="1">
        <v>44044</v>
      </c>
      <c r="V1815" t="s">
        <v>270</v>
      </c>
      <c r="W1815">
        <v>7031</v>
      </c>
      <c r="X1815">
        <v>7031</v>
      </c>
      <c r="Y1815" t="s">
        <v>270</v>
      </c>
      <c r="Z1815">
        <v>7031</v>
      </c>
      <c r="AA1815">
        <v>7031</v>
      </c>
      <c r="AB1815" t="b">
        <v>1</v>
      </c>
    </row>
    <row r="1816" spans="17:28" x14ac:dyDescent="0.2">
      <c r="Q1816" t="s">
        <v>2029</v>
      </c>
      <c r="R1816" t="s">
        <v>2532</v>
      </c>
      <c r="S1816" t="s">
        <v>257</v>
      </c>
      <c r="T1816" s="1">
        <v>44348</v>
      </c>
      <c r="U1816" s="1">
        <v>44348</v>
      </c>
      <c r="V1816" t="s">
        <v>270</v>
      </c>
      <c r="W1816">
        <v>380825</v>
      </c>
      <c r="X1816">
        <v>380825</v>
      </c>
      <c r="Y1816" t="s">
        <v>270</v>
      </c>
      <c r="Z1816">
        <v>380825</v>
      </c>
      <c r="AA1816">
        <v>380825</v>
      </c>
      <c r="AB1816" t="b">
        <v>1</v>
      </c>
    </row>
    <row r="1817" spans="17:28" x14ac:dyDescent="0.2">
      <c r="Q1817" t="s">
        <v>2029</v>
      </c>
      <c r="R1817" t="s">
        <v>2532</v>
      </c>
      <c r="S1817" t="s">
        <v>257</v>
      </c>
      <c r="T1817" s="1">
        <v>44317</v>
      </c>
      <c r="U1817" s="1">
        <v>44317</v>
      </c>
      <c r="V1817" t="s">
        <v>270</v>
      </c>
      <c r="W1817">
        <v>525581</v>
      </c>
      <c r="X1817">
        <v>525581</v>
      </c>
      <c r="Y1817" t="s">
        <v>270</v>
      </c>
      <c r="Z1817">
        <v>525581</v>
      </c>
      <c r="AA1817">
        <v>525581</v>
      </c>
      <c r="AB1817" t="b">
        <v>1</v>
      </c>
    </row>
    <row r="1818" spans="17:28" x14ac:dyDescent="0.2">
      <c r="Q1818" t="s">
        <v>2029</v>
      </c>
      <c r="R1818" t="s">
        <v>2532</v>
      </c>
      <c r="S1818" t="s">
        <v>257</v>
      </c>
      <c r="T1818" s="1">
        <v>44287</v>
      </c>
      <c r="U1818" s="1">
        <v>44287</v>
      </c>
      <c r="V1818" t="s">
        <v>270</v>
      </c>
      <c r="W1818">
        <v>5060</v>
      </c>
      <c r="X1818">
        <v>5060</v>
      </c>
      <c r="Y1818" t="s">
        <v>270</v>
      </c>
      <c r="Z1818">
        <v>5060</v>
      </c>
      <c r="AA1818">
        <v>5060</v>
      </c>
      <c r="AB1818" t="b">
        <v>1</v>
      </c>
    </row>
    <row r="1819" spans="17:28" x14ac:dyDescent="0.2">
      <c r="Q1819" t="s">
        <v>2029</v>
      </c>
      <c r="R1819" t="s">
        <v>2532</v>
      </c>
      <c r="S1819" t="s">
        <v>257</v>
      </c>
      <c r="T1819" s="1">
        <v>44256</v>
      </c>
      <c r="U1819" s="1">
        <v>44256</v>
      </c>
      <c r="V1819" t="s">
        <v>270</v>
      </c>
      <c r="W1819">
        <v>161831</v>
      </c>
      <c r="X1819">
        <v>161831</v>
      </c>
      <c r="Y1819" t="s">
        <v>270</v>
      </c>
      <c r="Z1819">
        <v>161831</v>
      </c>
      <c r="AA1819">
        <v>161831</v>
      </c>
      <c r="AB1819" t="b">
        <v>1</v>
      </c>
    </row>
    <row r="1820" spans="17:28" x14ac:dyDescent="0.2">
      <c r="Q1820" t="s">
        <v>2029</v>
      </c>
      <c r="R1820" t="s">
        <v>2532</v>
      </c>
      <c r="S1820" t="s">
        <v>257</v>
      </c>
      <c r="T1820" s="1">
        <v>44228</v>
      </c>
      <c r="U1820" s="1">
        <v>44228</v>
      </c>
      <c r="V1820" t="s">
        <v>270</v>
      </c>
      <c r="W1820">
        <v>75</v>
      </c>
      <c r="X1820">
        <v>75</v>
      </c>
      <c r="Y1820" t="s">
        <v>270</v>
      </c>
      <c r="Z1820">
        <v>75</v>
      </c>
      <c r="AA1820">
        <v>75</v>
      </c>
      <c r="AB1820" t="b">
        <v>1</v>
      </c>
    </row>
    <row r="1821" spans="17:28" x14ac:dyDescent="0.2">
      <c r="Q1821" t="s">
        <v>2029</v>
      </c>
      <c r="R1821" t="s">
        <v>2532</v>
      </c>
      <c r="S1821" t="s">
        <v>257</v>
      </c>
      <c r="T1821" s="1">
        <v>44197</v>
      </c>
      <c r="U1821" s="1">
        <v>44197</v>
      </c>
      <c r="V1821" t="s">
        <v>270</v>
      </c>
      <c r="W1821">
        <v>89</v>
      </c>
      <c r="X1821">
        <v>89</v>
      </c>
      <c r="Y1821" t="s">
        <v>270</v>
      </c>
      <c r="Z1821">
        <v>89</v>
      </c>
      <c r="AA1821">
        <v>89</v>
      </c>
      <c r="AB1821" t="b">
        <v>1</v>
      </c>
    </row>
    <row r="1822" spans="17:28" x14ac:dyDescent="0.2">
      <c r="Q1822" t="s">
        <v>2029</v>
      </c>
      <c r="R1822" t="s">
        <v>2532</v>
      </c>
      <c r="S1822" t="s">
        <v>257</v>
      </c>
      <c r="T1822" s="1">
        <v>44166</v>
      </c>
      <c r="U1822" s="1">
        <v>44166</v>
      </c>
      <c r="V1822" t="s">
        <v>270</v>
      </c>
      <c r="W1822">
        <v>1047054</v>
      </c>
      <c r="X1822">
        <v>1047054</v>
      </c>
      <c r="Y1822" t="s">
        <v>270</v>
      </c>
      <c r="Z1822">
        <v>1047054</v>
      </c>
      <c r="AA1822">
        <v>1047054</v>
      </c>
      <c r="AB1822" t="b">
        <v>1</v>
      </c>
    </row>
    <row r="1823" spans="17:28" x14ac:dyDescent="0.2">
      <c r="Q1823" t="s">
        <v>2029</v>
      </c>
      <c r="R1823" t="s">
        <v>2532</v>
      </c>
      <c r="S1823" t="s">
        <v>257</v>
      </c>
      <c r="T1823" s="1">
        <v>44136</v>
      </c>
      <c r="U1823" s="1">
        <v>44136</v>
      </c>
      <c r="V1823" t="s">
        <v>270</v>
      </c>
      <c r="W1823">
        <v>897506</v>
      </c>
      <c r="X1823">
        <v>897506</v>
      </c>
      <c r="Y1823" t="s">
        <v>270</v>
      </c>
      <c r="Z1823">
        <v>897506</v>
      </c>
      <c r="AA1823">
        <v>897506</v>
      </c>
      <c r="AB1823" t="b">
        <v>1</v>
      </c>
    </row>
    <row r="1824" spans="17:28" x14ac:dyDescent="0.2">
      <c r="Q1824" t="s">
        <v>2029</v>
      </c>
      <c r="R1824" t="s">
        <v>2532</v>
      </c>
      <c r="S1824" t="s">
        <v>257</v>
      </c>
      <c r="T1824" s="1">
        <v>44105</v>
      </c>
      <c r="U1824" s="1">
        <v>44105</v>
      </c>
      <c r="V1824" t="s">
        <v>270</v>
      </c>
      <c r="W1824">
        <v>190766</v>
      </c>
      <c r="X1824">
        <v>190766</v>
      </c>
      <c r="Y1824" t="s">
        <v>270</v>
      </c>
      <c r="Z1824">
        <v>190766</v>
      </c>
      <c r="AA1824">
        <v>190766</v>
      </c>
      <c r="AB1824" t="b">
        <v>1</v>
      </c>
    </row>
    <row r="1825" spans="17:29" x14ac:dyDescent="0.2">
      <c r="Q1825" t="s">
        <v>2029</v>
      </c>
      <c r="R1825" t="s">
        <v>2532</v>
      </c>
      <c r="S1825" t="s">
        <v>257</v>
      </c>
      <c r="T1825" s="1">
        <v>44075</v>
      </c>
      <c r="U1825" s="1">
        <v>44075</v>
      </c>
      <c r="V1825" t="s">
        <v>270</v>
      </c>
      <c r="W1825">
        <v>771368</v>
      </c>
      <c r="X1825">
        <v>771368</v>
      </c>
      <c r="Y1825" t="s">
        <v>270</v>
      </c>
      <c r="Z1825">
        <v>771368</v>
      </c>
      <c r="AA1825">
        <v>771368</v>
      </c>
      <c r="AB1825" t="b">
        <v>1</v>
      </c>
    </row>
    <row r="1826" spans="17:29" x14ac:dyDescent="0.2">
      <c r="Q1826" t="s">
        <v>2029</v>
      </c>
      <c r="R1826" t="s">
        <v>2532</v>
      </c>
      <c r="S1826" t="s">
        <v>257</v>
      </c>
      <c r="T1826" s="1">
        <v>44044</v>
      </c>
      <c r="U1826" s="1">
        <v>44044</v>
      </c>
      <c r="V1826" t="s">
        <v>270</v>
      </c>
      <c r="W1826">
        <v>7031</v>
      </c>
      <c r="X1826">
        <v>7031</v>
      </c>
      <c r="Y1826" t="s">
        <v>270</v>
      </c>
      <c r="Z1826">
        <v>7031</v>
      </c>
      <c r="AA1826">
        <v>7031</v>
      </c>
      <c r="AB1826" t="b">
        <v>1</v>
      </c>
    </row>
    <row r="1827" spans="17:29" x14ac:dyDescent="0.2">
      <c r="Q1827" t="s">
        <v>2128</v>
      </c>
      <c r="R1827" t="s">
        <v>2533</v>
      </c>
      <c r="S1827" t="s">
        <v>257</v>
      </c>
      <c r="T1827" s="1">
        <v>44270</v>
      </c>
      <c r="U1827" s="1">
        <v>44270</v>
      </c>
      <c r="V1827" t="s">
        <v>260</v>
      </c>
      <c r="W1827">
        <v>871761.08</v>
      </c>
      <c r="X1827">
        <v>871761.08</v>
      </c>
      <c r="Y1827" t="s">
        <v>260</v>
      </c>
      <c r="Z1827">
        <v>871761.08</v>
      </c>
      <c r="AA1827">
        <v>154853</v>
      </c>
      <c r="AB1827" t="b">
        <v>0</v>
      </c>
      <c r="AC1827">
        <v>1</v>
      </c>
    </row>
    <row r="1828" spans="17:29" x14ac:dyDescent="0.2">
      <c r="Q1828" t="s">
        <v>1989</v>
      </c>
      <c r="R1828" t="s">
        <v>2533</v>
      </c>
      <c r="S1828" t="s">
        <v>257</v>
      </c>
      <c r="T1828" s="1">
        <v>44270</v>
      </c>
      <c r="U1828" s="1">
        <v>44270</v>
      </c>
      <c r="V1828" t="s">
        <v>260</v>
      </c>
      <c r="W1828">
        <v>871761.08</v>
      </c>
      <c r="X1828">
        <v>871761.08</v>
      </c>
      <c r="Y1828" t="s">
        <v>260</v>
      </c>
      <c r="Z1828">
        <v>871761.08</v>
      </c>
      <c r="AA1828">
        <v>154853</v>
      </c>
      <c r="AB1828" t="b">
        <v>0</v>
      </c>
      <c r="AC1828">
        <v>1</v>
      </c>
    </row>
    <row r="1829" spans="17:29" x14ac:dyDescent="0.2">
      <c r="Q1829" t="s">
        <v>2128</v>
      </c>
      <c r="R1829" t="s">
        <v>2534</v>
      </c>
      <c r="S1829" t="s">
        <v>257</v>
      </c>
      <c r="T1829" s="1">
        <v>44270</v>
      </c>
      <c r="U1829" s="1">
        <v>44270</v>
      </c>
      <c r="V1829" t="s">
        <v>260</v>
      </c>
      <c r="W1829">
        <v>4047462.14</v>
      </c>
      <c r="X1829">
        <v>4047462.14</v>
      </c>
      <c r="Y1829" t="s">
        <v>260</v>
      </c>
      <c r="Z1829">
        <v>4047462.14</v>
      </c>
      <c r="AA1829">
        <v>718960</v>
      </c>
      <c r="AB1829" t="b">
        <v>0</v>
      </c>
      <c r="AC1829">
        <v>1</v>
      </c>
    </row>
    <row r="1830" spans="17:29" x14ac:dyDescent="0.2">
      <c r="Q1830" t="s">
        <v>1989</v>
      </c>
      <c r="R1830" t="s">
        <v>2534</v>
      </c>
      <c r="S1830" t="s">
        <v>257</v>
      </c>
      <c r="T1830" s="1">
        <v>44270</v>
      </c>
      <c r="U1830" s="1">
        <v>44270</v>
      </c>
      <c r="V1830" t="s">
        <v>260</v>
      </c>
      <c r="W1830">
        <v>4047462.14</v>
      </c>
      <c r="X1830">
        <v>4047462.14</v>
      </c>
      <c r="Y1830" t="s">
        <v>260</v>
      </c>
      <c r="Z1830">
        <v>4047462.14</v>
      </c>
      <c r="AA1830">
        <v>718960</v>
      </c>
      <c r="AB1830" t="b">
        <v>0</v>
      </c>
      <c r="AC1830">
        <v>1</v>
      </c>
    </row>
    <row r="1831" spans="17:29" x14ac:dyDescent="0.2">
      <c r="Q1831" t="s">
        <v>2128</v>
      </c>
      <c r="R1831" t="s">
        <v>2535</v>
      </c>
      <c r="S1831" t="s">
        <v>257</v>
      </c>
      <c r="T1831" s="1">
        <v>44270</v>
      </c>
      <c r="U1831" s="1">
        <v>44270</v>
      </c>
      <c r="V1831" t="s">
        <v>260</v>
      </c>
      <c r="W1831">
        <v>4047462.14</v>
      </c>
      <c r="X1831">
        <v>4047462.14</v>
      </c>
      <c r="Y1831" t="s">
        <v>260</v>
      </c>
      <c r="Z1831">
        <v>4047462.14</v>
      </c>
      <c r="AA1831">
        <v>718960</v>
      </c>
      <c r="AB1831" t="b">
        <v>0</v>
      </c>
      <c r="AC1831">
        <v>1</v>
      </c>
    </row>
    <row r="1832" spans="17:29" x14ac:dyDescent="0.2">
      <c r="Q1832" t="s">
        <v>1989</v>
      </c>
      <c r="R1832" t="s">
        <v>2535</v>
      </c>
      <c r="S1832" t="s">
        <v>257</v>
      </c>
      <c r="T1832" s="1">
        <v>44270</v>
      </c>
      <c r="U1832" s="1">
        <v>44270</v>
      </c>
      <c r="V1832" t="s">
        <v>260</v>
      </c>
      <c r="W1832">
        <v>4047462.14</v>
      </c>
      <c r="X1832">
        <v>4047462.14</v>
      </c>
      <c r="Y1832" t="s">
        <v>260</v>
      </c>
      <c r="Z1832">
        <v>4047462.14</v>
      </c>
      <c r="AA1832">
        <v>718960</v>
      </c>
      <c r="AB1832" t="b">
        <v>0</v>
      </c>
      <c r="AC1832">
        <v>1</v>
      </c>
    </row>
    <row r="1833" spans="17:29" x14ac:dyDescent="0.2">
      <c r="Q1833" t="s">
        <v>2128</v>
      </c>
      <c r="R1833" t="s">
        <v>2536</v>
      </c>
      <c r="S1833" t="s">
        <v>257</v>
      </c>
      <c r="T1833" s="1">
        <v>44270</v>
      </c>
      <c r="U1833" s="1">
        <v>44270</v>
      </c>
      <c r="V1833" t="s">
        <v>260</v>
      </c>
      <c r="W1833">
        <v>3642715.93</v>
      </c>
      <c r="X1833">
        <v>3642715.93</v>
      </c>
      <c r="Y1833" t="s">
        <v>260</v>
      </c>
      <c r="Z1833">
        <v>3642715.93</v>
      </c>
      <c r="AA1833">
        <v>647064</v>
      </c>
      <c r="AB1833" t="b">
        <v>0</v>
      </c>
      <c r="AC1833">
        <v>1</v>
      </c>
    </row>
    <row r="1834" spans="17:29" x14ac:dyDescent="0.2">
      <c r="Q1834" t="s">
        <v>1989</v>
      </c>
      <c r="R1834" t="s">
        <v>2536</v>
      </c>
      <c r="S1834" t="s">
        <v>257</v>
      </c>
      <c r="T1834" s="1">
        <v>44270</v>
      </c>
      <c r="U1834" s="1">
        <v>44270</v>
      </c>
      <c r="V1834" t="s">
        <v>260</v>
      </c>
      <c r="W1834">
        <v>3642715.93</v>
      </c>
      <c r="X1834">
        <v>3642715.93</v>
      </c>
      <c r="Y1834" t="s">
        <v>260</v>
      </c>
      <c r="Z1834">
        <v>3642715.93</v>
      </c>
      <c r="AA1834">
        <v>647064</v>
      </c>
      <c r="AB1834" t="b">
        <v>0</v>
      </c>
      <c r="AC1834">
        <v>1</v>
      </c>
    </row>
    <row r="1835" spans="17:29" x14ac:dyDescent="0.2">
      <c r="Q1835" t="s">
        <v>2128</v>
      </c>
      <c r="R1835" t="s">
        <v>2537</v>
      </c>
      <c r="S1835" t="s">
        <v>257</v>
      </c>
      <c r="T1835" s="1">
        <v>44270</v>
      </c>
      <c r="U1835" s="1">
        <v>44270</v>
      </c>
      <c r="V1835" t="s">
        <v>260</v>
      </c>
      <c r="W1835">
        <v>2303939.9900000002</v>
      </c>
      <c r="X1835">
        <v>2303939.9900000002</v>
      </c>
      <c r="Y1835" t="s">
        <v>260</v>
      </c>
      <c r="Z1835">
        <v>2303939.9900000002</v>
      </c>
      <c r="AA1835">
        <v>409254</v>
      </c>
      <c r="AB1835" t="b">
        <v>0</v>
      </c>
      <c r="AC1835">
        <v>1</v>
      </c>
    </row>
    <row r="1836" spans="17:29" x14ac:dyDescent="0.2">
      <c r="Q1836" t="s">
        <v>1989</v>
      </c>
      <c r="R1836" t="s">
        <v>2537</v>
      </c>
      <c r="S1836" t="s">
        <v>257</v>
      </c>
      <c r="T1836" s="1">
        <v>44270</v>
      </c>
      <c r="U1836" s="1">
        <v>44270</v>
      </c>
      <c r="V1836" t="s">
        <v>260</v>
      </c>
      <c r="W1836">
        <v>2303939.9900000002</v>
      </c>
      <c r="X1836">
        <v>2303939.9900000002</v>
      </c>
      <c r="Y1836" t="s">
        <v>260</v>
      </c>
      <c r="Z1836">
        <v>2303939.9900000002</v>
      </c>
      <c r="AA1836">
        <v>409254</v>
      </c>
      <c r="AB1836" t="b">
        <v>0</v>
      </c>
      <c r="AC1836">
        <v>1</v>
      </c>
    </row>
    <row r="1837" spans="17:29" x14ac:dyDescent="0.2">
      <c r="Q1837" t="s">
        <v>2128</v>
      </c>
      <c r="R1837" t="s">
        <v>2538</v>
      </c>
      <c r="S1837" t="s">
        <v>257</v>
      </c>
      <c r="T1837" s="1">
        <v>44270</v>
      </c>
      <c r="U1837" s="1">
        <v>44270</v>
      </c>
      <c r="V1837" t="s">
        <v>260</v>
      </c>
      <c r="W1837">
        <v>7472237.7999999998</v>
      </c>
      <c r="X1837">
        <v>7472237.7999999998</v>
      </c>
      <c r="Y1837" t="s">
        <v>260</v>
      </c>
      <c r="Z1837">
        <v>7472237.7999999998</v>
      </c>
      <c r="AA1837">
        <v>1327312</v>
      </c>
      <c r="AB1837" t="b">
        <v>0</v>
      </c>
      <c r="AC1837">
        <v>1</v>
      </c>
    </row>
    <row r="1838" spans="17:29" x14ac:dyDescent="0.2">
      <c r="Q1838" t="s">
        <v>1989</v>
      </c>
      <c r="R1838" t="s">
        <v>2538</v>
      </c>
      <c r="S1838" t="s">
        <v>257</v>
      </c>
      <c r="T1838" s="1">
        <v>44270</v>
      </c>
      <c r="U1838" s="1">
        <v>44270</v>
      </c>
      <c r="V1838" t="s">
        <v>260</v>
      </c>
      <c r="W1838">
        <v>7472237.7999999998</v>
      </c>
      <c r="X1838">
        <v>7472237.7999999998</v>
      </c>
      <c r="Y1838" t="s">
        <v>260</v>
      </c>
      <c r="Z1838">
        <v>7472237.7999999998</v>
      </c>
      <c r="AA1838">
        <v>1327312</v>
      </c>
      <c r="AB1838" t="b">
        <v>0</v>
      </c>
      <c r="AC1838">
        <v>1</v>
      </c>
    </row>
    <row r="1839" spans="17:29" x14ac:dyDescent="0.2">
      <c r="Q1839" t="s">
        <v>2128</v>
      </c>
      <c r="R1839" t="s">
        <v>2539</v>
      </c>
      <c r="S1839" t="s">
        <v>257</v>
      </c>
      <c r="T1839" s="1">
        <v>44270</v>
      </c>
      <c r="U1839" s="1">
        <v>44270</v>
      </c>
      <c r="V1839" t="s">
        <v>260</v>
      </c>
      <c r="W1839">
        <v>1245372.97</v>
      </c>
      <c r="X1839">
        <v>1245372.97</v>
      </c>
      <c r="Y1839" t="s">
        <v>260</v>
      </c>
      <c r="Z1839">
        <v>1245372.97</v>
      </c>
      <c r="AA1839">
        <v>221218</v>
      </c>
      <c r="AB1839" t="b">
        <v>0</v>
      </c>
      <c r="AC1839">
        <v>1</v>
      </c>
    </row>
    <row r="1840" spans="17:29" x14ac:dyDescent="0.2">
      <c r="Q1840" t="s">
        <v>1989</v>
      </c>
      <c r="R1840" t="s">
        <v>2539</v>
      </c>
      <c r="S1840" t="s">
        <v>257</v>
      </c>
      <c r="T1840" s="1">
        <v>44270</v>
      </c>
      <c r="U1840" s="1">
        <v>44270</v>
      </c>
      <c r="V1840" t="s">
        <v>260</v>
      </c>
      <c r="W1840">
        <v>1245372.97</v>
      </c>
      <c r="X1840">
        <v>1245372.97</v>
      </c>
      <c r="Y1840" t="s">
        <v>260</v>
      </c>
      <c r="Z1840">
        <v>1245372.97</v>
      </c>
      <c r="AA1840">
        <v>221218</v>
      </c>
      <c r="AB1840" t="b">
        <v>0</v>
      </c>
      <c r="AC1840">
        <v>1</v>
      </c>
    </row>
    <row r="1841" spans="17:29" x14ac:dyDescent="0.2">
      <c r="Q1841" t="s">
        <v>2128</v>
      </c>
      <c r="R1841" t="s">
        <v>2540</v>
      </c>
      <c r="S1841" t="s">
        <v>257</v>
      </c>
      <c r="T1841" s="1">
        <v>44270</v>
      </c>
      <c r="U1841" s="1">
        <v>44270</v>
      </c>
      <c r="V1841" t="s">
        <v>260</v>
      </c>
      <c r="W1841">
        <v>2615283.23</v>
      </c>
      <c r="X1841">
        <v>2615283.23</v>
      </c>
      <c r="Y1841" t="s">
        <v>260</v>
      </c>
      <c r="Z1841">
        <v>2615283.23</v>
      </c>
      <c r="AA1841">
        <v>464559</v>
      </c>
      <c r="AB1841" t="b">
        <v>0</v>
      </c>
      <c r="AC1841">
        <v>1</v>
      </c>
    </row>
    <row r="1842" spans="17:29" x14ac:dyDescent="0.2">
      <c r="Q1842" t="s">
        <v>1989</v>
      </c>
      <c r="R1842" t="s">
        <v>2540</v>
      </c>
      <c r="S1842" t="s">
        <v>257</v>
      </c>
      <c r="T1842" s="1">
        <v>44270</v>
      </c>
      <c r="U1842" s="1">
        <v>44270</v>
      </c>
      <c r="V1842" t="s">
        <v>260</v>
      </c>
      <c r="W1842">
        <v>2615283.23</v>
      </c>
      <c r="X1842">
        <v>2615283.23</v>
      </c>
      <c r="Y1842" t="s">
        <v>260</v>
      </c>
      <c r="Z1842">
        <v>2615283.23</v>
      </c>
      <c r="AA1842">
        <v>464559</v>
      </c>
      <c r="AB1842" t="b">
        <v>0</v>
      </c>
      <c r="AC1842">
        <v>1</v>
      </c>
    </row>
    <row r="1843" spans="17:29" x14ac:dyDescent="0.2">
      <c r="Q1843" t="s">
        <v>2128</v>
      </c>
      <c r="R1843" t="s">
        <v>2541</v>
      </c>
      <c r="S1843" t="s">
        <v>257</v>
      </c>
      <c r="T1843" s="1">
        <v>44270</v>
      </c>
      <c r="U1843" s="1">
        <v>44270</v>
      </c>
      <c r="V1843" t="s">
        <v>260</v>
      </c>
      <c r="W1843">
        <v>3237969.71</v>
      </c>
      <c r="X1843">
        <v>3237969.71</v>
      </c>
      <c r="Y1843" t="s">
        <v>260</v>
      </c>
      <c r="Z1843">
        <v>3237969.71</v>
      </c>
      <c r="AA1843">
        <v>575168</v>
      </c>
      <c r="AB1843" t="b">
        <v>0</v>
      </c>
      <c r="AC1843">
        <v>1</v>
      </c>
    </row>
    <row r="1844" spans="17:29" x14ac:dyDescent="0.2">
      <c r="Q1844" t="s">
        <v>1989</v>
      </c>
      <c r="R1844" t="s">
        <v>2541</v>
      </c>
      <c r="S1844" t="s">
        <v>257</v>
      </c>
      <c r="T1844" s="1">
        <v>44270</v>
      </c>
      <c r="U1844" s="1">
        <v>44270</v>
      </c>
      <c r="V1844" t="s">
        <v>260</v>
      </c>
      <c r="W1844">
        <v>3237969.71</v>
      </c>
      <c r="X1844">
        <v>3237969.71</v>
      </c>
      <c r="Y1844" t="s">
        <v>260</v>
      </c>
      <c r="Z1844">
        <v>3237969.71</v>
      </c>
      <c r="AA1844">
        <v>575168</v>
      </c>
      <c r="AB1844" t="b">
        <v>0</v>
      </c>
      <c r="AC1844">
        <v>1</v>
      </c>
    </row>
    <row r="1845" spans="17:29" x14ac:dyDescent="0.2">
      <c r="Q1845" t="s">
        <v>2128</v>
      </c>
      <c r="R1845" t="s">
        <v>2542</v>
      </c>
      <c r="S1845" t="s">
        <v>257</v>
      </c>
      <c r="T1845" s="1">
        <v>44270</v>
      </c>
      <c r="U1845" s="1">
        <v>44270</v>
      </c>
      <c r="V1845" t="s">
        <v>260</v>
      </c>
      <c r="W1845">
        <v>996298.37</v>
      </c>
      <c r="X1845">
        <v>996298.37</v>
      </c>
      <c r="Y1845" t="s">
        <v>260</v>
      </c>
      <c r="Z1845">
        <v>996298.37</v>
      </c>
      <c r="AA1845">
        <v>176974</v>
      </c>
      <c r="AB1845" t="b">
        <v>0</v>
      </c>
      <c r="AC1845">
        <v>1</v>
      </c>
    </row>
    <row r="1846" spans="17:29" x14ac:dyDescent="0.2">
      <c r="Q1846" t="s">
        <v>1989</v>
      </c>
      <c r="R1846" t="s">
        <v>2542</v>
      </c>
      <c r="S1846" t="s">
        <v>257</v>
      </c>
      <c r="T1846" s="1">
        <v>44270</v>
      </c>
      <c r="U1846" s="1">
        <v>44270</v>
      </c>
      <c r="V1846" t="s">
        <v>260</v>
      </c>
      <c r="W1846">
        <v>996298.37</v>
      </c>
      <c r="X1846">
        <v>996298.37</v>
      </c>
      <c r="Y1846" t="s">
        <v>260</v>
      </c>
      <c r="Z1846">
        <v>996298.37</v>
      </c>
      <c r="AA1846">
        <v>176974</v>
      </c>
      <c r="AB1846" t="b">
        <v>0</v>
      </c>
      <c r="AC1846">
        <v>1</v>
      </c>
    </row>
    <row r="1847" spans="17:29" x14ac:dyDescent="0.2">
      <c r="Q1847" t="s">
        <v>2128</v>
      </c>
      <c r="R1847" t="s">
        <v>2543</v>
      </c>
      <c r="S1847" t="s">
        <v>257</v>
      </c>
      <c r="T1847" s="1">
        <v>44270</v>
      </c>
      <c r="U1847" s="1">
        <v>44270</v>
      </c>
      <c r="V1847" t="s">
        <v>260</v>
      </c>
      <c r="W1847">
        <v>1120835.67</v>
      </c>
      <c r="X1847">
        <v>1120835.67</v>
      </c>
      <c r="Y1847" t="s">
        <v>260</v>
      </c>
      <c r="Z1847">
        <v>1120835.67</v>
      </c>
      <c r="AA1847">
        <v>199096</v>
      </c>
      <c r="AB1847" t="b">
        <v>0</v>
      </c>
      <c r="AC1847">
        <v>1</v>
      </c>
    </row>
    <row r="1848" spans="17:29" x14ac:dyDescent="0.2">
      <c r="Q1848" t="s">
        <v>1989</v>
      </c>
      <c r="R1848" t="s">
        <v>2543</v>
      </c>
      <c r="S1848" t="s">
        <v>257</v>
      </c>
      <c r="T1848" s="1">
        <v>44270</v>
      </c>
      <c r="U1848" s="1">
        <v>44270</v>
      </c>
      <c r="V1848" t="s">
        <v>260</v>
      </c>
      <c r="W1848">
        <v>1120835.67</v>
      </c>
      <c r="X1848">
        <v>1120835.67</v>
      </c>
      <c r="Y1848" t="s">
        <v>260</v>
      </c>
      <c r="Z1848">
        <v>1120835.67</v>
      </c>
      <c r="AA1848">
        <v>199096</v>
      </c>
      <c r="AB1848" t="b">
        <v>0</v>
      </c>
      <c r="AC1848">
        <v>1</v>
      </c>
    </row>
    <row r="1849" spans="17:29" x14ac:dyDescent="0.2">
      <c r="Q1849" t="s">
        <v>2128</v>
      </c>
      <c r="R1849" t="s">
        <v>2544</v>
      </c>
      <c r="S1849" t="s">
        <v>257</v>
      </c>
      <c r="T1849" s="1">
        <v>44270</v>
      </c>
      <c r="U1849" s="1">
        <v>44270</v>
      </c>
      <c r="V1849" t="s">
        <v>260</v>
      </c>
      <c r="W1849">
        <v>871761.08</v>
      </c>
      <c r="X1849">
        <v>871761.08</v>
      </c>
      <c r="Y1849" t="s">
        <v>260</v>
      </c>
      <c r="Z1849">
        <v>871761.08</v>
      </c>
      <c r="AA1849">
        <v>154853</v>
      </c>
      <c r="AB1849" t="b">
        <v>0</v>
      </c>
      <c r="AC1849">
        <v>1</v>
      </c>
    </row>
    <row r="1850" spans="17:29" x14ac:dyDescent="0.2">
      <c r="Q1850" t="s">
        <v>1989</v>
      </c>
      <c r="R1850" t="s">
        <v>2544</v>
      </c>
      <c r="S1850" t="s">
        <v>257</v>
      </c>
      <c r="T1850" s="1">
        <v>44270</v>
      </c>
      <c r="U1850" s="1">
        <v>44270</v>
      </c>
      <c r="V1850" t="s">
        <v>260</v>
      </c>
      <c r="W1850">
        <v>871761.08</v>
      </c>
      <c r="X1850">
        <v>871761.08</v>
      </c>
      <c r="Y1850" t="s">
        <v>260</v>
      </c>
      <c r="Z1850">
        <v>871761.08</v>
      </c>
      <c r="AA1850">
        <v>154853</v>
      </c>
      <c r="AB1850" t="b">
        <v>0</v>
      </c>
      <c r="AC1850">
        <v>1</v>
      </c>
    </row>
    <row r="1851" spans="17:29" x14ac:dyDescent="0.2">
      <c r="Q1851" t="s">
        <v>2128</v>
      </c>
      <c r="R1851" t="s">
        <v>2545</v>
      </c>
      <c r="S1851" t="s">
        <v>257</v>
      </c>
      <c r="T1851" s="1">
        <v>44270</v>
      </c>
      <c r="U1851" s="1">
        <v>44270</v>
      </c>
      <c r="V1851" t="s">
        <v>260</v>
      </c>
      <c r="W1851">
        <v>996298.37</v>
      </c>
      <c r="X1851">
        <v>996298.37</v>
      </c>
      <c r="Y1851" t="s">
        <v>260</v>
      </c>
      <c r="Z1851">
        <v>996298.37</v>
      </c>
      <c r="AA1851">
        <v>176974</v>
      </c>
      <c r="AB1851" t="b">
        <v>0</v>
      </c>
      <c r="AC1851">
        <v>1</v>
      </c>
    </row>
    <row r="1852" spans="17:29" x14ac:dyDescent="0.2">
      <c r="Q1852" t="s">
        <v>1989</v>
      </c>
      <c r="R1852" t="s">
        <v>2545</v>
      </c>
      <c r="S1852" t="s">
        <v>257</v>
      </c>
      <c r="T1852" s="1">
        <v>44270</v>
      </c>
      <c r="U1852" s="1">
        <v>44270</v>
      </c>
      <c r="V1852" t="s">
        <v>260</v>
      </c>
      <c r="W1852">
        <v>996298.37</v>
      </c>
      <c r="X1852">
        <v>996298.37</v>
      </c>
      <c r="Y1852" t="s">
        <v>260</v>
      </c>
      <c r="Z1852">
        <v>996298.37</v>
      </c>
      <c r="AA1852">
        <v>176974</v>
      </c>
      <c r="AB1852" t="b">
        <v>0</v>
      </c>
      <c r="AC1852">
        <v>1</v>
      </c>
    </row>
    <row r="1853" spans="17:29" x14ac:dyDescent="0.2">
      <c r="Q1853" t="s">
        <v>2128</v>
      </c>
      <c r="R1853" t="s">
        <v>2546</v>
      </c>
      <c r="S1853" t="s">
        <v>257</v>
      </c>
      <c r="T1853" s="1">
        <v>44270</v>
      </c>
      <c r="U1853" s="1">
        <v>44270</v>
      </c>
      <c r="V1853" t="s">
        <v>260</v>
      </c>
      <c r="W1853">
        <v>913273.51</v>
      </c>
      <c r="X1853">
        <v>913273.51</v>
      </c>
      <c r="Y1853" t="s">
        <v>260</v>
      </c>
      <c r="Z1853">
        <v>913273.51</v>
      </c>
      <c r="AA1853">
        <v>162227</v>
      </c>
      <c r="AB1853" t="b">
        <v>0</v>
      </c>
      <c r="AC1853">
        <v>1</v>
      </c>
    </row>
    <row r="1854" spans="17:29" x14ac:dyDescent="0.2">
      <c r="Q1854" t="s">
        <v>1989</v>
      </c>
      <c r="R1854" t="s">
        <v>2546</v>
      </c>
      <c r="S1854" t="s">
        <v>257</v>
      </c>
      <c r="T1854" s="1">
        <v>44270</v>
      </c>
      <c r="U1854" s="1">
        <v>44270</v>
      </c>
      <c r="V1854" t="s">
        <v>260</v>
      </c>
      <c r="W1854">
        <v>913273.51</v>
      </c>
      <c r="X1854">
        <v>913273.51</v>
      </c>
      <c r="Y1854" t="s">
        <v>260</v>
      </c>
      <c r="Z1854">
        <v>913273.51</v>
      </c>
      <c r="AA1854">
        <v>162227</v>
      </c>
      <c r="AB1854" t="b">
        <v>0</v>
      </c>
      <c r="AC1854">
        <v>1</v>
      </c>
    </row>
    <row r="1855" spans="17:29" x14ac:dyDescent="0.2">
      <c r="Q1855" t="s">
        <v>2128</v>
      </c>
      <c r="R1855" t="s">
        <v>2547</v>
      </c>
      <c r="S1855" t="s">
        <v>257</v>
      </c>
      <c r="T1855" s="1">
        <v>44270</v>
      </c>
      <c r="U1855" s="1">
        <v>44270</v>
      </c>
      <c r="V1855" t="s">
        <v>260</v>
      </c>
      <c r="W1855">
        <v>1494447.56</v>
      </c>
      <c r="X1855">
        <v>1494447.56</v>
      </c>
      <c r="Y1855" t="s">
        <v>260</v>
      </c>
      <c r="Z1855">
        <v>1494447.56</v>
      </c>
      <c r="AA1855">
        <v>265462</v>
      </c>
      <c r="AB1855" t="b">
        <v>0</v>
      </c>
      <c r="AC1855">
        <v>1</v>
      </c>
    </row>
    <row r="1856" spans="17:29" x14ac:dyDescent="0.2">
      <c r="Q1856" t="s">
        <v>1989</v>
      </c>
      <c r="R1856" t="s">
        <v>2547</v>
      </c>
      <c r="S1856" t="s">
        <v>257</v>
      </c>
      <c r="T1856" s="1">
        <v>44270</v>
      </c>
      <c r="U1856" s="1">
        <v>44270</v>
      </c>
      <c r="V1856" t="s">
        <v>260</v>
      </c>
      <c r="W1856">
        <v>1494447.56</v>
      </c>
      <c r="X1856">
        <v>1494447.56</v>
      </c>
      <c r="Y1856" t="s">
        <v>260</v>
      </c>
      <c r="Z1856">
        <v>1494447.56</v>
      </c>
      <c r="AA1856">
        <v>265462</v>
      </c>
      <c r="AB1856" t="b">
        <v>0</v>
      </c>
      <c r="AC1856">
        <v>1</v>
      </c>
    </row>
    <row r="1857" spans="17:29" x14ac:dyDescent="0.2">
      <c r="Q1857" t="s">
        <v>2128</v>
      </c>
      <c r="R1857" t="s">
        <v>2548</v>
      </c>
      <c r="S1857" t="s">
        <v>257</v>
      </c>
      <c r="T1857" s="1">
        <v>44270</v>
      </c>
      <c r="U1857" s="1">
        <v>44270</v>
      </c>
      <c r="V1857" t="s">
        <v>260</v>
      </c>
      <c r="W1857">
        <v>4489358.97</v>
      </c>
      <c r="X1857">
        <v>4489358.97</v>
      </c>
      <c r="Y1857" t="s">
        <v>260</v>
      </c>
      <c r="Z1857">
        <v>4489358.97</v>
      </c>
      <c r="AA1857">
        <v>797456</v>
      </c>
      <c r="AB1857" t="b">
        <v>0</v>
      </c>
      <c r="AC1857">
        <v>1</v>
      </c>
    </row>
    <row r="1858" spans="17:29" x14ac:dyDescent="0.2">
      <c r="Q1858" t="s">
        <v>1989</v>
      </c>
      <c r="R1858" t="s">
        <v>2548</v>
      </c>
      <c r="S1858" t="s">
        <v>257</v>
      </c>
      <c r="T1858" s="1">
        <v>44270</v>
      </c>
      <c r="U1858" s="1">
        <v>44270</v>
      </c>
      <c r="V1858" t="s">
        <v>260</v>
      </c>
      <c r="W1858">
        <v>4489358.97</v>
      </c>
      <c r="X1858">
        <v>4489358.97</v>
      </c>
      <c r="Y1858" t="s">
        <v>260</v>
      </c>
      <c r="Z1858">
        <v>4489358.97</v>
      </c>
      <c r="AA1858">
        <v>797456</v>
      </c>
      <c r="AB1858" t="b">
        <v>0</v>
      </c>
      <c r="AC1858">
        <v>1</v>
      </c>
    </row>
    <row r="1859" spans="17:29" x14ac:dyDescent="0.2">
      <c r="Q1859" t="s">
        <v>2128</v>
      </c>
      <c r="R1859" t="s">
        <v>2549</v>
      </c>
      <c r="S1859" t="s">
        <v>257</v>
      </c>
      <c r="T1859" s="1">
        <v>44270</v>
      </c>
      <c r="U1859" s="1">
        <v>44270</v>
      </c>
      <c r="V1859" t="s">
        <v>260</v>
      </c>
      <c r="W1859">
        <v>4489358.97</v>
      </c>
      <c r="X1859">
        <v>4489358.97</v>
      </c>
      <c r="Y1859" t="s">
        <v>260</v>
      </c>
      <c r="Z1859">
        <v>4489358.97</v>
      </c>
      <c r="AA1859">
        <v>797456</v>
      </c>
      <c r="AB1859" t="b">
        <v>0</v>
      </c>
      <c r="AC1859">
        <v>1</v>
      </c>
    </row>
    <row r="1860" spans="17:29" x14ac:dyDescent="0.2">
      <c r="Q1860" t="s">
        <v>1989</v>
      </c>
      <c r="R1860" t="s">
        <v>2549</v>
      </c>
      <c r="S1860" t="s">
        <v>257</v>
      </c>
      <c r="T1860" s="1">
        <v>44270</v>
      </c>
      <c r="U1860" s="1">
        <v>44270</v>
      </c>
      <c r="V1860" t="s">
        <v>260</v>
      </c>
      <c r="W1860">
        <v>4489358.97</v>
      </c>
      <c r="X1860">
        <v>4489358.97</v>
      </c>
      <c r="Y1860" t="s">
        <v>260</v>
      </c>
      <c r="Z1860">
        <v>4489358.97</v>
      </c>
      <c r="AA1860">
        <v>797456</v>
      </c>
      <c r="AB1860" t="b">
        <v>0</v>
      </c>
      <c r="AC1860">
        <v>1</v>
      </c>
    </row>
    <row r="1861" spans="17:29" x14ac:dyDescent="0.2">
      <c r="Q1861" t="s">
        <v>2128</v>
      </c>
      <c r="R1861" t="s">
        <v>2550</v>
      </c>
      <c r="S1861" t="s">
        <v>257</v>
      </c>
      <c r="T1861" s="1">
        <v>44270</v>
      </c>
      <c r="U1861" s="1">
        <v>44270</v>
      </c>
      <c r="V1861" t="s">
        <v>260</v>
      </c>
      <c r="W1861">
        <v>2861951.31</v>
      </c>
      <c r="X1861">
        <v>2861951.31</v>
      </c>
      <c r="Y1861" t="s">
        <v>260</v>
      </c>
      <c r="Z1861">
        <v>2861951.31</v>
      </c>
      <c r="AA1861">
        <v>508375</v>
      </c>
      <c r="AB1861" t="b">
        <v>0</v>
      </c>
      <c r="AC1861">
        <v>1</v>
      </c>
    </row>
    <row r="1862" spans="17:29" x14ac:dyDescent="0.2">
      <c r="Q1862" t="s">
        <v>1989</v>
      </c>
      <c r="R1862" t="s">
        <v>2550</v>
      </c>
      <c r="S1862" t="s">
        <v>257</v>
      </c>
      <c r="T1862" s="1">
        <v>44270</v>
      </c>
      <c r="U1862" s="1">
        <v>44270</v>
      </c>
      <c r="V1862" t="s">
        <v>260</v>
      </c>
      <c r="W1862">
        <v>2861951.31</v>
      </c>
      <c r="X1862">
        <v>2861951.31</v>
      </c>
      <c r="Y1862" t="s">
        <v>260</v>
      </c>
      <c r="Z1862">
        <v>2861951.31</v>
      </c>
      <c r="AA1862">
        <v>508375</v>
      </c>
      <c r="AB1862" t="b">
        <v>0</v>
      </c>
      <c r="AC1862">
        <v>1</v>
      </c>
    </row>
    <row r="1863" spans="17:29" x14ac:dyDescent="0.2">
      <c r="Q1863" t="s">
        <v>2128</v>
      </c>
      <c r="R1863" t="s">
        <v>2551</v>
      </c>
      <c r="S1863" t="s">
        <v>257</v>
      </c>
      <c r="T1863" s="1">
        <v>44270</v>
      </c>
      <c r="U1863" s="1">
        <v>44270</v>
      </c>
      <c r="V1863" t="s">
        <v>260</v>
      </c>
      <c r="W1863">
        <v>4047462.14</v>
      </c>
      <c r="X1863">
        <v>4047462.14</v>
      </c>
      <c r="Y1863" t="s">
        <v>260</v>
      </c>
      <c r="Z1863">
        <v>4047462.14</v>
      </c>
      <c r="AA1863">
        <v>718960</v>
      </c>
      <c r="AB1863" t="b">
        <v>0</v>
      </c>
      <c r="AC1863">
        <v>1</v>
      </c>
    </row>
    <row r="1864" spans="17:29" x14ac:dyDescent="0.2">
      <c r="Q1864" t="s">
        <v>1989</v>
      </c>
      <c r="R1864" t="s">
        <v>2551</v>
      </c>
      <c r="S1864" t="s">
        <v>257</v>
      </c>
      <c r="T1864" s="1">
        <v>44270</v>
      </c>
      <c r="U1864" s="1">
        <v>44270</v>
      </c>
      <c r="V1864" t="s">
        <v>260</v>
      </c>
      <c r="W1864">
        <v>4047462.14</v>
      </c>
      <c r="X1864">
        <v>4047462.14</v>
      </c>
      <c r="Y1864" t="s">
        <v>260</v>
      </c>
      <c r="Z1864">
        <v>4047462.14</v>
      </c>
      <c r="AA1864">
        <v>718960</v>
      </c>
      <c r="AB1864" t="b">
        <v>0</v>
      </c>
      <c r="AC1864">
        <v>1</v>
      </c>
    </row>
    <row r="1865" spans="17:29" x14ac:dyDescent="0.2">
      <c r="Q1865" t="s">
        <v>2128</v>
      </c>
      <c r="R1865" t="s">
        <v>2552</v>
      </c>
      <c r="S1865" t="s">
        <v>257</v>
      </c>
      <c r="T1865" s="1">
        <v>44270</v>
      </c>
      <c r="U1865" s="1">
        <v>44270</v>
      </c>
      <c r="V1865" t="s">
        <v>260</v>
      </c>
      <c r="W1865">
        <v>9737372.6899999995</v>
      </c>
      <c r="X1865">
        <v>9737372.6899999995</v>
      </c>
      <c r="Y1865" t="s">
        <v>260</v>
      </c>
      <c r="Z1865">
        <v>9737372.6899999995</v>
      </c>
      <c r="AA1865">
        <v>1729673</v>
      </c>
      <c r="AB1865" t="b">
        <v>0</v>
      </c>
      <c r="AC1865">
        <v>1</v>
      </c>
    </row>
    <row r="1866" spans="17:29" x14ac:dyDescent="0.2">
      <c r="Q1866" t="s">
        <v>1989</v>
      </c>
      <c r="R1866" t="s">
        <v>2552</v>
      </c>
      <c r="S1866" t="s">
        <v>257</v>
      </c>
      <c r="T1866" s="1">
        <v>44270</v>
      </c>
      <c r="U1866" s="1">
        <v>44270</v>
      </c>
      <c r="V1866" t="s">
        <v>260</v>
      </c>
      <c r="W1866">
        <v>9737372.6899999995</v>
      </c>
      <c r="X1866">
        <v>9737372.6899999995</v>
      </c>
      <c r="Y1866" t="s">
        <v>260</v>
      </c>
      <c r="Z1866">
        <v>9737372.6899999995</v>
      </c>
      <c r="AA1866">
        <v>1729673</v>
      </c>
      <c r="AB1866" t="b">
        <v>0</v>
      </c>
      <c r="AC1866">
        <v>1</v>
      </c>
    </row>
    <row r="1867" spans="17:29" x14ac:dyDescent="0.2">
      <c r="Q1867" t="s">
        <v>2128</v>
      </c>
      <c r="R1867" t="s">
        <v>2553</v>
      </c>
      <c r="S1867" t="s">
        <v>257</v>
      </c>
      <c r="T1867" s="1">
        <v>44270</v>
      </c>
      <c r="U1867" s="1">
        <v>44270</v>
      </c>
      <c r="V1867" t="s">
        <v>260</v>
      </c>
      <c r="W1867">
        <v>9737372.6899999995</v>
      </c>
      <c r="X1867">
        <v>9737372.6899999995</v>
      </c>
      <c r="Y1867" t="s">
        <v>260</v>
      </c>
      <c r="Z1867">
        <v>9737372.6899999995</v>
      </c>
      <c r="AA1867">
        <v>1729673</v>
      </c>
      <c r="AB1867" t="b">
        <v>0</v>
      </c>
      <c r="AC1867">
        <v>1</v>
      </c>
    </row>
    <row r="1868" spans="17:29" x14ac:dyDescent="0.2">
      <c r="Q1868" t="s">
        <v>1989</v>
      </c>
      <c r="R1868" t="s">
        <v>2553</v>
      </c>
      <c r="S1868" t="s">
        <v>257</v>
      </c>
      <c r="T1868" s="1">
        <v>44270</v>
      </c>
      <c r="U1868" s="1">
        <v>44270</v>
      </c>
      <c r="V1868" t="s">
        <v>260</v>
      </c>
      <c r="W1868">
        <v>9737372.6899999995</v>
      </c>
      <c r="X1868">
        <v>9737372.6899999995</v>
      </c>
      <c r="Y1868" t="s">
        <v>260</v>
      </c>
      <c r="Z1868">
        <v>9737372.6899999995</v>
      </c>
      <c r="AA1868">
        <v>1729673</v>
      </c>
      <c r="AB1868" t="b">
        <v>0</v>
      </c>
      <c r="AC1868">
        <v>1</v>
      </c>
    </row>
    <row r="1869" spans="17:29" x14ac:dyDescent="0.2">
      <c r="Q1869" t="s">
        <v>2128</v>
      </c>
      <c r="R1869" t="s">
        <v>2554</v>
      </c>
      <c r="S1869" t="s">
        <v>257</v>
      </c>
      <c r="T1869" s="1">
        <v>44270</v>
      </c>
      <c r="U1869" s="1">
        <v>44270</v>
      </c>
      <c r="V1869" t="s">
        <v>260</v>
      </c>
      <c r="W1869">
        <v>5767520.75</v>
      </c>
      <c r="X1869">
        <v>5767520.75</v>
      </c>
      <c r="Y1869" t="s">
        <v>260</v>
      </c>
      <c r="Z1869">
        <v>5767520.75</v>
      </c>
      <c r="AA1869">
        <v>1024499</v>
      </c>
      <c r="AB1869" t="b">
        <v>0</v>
      </c>
      <c r="AC1869">
        <v>1</v>
      </c>
    </row>
    <row r="1870" spans="17:29" x14ac:dyDescent="0.2">
      <c r="Q1870" t="s">
        <v>1989</v>
      </c>
      <c r="R1870" t="s">
        <v>2554</v>
      </c>
      <c r="S1870" t="s">
        <v>257</v>
      </c>
      <c r="T1870" s="1">
        <v>44270</v>
      </c>
      <c r="U1870" s="1">
        <v>44270</v>
      </c>
      <c r="V1870" t="s">
        <v>260</v>
      </c>
      <c r="W1870">
        <v>5767520.75</v>
      </c>
      <c r="X1870">
        <v>5767520.75</v>
      </c>
      <c r="Y1870" t="s">
        <v>260</v>
      </c>
      <c r="Z1870">
        <v>5767520.75</v>
      </c>
      <c r="AA1870">
        <v>1024499</v>
      </c>
      <c r="AB1870" t="b">
        <v>0</v>
      </c>
      <c r="AC1870">
        <v>1</v>
      </c>
    </row>
    <row r="1871" spans="17:29" x14ac:dyDescent="0.2">
      <c r="Q1871" t="s">
        <v>2128</v>
      </c>
      <c r="R1871" t="s">
        <v>2555</v>
      </c>
      <c r="S1871" t="s">
        <v>257</v>
      </c>
      <c r="T1871" s="1">
        <v>44270</v>
      </c>
      <c r="U1871" s="1">
        <v>44270</v>
      </c>
      <c r="V1871" t="s">
        <v>260</v>
      </c>
      <c r="W1871">
        <v>2324696.2000000002</v>
      </c>
      <c r="X1871">
        <v>2324696.2000000002</v>
      </c>
      <c r="Y1871" t="s">
        <v>260</v>
      </c>
      <c r="Z1871">
        <v>2324696.2000000002</v>
      </c>
      <c r="AA1871">
        <v>412941</v>
      </c>
      <c r="AB1871" t="b">
        <v>0</v>
      </c>
      <c r="AC1871">
        <v>1</v>
      </c>
    </row>
    <row r="1872" spans="17:29" x14ac:dyDescent="0.2">
      <c r="Q1872" t="s">
        <v>1989</v>
      </c>
      <c r="R1872" t="s">
        <v>2555</v>
      </c>
      <c r="S1872" t="s">
        <v>257</v>
      </c>
      <c r="T1872" s="1">
        <v>44270</v>
      </c>
      <c r="U1872" s="1">
        <v>44270</v>
      </c>
      <c r="V1872" t="s">
        <v>260</v>
      </c>
      <c r="W1872">
        <v>2324696.2000000002</v>
      </c>
      <c r="X1872">
        <v>2324696.2000000002</v>
      </c>
      <c r="Y1872" t="s">
        <v>260</v>
      </c>
      <c r="Z1872">
        <v>2324696.2000000002</v>
      </c>
      <c r="AA1872">
        <v>412941</v>
      </c>
      <c r="AB1872" t="b">
        <v>0</v>
      </c>
      <c r="AC1872">
        <v>1</v>
      </c>
    </row>
    <row r="1873" spans="17:29" x14ac:dyDescent="0.2">
      <c r="Q1873" t="s">
        <v>2128</v>
      </c>
      <c r="R1873" t="s">
        <v>2556</v>
      </c>
      <c r="S1873" t="s">
        <v>257</v>
      </c>
      <c r="T1873" s="1">
        <v>44270</v>
      </c>
      <c r="U1873" s="1">
        <v>44270</v>
      </c>
      <c r="V1873" t="s">
        <v>260</v>
      </c>
      <c r="W1873">
        <v>2158646.48</v>
      </c>
      <c r="X1873">
        <v>2158646.48</v>
      </c>
      <c r="Y1873" t="s">
        <v>260</v>
      </c>
      <c r="Z1873">
        <v>2158646.48</v>
      </c>
      <c r="AA1873">
        <v>383445</v>
      </c>
      <c r="AB1873" t="b">
        <v>0</v>
      </c>
      <c r="AC1873">
        <v>1</v>
      </c>
    </row>
    <row r="1874" spans="17:29" x14ac:dyDescent="0.2">
      <c r="Q1874" t="s">
        <v>1989</v>
      </c>
      <c r="R1874" t="s">
        <v>2556</v>
      </c>
      <c r="S1874" t="s">
        <v>257</v>
      </c>
      <c r="T1874" s="1">
        <v>44270</v>
      </c>
      <c r="U1874" s="1">
        <v>44270</v>
      </c>
      <c r="V1874" t="s">
        <v>260</v>
      </c>
      <c r="W1874">
        <v>2158646.48</v>
      </c>
      <c r="X1874">
        <v>2158646.48</v>
      </c>
      <c r="Y1874" t="s">
        <v>260</v>
      </c>
      <c r="Z1874">
        <v>2158646.48</v>
      </c>
      <c r="AA1874">
        <v>383445</v>
      </c>
      <c r="AB1874" t="b">
        <v>0</v>
      </c>
      <c r="AC1874">
        <v>1</v>
      </c>
    </row>
    <row r="1875" spans="17:29" x14ac:dyDescent="0.2">
      <c r="Q1875" t="s">
        <v>2128</v>
      </c>
      <c r="R1875" t="s">
        <v>2557</v>
      </c>
      <c r="S1875" t="s">
        <v>257</v>
      </c>
      <c r="T1875" s="1">
        <v>44270</v>
      </c>
      <c r="U1875" s="1">
        <v>44270</v>
      </c>
      <c r="V1875" t="s">
        <v>260</v>
      </c>
      <c r="W1875">
        <v>2621600.34</v>
      </c>
      <c r="X1875">
        <v>2621600.34</v>
      </c>
      <c r="Y1875" t="s">
        <v>260</v>
      </c>
      <c r="Z1875">
        <v>2621600.34</v>
      </c>
      <c r="AA1875">
        <v>465681</v>
      </c>
      <c r="AB1875" t="b">
        <v>0</v>
      </c>
      <c r="AC1875">
        <v>1</v>
      </c>
    </row>
    <row r="1876" spans="17:29" x14ac:dyDescent="0.2">
      <c r="Q1876" t="s">
        <v>1989</v>
      </c>
      <c r="R1876" t="s">
        <v>2557</v>
      </c>
      <c r="S1876" t="s">
        <v>257</v>
      </c>
      <c r="T1876" s="1">
        <v>44270</v>
      </c>
      <c r="U1876" s="1">
        <v>44270</v>
      </c>
      <c r="V1876" t="s">
        <v>260</v>
      </c>
      <c r="W1876">
        <v>2621600.34</v>
      </c>
      <c r="X1876">
        <v>2621600.34</v>
      </c>
      <c r="Y1876" t="s">
        <v>260</v>
      </c>
      <c r="Z1876">
        <v>2621600.34</v>
      </c>
      <c r="AA1876">
        <v>465681</v>
      </c>
      <c r="AB1876" t="b">
        <v>0</v>
      </c>
      <c r="AC1876">
        <v>1</v>
      </c>
    </row>
    <row r="1877" spans="17:29" x14ac:dyDescent="0.2">
      <c r="Q1877" t="s">
        <v>2128</v>
      </c>
      <c r="R1877" t="s">
        <v>2558</v>
      </c>
      <c r="S1877" t="s">
        <v>257</v>
      </c>
      <c r="T1877" s="1">
        <v>44270</v>
      </c>
      <c r="U1877" s="1">
        <v>44270</v>
      </c>
      <c r="V1877" t="s">
        <v>260</v>
      </c>
      <c r="W1877">
        <v>2335074.31</v>
      </c>
      <c r="X1877">
        <v>2335074.31</v>
      </c>
      <c r="Y1877" t="s">
        <v>260</v>
      </c>
      <c r="Z1877">
        <v>2335074.31</v>
      </c>
      <c r="AA1877">
        <v>414785</v>
      </c>
      <c r="AB1877" t="b">
        <v>0</v>
      </c>
      <c r="AC1877">
        <v>1</v>
      </c>
    </row>
    <row r="1878" spans="17:29" x14ac:dyDescent="0.2">
      <c r="Q1878" t="s">
        <v>1989</v>
      </c>
      <c r="R1878" t="s">
        <v>2558</v>
      </c>
      <c r="S1878" t="s">
        <v>257</v>
      </c>
      <c r="T1878" s="1">
        <v>44270</v>
      </c>
      <c r="U1878" s="1">
        <v>44270</v>
      </c>
      <c r="V1878" t="s">
        <v>260</v>
      </c>
      <c r="W1878">
        <v>2335074.31</v>
      </c>
      <c r="X1878">
        <v>2335074.31</v>
      </c>
      <c r="Y1878" t="s">
        <v>260</v>
      </c>
      <c r="Z1878">
        <v>2335074.31</v>
      </c>
      <c r="AA1878">
        <v>414785</v>
      </c>
      <c r="AB1878" t="b">
        <v>0</v>
      </c>
      <c r="AC1878">
        <v>1</v>
      </c>
    </row>
    <row r="1879" spans="17:29" x14ac:dyDescent="0.2">
      <c r="Q1879" t="s">
        <v>2128</v>
      </c>
      <c r="R1879" t="s">
        <v>2559</v>
      </c>
      <c r="S1879" t="s">
        <v>257</v>
      </c>
      <c r="T1879" s="1">
        <v>44270</v>
      </c>
      <c r="U1879" s="1">
        <v>44270</v>
      </c>
      <c r="V1879" t="s">
        <v>260</v>
      </c>
      <c r="W1879">
        <v>1209275.2</v>
      </c>
      <c r="X1879">
        <v>1209275.2</v>
      </c>
      <c r="Y1879" t="s">
        <v>260</v>
      </c>
      <c r="Z1879">
        <v>1209275.2</v>
      </c>
      <c r="AA1879">
        <v>214806</v>
      </c>
      <c r="AB1879" t="b">
        <v>0</v>
      </c>
      <c r="AC1879">
        <v>1</v>
      </c>
    </row>
    <row r="1880" spans="17:29" x14ac:dyDescent="0.2">
      <c r="Q1880" t="s">
        <v>1989</v>
      </c>
      <c r="R1880" t="s">
        <v>2559</v>
      </c>
      <c r="S1880" t="s">
        <v>257</v>
      </c>
      <c r="T1880" s="1">
        <v>44270</v>
      </c>
      <c r="U1880" s="1">
        <v>44270</v>
      </c>
      <c r="V1880" t="s">
        <v>260</v>
      </c>
      <c r="W1880">
        <v>1209275.2</v>
      </c>
      <c r="X1880">
        <v>1209275.2</v>
      </c>
      <c r="Y1880" t="s">
        <v>260</v>
      </c>
      <c r="Z1880">
        <v>1209275.2</v>
      </c>
      <c r="AA1880">
        <v>214806</v>
      </c>
      <c r="AB1880" t="b">
        <v>0</v>
      </c>
      <c r="AC1880">
        <v>1</v>
      </c>
    </row>
    <row r="1881" spans="17:29" x14ac:dyDescent="0.2">
      <c r="Q1881" t="s">
        <v>2128</v>
      </c>
      <c r="R1881" t="s">
        <v>2560</v>
      </c>
      <c r="S1881" t="s">
        <v>257</v>
      </c>
      <c r="T1881" s="1">
        <v>44270</v>
      </c>
      <c r="U1881" s="1">
        <v>44270</v>
      </c>
      <c r="V1881" t="s">
        <v>260</v>
      </c>
      <c r="W1881">
        <v>9854690.4299999997</v>
      </c>
      <c r="X1881">
        <v>9854690.4299999997</v>
      </c>
      <c r="Y1881" t="s">
        <v>260</v>
      </c>
      <c r="Z1881">
        <v>9854690.4299999997</v>
      </c>
      <c r="AA1881">
        <v>1750513</v>
      </c>
      <c r="AB1881" t="b">
        <v>0</v>
      </c>
      <c r="AC1881">
        <v>1</v>
      </c>
    </row>
    <row r="1882" spans="17:29" x14ac:dyDescent="0.2">
      <c r="Q1882" t="s">
        <v>1989</v>
      </c>
      <c r="R1882" t="s">
        <v>2560</v>
      </c>
      <c r="S1882" t="s">
        <v>257</v>
      </c>
      <c r="T1882" s="1">
        <v>44270</v>
      </c>
      <c r="U1882" s="1">
        <v>44270</v>
      </c>
      <c r="V1882" t="s">
        <v>260</v>
      </c>
      <c r="W1882">
        <v>9854690.4299999997</v>
      </c>
      <c r="X1882">
        <v>9854690.4299999997</v>
      </c>
      <c r="Y1882" t="s">
        <v>260</v>
      </c>
      <c r="Z1882">
        <v>9854690.4299999997</v>
      </c>
      <c r="AA1882">
        <v>1750513</v>
      </c>
      <c r="AB1882" t="b">
        <v>0</v>
      </c>
      <c r="AC1882">
        <v>1</v>
      </c>
    </row>
    <row r="1883" spans="17:29" x14ac:dyDescent="0.2">
      <c r="Q1883" t="s">
        <v>2128</v>
      </c>
      <c r="R1883" t="s">
        <v>2561</v>
      </c>
      <c r="S1883" t="s">
        <v>257</v>
      </c>
      <c r="T1883" s="1">
        <v>44270</v>
      </c>
      <c r="U1883" s="1">
        <v>44270</v>
      </c>
      <c r="V1883" t="s">
        <v>260</v>
      </c>
      <c r="W1883">
        <v>4606526.3099999996</v>
      </c>
      <c r="X1883">
        <v>4606526.3099999996</v>
      </c>
      <c r="Y1883" t="s">
        <v>260</v>
      </c>
      <c r="Z1883">
        <v>4606526.3099999996</v>
      </c>
      <c r="AA1883">
        <v>818268</v>
      </c>
      <c r="AB1883" t="b">
        <v>0</v>
      </c>
      <c r="AC1883">
        <v>1</v>
      </c>
    </row>
    <row r="1884" spans="17:29" x14ac:dyDescent="0.2">
      <c r="Q1884" t="s">
        <v>1989</v>
      </c>
      <c r="R1884" t="s">
        <v>2561</v>
      </c>
      <c r="S1884" t="s">
        <v>257</v>
      </c>
      <c r="T1884" s="1">
        <v>44270</v>
      </c>
      <c r="U1884" s="1">
        <v>44270</v>
      </c>
      <c r="V1884" t="s">
        <v>260</v>
      </c>
      <c r="W1884">
        <v>4606526.3099999996</v>
      </c>
      <c r="X1884">
        <v>4606526.3099999996</v>
      </c>
      <c r="Y1884" t="s">
        <v>260</v>
      </c>
      <c r="Z1884">
        <v>4606526.3099999996</v>
      </c>
      <c r="AA1884">
        <v>818268</v>
      </c>
      <c r="AB1884" t="b">
        <v>0</v>
      </c>
      <c r="AC1884">
        <v>1</v>
      </c>
    </row>
    <row r="1885" spans="17:29" x14ac:dyDescent="0.2">
      <c r="Q1885" t="s">
        <v>2128</v>
      </c>
      <c r="R1885" t="s">
        <v>2562</v>
      </c>
      <c r="S1885" t="s">
        <v>257</v>
      </c>
      <c r="T1885" s="1">
        <v>44270</v>
      </c>
      <c r="U1885" s="1">
        <v>44270</v>
      </c>
      <c r="V1885" t="s">
        <v>260</v>
      </c>
      <c r="W1885">
        <v>726467.56</v>
      </c>
      <c r="X1885">
        <v>726467.56</v>
      </c>
      <c r="Y1885" t="s">
        <v>260</v>
      </c>
      <c r="Z1885">
        <v>726467.56</v>
      </c>
      <c r="AA1885">
        <v>129044</v>
      </c>
      <c r="AB1885" t="b">
        <v>0</v>
      </c>
      <c r="AC1885">
        <v>1</v>
      </c>
    </row>
    <row r="1886" spans="17:29" x14ac:dyDescent="0.2">
      <c r="Q1886" t="s">
        <v>1989</v>
      </c>
      <c r="R1886" t="s">
        <v>2562</v>
      </c>
      <c r="S1886" t="s">
        <v>257</v>
      </c>
      <c r="T1886" s="1">
        <v>44270</v>
      </c>
      <c r="U1886" s="1">
        <v>44270</v>
      </c>
      <c r="V1886" t="s">
        <v>260</v>
      </c>
      <c r="W1886">
        <v>726467.56</v>
      </c>
      <c r="X1886">
        <v>726467.56</v>
      </c>
      <c r="Y1886" t="s">
        <v>260</v>
      </c>
      <c r="Z1886">
        <v>726467.56</v>
      </c>
      <c r="AA1886">
        <v>129044</v>
      </c>
      <c r="AB1886" t="b">
        <v>0</v>
      </c>
      <c r="AC1886">
        <v>1</v>
      </c>
    </row>
    <row r="1887" spans="17:29" x14ac:dyDescent="0.2">
      <c r="Q1887" t="s">
        <v>2128</v>
      </c>
      <c r="R1887" t="s">
        <v>2563</v>
      </c>
      <c r="S1887" t="s">
        <v>257</v>
      </c>
      <c r="T1887" s="1">
        <v>44270</v>
      </c>
      <c r="U1887" s="1">
        <v>44270</v>
      </c>
      <c r="V1887" t="s">
        <v>260</v>
      </c>
      <c r="W1887">
        <v>2075621.61</v>
      </c>
      <c r="X1887">
        <v>2075621.61</v>
      </c>
      <c r="Y1887" t="s">
        <v>260</v>
      </c>
      <c r="Z1887">
        <v>2075621.61</v>
      </c>
      <c r="AA1887">
        <v>368697</v>
      </c>
      <c r="AB1887" t="b">
        <v>0</v>
      </c>
      <c r="AC1887">
        <v>1</v>
      </c>
    </row>
    <row r="1888" spans="17:29" x14ac:dyDescent="0.2">
      <c r="Q1888" t="s">
        <v>1989</v>
      </c>
      <c r="R1888" t="s">
        <v>2563</v>
      </c>
      <c r="S1888" t="s">
        <v>257</v>
      </c>
      <c r="T1888" s="1">
        <v>44270</v>
      </c>
      <c r="U1888" s="1">
        <v>44270</v>
      </c>
      <c r="V1888" t="s">
        <v>260</v>
      </c>
      <c r="W1888">
        <v>2075621.61</v>
      </c>
      <c r="X1888">
        <v>2075621.61</v>
      </c>
      <c r="Y1888" t="s">
        <v>260</v>
      </c>
      <c r="Z1888">
        <v>2075621.61</v>
      </c>
      <c r="AA1888">
        <v>368697</v>
      </c>
      <c r="AB1888" t="b">
        <v>0</v>
      </c>
      <c r="AC1888">
        <v>1</v>
      </c>
    </row>
    <row r="1889" spans="17:29" x14ac:dyDescent="0.2">
      <c r="Q1889" t="s">
        <v>2128</v>
      </c>
      <c r="R1889" t="s">
        <v>2564</v>
      </c>
      <c r="S1889" t="s">
        <v>257</v>
      </c>
      <c r="T1889" s="1">
        <v>44270</v>
      </c>
      <c r="U1889" s="1">
        <v>44270</v>
      </c>
      <c r="V1889" t="s">
        <v>260</v>
      </c>
      <c r="W1889">
        <v>954785.94</v>
      </c>
      <c r="X1889">
        <v>954785.94</v>
      </c>
      <c r="Y1889" t="s">
        <v>260</v>
      </c>
      <c r="Z1889">
        <v>954785.94</v>
      </c>
      <c r="AA1889">
        <v>169601</v>
      </c>
      <c r="AB1889" t="b">
        <v>0</v>
      </c>
      <c r="AC1889">
        <v>1</v>
      </c>
    </row>
    <row r="1890" spans="17:29" x14ac:dyDescent="0.2">
      <c r="Q1890" t="s">
        <v>1989</v>
      </c>
      <c r="R1890" t="s">
        <v>2564</v>
      </c>
      <c r="S1890" t="s">
        <v>257</v>
      </c>
      <c r="T1890" s="1">
        <v>44270</v>
      </c>
      <c r="U1890" s="1">
        <v>44270</v>
      </c>
      <c r="V1890" t="s">
        <v>260</v>
      </c>
      <c r="W1890">
        <v>954785.94</v>
      </c>
      <c r="X1890">
        <v>954785.94</v>
      </c>
      <c r="Y1890" t="s">
        <v>260</v>
      </c>
      <c r="Z1890">
        <v>954785.94</v>
      </c>
      <c r="AA1890">
        <v>169601</v>
      </c>
      <c r="AB1890" t="b">
        <v>0</v>
      </c>
      <c r="AC1890">
        <v>1</v>
      </c>
    </row>
    <row r="1891" spans="17:29" x14ac:dyDescent="0.2">
      <c r="Q1891" t="s">
        <v>2128</v>
      </c>
      <c r="R1891" t="s">
        <v>2565</v>
      </c>
      <c r="S1891" t="s">
        <v>257</v>
      </c>
      <c r="T1891" s="1">
        <v>44270</v>
      </c>
      <c r="U1891" s="1">
        <v>44270</v>
      </c>
      <c r="V1891" t="s">
        <v>260</v>
      </c>
      <c r="W1891">
        <v>4576745.6500000004</v>
      </c>
      <c r="X1891">
        <v>4576745.6500000004</v>
      </c>
      <c r="Y1891" t="s">
        <v>260</v>
      </c>
      <c r="Z1891">
        <v>4576745.6500000004</v>
      </c>
      <c r="AA1891">
        <v>812978</v>
      </c>
      <c r="AB1891" t="b">
        <v>0</v>
      </c>
      <c r="AC1891">
        <v>1</v>
      </c>
    </row>
    <row r="1892" spans="17:29" x14ac:dyDescent="0.2">
      <c r="Q1892" t="s">
        <v>1989</v>
      </c>
      <c r="R1892" t="s">
        <v>2565</v>
      </c>
      <c r="S1892" t="s">
        <v>257</v>
      </c>
      <c r="T1892" s="1">
        <v>44270</v>
      </c>
      <c r="U1892" s="1">
        <v>44270</v>
      </c>
      <c r="V1892" t="s">
        <v>260</v>
      </c>
      <c r="W1892">
        <v>4576745.6500000004</v>
      </c>
      <c r="X1892">
        <v>4576745.6500000004</v>
      </c>
      <c r="Y1892" t="s">
        <v>260</v>
      </c>
      <c r="Z1892">
        <v>4576745.6500000004</v>
      </c>
      <c r="AA1892">
        <v>812978</v>
      </c>
      <c r="AB1892" t="b">
        <v>0</v>
      </c>
      <c r="AC1892">
        <v>1</v>
      </c>
    </row>
    <row r="1893" spans="17:29" x14ac:dyDescent="0.2">
      <c r="Q1893" t="s">
        <v>2128</v>
      </c>
      <c r="R1893" t="s">
        <v>2566</v>
      </c>
      <c r="S1893" t="s">
        <v>257</v>
      </c>
      <c r="T1893" s="1">
        <v>44270</v>
      </c>
      <c r="U1893" s="1">
        <v>44270</v>
      </c>
      <c r="V1893" t="s">
        <v>260</v>
      </c>
      <c r="W1893">
        <v>1826547.02</v>
      </c>
      <c r="X1893">
        <v>1826547.02</v>
      </c>
      <c r="Y1893" t="s">
        <v>260</v>
      </c>
      <c r="Z1893">
        <v>1826547.02</v>
      </c>
      <c r="AA1893">
        <v>324454</v>
      </c>
      <c r="AB1893" t="b">
        <v>0</v>
      </c>
      <c r="AC1893">
        <v>1</v>
      </c>
    </row>
    <row r="1894" spans="17:29" x14ac:dyDescent="0.2">
      <c r="Q1894" t="s">
        <v>1989</v>
      </c>
      <c r="R1894" t="s">
        <v>2566</v>
      </c>
      <c r="S1894" t="s">
        <v>257</v>
      </c>
      <c r="T1894" s="1">
        <v>44270</v>
      </c>
      <c r="U1894" s="1">
        <v>44270</v>
      </c>
      <c r="V1894" t="s">
        <v>260</v>
      </c>
      <c r="W1894">
        <v>1826547.02</v>
      </c>
      <c r="X1894">
        <v>1826547.02</v>
      </c>
      <c r="Y1894" t="s">
        <v>260</v>
      </c>
      <c r="Z1894">
        <v>1826547.02</v>
      </c>
      <c r="AA1894">
        <v>324454</v>
      </c>
      <c r="AB1894" t="b">
        <v>0</v>
      </c>
      <c r="AC1894">
        <v>1</v>
      </c>
    </row>
    <row r="1895" spans="17:29" x14ac:dyDescent="0.2">
      <c r="Q1895" t="s">
        <v>2128</v>
      </c>
      <c r="R1895" t="s">
        <v>2567</v>
      </c>
      <c r="S1895" t="s">
        <v>257</v>
      </c>
      <c r="T1895" s="1">
        <v>44270</v>
      </c>
      <c r="U1895" s="1">
        <v>44270</v>
      </c>
      <c r="V1895" t="s">
        <v>260</v>
      </c>
      <c r="W1895">
        <v>1245372.97</v>
      </c>
      <c r="X1895">
        <v>1245372.97</v>
      </c>
      <c r="Y1895" t="s">
        <v>260</v>
      </c>
      <c r="Z1895">
        <v>1245372.97</v>
      </c>
      <c r="AA1895">
        <v>221218</v>
      </c>
      <c r="AB1895" t="b">
        <v>0</v>
      </c>
      <c r="AC1895">
        <v>1</v>
      </c>
    </row>
    <row r="1896" spans="17:29" x14ac:dyDescent="0.2">
      <c r="Q1896" t="s">
        <v>1989</v>
      </c>
      <c r="R1896" t="s">
        <v>2567</v>
      </c>
      <c r="S1896" t="s">
        <v>257</v>
      </c>
      <c r="T1896" s="1">
        <v>44270</v>
      </c>
      <c r="U1896" s="1">
        <v>44270</v>
      </c>
      <c r="V1896" t="s">
        <v>260</v>
      </c>
      <c r="W1896">
        <v>1245372.97</v>
      </c>
      <c r="X1896">
        <v>1245372.97</v>
      </c>
      <c r="Y1896" t="s">
        <v>260</v>
      </c>
      <c r="Z1896">
        <v>1245372.97</v>
      </c>
      <c r="AA1896">
        <v>221218</v>
      </c>
      <c r="AB1896" t="b">
        <v>0</v>
      </c>
      <c r="AC1896">
        <v>1</v>
      </c>
    </row>
    <row r="1897" spans="17:29" x14ac:dyDescent="0.2">
      <c r="Q1897" t="s">
        <v>2128</v>
      </c>
      <c r="R1897" t="s">
        <v>2568</v>
      </c>
      <c r="S1897" t="s">
        <v>257</v>
      </c>
      <c r="T1897" s="1">
        <v>44270</v>
      </c>
      <c r="U1897" s="1">
        <v>44270</v>
      </c>
      <c r="V1897" t="s">
        <v>260</v>
      </c>
      <c r="W1897">
        <v>1494447.56</v>
      </c>
      <c r="X1897">
        <v>1494447.56</v>
      </c>
      <c r="Y1897" t="s">
        <v>260</v>
      </c>
      <c r="Z1897">
        <v>1494447.56</v>
      </c>
      <c r="AA1897">
        <v>265462</v>
      </c>
      <c r="AB1897" t="b">
        <v>0</v>
      </c>
      <c r="AC1897">
        <v>1</v>
      </c>
    </row>
    <row r="1898" spans="17:29" x14ac:dyDescent="0.2">
      <c r="Q1898" t="s">
        <v>1989</v>
      </c>
      <c r="R1898" t="s">
        <v>2568</v>
      </c>
      <c r="S1898" t="s">
        <v>257</v>
      </c>
      <c r="T1898" s="1">
        <v>44270</v>
      </c>
      <c r="U1898" s="1">
        <v>44270</v>
      </c>
      <c r="V1898" t="s">
        <v>260</v>
      </c>
      <c r="W1898">
        <v>1494447.56</v>
      </c>
      <c r="X1898">
        <v>1494447.56</v>
      </c>
      <c r="Y1898" t="s">
        <v>260</v>
      </c>
      <c r="Z1898">
        <v>1494447.56</v>
      </c>
      <c r="AA1898">
        <v>265462</v>
      </c>
      <c r="AB1898" t="b">
        <v>0</v>
      </c>
      <c r="AC1898">
        <v>1</v>
      </c>
    </row>
    <row r="1899" spans="17:29" x14ac:dyDescent="0.2">
      <c r="Q1899" t="s">
        <v>2128</v>
      </c>
      <c r="R1899" t="s">
        <v>2569</v>
      </c>
      <c r="S1899" t="s">
        <v>257</v>
      </c>
      <c r="T1899" s="1">
        <v>44270</v>
      </c>
      <c r="U1899" s="1">
        <v>44270</v>
      </c>
      <c r="V1899" t="s">
        <v>260</v>
      </c>
      <c r="W1899">
        <v>1660497.29</v>
      </c>
      <c r="X1899">
        <v>1660497.29</v>
      </c>
      <c r="Y1899" t="s">
        <v>260</v>
      </c>
      <c r="Z1899">
        <v>1660497.29</v>
      </c>
      <c r="AA1899">
        <v>294958</v>
      </c>
      <c r="AB1899" t="b">
        <v>0</v>
      </c>
      <c r="AC1899">
        <v>1</v>
      </c>
    </row>
    <row r="1900" spans="17:29" x14ac:dyDescent="0.2">
      <c r="Q1900" t="s">
        <v>1989</v>
      </c>
      <c r="R1900" t="s">
        <v>2569</v>
      </c>
      <c r="S1900" t="s">
        <v>257</v>
      </c>
      <c r="T1900" s="1">
        <v>44270</v>
      </c>
      <c r="U1900" s="1">
        <v>44270</v>
      </c>
      <c r="V1900" t="s">
        <v>260</v>
      </c>
      <c r="W1900">
        <v>1660497.29</v>
      </c>
      <c r="X1900">
        <v>1660497.29</v>
      </c>
      <c r="Y1900" t="s">
        <v>260</v>
      </c>
      <c r="Z1900">
        <v>1660497.29</v>
      </c>
      <c r="AA1900">
        <v>294958</v>
      </c>
      <c r="AB1900" t="b">
        <v>0</v>
      </c>
      <c r="AC1900">
        <v>1</v>
      </c>
    </row>
    <row r="1901" spans="17:29" x14ac:dyDescent="0.2">
      <c r="Q1901" t="s">
        <v>2128</v>
      </c>
      <c r="R1901" t="s">
        <v>2570</v>
      </c>
      <c r="S1901" t="s">
        <v>257</v>
      </c>
      <c r="T1901" s="1">
        <v>44270</v>
      </c>
      <c r="U1901" s="1">
        <v>44270</v>
      </c>
      <c r="V1901" t="s">
        <v>260</v>
      </c>
      <c r="W1901">
        <v>622686.48</v>
      </c>
      <c r="X1901">
        <v>622686.48</v>
      </c>
      <c r="Y1901" t="s">
        <v>260</v>
      </c>
      <c r="Z1901">
        <v>622686.48</v>
      </c>
      <c r="AA1901">
        <v>110609</v>
      </c>
      <c r="AB1901" t="b">
        <v>0</v>
      </c>
      <c r="AC1901">
        <v>1</v>
      </c>
    </row>
    <row r="1902" spans="17:29" x14ac:dyDescent="0.2">
      <c r="Q1902" t="s">
        <v>1989</v>
      </c>
      <c r="R1902" t="s">
        <v>2570</v>
      </c>
      <c r="S1902" t="s">
        <v>257</v>
      </c>
      <c r="T1902" s="1">
        <v>44270</v>
      </c>
      <c r="U1902" s="1">
        <v>44270</v>
      </c>
      <c r="V1902" t="s">
        <v>260</v>
      </c>
      <c r="W1902">
        <v>622686.48</v>
      </c>
      <c r="X1902">
        <v>622686.48</v>
      </c>
      <c r="Y1902" t="s">
        <v>260</v>
      </c>
      <c r="Z1902">
        <v>622686.48</v>
      </c>
      <c r="AA1902">
        <v>110609</v>
      </c>
      <c r="AB1902" t="b">
        <v>0</v>
      </c>
      <c r="AC1902">
        <v>1</v>
      </c>
    </row>
    <row r="1903" spans="17:29" x14ac:dyDescent="0.2">
      <c r="Q1903" t="s">
        <v>2128</v>
      </c>
      <c r="R1903" t="s">
        <v>2571</v>
      </c>
      <c r="S1903" t="s">
        <v>257</v>
      </c>
      <c r="T1903" s="1">
        <v>44270</v>
      </c>
      <c r="U1903" s="1">
        <v>44270</v>
      </c>
      <c r="V1903" t="s">
        <v>260</v>
      </c>
      <c r="W1903">
        <v>1531748.59</v>
      </c>
      <c r="X1903">
        <v>1531748.59</v>
      </c>
      <c r="Y1903" t="s">
        <v>260</v>
      </c>
      <c r="Z1903">
        <v>1531748.59</v>
      </c>
      <c r="AA1903">
        <v>272088</v>
      </c>
      <c r="AB1903" t="b">
        <v>0</v>
      </c>
      <c r="AC1903">
        <v>1</v>
      </c>
    </row>
    <row r="1904" spans="17:29" x14ac:dyDescent="0.2">
      <c r="Q1904" t="s">
        <v>1989</v>
      </c>
      <c r="R1904" t="s">
        <v>2571</v>
      </c>
      <c r="S1904" t="s">
        <v>257</v>
      </c>
      <c r="T1904" s="1">
        <v>44270</v>
      </c>
      <c r="U1904" s="1">
        <v>44270</v>
      </c>
      <c r="V1904" t="s">
        <v>260</v>
      </c>
      <c r="W1904">
        <v>1531748.59</v>
      </c>
      <c r="X1904">
        <v>1531748.59</v>
      </c>
      <c r="Y1904" t="s">
        <v>260</v>
      </c>
      <c r="Z1904">
        <v>1531748.59</v>
      </c>
      <c r="AA1904">
        <v>272088</v>
      </c>
      <c r="AB1904" t="b">
        <v>0</v>
      </c>
      <c r="AC1904">
        <v>1</v>
      </c>
    </row>
    <row r="1905" spans="17:29" x14ac:dyDescent="0.2">
      <c r="Q1905" t="s">
        <v>2128</v>
      </c>
      <c r="R1905" t="s">
        <v>2572</v>
      </c>
      <c r="S1905" t="s">
        <v>257</v>
      </c>
      <c r="T1905" s="1">
        <v>44270</v>
      </c>
      <c r="U1905" s="1">
        <v>44270</v>
      </c>
      <c r="V1905" t="s">
        <v>260</v>
      </c>
      <c r="W1905">
        <v>1168966.03</v>
      </c>
      <c r="X1905">
        <v>1168966.03</v>
      </c>
      <c r="Y1905" t="s">
        <v>260</v>
      </c>
      <c r="Z1905">
        <v>1168966.03</v>
      </c>
      <c r="AA1905">
        <v>207646</v>
      </c>
      <c r="AB1905" t="b">
        <v>0</v>
      </c>
      <c r="AC1905">
        <v>1</v>
      </c>
    </row>
    <row r="1906" spans="17:29" x14ac:dyDescent="0.2">
      <c r="Q1906" t="s">
        <v>1989</v>
      </c>
      <c r="R1906" t="s">
        <v>2572</v>
      </c>
      <c r="S1906" t="s">
        <v>257</v>
      </c>
      <c r="T1906" s="1">
        <v>44270</v>
      </c>
      <c r="U1906" s="1">
        <v>44270</v>
      </c>
      <c r="V1906" t="s">
        <v>260</v>
      </c>
      <c r="W1906">
        <v>1168966.03</v>
      </c>
      <c r="X1906">
        <v>1168966.03</v>
      </c>
      <c r="Y1906" t="s">
        <v>260</v>
      </c>
      <c r="Z1906">
        <v>1168966.03</v>
      </c>
      <c r="AA1906">
        <v>207646</v>
      </c>
      <c r="AB1906" t="b">
        <v>0</v>
      </c>
      <c r="AC1906">
        <v>1</v>
      </c>
    </row>
    <row r="1907" spans="17:29" x14ac:dyDescent="0.2">
      <c r="Q1907" t="s">
        <v>2128</v>
      </c>
      <c r="R1907" t="s">
        <v>2573</v>
      </c>
      <c r="S1907" t="s">
        <v>257</v>
      </c>
      <c r="T1907" s="1">
        <v>44270</v>
      </c>
      <c r="U1907" s="1">
        <v>44270</v>
      </c>
      <c r="V1907" t="s">
        <v>260</v>
      </c>
      <c r="W1907">
        <v>2640188.56</v>
      </c>
      <c r="X1907">
        <v>2640188.56</v>
      </c>
      <c r="Y1907" t="s">
        <v>260</v>
      </c>
      <c r="Z1907">
        <v>2640188.56</v>
      </c>
      <c r="AA1907">
        <v>468983</v>
      </c>
      <c r="AB1907" t="b">
        <v>0</v>
      </c>
      <c r="AC1907">
        <v>1</v>
      </c>
    </row>
    <row r="1908" spans="17:29" x14ac:dyDescent="0.2">
      <c r="Q1908" t="s">
        <v>1989</v>
      </c>
      <c r="R1908" t="s">
        <v>2573</v>
      </c>
      <c r="S1908" t="s">
        <v>257</v>
      </c>
      <c r="T1908" s="1">
        <v>44270</v>
      </c>
      <c r="U1908" s="1">
        <v>44270</v>
      </c>
      <c r="V1908" t="s">
        <v>260</v>
      </c>
      <c r="W1908">
        <v>2640188.56</v>
      </c>
      <c r="X1908">
        <v>2640188.56</v>
      </c>
      <c r="Y1908" t="s">
        <v>260</v>
      </c>
      <c r="Z1908">
        <v>2640188.56</v>
      </c>
      <c r="AA1908">
        <v>468983</v>
      </c>
      <c r="AB1908" t="b">
        <v>0</v>
      </c>
      <c r="AC1908">
        <v>1</v>
      </c>
    </row>
    <row r="1909" spans="17:29" x14ac:dyDescent="0.2">
      <c r="Q1909" t="s">
        <v>2128</v>
      </c>
      <c r="R1909" t="s">
        <v>2574</v>
      </c>
      <c r="S1909" t="s">
        <v>257</v>
      </c>
      <c r="T1909" s="1">
        <v>44270</v>
      </c>
      <c r="U1909" s="1">
        <v>44270</v>
      </c>
      <c r="V1909" t="s">
        <v>260</v>
      </c>
      <c r="W1909">
        <v>436210.79</v>
      </c>
      <c r="X1909">
        <v>436210.79</v>
      </c>
      <c r="Y1909" t="s">
        <v>260</v>
      </c>
      <c r="Z1909">
        <v>436210.79</v>
      </c>
      <c r="AA1909">
        <v>77485</v>
      </c>
      <c r="AB1909" t="b">
        <v>0</v>
      </c>
      <c r="AC1909">
        <v>1</v>
      </c>
    </row>
    <row r="1910" spans="17:29" x14ac:dyDescent="0.2">
      <c r="Q1910" t="s">
        <v>1989</v>
      </c>
      <c r="R1910" t="s">
        <v>2574</v>
      </c>
      <c r="S1910" t="s">
        <v>257</v>
      </c>
      <c r="T1910" s="1">
        <v>44270</v>
      </c>
      <c r="U1910" s="1">
        <v>44270</v>
      </c>
      <c r="V1910" t="s">
        <v>260</v>
      </c>
      <c r="W1910">
        <v>436210.79</v>
      </c>
      <c r="X1910">
        <v>436210.79</v>
      </c>
      <c r="Y1910" t="s">
        <v>260</v>
      </c>
      <c r="Z1910">
        <v>436210.79</v>
      </c>
      <c r="AA1910">
        <v>77485</v>
      </c>
      <c r="AB1910" t="b">
        <v>0</v>
      </c>
      <c r="AC1910">
        <v>1</v>
      </c>
    </row>
    <row r="1911" spans="17:29" x14ac:dyDescent="0.2">
      <c r="Q1911" t="s">
        <v>2128</v>
      </c>
      <c r="R1911" t="s">
        <v>2575</v>
      </c>
      <c r="S1911" t="s">
        <v>257</v>
      </c>
      <c r="T1911" s="1">
        <v>44270</v>
      </c>
      <c r="U1911" s="1">
        <v>44270</v>
      </c>
      <c r="V1911" t="s">
        <v>260</v>
      </c>
      <c r="W1911">
        <v>443400.91</v>
      </c>
      <c r="X1911">
        <v>443400.91</v>
      </c>
      <c r="Y1911" t="s">
        <v>260</v>
      </c>
      <c r="Z1911">
        <v>443400.91</v>
      </c>
      <c r="AA1911">
        <v>78762</v>
      </c>
      <c r="AB1911" t="b">
        <v>0</v>
      </c>
      <c r="AC1911">
        <v>1</v>
      </c>
    </row>
    <row r="1912" spans="17:29" x14ac:dyDescent="0.2">
      <c r="Q1912" t="s">
        <v>1989</v>
      </c>
      <c r="R1912" t="s">
        <v>2575</v>
      </c>
      <c r="S1912" t="s">
        <v>257</v>
      </c>
      <c r="T1912" s="1">
        <v>44270</v>
      </c>
      <c r="U1912" s="1">
        <v>44270</v>
      </c>
      <c r="V1912" t="s">
        <v>260</v>
      </c>
      <c r="W1912">
        <v>443400.91</v>
      </c>
      <c r="X1912">
        <v>443400.91</v>
      </c>
      <c r="Y1912" t="s">
        <v>260</v>
      </c>
      <c r="Z1912">
        <v>443400.91</v>
      </c>
      <c r="AA1912">
        <v>78762</v>
      </c>
      <c r="AB1912" t="b">
        <v>0</v>
      </c>
      <c r="AC1912">
        <v>1</v>
      </c>
    </row>
    <row r="1913" spans="17:29" x14ac:dyDescent="0.2">
      <c r="Q1913" t="s">
        <v>2128</v>
      </c>
      <c r="R1913" t="s">
        <v>2576</v>
      </c>
      <c r="S1913" t="s">
        <v>257</v>
      </c>
      <c r="T1913" s="1">
        <v>44270</v>
      </c>
      <c r="U1913" s="1">
        <v>44270</v>
      </c>
      <c r="V1913" t="s">
        <v>260</v>
      </c>
      <c r="W1913">
        <v>56795.7</v>
      </c>
      <c r="X1913">
        <v>56795.7</v>
      </c>
      <c r="Y1913" t="s">
        <v>260</v>
      </c>
      <c r="Z1913">
        <v>56795.7</v>
      </c>
      <c r="AA1913">
        <v>10088</v>
      </c>
      <c r="AB1913" t="b">
        <v>0</v>
      </c>
      <c r="AC1913">
        <v>1</v>
      </c>
    </row>
    <row r="1914" spans="17:29" x14ac:dyDescent="0.2">
      <c r="Q1914" t="s">
        <v>1989</v>
      </c>
      <c r="R1914" t="s">
        <v>2576</v>
      </c>
      <c r="S1914" t="s">
        <v>257</v>
      </c>
      <c r="T1914" s="1">
        <v>44270</v>
      </c>
      <c r="U1914" s="1">
        <v>44270</v>
      </c>
      <c r="V1914" t="s">
        <v>260</v>
      </c>
      <c r="W1914">
        <v>56795.7</v>
      </c>
      <c r="X1914">
        <v>56795.7</v>
      </c>
      <c r="Y1914" t="s">
        <v>260</v>
      </c>
      <c r="Z1914">
        <v>56795.7</v>
      </c>
      <c r="AA1914">
        <v>10088</v>
      </c>
      <c r="AB1914" t="b">
        <v>0</v>
      </c>
      <c r="AC1914">
        <v>1</v>
      </c>
    </row>
    <row r="1915" spans="17:29" x14ac:dyDescent="0.2">
      <c r="Q1915" t="s">
        <v>2128</v>
      </c>
      <c r="R1915" t="s">
        <v>2577</v>
      </c>
      <c r="S1915" t="s">
        <v>257</v>
      </c>
      <c r="T1915" s="1">
        <v>44270</v>
      </c>
      <c r="U1915" s="1">
        <v>44270</v>
      </c>
      <c r="V1915" t="s">
        <v>260</v>
      </c>
      <c r="W1915">
        <v>942698.75</v>
      </c>
      <c r="X1915">
        <v>942698.75</v>
      </c>
      <c r="Y1915" t="s">
        <v>260</v>
      </c>
      <c r="Z1915">
        <v>942698.75</v>
      </c>
      <c r="AA1915">
        <v>167453</v>
      </c>
      <c r="AB1915" t="b">
        <v>0</v>
      </c>
      <c r="AC1915">
        <v>1</v>
      </c>
    </row>
    <row r="1916" spans="17:29" x14ac:dyDescent="0.2">
      <c r="Q1916" t="s">
        <v>1989</v>
      </c>
      <c r="R1916" t="s">
        <v>2577</v>
      </c>
      <c r="S1916" t="s">
        <v>257</v>
      </c>
      <c r="T1916" s="1">
        <v>44270</v>
      </c>
      <c r="U1916" s="1">
        <v>44270</v>
      </c>
      <c r="V1916" t="s">
        <v>260</v>
      </c>
      <c r="W1916">
        <v>942698.75</v>
      </c>
      <c r="X1916">
        <v>942698.75</v>
      </c>
      <c r="Y1916" t="s">
        <v>260</v>
      </c>
      <c r="Z1916">
        <v>942698.75</v>
      </c>
      <c r="AA1916">
        <v>167453</v>
      </c>
      <c r="AB1916" t="b">
        <v>0</v>
      </c>
      <c r="AC1916">
        <v>1</v>
      </c>
    </row>
    <row r="1917" spans="17:29" x14ac:dyDescent="0.2">
      <c r="Q1917" t="s">
        <v>2128</v>
      </c>
      <c r="R1917" t="s">
        <v>2578</v>
      </c>
      <c r="S1917" t="s">
        <v>257</v>
      </c>
      <c r="T1917" s="1">
        <v>44270</v>
      </c>
      <c r="U1917" s="1">
        <v>44270</v>
      </c>
      <c r="V1917" t="s">
        <v>260</v>
      </c>
      <c r="W1917">
        <v>199710.92</v>
      </c>
      <c r="X1917">
        <v>199710.92</v>
      </c>
      <c r="Y1917" t="s">
        <v>260</v>
      </c>
      <c r="Z1917">
        <v>199710.92</v>
      </c>
      <c r="AA1917">
        <v>35475</v>
      </c>
      <c r="AB1917" t="b">
        <v>0</v>
      </c>
      <c r="AC1917">
        <v>1</v>
      </c>
    </row>
    <row r="1918" spans="17:29" x14ac:dyDescent="0.2">
      <c r="Q1918" t="s">
        <v>1989</v>
      </c>
      <c r="R1918" t="s">
        <v>2578</v>
      </c>
      <c r="S1918" t="s">
        <v>257</v>
      </c>
      <c r="T1918" s="1">
        <v>44270</v>
      </c>
      <c r="U1918" s="1">
        <v>44270</v>
      </c>
      <c r="V1918" t="s">
        <v>260</v>
      </c>
      <c r="W1918">
        <v>199710.92</v>
      </c>
      <c r="X1918">
        <v>199710.92</v>
      </c>
      <c r="Y1918" t="s">
        <v>260</v>
      </c>
      <c r="Z1918">
        <v>199710.92</v>
      </c>
      <c r="AA1918">
        <v>35475</v>
      </c>
      <c r="AB1918" t="b">
        <v>0</v>
      </c>
      <c r="AC1918">
        <v>1</v>
      </c>
    </row>
    <row r="1919" spans="17:29" x14ac:dyDescent="0.2">
      <c r="Q1919" t="s">
        <v>2128</v>
      </c>
      <c r="R1919" t="s">
        <v>2579</v>
      </c>
      <c r="S1919" t="s">
        <v>257</v>
      </c>
      <c r="T1919" s="1">
        <v>44270</v>
      </c>
      <c r="U1919" s="1">
        <v>44270</v>
      </c>
      <c r="V1919" t="s">
        <v>260</v>
      </c>
      <c r="W1919">
        <v>171320.17</v>
      </c>
      <c r="X1919">
        <v>171320.17</v>
      </c>
      <c r="Y1919" t="s">
        <v>260</v>
      </c>
      <c r="Z1919">
        <v>171320.17</v>
      </c>
      <c r="AA1919">
        <v>30432</v>
      </c>
      <c r="AB1919" t="b">
        <v>0</v>
      </c>
      <c r="AC1919">
        <v>1</v>
      </c>
    </row>
    <row r="1920" spans="17:29" x14ac:dyDescent="0.2">
      <c r="Q1920" t="s">
        <v>1989</v>
      </c>
      <c r="R1920" t="s">
        <v>2579</v>
      </c>
      <c r="S1920" t="s">
        <v>257</v>
      </c>
      <c r="T1920" s="1">
        <v>44270</v>
      </c>
      <c r="U1920" s="1">
        <v>44270</v>
      </c>
      <c r="V1920" t="s">
        <v>260</v>
      </c>
      <c r="W1920">
        <v>171320.17</v>
      </c>
      <c r="X1920">
        <v>171320.17</v>
      </c>
      <c r="Y1920" t="s">
        <v>260</v>
      </c>
      <c r="Z1920">
        <v>171320.17</v>
      </c>
      <c r="AA1920">
        <v>30432</v>
      </c>
      <c r="AB1920" t="b">
        <v>0</v>
      </c>
      <c r="AC1920">
        <v>1</v>
      </c>
    </row>
    <row r="1921" spans="17:29" x14ac:dyDescent="0.2">
      <c r="Q1921" t="s">
        <v>2128</v>
      </c>
      <c r="R1921" t="s">
        <v>2580</v>
      </c>
      <c r="S1921" t="s">
        <v>257</v>
      </c>
      <c r="T1921" s="1">
        <v>44270</v>
      </c>
      <c r="U1921" s="1">
        <v>44270</v>
      </c>
      <c r="V1921" t="s">
        <v>260</v>
      </c>
      <c r="W1921">
        <v>523103.42</v>
      </c>
      <c r="X1921">
        <v>523103.42</v>
      </c>
      <c r="Y1921" t="s">
        <v>260</v>
      </c>
      <c r="Z1921">
        <v>523103.42</v>
      </c>
      <c r="AA1921">
        <v>92920</v>
      </c>
      <c r="AB1921" t="b">
        <v>0</v>
      </c>
      <c r="AC1921">
        <v>1</v>
      </c>
    </row>
    <row r="1922" spans="17:29" x14ac:dyDescent="0.2">
      <c r="Q1922" t="s">
        <v>1989</v>
      </c>
      <c r="R1922" t="s">
        <v>2580</v>
      </c>
      <c r="S1922" t="s">
        <v>257</v>
      </c>
      <c r="T1922" s="1">
        <v>44270</v>
      </c>
      <c r="U1922" s="1">
        <v>44270</v>
      </c>
      <c r="V1922" t="s">
        <v>260</v>
      </c>
      <c r="W1922">
        <v>523103.42</v>
      </c>
      <c r="X1922">
        <v>523103.42</v>
      </c>
      <c r="Y1922" t="s">
        <v>260</v>
      </c>
      <c r="Z1922">
        <v>523103.42</v>
      </c>
      <c r="AA1922">
        <v>92920</v>
      </c>
      <c r="AB1922" t="b">
        <v>0</v>
      </c>
      <c r="AC1922">
        <v>1</v>
      </c>
    </row>
    <row r="1923" spans="17:29" x14ac:dyDescent="0.2">
      <c r="Q1923" t="s">
        <v>2128</v>
      </c>
      <c r="R1923" t="s">
        <v>2581</v>
      </c>
      <c r="S1923" t="s">
        <v>257</v>
      </c>
      <c r="T1923" s="1">
        <v>44270</v>
      </c>
      <c r="U1923" s="1">
        <v>44270</v>
      </c>
      <c r="V1923" t="s">
        <v>260</v>
      </c>
      <c r="W1923">
        <v>425600.72</v>
      </c>
      <c r="X1923">
        <v>425600.72</v>
      </c>
      <c r="Y1923" t="s">
        <v>260</v>
      </c>
      <c r="Z1923">
        <v>425600.72</v>
      </c>
      <c r="AA1923">
        <v>75600</v>
      </c>
      <c r="AB1923" t="b">
        <v>0</v>
      </c>
      <c r="AC1923">
        <v>1</v>
      </c>
    </row>
    <row r="1924" spans="17:29" x14ac:dyDescent="0.2">
      <c r="Q1924" t="s">
        <v>1989</v>
      </c>
      <c r="R1924" t="s">
        <v>2581</v>
      </c>
      <c r="S1924" t="s">
        <v>257</v>
      </c>
      <c r="T1924" s="1">
        <v>44270</v>
      </c>
      <c r="U1924" s="1">
        <v>44270</v>
      </c>
      <c r="V1924" t="s">
        <v>260</v>
      </c>
      <c r="W1924">
        <v>425600.72</v>
      </c>
      <c r="X1924">
        <v>425600.72</v>
      </c>
      <c r="Y1924" t="s">
        <v>260</v>
      </c>
      <c r="Z1924">
        <v>425600.72</v>
      </c>
      <c r="AA1924">
        <v>75600</v>
      </c>
      <c r="AB1924" t="b">
        <v>0</v>
      </c>
      <c r="AC1924">
        <v>1</v>
      </c>
    </row>
    <row r="1925" spans="17:29" x14ac:dyDescent="0.2">
      <c r="Q1925" t="s">
        <v>2128</v>
      </c>
      <c r="R1925" t="s">
        <v>2582</v>
      </c>
      <c r="S1925" t="s">
        <v>257</v>
      </c>
      <c r="T1925" s="1">
        <v>44270</v>
      </c>
      <c r="U1925" s="1">
        <v>44270</v>
      </c>
      <c r="V1925" t="s">
        <v>260</v>
      </c>
      <c r="W1925">
        <v>752424.65</v>
      </c>
      <c r="X1925">
        <v>752424.65</v>
      </c>
      <c r="Y1925" t="s">
        <v>260</v>
      </c>
      <c r="Z1925">
        <v>752424.65</v>
      </c>
      <c r="AA1925">
        <v>133655</v>
      </c>
      <c r="AB1925" t="b">
        <v>0</v>
      </c>
      <c r="AC1925">
        <v>1</v>
      </c>
    </row>
    <row r="1926" spans="17:29" x14ac:dyDescent="0.2">
      <c r="Q1926" t="s">
        <v>1989</v>
      </c>
      <c r="R1926" t="s">
        <v>2582</v>
      </c>
      <c r="S1926" t="s">
        <v>257</v>
      </c>
      <c r="T1926" s="1">
        <v>44270</v>
      </c>
      <c r="U1926" s="1">
        <v>44270</v>
      </c>
      <c r="V1926" t="s">
        <v>260</v>
      </c>
      <c r="W1926">
        <v>752424.65</v>
      </c>
      <c r="X1926">
        <v>752424.65</v>
      </c>
      <c r="Y1926" t="s">
        <v>260</v>
      </c>
      <c r="Z1926">
        <v>752424.65</v>
      </c>
      <c r="AA1926">
        <v>133655</v>
      </c>
      <c r="AB1926" t="b">
        <v>0</v>
      </c>
      <c r="AC1926">
        <v>1</v>
      </c>
    </row>
    <row r="1927" spans="17:29" x14ac:dyDescent="0.2">
      <c r="Q1927" t="s">
        <v>2128</v>
      </c>
      <c r="R1927" t="s">
        <v>2583</v>
      </c>
      <c r="S1927" t="s">
        <v>257</v>
      </c>
      <c r="T1927" s="1">
        <v>44270</v>
      </c>
      <c r="U1927" s="1">
        <v>44270</v>
      </c>
      <c r="V1927" t="s">
        <v>260</v>
      </c>
      <c r="W1927">
        <v>1125376.74</v>
      </c>
      <c r="X1927">
        <v>1125376.74</v>
      </c>
      <c r="Y1927" t="s">
        <v>260</v>
      </c>
      <c r="Z1927">
        <v>1125376.74</v>
      </c>
      <c r="AA1927">
        <v>199903</v>
      </c>
      <c r="AB1927" t="b">
        <v>0</v>
      </c>
      <c r="AC1927">
        <v>1</v>
      </c>
    </row>
    <row r="1928" spans="17:29" x14ac:dyDescent="0.2">
      <c r="Q1928" t="s">
        <v>1989</v>
      </c>
      <c r="R1928" t="s">
        <v>2583</v>
      </c>
      <c r="S1928" t="s">
        <v>257</v>
      </c>
      <c r="T1928" s="1">
        <v>44270</v>
      </c>
      <c r="U1928" s="1">
        <v>44270</v>
      </c>
      <c r="V1928" t="s">
        <v>260</v>
      </c>
      <c r="W1928">
        <v>1125376.74</v>
      </c>
      <c r="X1928">
        <v>1125376.74</v>
      </c>
      <c r="Y1928" t="s">
        <v>260</v>
      </c>
      <c r="Z1928">
        <v>1125376.74</v>
      </c>
      <c r="AA1928">
        <v>199903</v>
      </c>
      <c r="AB1928" t="b">
        <v>0</v>
      </c>
      <c r="AC1928">
        <v>1</v>
      </c>
    </row>
    <row r="1929" spans="17:29" x14ac:dyDescent="0.2">
      <c r="Q1929" t="s">
        <v>2128</v>
      </c>
      <c r="R1929" t="s">
        <v>2584</v>
      </c>
      <c r="S1929" t="s">
        <v>257</v>
      </c>
      <c r="T1929" s="1">
        <v>44270</v>
      </c>
      <c r="U1929" s="1">
        <v>44270</v>
      </c>
      <c r="V1929" t="s">
        <v>260</v>
      </c>
      <c r="W1929">
        <v>9287955.4900000002</v>
      </c>
      <c r="X1929">
        <v>9287955.4900000002</v>
      </c>
      <c r="Y1929" t="s">
        <v>260</v>
      </c>
      <c r="Z1929">
        <v>9287955.4900000002</v>
      </c>
      <c r="AA1929">
        <v>1649842</v>
      </c>
      <c r="AB1929" t="b">
        <v>0</v>
      </c>
      <c r="AC1929">
        <v>1</v>
      </c>
    </row>
    <row r="1930" spans="17:29" x14ac:dyDescent="0.2">
      <c r="Q1930" t="s">
        <v>1989</v>
      </c>
      <c r="R1930" t="s">
        <v>2584</v>
      </c>
      <c r="S1930" t="s">
        <v>257</v>
      </c>
      <c r="T1930" s="1">
        <v>44270</v>
      </c>
      <c r="U1930" s="1">
        <v>44270</v>
      </c>
      <c r="V1930" t="s">
        <v>260</v>
      </c>
      <c r="W1930">
        <v>9287955.4900000002</v>
      </c>
      <c r="X1930">
        <v>9287955.4900000002</v>
      </c>
      <c r="Y1930" t="s">
        <v>260</v>
      </c>
      <c r="Z1930">
        <v>9287955.4900000002</v>
      </c>
      <c r="AA1930">
        <v>1649842</v>
      </c>
      <c r="AB1930" t="b">
        <v>0</v>
      </c>
      <c r="AC1930">
        <v>1</v>
      </c>
    </row>
    <row r="1931" spans="17:29" x14ac:dyDescent="0.2">
      <c r="Q1931" t="s">
        <v>2128</v>
      </c>
      <c r="R1931" t="s">
        <v>2585</v>
      </c>
      <c r="S1931" t="s">
        <v>257</v>
      </c>
      <c r="T1931" s="1">
        <v>44270</v>
      </c>
      <c r="U1931" s="1">
        <v>44270</v>
      </c>
      <c r="V1931" t="s">
        <v>260</v>
      </c>
      <c r="W1931">
        <v>2266848.64</v>
      </c>
      <c r="X1931">
        <v>2266848.64</v>
      </c>
      <c r="Y1931" t="s">
        <v>260</v>
      </c>
      <c r="Z1931">
        <v>2266848.64</v>
      </c>
      <c r="AA1931">
        <v>402666</v>
      </c>
      <c r="AB1931" t="b">
        <v>0</v>
      </c>
      <c r="AC1931">
        <v>1</v>
      </c>
    </row>
    <row r="1932" spans="17:29" x14ac:dyDescent="0.2">
      <c r="Q1932" t="s">
        <v>1989</v>
      </c>
      <c r="R1932" t="s">
        <v>2585</v>
      </c>
      <c r="S1932" t="s">
        <v>257</v>
      </c>
      <c r="T1932" s="1">
        <v>44270</v>
      </c>
      <c r="U1932" s="1">
        <v>44270</v>
      </c>
      <c r="V1932" t="s">
        <v>260</v>
      </c>
      <c r="W1932">
        <v>2266848.64</v>
      </c>
      <c r="X1932">
        <v>2266848.64</v>
      </c>
      <c r="Y1932" t="s">
        <v>260</v>
      </c>
      <c r="Z1932">
        <v>2266848.64</v>
      </c>
      <c r="AA1932">
        <v>402666</v>
      </c>
      <c r="AB1932" t="b">
        <v>0</v>
      </c>
      <c r="AC1932">
        <v>1</v>
      </c>
    </row>
    <row r="1933" spans="17:29" x14ac:dyDescent="0.2">
      <c r="Q1933" t="s">
        <v>2128</v>
      </c>
      <c r="R1933" t="s">
        <v>2586</v>
      </c>
      <c r="S1933" t="s">
        <v>257</v>
      </c>
      <c r="T1933" s="1">
        <v>44270</v>
      </c>
      <c r="U1933" s="1">
        <v>44270</v>
      </c>
      <c r="V1933" t="s">
        <v>260</v>
      </c>
      <c r="W1933">
        <v>3182018.17</v>
      </c>
      <c r="X1933">
        <v>3182018.17</v>
      </c>
      <c r="Y1933" t="s">
        <v>260</v>
      </c>
      <c r="Z1933">
        <v>3182018.17</v>
      </c>
      <c r="AA1933">
        <v>565229</v>
      </c>
      <c r="AB1933" t="b">
        <v>0</v>
      </c>
      <c r="AC1933">
        <v>1</v>
      </c>
    </row>
    <row r="1934" spans="17:29" x14ac:dyDescent="0.2">
      <c r="Q1934" t="s">
        <v>1989</v>
      </c>
      <c r="R1934" t="s">
        <v>2586</v>
      </c>
      <c r="S1934" t="s">
        <v>257</v>
      </c>
      <c r="T1934" s="1">
        <v>44270</v>
      </c>
      <c r="U1934" s="1">
        <v>44270</v>
      </c>
      <c r="V1934" t="s">
        <v>260</v>
      </c>
      <c r="W1934">
        <v>3182018.17</v>
      </c>
      <c r="X1934">
        <v>3182018.17</v>
      </c>
      <c r="Y1934" t="s">
        <v>260</v>
      </c>
      <c r="Z1934">
        <v>3182018.17</v>
      </c>
      <c r="AA1934">
        <v>565229</v>
      </c>
      <c r="AB1934" t="b">
        <v>0</v>
      </c>
      <c r="AC1934">
        <v>1</v>
      </c>
    </row>
    <row r="1935" spans="17:29" x14ac:dyDescent="0.2">
      <c r="Q1935" t="s">
        <v>2128</v>
      </c>
      <c r="R1935" t="s">
        <v>2587</v>
      </c>
      <c r="S1935" t="s">
        <v>257</v>
      </c>
      <c r="T1935" s="1">
        <v>44270</v>
      </c>
      <c r="U1935" s="1">
        <v>44270</v>
      </c>
      <c r="V1935" t="s">
        <v>260</v>
      </c>
      <c r="W1935">
        <v>7544433.3300000001</v>
      </c>
      <c r="X1935">
        <v>7544433.3300000001</v>
      </c>
      <c r="Y1935" t="s">
        <v>260</v>
      </c>
      <c r="Z1935">
        <v>7544433.3300000001</v>
      </c>
      <c r="AA1935">
        <v>1340136</v>
      </c>
      <c r="AB1935" t="b">
        <v>0</v>
      </c>
      <c r="AC1935">
        <v>1</v>
      </c>
    </row>
    <row r="1936" spans="17:29" x14ac:dyDescent="0.2">
      <c r="Q1936" t="s">
        <v>1989</v>
      </c>
      <c r="R1936" t="s">
        <v>2587</v>
      </c>
      <c r="S1936" t="s">
        <v>257</v>
      </c>
      <c r="T1936" s="1">
        <v>44270</v>
      </c>
      <c r="U1936" s="1">
        <v>44270</v>
      </c>
      <c r="V1936" t="s">
        <v>260</v>
      </c>
      <c r="W1936">
        <v>7544433.3300000001</v>
      </c>
      <c r="X1936">
        <v>7544433.3300000001</v>
      </c>
      <c r="Y1936" t="s">
        <v>260</v>
      </c>
      <c r="Z1936">
        <v>7544433.3300000001</v>
      </c>
      <c r="AA1936">
        <v>1340136</v>
      </c>
      <c r="AB1936" t="b">
        <v>0</v>
      </c>
      <c r="AC1936">
        <v>1</v>
      </c>
    </row>
    <row r="1937" spans="17:29" x14ac:dyDescent="0.2">
      <c r="Q1937" t="s">
        <v>2075</v>
      </c>
      <c r="R1937" t="s">
        <v>2588</v>
      </c>
      <c r="S1937" t="s">
        <v>343</v>
      </c>
      <c r="T1937" s="1">
        <v>44008</v>
      </c>
      <c r="U1937" s="1">
        <v>44204</v>
      </c>
      <c r="V1937" t="s">
        <v>345</v>
      </c>
      <c r="W1937">
        <v>254444552</v>
      </c>
      <c r="X1937">
        <v>254444552</v>
      </c>
      <c r="Y1937" t="s">
        <v>345</v>
      </c>
      <c r="Z1937">
        <v>254444552</v>
      </c>
      <c r="AA1937">
        <v>11076532</v>
      </c>
      <c r="AB1937" t="b">
        <v>1</v>
      </c>
      <c r="AC1937">
        <v>0.8</v>
      </c>
    </row>
    <row r="1938" spans="17:29" x14ac:dyDescent="0.2">
      <c r="Q1938" t="s">
        <v>2075</v>
      </c>
      <c r="R1938" t="s">
        <v>2588</v>
      </c>
      <c r="S1938" t="s">
        <v>343</v>
      </c>
      <c r="T1938" s="1">
        <v>44008</v>
      </c>
      <c r="U1938" s="1">
        <v>44204</v>
      </c>
      <c r="V1938" t="s">
        <v>345</v>
      </c>
      <c r="W1938">
        <v>254444552</v>
      </c>
      <c r="X1938">
        <v>254444552</v>
      </c>
      <c r="Y1938" t="s">
        <v>345</v>
      </c>
      <c r="Z1938">
        <v>254444552</v>
      </c>
      <c r="AA1938">
        <v>11076532</v>
      </c>
      <c r="AB1938" t="b">
        <v>1</v>
      </c>
      <c r="AC1938">
        <v>0.8</v>
      </c>
    </row>
    <row r="1939" spans="17:29" x14ac:dyDescent="0.2">
      <c r="Q1939" t="s">
        <v>2075</v>
      </c>
      <c r="R1939" t="s">
        <v>2589</v>
      </c>
      <c r="S1939" t="s">
        <v>343</v>
      </c>
      <c r="T1939" s="1">
        <v>44008</v>
      </c>
      <c r="U1939" s="1">
        <v>44211</v>
      </c>
      <c r="V1939" t="s">
        <v>345</v>
      </c>
      <c r="W1939">
        <v>2327122113</v>
      </c>
      <c r="X1939">
        <v>2327122113</v>
      </c>
      <c r="Y1939" t="s">
        <v>345</v>
      </c>
      <c r="Z1939">
        <v>2327122113</v>
      </c>
      <c r="AA1939">
        <v>101304752</v>
      </c>
      <c r="AB1939" t="b">
        <v>1</v>
      </c>
      <c r="AC1939">
        <v>0.8</v>
      </c>
    </row>
    <row r="1940" spans="17:29" x14ac:dyDescent="0.2">
      <c r="Q1940" t="s">
        <v>2075</v>
      </c>
      <c r="R1940" t="s">
        <v>2589</v>
      </c>
      <c r="S1940" t="s">
        <v>343</v>
      </c>
      <c r="T1940" s="1">
        <v>44008</v>
      </c>
      <c r="U1940" s="1">
        <v>44211</v>
      </c>
      <c r="V1940" t="s">
        <v>345</v>
      </c>
      <c r="W1940">
        <v>2327122113</v>
      </c>
      <c r="X1940">
        <v>2327122113</v>
      </c>
      <c r="Y1940" t="s">
        <v>345</v>
      </c>
      <c r="Z1940">
        <v>2327122113</v>
      </c>
      <c r="AA1940">
        <v>101304752</v>
      </c>
      <c r="AB1940" t="b">
        <v>1</v>
      </c>
      <c r="AC1940">
        <v>0.8</v>
      </c>
    </row>
    <row r="1941" spans="17:29" x14ac:dyDescent="0.2">
      <c r="Q1941" t="s">
        <v>2075</v>
      </c>
      <c r="R1941" t="s">
        <v>2590</v>
      </c>
      <c r="S1941" t="s">
        <v>343</v>
      </c>
      <c r="T1941" s="1">
        <v>44008</v>
      </c>
      <c r="U1941" s="1">
        <v>44126</v>
      </c>
      <c r="V1941" t="s">
        <v>345</v>
      </c>
      <c r="W1941">
        <v>1883954</v>
      </c>
      <c r="X1941">
        <v>1883954</v>
      </c>
      <c r="Y1941" t="s">
        <v>345</v>
      </c>
      <c r="Z1941">
        <v>1883954</v>
      </c>
      <c r="AA1941">
        <v>82013</v>
      </c>
      <c r="AB1941" t="b">
        <v>1</v>
      </c>
      <c r="AC1941">
        <v>0.8</v>
      </c>
    </row>
    <row r="1942" spans="17:29" x14ac:dyDescent="0.2">
      <c r="Q1942" t="s">
        <v>2075</v>
      </c>
      <c r="R1942" t="s">
        <v>2590</v>
      </c>
      <c r="S1942" t="s">
        <v>343</v>
      </c>
      <c r="T1942" s="1">
        <v>44008</v>
      </c>
      <c r="U1942" s="1">
        <v>44126</v>
      </c>
      <c r="V1942" t="s">
        <v>345</v>
      </c>
      <c r="W1942">
        <v>1883954</v>
      </c>
      <c r="X1942">
        <v>1883954</v>
      </c>
      <c r="Y1942" t="s">
        <v>345</v>
      </c>
      <c r="Z1942">
        <v>1883954</v>
      </c>
      <c r="AA1942">
        <v>82013</v>
      </c>
      <c r="AB1942" t="b">
        <v>1</v>
      </c>
      <c r="AC1942">
        <v>0.8</v>
      </c>
    </row>
    <row r="1943" spans="17:29" x14ac:dyDescent="0.2">
      <c r="Q1943" t="s">
        <v>2075</v>
      </c>
      <c r="R1943" t="s">
        <v>2591</v>
      </c>
      <c r="S1943" t="s">
        <v>343</v>
      </c>
      <c r="T1943" s="1">
        <v>44008</v>
      </c>
      <c r="U1943" s="1">
        <v>44216</v>
      </c>
      <c r="V1943" t="s">
        <v>345</v>
      </c>
      <c r="W1943">
        <v>167877790</v>
      </c>
      <c r="X1943">
        <v>167877790</v>
      </c>
      <c r="Y1943" t="s">
        <v>345</v>
      </c>
      <c r="Z1943">
        <v>167877790</v>
      </c>
      <c r="AA1943">
        <v>7308090</v>
      </c>
      <c r="AB1943" t="b">
        <v>1</v>
      </c>
      <c r="AC1943">
        <v>0.8</v>
      </c>
    </row>
    <row r="1944" spans="17:29" x14ac:dyDescent="0.2">
      <c r="Q1944" t="s">
        <v>2075</v>
      </c>
      <c r="R1944" t="s">
        <v>2591</v>
      </c>
      <c r="S1944" t="s">
        <v>343</v>
      </c>
      <c r="T1944" s="1">
        <v>44008</v>
      </c>
      <c r="U1944" s="1">
        <v>44216</v>
      </c>
      <c r="V1944" t="s">
        <v>345</v>
      </c>
      <c r="W1944">
        <v>167877790</v>
      </c>
      <c r="X1944">
        <v>167877790</v>
      </c>
      <c r="Y1944" t="s">
        <v>345</v>
      </c>
      <c r="Z1944">
        <v>167877790</v>
      </c>
      <c r="AA1944">
        <v>7308090</v>
      </c>
      <c r="AB1944" t="b">
        <v>1</v>
      </c>
      <c r="AC1944">
        <v>0.8</v>
      </c>
    </row>
    <row r="1945" spans="17:29" x14ac:dyDescent="0.2">
      <c r="Q1945" t="s">
        <v>2075</v>
      </c>
      <c r="R1945" t="s">
        <v>2592</v>
      </c>
      <c r="S1945" t="s">
        <v>343</v>
      </c>
      <c r="T1945" s="1">
        <v>44008</v>
      </c>
      <c r="U1945" s="1">
        <v>44028</v>
      </c>
      <c r="V1945" t="s">
        <v>345</v>
      </c>
      <c r="W1945">
        <v>2000000</v>
      </c>
      <c r="X1945">
        <v>2000000</v>
      </c>
      <c r="Y1945" t="s">
        <v>345</v>
      </c>
      <c r="Z1945">
        <v>2000000</v>
      </c>
      <c r="AA1945">
        <v>87064</v>
      </c>
      <c r="AB1945" t="b">
        <v>1</v>
      </c>
      <c r="AC1945">
        <v>0.8</v>
      </c>
    </row>
    <row r="1946" spans="17:29" x14ac:dyDescent="0.2">
      <c r="Q1946" t="s">
        <v>2075</v>
      </c>
      <c r="R1946" t="s">
        <v>2592</v>
      </c>
      <c r="S1946" t="s">
        <v>343</v>
      </c>
      <c r="T1946" s="1">
        <v>44008</v>
      </c>
      <c r="U1946" s="1">
        <v>44028</v>
      </c>
      <c r="V1946" t="s">
        <v>345</v>
      </c>
      <c r="W1946">
        <v>2000000</v>
      </c>
      <c r="X1946">
        <v>2000000</v>
      </c>
      <c r="Y1946" t="s">
        <v>345</v>
      </c>
      <c r="Z1946">
        <v>2000000</v>
      </c>
      <c r="AA1946">
        <v>87064</v>
      </c>
      <c r="AB1946" t="b">
        <v>1</v>
      </c>
      <c r="AC1946">
        <v>0.8</v>
      </c>
    </row>
    <row r="1947" spans="17:29" x14ac:dyDescent="0.2">
      <c r="Q1947" t="s">
        <v>1998</v>
      </c>
      <c r="R1947" t="s">
        <v>2593</v>
      </c>
      <c r="S1947" t="s">
        <v>343</v>
      </c>
      <c r="T1947" s="1">
        <v>44008</v>
      </c>
      <c r="U1947" s="1">
        <v>43997</v>
      </c>
      <c r="V1947" t="s">
        <v>345</v>
      </c>
      <c r="W1947">
        <v>26192634</v>
      </c>
      <c r="X1947">
        <v>26192634</v>
      </c>
      <c r="Y1947" t="s">
        <v>345</v>
      </c>
      <c r="Z1947">
        <v>26192634</v>
      </c>
      <c r="AA1947">
        <v>1140223</v>
      </c>
      <c r="AB1947" t="b">
        <v>1</v>
      </c>
      <c r="AC1947">
        <v>0.8</v>
      </c>
    </row>
    <row r="1948" spans="17:29" x14ac:dyDescent="0.2">
      <c r="Q1948" t="s">
        <v>2000</v>
      </c>
      <c r="R1948" t="s">
        <v>2593</v>
      </c>
      <c r="S1948" t="s">
        <v>343</v>
      </c>
      <c r="T1948" s="1">
        <v>44008</v>
      </c>
      <c r="U1948" s="1">
        <v>43997</v>
      </c>
      <c r="V1948" t="s">
        <v>345</v>
      </c>
      <c r="W1948">
        <v>26192634</v>
      </c>
      <c r="X1948">
        <v>26192634</v>
      </c>
      <c r="Y1948" t="s">
        <v>345</v>
      </c>
      <c r="Z1948">
        <v>26192634</v>
      </c>
      <c r="AA1948">
        <v>1140223</v>
      </c>
      <c r="AB1948" t="b">
        <v>1</v>
      </c>
      <c r="AC1948">
        <v>0.8</v>
      </c>
    </row>
    <row r="1949" spans="17:29" x14ac:dyDescent="0.2">
      <c r="Q1949" t="s">
        <v>2040</v>
      </c>
      <c r="R1949" t="s">
        <v>2594</v>
      </c>
      <c r="S1949" t="s">
        <v>343</v>
      </c>
      <c r="T1949" s="1">
        <v>44008</v>
      </c>
      <c r="U1949" s="1">
        <v>44249</v>
      </c>
      <c r="V1949" t="s">
        <v>345</v>
      </c>
      <c r="W1949">
        <v>55161931</v>
      </c>
      <c r="X1949">
        <v>55161931</v>
      </c>
      <c r="Y1949" t="s">
        <v>345</v>
      </c>
      <c r="Z1949">
        <v>55161931</v>
      </c>
      <c r="AA1949">
        <v>2401320</v>
      </c>
      <c r="AB1949" t="b">
        <v>1</v>
      </c>
      <c r="AC1949">
        <v>0.8</v>
      </c>
    </row>
    <row r="1950" spans="17:29" x14ac:dyDescent="0.2">
      <c r="Q1950" t="s">
        <v>1989</v>
      </c>
      <c r="R1950" t="s">
        <v>2594</v>
      </c>
      <c r="S1950" t="s">
        <v>343</v>
      </c>
      <c r="T1950" s="1">
        <v>44008</v>
      </c>
      <c r="U1950" s="1">
        <v>44249</v>
      </c>
      <c r="V1950" t="s">
        <v>345</v>
      </c>
      <c r="W1950">
        <v>55161931</v>
      </c>
      <c r="X1950">
        <v>55161931</v>
      </c>
      <c r="Y1950" t="s">
        <v>345</v>
      </c>
      <c r="Z1950">
        <v>55161931</v>
      </c>
      <c r="AA1950">
        <v>2401320</v>
      </c>
      <c r="AB1950" t="b">
        <v>1</v>
      </c>
      <c r="AC1950">
        <v>0.8</v>
      </c>
    </row>
    <row r="1951" spans="17:29" x14ac:dyDescent="0.2">
      <c r="Q1951" t="s">
        <v>2128</v>
      </c>
      <c r="R1951" t="s">
        <v>2595</v>
      </c>
      <c r="S1951" t="s">
        <v>343</v>
      </c>
      <c r="T1951" s="1">
        <v>44008</v>
      </c>
      <c r="U1951" s="1">
        <v>44235</v>
      </c>
      <c r="V1951" t="s">
        <v>345</v>
      </c>
      <c r="W1951">
        <v>20170452</v>
      </c>
      <c r="X1951">
        <v>20170452</v>
      </c>
      <c r="Y1951" t="s">
        <v>345</v>
      </c>
      <c r="Z1951">
        <v>20170452</v>
      </c>
      <c r="AA1951">
        <v>878064</v>
      </c>
      <c r="AB1951" t="b">
        <v>1</v>
      </c>
      <c r="AC1951">
        <v>0.8</v>
      </c>
    </row>
    <row r="1952" spans="17:29" x14ac:dyDescent="0.2">
      <c r="Q1952" t="s">
        <v>1989</v>
      </c>
      <c r="R1952" t="s">
        <v>2595</v>
      </c>
      <c r="S1952" t="s">
        <v>343</v>
      </c>
      <c r="T1952" s="1">
        <v>44008</v>
      </c>
      <c r="U1952" s="1">
        <v>44235</v>
      </c>
      <c r="V1952" t="s">
        <v>345</v>
      </c>
      <c r="W1952">
        <v>20170452</v>
      </c>
      <c r="X1952">
        <v>20170452</v>
      </c>
      <c r="Y1952" t="s">
        <v>345</v>
      </c>
      <c r="Z1952">
        <v>20170452</v>
      </c>
      <c r="AA1952">
        <v>878064</v>
      </c>
      <c r="AB1952" t="b">
        <v>1</v>
      </c>
      <c r="AC1952">
        <v>0.8</v>
      </c>
    </row>
    <row r="1953" spans="17:29" x14ac:dyDescent="0.2">
      <c r="Q1953" t="s">
        <v>2128</v>
      </c>
      <c r="R1953" t="s">
        <v>2596</v>
      </c>
      <c r="S1953" t="s">
        <v>343</v>
      </c>
      <c r="T1953" s="1">
        <v>44008</v>
      </c>
      <c r="U1953" s="1">
        <v>44277</v>
      </c>
      <c r="V1953" t="s">
        <v>345</v>
      </c>
      <c r="W1953">
        <v>9072000</v>
      </c>
      <c r="X1953">
        <v>9072000</v>
      </c>
      <c r="Y1953" t="s">
        <v>345</v>
      </c>
      <c r="Z1953">
        <v>9072000</v>
      </c>
      <c r="AA1953">
        <v>394924</v>
      </c>
      <c r="AB1953" t="b">
        <v>1</v>
      </c>
      <c r="AC1953">
        <v>0.8</v>
      </c>
    </row>
    <row r="1954" spans="17:29" x14ac:dyDescent="0.2">
      <c r="Q1954" t="s">
        <v>1989</v>
      </c>
      <c r="R1954" t="s">
        <v>2596</v>
      </c>
      <c r="S1954" t="s">
        <v>343</v>
      </c>
      <c r="T1954" s="1">
        <v>44008</v>
      </c>
      <c r="U1954" s="1">
        <v>44277</v>
      </c>
      <c r="V1954" t="s">
        <v>345</v>
      </c>
      <c r="W1954">
        <v>9072000</v>
      </c>
      <c r="X1954">
        <v>9072000</v>
      </c>
      <c r="Y1954" t="s">
        <v>345</v>
      </c>
      <c r="Z1954">
        <v>9072000</v>
      </c>
      <c r="AA1954">
        <v>394924</v>
      </c>
      <c r="AB1954" t="b">
        <v>1</v>
      </c>
      <c r="AC1954">
        <v>0.8</v>
      </c>
    </row>
    <row r="1955" spans="17:29" x14ac:dyDescent="0.2">
      <c r="Q1955" t="s">
        <v>2040</v>
      </c>
      <c r="R1955" t="s">
        <v>2597</v>
      </c>
      <c r="S1955" t="s">
        <v>343</v>
      </c>
      <c r="T1955" s="1">
        <v>44008</v>
      </c>
      <c r="U1955" s="1">
        <v>44224</v>
      </c>
      <c r="V1955" t="s">
        <v>345</v>
      </c>
      <c r="W1955">
        <v>19393939</v>
      </c>
      <c r="X1955">
        <v>19393939</v>
      </c>
      <c r="Y1955" t="s">
        <v>345</v>
      </c>
      <c r="Z1955">
        <v>19393939</v>
      </c>
      <c r="AA1955">
        <v>844261</v>
      </c>
      <c r="AB1955" t="b">
        <v>1</v>
      </c>
      <c r="AC1955">
        <v>0.8</v>
      </c>
    </row>
    <row r="1956" spans="17:29" x14ac:dyDescent="0.2">
      <c r="Q1956" t="s">
        <v>2036</v>
      </c>
      <c r="R1956" t="s">
        <v>2597</v>
      </c>
      <c r="S1956" t="s">
        <v>343</v>
      </c>
      <c r="T1956" s="1">
        <v>44008</v>
      </c>
      <c r="U1956" s="1">
        <v>44224</v>
      </c>
      <c r="V1956" t="s">
        <v>345</v>
      </c>
      <c r="W1956">
        <v>19393939</v>
      </c>
      <c r="X1956">
        <v>19393939</v>
      </c>
      <c r="Y1956" t="s">
        <v>345</v>
      </c>
      <c r="Z1956">
        <v>19393939</v>
      </c>
      <c r="AA1956">
        <v>844261</v>
      </c>
      <c r="AB1956" t="b">
        <v>1</v>
      </c>
      <c r="AC1956">
        <v>0.8</v>
      </c>
    </row>
    <row r="1957" spans="17:29" x14ac:dyDescent="0.2">
      <c r="Q1957" t="s">
        <v>2040</v>
      </c>
      <c r="R1957" t="s">
        <v>2598</v>
      </c>
      <c r="S1957" t="s">
        <v>343</v>
      </c>
      <c r="T1957" s="1">
        <v>44008</v>
      </c>
      <c r="U1957" s="1">
        <v>44218</v>
      </c>
      <c r="V1957" t="s">
        <v>345</v>
      </c>
      <c r="W1957">
        <v>29072126</v>
      </c>
      <c r="X1957">
        <v>29072126</v>
      </c>
      <c r="Y1957" t="s">
        <v>345</v>
      </c>
      <c r="Z1957">
        <v>29072126</v>
      </c>
      <c r="AA1957">
        <v>1265574</v>
      </c>
      <c r="AB1957" t="b">
        <v>1</v>
      </c>
      <c r="AC1957">
        <v>0.8</v>
      </c>
    </row>
    <row r="1958" spans="17:29" x14ac:dyDescent="0.2">
      <c r="Q1958" t="s">
        <v>2036</v>
      </c>
      <c r="R1958" t="s">
        <v>2598</v>
      </c>
      <c r="S1958" t="s">
        <v>343</v>
      </c>
      <c r="T1958" s="1">
        <v>44008</v>
      </c>
      <c r="U1958" s="1">
        <v>44218</v>
      </c>
      <c r="V1958" t="s">
        <v>345</v>
      </c>
      <c r="W1958">
        <v>29072126</v>
      </c>
      <c r="X1958">
        <v>29072126</v>
      </c>
      <c r="Y1958" t="s">
        <v>345</v>
      </c>
      <c r="Z1958">
        <v>29072126</v>
      </c>
      <c r="AA1958">
        <v>1265574</v>
      </c>
      <c r="AB1958" t="b">
        <v>1</v>
      </c>
      <c r="AC1958">
        <v>0.8</v>
      </c>
    </row>
    <row r="1959" spans="17:29" x14ac:dyDescent="0.2">
      <c r="Q1959" t="s">
        <v>2087</v>
      </c>
      <c r="R1959" t="s">
        <v>2599</v>
      </c>
      <c r="S1959" t="s">
        <v>343</v>
      </c>
      <c r="T1959" s="1">
        <v>44008</v>
      </c>
      <c r="U1959" s="1">
        <v>44165</v>
      </c>
      <c r="V1959" t="s">
        <v>345</v>
      </c>
      <c r="W1959">
        <v>50419200</v>
      </c>
      <c r="X1959">
        <v>50419200</v>
      </c>
      <c r="Y1959" t="s">
        <v>345</v>
      </c>
      <c r="Z1959">
        <v>50419200</v>
      </c>
      <c r="AA1959">
        <v>2194859</v>
      </c>
      <c r="AB1959" t="b">
        <v>1</v>
      </c>
      <c r="AC1959">
        <v>0.8</v>
      </c>
    </row>
    <row r="1960" spans="17:29" x14ac:dyDescent="0.2">
      <c r="Q1960" t="s">
        <v>2036</v>
      </c>
      <c r="R1960" t="s">
        <v>2599</v>
      </c>
      <c r="S1960" t="s">
        <v>343</v>
      </c>
      <c r="T1960" s="1">
        <v>44008</v>
      </c>
      <c r="U1960" s="1">
        <v>44165</v>
      </c>
      <c r="V1960" t="s">
        <v>345</v>
      </c>
      <c r="W1960">
        <v>50419200</v>
      </c>
      <c r="X1960">
        <v>50419200</v>
      </c>
      <c r="Y1960" t="s">
        <v>345</v>
      </c>
      <c r="Z1960">
        <v>50419200</v>
      </c>
      <c r="AA1960">
        <v>2194859</v>
      </c>
      <c r="AB1960" t="b">
        <v>1</v>
      </c>
      <c r="AC1960">
        <v>0.8</v>
      </c>
    </row>
    <row r="1961" spans="17:29" x14ac:dyDescent="0.2">
      <c r="Q1961" t="s">
        <v>2001</v>
      </c>
      <c r="R1961" t="s">
        <v>2600</v>
      </c>
      <c r="S1961" t="s">
        <v>343</v>
      </c>
      <c r="T1961" s="1">
        <v>44008</v>
      </c>
      <c r="U1961" s="1">
        <v>44243</v>
      </c>
      <c r="V1961" t="s">
        <v>345</v>
      </c>
      <c r="W1961">
        <v>37730261</v>
      </c>
      <c r="X1961">
        <v>37730261</v>
      </c>
      <c r="Y1961" t="s">
        <v>345</v>
      </c>
      <c r="Z1961">
        <v>37730261</v>
      </c>
      <c r="AA1961">
        <v>1642481</v>
      </c>
      <c r="AB1961" t="b">
        <v>1</v>
      </c>
      <c r="AC1961">
        <v>0.8</v>
      </c>
    </row>
    <row r="1962" spans="17:29" x14ac:dyDescent="0.2">
      <c r="Q1962" t="s">
        <v>2036</v>
      </c>
      <c r="R1962" t="s">
        <v>2600</v>
      </c>
      <c r="S1962" t="s">
        <v>343</v>
      </c>
      <c r="T1962" s="1">
        <v>44008</v>
      </c>
      <c r="U1962" s="1">
        <v>44243</v>
      </c>
      <c r="V1962" t="s">
        <v>345</v>
      </c>
      <c r="W1962">
        <v>37730261</v>
      </c>
      <c r="X1962">
        <v>37730261</v>
      </c>
      <c r="Y1962" t="s">
        <v>345</v>
      </c>
      <c r="Z1962">
        <v>37730261</v>
      </c>
      <c r="AA1962">
        <v>1642481</v>
      </c>
      <c r="AB1962" t="b">
        <v>1</v>
      </c>
      <c r="AC1962">
        <v>0.8</v>
      </c>
    </row>
    <row r="1963" spans="17:29" x14ac:dyDescent="0.2">
      <c r="Q1963" t="s">
        <v>2087</v>
      </c>
      <c r="R1963" t="s">
        <v>2601</v>
      </c>
      <c r="S1963" t="s">
        <v>343</v>
      </c>
      <c r="T1963" s="1">
        <v>44008</v>
      </c>
      <c r="U1963" s="1">
        <v>44050</v>
      </c>
      <c r="V1963" t="s">
        <v>345</v>
      </c>
      <c r="W1963">
        <v>2809242</v>
      </c>
      <c r="X1963">
        <v>2809242</v>
      </c>
      <c r="Y1963" t="s">
        <v>345</v>
      </c>
      <c r="Z1963">
        <v>2809242</v>
      </c>
      <c r="AA1963">
        <v>122292</v>
      </c>
      <c r="AB1963" t="b">
        <v>1</v>
      </c>
      <c r="AC1963">
        <v>0.8</v>
      </c>
    </row>
    <row r="1964" spans="17:29" x14ac:dyDescent="0.2">
      <c r="Q1964" t="s">
        <v>2036</v>
      </c>
      <c r="R1964" t="s">
        <v>2601</v>
      </c>
      <c r="S1964" t="s">
        <v>343</v>
      </c>
      <c r="T1964" s="1">
        <v>44008</v>
      </c>
      <c r="U1964" s="1">
        <v>44050</v>
      </c>
      <c r="V1964" t="s">
        <v>345</v>
      </c>
      <c r="W1964">
        <v>2809242</v>
      </c>
      <c r="X1964">
        <v>2809242</v>
      </c>
      <c r="Y1964" t="s">
        <v>345</v>
      </c>
      <c r="Z1964">
        <v>2809242</v>
      </c>
      <c r="AA1964">
        <v>122292</v>
      </c>
      <c r="AB1964" t="b">
        <v>1</v>
      </c>
      <c r="AC1964">
        <v>0.8</v>
      </c>
    </row>
    <row r="1965" spans="17:29" x14ac:dyDescent="0.2">
      <c r="Q1965" t="s">
        <v>2087</v>
      </c>
      <c r="R1965" t="s">
        <v>2602</v>
      </c>
      <c r="S1965" t="s">
        <v>384</v>
      </c>
      <c r="T1965" s="1">
        <v>44056</v>
      </c>
      <c r="U1965" s="1">
        <v>44092</v>
      </c>
      <c r="V1965" t="s">
        <v>386</v>
      </c>
      <c r="W1965">
        <v>299997669786</v>
      </c>
      <c r="X1965">
        <v>299997669786</v>
      </c>
      <c r="Y1965" t="s">
        <v>386</v>
      </c>
      <c r="Z1965">
        <v>299997669786</v>
      </c>
      <c r="AA1965">
        <v>79879878</v>
      </c>
      <c r="AB1965" t="b">
        <v>0</v>
      </c>
      <c r="AC1965">
        <v>0.7</v>
      </c>
    </row>
    <row r="1966" spans="17:29" x14ac:dyDescent="0.2">
      <c r="Q1966" t="s">
        <v>2087</v>
      </c>
      <c r="R1966" t="s">
        <v>2602</v>
      </c>
      <c r="S1966" t="s">
        <v>384</v>
      </c>
      <c r="T1966" s="1">
        <v>44056</v>
      </c>
      <c r="U1966" s="1">
        <v>44092</v>
      </c>
      <c r="V1966" t="s">
        <v>386</v>
      </c>
      <c r="W1966">
        <v>299997669786</v>
      </c>
      <c r="X1966">
        <v>299997669786</v>
      </c>
      <c r="Y1966" t="s">
        <v>386</v>
      </c>
      <c r="Z1966">
        <v>299997669786</v>
      </c>
      <c r="AA1966">
        <v>79879878</v>
      </c>
      <c r="AB1966" t="b">
        <v>0</v>
      </c>
      <c r="AC1966">
        <v>0.7</v>
      </c>
    </row>
    <row r="1967" spans="17:29" x14ac:dyDescent="0.2">
      <c r="Q1967" t="s">
        <v>2087</v>
      </c>
      <c r="R1967" t="s">
        <v>2603</v>
      </c>
      <c r="S1967" t="s">
        <v>384</v>
      </c>
      <c r="T1967" s="1">
        <v>44056</v>
      </c>
      <c r="U1967" s="1">
        <v>44092</v>
      </c>
      <c r="V1967" t="s">
        <v>386</v>
      </c>
      <c r="W1967">
        <v>245409890324</v>
      </c>
      <c r="X1967">
        <v>245409890324</v>
      </c>
      <c r="Y1967" t="s">
        <v>386</v>
      </c>
      <c r="Z1967">
        <v>245409890324</v>
      </c>
      <c r="AA1967">
        <v>65344881</v>
      </c>
      <c r="AB1967" t="b">
        <v>0</v>
      </c>
      <c r="AC1967">
        <v>0.59</v>
      </c>
    </row>
    <row r="1968" spans="17:29" x14ac:dyDescent="0.2">
      <c r="Q1968" t="s">
        <v>2087</v>
      </c>
      <c r="R1968" t="s">
        <v>2603</v>
      </c>
      <c r="S1968" t="s">
        <v>384</v>
      </c>
      <c r="T1968" s="1">
        <v>44056</v>
      </c>
      <c r="U1968" s="1">
        <v>44092</v>
      </c>
      <c r="V1968" t="s">
        <v>386</v>
      </c>
      <c r="W1968">
        <v>245409890324</v>
      </c>
      <c r="X1968">
        <v>245409890324</v>
      </c>
      <c r="Y1968" t="s">
        <v>386</v>
      </c>
      <c r="Z1968">
        <v>245409890324</v>
      </c>
      <c r="AA1968">
        <v>65344881</v>
      </c>
      <c r="AB1968" t="b">
        <v>0</v>
      </c>
      <c r="AC1968">
        <v>0.59</v>
      </c>
    </row>
    <row r="1969" spans="17:29" ht="170" x14ac:dyDescent="0.2">
      <c r="Q1969" t="s">
        <v>2087</v>
      </c>
      <c r="R1969" s="5" t="s">
        <v>2604</v>
      </c>
      <c r="S1969" t="s">
        <v>384</v>
      </c>
      <c r="T1969" s="1">
        <v>44056</v>
      </c>
      <c r="U1969" s="1">
        <v>44396</v>
      </c>
      <c r="V1969" t="s">
        <v>386</v>
      </c>
      <c r="W1969">
        <v>54587779462</v>
      </c>
      <c r="X1969">
        <v>54587779462</v>
      </c>
      <c r="Y1969" t="s">
        <v>386</v>
      </c>
      <c r="Z1969">
        <v>54587779462</v>
      </c>
      <c r="AA1969">
        <v>14534997</v>
      </c>
      <c r="AB1969" t="b">
        <v>0</v>
      </c>
      <c r="AC1969">
        <v>0.11</v>
      </c>
    </row>
    <row r="1970" spans="17:29" ht="170" x14ac:dyDescent="0.2">
      <c r="Q1970" t="s">
        <v>2087</v>
      </c>
      <c r="R1970" s="5" t="s">
        <v>2604</v>
      </c>
      <c r="S1970" t="s">
        <v>384</v>
      </c>
      <c r="T1970" s="1">
        <v>44056</v>
      </c>
      <c r="U1970" s="1">
        <v>44396</v>
      </c>
      <c r="V1970" t="s">
        <v>386</v>
      </c>
      <c r="W1970">
        <v>54587779462</v>
      </c>
      <c r="X1970">
        <v>54587779462</v>
      </c>
      <c r="Y1970" t="s">
        <v>386</v>
      </c>
      <c r="Z1970">
        <v>54587779462</v>
      </c>
      <c r="AA1970">
        <v>14534997</v>
      </c>
      <c r="AB1970" t="b">
        <v>0</v>
      </c>
      <c r="AC1970">
        <v>0.11</v>
      </c>
    </row>
    <row r="1971" spans="17:29" x14ac:dyDescent="0.2">
      <c r="Q1971" t="s">
        <v>2128</v>
      </c>
      <c r="R1971" t="s">
        <v>2605</v>
      </c>
      <c r="S1971" t="s">
        <v>287</v>
      </c>
      <c r="T1971" s="1">
        <v>44469</v>
      </c>
      <c r="U1971" s="1">
        <v>44469</v>
      </c>
      <c r="V1971" t="s">
        <v>270</v>
      </c>
      <c r="W1971">
        <v>134378757</v>
      </c>
      <c r="X1971">
        <v>134378757</v>
      </c>
      <c r="Y1971" t="s">
        <v>270</v>
      </c>
      <c r="Z1971">
        <v>134378757</v>
      </c>
      <c r="AA1971">
        <v>134378757</v>
      </c>
      <c r="AB1971" t="b">
        <v>0</v>
      </c>
      <c r="AC1971">
        <v>0.47</v>
      </c>
    </row>
    <row r="1972" spans="17:29" x14ac:dyDescent="0.2">
      <c r="Q1972" t="s">
        <v>2128</v>
      </c>
      <c r="R1972" t="s">
        <v>2605</v>
      </c>
      <c r="S1972" t="s">
        <v>287</v>
      </c>
      <c r="T1972" s="1">
        <v>43830</v>
      </c>
      <c r="U1972" s="1">
        <v>43830</v>
      </c>
      <c r="V1972" t="s">
        <v>270</v>
      </c>
      <c r="W1972">
        <v>23799000</v>
      </c>
      <c r="X1972">
        <v>23799000</v>
      </c>
      <c r="Y1972" t="s">
        <v>270</v>
      </c>
      <c r="Z1972">
        <v>23799000</v>
      </c>
      <c r="AA1972">
        <v>23799000</v>
      </c>
      <c r="AB1972" t="b">
        <v>0</v>
      </c>
      <c r="AC1972">
        <v>0.47</v>
      </c>
    </row>
    <row r="1973" spans="17:29" x14ac:dyDescent="0.2">
      <c r="Q1973" t="s">
        <v>1989</v>
      </c>
      <c r="R1973" t="s">
        <v>2605</v>
      </c>
      <c r="S1973" t="s">
        <v>287</v>
      </c>
      <c r="T1973" s="1">
        <v>44469</v>
      </c>
      <c r="U1973" s="1">
        <v>44469</v>
      </c>
      <c r="V1973" t="s">
        <v>270</v>
      </c>
      <c r="W1973">
        <v>134378757</v>
      </c>
      <c r="X1973">
        <v>134378757</v>
      </c>
      <c r="Y1973" t="s">
        <v>270</v>
      </c>
      <c r="Z1973">
        <v>134378757</v>
      </c>
      <c r="AA1973">
        <v>134378757</v>
      </c>
      <c r="AB1973" t="b">
        <v>0</v>
      </c>
      <c r="AC1973">
        <v>0.47</v>
      </c>
    </row>
    <row r="1974" spans="17:29" x14ac:dyDescent="0.2">
      <c r="Q1974" t="s">
        <v>1989</v>
      </c>
      <c r="R1974" t="s">
        <v>2605</v>
      </c>
      <c r="S1974" t="s">
        <v>287</v>
      </c>
      <c r="T1974" s="1">
        <v>43830</v>
      </c>
      <c r="U1974" s="1">
        <v>43830</v>
      </c>
      <c r="V1974" t="s">
        <v>270</v>
      </c>
      <c r="W1974">
        <v>23799000</v>
      </c>
      <c r="X1974">
        <v>23799000</v>
      </c>
      <c r="Y1974" t="s">
        <v>270</v>
      </c>
      <c r="Z1974">
        <v>23799000</v>
      </c>
      <c r="AA1974">
        <v>23799000</v>
      </c>
      <c r="AB1974" t="b">
        <v>0</v>
      </c>
      <c r="AC1974">
        <v>0.47</v>
      </c>
    </row>
    <row r="1975" spans="17:29" x14ac:dyDescent="0.2">
      <c r="Q1975" t="s">
        <v>2029</v>
      </c>
      <c r="R1975" t="s">
        <v>2605</v>
      </c>
      <c r="S1975" t="s">
        <v>287</v>
      </c>
      <c r="T1975" s="1">
        <v>44469</v>
      </c>
      <c r="U1975" s="1">
        <v>44469</v>
      </c>
      <c r="V1975" t="s">
        <v>270</v>
      </c>
      <c r="W1975">
        <v>134378757</v>
      </c>
      <c r="X1975">
        <v>134378757</v>
      </c>
      <c r="Y1975" t="s">
        <v>270</v>
      </c>
      <c r="Z1975">
        <v>134378757</v>
      </c>
      <c r="AA1975">
        <v>134378757</v>
      </c>
      <c r="AB1975" t="b">
        <v>0</v>
      </c>
      <c r="AC1975">
        <v>0.47</v>
      </c>
    </row>
    <row r="1976" spans="17:29" x14ac:dyDescent="0.2">
      <c r="Q1976" t="s">
        <v>2029</v>
      </c>
      <c r="R1976" t="s">
        <v>2605</v>
      </c>
      <c r="S1976" t="s">
        <v>287</v>
      </c>
      <c r="T1976" s="1">
        <v>43830</v>
      </c>
      <c r="U1976" s="1">
        <v>43830</v>
      </c>
      <c r="V1976" t="s">
        <v>270</v>
      </c>
      <c r="W1976">
        <v>23799000</v>
      </c>
      <c r="X1976">
        <v>23799000</v>
      </c>
      <c r="Y1976" t="s">
        <v>270</v>
      </c>
      <c r="Z1976">
        <v>23799000</v>
      </c>
      <c r="AA1976">
        <v>23799000</v>
      </c>
      <c r="AB1976" t="b">
        <v>0</v>
      </c>
      <c r="AC1976">
        <v>0.47</v>
      </c>
    </row>
    <row r="1977" spans="17:29" x14ac:dyDescent="0.2">
      <c r="Q1977" t="s">
        <v>2029</v>
      </c>
      <c r="R1977" t="s">
        <v>2605</v>
      </c>
      <c r="S1977" t="s">
        <v>287</v>
      </c>
      <c r="T1977" s="1">
        <v>44469</v>
      </c>
      <c r="U1977" s="1">
        <v>44469</v>
      </c>
      <c r="V1977" t="s">
        <v>270</v>
      </c>
      <c r="W1977">
        <v>134378757</v>
      </c>
      <c r="X1977">
        <v>134378757</v>
      </c>
      <c r="Y1977" t="s">
        <v>270</v>
      </c>
      <c r="Z1977">
        <v>134378757</v>
      </c>
      <c r="AA1977">
        <v>134378757</v>
      </c>
      <c r="AB1977" t="b">
        <v>0</v>
      </c>
      <c r="AC1977">
        <v>0.47</v>
      </c>
    </row>
    <row r="1978" spans="17:29" x14ac:dyDescent="0.2">
      <c r="Q1978" t="s">
        <v>2029</v>
      </c>
      <c r="R1978" t="s">
        <v>2605</v>
      </c>
      <c r="S1978" t="s">
        <v>287</v>
      </c>
      <c r="T1978" s="1">
        <v>43830</v>
      </c>
      <c r="U1978" s="1">
        <v>43830</v>
      </c>
      <c r="V1978" t="s">
        <v>270</v>
      </c>
      <c r="W1978">
        <v>23799000</v>
      </c>
      <c r="X1978">
        <v>23799000</v>
      </c>
      <c r="Y1978" t="s">
        <v>270</v>
      </c>
      <c r="Z1978">
        <v>23799000</v>
      </c>
      <c r="AA1978">
        <v>23799000</v>
      </c>
      <c r="AB1978" t="b">
        <v>0</v>
      </c>
      <c r="AC1978">
        <v>0.47</v>
      </c>
    </row>
    <row r="1979" spans="17:29" x14ac:dyDescent="0.2">
      <c r="Q1979" t="s">
        <v>2128</v>
      </c>
      <c r="R1979" t="s">
        <v>2606</v>
      </c>
      <c r="S1979" t="s">
        <v>384</v>
      </c>
      <c r="T1979" s="1">
        <v>44469</v>
      </c>
      <c r="U1979" s="1">
        <v>44469</v>
      </c>
      <c r="V1979" t="s">
        <v>270</v>
      </c>
      <c r="W1979">
        <v>17995281</v>
      </c>
      <c r="X1979">
        <v>17995281</v>
      </c>
      <c r="Y1979" t="s">
        <v>270</v>
      </c>
      <c r="Z1979">
        <v>17995281</v>
      </c>
      <c r="AA1979">
        <v>17995281</v>
      </c>
      <c r="AB1979" t="b">
        <v>0</v>
      </c>
      <c r="AC1979">
        <v>0.41</v>
      </c>
    </row>
    <row r="1980" spans="17:29" x14ac:dyDescent="0.2">
      <c r="Q1980" t="s">
        <v>2128</v>
      </c>
      <c r="R1980" t="s">
        <v>2606</v>
      </c>
      <c r="S1980" t="s">
        <v>384</v>
      </c>
      <c r="T1980" s="1">
        <v>43830</v>
      </c>
      <c r="U1980" s="1">
        <v>43830</v>
      </c>
      <c r="V1980" t="s">
        <v>270</v>
      </c>
      <c r="W1980">
        <v>1195000</v>
      </c>
      <c r="X1980">
        <v>1195000</v>
      </c>
      <c r="Y1980" t="s">
        <v>270</v>
      </c>
      <c r="Z1980">
        <v>1195000</v>
      </c>
      <c r="AA1980">
        <v>1195000</v>
      </c>
      <c r="AB1980" t="b">
        <v>0</v>
      </c>
      <c r="AC1980">
        <v>0.41</v>
      </c>
    </row>
    <row r="1981" spans="17:29" x14ac:dyDescent="0.2">
      <c r="Q1981" t="s">
        <v>1989</v>
      </c>
      <c r="R1981" t="s">
        <v>2606</v>
      </c>
      <c r="S1981" t="s">
        <v>384</v>
      </c>
      <c r="T1981" s="1">
        <v>44469</v>
      </c>
      <c r="U1981" s="1">
        <v>44469</v>
      </c>
      <c r="V1981" t="s">
        <v>270</v>
      </c>
      <c r="W1981">
        <v>17995281</v>
      </c>
      <c r="X1981">
        <v>17995281</v>
      </c>
      <c r="Y1981" t="s">
        <v>270</v>
      </c>
      <c r="Z1981">
        <v>17995281</v>
      </c>
      <c r="AA1981">
        <v>17995281</v>
      </c>
      <c r="AB1981" t="b">
        <v>0</v>
      </c>
      <c r="AC1981">
        <v>0.41</v>
      </c>
    </row>
    <row r="1982" spans="17:29" x14ac:dyDescent="0.2">
      <c r="Q1982" t="s">
        <v>1989</v>
      </c>
      <c r="R1982" t="s">
        <v>2606</v>
      </c>
      <c r="S1982" t="s">
        <v>384</v>
      </c>
      <c r="T1982" s="1">
        <v>43830</v>
      </c>
      <c r="U1982" s="1">
        <v>43830</v>
      </c>
      <c r="V1982" t="s">
        <v>270</v>
      </c>
      <c r="W1982">
        <v>1195000</v>
      </c>
      <c r="X1982">
        <v>1195000</v>
      </c>
      <c r="Y1982" t="s">
        <v>270</v>
      </c>
      <c r="Z1982">
        <v>1195000</v>
      </c>
      <c r="AA1982">
        <v>1195000</v>
      </c>
      <c r="AB1982" t="b">
        <v>0</v>
      </c>
      <c r="AC1982">
        <v>0.41</v>
      </c>
    </row>
    <row r="1983" spans="17:29" x14ac:dyDescent="0.2">
      <c r="Q1983" t="s">
        <v>2029</v>
      </c>
      <c r="R1983" t="s">
        <v>2606</v>
      </c>
      <c r="S1983" t="s">
        <v>384</v>
      </c>
      <c r="T1983" s="1">
        <v>44469</v>
      </c>
      <c r="U1983" s="1">
        <v>44469</v>
      </c>
      <c r="V1983" t="s">
        <v>270</v>
      </c>
      <c r="W1983">
        <v>17995281</v>
      </c>
      <c r="X1983">
        <v>17995281</v>
      </c>
      <c r="Y1983" t="s">
        <v>270</v>
      </c>
      <c r="Z1983">
        <v>17995281</v>
      </c>
      <c r="AA1983">
        <v>17995281</v>
      </c>
      <c r="AB1983" t="b">
        <v>0</v>
      </c>
      <c r="AC1983">
        <v>0.41</v>
      </c>
    </row>
    <row r="1984" spans="17:29" x14ac:dyDescent="0.2">
      <c r="Q1984" t="s">
        <v>2029</v>
      </c>
      <c r="R1984" t="s">
        <v>2606</v>
      </c>
      <c r="S1984" t="s">
        <v>384</v>
      </c>
      <c r="T1984" s="1">
        <v>43830</v>
      </c>
      <c r="U1984" s="1">
        <v>43830</v>
      </c>
      <c r="V1984" t="s">
        <v>270</v>
      </c>
      <c r="W1984">
        <v>1195000</v>
      </c>
      <c r="X1984">
        <v>1195000</v>
      </c>
      <c r="Y1984" t="s">
        <v>270</v>
      </c>
      <c r="Z1984">
        <v>1195000</v>
      </c>
      <c r="AA1984">
        <v>1195000</v>
      </c>
      <c r="AB1984" t="b">
        <v>0</v>
      </c>
      <c r="AC1984">
        <v>0.41</v>
      </c>
    </row>
    <row r="1985" spans="17:29" x14ac:dyDescent="0.2">
      <c r="Q1985" t="s">
        <v>2029</v>
      </c>
      <c r="R1985" t="s">
        <v>2606</v>
      </c>
      <c r="S1985" t="s">
        <v>384</v>
      </c>
      <c r="T1985" s="1">
        <v>44469</v>
      </c>
      <c r="U1985" s="1">
        <v>44469</v>
      </c>
      <c r="V1985" t="s">
        <v>270</v>
      </c>
      <c r="W1985">
        <v>17995281</v>
      </c>
      <c r="X1985">
        <v>17995281</v>
      </c>
      <c r="Y1985" t="s">
        <v>270</v>
      </c>
      <c r="Z1985">
        <v>17995281</v>
      </c>
      <c r="AA1985">
        <v>17995281</v>
      </c>
      <c r="AB1985" t="b">
        <v>0</v>
      </c>
      <c r="AC1985">
        <v>0.41</v>
      </c>
    </row>
    <row r="1986" spans="17:29" x14ac:dyDescent="0.2">
      <c r="Q1986" t="s">
        <v>2029</v>
      </c>
      <c r="R1986" t="s">
        <v>2606</v>
      </c>
      <c r="S1986" t="s">
        <v>384</v>
      </c>
      <c r="T1986" s="1">
        <v>43830</v>
      </c>
      <c r="U1986" s="1">
        <v>43830</v>
      </c>
      <c r="V1986" t="s">
        <v>270</v>
      </c>
      <c r="W1986">
        <v>1195000</v>
      </c>
      <c r="X1986">
        <v>1195000</v>
      </c>
      <c r="Y1986" t="s">
        <v>270</v>
      </c>
      <c r="Z1986">
        <v>1195000</v>
      </c>
      <c r="AA1986">
        <v>1195000</v>
      </c>
      <c r="AB1986" t="b">
        <v>0</v>
      </c>
      <c r="AC1986">
        <v>0.41</v>
      </c>
    </row>
    <row r="1987" spans="17:29" x14ac:dyDescent="0.2">
      <c r="Q1987" t="s">
        <v>2031</v>
      </c>
      <c r="R1987" t="s">
        <v>2607</v>
      </c>
      <c r="S1987" t="s">
        <v>287</v>
      </c>
      <c r="T1987" s="1">
        <v>44469</v>
      </c>
      <c r="U1987" s="1">
        <v>44469</v>
      </c>
      <c r="V1987" t="s">
        <v>270</v>
      </c>
      <c r="W1987">
        <v>130226738</v>
      </c>
      <c r="X1987">
        <v>130226738</v>
      </c>
      <c r="Y1987" t="s">
        <v>270</v>
      </c>
      <c r="Z1987">
        <v>130226738</v>
      </c>
      <c r="AA1987">
        <v>130226738</v>
      </c>
      <c r="AB1987" t="b">
        <v>0</v>
      </c>
      <c r="AC1987">
        <v>0.54</v>
      </c>
    </row>
    <row r="1988" spans="17:29" x14ac:dyDescent="0.2">
      <c r="Q1988" t="s">
        <v>2031</v>
      </c>
      <c r="R1988" t="s">
        <v>2607</v>
      </c>
      <c r="S1988" t="s">
        <v>287</v>
      </c>
      <c r="T1988" s="1">
        <v>43830</v>
      </c>
      <c r="U1988" s="1">
        <v>43830</v>
      </c>
      <c r="V1988" t="s">
        <v>270</v>
      </c>
      <c r="W1988">
        <v>142404000</v>
      </c>
      <c r="X1988">
        <v>142404000</v>
      </c>
      <c r="Y1988" t="s">
        <v>270</v>
      </c>
      <c r="Z1988">
        <v>142404000</v>
      </c>
      <c r="AA1988">
        <v>142404000</v>
      </c>
      <c r="AB1988" t="b">
        <v>0</v>
      </c>
      <c r="AC1988">
        <v>0.54</v>
      </c>
    </row>
    <row r="1989" spans="17:29" x14ac:dyDescent="0.2">
      <c r="Q1989" t="s">
        <v>1989</v>
      </c>
      <c r="R1989" t="s">
        <v>2607</v>
      </c>
      <c r="S1989" t="s">
        <v>287</v>
      </c>
      <c r="T1989" s="1">
        <v>44469</v>
      </c>
      <c r="U1989" s="1">
        <v>44469</v>
      </c>
      <c r="V1989" t="s">
        <v>270</v>
      </c>
      <c r="W1989">
        <v>130226738</v>
      </c>
      <c r="X1989">
        <v>130226738</v>
      </c>
      <c r="Y1989" t="s">
        <v>270</v>
      </c>
      <c r="Z1989">
        <v>130226738</v>
      </c>
      <c r="AA1989">
        <v>130226738</v>
      </c>
      <c r="AB1989" t="b">
        <v>0</v>
      </c>
      <c r="AC1989">
        <v>0.54</v>
      </c>
    </row>
    <row r="1990" spans="17:29" x14ac:dyDescent="0.2">
      <c r="Q1990" t="s">
        <v>1989</v>
      </c>
      <c r="R1990" t="s">
        <v>2607</v>
      </c>
      <c r="S1990" t="s">
        <v>287</v>
      </c>
      <c r="T1990" s="1">
        <v>43830</v>
      </c>
      <c r="U1990" s="1">
        <v>43830</v>
      </c>
      <c r="V1990" t="s">
        <v>270</v>
      </c>
      <c r="W1990">
        <v>142404000</v>
      </c>
      <c r="X1990">
        <v>142404000</v>
      </c>
      <c r="Y1990" t="s">
        <v>270</v>
      </c>
      <c r="Z1990">
        <v>142404000</v>
      </c>
      <c r="AA1990">
        <v>142404000</v>
      </c>
      <c r="AB1990" t="b">
        <v>0</v>
      </c>
      <c r="AC1990">
        <v>0.54</v>
      </c>
    </row>
    <row r="1991" spans="17:29" x14ac:dyDescent="0.2">
      <c r="Q1991" t="s">
        <v>2029</v>
      </c>
      <c r="R1991" t="s">
        <v>2607</v>
      </c>
      <c r="S1991" t="s">
        <v>287</v>
      </c>
      <c r="T1991" s="1">
        <v>44469</v>
      </c>
      <c r="U1991" s="1">
        <v>44469</v>
      </c>
      <c r="V1991" t="s">
        <v>270</v>
      </c>
      <c r="W1991">
        <v>130226738</v>
      </c>
      <c r="X1991">
        <v>130226738</v>
      </c>
      <c r="Y1991" t="s">
        <v>270</v>
      </c>
      <c r="Z1991">
        <v>130226738</v>
      </c>
      <c r="AA1991">
        <v>130226738</v>
      </c>
      <c r="AB1991" t="b">
        <v>0</v>
      </c>
      <c r="AC1991">
        <v>0.54</v>
      </c>
    </row>
    <row r="1992" spans="17:29" x14ac:dyDescent="0.2">
      <c r="Q1992" t="s">
        <v>2029</v>
      </c>
      <c r="R1992" t="s">
        <v>2607</v>
      </c>
      <c r="S1992" t="s">
        <v>287</v>
      </c>
      <c r="T1992" s="1">
        <v>43830</v>
      </c>
      <c r="U1992" s="1">
        <v>43830</v>
      </c>
      <c r="V1992" t="s">
        <v>270</v>
      </c>
      <c r="W1992">
        <v>142404000</v>
      </c>
      <c r="X1992">
        <v>142404000</v>
      </c>
      <c r="Y1992" t="s">
        <v>270</v>
      </c>
      <c r="Z1992">
        <v>142404000</v>
      </c>
      <c r="AA1992">
        <v>142404000</v>
      </c>
      <c r="AB1992" t="b">
        <v>0</v>
      </c>
      <c r="AC1992">
        <v>0.54</v>
      </c>
    </row>
    <row r="1993" spans="17:29" x14ac:dyDescent="0.2">
      <c r="Q1993" t="s">
        <v>2029</v>
      </c>
      <c r="R1993" t="s">
        <v>2607</v>
      </c>
      <c r="S1993" t="s">
        <v>287</v>
      </c>
      <c r="T1993" s="1">
        <v>44469</v>
      </c>
      <c r="U1993" s="1">
        <v>44469</v>
      </c>
      <c r="V1993" t="s">
        <v>270</v>
      </c>
      <c r="W1993">
        <v>130226738</v>
      </c>
      <c r="X1993">
        <v>130226738</v>
      </c>
      <c r="Y1993" t="s">
        <v>270</v>
      </c>
      <c r="Z1993">
        <v>130226738</v>
      </c>
      <c r="AA1993">
        <v>130226738</v>
      </c>
      <c r="AB1993" t="b">
        <v>0</v>
      </c>
      <c r="AC1993">
        <v>0.54</v>
      </c>
    </row>
    <row r="1994" spans="17:29" x14ac:dyDescent="0.2">
      <c r="Q1994" t="s">
        <v>2029</v>
      </c>
      <c r="R1994" t="s">
        <v>2607</v>
      </c>
      <c r="S1994" t="s">
        <v>287</v>
      </c>
      <c r="T1994" s="1">
        <v>43830</v>
      </c>
      <c r="U1994" s="1">
        <v>43830</v>
      </c>
      <c r="V1994" t="s">
        <v>270</v>
      </c>
      <c r="W1994">
        <v>142404000</v>
      </c>
      <c r="X1994">
        <v>142404000</v>
      </c>
      <c r="Y1994" t="s">
        <v>270</v>
      </c>
      <c r="Z1994">
        <v>142404000</v>
      </c>
      <c r="AA1994">
        <v>142404000</v>
      </c>
      <c r="AB1994" t="b">
        <v>0</v>
      </c>
      <c r="AC1994">
        <v>0.54</v>
      </c>
    </row>
    <row r="1995" spans="17:29" x14ac:dyDescent="0.2">
      <c r="Q1995" t="s">
        <v>2171</v>
      </c>
      <c r="R1995" t="s">
        <v>2608</v>
      </c>
      <c r="S1995" t="s">
        <v>343</v>
      </c>
      <c r="T1995" s="1">
        <v>44095</v>
      </c>
      <c r="U1995" s="1">
        <v>44561</v>
      </c>
      <c r="V1995" t="s">
        <v>270</v>
      </c>
      <c r="W1995">
        <v>93190000</v>
      </c>
      <c r="X1995">
        <v>93190000</v>
      </c>
      <c r="Y1995" t="s">
        <v>270</v>
      </c>
      <c r="Z1995">
        <v>93190000</v>
      </c>
      <c r="AA1995">
        <v>93190000</v>
      </c>
      <c r="AB1995" t="b">
        <v>1</v>
      </c>
      <c r="AC1995">
        <v>1</v>
      </c>
    </row>
    <row r="1996" spans="17:29" x14ac:dyDescent="0.2">
      <c r="Q1996" t="s">
        <v>2171</v>
      </c>
      <c r="R1996" t="s">
        <v>2608</v>
      </c>
      <c r="S1996" t="s">
        <v>343</v>
      </c>
      <c r="T1996" s="1">
        <v>44095</v>
      </c>
      <c r="U1996" s="1">
        <v>44196</v>
      </c>
      <c r="V1996" t="s">
        <v>270</v>
      </c>
      <c r="W1996">
        <v>235480000</v>
      </c>
      <c r="X1996">
        <v>235480000</v>
      </c>
      <c r="Y1996" t="s">
        <v>270</v>
      </c>
      <c r="Z1996">
        <v>235480000</v>
      </c>
      <c r="AA1996">
        <v>235480000</v>
      </c>
      <c r="AB1996" t="b">
        <v>1</v>
      </c>
      <c r="AC1996">
        <v>1</v>
      </c>
    </row>
    <row r="1997" spans="17:29" x14ac:dyDescent="0.2">
      <c r="Q1997" t="s">
        <v>2374</v>
      </c>
      <c r="R1997" t="s">
        <v>2608</v>
      </c>
      <c r="S1997" t="s">
        <v>343</v>
      </c>
      <c r="T1997" s="1">
        <v>44095</v>
      </c>
      <c r="U1997" s="1">
        <v>44561</v>
      </c>
      <c r="V1997" t="s">
        <v>270</v>
      </c>
      <c r="W1997">
        <v>93190000</v>
      </c>
      <c r="X1997">
        <v>93190000</v>
      </c>
      <c r="Y1997" t="s">
        <v>270</v>
      </c>
      <c r="Z1997">
        <v>93190000</v>
      </c>
      <c r="AA1997">
        <v>93190000</v>
      </c>
      <c r="AB1997" t="b">
        <v>1</v>
      </c>
      <c r="AC1997">
        <v>1</v>
      </c>
    </row>
    <row r="1998" spans="17:29" x14ac:dyDescent="0.2">
      <c r="Q1998" t="s">
        <v>2374</v>
      </c>
      <c r="R1998" t="s">
        <v>2608</v>
      </c>
      <c r="S1998" t="s">
        <v>343</v>
      </c>
      <c r="T1998" s="1">
        <v>44095</v>
      </c>
      <c r="U1998" s="1">
        <v>44196</v>
      </c>
      <c r="V1998" t="s">
        <v>270</v>
      </c>
      <c r="W1998">
        <v>235480000</v>
      </c>
      <c r="X1998">
        <v>235480000</v>
      </c>
      <c r="Y1998" t="s">
        <v>270</v>
      </c>
      <c r="Z1998">
        <v>235480000</v>
      </c>
      <c r="AA1998">
        <v>235480000</v>
      </c>
      <c r="AB1998" t="b">
        <v>1</v>
      </c>
      <c r="AC1998">
        <v>1</v>
      </c>
    </row>
    <row r="1999" spans="17:29" x14ac:dyDescent="0.2">
      <c r="Q1999" t="s">
        <v>2029</v>
      </c>
      <c r="R1999" t="s">
        <v>2609</v>
      </c>
      <c r="S1999" t="s">
        <v>343</v>
      </c>
      <c r="T1999" s="1">
        <v>44095</v>
      </c>
      <c r="U1999" s="1">
        <v>44561</v>
      </c>
      <c r="V1999" t="s">
        <v>270</v>
      </c>
      <c r="W1999">
        <v>16850000</v>
      </c>
      <c r="X1999">
        <v>16850000</v>
      </c>
      <c r="Y1999" t="s">
        <v>270</v>
      </c>
      <c r="Z1999">
        <v>16850000</v>
      </c>
      <c r="AA1999">
        <v>16850000</v>
      </c>
      <c r="AB1999" t="b">
        <v>1</v>
      </c>
      <c r="AC1999">
        <v>1</v>
      </c>
    </row>
    <row r="2000" spans="17:29" x14ac:dyDescent="0.2">
      <c r="Q2000" t="s">
        <v>2029</v>
      </c>
      <c r="R2000" t="s">
        <v>2609</v>
      </c>
      <c r="S2000" t="s">
        <v>343</v>
      </c>
      <c r="T2000" s="1">
        <v>44095</v>
      </c>
      <c r="U2000" s="1">
        <v>44196</v>
      </c>
      <c r="V2000" t="s">
        <v>270</v>
      </c>
      <c r="W2000">
        <v>9010000</v>
      </c>
      <c r="X2000">
        <v>9010000</v>
      </c>
      <c r="Y2000" t="s">
        <v>270</v>
      </c>
      <c r="Z2000">
        <v>9010000</v>
      </c>
      <c r="AA2000">
        <v>9010000</v>
      </c>
      <c r="AB2000" t="b">
        <v>1</v>
      </c>
      <c r="AC2000">
        <v>1</v>
      </c>
    </row>
    <row r="2001" spans="17:29" x14ac:dyDescent="0.2">
      <c r="Q2001" t="s">
        <v>2000</v>
      </c>
      <c r="R2001" t="s">
        <v>2609</v>
      </c>
      <c r="S2001" t="s">
        <v>343</v>
      </c>
      <c r="T2001" s="1">
        <v>44095</v>
      </c>
      <c r="U2001" s="1">
        <v>44561</v>
      </c>
      <c r="V2001" t="s">
        <v>270</v>
      </c>
      <c r="W2001">
        <v>16850000</v>
      </c>
      <c r="X2001">
        <v>16850000</v>
      </c>
      <c r="Y2001" t="s">
        <v>270</v>
      </c>
      <c r="Z2001">
        <v>16850000</v>
      </c>
      <c r="AA2001">
        <v>16850000</v>
      </c>
      <c r="AB2001" t="b">
        <v>1</v>
      </c>
      <c r="AC2001">
        <v>1</v>
      </c>
    </row>
    <row r="2002" spans="17:29" x14ac:dyDescent="0.2">
      <c r="Q2002" t="s">
        <v>2000</v>
      </c>
      <c r="R2002" t="s">
        <v>2609</v>
      </c>
      <c r="S2002" t="s">
        <v>343</v>
      </c>
      <c r="T2002" s="1">
        <v>44095</v>
      </c>
      <c r="U2002" s="1">
        <v>44196</v>
      </c>
      <c r="V2002" t="s">
        <v>270</v>
      </c>
      <c r="W2002">
        <v>9010000</v>
      </c>
      <c r="X2002">
        <v>9010000</v>
      </c>
      <c r="Y2002" t="s">
        <v>270</v>
      </c>
      <c r="Z2002">
        <v>9010000</v>
      </c>
      <c r="AA2002">
        <v>9010000</v>
      </c>
      <c r="AB2002" t="b">
        <v>1</v>
      </c>
      <c r="AC2002">
        <v>1</v>
      </c>
    </row>
    <row r="2003" spans="17:29" x14ac:dyDescent="0.2">
      <c r="Q2003" t="s">
        <v>2128</v>
      </c>
      <c r="R2003" t="s">
        <v>2610</v>
      </c>
      <c r="S2003" t="s">
        <v>343</v>
      </c>
      <c r="T2003" s="1">
        <v>44095</v>
      </c>
      <c r="U2003" s="1">
        <v>44561</v>
      </c>
      <c r="V2003" t="s">
        <v>270</v>
      </c>
      <c r="W2003">
        <v>4590000</v>
      </c>
      <c r="X2003">
        <v>4590000</v>
      </c>
      <c r="Y2003" t="s">
        <v>270</v>
      </c>
      <c r="Z2003">
        <v>4590000</v>
      </c>
      <c r="AA2003">
        <v>4590000</v>
      </c>
      <c r="AB2003" t="b">
        <v>1</v>
      </c>
      <c r="AC2003">
        <v>1</v>
      </c>
    </row>
    <row r="2004" spans="17:29" x14ac:dyDescent="0.2">
      <c r="Q2004" t="s">
        <v>2128</v>
      </c>
      <c r="R2004" t="s">
        <v>2610</v>
      </c>
      <c r="S2004" t="s">
        <v>343</v>
      </c>
      <c r="T2004" s="1">
        <v>44095</v>
      </c>
      <c r="U2004" s="1">
        <v>44196</v>
      </c>
      <c r="V2004" t="s">
        <v>270</v>
      </c>
      <c r="W2004">
        <v>1380000</v>
      </c>
      <c r="X2004">
        <v>1380000</v>
      </c>
      <c r="Y2004" t="s">
        <v>270</v>
      </c>
      <c r="Z2004">
        <v>1380000</v>
      </c>
      <c r="AA2004">
        <v>1380000</v>
      </c>
      <c r="AB2004" t="b">
        <v>1</v>
      </c>
      <c r="AC2004">
        <v>1</v>
      </c>
    </row>
    <row r="2005" spans="17:29" x14ac:dyDescent="0.2">
      <c r="Q2005" t="s">
        <v>1989</v>
      </c>
      <c r="R2005" t="s">
        <v>2610</v>
      </c>
      <c r="S2005" t="s">
        <v>343</v>
      </c>
      <c r="T2005" s="1">
        <v>44095</v>
      </c>
      <c r="U2005" s="1">
        <v>44561</v>
      </c>
      <c r="V2005" t="s">
        <v>270</v>
      </c>
      <c r="W2005">
        <v>4590000</v>
      </c>
      <c r="X2005">
        <v>4590000</v>
      </c>
      <c r="Y2005" t="s">
        <v>270</v>
      </c>
      <c r="Z2005">
        <v>4590000</v>
      </c>
      <c r="AA2005">
        <v>4590000</v>
      </c>
      <c r="AB2005" t="b">
        <v>1</v>
      </c>
      <c r="AC2005">
        <v>1</v>
      </c>
    </row>
    <row r="2006" spans="17:29" x14ac:dyDescent="0.2">
      <c r="Q2006" t="s">
        <v>1989</v>
      </c>
      <c r="R2006" t="s">
        <v>2610</v>
      </c>
      <c r="S2006" t="s">
        <v>343</v>
      </c>
      <c r="T2006" s="1">
        <v>44095</v>
      </c>
      <c r="U2006" s="1">
        <v>44196</v>
      </c>
      <c r="V2006" t="s">
        <v>270</v>
      </c>
      <c r="W2006">
        <v>1380000</v>
      </c>
      <c r="X2006">
        <v>1380000</v>
      </c>
      <c r="Y2006" t="s">
        <v>270</v>
      </c>
      <c r="Z2006">
        <v>1380000</v>
      </c>
      <c r="AA2006">
        <v>1380000</v>
      </c>
      <c r="AB2006" t="b">
        <v>1</v>
      </c>
      <c r="AC2006">
        <v>1</v>
      </c>
    </row>
    <row r="2007" spans="17:29" x14ac:dyDescent="0.2">
      <c r="Q2007" t="s">
        <v>2043</v>
      </c>
      <c r="R2007" t="s">
        <v>2611</v>
      </c>
      <c r="S2007" t="s">
        <v>384</v>
      </c>
      <c r="T2007" s="1">
        <v>44469</v>
      </c>
      <c r="U2007" s="1">
        <v>44469</v>
      </c>
      <c r="V2007" t="s">
        <v>386</v>
      </c>
      <c r="W2007">
        <v>-32000000000</v>
      </c>
      <c r="X2007">
        <v>-32000000000</v>
      </c>
      <c r="Y2007" t="s">
        <v>386</v>
      </c>
      <c r="Z2007">
        <v>-32000000000</v>
      </c>
      <c r="AA2007">
        <v>-11142138</v>
      </c>
      <c r="AB2007" t="b">
        <v>0</v>
      </c>
      <c r="AC2007">
        <v>1</v>
      </c>
    </row>
    <row r="2008" spans="17:29" x14ac:dyDescent="0.2">
      <c r="Q2008" t="s">
        <v>2043</v>
      </c>
      <c r="R2008" t="s">
        <v>2611</v>
      </c>
      <c r="S2008" t="s">
        <v>384</v>
      </c>
      <c r="T2008" s="1">
        <v>42598</v>
      </c>
      <c r="U2008" s="1">
        <v>43073</v>
      </c>
      <c r="V2008" t="s">
        <v>386</v>
      </c>
      <c r="W2008">
        <v>62750000000</v>
      </c>
      <c r="X2008">
        <v>32000000000</v>
      </c>
      <c r="Y2008" t="s">
        <v>386</v>
      </c>
      <c r="Z2008">
        <v>32000000000</v>
      </c>
      <c r="AA2008">
        <v>11142138</v>
      </c>
      <c r="AB2008" t="b">
        <v>0</v>
      </c>
      <c r="AC2008">
        <v>1</v>
      </c>
    </row>
    <row r="2009" spans="17:29" x14ac:dyDescent="0.2">
      <c r="Q2009" t="s">
        <v>2043</v>
      </c>
      <c r="R2009" t="s">
        <v>2611</v>
      </c>
      <c r="S2009" t="s">
        <v>384</v>
      </c>
      <c r="T2009" s="1">
        <v>44469</v>
      </c>
      <c r="U2009" s="1">
        <v>44469</v>
      </c>
      <c r="V2009" t="s">
        <v>386</v>
      </c>
      <c r="W2009">
        <v>-32000000000</v>
      </c>
      <c r="X2009">
        <v>-32000000000</v>
      </c>
      <c r="Y2009" t="s">
        <v>386</v>
      </c>
      <c r="Z2009">
        <v>-32000000000</v>
      </c>
      <c r="AA2009">
        <v>-11142138</v>
      </c>
      <c r="AB2009" t="b">
        <v>0</v>
      </c>
      <c r="AC2009">
        <v>1</v>
      </c>
    </row>
    <row r="2010" spans="17:29" x14ac:dyDescent="0.2">
      <c r="Q2010" t="s">
        <v>2043</v>
      </c>
      <c r="R2010" t="s">
        <v>2611</v>
      </c>
      <c r="S2010" t="s">
        <v>384</v>
      </c>
      <c r="T2010" s="1">
        <v>42598</v>
      </c>
      <c r="U2010" s="1">
        <v>43073</v>
      </c>
      <c r="V2010" t="s">
        <v>386</v>
      </c>
      <c r="W2010">
        <v>62750000000</v>
      </c>
      <c r="X2010">
        <v>32000000000</v>
      </c>
      <c r="Y2010" t="s">
        <v>386</v>
      </c>
      <c r="Z2010">
        <v>32000000000</v>
      </c>
      <c r="AA2010">
        <v>11142138</v>
      </c>
      <c r="AB2010" t="b">
        <v>0</v>
      </c>
      <c r="AC2010">
        <v>1</v>
      </c>
    </row>
    <row r="2011" spans="17:29" x14ac:dyDescent="0.2">
      <c r="Q2011" t="s">
        <v>2043</v>
      </c>
      <c r="R2011" t="s">
        <v>2612</v>
      </c>
      <c r="S2011" t="s">
        <v>384</v>
      </c>
      <c r="T2011" s="1">
        <v>44347</v>
      </c>
      <c r="U2011" s="1">
        <v>44347</v>
      </c>
      <c r="V2011" t="s">
        <v>386</v>
      </c>
      <c r="W2011">
        <v>-8000000000</v>
      </c>
      <c r="X2011">
        <v>-8000000000</v>
      </c>
      <c r="Y2011" t="s">
        <v>386</v>
      </c>
      <c r="Z2011">
        <v>-8000000000</v>
      </c>
      <c r="AA2011">
        <v>-2785534</v>
      </c>
      <c r="AB2011" t="b">
        <v>0</v>
      </c>
      <c r="AC2011">
        <v>1</v>
      </c>
    </row>
    <row r="2012" spans="17:29" x14ac:dyDescent="0.2">
      <c r="Q2012" t="s">
        <v>2043</v>
      </c>
      <c r="R2012" t="s">
        <v>2612</v>
      </c>
      <c r="S2012" t="s">
        <v>384</v>
      </c>
      <c r="T2012" s="1">
        <v>43263</v>
      </c>
      <c r="U2012" s="1">
        <v>44069</v>
      </c>
      <c r="V2012" t="s">
        <v>386</v>
      </c>
      <c r="W2012">
        <v>42000000000</v>
      </c>
      <c r="X2012">
        <v>8000000000</v>
      </c>
      <c r="Y2012" t="s">
        <v>386</v>
      </c>
      <c r="Z2012">
        <v>8000000000</v>
      </c>
      <c r="AA2012">
        <v>2785534</v>
      </c>
      <c r="AB2012" t="b">
        <v>0</v>
      </c>
      <c r="AC2012">
        <v>1</v>
      </c>
    </row>
    <row r="2013" spans="17:29" x14ac:dyDescent="0.2">
      <c r="Q2013" t="s">
        <v>2043</v>
      </c>
      <c r="R2013" t="s">
        <v>2612</v>
      </c>
      <c r="S2013" t="s">
        <v>384</v>
      </c>
      <c r="T2013" s="1">
        <v>44347</v>
      </c>
      <c r="U2013" s="1">
        <v>44347</v>
      </c>
      <c r="V2013" t="s">
        <v>386</v>
      </c>
      <c r="W2013">
        <v>-8000000000</v>
      </c>
      <c r="X2013">
        <v>-8000000000</v>
      </c>
      <c r="Y2013" t="s">
        <v>386</v>
      </c>
      <c r="Z2013">
        <v>-8000000000</v>
      </c>
      <c r="AA2013">
        <v>-2785534</v>
      </c>
      <c r="AB2013" t="b">
        <v>0</v>
      </c>
      <c r="AC2013">
        <v>1</v>
      </c>
    </row>
    <row r="2014" spans="17:29" x14ac:dyDescent="0.2">
      <c r="Q2014" t="s">
        <v>2043</v>
      </c>
      <c r="R2014" t="s">
        <v>2612</v>
      </c>
      <c r="S2014" t="s">
        <v>384</v>
      </c>
      <c r="T2014" s="1">
        <v>43263</v>
      </c>
      <c r="U2014" s="1">
        <v>44069</v>
      </c>
      <c r="V2014" t="s">
        <v>386</v>
      </c>
      <c r="W2014">
        <v>42000000000</v>
      </c>
      <c r="X2014">
        <v>8000000000</v>
      </c>
      <c r="Y2014" t="s">
        <v>386</v>
      </c>
      <c r="Z2014">
        <v>8000000000</v>
      </c>
      <c r="AA2014">
        <v>2785534</v>
      </c>
      <c r="AB2014" t="b">
        <v>0</v>
      </c>
      <c r="AC2014">
        <v>1</v>
      </c>
    </row>
    <row r="2015" spans="17:29" x14ac:dyDescent="0.2">
      <c r="Q2015" t="s">
        <v>2025</v>
      </c>
      <c r="R2015" t="s">
        <v>2613</v>
      </c>
      <c r="S2015" t="s">
        <v>384</v>
      </c>
      <c r="T2015" s="1">
        <v>43280</v>
      </c>
      <c r="U2015" s="1">
        <v>43280</v>
      </c>
      <c r="V2015" t="s">
        <v>386</v>
      </c>
      <c r="W2015">
        <v>-52500000000</v>
      </c>
      <c r="X2015">
        <v>-52500000000</v>
      </c>
      <c r="Y2015" t="s">
        <v>386</v>
      </c>
      <c r="Z2015">
        <v>-52500000000</v>
      </c>
      <c r="AA2015">
        <v>-18280071</v>
      </c>
      <c r="AB2015" t="b">
        <v>1</v>
      </c>
      <c r="AC2015">
        <v>1</v>
      </c>
    </row>
    <row r="2016" spans="17:29" x14ac:dyDescent="0.2">
      <c r="Q2016" t="s">
        <v>2025</v>
      </c>
      <c r="R2016" t="s">
        <v>2613</v>
      </c>
      <c r="S2016" t="s">
        <v>384</v>
      </c>
      <c r="T2016" s="1">
        <v>41751</v>
      </c>
      <c r="U2016" s="1">
        <v>42733</v>
      </c>
      <c r="V2016" t="s">
        <v>386</v>
      </c>
      <c r="W2016">
        <v>52000000000</v>
      </c>
      <c r="X2016">
        <v>52500000000</v>
      </c>
      <c r="Y2016" t="s">
        <v>386</v>
      </c>
      <c r="Z2016">
        <v>52500000000</v>
      </c>
      <c r="AA2016">
        <v>18280071</v>
      </c>
      <c r="AB2016" t="b">
        <v>1</v>
      </c>
      <c r="AC2016">
        <v>1</v>
      </c>
    </row>
    <row r="2017" spans="17:29" x14ac:dyDescent="0.2">
      <c r="Q2017" t="s">
        <v>2025</v>
      </c>
      <c r="R2017" t="s">
        <v>2613</v>
      </c>
      <c r="S2017" t="s">
        <v>384</v>
      </c>
      <c r="T2017" s="1">
        <v>43280</v>
      </c>
      <c r="U2017" s="1">
        <v>43280</v>
      </c>
      <c r="V2017" t="s">
        <v>386</v>
      </c>
      <c r="W2017">
        <v>-52500000000</v>
      </c>
      <c r="X2017">
        <v>-52500000000</v>
      </c>
      <c r="Y2017" t="s">
        <v>386</v>
      </c>
      <c r="Z2017">
        <v>-52500000000</v>
      </c>
      <c r="AA2017">
        <v>-18280071</v>
      </c>
      <c r="AB2017" t="b">
        <v>1</v>
      </c>
      <c r="AC2017">
        <v>1</v>
      </c>
    </row>
    <row r="2018" spans="17:29" x14ac:dyDescent="0.2">
      <c r="Q2018" t="s">
        <v>2025</v>
      </c>
      <c r="R2018" t="s">
        <v>2613</v>
      </c>
      <c r="S2018" t="s">
        <v>384</v>
      </c>
      <c r="T2018" s="1">
        <v>41751</v>
      </c>
      <c r="U2018" s="1">
        <v>42733</v>
      </c>
      <c r="V2018" t="s">
        <v>386</v>
      </c>
      <c r="W2018">
        <v>52000000000</v>
      </c>
      <c r="X2018">
        <v>52500000000</v>
      </c>
      <c r="Y2018" t="s">
        <v>386</v>
      </c>
      <c r="Z2018">
        <v>52500000000</v>
      </c>
      <c r="AA2018">
        <v>18280071</v>
      </c>
      <c r="AB2018" t="b">
        <v>1</v>
      </c>
      <c r="AC2018">
        <v>1</v>
      </c>
    </row>
    <row r="2019" spans="17:29" x14ac:dyDescent="0.2">
      <c r="Q2019" t="s">
        <v>2025</v>
      </c>
      <c r="R2019" t="s">
        <v>2614</v>
      </c>
      <c r="S2019" t="s">
        <v>384</v>
      </c>
      <c r="T2019" s="1">
        <v>44561</v>
      </c>
      <c r="U2019" s="1">
        <v>44561</v>
      </c>
      <c r="V2019" t="s">
        <v>386</v>
      </c>
      <c r="W2019">
        <v>-112840000000</v>
      </c>
      <c r="X2019">
        <v>-106458361453</v>
      </c>
      <c r="Y2019" t="s">
        <v>386</v>
      </c>
      <c r="Z2019">
        <v>-106458361453</v>
      </c>
      <c r="AA2019">
        <v>-37067932</v>
      </c>
      <c r="AB2019" t="b">
        <v>0</v>
      </c>
      <c r="AC2019">
        <v>1</v>
      </c>
    </row>
    <row r="2020" spans="17:29" x14ac:dyDescent="0.2">
      <c r="Q2020" t="s">
        <v>2025</v>
      </c>
      <c r="R2020" t="s">
        <v>2614</v>
      </c>
      <c r="S2020" t="s">
        <v>384</v>
      </c>
      <c r="T2020" s="1">
        <v>43431</v>
      </c>
      <c r="U2020" s="1">
        <v>43453</v>
      </c>
      <c r="V2020" t="s">
        <v>386</v>
      </c>
      <c r="W2020">
        <v>120000000000</v>
      </c>
      <c r="X2020">
        <v>112840000000</v>
      </c>
      <c r="Y2020" t="s">
        <v>386</v>
      </c>
      <c r="Z2020">
        <v>112840000000</v>
      </c>
      <c r="AA2020">
        <v>39289967</v>
      </c>
      <c r="AB2020" t="b">
        <v>0</v>
      </c>
      <c r="AC2020">
        <v>1</v>
      </c>
    </row>
    <row r="2021" spans="17:29" x14ac:dyDescent="0.2">
      <c r="Q2021" t="s">
        <v>2025</v>
      </c>
      <c r="R2021" t="s">
        <v>2614</v>
      </c>
      <c r="S2021" t="s">
        <v>384</v>
      </c>
      <c r="T2021" s="1">
        <v>44561</v>
      </c>
      <c r="U2021" s="1">
        <v>44561</v>
      </c>
      <c r="V2021" t="s">
        <v>386</v>
      </c>
      <c r="W2021">
        <v>-112840000000</v>
      </c>
      <c r="X2021">
        <v>-106458361453</v>
      </c>
      <c r="Y2021" t="s">
        <v>386</v>
      </c>
      <c r="Z2021">
        <v>-106458361453</v>
      </c>
      <c r="AA2021">
        <v>-37067932</v>
      </c>
      <c r="AB2021" t="b">
        <v>0</v>
      </c>
      <c r="AC2021">
        <v>1</v>
      </c>
    </row>
    <row r="2022" spans="17:29" x14ac:dyDescent="0.2">
      <c r="Q2022" t="s">
        <v>2025</v>
      </c>
      <c r="R2022" t="s">
        <v>2614</v>
      </c>
      <c r="S2022" t="s">
        <v>384</v>
      </c>
      <c r="T2022" s="1">
        <v>43431</v>
      </c>
      <c r="U2022" s="1">
        <v>43453</v>
      </c>
      <c r="V2022" t="s">
        <v>386</v>
      </c>
      <c r="W2022">
        <v>120000000000</v>
      </c>
      <c r="X2022">
        <v>112840000000</v>
      </c>
      <c r="Y2022" t="s">
        <v>386</v>
      </c>
      <c r="Z2022">
        <v>112840000000</v>
      </c>
      <c r="AA2022">
        <v>39289967</v>
      </c>
      <c r="AB2022" t="b">
        <v>0</v>
      </c>
      <c r="AC2022">
        <v>1</v>
      </c>
    </row>
    <row r="2023" spans="17:29" x14ac:dyDescent="0.2">
      <c r="Q2023" t="s">
        <v>2025</v>
      </c>
      <c r="R2023" t="s">
        <v>2615</v>
      </c>
      <c r="S2023" t="s">
        <v>384</v>
      </c>
      <c r="T2023" s="1">
        <v>44561</v>
      </c>
      <c r="U2023" s="1">
        <v>44561</v>
      </c>
      <c r="V2023" t="s">
        <v>386</v>
      </c>
      <c r="W2023">
        <v>-35437500000</v>
      </c>
      <c r="X2023">
        <v>-876212615</v>
      </c>
      <c r="Y2023" t="s">
        <v>386</v>
      </c>
      <c r="Z2023">
        <v>-876212615</v>
      </c>
      <c r="AA2023">
        <v>-305090</v>
      </c>
      <c r="AB2023" t="b">
        <v>1</v>
      </c>
      <c r="AC2023">
        <v>1</v>
      </c>
    </row>
    <row r="2024" spans="17:29" x14ac:dyDescent="0.2">
      <c r="Q2024" t="s">
        <v>2025</v>
      </c>
      <c r="R2024" t="s">
        <v>2615</v>
      </c>
      <c r="S2024" t="s">
        <v>384</v>
      </c>
      <c r="T2024" s="1">
        <v>41976</v>
      </c>
      <c r="U2024" s="1">
        <v>42767</v>
      </c>
      <c r="V2024" t="s">
        <v>386</v>
      </c>
      <c r="W2024">
        <v>43800000000</v>
      </c>
      <c r="X2024">
        <v>35437500000</v>
      </c>
      <c r="Y2024" t="s">
        <v>386</v>
      </c>
      <c r="Z2024">
        <v>35437500000</v>
      </c>
      <c r="AA2024">
        <v>12339048</v>
      </c>
      <c r="AB2024" t="b">
        <v>1</v>
      </c>
      <c r="AC2024">
        <v>1</v>
      </c>
    </row>
    <row r="2025" spans="17:29" x14ac:dyDescent="0.2">
      <c r="Q2025" t="s">
        <v>2025</v>
      </c>
      <c r="R2025" t="s">
        <v>2615</v>
      </c>
      <c r="S2025" t="s">
        <v>384</v>
      </c>
      <c r="T2025" s="1">
        <v>44561</v>
      </c>
      <c r="U2025" s="1">
        <v>44561</v>
      </c>
      <c r="V2025" t="s">
        <v>386</v>
      </c>
      <c r="W2025">
        <v>-35437500000</v>
      </c>
      <c r="X2025">
        <v>-876212615</v>
      </c>
      <c r="Y2025" t="s">
        <v>386</v>
      </c>
      <c r="Z2025">
        <v>-876212615</v>
      </c>
      <c r="AA2025">
        <v>-305090</v>
      </c>
      <c r="AB2025" t="b">
        <v>1</v>
      </c>
      <c r="AC2025">
        <v>1</v>
      </c>
    </row>
    <row r="2026" spans="17:29" x14ac:dyDescent="0.2">
      <c r="Q2026" t="s">
        <v>2025</v>
      </c>
      <c r="R2026" t="s">
        <v>2615</v>
      </c>
      <c r="S2026" t="s">
        <v>384</v>
      </c>
      <c r="T2026" s="1">
        <v>41976</v>
      </c>
      <c r="U2026" s="1">
        <v>42767</v>
      </c>
      <c r="V2026" t="s">
        <v>386</v>
      </c>
      <c r="W2026">
        <v>43800000000</v>
      </c>
      <c r="X2026">
        <v>35437500000</v>
      </c>
      <c r="Y2026" t="s">
        <v>386</v>
      </c>
      <c r="Z2026">
        <v>35437500000</v>
      </c>
      <c r="AA2026">
        <v>12339048</v>
      </c>
      <c r="AB2026" t="b">
        <v>1</v>
      </c>
      <c r="AC2026">
        <v>1</v>
      </c>
    </row>
    <row r="2027" spans="17:29" x14ac:dyDescent="0.2">
      <c r="Q2027" t="s">
        <v>2043</v>
      </c>
      <c r="R2027" t="s">
        <v>2616</v>
      </c>
      <c r="S2027" t="s">
        <v>384</v>
      </c>
      <c r="T2027" s="1">
        <v>44165</v>
      </c>
      <c r="U2027" s="1">
        <v>44165</v>
      </c>
      <c r="V2027" t="s">
        <v>386</v>
      </c>
      <c r="W2027">
        <v>-15714000000</v>
      </c>
      <c r="X2027">
        <v>-15714000000</v>
      </c>
      <c r="Y2027" t="s">
        <v>386</v>
      </c>
      <c r="Z2027">
        <v>-15714000000</v>
      </c>
      <c r="AA2027">
        <v>-5471486</v>
      </c>
      <c r="AB2027" t="b">
        <v>0</v>
      </c>
      <c r="AC2027">
        <v>1</v>
      </c>
    </row>
    <row r="2028" spans="17:29" x14ac:dyDescent="0.2">
      <c r="Q2028" t="s">
        <v>2043</v>
      </c>
      <c r="R2028" t="s">
        <v>2616</v>
      </c>
      <c r="S2028" t="s">
        <v>384</v>
      </c>
      <c r="T2028" s="1">
        <v>43053</v>
      </c>
      <c r="U2028" s="1">
        <v>43230</v>
      </c>
      <c r="V2028" t="s">
        <v>386</v>
      </c>
      <c r="W2028">
        <v>15714000000</v>
      </c>
      <c r="X2028">
        <v>15714000000</v>
      </c>
      <c r="Y2028" t="s">
        <v>386</v>
      </c>
      <c r="Z2028">
        <v>15714000000</v>
      </c>
      <c r="AA2028">
        <v>5471486</v>
      </c>
      <c r="AB2028" t="b">
        <v>0</v>
      </c>
      <c r="AC2028">
        <v>1</v>
      </c>
    </row>
    <row r="2029" spans="17:29" x14ac:dyDescent="0.2">
      <c r="Q2029" t="s">
        <v>2043</v>
      </c>
      <c r="R2029" t="s">
        <v>2616</v>
      </c>
      <c r="S2029" t="s">
        <v>384</v>
      </c>
      <c r="T2029" s="1">
        <v>44165</v>
      </c>
      <c r="U2029" s="1">
        <v>44165</v>
      </c>
      <c r="V2029" t="s">
        <v>386</v>
      </c>
      <c r="W2029">
        <v>-15714000000</v>
      </c>
      <c r="X2029">
        <v>-15714000000</v>
      </c>
      <c r="Y2029" t="s">
        <v>386</v>
      </c>
      <c r="Z2029">
        <v>-15714000000</v>
      </c>
      <c r="AA2029">
        <v>-5471486</v>
      </c>
      <c r="AB2029" t="b">
        <v>0</v>
      </c>
      <c r="AC2029">
        <v>1</v>
      </c>
    </row>
    <row r="2030" spans="17:29" x14ac:dyDescent="0.2">
      <c r="Q2030" t="s">
        <v>2043</v>
      </c>
      <c r="R2030" t="s">
        <v>2616</v>
      </c>
      <c r="S2030" t="s">
        <v>384</v>
      </c>
      <c r="T2030" s="1">
        <v>43053</v>
      </c>
      <c r="U2030" s="1">
        <v>43230</v>
      </c>
      <c r="V2030" t="s">
        <v>386</v>
      </c>
      <c r="W2030">
        <v>15714000000</v>
      </c>
      <c r="X2030">
        <v>15714000000</v>
      </c>
      <c r="Y2030" t="s">
        <v>386</v>
      </c>
      <c r="Z2030">
        <v>15714000000</v>
      </c>
      <c r="AA2030">
        <v>5471486</v>
      </c>
      <c r="AB2030" t="b">
        <v>0</v>
      </c>
      <c r="AC2030">
        <v>1</v>
      </c>
    </row>
    <row r="2031" spans="17:29" x14ac:dyDescent="0.2">
      <c r="Q2031" t="s">
        <v>2025</v>
      </c>
      <c r="R2031" t="s">
        <v>2617</v>
      </c>
      <c r="S2031" t="s">
        <v>384</v>
      </c>
      <c r="T2031" s="1">
        <v>43889</v>
      </c>
      <c r="U2031" s="1">
        <v>43889</v>
      </c>
      <c r="V2031" t="s">
        <v>386</v>
      </c>
      <c r="W2031">
        <v>-31800000000</v>
      </c>
      <c r="X2031">
        <v>-31800000000</v>
      </c>
      <c r="Y2031" t="s">
        <v>386</v>
      </c>
      <c r="Z2031">
        <v>-31800000000</v>
      </c>
      <c r="AA2031">
        <v>-11072500</v>
      </c>
      <c r="AB2031" t="b">
        <v>1</v>
      </c>
      <c r="AC2031">
        <v>1</v>
      </c>
    </row>
    <row r="2032" spans="17:29" x14ac:dyDescent="0.2">
      <c r="Q2032" t="s">
        <v>2025</v>
      </c>
      <c r="R2032" t="s">
        <v>2617</v>
      </c>
      <c r="S2032" t="s">
        <v>384</v>
      </c>
      <c r="T2032" s="1">
        <v>42171</v>
      </c>
      <c r="U2032" s="1">
        <v>42720</v>
      </c>
      <c r="V2032" t="s">
        <v>386</v>
      </c>
      <c r="W2032">
        <v>31807000000</v>
      </c>
      <c r="X2032">
        <v>31800000000</v>
      </c>
      <c r="Y2032" t="s">
        <v>386</v>
      </c>
      <c r="Z2032">
        <v>31800000000</v>
      </c>
      <c r="AA2032">
        <v>11072500</v>
      </c>
      <c r="AB2032" t="b">
        <v>1</v>
      </c>
      <c r="AC2032">
        <v>1</v>
      </c>
    </row>
    <row r="2033" spans="17:29" x14ac:dyDescent="0.2">
      <c r="Q2033" t="s">
        <v>2025</v>
      </c>
      <c r="R2033" t="s">
        <v>2617</v>
      </c>
      <c r="S2033" t="s">
        <v>384</v>
      </c>
      <c r="T2033" s="1">
        <v>43889</v>
      </c>
      <c r="U2033" s="1">
        <v>43889</v>
      </c>
      <c r="V2033" t="s">
        <v>386</v>
      </c>
      <c r="W2033">
        <v>-31800000000</v>
      </c>
      <c r="X2033">
        <v>-31800000000</v>
      </c>
      <c r="Y2033" t="s">
        <v>386</v>
      </c>
      <c r="Z2033">
        <v>-31800000000</v>
      </c>
      <c r="AA2033">
        <v>-11072500</v>
      </c>
      <c r="AB2033" t="b">
        <v>1</v>
      </c>
      <c r="AC2033">
        <v>1</v>
      </c>
    </row>
    <row r="2034" spans="17:29" x14ac:dyDescent="0.2">
      <c r="Q2034" t="s">
        <v>2025</v>
      </c>
      <c r="R2034" t="s">
        <v>2617</v>
      </c>
      <c r="S2034" t="s">
        <v>384</v>
      </c>
      <c r="T2034" s="1">
        <v>42171</v>
      </c>
      <c r="U2034" s="1">
        <v>42720</v>
      </c>
      <c r="V2034" t="s">
        <v>386</v>
      </c>
      <c r="W2034">
        <v>31807000000</v>
      </c>
      <c r="X2034">
        <v>31800000000</v>
      </c>
      <c r="Y2034" t="s">
        <v>386</v>
      </c>
      <c r="Z2034">
        <v>31800000000</v>
      </c>
      <c r="AA2034">
        <v>11072500</v>
      </c>
      <c r="AB2034" t="b">
        <v>1</v>
      </c>
      <c r="AC2034">
        <v>1</v>
      </c>
    </row>
    <row r="2035" spans="17:29" x14ac:dyDescent="0.2">
      <c r="Q2035" t="s">
        <v>2043</v>
      </c>
      <c r="R2035" t="s">
        <v>2618</v>
      </c>
      <c r="S2035" t="s">
        <v>384</v>
      </c>
      <c r="T2035" s="1">
        <v>43683</v>
      </c>
      <c r="U2035" s="1">
        <v>43578</v>
      </c>
      <c r="V2035" t="s">
        <v>386</v>
      </c>
      <c r="W2035">
        <v>39400000000</v>
      </c>
      <c r="X2035">
        <v>19354681382</v>
      </c>
      <c r="Y2035" t="s">
        <v>386</v>
      </c>
      <c r="Z2035">
        <v>19354681382</v>
      </c>
      <c r="AA2035">
        <v>6739142</v>
      </c>
      <c r="AB2035" t="b">
        <v>0</v>
      </c>
      <c r="AC2035">
        <v>1</v>
      </c>
    </row>
    <row r="2036" spans="17:29" x14ac:dyDescent="0.2">
      <c r="Q2036" t="s">
        <v>2043</v>
      </c>
      <c r="R2036" t="s">
        <v>2618</v>
      </c>
      <c r="S2036" t="s">
        <v>384</v>
      </c>
      <c r="T2036" s="1">
        <v>43683</v>
      </c>
      <c r="U2036" s="1">
        <v>43578</v>
      </c>
      <c r="V2036" t="s">
        <v>386</v>
      </c>
      <c r="W2036">
        <v>39400000000</v>
      </c>
      <c r="X2036">
        <v>19354681382</v>
      </c>
      <c r="Y2036" t="s">
        <v>386</v>
      </c>
      <c r="Z2036">
        <v>19354681382</v>
      </c>
      <c r="AA2036">
        <v>6739142</v>
      </c>
      <c r="AB2036" t="b">
        <v>0</v>
      </c>
      <c r="AC2036">
        <v>1</v>
      </c>
    </row>
    <row r="2037" spans="17:29" x14ac:dyDescent="0.2">
      <c r="Q2037" t="s">
        <v>2025</v>
      </c>
      <c r="R2037" t="s">
        <v>2619</v>
      </c>
      <c r="S2037" t="s">
        <v>384</v>
      </c>
      <c r="T2037" s="1">
        <v>44561</v>
      </c>
      <c r="U2037" s="1">
        <v>44561</v>
      </c>
      <c r="V2037" t="s">
        <v>386</v>
      </c>
      <c r="W2037">
        <v>-50694021226</v>
      </c>
      <c r="X2037">
        <v>-2374682306</v>
      </c>
      <c r="Y2037" t="s">
        <v>386</v>
      </c>
      <c r="Z2037">
        <v>-2374682306</v>
      </c>
      <c r="AA2037">
        <v>-826845</v>
      </c>
      <c r="AB2037" t="b">
        <v>0</v>
      </c>
      <c r="AC2037">
        <v>1</v>
      </c>
    </row>
    <row r="2038" spans="17:29" x14ac:dyDescent="0.2">
      <c r="Q2038" t="s">
        <v>2025</v>
      </c>
      <c r="R2038" t="s">
        <v>2619</v>
      </c>
      <c r="S2038" t="s">
        <v>384</v>
      </c>
      <c r="T2038" s="1">
        <v>43268</v>
      </c>
      <c r="U2038" s="1">
        <v>42837</v>
      </c>
      <c r="V2038" t="s">
        <v>386</v>
      </c>
      <c r="W2038">
        <v>37978000000</v>
      </c>
      <c r="X2038">
        <v>50694021226</v>
      </c>
      <c r="Y2038" t="s">
        <v>386</v>
      </c>
      <c r="Z2038">
        <v>50694021226</v>
      </c>
      <c r="AA2038">
        <v>17651244</v>
      </c>
      <c r="AB2038" t="b">
        <v>0</v>
      </c>
      <c r="AC2038">
        <v>1</v>
      </c>
    </row>
    <row r="2039" spans="17:29" x14ac:dyDescent="0.2">
      <c r="Q2039" t="s">
        <v>2025</v>
      </c>
      <c r="R2039" t="s">
        <v>2619</v>
      </c>
      <c r="S2039" t="s">
        <v>384</v>
      </c>
      <c r="T2039" s="1">
        <v>44561</v>
      </c>
      <c r="U2039" s="1">
        <v>44561</v>
      </c>
      <c r="V2039" t="s">
        <v>386</v>
      </c>
      <c r="W2039">
        <v>-50694021226</v>
      </c>
      <c r="X2039">
        <v>-2374682306</v>
      </c>
      <c r="Y2039" t="s">
        <v>386</v>
      </c>
      <c r="Z2039">
        <v>-2374682306</v>
      </c>
      <c r="AA2039">
        <v>-826845</v>
      </c>
      <c r="AB2039" t="b">
        <v>0</v>
      </c>
      <c r="AC2039">
        <v>1</v>
      </c>
    </row>
    <row r="2040" spans="17:29" x14ac:dyDescent="0.2">
      <c r="Q2040" t="s">
        <v>2025</v>
      </c>
      <c r="R2040" t="s">
        <v>2619</v>
      </c>
      <c r="S2040" t="s">
        <v>384</v>
      </c>
      <c r="T2040" s="1">
        <v>43268</v>
      </c>
      <c r="U2040" s="1">
        <v>42837</v>
      </c>
      <c r="V2040" t="s">
        <v>386</v>
      </c>
      <c r="W2040">
        <v>37978000000</v>
      </c>
      <c r="X2040">
        <v>50694021226</v>
      </c>
      <c r="Y2040" t="s">
        <v>386</v>
      </c>
      <c r="Z2040">
        <v>50694021226</v>
      </c>
      <c r="AA2040">
        <v>17651244</v>
      </c>
      <c r="AB2040" t="b">
        <v>0</v>
      </c>
      <c r="AC2040">
        <v>1</v>
      </c>
    </row>
    <row r="2041" spans="17:29" x14ac:dyDescent="0.2">
      <c r="Q2041" t="s">
        <v>2043</v>
      </c>
      <c r="R2041" t="s">
        <v>2620</v>
      </c>
      <c r="S2041" t="s">
        <v>384</v>
      </c>
      <c r="T2041" s="1">
        <v>44135</v>
      </c>
      <c r="U2041" s="1">
        <v>44135</v>
      </c>
      <c r="V2041" t="s">
        <v>386</v>
      </c>
      <c r="W2041">
        <v>-22527000000</v>
      </c>
      <c r="X2041">
        <v>-22527000000</v>
      </c>
      <c r="Y2041" t="s">
        <v>386</v>
      </c>
      <c r="Z2041">
        <v>-22527000000</v>
      </c>
      <c r="AA2041">
        <v>-7843717</v>
      </c>
      <c r="AB2041" t="b">
        <v>0</v>
      </c>
      <c r="AC2041">
        <v>1</v>
      </c>
    </row>
    <row r="2042" spans="17:29" x14ac:dyDescent="0.2">
      <c r="Q2042" t="s">
        <v>2043</v>
      </c>
      <c r="R2042" t="s">
        <v>2620</v>
      </c>
      <c r="S2042" t="s">
        <v>384</v>
      </c>
      <c r="T2042" s="1">
        <v>42899</v>
      </c>
      <c r="U2042" s="1">
        <v>43199</v>
      </c>
      <c r="V2042" t="s">
        <v>386</v>
      </c>
      <c r="W2042">
        <v>58257000000</v>
      </c>
      <c r="X2042">
        <v>22527000000</v>
      </c>
      <c r="Y2042" t="s">
        <v>386</v>
      </c>
      <c r="Z2042">
        <v>22527000000</v>
      </c>
      <c r="AA2042">
        <v>7843717</v>
      </c>
      <c r="AB2042" t="b">
        <v>0</v>
      </c>
      <c r="AC2042">
        <v>1</v>
      </c>
    </row>
    <row r="2043" spans="17:29" x14ac:dyDescent="0.2">
      <c r="Q2043" t="s">
        <v>2043</v>
      </c>
      <c r="R2043" t="s">
        <v>2620</v>
      </c>
      <c r="S2043" t="s">
        <v>384</v>
      </c>
      <c r="T2043" s="1">
        <v>44135</v>
      </c>
      <c r="U2043" s="1">
        <v>44135</v>
      </c>
      <c r="V2043" t="s">
        <v>386</v>
      </c>
      <c r="W2043">
        <v>-22527000000</v>
      </c>
      <c r="X2043">
        <v>-22527000000</v>
      </c>
      <c r="Y2043" t="s">
        <v>386</v>
      </c>
      <c r="Z2043">
        <v>-22527000000</v>
      </c>
      <c r="AA2043">
        <v>-7843717</v>
      </c>
      <c r="AB2043" t="b">
        <v>0</v>
      </c>
      <c r="AC2043">
        <v>1</v>
      </c>
    </row>
    <row r="2044" spans="17:29" x14ac:dyDescent="0.2">
      <c r="Q2044" t="s">
        <v>2043</v>
      </c>
      <c r="R2044" t="s">
        <v>2620</v>
      </c>
      <c r="S2044" t="s">
        <v>384</v>
      </c>
      <c r="T2044" s="1">
        <v>42899</v>
      </c>
      <c r="U2044" s="1">
        <v>43199</v>
      </c>
      <c r="V2044" t="s">
        <v>386</v>
      </c>
      <c r="W2044">
        <v>58257000000</v>
      </c>
      <c r="X2044">
        <v>22527000000</v>
      </c>
      <c r="Y2044" t="s">
        <v>386</v>
      </c>
      <c r="Z2044">
        <v>22527000000</v>
      </c>
      <c r="AA2044">
        <v>7843717</v>
      </c>
      <c r="AB2044" t="b">
        <v>0</v>
      </c>
      <c r="AC2044">
        <v>1</v>
      </c>
    </row>
    <row r="2045" spans="17:29" x14ac:dyDescent="0.2">
      <c r="Q2045" t="s">
        <v>2025</v>
      </c>
      <c r="R2045" t="s">
        <v>2621</v>
      </c>
      <c r="S2045" t="s">
        <v>384</v>
      </c>
      <c r="T2045" s="1">
        <v>44500</v>
      </c>
      <c r="U2045" s="1">
        <v>44500</v>
      </c>
      <c r="V2045" t="s">
        <v>386</v>
      </c>
      <c r="W2045">
        <v>-144000000000</v>
      </c>
      <c r="X2045">
        <v>-144000000000</v>
      </c>
      <c r="Y2045" t="s">
        <v>386</v>
      </c>
      <c r="Z2045">
        <v>-144000000000</v>
      </c>
      <c r="AA2045">
        <v>-50139624</v>
      </c>
      <c r="AB2045" t="b">
        <v>1</v>
      </c>
      <c r="AC2045">
        <v>1</v>
      </c>
    </row>
    <row r="2046" spans="17:29" x14ac:dyDescent="0.2">
      <c r="Q2046" t="s">
        <v>2025</v>
      </c>
      <c r="R2046" t="s">
        <v>2621</v>
      </c>
      <c r="S2046" t="s">
        <v>384</v>
      </c>
      <c r="T2046" s="1">
        <v>42837</v>
      </c>
      <c r="U2046" s="1">
        <v>43241</v>
      </c>
      <c r="V2046" t="s">
        <v>386</v>
      </c>
      <c r="W2046">
        <v>144000000000</v>
      </c>
      <c r="X2046">
        <v>144000000000</v>
      </c>
      <c r="Y2046" t="s">
        <v>386</v>
      </c>
      <c r="Z2046">
        <v>144000000000</v>
      </c>
      <c r="AA2046">
        <v>50139624</v>
      </c>
      <c r="AB2046" t="b">
        <v>1</v>
      </c>
      <c r="AC2046">
        <v>1</v>
      </c>
    </row>
    <row r="2047" spans="17:29" x14ac:dyDescent="0.2">
      <c r="Q2047" t="s">
        <v>2025</v>
      </c>
      <c r="R2047" t="s">
        <v>2621</v>
      </c>
      <c r="S2047" t="s">
        <v>384</v>
      </c>
      <c r="T2047" s="1">
        <v>44500</v>
      </c>
      <c r="U2047" s="1">
        <v>44500</v>
      </c>
      <c r="V2047" t="s">
        <v>386</v>
      </c>
      <c r="W2047">
        <v>-144000000000</v>
      </c>
      <c r="X2047">
        <v>-144000000000</v>
      </c>
      <c r="Y2047" t="s">
        <v>386</v>
      </c>
      <c r="Z2047">
        <v>-144000000000</v>
      </c>
      <c r="AA2047">
        <v>-50139624</v>
      </c>
      <c r="AB2047" t="b">
        <v>1</v>
      </c>
      <c r="AC2047">
        <v>1</v>
      </c>
    </row>
    <row r="2048" spans="17:29" x14ac:dyDescent="0.2">
      <c r="Q2048" t="s">
        <v>2025</v>
      </c>
      <c r="R2048" t="s">
        <v>2621</v>
      </c>
      <c r="S2048" t="s">
        <v>384</v>
      </c>
      <c r="T2048" s="1">
        <v>42837</v>
      </c>
      <c r="U2048" s="1">
        <v>43241</v>
      </c>
      <c r="V2048" t="s">
        <v>386</v>
      </c>
      <c r="W2048">
        <v>144000000000</v>
      </c>
      <c r="X2048">
        <v>144000000000</v>
      </c>
      <c r="Y2048" t="s">
        <v>386</v>
      </c>
      <c r="Z2048">
        <v>144000000000</v>
      </c>
      <c r="AA2048">
        <v>50139624</v>
      </c>
      <c r="AB2048" t="b">
        <v>1</v>
      </c>
      <c r="AC2048">
        <v>1</v>
      </c>
    </row>
    <row r="2049" spans="17:29" x14ac:dyDescent="0.2">
      <c r="Q2049" t="s">
        <v>2043</v>
      </c>
      <c r="R2049" t="s">
        <v>2622</v>
      </c>
      <c r="S2049" t="s">
        <v>384</v>
      </c>
      <c r="T2049" s="1">
        <v>44530</v>
      </c>
      <c r="U2049" s="1">
        <v>44530</v>
      </c>
      <c r="V2049" t="s">
        <v>386</v>
      </c>
      <c r="W2049">
        <v>-20257997109</v>
      </c>
      <c r="X2049">
        <v>-20257997109</v>
      </c>
      <c r="Y2049" t="s">
        <v>386</v>
      </c>
      <c r="Z2049">
        <v>-20257997109</v>
      </c>
      <c r="AA2049">
        <v>-7053669</v>
      </c>
      <c r="AB2049" t="b">
        <v>0</v>
      </c>
      <c r="AC2049">
        <v>1</v>
      </c>
    </row>
    <row r="2050" spans="17:29" x14ac:dyDescent="0.2">
      <c r="Q2050" t="s">
        <v>2043</v>
      </c>
      <c r="R2050" t="s">
        <v>2622</v>
      </c>
      <c r="S2050" t="s">
        <v>384</v>
      </c>
      <c r="T2050" s="1">
        <v>43508</v>
      </c>
      <c r="U2050" s="1">
        <v>43298</v>
      </c>
      <c r="V2050" t="s">
        <v>386</v>
      </c>
      <c r="W2050">
        <v>20000000000</v>
      </c>
      <c r="X2050">
        <v>20257997109</v>
      </c>
      <c r="Y2050" t="s">
        <v>386</v>
      </c>
      <c r="Z2050">
        <v>20257997109</v>
      </c>
      <c r="AA2050">
        <v>7053669</v>
      </c>
      <c r="AB2050" t="b">
        <v>0</v>
      </c>
      <c r="AC2050">
        <v>1</v>
      </c>
    </row>
    <row r="2051" spans="17:29" x14ac:dyDescent="0.2">
      <c r="Q2051" t="s">
        <v>2043</v>
      </c>
      <c r="R2051" t="s">
        <v>2622</v>
      </c>
      <c r="S2051" t="s">
        <v>384</v>
      </c>
      <c r="T2051" s="1">
        <v>44530</v>
      </c>
      <c r="U2051" s="1">
        <v>44530</v>
      </c>
      <c r="V2051" t="s">
        <v>386</v>
      </c>
      <c r="W2051">
        <v>-20257997109</v>
      </c>
      <c r="X2051">
        <v>-20257997109</v>
      </c>
      <c r="Y2051" t="s">
        <v>386</v>
      </c>
      <c r="Z2051">
        <v>-20257997109</v>
      </c>
      <c r="AA2051">
        <v>-7053669</v>
      </c>
      <c r="AB2051" t="b">
        <v>0</v>
      </c>
      <c r="AC2051">
        <v>1</v>
      </c>
    </row>
    <row r="2052" spans="17:29" x14ac:dyDescent="0.2">
      <c r="Q2052" t="s">
        <v>2043</v>
      </c>
      <c r="R2052" t="s">
        <v>2622</v>
      </c>
      <c r="S2052" t="s">
        <v>384</v>
      </c>
      <c r="T2052" s="1">
        <v>43508</v>
      </c>
      <c r="U2052" s="1">
        <v>43298</v>
      </c>
      <c r="V2052" t="s">
        <v>386</v>
      </c>
      <c r="W2052">
        <v>20000000000</v>
      </c>
      <c r="X2052">
        <v>20257997109</v>
      </c>
      <c r="Y2052" t="s">
        <v>386</v>
      </c>
      <c r="Z2052">
        <v>20257997109</v>
      </c>
      <c r="AA2052">
        <v>7053669</v>
      </c>
      <c r="AB2052" t="b">
        <v>0</v>
      </c>
      <c r="AC2052">
        <v>1</v>
      </c>
    </row>
    <row r="2053" spans="17:29" x14ac:dyDescent="0.2">
      <c r="Q2053" t="s">
        <v>2043</v>
      </c>
      <c r="R2053" t="s">
        <v>2623</v>
      </c>
      <c r="S2053" t="s">
        <v>384</v>
      </c>
      <c r="T2053" s="1">
        <v>44408</v>
      </c>
      <c r="U2053" s="1">
        <v>44408</v>
      </c>
      <c r="V2053" t="s">
        <v>386</v>
      </c>
      <c r="W2053">
        <v>-2000000</v>
      </c>
      <c r="X2053">
        <v>-2000000</v>
      </c>
      <c r="Y2053" t="s">
        <v>386</v>
      </c>
      <c r="Z2053">
        <v>-2000000</v>
      </c>
      <c r="AA2053">
        <v>-696</v>
      </c>
      <c r="AB2053" t="b">
        <v>0</v>
      </c>
      <c r="AC2053">
        <v>1</v>
      </c>
    </row>
    <row r="2054" spans="17:29" x14ac:dyDescent="0.2">
      <c r="Q2054" t="s">
        <v>2043</v>
      </c>
      <c r="R2054" t="s">
        <v>2623</v>
      </c>
      <c r="S2054" t="s">
        <v>384</v>
      </c>
      <c r="T2054" s="1">
        <v>43500</v>
      </c>
      <c r="U2054" s="1">
        <v>43298</v>
      </c>
      <c r="V2054" t="s">
        <v>386</v>
      </c>
      <c r="W2054">
        <v>14000000000</v>
      </c>
      <c r="X2054">
        <v>2000000</v>
      </c>
      <c r="Y2054" t="s">
        <v>386</v>
      </c>
      <c r="Z2054">
        <v>2000000</v>
      </c>
      <c r="AA2054">
        <v>696</v>
      </c>
      <c r="AB2054" t="b">
        <v>0</v>
      </c>
      <c r="AC2054">
        <v>1</v>
      </c>
    </row>
    <row r="2055" spans="17:29" x14ac:dyDescent="0.2">
      <c r="Q2055" t="s">
        <v>2043</v>
      </c>
      <c r="R2055" t="s">
        <v>2623</v>
      </c>
      <c r="S2055" t="s">
        <v>384</v>
      </c>
      <c r="T2055" s="1">
        <v>44408</v>
      </c>
      <c r="U2055" s="1">
        <v>44408</v>
      </c>
      <c r="V2055" t="s">
        <v>386</v>
      </c>
      <c r="W2055">
        <v>-2000000</v>
      </c>
      <c r="X2055">
        <v>-2000000</v>
      </c>
      <c r="Y2055" t="s">
        <v>386</v>
      </c>
      <c r="Z2055">
        <v>-2000000</v>
      </c>
      <c r="AA2055">
        <v>-696</v>
      </c>
      <c r="AB2055" t="b">
        <v>0</v>
      </c>
      <c r="AC2055">
        <v>1</v>
      </c>
    </row>
    <row r="2056" spans="17:29" x14ac:dyDescent="0.2">
      <c r="Q2056" t="s">
        <v>2043</v>
      </c>
      <c r="R2056" t="s">
        <v>2623</v>
      </c>
      <c r="S2056" t="s">
        <v>384</v>
      </c>
      <c r="T2056" s="1">
        <v>43500</v>
      </c>
      <c r="U2056" s="1">
        <v>43298</v>
      </c>
      <c r="V2056" t="s">
        <v>386</v>
      </c>
      <c r="W2056">
        <v>14000000000</v>
      </c>
      <c r="X2056">
        <v>2000000</v>
      </c>
      <c r="Y2056" t="s">
        <v>386</v>
      </c>
      <c r="Z2056">
        <v>2000000</v>
      </c>
      <c r="AA2056">
        <v>696</v>
      </c>
      <c r="AB2056" t="b">
        <v>0</v>
      </c>
      <c r="AC2056">
        <v>1</v>
      </c>
    </row>
    <row r="2057" spans="17:29" x14ac:dyDescent="0.2">
      <c r="Q2057" t="s">
        <v>2043</v>
      </c>
      <c r="R2057" t="s">
        <v>2624</v>
      </c>
      <c r="S2057" t="s">
        <v>384</v>
      </c>
      <c r="T2057" s="1">
        <v>44043</v>
      </c>
      <c r="U2057" s="1">
        <v>44043</v>
      </c>
      <c r="V2057" t="s">
        <v>386</v>
      </c>
      <c r="W2057">
        <v>-11343000000</v>
      </c>
      <c r="X2057">
        <v>-11343000000</v>
      </c>
      <c r="Y2057" t="s">
        <v>386</v>
      </c>
      <c r="Z2057">
        <v>-11343000000</v>
      </c>
      <c r="AA2057">
        <v>-3949540</v>
      </c>
      <c r="AB2057" t="b">
        <v>0</v>
      </c>
      <c r="AC2057">
        <v>1</v>
      </c>
    </row>
    <row r="2058" spans="17:29" x14ac:dyDescent="0.2">
      <c r="Q2058" t="s">
        <v>2043</v>
      </c>
      <c r="R2058" t="s">
        <v>2624</v>
      </c>
      <c r="S2058" t="s">
        <v>384</v>
      </c>
      <c r="T2058" s="1">
        <v>43529</v>
      </c>
      <c r="U2058" s="1">
        <v>43683</v>
      </c>
      <c r="V2058" t="s">
        <v>386</v>
      </c>
      <c r="W2058">
        <v>22938000000</v>
      </c>
      <c r="X2058">
        <v>11343000000</v>
      </c>
      <c r="Y2058" t="s">
        <v>386</v>
      </c>
      <c r="Z2058">
        <v>11343000000</v>
      </c>
      <c r="AA2058">
        <v>3949540</v>
      </c>
      <c r="AB2058" t="b">
        <v>0</v>
      </c>
      <c r="AC2058">
        <v>1</v>
      </c>
    </row>
    <row r="2059" spans="17:29" x14ac:dyDescent="0.2">
      <c r="Q2059" t="s">
        <v>2043</v>
      </c>
      <c r="R2059" t="s">
        <v>2624</v>
      </c>
      <c r="S2059" t="s">
        <v>384</v>
      </c>
      <c r="T2059" s="1">
        <v>44043</v>
      </c>
      <c r="U2059" s="1">
        <v>44043</v>
      </c>
      <c r="V2059" t="s">
        <v>386</v>
      </c>
      <c r="W2059">
        <v>-11343000000</v>
      </c>
      <c r="X2059">
        <v>-11343000000</v>
      </c>
      <c r="Y2059" t="s">
        <v>386</v>
      </c>
      <c r="Z2059">
        <v>-11343000000</v>
      </c>
      <c r="AA2059">
        <v>-3949540</v>
      </c>
      <c r="AB2059" t="b">
        <v>0</v>
      </c>
      <c r="AC2059">
        <v>1</v>
      </c>
    </row>
    <row r="2060" spans="17:29" x14ac:dyDescent="0.2">
      <c r="Q2060" t="s">
        <v>2043</v>
      </c>
      <c r="R2060" t="s">
        <v>2624</v>
      </c>
      <c r="S2060" t="s">
        <v>384</v>
      </c>
      <c r="T2060" s="1">
        <v>43529</v>
      </c>
      <c r="U2060" s="1">
        <v>43683</v>
      </c>
      <c r="V2060" t="s">
        <v>386</v>
      </c>
      <c r="W2060">
        <v>22938000000</v>
      </c>
      <c r="X2060">
        <v>11343000000</v>
      </c>
      <c r="Y2060" t="s">
        <v>386</v>
      </c>
      <c r="Z2060">
        <v>11343000000</v>
      </c>
      <c r="AA2060">
        <v>3949540</v>
      </c>
      <c r="AB2060" t="b">
        <v>0</v>
      </c>
      <c r="AC2060">
        <v>1</v>
      </c>
    </row>
    <row r="2061" spans="17:29" x14ac:dyDescent="0.2">
      <c r="Q2061" t="s">
        <v>2043</v>
      </c>
      <c r="R2061" t="s">
        <v>2625</v>
      </c>
      <c r="S2061" t="s">
        <v>384</v>
      </c>
      <c r="T2061" s="1">
        <v>44165</v>
      </c>
      <c r="U2061" s="1">
        <v>44165</v>
      </c>
      <c r="V2061" t="s">
        <v>386</v>
      </c>
      <c r="W2061">
        <v>-7413000000</v>
      </c>
      <c r="X2061">
        <v>-7413000000</v>
      </c>
      <c r="Y2061" t="s">
        <v>386</v>
      </c>
      <c r="Z2061">
        <v>-7413000000</v>
      </c>
      <c r="AA2061">
        <v>-2581146</v>
      </c>
      <c r="AB2061" t="b">
        <v>0</v>
      </c>
      <c r="AC2061">
        <v>1</v>
      </c>
    </row>
    <row r="2062" spans="17:29" x14ac:dyDescent="0.2">
      <c r="Q2062" t="s">
        <v>2043</v>
      </c>
      <c r="R2062" t="s">
        <v>2625</v>
      </c>
      <c r="S2062" t="s">
        <v>384</v>
      </c>
      <c r="T2062" s="1">
        <v>43455</v>
      </c>
      <c r="U2062" s="1">
        <v>43713</v>
      </c>
      <c r="V2062" t="s">
        <v>386</v>
      </c>
      <c r="W2062">
        <v>9801000000</v>
      </c>
      <c r="X2062">
        <v>7413000000</v>
      </c>
      <c r="Y2062" t="s">
        <v>386</v>
      </c>
      <c r="Z2062">
        <v>7413000000</v>
      </c>
      <c r="AA2062">
        <v>2581146</v>
      </c>
      <c r="AB2062" t="b">
        <v>0</v>
      </c>
      <c r="AC2062">
        <v>1</v>
      </c>
    </row>
    <row r="2063" spans="17:29" x14ac:dyDescent="0.2">
      <c r="Q2063" t="s">
        <v>2043</v>
      </c>
      <c r="R2063" t="s">
        <v>2625</v>
      </c>
      <c r="S2063" t="s">
        <v>384</v>
      </c>
      <c r="T2063" s="1">
        <v>44165</v>
      </c>
      <c r="U2063" s="1">
        <v>44165</v>
      </c>
      <c r="V2063" t="s">
        <v>386</v>
      </c>
      <c r="W2063">
        <v>-7413000000</v>
      </c>
      <c r="X2063">
        <v>-7413000000</v>
      </c>
      <c r="Y2063" t="s">
        <v>386</v>
      </c>
      <c r="Z2063">
        <v>-7413000000</v>
      </c>
      <c r="AA2063">
        <v>-2581146</v>
      </c>
      <c r="AB2063" t="b">
        <v>0</v>
      </c>
      <c r="AC2063">
        <v>1</v>
      </c>
    </row>
    <row r="2064" spans="17:29" x14ac:dyDescent="0.2">
      <c r="Q2064" t="s">
        <v>2043</v>
      </c>
      <c r="R2064" t="s">
        <v>2625</v>
      </c>
      <c r="S2064" t="s">
        <v>384</v>
      </c>
      <c r="T2064" s="1">
        <v>43455</v>
      </c>
      <c r="U2064" s="1">
        <v>43713</v>
      </c>
      <c r="V2064" t="s">
        <v>386</v>
      </c>
      <c r="W2064">
        <v>9801000000</v>
      </c>
      <c r="X2064">
        <v>7413000000</v>
      </c>
      <c r="Y2064" t="s">
        <v>386</v>
      </c>
      <c r="Z2064">
        <v>7413000000</v>
      </c>
      <c r="AA2064">
        <v>2581146</v>
      </c>
      <c r="AB2064" t="b">
        <v>0</v>
      </c>
      <c r="AC2064">
        <v>1</v>
      </c>
    </row>
    <row r="2065" spans="17:29" x14ac:dyDescent="0.2">
      <c r="Q2065" t="s">
        <v>2025</v>
      </c>
      <c r="R2065" t="s">
        <v>2626</v>
      </c>
      <c r="S2065" t="s">
        <v>384</v>
      </c>
      <c r="T2065" s="1">
        <v>42389</v>
      </c>
      <c r="U2065" s="1">
        <v>43257</v>
      </c>
      <c r="V2065" t="s">
        <v>386</v>
      </c>
      <c r="W2065">
        <v>145000000000</v>
      </c>
      <c r="X2065">
        <v>74281902896</v>
      </c>
      <c r="Y2065" t="s">
        <v>386</v>
      </c>
      <c r="Z2065">
        <v>74281902896</v>
      </c>
      <c r="AA2065">
        <v>25864352</v>
      </c>
      <c r="AB2065" t="b">
        <v>0</v>
      </c>
      <c r="AC2065">
        <v>1</v>
      </c>
    </row>
    <row r="2066" spans="17:29" x14ac:dyDescent="0.2">
      <c r="Q2066" t="s">
        <v>2025</v>
      </c>
      <c r="R2066" t="s">
        <v>2626</v>
      </c>
      <c r="S2066" t="s">
        <v>384</v>
      </c>
      <c r="T2066" s="1">
        <v>42389</v>
      </c>
      <c r="U2066" s="1">
        <v>43257</v>
      </c>
      <c r="V2066" t="s">
        <v>386</v>
      </c>
      <c r="W2066">
        <v>145000000000</v>
      </c>
      <c r="X2066">
        <v>74281902896</v>
      </c>
      <c r="Y2066" t="s">
        <v>386</v>
      </c>
      <c r="Z2066">
        <v>74281902896</v>
      </c>
      <c r="AA2066">
        <v>25864352</v>
      </c>
      <c r="AB2066" t="b">
        <v>0</v>
      </c>
      <c r="AC2066">
        <v>1</v>
      </c>
    </row>
    <row r="2067" spans="17:29" x14ac:dyDescent="0.2">
      <c r="Q2067" t="s">
        <v>2025</v>
      </c>
      <c r="R2067" t="s">
        <v>2627</v>
      </c>
      <c r="S2067" t="s">
        <v>384</v>
      </c>
      <c r="T2067" s="1">
        <v>42944</v>
      </c>
      <c r="U2067" s="1">
        <v>42944</v>
      </c>
      <c r="V2067" t="s">
        <v>386</v>
      </c>
      <c r="W2067">
        <v>-14562000000</v>
      </c>
      <c r="X2067">
        <v>-14562000000</v>
      </c>
      <c r="Y2067" t="s">
        <v>386</v>
      </c>
      <c r="Z2067">
        <v>-14562000000</v>
      </c>
      <c r="AA2067">
        <v>-5070369</v>
      </c>
      <c r="AB2067" t="b">
        <v>1</v>
      </c>
      <c r="AC2067">
        <v>1</v>
      </c>
    </row>
    <row r="2068" spans="17:29" x14ac:dyDescent="0.2">
      <c r="Q2068" t="s">
        <v>2025</v>
      </c>
      <c r="R2068" t="s">
        <v>2627</v>
      </c>
      <c r="S2068" t="s">
        <v>384</v>
      </c>
      <c r="T2068" s="1">
        <v>41905</v>
      </c>
      <c r="U2068" s="1">
        <v>43138</v>
      </c>
      <c r="V2068" t="s">
        <v>386</v>
      </c>
      <c r="W2068">
        <v>31785000000</v>
      </c>
      <c r="X2068">
        <v>14562000000</v>
      </c>
      <c r="Y2068" t="s">
        <v>386</v>
      </c>
      <c r="Z2068">
        <v>14562000000</v>
      </c>
      <c r="AA2068">
        <v>5070369</v>
      </c>
      <c r="AB2068" t="b">
        <v>1</v>
      </c>
      <c r="AC2068">
        <v>1</v>
      </c>
    </row>
    <row r="2069" spans="17:29" x14ac:dyDescent="0.2">
      <c r="Q2069" t="s">
        <v>2025</v>
      </c>
      <c r="R2069" t="s">
        <v>2627</v>
      </c>
      <c r="S2069" t="s">
        <v>384</v>
      </c>
      <c r="T2069" s="1">
        <v>42944</v>
      </c>
      <c r="U2069" s="1">
        <v>42944</v>
      </c>
      <c r="V2069" t="s">
        <v>386</v>
      </c>
      <c r="W2069">
        <v>-14562000000</v>
      </c>
      <c r="X2069">
        <v>-14562000000</v>
      </c>
      <c r="Y2069" t="s">
        <v>386</v>
      </c>
      <c r="Z2069">
        <v>-14562000000</v>
      </c>
      <c r="AA2069">
        <v>-5070369</v>
      </c>
      <c r="AB2069" t="b">
        <v>1</v>
      </c>
      <c r="AC2069">
        <v>1</v>
      </c>
    </row>
    <row r="2070" spans="17:29" x14ac:dyDescent="0.2">
      <c r="Q2070" t="s">
        <v>2025</v>
      </c>
      <c r="R2070" t="s">
        <v>2627</v>
      </c>
      <c r="S2070" t="s">
        <v>384</v>
      </c>
      <c r="T2070" s="1">
        <v>41905</v>
      </c>
      <c r="U2070" s="1">
        <v>43138</v>
      </c>
      <c r="V2070" t="s">
        <v>386</v>
      </c>
      <c r="W2070">
        <v>31785000000</v>
      </c>
      <c r="X2070">
        <v>14562000000</v>
      </c>
      <c r="Y2070" t="s">
        <v>386</v>
      </c>
      <c r="Z2070">
        <v>14562000000</v>
      </c>
      <c r="AA2070">
        <v>5070369</v>
      </c>
      <c r="AB2070" t="b">
        <v>1</v>
      </c>
      <c r="AC2070">
        <v>1</v>
      </c>
    </row>
    <row r="2071" spans="17:29" x14ac:dyDescent="0.2">
      <c r="Q2071" t="s">
        <v>2025</v>
      </c>
      <c r="R2071" t="s">
        <v>2628</v>
      </c>
      <c r="S2071" t="s">
        <v>384</v>
      </c>
      <c r="T2071" s="1">
        <v>43179</v>
      </c>
      <c r="U2071" s="1">
        <v>42720</v>
      </c>
      <c r="V2071" t="s">
        <v>386</v>
      </c>
      <c r="W2071">
        <v>105000000000</v>
      </c>
      <c r="X2071">
        <v>61180000000</v>
      </c>
      <c r="Y2071" t="s">
        <v>386</v>
      </c>
      <c r="Z2071">
        <v>61180000000</v>
      </c>
      <c r="AA2071">
        <v>21302376</v>
      </c>
      <c r="AB2071" t="b">
        <v>0</v>
      </c>
      <c r="AC2071">
        <v>1</v>
      </c>
    </row>
    <row r="2072" spans="17:29" x14ac:dyDescent="0.2">
      <c r="Q2072" t="s">
        <v>2025</v>
      </c>
      <c r="R2072" t="s">
        <v>2628</v>
      </c>
      <c r="S2072" t="s">
        <v>384</v>
      </c>
      <c r="T2072" s="1">
        <v>43179</v>
      </c>
      <c r="U2072" s="1">
        <v>42720</v>
      </c>
      <c r="V2072" t="s">
        <v>386</v>
      </c>
      <c r="W2072">
        <v>105000000000</v>
      </c>
      <c r="X2072">
        <v>61180000000</v>
      </c>
      <c r="Y2072" t="s">
        <v>386</v>
      </c>
      <c r="Z2072">
        <v>61180000000</v>
      </c>
      <c r="AA2072">
        <v>21302376</v>
      </c>
      <c r="AB2072" t="b">
        <v>0</v>
      </c>
      <c r="AC2072">
        <v>1</v>
      </c>
    </row>
    <row r="2073" spans="17:29" x14ac:dyDescent="0.2">
      <c r="Q2073" t="s">
        <v>2025</v>
      </c>
      <c r="R2073" t="s">
        <v>2629</v>
      </c>
      <c r="S2073" t="s">
        <v>384</v>
      </c>
      <c r="T2073" s="1">
        <v>44561</v>
      </c>
      <c r="U2073" s="1">
        <v>44561</v>
      </c>
      <c r="V2073" t="s">
        <v>386</v>
      </c>
      <c r="W2073">
        <v>-27000000000</v>
      </c>
      <c r="X2073">
        <v>-25971335853</v>
      </c>
      <c r="Y2073" t="s">
        <v>386</v>
      </c>
      <c r="Z2073">
        <v>-25971335853</v>
      </c>
      <c r="AA2073">
        <v>-9043007</v>
      </c>
      <c r="AB2073" t="b">
        <v>0</v>
      </c>
      <c r="AC2073">
        <v>1</v>
      </c>
    </row>
    <row r="2074" spans="17:29" x14ac:dyDescent="0.2">
      <c r="Q2074" t="s">
        <v>2025</v>
      </c>
      <c r="R2074" t="s">
        <v>2629</v>
      </c>
      <c r="S2074" t="s">
        <v>384</v>
      </c>
      <c r="T2074" s="1">
        <v>41800</v>
      </c>
      <c r="U2074" s="1">
        <v>42488</v>
      </c>
      <c r="V2074" t="s">
        <v>386</v>
      </c>
      <c r="W2074">
        <v>29000000000</v>
      </c>
      <c r="X2074">
        <v>27000000000</v>
      </c>
      <c r="Y2074" t="s">
        <v>386</v>
      </c>
      <c r="Z2074">
        <v>27000000000</v>
      </c>
      <c r="AA2074">
        <v>9401179</v>
      </c>
      <c r="AB2074" t="b">
        <v>0</v>
      </c>
      <c r="AC2074">
        <v>1</v>
      </c>
    </row>
    <row r="2075" spans="17:29" x14ac:dyDescent="0.2">
      <c r="Q2075" t="s">
        <v>2025</v>
      </c>
      <c r="R2075" t="s">
        <v>2629</v>
      </c>
      <c r="S2075" t="s">
        <v>384</v>
      </c>
      <c r="T2075" s="1">
        <v>44561</v>
      </c>
      <c r="U2075" s="1">
        <v>44561</v>
      </c>
      <c r="V2075" t="s">
        <v>386</v>
      </c>
      <c r="W2075">
        <v>-27000000000</v>
      </c>
      <c r="X2075">
        <v>-25971335853</v>
      </c>
      <c r="Y2075" t="s">
        <v>386</v>
      </c>
      <c r="Z2075">
        <v>-25971335853</v>
      </c>
      <c r="AA2075">
        <v>-9043007</v>
      </c>
      <c r="AB2075" t="b">
        <v>0</v>
      </c>
      <c r="AC2075">
        <v>1</v>
      </c>
    </row>
    <row r="2076" spans="17:29" x14ac:dyDescent="0.2">
      <c r="Q2076" t="s">
        <v>2025</v>
      </c>
      <c r="R2076" t="s">
        <v>2629</v>
      </c>
      <c r="S2076" t="s">
        <v>384</v>
      </c>
      <c r="T2076" s="1">
        <v>41800</v>
      </c>
      <c r="U2076" s="1">
        <v>42488</v>
      </c>
      <c r="V2076" t="s">
        <v>386</v>
      </c>
      <c r="W2076">
        <v>29000000000</v>
      </c>
      <c r="X2076">
        <v>27000000000</v>
      </c>
      <c r="Y2076" t="s">
        <v>386</v>
      </c>
      <c r="Z2076">
        <v>27000000000</v>
      </c>
      <c r="AA2076">
        <v>9401179</v>
      </c>
      <c r="AB2076" t="b">
        <v>0</v>
      </c>
      <c r="AC2076">
        <v>1</v>
      </c>
    </row>
    <row r="2077" spans="17:29" x14ac:dyDescent="0.2">
      <c r="Q2077" t="s">
        <v>2128</v>
      </c>
      <c r="R2077" t="s">
        <v>2630</v>
      </c>
      <c r="S2077" t="s">
        <v>808</v>
      </c>
      <c r="T2077" s="1">
        <v>44043</v>
      </c>
      <c r="U2077" s="1">
        <v>44196</v>
      </c>
      <c r="V2077" t="s">
        <v>270</v>
      </c>
      <c r="W2077">
        <v>9381538</v>
      </c>
      <c r="X2077">
        <v>40623538</v>
      </c>
      <c r="Y2077" t="s">
        <v>270</v>
      </c>
      <c r="Z2077">
        <v>40623538</v>
      </c>
      <c r="AA2077">
        <v>40623538</v>
      </c>
      <c r="AB2077" t="b">
        <v>0</v>
      </c>
      <c r="AC2077">
        <v>0.22</v>
      </c>
    </row>
    <row r="2078" spans="17:29" x14ac:dyDescent="0.2">
      <c r="Q2078" t="s">
        <v>2128</v>
      </c>
      <c r="R2078" t="s">
        <v>2630</v>
      </c>
      <c r="S2078" t="s">
        <v>808</v>
      </c>
      <c r="T2078" s="1">
        <v>43830</v>
      </c>
      <c r="U2078" s="1">
        <v>43830</v>
      </c>
      <c r="V2078" t="s">
        <v>270</v>
      </c>
      <c r="W2078">
        <v>209889000</v>
      </c>
      <c r="X2078">
        <v>178647000</v>
      </c>
      <c r="Y2078" t="s">
        <v>270</v>
      </c>
      <c r="Z2078">
        <v>178647000</v>
      </c>
      <c r="AA2078">
        <v>178647000</v>
      </c>
      <c r="AB2078" t="b">
        <v>0</v>
      </c>
      <c r="AC2078">
        <v>0.22</v>
      </c>
    </row>
    <row r="2079" spans="17:29" x14ac:dyDescent="0.2">
      <c r="Q2079" t="s">
        <v>1989</v>
      </c>
      <c r="R2079" t="s">
        <v>2630</v>
      </c>
      <c r="S2079" t="s">
        <v>808</v>
      </c>
      <c r="T2079" s="1">
        <v>44043</v>
      </c>
      <c r="U2079" s="1">
        <v>44196</v>
      </c>
      <c r="V2079" t="s">
        <v>270</v>
      </c>
      <c r="W2079">
        <v>9381538</v>
      </c>
      <c r="X2079">
        <v>40623538</v>
      </c>
      <c r="Y2079" t="s">
        <v>270</v>
      </c>
      <c r="Z2079">
        <v>40623538</v>
      </c>
      <c r="AA2079">
        <v>40623538</v>
      </c>
      <c r="AB2079" t="b">
        <v>0</v>
      </c>
      <c r="AC2079">
        <v>0.22</v>
      </c>
    </row>
    <row r="2080" spans="17:29" x14ac:dyDescent="0.2">
      <c r="Q2080" t="s">
        <v>1989</v>
      </c>
      <c r="R2080" t="s">
        <v>2630</v>
      </c>
      <c r="S2080" t="s">
        <v>808</v>
      </c>
      <c r="T2080" s="1">
        <v>43830</v>
      </c>
      <c r="U2080" s="1">
        <v>43830</v>
      </c>
      <c r="V2080" t="s">
        <v>270</v>
      </c>
      <c r="W2080">
        <v>209889000</v>
      </c>
      <c r="X2080">
        <v>178647000</v>
      </c>
      <c r="Y2080" t="s">
        <v>270</v>
      </c>
      <c r="Z2080">
        <v>178647000</v>
      </c>
      <c r="AA2080">
        <v>178647000</v>
      </c>
      <c r="AB2080" t="b">
        <v>0</v>
      </c>
      <c r="AC2080">
        <v>0.22</v>
      </c>
    </row>
    <row r="2081" spans="17:29" x14ac:dyDescent="0.2">
      <c r="Q2081" t="s">
        <v>2043</v>
      </c>
      <c r="R2081" t="s">
        <v>2631</v>
      </c>
      <c r="S2081" t="s">
        <v>384</v>
      </c>
      <c r="T2081" s="1">
        <v>44132</v>
      </c>
      <c r="U2081" s="1">
        <v>44446</v>
      </c>
      <c r="V2081" t="s">
        <v>386</v>
      </c>
      <c r="W2081">
        <v>14500000000</v>
      </c>
      <c r="X2081">
        <v>2434000000</v>
      </c>
      <c r="Y2081" t="s">
        <v>386</v>
      </c>
      <c r="Z2081">
        <v>2434000000</v>
      </c>
      <c r="AA2081">
        <v>847498</v>
      </c>
      <c r="AB2081" t="b">
        <v>0</v>
      </c>
      <c r="AC2081">
        <v>1</v>
      </c>
    </row>
    <row r="2082" spans="17:29" x14ac:dyDescent="0.2">
      <c r="Q2082" t="s">
        <v>2043</v>
      </c>
      <c r="R2082" t="s">
        <v>2631</v>
      </c>
      <c r="S2082" t="s">
        <v>384</v>
      </c>
      <c r="T2082" s="1">
        <v>44132</v>
      </c>
      <c r="U2082" s="1">
        <v>44446</v>
      </c>
      <c r="V2082" t="s">
        <v>386</v>
      </c>
      <c r="W2082">
        <v>14500000000</v>
      </c>
      <c r="X2082">
        <v>2434000000</v>
      </c>
      <c r="Y2082" t="s">
        <v>386</v>
      </c>
      <c r="Z2082">
        <v>2434000000</v>
      </c>
      <c r="AA2082">
        <v>847498</v>
      </c>
      <c r="AB2082" t="b">
        <v>0</v>
      </c>
      <c r="AC2082">
        <v>1</v>
      </c>
    </row>
    <row r="2083" spans="17:29" x14ac:dyDescent="0.2">
      <c r="Q2083" t="s">
        <v>2029</v>
      </c>
      <c r="R2083" t="s">
        <v>2631</v>
      </c>
      <c r="S2083" t="s">
        <v>384</v>
      </c>
      <c r="T2083" s="1">
        <v>44132</v>
      </c>
      <c r="U2083" s="1">
        <v>44446</v>
      </c>
      <c r="V2083" t="s">
        <v>386</v>
      </c>
      <c r="W2083">
        <v>14500000000</v>
      </c>
      <c r="X2083">
        <v>2434000000</v>
      </c>
      <c r="Y2083" t="s">
        <v>386</v>
      </c>
      <c r="Z2083">
        <v>2434000000</v>
      </c>
      <c r="AA2083">
        <v>847498</v>
      </c>
      <c r="AB2083" t="b">
        <v>0</v>
      </c>
      <c r="AC2083">
        <v>1</v>
      </c>
    </row>
    <row r="2084" spans="17:29" x14ac:dyDescent="0.2">
      <c r="Q2084" t="s">
        <v>2029</v>
      </c>
      <c r="R2084" t="s">
        <v>2631</v>
      </c>
      <c r="S2084" t="s">
        <v>384</v>
      </c>
      <c r="T2084" s="1">
        <v>44132</v>
      </c>
      <c r="U2084" s="1">
        <v>44446</v>
      </c>
      <c r="V2084" t="s">
        <v>386</v>
      </c>
      <c r="W2084">
        <v>14500000000</v>
      </c>
      <c r="X2084">
        <v>2434000000</v>
      </c>
      <c r="Y2084" t="s">
        <v>386</v>
      </c>
      <c r="Z2084">
        <v>2434000000</v>
      </c>
      <c r="AA2084">
        <v>847498</v>
      </c>
      <c r="AB2084" t="b">
        <v>0</v>
      </c>
      <c r="AC2084">
        <v>1</v>
      </c>
    </row>
    <row r="2085" spans="17:29" x14ac:dyDescent="0.2">
      <c r="Q2085" t="s">
        <v>2043</v>
      </c>
      <c r="R2085" t="s">
        <v>2632</v>
      </c>
      <c r="S2085" t="s">
        <v>384</v>
      </c>
      <c r="T2085" s="1">
        <v>44255</v>
      </c>
      <c r="U2085" s="1">
        <v>44255</v>
      </c>
      <c r="V2085" t="s">
        <v>386</v>
      </c>
      <c r="W2085">
        <v>-28222000000</v>
      </c>
      <c r="X2085">
        <v>-28222000000</v>
      </c>
      <c r="Y2085" t="s">
        <v>386</v>
      </c>
      <c r="Z2085">
        <v>-28222000000</v>
      </c>
      <c r="AA2085">
        <v>-9826670</v>
      </c>
      <c r="AB2085" t="b">
        <v>0</v>
      </c>
      <c r="AC2085">
        <v>1</v>
      </c>
    </row>
    <row r="2086" spans="17:29" x14ac:dyDescent="0.2">
      <c r="Q2086" t="s">
        <v>2043</v>
      </c>
      <c r="R2086" t="s">
        <v>2632</v>
      </c>
      <c r="S2086" t="s">
        <v>384</v>
      </c>
      <c r="T2086" s="1">
        <v>43312</v>
      </c>
      <c r="U2086" s="1">
        <v>43413</v>
      </c>
      <c r="V2086" t="s">
        <v>386</v>
      </c>
      <c r="W2086">
        <v>30907000000</v>
      </c>
      <c r="X2086">
        <v>28222000000</v>
      </c>
      <c r="Y2086" t="s">
        <v>386</v>
      </c>
      <c r="Z2086">
        <v>28222000000</v>
      </c>
      <c r="AA2086">
        <v>9826670</v>
      </c>
      <c r="AB2086" t="b">
        <v>0</v>
      </c>
      <c r="AC2086">
        <v>1</v>
      </c>
    </row>
    <row r="2087" spans="17:29" x14ac:dyDescent="0.2">
      <c r="Q2087" t="s">
        <v>2043</v>
      </c>
      <c r="R2087" t="s">
        <v>2632</v>
      </c>
      <c r="S2087" t="s">
        <v>384</v>
      </c>
      <c r="T2087" s="1">
        <v>44255</v>
      </c>
      <c r="U2087" s="1">
        <v>44255</v>
      </c>
      <c r="V2087" t="s">
        <v>386</v>
      </c>
      <c r="W2087">
        <v>-28222000000</v>
      </c>
      <c r="X2087">
        <v>-28222000000</v>
      </c>
      <c r="Y2087" t="s">
        <v>386</v>
      </c>
      <c r="Z2087">
        <v>-28222000000</v>
      </c>
      <c r="AA2087">
        <v>-9826670</v>
      </c>
      <c r="AB2087" t="b">
        <v>0</v>
      </c>
      <c r="AC2087">
        <v>1</v>
      </c>
    </row>
    <row r="2088" spans="17:29" x14ac:dyDescent="0.2">
      <c r="Q2088" t="s">
        <v>2043</v>
      </c>
      <c r="R2088" t="s">
        <v>2632</v>
      </c>
      <c r="S2088" t="s">
        <v>384</v>
      </c>
      <c r="T2088" s="1">
        <v>43312</v>
      </c>
      <c r="U2088" s="1">
        <v>43413</v>
      </c>
      <c r="V2088" t="s">
        <v>386</v>
      </c>
      <c r="W2088">
        <v>30907000000</v>
      </c>
      <c r="X2088">
        <v>28222000000</v>
      </c>
      <c r="Y2088" t="s">
        <v>386</v>
      </c>
      <c r="Z2088">
        <v>28222000000</v>
      </c>
      <c r="AA2088">
        <v>9826670</v>
      </c>
      <c r="AB2088" t="b">
        <v>0</v>
      </c>
      <c r="AC2088">
        <v>1</v>
      </c>
    </row>
    <row r="2089" spans="17:29" x14ac:dyDescent="0.2">
      <c r="Q2089" t="s">
        <v>2029</v>
      </c>
      <c r="R2089" t="s">
        <v>2632</v>
      </c>
      <c r="S2089" t="s">
        <v>384</v>
      </c>
      <c r="T2089" s="1">
        <v>44255</v>
      </c>
      <c r="U2089" s="1">
        <v>44255</v>
      </c>
      <c r="V2089" t="s">
        <v>386</v>
      </c>
      <c r="W2089">
        <v>-28222000000</v>
      </c>
      <c r="X2089">
        <v>-28222000000</v>
      </c>
      <c r="Y2089" t="s">
        <v>386</v>
      </c>
      <c r="Z2089">
        <v>-28222000000</v>
      </c>
      <c r="AA2089">
        <v>-9826670</v>
      </c>
      <c r="AB2089" t="b">
        <v>0</v>
      </c>
      <c r="AC2089">
        <v>1</v>
      </c>
    </row>
    <row r="2090" spans="17:29" x14ac:dyDescent="0.2">
      <c r="Q2090" t="s">
        <v>2029</v>
      </c>
      <c r="R2090" t="s">
        <v>2632</v>
      </c>
      <c r="S2090" t="s">
        <v>384</v>
      </c>
      <c r="T2090" s="1">
        <v>43312</v>
      </c>
      <c r="U2090" s="1">
        <v>43413</v>
      </c>
      <c r="V2090" t="s">
        <v>386</v>
      </c>
      <c r="W2090">
        <v>30907000000</v>
      </c>
      <c r="X2090">
        <v>28222000000</v>
      </c>
      <c r="Y2090" t="s">
        <v>386</v>
      </c>
      <c r="Z2090">
        <v>28222000000</v>
      </c>
      <c r="AA2090">
        <v>9826670</v>
      </c>
      <c r="AB2090" t="b">
        <v>0</v>
      </c>
      <c r="AC2090">
        <v>1</v>
      </c>
    </row>
    <row r="2091" spans="17:29" x14ac:dyDescent="0.2">
      <c r="Q2091" t="s">
        <v>2029</v>
      </c>
      <c r="R2091" t="s">
        <v>2632</v>
      </c>
      <c r="S2091" t="s">
        <v>384</v>
      </c>
      <c r="T2091" s="1">
        <v>44255</v>
      </c>
      <c r="U2091" s="1">
        <v>44255</v>
      </c>
      <c r="V2091" t="s">
        <v>386</v>
      </c>
      <c r="W2091">
        <v>-28222000000</v>
      </c>
      <c r="X2091">
        <v>-28222000000</v>
      </c>
      <c r="Y2091" t="s">
        <v>386</v>
      </c>
      <c r="Z2091">
        <v>-28222000000</v>
      </c>
      <c r="AA2091">
        <v>-9826670</v>
      </c>
      <c r="AB2091" t="b">
        <v>0</v>
      </c>
      <c r="AC2091">
        <v>1</v>
      </c>
    </row>
    <row r="2092" spans="17:29" x14ac:dyDescent="0.2">
      <c r="Q2092" t="s">
        <v>2029</v>
      </c>
      <c r="R2092" t="s">
        <v>2632</v>
      </c>
      <c r="S2092" t="s">
        <v>384</v>
      </c>
      <c r="T2092" s="1">
        <v>43312</v>
      </c>
      <c r="U2092" s="1">
        <v>43413</v>
      </c>
      <c r="V2092" t="s">
        <v>386</v>
      </c>
      <c r="W2092">
        <v>30907000000</v>
      </c>
      <c r="X2092">
        <v>28222000000</v>
      </c>
      <c r="Y2092" t="s">
        <v>386</v>
      </c>
      <c r="Z2092">
        <v>28222000000</v>
      </c>
      <c r="AA2092">
        <v>9826670</v>
      </c>
      <c r="AB2092" t="b">
        <v>0</v>
      </c>
      <c r="AC2092">
        <v>1</v>
      </c>
    </row>
    <row r="2093" spans="17:29" x14ac:dyDescent="0.2">
      <c r="Q2093" t="s">
        <v>2043</v>
      </c>
      <c r="R2093" t="s">
        <v>2633</v>
      </c>
      <c r="S2093" t="s">
        <v>384</v>
      </c>
      <c r="T2093" s="1">
        <v>44255</v>
      </c>
      <c r="U2093" s="1">
        <v>44255</v>
      </c>
      <c r="V2093" t="s">
        <v>386</v>
      </c>
      <c r="W2093">
        <v>-13785000000</v>
      </c>
      <c r="X2093">
        <v>-13785000000</v>
      </c>
      <c r="Y2093" t="s">
        <v>386</v>
      </c>
      <c r="Z2093">
        <v>-13785000000</v>
      </c>
      <c r="AA2093">
        <v>-4799824</v>
      </c>
      <c r="AB2093" t="b">
        <v>0</v>
      </c>
      <c r="AC2093">
        <v>1</v>
      </c>
    </row>
    <row r="2094" spans="17:29" x14ac:dyDescent="0.2">
      <c r="Q2094" t="s">
        <v>2043</v>
      </c>
      <c r="R2094" t="s">
        <v>2633</v>
      </c>
      <c r="S2094" t="s">
        <v>384</v>
      </c>
      <c r="T2094" s="1">
        <v>43312</v>
      </c>
      <c r="U2094" s="1">
        <v>43418</v>
      </c>
      <c r="V2094" t="s">
        <v>386</v>
      </c>
      <c r="W2094">
        <v>29784000000</v>
      </c>
      <c r="X2094">
        <v>13785000000</v>
      </c>
      <c r="Y2094" t="s">
        <v>386</v>
      </c>
      <c r="Z2094">
        <v>13785000000</v>
      </c>
      <c r="AA2094">
        <v>4799824</v>
      </c>
      <c r="AB2094" t="b">
        <v>0</v>
      </c>
      <c r="AC2094">
        <v>1</v>
      </c>
    </row>
    <row r="2095" spans="17:29" x14ac:dyDescent="0.2">
      <c r="Q2095" t="s">
        <v>2043</v>
      </c>
      <c r="R2095" t="s">
        <v>2633</v>
      </c>
      <c r="S2095" t="s">
        <v>384</v>
      </c>
      <c r="T2095" s="1">
        <v>44255</v>
      </c>
      <c r="U2095" s="1">
        <v>44255</v>
      </c>
      <c r="V2095" t="s">
        <v>386</v>
      </c>
      <c r="W2095">
        <v>-13785000000</v>
      </c>
      <c r="X2095">
        <v>-13785000000</v>
      </c>
      <c r="Y2095" t="s">
        <v>386</v>
      </c>
      <c r="Z2095">
        <v>-13785000000</v>
      </c>
      <c r="AA2095">
        <v>-4799824</v>
      </c>
      <c r="AB2095" t="b">
        <v>0</v>
      </c>
      <c r="AC2095">
        <v>1</v>
      </c>
    </row>
    <row r="2096" spans="17:29" x14ac:dyDescent="0.2">
      <c r="Q2096" t="s">
        <v>2043</v>
      </c>
      <c r="R2096" t="s">
        <v>2633</v>
      </c>
      <c r="S2096" t="s">
        <v>384</v>
      </c>
      <c r="T2096" s="1">
        <v>43312</v>
      </c>
      <c r="U2096" s="1">
        <v>43418</v>
      </c>
      <c r="V2096" t="s">
        <v>386</v>
      </c>
      <c r="W2096">
        <v>29784000000</v>
      </c>
      <c r="X2096">
        <v>13785000000</v>
      </c>
      <c r="Y2096" t="s">
        <v>386</v>
      </c>
      <c r="Z2096">
        <v>13785000000</v>
      </c>
      <c r="AA2096">
        <v>4799824</v>
      </c>
      <c r="AB2096" t="b">
        <v>0</v>
      </c>
      <c r="AC2096">
        <v>1</v>
      </c>
    </row>
    <row r="2097" spans="17:29" x14ac:dyDescent="0.2">
      <c r="Q2097" t="s">
        <v>2029</v>
      </c>
      <c r="R2097" t="s">
        <v>2633</v>
      </c>
      <c r="S2097" t="s">
        <v>384</v>
      </c>
      <c r="T2097" s="1">
        <v>44255</v>
      </c>
      <c r="U2097" s="1">
        <v>44255</v>
      </c>
      <c r="V2097" t="s">
        <v>386</v>
      </c>
      <c r="W2097">
        <v>-13785000000</v>
      </c>
      <c r="X2097">
        <v>-13785000000</v>
      </c>
      <c r="Y2097" t="s">
        <v>386</v>
      </c>
      <c r="Z2097">
        <v>-13785000000</v>
      </c>
      <c r="AA2097">
        <v>-4799824</v>
      </c>
      <c r="AB2097" t="b">
        <v>0</v>
      </c>
      <c r="AC2097">
        <v>1</v>
      </c>
    </row>
    <row r="2098" spans="17:29" x14ac:dyDescent="0.2">
      <c r="Q2098" t="s">
        <v>2029</v>
      </c>
      <c r="R2098" t="s">
        <v>2633</v>
      </c>
      <c r="S2098" t="s">
        <v>384</v>
      </c>
      <c r="T2098" s="1">
        <v>43312</v>
      </c>
      <c r="U2098" s="1">
        <v>43418</v>
      </c>
      <c r="V2098" t="s">
        <v>386</v>
      </c>
      <c r="W2098">
        <v>29784000000</v>
      </c>
      <c r="X2098">
        <v>13785000000</v>
      </c>
      <c r="Y2098" t="s">
        <v>386</v>
      </c>
      <c r="Z2098">
        <v>13785000000</v>
      </c>
      <c r="AA2098">
        <v>4799824</v>
      </c>
      <c r="AB2098" t="b">
        <v>0</v>
      </c>
      <c r="AC2098">
        <v>1</v>
      </c>
    </row>
    <row r="2099" spans="17:29" x14ac:dyDescent="0.2">
      <c r="Q2099" t="s">
        <v>2029</v>
      </c>
      <c r="R2099" t="s">
        <v>2633</v>
      </c>
      <c r="S2099" t="s">
        <v>384</v>
      </c>
      <c r="T2099" s="1">
        <v>44255</v>
      </c>
      <c r="U2099" s="1">
        <v>44255</v>
      </c>
      <c r="V2099" t="s">
        <v>386</v>
      </c>
      <c r="W2099">
        <v>-13785000000</v>
      </c>
      <c r="X2099">
        <v>-13785000000</v>
      </c>
      <c r="Y2099" t="s">
        <v>386</v>
      </c>
      <c r="Z2099">
        <v>-13785000000</v>
      </c>
      <c r="AA2099">
        <v>-4799824</v>
      </c>
      <c r="AB2099" t="b">
        <v>0</v>
      </c>
      <c r="AC2099">
        <v>1</v>
      </c>
    </row>
    <row r="2100" spans="17:29" x14ac:dyDescent="0.2">
      <c r="Q2100" t="s">
        <v>2029</v>
      </c>
      <c r="R2100" t="s">
        <v>2633</v>
      </c>
      <c r="S2100" t="s">
        <v>384</v>
      </c>
      <c r="T2100" s="1">
        <v>43312</v>
      </c>
      <c r="U2100" s="1">
        <v>43418</v>
      </c>
      <c r="V2100" t="s">
        <v>386</v>
      </c>
      <c r="W2100">
        <v>29784000000</v>
      </c>
      <c r="X2100">
        <v>13785000000</v>
      </c>
      <c r="Y2100" t="s">
        <v>386</v>
      </c>
      <c r="Z2100">
        <v>13785000000</v>
      </c>
      <c r="AA2100">
        <v>4799824</v>
      </c>
      <c r="AB2100" t="b">
        <v>0</v>
      </c>
      <c r="AC2100">
        <v>1</v>
      </c>
    </row>
    <row r="2101" spans="17:29" x14ac:dyDescent="0.2">
      <c r="Q2101" t="s">
        <v>2043</v>
      </c>
      <c r="R2101" t="s">
        <v>2634</v>
      </c>
      <c r="S2101" t="s">
        <v>384</v>
      </c>
      <c r="T2101" s="1">
        <v>44469</v>
      </c>
      <c r="U2101" s="1">
        <v>44469</v>
      </c>
      <c r="V2101" t="s">
        <v>386</v>
      </c>
      <c r="W2101">
        <v>-22933500000</v>
      </c>
      <c r="X2101">
        <v>-22933500000</v>
      </c>
      <c r="Y2101" t="s">
        <v>386</v>
      </c>
      <c r="Z2101">
        <v>-22933500000</v>
      </c>
      <c r="AA2101">
        <v>-7985257</v>
      </c>
      <c r="AB2101" t="b">
        <v>0</v>
      </c>
      <c r="AC2101">
        <v>1</v>
      </c>
    </row>
    <row r="2102" spans="17:29" x14ac:dyDescent="0.2">
      <c r="Q2102" t="s">
        <v>2043</v>
      </c>
      <c r="R2102" t="s">
        <v>2634</v>
      </c>
      <c r="S2102" t="s">
        <v>384</v>
      </c>
      <c r="T2102" s="1">
        <v>43347</v>
      </c>
      <c r="U2102" s="1">
        <v>43420</v>
      </c>
      <c r="V2102" t="s">
        <v>386</v>
      </c>
      <c r="W2102">
        <v>25150000000</v>
      </c>
      <c r="X2102">
        <v>22933500000</v>
      </c>
      <c r="Y2102" t="s">
        <v>386</v>
      </c>
      <c r="Z2102">
        <v>22933500000</v>
      </c>
      <c r="AA2102">
        <v>7985257</v>
      </c>
      <c r="AB2102" t="b">
        <v>0</v>
      </c>
      <c r="AC2102">
        <v>1</v>
      </c>
    </row>
    <row r="2103" spans="17:29" x14ac:dyDescent="0.2">
      <c r="Q2103" t="s">
        <v>2043</v>
      </c>
      <c r="R2103" t="s">
        <v>2634</v>
      </c>
      <c r="S2103" t="s">
        <v>384</v>
      </c>
      <c r="T2103" s="1">
        <v>44469</v>
      </c>
      <c r="U2103" s="1">
        <v>44469</v>
      </c>
      <c r="V2103" t="s">
        <v>386</v>
      </c>
      <c r="W2103">
        <v>-22933500000</v>
      </c>
      <c r="X2103">
        <v>-22933500000</v>
      </c>
      <c r="Y2103" t="s">
        <v>386</v>
      </c>
      <c r="Z2103">
        <v>-22933500000</v>
      </c>
      <c r="AA2103">
        <v>-7985257</v>
      </c>
      <c r="AB2103" t="b">
        <v>0</v>
      </c>
      <c r="AC2103">
        <v>1</v>
      </c>
    </row>
    <row r="2104" spans="17:29" x14ac:dyDescent="0.2">
      <c r="Q2104" t="s">
        <v>2043</v>
      </c>
      <c r="R2104" t="s">
        <v>2634</v>
      </c>
      <c r="S2104" t="s">
        <v>384</v>
      </c>
      <c r="T2104" s="1">
        <v>43347</v>
      </c>
      <c r="U2104" s="1">
        <v>43420</v>
      </c>
      <c r="V2104" t="s">
        <v>386</v>
      </c>
      <c r="W2104">
        <v>25150000000</v>
      </c>
      <c r="X2104">
        <v>22933500000</v>
      </c>
      <c r="Y2104" t="s">
        <v>386</v>
      </c>
      <c r="Z2104">
        <v>22933500000</v>
      </c>
      <c r="AA2104">
        <v>7985257</v>
      </c>
      <c r="AB2104" t="b">
        <v>0</v>
      </c>
      <c r="AC2104">
        <v>1</v>
      </c>
    </row>
    <row r="2105" spans="17:29" x14ac:dyDescent="0.2">
      <c r="Q2105" t="s">
        <v>2029</v>
      </c>
      <c r="R2105" t="s">
        <v>2634</v>
      </c>
      <c r="S2105" t="s">
        <v>384</v>
      </c>
      <c r="T2105" s="1">
        <v>44469</v>
      </c>
      <c r="U2105" s="1">
        <v>44469</v>
      </c>
      <c r="V2105" t="s">
        <v>386</v>
      </c>
      <c r="W2105">
        <v>-22933500000</v>
      </c>
      <c r="X2105">
        <v>-22933500000</v>
      </c>
      <c r="Y2105" t="s">
        <v>386</v>
      </c>
      <c r="Z2105">
        <v>-22933500000</v>
      </c>
      <c r="AA2105">
        <v>-7985257</v>
      </c>
      <c r="AB2105" t="b">
        <v>0</v>
      </c>
      <c r="AC2105">
        <v>1</v>
      </c>
    </row>
    <row r="2106" spans="17:29" x14ac:dyDescent="0.2">
      <c r="Q2106" t="s">
        <v>2029</v>
      </c>
      <c r="R2106" t="s">
        <v>2634</v>
      </c>
      <c r="S2106" t="s">
        <v>384</v>
      </c>
      <c r="T2106" s="1">
        <v>43347</v>
      </c>
      <c r="U2106" s="1">
        <v>43420</v>
      </c>
      <c r="V2106" t="s">
        <v>386</v>
      </c>
      <c r="W2106">
        <v>25150000000</v>
      </c>
      <c r="X2106">
        <v>22933500000</v>
      </c>
      <c r="Y2106" t="s">
        <v>386</v>
      </c>
      <c r="Z2106">
        <v>22933500000</v>
      </c>
      <c r="AA2106">
        <v>7985257</v>
      </c>
      <c r="AB2106" t="b">
        <v>0</v>
      </c>
      <c r="AC2106">
        <v>1</v>
      </c>
    </row>
    <row r="2107" spans="17:29" x14ac:dyDescent="0.2">
      <c r="Q2107" t="s">
        <v>2029</v>
      </c>
      <c r="R2107" t="s">
        <v>2634</v>
      </c>
      <c r="S2107" t="s">
        <v>384</v>
      </c>
      <c r="T2107" s="1">
        <v>44469</v>
      </c>
      <c r="U2107" s="1">
        <v>44469</v>
      </c>
      <c r="V2107" t="s">
        <v>386</v>
      </c>
      <c r="W2107">
        <v>-22933500000</v>
      </c>
      <c r="X2107">
        <v>-22933500000</v>
      </c>
      <c r="Y2107" t="s">
        <v>386</v>
      </c>
      <c r="Z2107">
        <v>-22933500000</v>
      </c>
      <c r="AA2107">
        <v>-7985257</v>
      </c>
      <c r="AB2107" t="b">
        <v>0</v>
      </c>
      <c r="AC2107">
        <v>1</v>
      </c>
    </row>
    <row r="2108" spans="17:29" x14ac:dyDescent="0.2">
      <c r="Q2108" t="s">
        <v>2029</v>
      </c>
      <c r="R2108" t="s">
        <v>2634</v>
      </c>
      <c r="S2108" t="s">
        <v>384</v>
      </c>
      <c r="T2108" s="1">
        <v>43347</v>
      </c>
      <c r="U2108" s="1">
        <v>43420</v>
      </c>
      <c r="V2108" t="s">
        <v>386</v>
      </c>
      <c r="W2108">
        <v>25150000000</v>
      </c>
      <c r="X2108">
        <v>22933500000</v>
      </c>
      <c r="Y2108" t="s">
        <v>386</v>
      </c>
      <c r="Z2108">
        <v>22933500000</v>
      </c>
      <c r="AA2108">
        <v>7985257</v>
      </c>
      <c r="AB2108" t="b">
        <v>0</v>
      </c>
      <c r="AC2108">
        <v>1</v>
      </c>
    </row>
    <row r="2109" spans="17:29" x14ac:dyDescent="0.2">
      <c r="Q2109" t="s">
        <v>2043</v>
      </c>
      <c r="R2109" t="s">
        <v>2635</v>
      </c>
      <c r="S2109" t="s">
        <v>384</v>
      </c>
      <c r="T2109" s="1">
        <v>43462</v>
      </c>
      <c r="U2109" s="1">
        <v>43815</v>
      </c>
      <c r="V2109" t="s">
        <v>386</v>
      </c>
      <c r="W2109">
        <v>90000000000</v>
      </c>
      <c r="X2109">
        <v>16250000000</v>
      </c>
      <c r="Y2109" t="s">
        <v>386</v>
      </c>
      <c r="Z2109">
        <v>16250000000</v>
      </c>
      <c r="AA2109">
        <v>5658117</v>
      </c>
      <c r="AB2109" t="b">
        <v>0</v>
      </c>
      <c r="AC2109">
        <v>1</v>
      </c>
    </row>
    <row r="2110" spans="17:29" x14ac:dyDescent="0.2">
      <c r="Q2110" t="s">
        <v>2043</v>
      </c>
      <c r="R2110" t="s">
        <v>2635</v>
      </c>
      <c r="S2110" t="s">
        <v>384</v>
      </c>
      <c r="T2110" s="1">
        <v>43462</v>
      </c>
      <c r="U2110" s="1">
        <v>43815</v>
      </c>
      <c r="V2110" t="s">
        <v>386</v>
      </c>
      <c r="W2110">
        <v>90000000000</v>
      </c>
      <c r="X2110">
        <v>16250000000</v>
      </c>
      <c r="Y2110" t="s">
        <v>386</v>
      </c>
      <c r="Z2110">
        <v>16250000000</v>
      </c>
      <c r="AA2110">
        <v>5658117</v>
      </c>
      <c r="AB2110" t="b">
        <v>0</v>
      </c>
      <c r="AC2110">
        <v>1</v>
      </c>
    </row>
    <row r="2111" spans="17:29" x14ac:dyDescent="0.2">
      <c r="Q2111" t="s">
        <v>2029</v>
      </c>
      <c r="R2111" t="s">
        <v>2635</v>
      </c>
      <c r="S2111" t="s">
        <v>384</v>
      </c>
      <c r="T2111" s="1">
        <v>43462</v>
      </c>
      <c r="U2111" s="1">
        <v>43815</v>
      </c>
      <c r="V2111" t="s">
        <v>386</v>
      </c>
      <c r="W2111">
        <v>90000000000</v>
      </c>
      <c r="X2111">
        <v>16250000000</v>
      </c>
      <c r="Y2111" t="s">
        <v>386</v>
      </c>
      <c r="Z2111">
        <v>16250000000</v>
      </c>
      <c r="AA2111">
        <v>5658117</v>
      </c>
      <c r="AB2111" t="b">
        <v>0</v>
      </c>
      <c r="AC2111">
        <v>1</v>
      </c>
    </row>
    <row r="2112" spans="17:29" x14ac:dyDescent="0.2">
      <c r="Q2112" t="s">
        <v>2029</v>
      </c>
      <c r="R2112" t="s">
        <v>2635</v>
      </c>
      <c r="S2112" t="s">
        <v>384</v>
      </c>
      <c r="T2112" s="1">
        <v>43462</v>
      </c>
      <c r="U2112" s="1">
        <v>43815</v>
      </c>
      <c r="V2112" t="s">
        <v>386</v>
      </c>
      <c r="W2112">
        <v>90000000000</v>
      </c>
      <c r="X2112">
        <v>16250000000</v>
      </c>
      <c r="Y2112" t="s">
        <v>386</v>
      </c>
      <c r="Z2112">
        <v>16250000000</v>
      </c>
      <c r="AA2112">
        <v>5658117</v>
      </c>
      <c r="AB2112" t="b">
        <v>0</v>
      </c>
      <c r="AC2112">
        <v>1</v>
      </c>
    </row>
    <row r="2113" spans="17:29" x14ac:dyDescent="0.2">
      <c r="Q2113" t="s">
        <v>2043</v>
      </c>
      <c r="R2113" t="s">
        <v>2636</v>
      </c>
      <c r="S2113" t="s">
        <v>384</v>
      </c>
      <c r="T2113" s="1">
        <v>44208</v>
      </c>
      <c r="U2113" s="1">
        <v>44403</v>
      </c>
      <c r="V2113" t="s">
        <v>386</v>
      </c>
      <c r="W2113">
        <v>44140000000</v>
      </c>
      <c r="X2113">
        <v>16946586345</v>
      </c>
      <c r="Y2113" t="s">
        <v>386</v>
      </c>
      <c r="Z2113">
        <v>16946586345</v>
      </c>
      <c r="AA2113">
        <v>5900663</v>
      </c>
      <c r="AB2113" t="b">
        <v>0</v>
      </c>
      <c r="AC2113">
        <v>1</v>
      </c>
    </row>
    <row r="2114" spans="17:29" x14ac:dyDescent="0.2">
      <c r="Q2114" t="s">
        <v>2043</v>
      </c>
      <c r="R2114" t="s">
        <v>2636</v>
      </c>
      <c r="S2114" t="s">
        <v>384</v>
      </c>
      <c r="T2114" s="1">
        <v>44208</v>
      </c>
      <c r="U2114" s="1">
        <v>44403</v>
      </c>
      <c r="V2114" t="s">
        <v>386</v>
      </c>
      <c r="W2114">
        <v>44140000000</v>
      </c>
      <c r="X2114">
        <v>16946586345</v>
      </c>
      <c r="Y2114" t="s">
        <v>386</v>
      </c>
      <c r="Z2114">
        <v>16946586345</v>
      </c>
      <c r="AA2114">
        <v>5900663</v>
      </c>
      <c r="AB2114" t="b">
        <v>0</v>
      </c>
      <c r="AC2114">
        <v>1</v>
      </c>
    </row>
    <row r="2115" spans="17:29" x14ac:dyDescent="0.2">
      <c r="Q2115" t="s">
        <v>2029</v>
      </c>
      <c r="R2115" t="s">
        <v>2636</v>
      </c>
      <c r="S2115" t="s">
        <v>384</v>
      </c>
      <c r="T2115" s="1">
        <v>44208</v>
      </c>
      <c r="U2115" s="1">
        <v>44403</v>
      </c>
      <c r="V2115" t="s">
        <v>386</v>
      </c>
      <c r="W2115">
        <v>44140000000</v>
      </c>
      <c r="X2115">
        <v>16946586345</v>
      </c>
      <c r="Y2115" t="s">
        <v>386</v>
      </c>
      <c r="Z2115">
        <v>16946586345</v>
      </c>
      <c r="AA2115">
        <v>5900663</v>
      </c>
      <c r="AB2115" t="b">
        <v>0</v>
      </c>
      <c r="AC2115">
        <v>1</v>
      </c>
    </row>
    <row r="2116" spans="17:29" x14ac:dyDescent="0.2">
      <c r="Q2116" t="s">
        <v>2029</v>
      </c>
      <c r="R2116" t="s">
        <v>2636</v>
      </c>
      <c r="S2116" t="s">
        <v>384</v>
      </c>
      <c r="T2116" s="1">
        <v>44208</v>
      </c>
      <c r="U2116" s="1">
        <v>44403</v>
      </c>
      <c r="V2116" t="s">
        <v>386</v>
      </c>
      <c r="W2116">
        <v>44140000000</v>
      </c>
      <c r="X2116">
        <v>16946586345</v>
      </c>
      <c r="Y2116" t="s">
        <v>386</v>
      </c>
      <c r="Z2116">
        <v>16946586345</v>
      </c>
      <c r="AA2116">
        <v>5900663</v>
      </c>
      <c r="AB2116" t="b">
        <v>0</v>
      </c>
      <c r="AC2116">
        <v>1</v>
      </c>
    </row>
    <row r="2117" spans="17:29" x14ac:dyDescent="0.2">
      <c r="Q2117" t="s">
        <v>2043</v>
      </c>
      <c r="R2117" t="s">
        <v>2637</v>
      </c>
      <c r="S2117" t="s">
        <v>384</v>
      </c>
      <c r="T2117" s="1">
        <v>44561</v>
      </c>
      <c r="U2117" s="1">
        <v>44561</v>
      </c>
      <c r="V2117" t="s">
        <v>386</v>
      </c>
      <c r="W2117">
        <v>-21541000000</v>
      </c>
      <c r="X2117">
        <v>-21541000000</v>
      </c>
      <c r="Y2117" t="s">
        <v>386</v>
      </c>
      <c r="Z2117">
        <v>-21541000000</v>
      </c>
      <c r="AA2117">
        <v>-7500400</v>
      </c>
      <c r="AB2117" t="b">
        <v>0</v>
      </c>
      <c r="AC2117">
        <v>1</v>
      </c>
    </row>
    <row r="2118" spans="17:29" x14ac:dyDescent="0.2">
      <c r="Q2118" t="s">
        <v>2043</v>
      </c>
      <c r="R2118" t="s">
        <v>2637</v>
      </c>
      <c r="S2118" t="s">
        <v>384</v>
      </c>
      <c r="T2118" s="1">
        <v>43711</v>
      </c>
      <c r="U2118" s="1">
        <v>44075</v>
      </c>
      <c r="V2118" t="s">
        <v>386</v>
      </c>
      <c r="W2118">
        <v>49690000000</v>
      </c>
      <c r="X2118">
        <v>21541000000</v>
      </c>
      <c r="Y2118" t="s">
        <v>386</v>
      </c>
      <c r="Z2118">
        <v>21541000000</v>
      </c>
      <c r="AA2118">
        <v>7500400</v>
      </c>
      <c r="AB2118" t="b">
        <v>0</v>
      </c>
      <c r="AC2118">
        <v>1</v>
      </c>
    </row>
    <row r="2119" spans="17:29" x14ac:dyDescent="0.2">
      <c r="Q2119" t="s">
        <v>2043</v>
      </c>
      <c r="R2119" t="s">
        <v>2637</v>
      </c>
      <c r="S2119" t="s">
        <v>384</v>
      </c>
      <c r="T2119" s="1">
        <v>44561</v>
      </c>
      <c r="U2119" s="1">
        <v>44561</v>
      </c>
      <c r="V2119" t="s">
        <v>386</v>
      </c>
      <c r="W2119">
        <v>-21541000000</v>
      </c>
      <c r="X2119">
        <v>-21541000000</v>
      </c>
      <c r="Y2119" t="s">
        <v>386</v>
      </c>
      <c r="Z2119">
        <v>-21541000000</v>
      </c>
      <c r="AA2119">
        <v>-7500400</v>
      </c>
      <c r="AB2119" t="b">
        <v>0</v>
      </c>
      <c r="AC2119">
        <v>1</v>
      </c>
    </row>
    <row r="2120" spans="17:29" x14ac:dyDescent="0.2">
      <c r="Q2120" t="s">
        <v>2043</v>
      </c>
      <c r="R2120" t="s">
        <v>2637</v>
      </c>
      <c r="S2120" t="s">
        <v>384</v>
      </c>
      <c r="T2120" s="1">
        <v>43711</v>
      </c>
      <c r="U2120" s="1">
        <v>44075</v>
      </c>
      <c r="V2120" t="s">
        <v>386</v>
      </c>
      <c r="W2120">
        <v>49690000000</v>
      </c>
      <c r="X2120">
        <v>21541000000</v>
      </c>
      <c r="Y2120" t="s">
        <v>386</v>
      </c>
      <c r="Z2120">
        <v>21541000000</v>
      </c>
      <c r="AA2120">
        <v>7500400</v>
      </c>
      <c r="AB2120" t="b">
        <v>0</v>
      </c>
      <c r="AC2120">
        <v>1</v>
      </c>
    </row>
    <row r="2121" spans="17:29" x14ac:dyDescent="0.2">
      <c r="Q2121" t="s">
        <v>2029</v>
      </c>
      <c r="R2121" t="s">
        <v>2637</v>
      </c>
      <c r="S2121" t="s">
        <v>384</v>
      </c>
      <c r="T2121" s="1">
        <v>44561</v>
      </c>
      <c r="U2121" s="1">
        <v>44561</v>
      </c>
      <c r="V2121" t="s">
        <v>386</v>
      </c>
      <c r="W2121">
        <v>-21541000000</v>
      </c>
      <c r="X2121">
        <v>-21541000000</v>
      </c>
      <c r="Y2121" t="s">
        <v>386</v>
      </c>
      <c r="Z2121">
        <v>-21541000000</v>
      </c>
      <c r="AA2121">
        <v>-7500400</v>
      </c>
      <c r="AB2121" t="b">
        <v>0</v>
      </c>
      <c r="AC2121">
        <v>1</v>
      </c>
    </row>
    <row r="2122" spans="17:29" x14ac:dyDescent="0.2">
      <c r="Q2122" t="s">
        <v>2029</v>
      </c>
      <c r="R2122" t="s">
        <v>2637</v>
      </c>
      <c r="S2122" t="s">
        <v>384</v>
      </c>
      <c r="T2122" s="1">
        <v>43711</v>
      </c>
      <c r="U2122" s="1">
        <v>44075</v>
      </c>
      <c r="V2122" t="s">
        <v>386</v>
      </c>
      <c r="W2122">
        <v>49690000000</v>
      </c>
      <c r="X2122">
        <v>21541000000</v>
      </c>
      <c r="Y2122" t="s">
        <v>386</v>
      </c>
      <c r="Z2122">
        <v>21541000000</v>
      </c>
      <c r="AA2122">
        <v>7500400</v>
      </c>
      <c r="AB2122" t="b">
        <v>0</v>
      </c>
      <c r="AC2122">
        <v>1</v>
      </c>
    </row>
    <row r="2123" spans="17:29" x14ac:dyDescent="0.2">
      <c r="Q2123" t="s">
        <v>2029</v>
      </c>
      <c r="R2123" t="s">
        <v>2637</v>
      </c>
      <c r="S2123" t="s">
        <v>384</v>
      </c>
      <c r="T2123" s="1">
        <v>44561</v>
      </c>
      <c r="U2123" s="1">
        <v>44561</v>
      </c>
      <c r="V2123" t="s">
        <v>386</v>
      </c>
      <c r="W2123">
        <v>-21541000000</v>
      </c>
      <c r="X2123">
        <v>-21541000000</v>
      </c>
      <c r="Y2123" t="s">
        <v>386</v>
      </c>
      <c r="Z2123">
        <v>-21541000000</v>
      </c>
      <c r="AA2123">
        <v>-7500400</v>
      </c>
      <c r="AB2123" t="b">
        <v>0</v>
      </c>
      <c r="AC2123">
        <v>1</v>
      </c>
    </row>
    <row r="2124" spans="17:29" x14ac:dyDescent="0.2">
      <c r="Q2124" t="s">
        <v>2029</v>
      </c>
      <c r="R2124" t="s">
        <v>2637</v>
      </c>
      <c r="S2124" t="s">
        <v>384</v>
      </c>
      <c r="T2124" s="1">
        <v>43711</v>
      </c>
      <c r="U2124" s="1">
        <v>44075</v>
      </c>
      <c r="V2124" t="s">
        <v>386</v>
      </c>
      <c r="W2124">
        <v>49690000000</v>
      </c>
      <c r="X2124">
        <v>21541000000</v>
      </c>
      <c r="Y2124" t="s">
        <v>386</v>
      </c>
      <c r="Z2124">
        <v>21541000000</v>
      </c>
      <c r="AA2124">
        <v>7500400</v>
      </c>
      <c r="AB2124" t="b">
        <v>0</v>
      </c>
      <c r="AC2124">
        <v>1</v>
      </c>
    </row>
    <row r="2125" spans="17:29" x14ac:dyDescent="0.2">
      <c r="Q2125" t="s">
        <v>2043</v>
      </c>
      <c r="R2125" t="s">
        <v>2638</v>
      </c>
      <c r="S2125" t="s">
        <v>384</v>
      </c>
      <c r="T2125" s="1">
        <v>44561</v>
      </c>
      <c r="U2125" s="1">
        <v>44561</v>
      </c>
      <c r="V2125" t="s">
        <v>386</v>
      </c>
      <c r="W2125">
        <v>-30419000000</v>
      </c>
      <c r="X2125">
        <v>-20083722547</v>
      </c>
      <c r="Y2125" t="s">
        <v>386</v>
      </c>
      <c r="Z2125">
        <v>-20083722547</v>
      </c>
      <c r="AA2125">
        <v>-6992988</v>
      </c>
      <c r="AB2125" t="b">
        <v>0</v>
      </c>
      <c r="AC2125">
        <v>1</v>
      </c>
    </row>
    <row r="2126" spans="17:29" x14ac:dyDescent="0.2">
      <c r="Q2126" t="s">
        <v>2043</v>
      </c>
      <c r="R2126" t="s">
        <v>2638</v>
      </c>
      <c r="S2126" t="s">
        <v>384</v>
      </c>
      <c r="T2126" s="1">
        <v>43914</v>
      </c>
      <c r="U2126" s="1">
        <v>44071</v>
      </c>
      <c r="V2126" t="s">
        <v>386</v>
      </c>
      <c r="W2126">
        <v>37752000000</v>
      </c>
      <c r="X2126">
        <v>30419000000</v>
      </c>
      <c r="Y2126" t="s">
        <v>386</v>
      </c>
      <c r="Z2126">
        <v>30419000000</v>
      </c>
      <c r="AA2126">
        <v>10591647</v>
      </c>
      <c r="AB2126" t="b">
        <v>0</v>
      </c>
      <c r="AC2126">
        <v>1</v>
      </c>
    </row>
    <row r="2127" spans="17:29" x14ac:dyDescent="0.2">
      <c r="Q2127" t="s">
        <v>2043</v>
      </c>
      <c r="R2127" t="s">
        <v>2638</v>
      </c>
      <c r="S2127" t="s">
        <v>384</v>
      </c>
      <c r="T2127" s="1">
        <v>44561</v>
      </c>
      <c r="U2127" s="1">
        <v>44561</v>
      </c>
      <c r="V2127" t="s">
        <v>386</v>
      </c>
      <c r="W2127">
        <v>-30419000000</v>
      </c>
      <c r="X2127">
        <v>-20083722547</v>
      </c>
      <c r="Y2127" t="s">
        <v>386</v>
      </c>
      <c r="Z2127">
        <v>-20083722547</v>
      </c>
      <c r="AA2127">
        <v>-6992988</v>
      </c>
      <c r="AB2127" t="b">
        <v>0</v>
      </c>
      <c r="AC2127">
        <v>1</v>
      </c>
    </row>
    <row r="2128" spans="17:29" x14ac:dyDescent="0.2">
      <c r="Q2128" t="s">
        <v>2043</v>
      </c>
      <c r="R2128" t="s">
        <v>2638</v>
      </c>
      <c r="S2128" t="s">
        <v>384</v>
      </c>
      <c r="T2128" s="1">
        <v>43914</v>
      </c>
      <c r="U2128" s="1">
        <v>44071</v>
      </c>
      <c r="V2128" t="s">
        <v>386</v>
      </c>
      <c r="W2128">
        <v>37752000000</v>
      </c>
      <c r="X2128">
        <v>30419000000</v>
      </c>
      <c r="Y2128" t="s">
        <v>386</v>
      </c>
      <c r="Z2128">
        <v>30419000000</v>
      </c>
      <c r="AA2128">
        <v>10591647</v>
      </c>
      <c r="AB2128" t="b">
        <v>0</v>
      </c>
      <c r="AC2128">
        <v>1</v>
      </c>
    </row>
    <row r="2129" spans="17:29" x14ac:dyDescent="0.2">
      <c r="Q2129" t="s">
        <v>2029</v>
      </c>
      <c r="R2129" t="s">
        <v>2638</v>
      </c>
      <c r="S2129" t="s">
        <v>384</v>
      </c>
      <c r="T2129" s="1">
        <v>44561</v>
      </c>
      <c r="U2129" s="1">
        <v>44561</v>
      </c>
      <c r="V2129" t="s">
        <v>386</v>
      </c>
      <c r="W2129">
        <v>-30419000000</v>
      </c>
      <c r="X2129">
        <v>-20083722547</v>
      </c>
      <c r="Y2129" t="s">
        <v>386</v>
      </c>
      <c r="Z2129">
        <v>-20083722547</v>
      </c>
      <c r="AA2129">
        <v>-6992988</v>
      </c>
      <c r="AB2129" t="b">
        <v>0</v>
      </c>
      <c r="AC2129">
        <v>1</v>
      </c>
    </row>
    <row r="2130" spans="17:29" x14ac:dyDescent="0.2">
      <c r="Q2130" t="s">
        <v>2029</v>
      </c>
      <c r="R2130" t="s">
        <v>2638</v>
      </c>
      <c r="S2130" t="s">
        <v>384</v>
      </c>
      <c r="T2130" s="1">
        <v>43914</v>
      </c>
      <c r="U2130" s="1">
        <v>44071</v>
      </c>
      <c r="V2130" t="s">
        <v>386</v>
      </c>
      <c r="W2130">
        <v>37752000000</v>
      </c>
      <c r="X2130">
        <v>30419000000</v>
      </c>
      <c r="Y2130" t="s">
        <v>386</v>
      </c>
      <c r="Z2130">
        <v>30419000000</v>
      </c>
      <c r="AA2130">
        <v>10591647</v>
      </c>
      <c r="AB2130" t="b">
        <v>0</v>
      </c>
      <c r="AC2130">
        <v>1</v>
      </c>
    </row>
    <row r="2131" spans="17:29" x14ac:dyDescent="0.2">
      <c r="Q2131" t="s">
        <v>2029</v>
      </c>
      <c r="R2131" t="s">
        <v>2638</v>
      </c>
      <c r="S2131" t="s">
        <v>384</v>
      </c>
      <c r="T2131" s="1">
        <v>44561</v>
      </c>
      <c r="U2131" s="1">
        <v>44561</v>
      </c>
      <c r="V2131" t="s">
        <v>386</v>
      </c>
      <c r="W2131">
        <v>-30419000000</v>
      </c>
      <c r="X2131">
        <v>-20083722547</v>
      </c>
      <c r="Y2131" t="s">
        <v>386</v>
      </c>
      <c r="Z2131">
        <v>-20083722547</v>
      </c>
      <c r="AA2131">
        <v>-6992988</v>
      </c>
      <c r="AB2131" t="b">
        <v>0</v>
      </c>
      <c r="AC2131">
        <v>1</v>
      </c>
    </row>
    <row r="2132" spans="17:29" x14ac:dyDescent="0.2">
      <c r="Q2132" t="s">
        <v>2029</v>
      </c>
      <c r="R2132" t="s">
        <v>2638</v>
      </c>
      <c r="S2132" t="s">
        <v>384</v>
      </c>
      <c r="T2132" s="1">
        <v>43914</v>
      </c>
      <c r="U2132" s="1">
        <v>44071</v>
      </c>
      <c r="V2132" t="s">
        <v>386</v>
      </c>
      <c r="W2132">
        <v>37752000000</v>
      </c>
      <c r="X2132">
        <v>30419000000</v>
      </c>
      <c r="Y2132" t="s">
        <v>386</v>
      </c>
      <c r="Z2132">
        <v>30419000000</v>
      </c>
      <c r="AA2132">
        <v>10591647</v>
      </c>
      <c r="AB2132" t="b">
        <v>0</v>
      </c>
      <c r="AC2132">
        <v>1</v>
      </c>
    </row>
    <row r="2133" spans="17:29" x14ac:dyDescent="0.2">
      <c r="Q2133" t="s">
        <v>2043</v>
      </c>
      <c r="R2133" t="s">
        <v>2639</v>
      </c>
      <c r="S2133" t="s">
        <v>384</v>
      </c>
      <c r="T2133" s="1">
        <v>44561</v>
      </c>
      <c r="U2133" s="1">
        <v>44561</v>
      </c>
      <c r="V2133" t="s">
        <v>386</v>
      </c>
      <c r="W2133">
        <v>-10350000000</v>
      </c>
      <c r="X2133">
        <v>-7097112969</v>
      </c>
      <c r="Y2133" t="s">
        <v>386</v>
      </c>
      <c r="Z2133">
        <v>-7097112969</v>
      </c>
      <c r="AA2133">
        <v>-2471156</v>
      </c>
      <c r="AB2133" t="b">
        <v>0</v>
      </c>
      <c r="AC2133">
        <v>1</v>
      </c>
    </row>
    <row r="2134" spans="17:29" x14ac:dyDescent="0.2">
      <c r="Q2134" t="s">
        <v>2043</v>
      </c>
      <c r="R2134" t="s">
        <v>2639</v>
      </c>
      <c r="S2134" t="s">
        <v>384</v>
      </c>
      <c r="T2134" s="1">
        <v>43672</v>
      </c>
      <c r="U2134" s="1">
        <v>44096</v>
      </c>
      <c r="V2134" t="s">
        <v>386</v>
      </c>
      <c r="W2134">
        <v>19500000000</v>
      </c>
      <c r="X2134">
        <v>10350000000</v>
      </c>
      <c r="Y2134" t="s">
        <v>386</v>
      </c>
      <c r="Z2134">
        <v>10350000000</v>
      </c>
      <c r="AA2134">
        <v>3603785</v>
      </c>
      <c r="AB2134" t="b">
        <v>0</v>
      </c>
      <c r="AC2134">
        <v>1</v>
      </c>
    </row>
    <row r="2135" spans="17:29" x14ac:dyDescent="0.2">
      <c r="Q2135" t="s">
        <v>2043</v>
      </c>
      <c r="R2135" t="s">
        <v>2639</v>
      </c>
      <c r="S2135" t="s">
        <v>384</v>
      </c>
      <c r="T2135" s="1">
        <v>44561</v>
      </c>
      <c r="U2135" s="1">
        <v>44561</v>
      </c>
      <c r="V2135" t="s">
        <v>386</v>
      </c>
      <c r="W2135">
        <v>-10350000000</v>
      </c>
      <c r="X2135">
        <v>-7097112969</v>
      </c>
      <c r="Y2135" t="s">
        <v>386</v>
      </c>
      <c r="Z2135">
        <v>-7097112969</v>
      </c>
      <c r="AA2135">
        <v>-2471156</v>
      </c>
      <c r="AB2135" t="b">
        <v>0</v>
      </c>
      <c r="AC2135">
        <v>1</v>
      </c>
    </row>
    <row r="2136" spans="17:29" x14ac:dyDescent="0.2">
      <c r="Q2136" t="s">
        <v>2043</v>
      </c>
      <c r="R2136" t="s">
        <v>2639</v>
      </c>
      <c r="S2136" t="s">
        <v>384</v>
      </c>
      <c r="T2136" s="1">
        <v>43672</v>
      </c>
      <c r="U2136" s="1">
        <v>44096</v>
      </c>
      <c r="V2136" t="s">
        <v>386</v>
      </c>
      <c r="W2136">
        <v>19500000000</v>
      </c>
      <c r="X2136">
        <v>10350000000</v>
      </c>
      <c r="Y2136" t="s">
        <v>386</v>
      </c>
      <c r="Z2136">
        <v>10350000000</v>
      </c>
      <c r="AA2136">
        <v>3603785</v>
      </c>
      <c r="AB2136" t="b">
        <v>0</v>
      </c>
      <c r="AC2136">
        <v>1</v>
      </c>
    </row>
    <row r="2137" spans="17:29" x14ac:dyDescent="0.2">
      <c r="Q2137" t="s">
        <v>2029</v>
      </c>
      <c r="R2137" t="s">
        <v>2639</v>
      </c>
      <c r="S2137" t="s">
        <v>384</v>
      </c>
      <c r="T2137" s="1">
        <v>44561</v>
      </c>
      <c r="U2137" s="1">
        <v>44561</v>
      </c>
      <c r="V2137" t="s">
        <v>386</v>
      </c>
      <c r="W2137">
        <v>-10350000000</v>
      </c>
      <c r="X2137">
        <v>-7097112969</v>
      </c>
      <c r="Y2137" t="s">
        <v>386</v>
      </c>
      <c r="Z2137">
        <v>-7097112969</v>
      </c>
      <c r="AA2137">
        <v>-2471156</v>
      </c>
      <c r="AB2137" t="b">
        <v>0</v>
      </c>
      <c r="AC2137">
        <v>1</v>
      </c>
    </row>
    <row r="2138" spans="17:29" x14ac:dyDescent="0.2">
      <c r="Q2138" t="s">
        <v>2029</v>
      </c>
      <c r="R2138" t="s">
        <v>2639</v>
      </c>
      <c r="S2138" t="s">
        <v>384</v>
      </c>
      <c r="T2138" s="1">
        <v>43672</v>
      </c>
      <c r="U2138" s="1">
        <v>44096</v>
      </c>
      <c r="V2138" t="s">
        <v>386</v>
      </c>
      <c r="W2138">
        <v>19500000000</v>
      </c>
      <c r="X2138">
        <v>10350000000</v>
      </c>
      <c r="Y2138" t="s">
        <v>386</v>
      </c>
      <c r="Z2138">
        <v>10350000000</v>
      </c>
      <c r="AA2138">
        <v>3603785</v>
      </c>
      <c r="AB2138" t="b">
        <v>0</v>
      </c>
      <c r="AC2138">
        <v>1</v>
      </c>
    </row>
    <row r="2139" spans="17:29" x14ac:dyDescent="0.2">
      <c r="Q2139" t="s">
        <v>2029</v>
      </c>
      <c r="R2139" t="s">
        <v>2639</v>
      </c>
      <c r="S2139" t="s">
        <v>384</v>
      </c>
      <c r="T2139" s="1">
        <v>44561</v>
      </c>
      <c r="U2139" s="1">
        <v>44561</v>
      </c>
      <c r="V2139" t="s">
        <v>386</v>
      </c>
      <c r="W2139">
        <v>-10350000000</v>
      </c>
      <c r="X2139">
        <v>-7097112969</v>
      </c>
      <c r="Y2139" t="s">
        <v>386</v>
      </c>
      <c r="Z2139">
        <v>-7097112969</v>
      </c>
      <c r="AA2139">
        <v>-2471156</v>
      </c>
      <c r="AB2139" t="b">
        <v>0</v>
      </c>
      <c r="AC2139">
        <v>1</v>
      </c>
    </row>
    <row r="2140" spans="17:29" x14ac:dyDescent="0.2">
      <c r="Q2140" t="s">
        <v>2029</v>
      </c>
      <c r="R2140" t="s">
        <v>2639</v>
      </c>
      <c r="S2140" t="s">
        <v>384</v>
      </c>
      <c r="T2140" s="1">
        <v>43672</v>
      </c>
      <c r="U2140" s="1">
        <v>44096</v>
      </c>
      <c r="V2140" t="s">
        <v>386</v>
      </c>
      <c r="W2140">
        <v>19500000000</v>
      </c>
      <c r="X2140">
        <v>10350000000</v>
      </c>
      <c r="Y2140" t="s">
        <v>386</v>
      </c>
      <c r="Z2140">
        <v>10350000000</v>
      </c>
      <c r="AA2140">
        <v>3603785</v>
      </c>
      <c r="AB2140" t="b">
        <v>0</v>
      </c>
      <c r="AC2140">
        <v>1</v>
      </c>
    </row>
    <row r="2141" spans="17:29" x14ac:dyDescent="0.2">
      <c r="Q2141" t="s">
        <v>2043</v>
      </c>
      <c r="R2141" t="s">
        <v>2640</v>
      </c>
      <c r="S2141" t="s">
        <v>384</v>
      </c>
      <c r="T2141" s="1">
        <v>44561</v>
      </c>
      <c r="U2141" s="1">
        <v>44561</v>
      </c>
      <c r="V2141" t="s">
        <v>386</v>
      </c>
      <c r="W2141">
        <v>-20454000000</v>
      </c>
      <c r="X2141">
        <v>-19502893958</v>
      </c>
      <c r="Y2141" t="s">
        <v>386</v>
      </c>
      <c r="Z2141">
        <v>-19502893958</v>
      </c>
      <c r="AA2141">
        <v>-6790748</v>
      </c>
      <c r="AB2141" t="b">
        <v>0</v>
      </c>
      <c r="AC2141">
        <v>1</v>
      </c>
    </row>
    <row r="2142" spans="17:29" x14ac:dyDescent="0.2">
      <c r="Q2142" t="s">
        <v>2043</v>
      </c>
      <c r="R2142" t="s">
        <v>2640</v>
      </c>
      <c r="S2142" t="s">
        <v>384</v>
      </c>
      <c r="T2142" s="1">
        <v>43711</v>
      </c>
      <c r="U2142" s="1">
        <v>44102</v>
      </c>
      <c r="V2142" t="s">
        <v>386</v>
      </c>
      <c r="W2142">
        <v>20454000000</v>
      </c>
      <c r="X2142">
        <v>20454000000</v>
      </c>
      <c r="Y2142" t="s">
        <v>386</v>
      </c>
      <c r="Z2142">
        <v>20454000000</v>
      </c>
      <c r="AA2142">
        <v>7121915</v>
      </c>
      <c r="AB2142" t="b">
        <v>0</v>
      </c>
      <c r="AC2142">
        <v>1</v>
      </c>
    </row>
    <row r="2143" spans="17:29" x14ac:dyDescent="0.2">
      <c r="Q2143" t="s">
        <v>2043</v>
      </c>
      <c r="R2143" t="s">
        <v>2640</v>
      </c>
      <c r="S2143" t="s">
        <v>384</v>
      </c>
      <c r="T2143" s="1">
        <v>44561</v>
      </c>
      <c r="U2143" s="1">
        <v>44561</v>
      </c>
      <c r="V2143" t="s">
        <v>386</v>
      </c>
      <c r="W2143">
        <v>-20454000000</v>
      </c>
      <c r="X2143">
        <v>-19502893958</v>
      </c>
      <c r="Y2143" t="s">
        <v>386</v>
      </c>
      <c r="Z2143">
        <v>-19502893958</v>
      </c>
      <c r="AA2143">
        <v>-6790748</v>
      </c>
      <c r="AB2143" t="b">
        <v>0</v>
      </c>
      <c r="AC2143">
        <v>1</v>
      </c>
    </row>
    <row r="2144" spans="17:29" x14ac:dyDescent="0.2">
      <c r="Q2144" t="s">
        <v>2043</v>
      </c>
      <c r="R2144" t="s">
        <v>2640</v>
      </c>
      <c r="S2144" t="s">
        <v>384</v>
      </c>
      <c r="T2144" s="1">
        <v>43711</v>
      </c>
      <c r="U2144" s="1">
        <v>44102</v>
      </c>
      <c r="V2144" t="s">
        <v>386</v>
      </c>
      <c r="W2144">
        <v>20454000000</v>
      </c>
      <c r="X2144">
        <v>20454000000</v>
      </c>
      <c r="Y2144" t="s">
        <v>386</v>
      </c>
      <c r="Z2144">
        <v>20454000000</v>
      </c>
      <c r="AA2144">
        <v>7121915</v>
      </c>
      <c r="AB2144" t="b">
        <v>0</v>
      </c>
      <c r="AC2144">
        <v>1</v>
      </c>
    </row>
    <row r="2145" spans="17:29" x14ac:dyDescent="0.2">
      <c r="Q2145" t="s">
        <v>2029</v>
      </c>
      <c r="R2145" t="s">
        <v>2640</v>
      </c>
      <c r="S2145" t="s">
        <v>384</v>
      </c>
      <c r="T2145" s="1">
        <v>44561</v>
      </c>
      <c r="U2145" s="1">
        <v>44561</v>
      </c>
      <c r="V2145" t="s">
        <v>386</v>
      </c>
      <c r="W2145">
        <v>-20454000000</v>
      </c>
      <c r="X2145">
        <v>-19502893958</v>
      </c>
      <c r="Y2145" t="s">
        <v>386</v>
      </c>
      <c r="Z2145">
        <v>-19502893958</v>
      </c>
      <c r="AA2145">
        <v>-6790748</v>
      </c>
      <c r="AB2145" t="b">
        <v>0</v>
      </c>
      <c r="AC2145">
        <v>1</v>
      </c>
    </row>
    <row r="2146" spans="17:29" x14ac:dyDescent="0.2">
      <c r="Q2146" t="s">
        <v>2029</v>
      </c>
      <c r="R2146" t="s">
        <v>2640</v>
      </c>
      <c r="S2146" t="s">
        <v>384</v>
      </c>
      <c r="T2146" s="1">
        <v>43711</v>
      </c>
      <c r="U2146" s="1">
        <v>44102</v>
      </c>
      <c r="V2146" t="s">
        <v>386</v>
      </c>
      <c r="W2146">
        <v>20454000000</v>
      </c>
      <c r="X2146">
        <v>20454000000</v>
      </c>
      <c r="Y2146" t="s">
        <v>386</v>
      </c>
      <c r="Z2146">
        <v>20454000000</v>
      </c>
      <c r="AA2146">
        <v>7121915</v>
      </c>
      <c r="AB2146" t="b">
        <v>0</v>
      </c>
      <c r="AC2146">
        <v>1</v>
      </c>
    </row>
    <row r="2147" spans="17:29" x14ac:dyDescent="0.2">
      <c r="Q2147" t="s">
        <v>2029</v>
      </c>
      <c r="R2147" t="s">
        <v>2640</v>
      </c>
      <c r="S2147" t="s">
        <v>384</v>
      </c>
      <c r="T2147" s="1">
        <v>44561</v>
      </c>
      <c r="U2147" s="1">
        <v>44561</v>
      </c>
      <c r="V2147" t="s">
        <v>386</v>
      </c>
      <c r="W2147">
        <v>-20454000000</v>
      </c>
      <c r="X2147">
        <v>-19502893958</v>
      </c>
      <c r="Y2147" t="s">
        <v>386</v>
      </c>
      <c r="Z2147">
        <v>-19502893958</v>
      </c>
      <c r="AA2147">
        <v>-6790748</v>
      </c>
      <c r="AB2147" t="b">
        <v>0</v>
      </c>
      <c r="AC2147">
        <v>1</v>
      </c>
    </row>
    <row r="2148" spans="17:29" x14ac:dyDescent="0.2">
      <c r="Q2148" t="s">
        <v>2029</v>
      </c>
      <c r="R2148" t="s">
        <v>2640</v>
      </c>
      <c r="S2148" t="s">
        <v>384</v>
      </c>
      <c r="T2148" s="1">
        <v>43711</v>
      </c>
      <c r="U2148" s="1">
        <v>44102</v>
      </c>
      <c r="V2148" t="s">
        <v>386</v>
      </c>
      <c r="W2148">
        <v>20454000000</v>
      </c>
      <c r="X2148">
        <v>20454000000</v>
      </c>
      <c r="Y2148" t="s">
        <v>386</v>
      </c>
      <c r="Z2148">
        <v>20454000000</v>
      </c>
      <c r="AA2148">
        <v>7121915</v>
      </c>
      <c r="AB2148" t="b">
        <v>0</v>
      </c>
      <c r="AC2148">
        <v>1</v>
      </c>
    </row>
    <row r="2149" spans="17:29" x14ac:dyDescent="0.2">
      <c r="Q2149" t="s">
        <v>2043</v>
      </c>
      <c r="R2149" t="s">
        <v>2641</v>
      </c>
      <c r="S2149" t="s">
        <v>384</v>
      </c>
      <c r="T2149" s="1">
        <v>44561</v>
      </c>
      <c r="U2149" s="1">
        <v>44561</v>
      </c>
      <c r="V2149" t="s">
        <v>386</v>
      </c>
      <c r="W2149">
        <v>-31977822133</v>
      </c>
      <c r="X2149">
        <v>-22619097506</v>
      </c>
      <c r="Y2149" t="s">
        <v>386</v>
      </c>
      <c r="Z2149">
        <v>-22619097506</v>
      </c>
      <c r="AA2149">
        <v>-7875785</v>
      </c>
      <c r="AB2149" t="b">
        <v>0</v>
      </c>
      <c r="AC2149">
        <v>1</v>
      </c>
    </row>
    <row r="2150" spans="17:29" x14ac:dyDescent="0.2">
      <c r="Q2150" t="s">
        <v>2043</v>
      </c>
      <c r="R2150" t="s">
        <v>2641</v>
      </c>
      <c r="S2150" t="s">
        <v>384</v>
      </c>
      <c r="T2150" s="1">
        <v>43733</v>
      </c>
      <c r="U2150" s="1">
        <v>43888</v>
      </c>
      <c r="V2150" t="s">
        <v>386</v>
      </c>
      <c r="W2150">
        <v>39550000000</v>
      </c>
      <c r="X2150">
        <v>31977822133</v>
      </c>
      <c r="Y2150" t="s">
        <v>386</v>
      </c>
      <c r="Z2150">
        <v>31977822133</v>
      </c>
      <c r="AA2150">
        <v>11134416</v>
      </c>
      <c r="AB2150" t="b">
        <v>0</v>
      </c>
      <c r="AC2150">
        <v>1</v>
      </c>
    </row>
    <row r="2151" spans="17:29" x14ac:dyDescent="0.2">
      <c r="Q2151" t="s">
        <v>2043</v>
      </c>
      <c r="R2151" t="s">
        <v>2641</v>
      </c>
      <c r="S2151" t="s">
        <v>384</v>
      </c>
      <c r="T2151" s="1">
        <v>44561</v>
      </c>
      <c r="U2151" s="1">
        <v>44561</v>
      </c>
      <c r="V2151" t="s">
        <v>386</v>
      </c>
      <c r="W2151">
        <v>-31977822133</v>
      </c>
      <c r="X2151">
        <v>-22619097506</v>
      </c>
      <c r="Y2151" t="s">
        <v>386</v>
      </c>
      <c r="Z2151">
        <v>-22619097506</v>
      </c>
      <c r="AA2151">
        <v>-7875785</v>
      </c>
      <c r="AB2151" t="b">
        <v>0</v>
      </c>
      <c r="AC2151">
        <v>1</v>
      </c>
    </row>
    <row r="2152" spans="17:29" x14ac:dyDescent="0.2">
      <c r="Q2152" t="s">
        <v>2043</v>
      </c>
      <c r="R2152" t="s">
        <v>2641</v>
      </c>
      <c r="S2152" t="s">
        <v>384</v>
      </c>
      <c r="T2152" s="1">
        <v>43733</v>
      </c>
      <c r="U2152" s="1">
        <v>43888</v>
      </c>
      <c r="V2152" t="s">
        <v>386</v>
      </c>
      <c r="W2152">
        <v>39550000000</v>
      </c>
      <c r="X2152">
        <v>31977822133</v>
      </c>
      <c r="Y2152" t="s">
        <v>386</v>
      </c>
      <c r="Z2152">
        <v>31977822133</v>
      </c>
      <c r="AA2152">
        <v>11134416</v>
      </c>
      <c r="AB2152" t="b">
        <v>0</v>
      </c>
      <c r="AC2152">
        <v>1</v>
      </c>
    </row>
    <row r="2153" spans="17:29" x14ac:dyDescent="0.2">
      <c r="Q2153" t="s">
        <v>2029</v>
      </c>
      <c r="R2153" t="s">
        <v>2641</v>
      </c>
      <c r="S2153" t="s">
        <v>384</v>
      </c>
      <c r="T2153" s="1">
        <v>44561</v>
      </c>
      <c r="U2153" s="1">
        <v>44561</v>
      </c>
      <c r="V2153" t="s">
        <v>386</v>
      </c>
      <c r="W2153">
        <v>-31977822133</v>
      </c>
      <c r="X2153">
        <v>-22619097506</v>
      </c>
      <c r="Y2153" t="s">
        <v>386</v>
      </c>
      <c r="Z2153">
        <v>-22619097506</v>
      </c>
      <c r="AA2153">
        <v>-7875785</v>
      </c>
      <c r="AB2153" t="b">
        <v>0</v>
      </c>
      <c r="AC2153">
        <v>1</v>
      </c>
    </row>
    <row r="2154" spans="17:29" x14ac:dyDescent="0.2">
      <c r="Q2154" t="s">
        <v>2029</v>
      </c>
      <c r="R2154" t="s">
        <v>2641</v>
      </c>
      <c r="S2154" t="s">
        <v>384</v>
      </c>
      <c r="T2154" s="1">
        <v>43733</v>
      </c>
      <c r="U2154" s="1">
        <v>43888</v>
      </c>
      <c r="V2154" t="s">
        <v>386</v>
      </c>
      <c r="W2154">
        <v>39550000000</v>
      </c>
      <c r="X2154">
        <v>31977822133</v>
      </c>
      <c r="Y2154" t="s">
        <v>386</v>
      </c>
      <c r="Z2154">
        <v>31977822133</v>
      </c>
      <c r="AA2154">
        <v>11134416</v>
      </c>
      <c r="AB2154" t="b">
        <v>0</v>
      </c>
      <c r="AC2154">
        <v>1</v>
      </c>
    </row>
    <row r="2155" spans="17:29" x14ac:dyDescent="0.2">
      <c r="Q2155" t="s">
        <v>2029</v>
      </c>
      <c r="R2155" t="s">
        <v>2641</v>
      </c>
      <c r="S2155" t="s">
        <v>384</v>
      </c>
      <c r="T2155" s="1">
        <v>44561</v>
      </c>
      <c r="U2155" s="1">
        <v>44561</v>
      </c>
      <c r="V2155" t="s">
        <v>386</v>
      </c>
      <c r="W2155">
        <v>-31977822133</v>
      </c>
      <c r="X2155">
        <v>-22619097506</v>
      </c>
      <c r="Y2155" t="s">
        <v>386</v>
      </c>
      <c r="Z2155">
        <v>-22619097506</v>
      </c>
      <c r="AA2155">
        <v>-7875785</v>
      </c>
      <c r="AB2155" t="b">
        <v>0</v>
      </c>
      <c r="AC2155">
        <v>1</v>
      </c>
    </row>
    <row r="2156" spans="17:29" x14ac:dyDescent="0.2">
      <c r="Q2156" t="s">
        <v>2029</v>
      </c>
      <c r="R2156" t="s">
        <v>2641</v>
      </c>
      <c r="S2156" t="s">
        <v>384</v>
      </c>
      <c r="T2156" s="1">
        <v>43733</v>
      </c>
      <c r="U2156" s="1">
        <v>43888</v>
      </c>
      <c r="V2156" t="s">
        <v>386</v>
      </c>
      <c r="W2156">
        <v>39550000000</v>
      </c>
      <c r="X2156">
        <v>31977822133</v>
      </c>
      <c r="Y2156" t="s">
        <v>386</v>
      </c>
      <c r="Z2156">
        <v>31977822133</v>
      </c>
      <c r="AA2156">
        <v>11134416</v>
      </c>
      <c r="AB2156" t="b">
        <v>0</v>
      </c>
      <c r="AC2156">
        <v>1</v>
      </c>
    </row>
    <row r="2157" spans="17:29" x14ac:dyDescent="0.2">
      <c r="Q2157" t="s">
        <v>2043</v>
      </c>
      <c r="R2157" t="s">
        <v>2642</v>
      </c>
      <c r="S2157" t="s">
        <v>384</v>
      </c>
      <c r="T2157" s="1">
        <v>44561</v>
      </c>
      <c r="U2157" s="1">
        <v>44561</v>
      </c>
      <c r="V2157" t="s">
        <v>386</v>
      </c>
      <c r="W2157">
        <v>-14494000000</v>
      </c>
      <c r="X2157">
        <v>-14468536551</v>
      </c>
      <c r="Y2157" t="s">
        <v>386</v>
      </c>
      <c r="Z2157">
        <v>-14468536551</v>
      </c>
      <c r="AA2157">
        <v>-5037826</v>
      </c>
      <c r="AB2157" t="b">
        <v>0</v>
      </c>
      <c r="AC2157">
        <v>1</v>
      </c>
    </row>
    <row r="2158" spans="17:29" x14ac:dyDescent="0.2">
      <c r="Q2158" t="s">
        <v>2043</v>
      </c>
      <c r="R2158" t="s">
        <v>2642</v>
      </c>
      <c r="S2158" t="s">
        <v>384</v>
      </c>
      <c r="T2158" s="1">
        <v>43858</v>
      </c>
      <c r="U2158" s="1">
        <v>44042</v>
      </c>
      <c r="V2158" t="s">
        <v>386</v>
      </c>
      <c r="W2158">
        <v>14494000000</v>
      </c>
      <c r="X2158">
        <v>14494000000</v>
      </c>
      <c r="Y2158" t="s">
        <v>386</v>
      </c>
      <c r="Z2158">
        <v>14494000000</v>
      </c>
      <c r="AA2158">
        <v>5046692</v>
      </c>
      <c r="AB2158" t="b">
        <v>0</v>
      </c>
      <c r="AC2158">
        <v>1</v>
      </c>
    </row>
    <row r="2159" spans="17:29" x14ac:dyDescent="0.2">
      <c r="Q2159" t="s">
        <v>2043</v>
      </c>
      <c r="R2159" t="s">
        <v>2642</v>
      </c>
      <c r="S2159" t="s">
        <v>384</v>
      </c>
      <c r="T2159" s="1">
        <v>44561</v>
      </c>
      <c r="U2159" s="1">
        <v>44561</v>
      </c>
      <c r="V2159" t="s">
        <v>386</v>
      </c>
      <c r="W2159">
        <v>-14494000000</v>
      </c>
      <c r="X2159">
        <v>-14468536551</v>
      </c>
      <c r="Y2159" t="s">
        <v>386</v>
      </c>
      <c r="Z2159">
        <v>-14468536551</v>
      </c>
      <c r="AA2159">
        <v>-5037826</v>
      </c>
      <c r="AB2159" t="b">
        <v>0</v>
      </c>
      <c r="AC2159">
        <v>1</v>
      </c>
    </row>
    <row r="2160" spans="17:29" x14ac:dyDescent="0.2">
      <c r="Q2160" t="s">
        <v>2043</v>
      </c>
      <c r="R2160" t="s">
        <v>2642</v>
      </c>
      <c r="S2160" t="s">
        <v>384</v>
      </c>
      <c r="T2160" s="1">
        <v>43858</v>
      </c>
      <c r="U2160" s="1">
        <v>44042</v>
      </c>
      <c r="V2160" t="s">
        <v>386</v>
      </c>
      <c r="W2160">
        <v>14494000000</v>
      </c>
      <c r="X2160">
        <v>14494000000</v>
      </c>
      <c r="Y2160" t="s">
        <v>386</v>
      </c>
      <c r="Z2160">
        <v>14494000000</v>
      </c>
      <c r="AA2160">
        <v>5046692</v>
      </c>
      <c r="AB2160" t="b">
        <v>0</v>
      </c>
      <c r="AC2160">
        <v>1</v>
      </c>
    </row>
    <row r="2161" spans="17:29" x14ac:dyDescent="0.2">
      <c r="Q2161" t="s">
        <v>2029</v>
      </c>
      <c r="R2161" t="s">
        <v>2642</v>
      </c>
      <c r="S2161" t="s">
        <v>384</v>
      </c>
      <c r="T2161" s="1">
        <v>44561</v>
      </c>
      <c r="U2161" s="1">
        <v>44561</v>
      </c>
      <c r="V2161" t="s">
        <v>386</v>
      </c>
      <c r="W2161">
        <v>-14494000000</v>
      </c>
      <c r="X2161">
        <v>-14468536551</v>
      </c>
      <c r="Y2161" t="s">
        <v>386</v>
      </c>
      <c r="Z2161">
        <v>-14468536551</v>
      </c>
      <c r="AA2161">
        <v>-5037826</v>
      </c>
      <c r="AB2161" t="b">
        <v>0</v>
      </c>
      <c r="AC2161">
        <v>1</v>
      </c>
    </row>
    <row r="2162" spans="17:29" x14ac:dyDescent="0.2">
      <c r="Q2162" t="s">
        <v>2029</v>
      </c>
      <c r="R2162" t="s">
        <v>2642</v>
      </c>
      <c r="S2162" t="s">
        <v>384</v>
      </c>
      <c r="T2162" s="1">
        <v>43858</v>
      </c>
      <c r="U2162" s="1">
        <v>44042</v>
      </c>
      <c r="V2162" t="s">
        <v>386</v>
      </c>
      <c r="W2162">
        <v>14494000000</v>
      </c>
      <c r="X2162">
        <v>14494000000</v>
      </c>
      <c r="Y2162" t="s">
        <v>386</v>
      </c>
      <c r="Z2162">
        <v>14494000000</v>
      </c>
      <c r="AA2162">
        <v>5046692</v>
      </c>
      <c r="AB2162" t="b">
        <v>0</v>
      </c>
      <c r="AC2162">
        <v>1</v>
      </c>
    </row>
    <row r="2163" spans="17:29" x14ac:dyDescent="0.2">
      <c r="Q2163" t="s">
        <v>2029</v>
      </c>
      <c r="R2163" t="s">
        <v>2642</v>
      </c>
      <c r="S2163" t="s">
        <v>384</v>
      </c>
      <c r="T2163" s="1">
        <v>44561</v>
      </c>
      <c r="U2163" s="1">
        <v>44561</v>
      </c>
      <c r="V2163" t="s">
        <v>386</v>
      </c>
      <c r="W2163">
        <v>-14494000000</v>
      </c>
      <c r="X2163">
        <v>-14468536551</v>
      </c>
      <c r="Y2163" t="s">
        <v>386</v>
      </c>
      <c r="Z2163">
        <v>-14468536551</v>
      </c>
      <c r="AA2163">
        <v>-5037826</v>
      </c>
      <c r="AB2163" t="b">
        <v>0</v>
      </c>
      <c r="AC2163">
        <v>1</v>
      </c>
    </row>
    <row r="2164" spans="17:29" x14ac:dyDescent="0.2">
      <c r="Q2164" t="s">
        <v>2029</v>
      </c>
      <c r="R2164" t="s">
        <v>2642</v>
      </c>
      <c r="S2164" t="s">
        <v>384</v>
      </c>
      <c r="T2164" s="1">
        <v>43858</v>
      </c>
      <c r="U2164" s="1">
        <v>44042</v>
      </c>
      <c r="V2164" t="s">
        <v>386</v>
      </c>
      <c r="W2164">
        <v>14494000000</v>
      </c>
      <c r="X2164">
        <v>14494000000</v>
      </c>
      <c r="Y2164" t="s">
        <v>386</v>
      </c>
      <c r="Z2164">
        <v>14494000000</v>
      </c>
      <c r="AA2164">
        <v>5046692</v>
      </c>
      <c r="AB2164" t="b">
        <v>0</v>
      </c>
      <c r="AC2164">
        <v>1</v>
      </c>
    </row>
    <row r="2165" spans="17:29" x14ac:dyDescent="0.2">
      <c r="Q2165" t="s">
        <v>2043</v>
      </c>
      <c r="R2165" t="s">
        <v>2643</v>
      </c>
      <c r="S2165" t="s">
        <v>384</v>
      </c>
      <c r="T2165" s="1">
        <v>43634</v>
      </c>
      <c r="U2165" s="1">
        <v>43829</v>
      </c>
      <c r="V2165" t="s">
        <v>386</v>
      </c>
      <c r="W2165">
        <v>12500000000</v>
      </c>
      <c r="X2165">
        <v>11912466329</v>
      </c>
      <c r="Y2165" t="s">
        <v>386</v>
      </c>
      <c r="Z2165">
        <v>11912466329</v>
      </c>
      <c r="AA2165">
        <v>4147823</v>
      </c>
      <c r="AB2165" t="b">
        <v>0</v>
      </c>
      <c r="AC2165">
        <v>1</v>
      </c>
    </row>
    <row r="2166" spans="17:29" x14ac:dyDescent="0.2">
      <c r="Q2166" t="s">
        <v>2043</v>
      </c>
      <c r="R2166" t="s">
        <v>2643</v>
      </c>
      <c r="S2166" t="s">
        <v>384</v>
      </c>
      <c r="T2166" s="1">
        <v>43634</v>
      </c>
      <c r="U2166" s="1">
        <v>43829</v>
      </c>
      <c r="V2166" t="s">
        <v>386</v>
      </c>
      <c r="W2166">
        <v>12500000000</v>
      </c>
      <c r="X2166">
        <v>11912466329</v>
      </c>
      <c r="Y2166" t="s">
        <v>386</v>
      </c>
      <c r="Z2166">
        <v>11912466329</v>
      </c>
      <c r="AA2166">
        <v>4147823</v>
      </c>
      <c r="AB2166" t="b">
        <v>0</v>
      </c>
      <c r="AC2166">
        <v>1</v>
      </c>
    </row>
    <row r="2167" spans="17:29" x14ac:dyDescent="0.2">
      <c r="Q2167" t="s">
        <v>2029</v>
      </c>
      <c r="R2167" t="s">
        <v>2643</v>
      </c>
      <c r="S2167" t="s">
        <v>384</v>
      </c>
      <c r="T2167" s="1">
        <v>43634</v>
      </c>
      <c r="U2167" s="1">
        <v>43829</v>
      </c>
      <c r="V2167" t="s">
        <v>386</v>
      </c>
      <c r="W2167">
        <v>12500000000</v>
      </c>
      <c r="X2167">
        <v>11912466329</v>
      </c>
      <c r="Y2167" t="s">
        <v>386</v>
      </c>
      <c r="Z2167">
        <v>11912466329</v>
      </c>
      <c r="AA2167">
        <v>4147823</v>
      </c>
      <c r="AB2167" t="b">
        <v>0</v>
      </c>
      <c r="AC2167">
        <v>1</v>
      </c>
    </row>
    <row r="2168" spans="17:29" x14ac:dyDescent="0.2">
      <c r="Q2168" t="s">
        <v>2029</v>
      </c>
      <c r="R2168" t="s">
        <v>2643</v>
      </c>
      <c r="S2168" t="s">
        <v>384</v>
      </c>
      <c r="T2168" s="1">
        <v>43634</v>
      </c>
      <c r="U2168" s="1">
        <v>43829</v>
      </c>
      <c r="V2168" t="s">
        <v>386</v>
      </c>
      <c r="W2168">
        <v>12500000000</v>
      </c>
      <c r="X2168">
        <v>11912466329</v>
      </c>
      <c r="Y2168" t="s">
        <v>386</v>
      </c>
      <c r="Z2168">
        <v>11912466329</v>
      </c>
      <c r="AA2168">
        <v>4147823</v>
      </c>
      <c r="AB2168" t="b">
        <v>0</v>
      </c>
      <c r="AC2168">
        <v>1</v>
      </c>
    </row>
    <row r="2169" spans="17:29" x14ac:dyDescent="0.2">
      <c r="Q2169" t="s">
        <v>2043</v>
      </c>
      <c r="R2169" t="s">
        <v>2644</v>
      </c>
      <c r="S2169" t="s">
        <v>384</v>
      </c>
      <c r="T2169" s="1">
        <v>44469</v>
      </c>
      <c r="U2169" s="1">
        <v>44179</v>
      </c>
      <c r="V2169" t="s">
        <v>386</v>
      </c>
      <c r="W2169">
        <v>25700000000</v>
      </c>
      <c r="X2169">
        <v>8008000000</v>
      </c>
      <c r="Y2169" t="s">
        <v>386</v>
      </c>
      <c r="Z2169">
        <v>8008000000</v>
      </c>
      <c r="AA2169">
        <v>2788320</v>
      </c>
      <c r="AB2169" t="b">
        <v>0</v>
      </c>
      <c r="AC2169">
        <v>1</v>
      </c>
    </row>
    <row r="2170" spans="17:29" x14ac:dyDescent="0.2">
      <c r="Q2170" t="s">
        <v>2043</v>
      </c>
      <c r="R2170" t="s">
        <v>2644</v>
      </c>
      <c r="S2170" t="s">
        <v>384</v>
      </c>
      <c r="T2170" s="1">
        <v>44469</v>
      </c>
      <c r="U2170" s="1">
        <v>44179</v>
      </c>
      <c r="V2170" t="s">
        <v>386</v>
      </c>
      <c r="W2170">
        <v>25700000000</v>
      </c>
      <c r="X2170">
        <v>8008000000</v>
      </c>
      <c r="Y2170" t="s">
        <v>386</v>
      </c>
      <c r="Z2170">
        <v>8008000000</v>
      </c>
      <c r="AA2170">
        <v>2788320</v>
      </c>
      <c r="AB2170" t="b">
        <v>0</v>
      </c>
      <c r="AC2170">
        <v>1</v>
      </c>
    </row>
    <row r="2171" spans="17:29" x14ac:dyDescent="0.2">
      <c r="Q2171" t="s">
        <v>2029</v>
      </c>
      <c r="R2171" t="s">
        <v>2644</v>
      </c>
      <c r="S2171" t="s">
        <v>384</v>
      </c>
      <c r="T2171" s="1">
        <v>44469</v>
      </c>
      <c r="U2171" s="1">
        <v>44179</v>
      </c>
      <c r="V2171" t="s">
        <v>386</v>
      </c>
      <c r="W2171">
        <v>25700000000</v>
      </c>
      <c r="X2171">
        <v>8008000000</v>
      </c>
      <c r="Y2171" t="s">
        <v>386</v>
      </c>
      <c r="Z2171">
        <v>8008000000</v>
      </c>
      <c r="AA2171">
        <v>2788320</v>
      </c>
      <c r="AB2171" t="b">
        <v>0</v>
      </c>
      <c r="AC2171">
        <v>1</v>
      </c>
    </row>
    <row r="2172" spans="17:29" x14ac:dyDescent="0.2">
      <c r="Q2172" t="s">
        <v>2029</v>
      </c>
      <c r="R2172" t="s">
        <v>2644</v>
      </c>
      <c r="S2172" t="s">
        <v>384</v>
      </c>
      <c r="T2172" s="1">
        <v>44469</v>
      </c>
      <c r="U2172" s="1">
        <v>44179</v>
      </c>
      <c r="V2172" t="s">
        <v>386</v>
      </c>
      <c r="W2172">
        <v>25700000000</v>
      </c>
      <c r="X2172">
        <v>8008000000</v>
      </c>
      <c r="Y2172" t="s">
        <v>386</v>
      </c>
      <c r="Z2172">
        <v>8008000000</v>
      </c>
      <c r="AA2172">
        <v>2788320</v>
      </c>
      <c r="AB2172" t="b">
        <v>0</v>
      </c>
      <c r="AC2172">
        <v>1</v>
      </c>
    </row>
    <row r="2173" spans="17:29" x14ac:dyDescent="0.2">
      <c r="Q2173" t="s">
        <v>2043</v>
      </c>
      <c r="R2173" t="s">
        <v>2645</v>
      </c>
      <c r="S2173" t="s">
        <v>384</v>
      </c>
      <c r="T2173" s="1">
        <v>44561</v>
      </c>
      <c r="U2173" s="1">
        <v>44561</v>
      </c>
      <c r="V2173" t="s">
        <v>386</v>
      </c>
      <c r="W2173">
        <v>-29227142310</v>
      </c>
      <c r="X2173">
        <v>-25348658595</v>
      </c>
      <c r="Y2173" t="s">
        <v>386</v>
      </c>
      <c r="Z2173">
        <v>-25348658595</v>
      </c>
      <c r="AA2173">
        <v>-8826196</v>
      </c>
      <c r="AB2173" t="b">
        <v>0</v>
      </c>
      <c r="AC2173">
        <v>1</v>
      </c>
    </row>
    <row r="2174" spans="17:29" x14ac:dyDescent="0.2">
      <c r="Q2174" t="s">
        <v>2043</v>
      </c>
      <c r="R2174" t="s">
        <v>2645</v>
      </c>
      <c r="S2174" t="s">
        <v>384</v>
      </c>
      <c r="T2174" s="1">
        <v>43550</v>
      </c>
      <c r="U2174" s="1">
        <v>44348</v>
      </c>
      <c r="V2174" t="s">
        <v>386</v>
      </c>
      <c r="W2174">
        <v>33500000000</v>
      </c>
      <c r="X2174">
        <v>29227142310</v>
      </c>
      <c r="Y2174" t="s">
        <v>386</v>
      </c>
      <c r="Z2174">
        <v>29227142310</v>
      </c>
      <c r="AA2174">
        <v>10176652</v>
      </c>
      <c r="AB2174" t="b">
        <v>0</v>
      </c>
      <c r="AC2174">
        <v>1</v>
      </c>
    </row>
    <row r="2175" spans="17:29" x14ac:dyDescent="0.2">
      <c r="Q2175" t="s">
        <v>2043</v>
      </c>
      <c r="R2175" t="s">
        <v>2645</v>
      </c>
      <c r="S2175" t="s">
        <v>384</v>
      </c>
      <c r="T2175" s="1">
        <v>44561</v>
      </c>
      <c r="U2175" s="1">
        <v>44561</v>
      </c>
      <c r="V2175" t="s">
        <v>386</v>
      </c>
      <c r="W2175">
        <v>-29227142310</v>
      </c>
      <c r="X2175">
        <v>-25348658595</v>
      </c>
      <c r="Y2175" t="s">
        <v>386</v>
      </c>
      <c r="Z2175">
        <v>-25348658595</v>
      </c>
      <c r="AA2175">
        <v>-8826196</v>
      </c>
      <c r="AB2175" t="b">
        <v>0</v>
      </c>
      <c r="AC2175">
        <v>1</v>
      </c>
    </row>
    <row r="2176" spans="17:29" x14ac:dyDescent="0.2">
      <c r="Q2176" t="s">
        <v>2043</v>
      </c>
      <c r="R2176" t="s">
        <v>2645</v>
      </c>
      <c r="S2176" t="s">
        <v>384</v>
      </c>
      <c r="T2176" s="1">
        <v>43550</v>
      </c>
      <c r="U2176" s="1">
        <v>44348</v>
      </c>
      <c r="V2176" t="s">
        <v>386</v>
      </c>
      <c r="W2176">
        <v>33500000000</v>
      </c>
      <c r="X2176">
        <v>29227142310</v>
      </c>
      <c r="Y2176" t="s">
        <v>386</v>
      </c>
      <c r="Z2176">
        <v>29227142310</v>
      </c>
      <c r="AA2176">
        <v>10176652</v>
      </c>
      <c r="AB2176" t="b">
        <v>0</v>
      </c>
      <c r="AC2176">
        <v>1</v>
      </c>
    </row>
    <row r="2177" spans="17:29" x14ac:dyDescent="0.2">
      <c r="Q2177" t="s">
        <v>2029</v>
      </c>
      <c r="R2177" t="s">
        <v>2645</v>
      </c>
      <c r="S2177" t="s">
        <v>384</v>
      </c>
      <c r="T2177" s="1">
        <v>44561</v>
      </c>
      <c r="U2177" s="1">
        <v>44561</v>
      </c>
      <c r="V2177" t="s">
        <v>386</v>
      </c>
      <c r="W2177">
        <v>-29227142310</v>
      </c>
      <c r="X2177">
        <v>-25348658595</v>
      </c>
      <c r="Y2177" t="s">
        <v>386</v>
      </c>
      <c r="Z2177">
        <v>-25348658595</v>
      </c>
      <c r="AA2177">
        <v>-8826196</v>
      </c>
      <c r="AB2177" t="b">
        <v>0</v>
      </c>
      <c r="AC2177">
        <v>1</v>
      </c>
    </row>
    <row r="2178" spans="17:29" x14ac:dyDescent="0.2">
      <c r="Q2178" t="s">
        <v>2029</v>
      </c>
      <c r="R2178" t="s">
        <v>2645</v>
      </c>
      <c r="S2178" t="s">
        <v>384</v>
      </c>
      <c r="T2178" s="1">
        <v>43550</v>
      </c>
      <c r="U2178" s="1">
        <v>44348</v>
      </c>
      <c r="V2178" t="s">
        <v>386</v>
      </c>
      <c r="W2178">
        <v>33500000000</v>
      </c>
      <c r="X2178">
        <v>29227142310</v>
      </c>
      <c r="Y2178" t="s">
        <v>386</v>
      </c>
      <c r="Z2178">
        <v>29227142310</v>
      </c>
      <c r="AA2178">
        <v>10176652</v>
      </c>
      <c r="AB2178" t="b">
        <v>0</v>
      </c>
      <c r="AC2178">
        <v>1</v>
      </c>
    </row>
    <row r="2179" spans="17:29" x14ac:dyDescent="0.2">
      <c r="Q2179" t="s">
        <v>2029</v>
      </c>
      <c r="R2179" t="s">
        <v>2645</v>
      </c>
      <c r="S2179" t="s">
        <v>384</v>
      </c>
      <c r="T2179" s="1">
        <v>44561</v>
      </c>
      <c r="U2179" s="1">
        <v>44561</v>
      </c>
      <c r="V2179" t="s">
        <v>386</v>
      </c>
      <c r="W2179">
        <v>-29227142310</v>
      </c>
      <c r="X2179">
        <v>-25348658595</v>
      </c>
      <c r="Y2179" t="s">
        <v>386</v>
      </c>
      <c r="Z2179">
        <v>-25348658595</v>
      </c>
      <c r="AA2179">
        <v>-8826196</v>
      </c>
      <c r="AB2179" t="b">
        <v>0</v>
      </c>
      <c r="AC2179">
        <v>1</v>
      </c>
    </row>
    <row r="2180" spans="17:29" x14ac:dyDescent="0.2">
      <c r="Q2180" t="s">
        <v>2029</v>
      </c>
      <c r="R2180" t="s">
        <v>2645</v>
      </c>
      <c r="S2180" t="s">
        <v>384</v>
      </c>
      <c r="T2180" s="1">
        <v>43550</v>
      </c>
      <c r="U2180" s="1">
        <v>44348</v>
      </c>
      <c r="V2180" t="s">
        <v>386</v>
      </c>
      <c r="W2180">
        <v>33500000000</v>
      </c>
      <c r="X2180">
        <v>29227142310</v>
      </c>
      <c r="Y2180" t="s">
        <v>386</v>
      </c>
      <c r="Z2180">
        <v>29227142310</v>
      </c>
      <c r="AA2180">
        <v>10176652</v>
      </c>
      <c r="AB2180" t="b">
        <v>0</v>
      </c>
      <c r="AC2180">
        <v>1</v>
      </c>
    </row>
    <row r="2181" spans="17:29" x14ac:dyDescent="0.2">
      <c r="Q2181" t="s">
        <v>2043</v>
      </c>
      <c r="R2181" t="s">
        <v>2646</v>
      </c>
      <c r="S2181" t="s">
        <v>384</v>
      </c>
      <c r="T2181" s="1">
        <v>44561</v>
      </c>
      <c r="U2181" s="1">
        <v>44561</v>
      </c>
      <c r="V2181" t="s">
        <v>386</v>
      </c>
      <c r="W2181">
        <v>-9426000000</v>
      </c>
      <c r="X2181">
        <v>-3512438117</v>
      </c>
      <c r="Y2181" t="s">
        <v>386</v>
      </c>
      <c r="Z2181">
        <v>-3512438117</v>
      </c>
      <c r="AA2181">
        <v>-1223002</v>
      </c>
      <c r="AB2181" t="b">
        <v>0</v>
      </c>
      <c r="AC2181">
        <v>1</v>
      </c>
    </row>
    <row r="2182" spans="17:29" x14ac:dyDescent="0.2">
      <c r="Q2182" t="s">
        <v>2043</v>
      </c>
      <c r="R2182" t="s">
        <v>2646</v>
      </c>
      <c r="S2182" t="s">
        <v>384</v>
      </c>
      <c r="T2182" s="1">
        <v>43851</v>
      </c>
      <c r="U2182" s="1">
        <v>44097</v>
      </c>
      <c r="V2182" t="s">
        <v>386</v>
      </c>
      <c r="W2182">
        <v>44840000000</v>
      </c>
      <c r="X2182">
        <v>9426000000</v>
      </c>
      <c r="Y2182" t="s">
        <v>386</v>
      </c>
      <c r="Z2182">
        <v>9426000000</v>
      </c>
      <c r="AA2182">
        <v>3282056</v>
      </c>
      <c r="AB2182" t="b">
        <v>0</v>
      </c>
      <c r="AC2182">
        <v>1</v>
      </c>
    </row>
    <row r="2183" spans="17:29" x14ac:dyDescent="0.2">
      <c r="Q2183" t="s">
        <v>2043</v>
      </c>
      <c r="R2183" t="s">
        <v>2646</v>
      </c>
      <c r="S2183" t="s">
        <v>384</v>
      </c>
      <c r="T2183" s="1">
        <v>44561</v>
      </c>
      <c r="U2183" s="1">
        <v>44561</v>
      </c>
      <c r="V2183" t="s">
        <v>386</v>
      </c>
      <c r="W2183">
        <v>-9426000000</v>
      </c>
      <c r="X2183">
        <v>-3512438117</v>
      </c>
      <c r="Y2183" t="s">
        <v>386</v>
      </c>
      <c r="Z2183">
        <v>-3512438117</v>
      </c>
      <c r="AA2183">
        <v>-1223002</v>
      </c>
      <c r="AB2183" t="b">
        <v>0</v>
      </c>
      <c r="AC2183">
        <v>1</v>
      </c>
    </row>
    <row r="2184" spans="17:29" x14ac:dyDescent="0.2">
      <c r="Q2184" t="s">
        <v>2043</v>
      </c>
      <c r="R2184" t="s">
        <v>2646</v>
      </c>
      <c r="S2184" t="s">
        <v>384</v>
      </c>
      <c r="T2184" s="1">
        <v>43851</v>
      </c>
      <c r="U2184" s="1">
        <v>44097</v>
      </c>
      <c r="V2184" t="s">
        <v>386</v>
      </c>
      <c r="W2184">
        <v>44840000000</v>
      </c>
      <c r="X2184">
        <v>9426000000</v>
      </c>
      <c r="Y2184" t="s">
        <v>386</v>
      </c>
      <c r="Z2184">
        <v>9426000000</v>
      </c>
      <c r="AA2184">
        <v>3282056</v>
      </c>
      <c r="AB2184" t="b">
        <v>0</v>
      </c>
      <c r="AC2184">
        <v>1</v>
      </c>
    </row>
    <row r="2185" spans="17:29" x14ac:dyDescent="0.2">
      <c r="Q2185" t="s">
        <v>2029</v>
      </c>
      <c r="R2185" t="s">
        <v>2646</v>
      </c>
      <c r="S2185" t="s">
        <v>384</v>
      </c>
      <c r="T2185" s="1">
        <v>44561</v>
      </c>
      <c r="U2185" s="1">
        <v>44561</v>
      </c>
      <c r="V2185" t="s">
        <v>386</v>
      </c>
      <c r="W2185">
        <v>-9426000000</v>
      </c>
      <c r="X2185">
        <v>-3512438117</v>
      </c>
      <c r="Y2185" t="s">
        <v>386</v>
      </c>
      <c r="Z2185">
        <v>-3512438117</v>
      </c>
      <c r="AA2185">
        <v>-1223002</v>
      </c>
      <c r="AB2185" t="b">
        <v>0</v>
      </c>
      <c r="AC2185">
        <v>1</v>
      </c>
    </row>
    <row r="2186" spans="17:29" x14ac:dyDescent="0.2">
      <c r="Q2186" t="s">
        <v>2029</v>
      </c>
      <c r="R2186" t="s">
        <v>2646</v>
      </c>
      <c r="S2186" t="s">
        <v>384</v>
      </c>
      <c r="T2186" s="1">
        <v>43851</v>
      </c>
      <c r="U2186" s="1">
        <v>44097</v>
      </c>
      <c r="V2186" t="s">
        <v>386</v>
      </c>
      <c r="W2186">
        <v>44840000000</v>
      </c>
      <c r="X2186">
        <v>9426000000</v>
      </c>
      <c r="Y2186" t="s">
        <v>386</v>
      </c>
      <c r="Z2186">
        <v>9426000000</v>
      </c>
      <c r="AA2186">
        <v>3282056</v>
      </c>
      <c r="AB2186" t="b">
        <v>0</v>
      </c>
      <c r="AC2186">
        <v>1</v>
      </c>
    </row>
    <row r="2187" spans="17:29" x14ac:dyDescent="0.2">
      <c r="Q2187" t="s">
        <v>2029</v>
      </c>
      <c r="R2187" t="s">
        <v>2646</v>
      </c>
      <c r="S2187" t="s">
        <v>384</v>
      </c>
      <c r="T2187" s="1">
        <v>44561</v>
      </c>
      <c r="U2187" s="1">
        <v>44561</v>
      </c>
      <c r="V2187" t="s">
        <v>386</v>
      </c>
      <c r="W2187">
        <v>-9426000000</v>
      </c>
      <c r="X2187">
        <v>-3512438117</v>
      </c>
      <c r="Y2187" t="s">
        <v>386</v>
      </c>
      <c r="Z2187">
        <v>-3512438117</v>
      </c>
      <c r="AA2187">
        <v>-1223002</v>
      </c>
      <c r="AB2187" t="b">
        <v>0</v>
      </c>
      <c r="AC2187">
        <v>1</v>
      </c>
    </row>
    <row r="2188" spans="17:29" x14ac:dyDescent="0.2">
      <c r="Q2188" t="s">
        <v>2029</v>
      </c>
      <c r="R2188" t="s">
        <v>2646</v>
      </c>
      <c r="S2188" t="s">
        <v>384</v>
      </c>
      <c r="T2188" s="1">
        <v>43851</v>
      </c>
      <c r="U2188" s="1">
        <v>44097</v>
      </c>
      <c r="V2188" t="s">
        <v>386</v>
      </c>
      <c r="W2188">
        <v>44840000000</v>
      </c>
      <c r="X2188">
        <v>9426000000</v>
      </c>
      <c r="Y2188" t="s">
        <v>386</v>
      </c>
      <c r="Z2188">
        <v>9426000000</v>
      </c>
      <c r="AA2188">
        <v>3282056</v>
      </c>
      <c r="AB2188" t="b">
        <v>0</v>
      </c>
      <c r="AC2188">
        <v>1</v>
      </c>
    </row>
    <row r="2189" spans="17:29" x14ac:dyDescent="0.2">
      <c r="Q2189" t="s">
        <v>2043</v>
      </c>
      <c r="R2189" t="s">
        <v>2647</v>
      </c>
      <c r="S2189" t="s">
        <v>384</v>
      </c>
      <c r="T2189" s="1">
        <v>44530</v>
      </c>
      <c r="U2189" s="1">
        <v>44530</v>
      </c>
      <c r="V2189" t="s">
        <v>386</v>
      </c>
      <c r="W2189">
        <v>-4171000000</v>
      </c>
      <c r="X2189">
        <v>-4171000000</v>
      </c>
      <c r="Y2189" t="s">
        <v>386</v>
      </c>
      <c r="Z2189">
        <v>-4171000000</v>
      </c>
      <c r="AA2189">
        <v>-1452308</v>
      </c>
      <c r="AB2189" t="b">
        <v>0</v>
      </c>
      <c r="AC2189">
        <v>1</v>
      </c>
    </row>
    <row r="2190" spans="17:29" x14ac:dyDescent="0.2">
      <c r="Q2190" t="s">
        <v>2043</v>
      </c>
      <c r="R2190" t="s">
        <v>2647</v>
      </c>
      <c r="S2190" t="s">
        <v>384</v>
      </c>
      <c r="T2190" s="1">
        <v>43991</v>
      </c>
      <c r="U2190" s="1">
        <v>44012</v>
      </c>
      <c r="V2190" t="s">
        <v>386</v>
      </c>
      <c r="W2190">
        <v>14523000000</v>
      </c>
      <c r="X2190">
        <v>4171000000</v>
      </c>
      <c r="Y2190" t="s">
        <v>386</v>
      </c>
      <c r="Z2190">
        <v>4171000000</v>
      </c>
      <c r="AA2190">
        <v>1452308</v>
      </c>
      <c r="AB2190" t="b">
        <v>0</v>
      </c>
      <c r="AC2190">
        <v>1</v>
      </c>
    </row>
    <row r="2191" spans="17:29" x14ac:dyDescent="0.2">
      <c r="Q2191" t="s">
        <v>2043</v>
      </c>
      <c r="R2191" t="s">
        <v>2647</v>
      </c>
      <c r="S2191" t="s">
        <v>384</v>
      </c>
      <c r="T2191" s="1">
        <v>44530</v>
      </c>
      <c r="U2191" s="1">
        <v>44530</v>
      </c>
      <c r="V2191" t="s">
        <v>386</v>
      </c>
      <c r="W2191">
        <v>-4171000000</v>
      </c>
      <c r="X2191">
        <v>-4171000000</v>
      </c>
      <c r="Y2191" t="s">
        <v>386</v>
      </c>
      <c r="Z2191">
        <v>-4171000000</v>
      </c>
      <c r="AA2191">
        <v>-1452308</v>
      </c>
      <c r="AB2191" t="b">
        <v>0</v>
      </c>
      <c r="AC2191">
        <v>1</v>
      </c>
    </row>
    <row r="2192" spans="17:29" x14ac:dyDescent="0.2">
      <c r="Q2192" t="s">
        <v>2043</v>
      </c>
      <c r="R2192" t="s">
        <v>2647</v>
      </c>
      <c r="S2192" t="s">
        <v>384</v>
      </c>
      <c r="T2192" s="1">
        <v>43991</v>
      </c>
      <c r="U2192" s="1">
        <v>44012</v>
      </c>
      <c r="V2192" t="s">
        <v>386</v>
      </c>
      <c r="W2192">
        <v>14523000000</v>
      </c>
      <c r="X2192">
        <v>4171000000</v>
      </c>
      <c r="Y2192" t="s">
        <v>386</v>
      </c>
      <c r="Z2192">
        <v>4171000000</v>
      </c>
      <c r="AA2192">
        <v>1452308</v>
      </c>
      <c r="AB2192" t="b">
        <v>0</v>
      </c>
      <c r="AC2192">
        <v>1</v>
      </c>
    </row>
    <row r="2193" spans="17:29" x14ac:dyDescent="0.2">
      <c r="Q2193" t="s">
        <v>2029</v>
      </c>
      <c r="R2193" t="s">
        <v>2647</v>
      </c>
      <c r="S2193" t="s">
        <v>384</v>
      </c>
      <c r="T2193" s="1">
        <v>44530</v>
      </c>
      <c r="U2193" s="1">
        <v>44530</v>
      </c>
      <c r="V2193" t="s">
        <v>386</v>
      </c>
      <c r="W2193">
        <v>-4171000000</v>
      </c>
      <c r="X2193">
        <v>-4171000000</v>
      </c>
      <c r="Y2193" t="s">
        <v>386</v>
      </c>
      <c r="Z2193">
        <v>-4171000000</v>
      </c>
      <c r="AA2193">
        <v>-1452308</v>
      </c>
      <c r="AB2193" t="b">
        <v>0</v>
      </c>
      <c r="AC2193">
        <v>1</v>
      </c>
    </row>
    <row r="2194" spans="17:29" x14ac:dyDescent="0.2">
      <c r="Q2194" t="s">
        <v>2029</v>
      </c>
      <c r="R2194" t="s">
        <v>2647</v>
      </c>
      <c r="S2194" t="s">
        <v>384</v>
      </c>
      <c r="T2194" s="1">
        <v>43991</v>
      </c>
      <c r="U2194" s="1">
        <v>44012</v>
      </c>
      <c r="V2194" t="s">
        <v>386</v>
      </c>
      <c r="W2194">
        <v>14523000000</v>
      </c>
      <c r="X2194">
        <v>4171000000</v>
      </c>
      <c r="Y2194" t="s">
        <v>386</v>
      </c>
      <c r="Z2194">
        <v>4171000000</v>
      </c>
      <c r="AA2194">
        <v>1452308</v>
      </c>
      <c r="AB2194" t="b">
        <v>0</v>
      </c>
      <c r="AC2194">
        <v>1</v>
      </c>
    </row>
    <row r="2195" spans="17:29" x14ac:dyDescent="0.2">
      <c r="Q2195" t="s">
        <v>2029</v>
      </c>
      <c r="R2195" t="s">
        <v>2647</v>
      </c>
      <c r="S2195" t="s">
        <v>384</v>
      </c>
      <c r="T2195" s="1">
        <v>44530</v>
      </c>
      <c r="U2195" s="1">
        <v>44530</v>
      </c>
      <c r="V2195" t="s">
        <v>386</v>
      </c>
      <c r="W2195">
        <v>-4171000000</v>
      </c>
      <c r="X2195">
        <v>-4171000000</v>
      </c>
      <c r="Y2195" t="s">
        <v>386</v>
      </c>
      <c r="Z2195">
        <v>-4171000000</v>
      </c>
      <c r="AA2195">
        <v>-1452308</v>
      </c>
      <c r="AB2195" t="b">
        <v>0</v>
      </c>
      <c r="AC2195">
        <v>1</v>
      </c>
    </row>
    <row r="2196" spans="17:29" x14ac:dyDescent="0.2">
      <c r="Q2196" t="s">
        <v>2029</v>
      </c>
      <c r="R2196" t="s">
        <v>2647</v>
      </c>
      <c r="S2196" t="s">
        <v>384</v>
      </c>
      <c r="T2196" s="1">
        <v>43991</v>
      </c>
      <c r="U2196" s="1">
        <v>44012</v>
      </c>
      <c r="V2196" t="s">
        <v>386</v>
      </c>
      <c r="W2196">
        <v>14523000000</v>
      </c>
      <c r="X2196">
        <v>4171000000</v>
      </c>
      <c r="Y2196" t="s">
        <v>386</v>
      </c>
      <c r="Z2196">
        <v>4171000000</v>
      </c>
      <c r="AA2196">
        <v>1452308</v>
      </c>
      <c r="AB2196" t="b">
        <v>0</v>
      </c>
      <c r="AC2196">
        <v>1</v>
      </c>
    </row>
    <row r="2197" spans="17:29" x14ac:dyDescent="0.2">
      <c r="Q2197" t="s">
        <v>2043</v>
      </c>
      <c r="R2197" t="s">
        <v>2648</v>
      </c>
      <c r="S2197" t="s">
        <v>384</v>
      </c>
      <c r="T2197" s="1">
        <v>44561</v>
      </c>
      <c r="U2197" s="1">
        <v>44561</v>
      </c>
      <c r="V2197" t="s">
        <v>386</v>
      </c>
      <c r="W2197">
        <v>-20568249117</v>
      </c>
      <c r="X2197">
        <v>-1234153926</v>
      </c>
      <c r="Y2197" t="s">
        <v>386</v>
      </c>
      <c r="Z2197">
        <v>-1234153926</v>
      </c>
      <c r="AA2197">
        <v>-429722</v>
      </c>
      <c r="AB2197" t="b">
        <v>0</v>
      </c>
      <c r="AC2197">
        <v>1</v>
      </c>
    </row>
    <row r="2198" spans="17:29" x14ac:dyDescent="0.2">
      <c r="Q2198" t="s">
        <v>2043</v>
      </c>
      <c r="R2198" t="s">
        <v>2648</v>
      </c>
      <c r="S2198" t="s">
        <v>384</v>
      </c>
      <c r="T2198" s="1">
        <v>44068</v>
      </c>
      <c r="U2198" s="1">
        <v>44341</v>
      </c>
      <c r="V2198" t="s">
        <v>386</v>
      </c>
      <c r="W2198">
        <v>22500000000</v>
      </c>
      <c r="X2198">
        <v>20568249117</v>
      </c>
      <c r="Y2198" t="s">
        <v>386</v>
      </c>
      <c r="Z2198">
        <v>20568249117</v>
      </c>
      <c r="AA2198">
        <v>7161696</v>
      </c>
      <c r="AB2198" t="b">
        <v>0</v>
      </c>
      <c r="AC2198">
        <v>1</v>
      </c>
    </row>
    <row r="2199" spans="17:29" x14ac:dyDescent="0.2">
      <c r="Q2199" t="s">
        <v>2043</v>
      </c>
      <c r="R2199" t="s">
        <v>2648</v>
      </c>
      <c r="S2199" t="s">
        <v>384</v>
      </c>
      <c r="T2199" s="1">
        <v>44561</v>
      </c>
      <c r="U2199" s="1">
        <v>44561</v>
      </c>
      <c r="V2199" t="s">
        <v>386</v>
      </c>
      <c r="W2199">
        <v>-20568249117</v>
      </c>
      <c r="X2199">
        <v>-1234153926</v>
      </c>
      <c r="Y2199" t="s">
        <v>386</v>
      </c>
      <c r="Z2199">
        <v>-1234153926</v>
      </c>
      <c r="AA2199">
        <v>-429722</v>
      </c>
      <c r="AB2199" t="b">
        <v>0</v>
      </c>
      <c r="AC2199">
        <v>1</v>
      </c>
    </row>
    <row r="2200" spans="17:29" x14ac:dyDescent="0.2">
      <c r="Q2200" t="s">
        <v>2043</v>
      </c>
      <c r="R2200" t="s">
        <v>2648</v>
      </c>
      <c r="S2200" t="s">
        <v>384</v>
      </c>
      <c r="T2200" s="1">
        <v>44068</v>
      </c>
      <c r="U2200" s="1">
        <v>44341</v>
      </c>
      <c r="V2200" t="s">
        <v>386</v>
      </c>
      <c r="W2200">
        <v>22500000000</v>
      </c>
      <c r="X2200">
        <v>20568249117</v>
      </c>
      <c r="Y2200" t="s">
        <v>386</v>
      </c>
      <c r="Z2200">
        <v>20568249117</v>
      </c>
      <c r="AA2200">
        <v>7161696</v>
      </c>
      <c r="AB2200" t="b">
        <v>0</v>
      </c>
      <c r="AC2200">
        <v>1</v>
      </c>
    </row>
    <row r="2201" spans="17:29" x14ac:dyDescent="0.2">
      <c r="Q2201" t="s">
        <v>2029</v>
      </c>
      <c r="R2201" t="s">
        <v>2648</v>
      </c>
      <c r="S2201" t="s">
        <v>384</v>
      </c>
      <c r="T2201" s="1">
        <v>44561</v>
      </c>
      <c r="U2201" s="1">
        <v>44561</v>
      </c>
      <c r="V2201" t="s">
        <v>386</v>
      </c>
      <c r="W2201">
        <v>-20568249117</v>
      </c>
      <c r="X2201">
        <v>-1234153926</v>
      </c>
      <c r="Y2201" t="s">
        <v>386</v>
      </c>
      <c r="Z2201">
        <v>-1234153926</v>
      </c>
      <c r="AA2201">
        <v>-429722</v>
      </c>
      <c r="AB2201" t="b">
        <v>0</v>
      </c>
      <c r="AC2201">
        <v>1</v>
      </c>
    </row>
    <row r="2202" spans="17:29" x14ac:dyDescent="0.2">
      <c r="Q2202" t="s">
        <v>2029</v>
      </c>
      <c r="R2202" t="s">
        <v>2648</v>
      </c>
      <c r="S2202" t="s">
        <v>384</v>
      </c>
      <c r="T2202" s="1">
        <v>44068</v>
      </c>
      <c r="U2202" s="1">
        <v>44341</v>
      </c>
      <c r="V2202" t="s">
        <v>386</v>
      </c>
      <c r="W2202">
        <v>22500000000</v>
      </c>
      <c r="X2202">
        <v>20568249117</v>
      </c>
      <c r="Y2202" t="s">
        <v>386</v>
      </c>
      <c r="Z2202">
        <v>20568249117</v>
      </c>
      <c r="AA2202">
        <v>7161696</v>
      </c>
      <c r="AB2202" t="b">
        <v>0</v>
      </c>
      <c r="AC2202">
        <v>1</v>
      </c>
    </row>
    <row r="2203" spans="17:29" x14ac:dyDescent="0.2">
      <c r="Q2203" t="s">
        <v>2029</v>
      </c>
      <c r="R2203" t="s">
        <v>2648</v>
      </c>
      <c r="S2203" t="s">
        <v>384</v>
      </c>
      <c r="T2203" s="1">
        <v>44561</v>
      </c>
      <c r="U2203" s="1">
        <v>44561</v>
      </c>
      <c r="V2203" t="s">
        <v>386</v>
      </c>
      <c r="W2203">
        <v>-20568249117</v>
      </c>
      <c r="X2203">
        <v>-1234153926</v>
      </c>
      <c r="Y2203" t="s">
        <v>386</v>
      </c>
      <c r="Z2203">
        <v>-1234153926</v>
      </c>
      <c r="AA2203">
        <v>-429722</v>
      </c>
      <c r="AB2203" t="b">
        <v>0</v>
      </c>
      <c r="AC2203">
        <v>1</v>
      </c>
    </row>
    <row r="2204" spans="17:29" x14ac:dyDescent="0.2">
      <c r="Q2204" t="s">
        <v>2029</v>
      </c>
      <c r="R2204" t="s">
        <v>2648</v>
      </c>
      <c r="S2204" t="s">
        <v>384</v>
      </c>
      <c r="T2204" s="1">
        <v>44068</v>
      </c>
      <c r="U2204" s="1">
        <v>44341</v>
      </c>
      <c r="V2204" t="s">
        <v>386</v>
      </c>
      <c r="W2204">
        <v>22500000000</v>
      </c>
      <c r="X2204">
        <v>20568249117</v>
      </c>
      <c r="Y2204" t="s">
        <v>386</v>
      </c>
      <c r="Z2204">
        <v>20568249117</v>
      </c>
      <c r="AA2204">
        <v>7161696</v>
      </c>
      <c r="AB2204" t="b">
        <v>0</v>
      </c>
      <c r="AC2204">
        <v>1</v>
      </c>
    </row>
    <row r="2205" spans="17:29" x14ac:dyDescent="0.2">
      <c r="Q2205" t="s">
        <v>2043</v>
      </c>
      <c r="R2205" t="s">
        <v>2649</v>
      </c>
      <c r="S2205" t="s">
        <v>384</v>
      </c>
      <c r="T2205" s="1">
        <v>44561</v>
      </c>
      <c r="U2205" s="1">
        <v>44561</v>
      </c>
      <c r="V2205" t="s">
        <v>386</v>
      </c>
      <c r="W2205">
        <v>-24485000000</v>
      </c>
      <c r="X2205">
        <v>-12236333624</v>
      </c>
      <c r="Y2205" t="s">
        <v>386</v>
      </c>
      <c r="Z2205">
        <v>-12236333624</v>
      </c>
      <c r="AA2205">
        <v>-4260591</v>
      </c>
      <c r="AB2205" t="b">
        <v>0</v>
      </c>
      <c r="AC2205">
        <v>1</v>
      </c>
    </row>
    <row r="2206" spans="17:29" x14ac:dyDescent="0.2">
      <c r="Q2206" t="s">
        <v>2043</v>
      </c>
      <c r="R2206" t="s">
        <v>2649</v>
      </c>
      <c r="S2206" t="s">
        <v>384</v>
      </c>
      <c r="T2206" s="1">
        <v>44055</v>
      </c>
      <c r="U2206" s="1">
        <v>44362</v>
      </c>
      <c r="V2206" t="s">
        <v>386</v>
      </c>
      <c r="W2206">
        <v>29500000000</v>
      </c>
      <c r="X2206">
        <v>24485000000</v>
      </c>
      <c r="Y2206" t="s">
        <v>386</v>
      </c>
      <c r="Z2206">
        <v>24485000000</v>
      </c>
      <c r="AA2206">
        <v>8525477</v>
      </c>
      <c r="AB2206" t="b">
        <v>0</v>
      </c>
      <c r="AC2206">
        <v>1</v>
      </c>
    </row>
    <row r="2207" spans="17:29" x14ac:dyDescent="0.2">
      <c r="Q2207" t="s">
        <v>2043</v>
      </c>
      <c r="R2207" t="s">
        <v>2649</v>
      </c>
      <c r="S2207" t="s">
        <v>384</v>
      </c>
      <c r="T2207" s="1">
        <v>44561</v>
      </c>
      <c r="U2207" s="1">
        <v>44561</v>
      </c>
      <c r="V2207" t="s">
        <v>386</v>
      </c>
      <c r="W2207">
        <v>-24485000000</v>
      </c>
      <c r="X2207">
        <v>-12236333624</v>
      </c>
      <c r="Y2207" t="s">
        <v>386</v>
      </c>
      <c r="Z2207">
        <v>-12236333624</v>
      </c>
      <c r="AA2207">
        <v>-4260591</v>
      </c>
      <c r="AB2207" t="b">
        <v>0</v>
      </c>
      <c r="AC2207">
        <v>1</v>
      </c>
    </row>
    <row r="2208" spans="17:29" x14ac:dyDescent="0.2">
      <c r="Q2208" t="s">
        <v>2043</v>
      </c>
      <c r="R2208" t="s">
        <v>2649</v>
      </c>
      <c r="S2208" t="s">
        <v>384</v>
      </c>
      <c r="T2208" s="1">
        <v>44055</v>
      </c>
      <c r="U2208" s="1">
        <v>44362</v>
      </c>
      <c r="V2208" t="s">
        <v>386</v>
      </c>
      <c r="W2208">
        <v>29500000000</v>
      </c>
      <c r="X2208">
        <v>24485000000</v>
      </c>
      <c r="Y2208" t="s">
        <v>386</v>
      </c>
      <c r="Z2208">
        <v>24485000000</v>
      </c>
      <c r="AA2208">
        <v>8525477</v>
      </c>
      <c r="AB2208" t="b">
        <v>0</v>
      </c>
      <c r="AC2208">
        <v>1</v>
      </c>
    </row>
    <row r="2209" spans="17:29" x14ac:dyDescent="0.2">
      <c r="Q2209" t="s">
        <v>2029</v>
      </c>
      <c r="R2209" t="s">
        <v>2649</v>
      </c>
      <c r="S2209" t="s">
        <v>384</v>
      </c>
      <c r="T2209" s="1">
        <v>44561</v>
      </c>
      <c r="U2209" s="1">
        <v>44561</v>
      </c>
      <c r="V2209" t="s">
        <v>386</v>
      </c>
      <c r="W2209">
        <v>-24485000000</v>
      </c>
      <c r="X2209">
        <v>-12236333624</v>
      </c>
      <c r="Y2209" t="s">
        <v>386</v>
      </c>
      <c r="Z2209">
        <v>-12236333624</v>
      </c>
      <c r="AA2209">
        <v>-4260591</v>
      </c>
      <c r="AB2209" t="b">
        <v>0</v>
      </c>
      <c r="AC2209">
        <v>1</v>
      </c>
    </row>
    <row r="2210" spans="17:29" x14ac:dyDescent="0.2">
      <c r="Q2210" t="s">
        <v>2029</v>
      </c>
      <c r="R2210" t="s">
        <v>2649</v>
      </c>
      <c r="S2210" t="s">
        <v>384</v>
      </c>
      <c r="T2210" s="1">
        <v>44055</v>
      </c>
      <c r="U2210" s="1">
        <v>44362</v>
      </c>
      <c r="V2210" t="s">
        <v>386</v>
      </c>
      <c r="W2210">
        <v>29500000000</v>
      </c>
      <c r="X2210">
        <v>24485000000</v>
      </c>
      <c r="Y2210" t="s">
        <v>386</v>
      </c>
      <c r="Z2210">
        <v>24485000000</v>
      </c>
      <c r="AA2210">
        <v>8525477</v>
      </c>
      <c r="AB2210" t="b">
        <v>0</v>
      </c>
      <c r="AC2210">
        <v>1</v>
      </c>
    </row>
    <row r="2211" spans="17:29" x14ac:dyDescent="0.2">
      <c r="Q2211" t="s">
        <v>2029</v>
      </c>
      <c r="R2211" t="s">
        <v>2649</v>
      </c>
      <c r="S2211" t="s">
        <v>384</v>
      </c>
      <c r="T2211" s="1">
        <v>44561</v>
      </c>
      <c r="U2211" s="1">
        <v>44561</v>
      </c>
      <c r="V2211" t="s">
        <v>386</v>
      </c>
      <c r="W2211">
        <v>-24485000000</v>
      </c>
      <c r="X2211">
        <v>-12236333624</v>
      </c>
      <c r="Y2211" t="s">
        <v>386</v>
      </c>
      <c r="Z2211">
        <v>-12236333624</v>
      </c>
      <c r="AA2211">
        <v>-4260591</v>
      </c>
      <c r="AB2211" t="b">
        <v>0</v>
      </c>
      <c r="AC2211">
        <v>1</v>
      </c>
    </row>
    <row r="2212" spans="17:29" x14ac:dyDescent="0.2">
      <c r="Q2212" t="s">
        <v>2029</v>
      </c>
      <c r="R2212" t="s">
        <v>2649</v>
      </c>
      <c r="S2212" t="s">
        <v>384</v>
      </c>
      <c r="T2212" s="1">
        <v>44055</v>
      </c>
      <c r="U2212" s="1">
        <v>44362</v>
      </c>
      <c r="V2212" t="s">
        <v>386</v>
      </c>
      <c r="W2212">
        <v>29500000000</v>
      </c>
      <c r="X2212">
        <v>24485000000</v>
      </c>
      <c r="Y2212" t="s">
        <v>386</v>
      </c>
      <c r="Z2212">
        <v>24485000000</v>
      </c>
      <c r="AA2212">
        <v>8525477</v>
      </c>
      <c r="AB2212" t="b">
        <v>0</v>
      </c>
      <c r="AC2212">
        <v>1</v>
      </c>
    </row>
    <row r="2213" spans="17:29" x14ac:dyDescent="0.2">
      <c r="Q2213" t="s">
        <v>2043</v>
      </c>
      <c r="R2213" t="s">
        <v>2650</v>
      </c>
      <c r="S2213" t="s">
        <v>384</v>
      </c>
      <c r="T2213" s="1">
        <v>44561</v>
      </c>
      <c r="U2213" s="1">
        <v>44561</v>
      </c>
      <c r="V2213" t="s">
        <v>386</v>
      </c>
      <c r="W2213">
        <v>-8200000000</v>
      </c>
      <c r="X2213">
        <v>-8200000000</v>
      </c>
      <c r="Y2213" t="s">
        <v>386</v>
      </c>
      <c r="Z2213">
        <v>-8200000000</v>
      </c>
      <c r="AA2213">
        <v>-2855173</v>
      </c>
      <c r="AB2213" t="b">
        <v>0</v>
      </c>
      <c r="AC2213">
        <v>1</v>
      </c>
    </row>
    <row r="2214" spans="17:29" x14ac:dyDescent="0.2">
      <c r="Q2214" t="s">
        <v>2043</v>
      </c>
      <c r="R2214" t="s">
        <v>2650</v>
      </c>
      <c r="S2214" t="s">
        <v>384</v>
      </c>
      <c r="T2214" s="1">
        <v>43991</v>
      </c>
      <c r="U2214" s="1">
        <v>44127</v>
      </c>
      <c r="V2214" t="s">
        <v>386</v>
      </c>
      <c r="W2214">
        <v>37000000000</v>
      </c>
      <c r="X2214">
        <v>8200000000</v>
      </c>
      <c r="Y2214" t="s">
        <v>386</v>
      </c>
      <c r="Z2214">
        <v>8200000000</v>
      </c>
      <c r="AA2214">
        <v>2855173</v>
      </c>
      <c r="AB2214" t="b">
        <v>0</v>
      </c>
      <c r="AC2214">
        <v>1</v>
      </c>
    </row>
    <row r="2215" spans="17:29" x14ac:dyDescent="0.2">
      <c r="Q2215" t="s">
        <v>2043</v>
      </c>
      <c r="R2215" t="s">
        <v>2650</v>
      </c>
      <c r="S2215" t="s">
        <v>384</v>
      </c>
      <c r="T2215" s="1">
        <v>44561</v>
      </c>
      <c r="U2215" s="1">
        <v>44561</v>
      </c>
      <c r="V2215" t="s">
        <v>386</v>
      </c>
      <c r="W2215">
        <v>-8200000000</v>
      </c>
      <c r="X2215">
        <v>-8200000000</v>
      </c>
      <c r="Y2215" t="s">
        <v>386</v>
      </c>
      <c r="Z2215">
        <v>-8200000000</v>
      </c>
      <c r="AA2215">
        <v>-2855173</v>
      </c>
      <c r="AB2215" t="b">
        <v>0</v>
      </c>
      <c r="AC2215">
        <v>1</v>
      </c>
    </row>
    <row r="2216" spans="17:29" x14ac:dyDescent="0.2">
      <c r="Q2216" t="s">
        <v>2043</v>
      </c>
      <c r="R2216" t="s">
        <v>2650</v>
      </c>
      <c r="S2216" t="s">
        <v>384</v>
      </c>
      <c r="T2216" s="1">
        <v>43991</v>
      </c>
      <c r="U2216" s="1">
        <v>44127</v>
      </c>
      <c r="V2216" t="s">
        <v>386</v>
      </c>
      <c r="W2216">
        <v>37000000000</v>
      </c>
      <c r="X2216">
        <v>8200000000</v>
      </c>
      <c r="Y2216" t="s">
        <v>386</v>
      </c>
      <c r="Z2216">
        <v>8200000000</v>
      </c>
      <c r="AA2216">
        <v>2855173</v>
      </c>
      <c r="AB2216" t="b">
        <v>0</v>
      </c>
      <c r="AC2216">
        <v>1</v>
      </c>
    </row>
    <row r="2217" spans="17:29" x14ac:dyDescent="0.2">
      <c r="Q2217" t="s">
        <v>2029</v>
      </c>
      <c r="R2217" t="s">
        <v>2650</v>
      </c>
      <c r="S2217" t="s">
        <v>384</v>
      </c>
      <c r="T2217" s="1">
        <v>44561</v>
      </c>
      <c r="U2217" s="1">
        <v>44561</v>
      </c>
      <c r="V2217" t="s">
        <v>386</v>
      </c>
      <c r="W2217">
        <v>-8200000000</v>
      </c>
      <c r="X2217">
        <v>-8200000000</v>
      </c>
      <c r="Y2217" t="s">
        <v>386</v>
      </c>
      <c r="Z2217">
        <v>-8200000000</v>
      </c>
      <c r="AA2217">
        <v>-2855173</v>
      </c>
      <c r="AB2217" t="b">
        <v>0</v>
      </c>
      <c r="AC2217">
        <v>1</v>
      </c>
    </row>
    <row r="2218" spans="17:29" x14ac:dyDescent="0.2">
      <c r="Q2218" t="s">
        <v>2029</v>
      </c>
      <c r="R2218" t="s">
        <v>2650</v>
      </c>
      <c r="S2218" t="s">
        <v>384</v>
      </c>
      <c r="T2218" s="1">
        <v>43991</v>
      </c>
      <c r="U2218" s="1">
        <v>44127</v>
      </c>
      <c r="V2218" t="s">
        <v>386</v>
      </c>
      <c r="W2218">
        <v>37000000000</v>
      </c>
      <c r="X2218">
        <v>8200000000</v>
      </c>
      <c r="Y2218" t="s">
        <v>386</v>
      </c>
      <c r="Z2218">
        <v>8200000000</v>
      </c>
      <c r="AA2218">
        <v>2855173</v>
      </c>
      <c r="AB2218" t="b">
        <v>0</v>
      </c>
      <c r="AC2218">
        <v>1</v>
      </c>
    </row>
    <row r="2219" spans="17:29" x14ac:dyDescent="0.2">
      <c r="Q2219" t="s">
        <v>2029</v>
      </c>
      <c r="R2219" t="s">
        <v>2650</v>
      </c>
      <c r="S2219" t="s">
        <v>384</v>
      </c>
      <c r="T2219" s="1">
        <v>44561</v>
      </c>
      <c r="U2219" s="1">
        <v>44561</v>
      </c>
      <c r="V2219" t="s">
        <v>386</v>
      </c>
      <c r="W2219">
        <v>-8200000000</v>
      </c>
      <c r="X2219">
        <v>-8200000000</v>
      </c>
      <c r="Y2219" t="s">
        <v>386</v>
      </c>
      <c r="Z2219">
        <v>-8200000000</v>
      </c>
      <c r="AA2219">
        <v>-2855173</v>
      </c>
      <c r="AB2219" t="b">
        <v>0</v>
      </c>
      <c r="AC2219">
        <v>1</v>
      </c>
    </row>
    <row r="2220" spans="17:29" x14ac:dyDescent="0.2">
      <c r="Q2220" t="s">
        <v>2029</v>
      </c>
      <c r="R2220" t="s">
        <v>2650</v>
      </c>
      <c r="S2220" t="s">
        <v>384</v>
      </c>
      <c r="T2220" s="1">
        <v>43991</v>
      </c>
      <c r="U2220" s="1">
        <v>44127</v>
      </c>
      <c r="V2220" t="s">
        <v>386</v>
      </c>
      <c r="W2220">
        <v>37000000000</v>
      </c>
      <c r="X2220">
        <v>8200000000</v>
      </c>
      <c r="Y2220" t="s">
        <v>386</v>
      </c>
      <c r="Z2220">
        <v>8200000000</v>
      </c>
      <c r="AA2220">
        <v>2855173</v>
      </c>
      <c r="AB2220" t="b">
        <v>0</v>
      </c>
      <c r="AC2220">
        <v>1</v>
      </c>
    </row>
    <row r="2221" spans="17:29" x14ac:dyDescent="0.2">
      <c r="Q2221" t="s">
        <v>2043</v>
      </c>
      <c r="R2221" t="s">
        <v>2651</v>
      </c>
      <c r="S2221" t="s">
        <v>384</v>
      </c>
      <c r="T2221" s="1">
        <v>44561</v>
      </c>
      <c r="U2221" s="1">
        <v>44561</v>
      </c>
      <c r="V2221" t="s">
        <v>386</v>
      </c>
      <c r="W2221">
        <v>-13950000000</v>
      </c>
      <c r="X2221">
        <v>-12244682566</v>
      </c>
      <c r="Y2221" t="s">
        <v>386</v>
      </c>
      <c r="Z2221">
        <v>-12244682566</v>
      </c>
      <c r="AA2221">
        <v>-4263498</v>
      </c>
      <c r="AB2221" t="b">
        <v>0</v>
      </c>
      <c r="AC2221">
        <v>1</v>
      </c>
    </row>
    <row r="2222" spans="17:29" x14ac:dyDescent="0.2">
      <c r="Q2222" t="s">
        <v>2043</v>
      </c>
      <c r="R2222" t="s">
        <v>2651</v>
      </c>
      <c r="S2222" t="s">
        <v>384</v>
      </c>
      <c r="T2222" s="1">
        <v>43970</v>
      </c>
      <c r="U2222" s="1">
        <v>44267</v>
      </c>
      <c r="V2222" t="s">
        <v>386</v>
      </c>
      <c r="W2222">
        <v>16388000000</v>
      </c>
      <c r="X2222">
        <v>13950000000</v>
      </c>
      <c r="Y2222" t="s">
        <v>386</v>
      </c>
      <c r="Z2222">
        <v>13950000000</v>
      </c>
      <c r="AA2222">
        <v>4857276</v>
      </c>
      <c r="AB2222" t="b">
        <v>0</v>
      </c>
      <c r="AC2222">
        <v>1</v>
      </c>
    </row>
    <row r="2223" spans="17:29" x14ac:dyDescent="0.2">
      <c r="Q2223" t="s">
        <v>2043</v>
      </c>
      <c r="R2223" t="s">
        <v>2651</v>
      </c>
      <c r="S2223" t="s">
        <v>384</v>
      </c>
      <c r="T2223" s="1">
        <v>44561</v>
      </c>
      <c r="U2223" s="1">
        <v>44561</v>
      </c>
      <c r="V2223" t="s">
        <v>386</v>
      </c>
      <c r="W2223">
        <v>-13950000000</v>
      </c>
      <c r="X2223">
        <v>-12244682566</v>
      </c>
      <c r="Y2223" t="s">
        <v>386</v>
      </c>
      <c r="Z2223">
        <v>-12244682566</v>
      </c>
      <c r="AA2223">
        <v>-4263498</v>
      </c>
      <c r="AB2223" t="b">
        <v>0</v>
      </c>
      <c r="AC2223">
        <v>1</v>
      </c>
    </row>
    <row r="2224" spans="17:29" x14ac:dyDescent="0.2">
      <c r="Q2224" t="s">
        <v>2043</v>
      </c>
      <c r="R2224" t="s">
        <v>2651</v>
      </c>
      <c r="S2224" t="s">
        <v>384</v>
      </c>
      <c r="T2224" s="1">
        <v>43970</v>
      </c>
      <c r="U2224" s="1">
        <v>44267</v>
      </c>
      <c r="V2224" t="s">
        <v>386</v>
      </c>
      <c r="W2224">
        <v>16388000000</v>
      </c>
      <c r="X2224">
        <v>13950000000</v>
      </c>
      <c r="Y2224" t="s">
        <v>386</v>
      </c>
      <c r="Z2224">
        <v>13950000000</v>
      </c>
      <c r="AA2224">
        <v>4857276</v>
      </c>
      <c r="AB2224" t="b">
        <v>0</v>
      </c>
      <c r="AC2224">
        <v>1</v>
      </c>
    </row>
    <row r="2225" spans="17:29" x14ac:dyDescent="0.2">
      <c r="Q2225" t="s">
        <v>2029</v>
      </c>
      <c r="R2225" t="s">
        <v>2651</v>
      </c>
      <c r="S2225" t="s">
        <v>384</v>
      </c>
      <c r="T2225" s="1">
        <v>44561</v>
      </c>
      <c r="U2225" s="1">
        <v>44561</v>
      </c>
      <c r="V2225" t="s">
        <v>386</v>
      </c>
      <c r="W2225">
        <v>-13950000000</v>
      </c>
      <c r="X2225">
        <v>-12244682566</v>
      </c>
      <c r="Y2225" t="s">
        <v>386</v>
      </c>
      <c r="Z2225">
        <v>-12244682566</v>
      </c>
      <c r="AA2225">
        <v>-4263498</v>
      </c>
      <c r="AB2225" t="b">
        <v>0</v>
      </c>
      <c r="AC2225">
        <v>1</v>
      </c>
    </row>
    <row r="2226" spans="17:29" x14ac:dyDescent="0.2">
      <c r="Q2226" t="s">
        <v>2029</v>
      </c>
      <c r="R2226" t="s">
        <v>2651</v>
      </c>
      <c r="S2226" t="s">
        <v>384</v>
      </c>
      <c r="T2226" s="1">
        <v>43970</v>
      </c>
      <c r="U2226" s="1">
        <v>44267</v>
      </c>
      <c r="V2226" t="s">
        <v>386</v>
      </c>
      <c r="W2226">
        <v>16388000000</v>
      </c>
      <c r="X2226">
        <v>13950000000</v>
      </c>
      <c r="Y2226" t="s">
        <v>386</v>
      </c>
      <c r="Z2226">
        <v>13950000000</v>
      </c>
      <c r="AA2226">
        <v>4857276</v>
      </c>
      <c r="AB2226" t="b">
        <v>0</v>
      </c>
      <c r="AC2226">
        <v>1</v>
      </c>
    </row>
    <row r="2227" spans="17:29" x14ac:dyDescent="0.2">
      <c r="Q2227" t="s">
        <v>2029</v>
      </c>
      <c r="R2227" t="s">
        <v>2651</v>
      </c>
      <c r="S2227" t="s">
        <v>384</v>
      </c>
      <c r="T2227" s="1">
        <v>44561</v>
      </c>
      <c r="U2227" s="1">
        <v>44561</v>
      </c>
      <c r="V2227" t="s">
        <v>386</v>
      </c>
      <c r="W2227">
        <v>-13950000000</v>
      </c>
      <c r="X2227">
        <v>-12244682566</v>
      </c>
      <c r="Y2227" t="s">
        <v>386</v>
      </c>
      <c r="Z2227">
        <v>-12244682566</v>
      </c>
      <c r="AA2227">
        <v>-4263498</v>
      </c>
      <c r="AB2227" t="b">
        <v>0</v>
      </c>
      <c r="AC2227">
        <v>1</v>
      </c>
    </row>
    <row r="2228" spans="17:29" x14ac:dyDescent="0.2">
      <c r="Q2228" t="s">
        <v>2029</v>
      </c>
      <c r="R2228" t="s">
        <v>2651</v>
      </c>
      <c r="S2228" t="s">
        <v>384</v>
      </c>
      <c r="T2228" s="1">
        <v>43970</v>
      </c>
      <c r="U2228" s="1">
        <v>44267</v>
      </c>
      <c r="V2228" t="s">
        <v>386</v>
      </c>
      <c r="W2228">
        <v>16388000000</v>
      </c>
      <c r="X2228">
        <v>13950000000</v>
      </c>
      <c r="Y2228" t="s">
        <v>386</v>
      </c>
      <c r="Z2228">
        <v>13950000000</v>
      </c>
      <c r="AA2228">
        <v>4857276</v>
      </c>
      <c r="AB2228" t="b">
        <v>0</v>
      </c>
      <c r="AC2228">
        <v>1</v>
      </c>
    </row>
    <row r="2229" spans="17:29" x14ac:dyDescent="0.2">
      <c r="Q2229" t="s">
        <v>2043</v>
      </c>
      <c r="R2229" t="s">
        <v>2652</v>
      </c>
      <c r="S2229" t="s">
        <v>384</v>
      </c>
      <c r="T2229" s="1">
        <v>44561</v>
      </c>
      <c r="U2229" s="1">
        <v>44561</v>
      </c>
      <c r="V2229" t="s">
        <v>386</v>
      </c>
      <c r="W2229">
        <v>-5741000000</v>
      </c>
      <c r="X2229">
        <v>-1485756731</v>
      </c>
      <c r="Y2229" t="s">
        <v>386</v>
      </c>
      <c r="Z2229">
        <v>-1485756731</v>
      </c>
      <c r="AA2229">
        <v>-517328</v>
      </c>
      <c r="AB2229" t="b">
        <v>0</v>
      </c>
      <c r="AC2229">
        <v>1</v>
      </c>
    </row>
    <row r="2230" spans="17:29" x14ac:dyDescent="0.2">
      <c r="Q2230" t="s">
        <v>2043</v>
      </c>
      <c r="R2230" t="s">
        <v>2652</v>
      </c>
      <c r="S2230" t="s">
        <v>384</v>
      </c>
      <c r="T2230" s="1">
        <v>44341</v>
      </c>
      <c r="U2230" s="1">
        <v>44362</v>
      </c>
      <c r="V2230" t="s">
        <v>386</v>
      </c>
      <c r="W2230">
        <v>7285000000</v>
      </c>
      <c r="X2230">
        <v>5741000000</v>
      </c>
      <c r="Y2230" t="s">
        <v>386</v>
      </c>
      <c r="Z2230">
        <v>5741000000</v>
      </c>
      <c r="AA2230">
        <v>1998969</v>
      </c>
      <c r="AB2230" t="b">
        <v>0</v>
      </c>
      <c r="AC2230">
        <v>1</v>
      </c>
    </row>
    <row r="2231" spans="17:29" x14ac:dyDescent="0.2">
      <c r="Q2231" t="s">
        <v>2043</v>
      </c>
      <c r="R2231" t="s">
        <v>2652</v>
      </c>
      <c r="S2231" t="s">
        <v>384</v>
      </c>
      <c r="T2231" s="1">
        <v>44561</v>
      </c>
      <c r="U2231" s="1">
        <v>44561</v>
      </c>
      <c r="V2231" t="s">
        <v>386</v>
      </c>
      <c r="W2231">
        <v>-5741000000</v>
      </c>
      <c r="X2231">
        <v>-1485756731</v>
      </c>
      <c r="Y2231" t="s">
        <v>386</v>
      </c>
      <c r="Z2231">
        <v>-1485756731</v>
      </c>
      <c r="AA2231">
        <v>-517328</v>
      </c>
      <c r="AB2231" t="b">
        <v>0</v>
      </c>
      <c r="AC2231">
        <v>1</v>
      </c>
    </row>
    <row r="2232" spans="17:29" x14ac:dyDescent="0.2">
      <c r="Q2232" t="s">
        <v>2043</v>
      </c>
      <c r="R2232" t="s">
        <v>2652</v>
      </c>
      <c r="S2232" t="s">
        <v>384</v>
      </c>
      <c r="T2232" s="1">
        <v>44341</v>
      </c>
      <c r="U2232" s="1">
        <v>44362</v>
      </c>
      <c r="V2232" t="s">
        <v>386</v>
      </c>
      <c r="W2232">
        <v>7285000000</v>
      </c>
      <c r="X2232">
        <v>5741000000</v>
      </c>
      <c r="Y2232" t="s">
        <v>386</v>
      </c>
      <c r="Z2232">
        <v>5741000000</v>
      </c>
      <c r="AA2232">
        <v>1998969</v>
      </c>
      <c r="AB2232" t="b">
        <v>0</v>
      </c>
      <c r="AC2232">
        <v>1</v>
      </c>
    </row>
    <row r="2233" spans="17:29" x14ac:dyDescent="0.2">
      <c r="Q2233" t="s">
        <v>2029</v>
      </c>
      <c r="R2233" t="s">
        <v>2652</v>
      </c>
      <c r="S2233" t="s">
        <v>384</v>
      </c>
      <c r="T2233" s="1">
        <v>44561</v>
      </c>
      <c r="U2233" s="1">
        <v>44561</v>
      </c>
      <c r="V2233" t="s">
        <v>386</v>
      </c>
      <c r="W2233">
        <v>-5741000000</v>
      </c>
      <c r="X2233">
        <v>-1485756731</v>
      </c>
      <c r="Y2233" t="s">
        <v>386</v>
      </c>
      <c r="Z2233">
        <v>-1485756731</v>
      </c>
      <c r="AA2233">
        <v>-517328</v>
      </c>
      <c r="AB2233" t="b">
        <v>0</v>
      </c>
      <c r="AC2233">
        <v>1</v>
      </c>
    </row>
    <row r="2234" spans="17:29" x14ac:dyDescent="0.2">
      <c r="Q2234" t="s">
        <v>2029</v>
      </c>
      <c r="R2234" t="s">
        <v>2652</v>
      </c>
      <c r="S2234" t="s">
        <v>384</v>
      </c>
      <c r="T2234" s="1">
        <v>44341</v>
      </c>
      <c r="U2234" s="1">
        <v>44362</v>
      </c>
      <c r="V2234" t="s">
        <v>386</v>
      </c>
      <c r="W2234">
        <v>7285000000</v>
      </c>
      <c r="X2234">
        <v>5741000000</v>
      </c>
      <c r="Y2234" t="s">
        <v>386</v>
      </c>
      <c r="Z2234">
        <v>5741000000</v>
      </c>
      <c r="AA2234">
        <v>1998969</v>
      </c>
      <c r="AB2234" t="b">
        <v>0</v>
      </c>
      <c r="AC2234">
        <v>1</v>
      </c>
    </row>
    <row r="2235" spans="17:29" x14ac:dyDescent="0.2">
      <c r="Q2235" t="s">
        <v>2029</v>
      </c>
      <c r="R2235" t="s">
        <v>2652</v>
      </c>
      <c r="S2235" t="s">
        <v>384</v>
      </c>
      <c r="T2235" s="1">
        <v>44561</v>
      </c>
      <c r="U2235" s="1">
        <v>44561</v>
      </c>
      <c r="V2235" t="s">
        <v>386</v>
      </c>
      <c r="W2235">
        <v>-5741000000</v>
      </c>
      <c r="X2235">
        <v>-1485756731</v>
      </c>
      <c r="Y2235" t="s">
        <v>386</v>
      </c>
      <c r="Z2235">
        <v>-1485756731</v>
      </c>
      <c r="AA2235">
        <v>-517328</v>
      </c>
      <c r="AB2235" t="b">
        <v>0</v>
      </c>
      <c r="AC2235">
        <v>1</v>
      </c>
    </row>
    <row r="2236" spans="17:29" x14ac:dyDescent="0.2">
      <c r="Q2236" t="s">
        <v>2029</v>
      </c>
      <c r="R2236" t="s">
        <v>2652</v>
      </c>
      <c r="S2236" t="s">
        <v>384</v>
      </c>
      <c r="T2236" s="1">
        <v>44341</v>
      </c>
      <c r="U2236" s="1">
        <v>44362</v>
      </c>
      <c r="V2236" t="s">
        <v>386</v>
      </c>
      <c r="W2236">
        <v>7285000000</v>
      </c>
      <c r="X2236">
        <v>5741000000</v>
      </c>
      <c r="Y2236" t="s">
        <v>386</v>
      </c>
      <c r="Z2236">
        <v>5741000000</v>
      </c>
      <c r="AA2236">
        <v>1998969</v>
      </c>
      <c r="AB2236" t="b">
        <v>0</v>
      </c>
      <c r="AC2236">
        <v>1</v>
      </c>
    </row>
    <row r="2237" spans="17:29" x14ac:dyDescent="0.2">
      <c r="Q2237" t="s">
        <v>2043</v>
      </c>
      <c r="R2237" t="s">
        <v>2653</v>
      </c>
      <c r="S2237" t="s">
        <v>384</v>
      </c>
      <c r="T2237" s="1">
        <v>44561</v>
      </c>
      <c r="U2237" s="1">
        <v>44561</v>
      </c>
      <c r="V2237" t="s">
        <v>386</v>
      </c>
      <c r="W2237">
        <v>-31405000000</v>
      </c>
      <c r="X2237">
        <v>-23044374025</v>
      </c>
      <c r="Y2237" t="s">
        <v>386</v>
      </c>
      <c r="Z2237">
        <v>-23044374025</v>
      </c>
      <c r="AA2237">
        <v>-8023862</v>
      </c>
      <c r="AB2237" t="b">
        <v>0</v>
      </c>
      <c r="AC2237">
        <v>1</v>
      </c>
    </row>
    <row r="2238" spans="17:29" x14ac:dyDescent="0.2">
      <c r="Q2238" t="s">
        <v>2043</v>
      </c>
      <c r="R2238" t="s">
        <v>2653</v>
      </c>
      <c r="S2238" t="s">
        <v>384</v>
      </c>
      <c r="T2238" s="1">
        <v>44047</v>
      </c>
      <c r="U2238" s="1">
        <v>44291</v>
      </c>
      <c r="V2238" t="s">
        <v>386</v>
      </c>
      <c r="W2238">
        <v>42200000000</v>
      </c>
      <c r="X2238">
        <v>31405000000</v>
      </c>
      <c r="Y2238" t="s">
        <v>386</v>
      </c>
      <c r="Z2238">
        <v>31405000000</v>
      </c>
      <c r="AA2238">
        <v>10934964</v>
      </c>
      <c r="AB2238" t="b">
        <v>0</v>
      </c>
      <c r="AC2238">
        <v>1</v>
      </c>
    </row>
    <row r="2239" spans="17:29" x14ac:dyDescent="0.2">
      <c r="Q2239" t="s">
        <v>2043</v>
      </c>
      <c r="R2239" t="s">
        <v>2653</v>
      </c>
      <c r="S2239" t="s">
        <v>384</v>
      </c>
      <c r="T2239" s="1">
        <v>44561</v>
      </c>
      <c r="U2239" s="1">
        <v>44561</v>
      </c>
      <c r="V2239" t="s">
        <v>386</v>
      </c>
      <c r="W2239">
        <v>-31405000000</v>
      </c>
      <c r="X2239">
        <v>-23044374025</v>
      </c>
      <c r="Y2239" t="s">
        <v>386</v>
      </c>
      <c r="Z2239">
        <v>-23044374025</v>
      </c>
      <c r="AA2239">
        <v>-8023862</v>
      </c>
      <c r="AB2239" t="b">
        <v>0</v>
      </c>
      <c r="AC2239">
        <v>1</v>
      </c>
    </row>
    <row r="2240" spans="17:29" x14ac:dyDescent="0.2">
      <c r="Q2240" t="s">
        <v>2043</v>
      </c>
      <c r="R2240" t="s">
        <v>2653</v>
      </c>
      <c r="S2240" t="s">
        <v>384</v>
      </c>
      <c r="T2240" s="1">
        <v>44047</v>
      </c>
      <c r="U2240" s="1">
        <v>44291</v>
      </c>
      <c r="V2240" t="s">
        <v>386</v>
      </c>
      <c r="W2240">
        <v>42200000000</v>
      </c>
      <c r="X2240">
        <v>31405000000</v>
      </c>
      <c r="Y2240" t="s">
        <v>386</v>
      </c>
      <c r="Z2240">
        <v>31405000000</v>
      </c>
      <c r="AA2240">
        <v>10934964</v>
      </c>
      <c r="AB2240" t="b">
        <v>0</v>
      </c>
      <c r="AC2240">
        <v>1</v>
      </c>
    </row>
    <row r="2241" spans="17:29" x14ac:dyDescent="0.2">
      <c r="Q2241" t="s">
        <v>2029</v>
      </c>
      <c r="R2241" t="s">
        <v>2653</v>
      </c>
      <c r="S2241" t="s">
        <v>384</v>
      </c>
      <c r="T2241" s="1">
        <v>44561</v>
      </c>
      <c r="U2241" s="1">
        <v>44561</v>
      </c>
      <c r="V2241" t="s">
        <v>386</v>
      </c>
      <c r="W2241">
        <v>-31405000000</v>
      </c>
      <c r="X2241">
        <v>-23044374025</v>
      </c>
      <c r="Y2241" t="s">
        <v>386</v>
      </c>
      <c r="Z2241">
        <v>-23044374025</v>
      </c>
      <c r="AA2241">
        <v>-8023862</v>
      </c>
      <c r="AB2241" t="b">
        <v>0</v>
      </c>
      <c r="AC2241">
        <v>1</v>
      </c>
    </row>
    <row r="2242" spans="17:29" x14ac:dyDescent="0.2">
      <c r="Q2242" t="s">
        <v>2029</v>
      </c>
      <c r="R2242" t="s">
        <v>2653</v>
      </c>
      <c r="S2242" t="s">
        <v>384</v>
      </c>
      <c r="T2242" s="1">
        <v>44047</v>
      </c>
      <c r="U2242" s="1">
        <v>44291</v>
      </c>
      <c r="V2242" t="s">
        <v>386</v>
      </c>
      <c r="W2242">
        <v>42200000000</v>
      </c>
      <c r="X2242">
        <v>31405000000</v>
      </c>
      <c r="Y2242" t="s">
        <v>386</v>
      </c>
      <c r="Z2242">
        <v>31405000000</v>
      </c>
      <c r="AA2242">
        <v>10934964</v>
      </c>
      <c r="AB2242" t="b">
        <v>0</v>
      </c>
      <c r="AC2242">
        <v>1</v>
      </c>
    </row>
    <row r="2243" spans="17:29" x14ac:dyDescent="0.2">
      <c r="Q2243" t="s">
        <v>2029</v>
      </c>
      <c r="R2243" t="s">
        <v>2653</v>
      </c>
      <c r="S2243" t="s">
        <v>384</v>
      </c>
      <c r="T2243" s="1">
        <v>44561</v>
      </c>
      <c r="U2243" s="1">
        <v>44561</v>
      </c>
      <c r="V2243" t="s">
        <v>386</v>
      </c>
      <c r="W2243">
        <v>-31405000000</v>
      </c>
      <c r="X2243">
        <v>-23044374025</v>
      </c>
      <c r="Y2243" t="s">
        <v>386</v>
      </c>
      <c r="Z2243">
        <v>-23044374025</v>
      </c>
      <c r="AA2243">
        <v>-8023862</v>
      </c>
      <c r="AB2243" t="b">
        <v>0</v>
      </c>
      <c r="AC2243">
        <v>1</v>
      </c>
    </row>
    <row r="2244" spans="17:29" x14ac:dyDescent="0.2">
      <c r="Q2244" t="s">
        <v>2029</v>
      </c>
      <c r="R2244" t="s">
        <v>2653</v>
      </c>
      <c r="S2244" t="s">
        <v>384</v>
      </c>
      <c r="T2244" s="1">
        <v>44047</v>
      </c>
      <c r="U2244" s="1">
        <v>44291</v>
      </c>
      <c r="V2244" t="s">
        <v>386</v>
      </c>
      <c r="W2244">
        <v>42200000000</v>
      </c>
      <c r="X2244">
        <v>31405000000</v>
      </c>
      <c r="Y2244" t="s">
        <v>386</v>
      </c>
      <c r="Z2244">
        <v>31405000000</v>
      </c>
      <c r="AA2244">
        <v>10934964</v>
      </c>
      <c r="AB2244" t="b">
        <v>0</v>
      </c>
      <c r="AC2244">
        <v>1</v>
      </c>
    </row>
    <row r="2245" spans="17:29" x14ac:dyDescent="0.2">
      <c r="Q2245" t="s">
        <v>2043</v>
      </c>
      <c r="R2245" t="s">
        <v>2654</v>
      </c>
      <c r="S2245" t="s">
        <v>384</v>
      </c>
      <c r="T2245" s="1">
        <v>44561</v>
      </c>
      <c r="U2245" s="1">
        <v>44561</v>
      </c>
      <c r="V2245" t="s">
        <v>386</v>
      </c>
      <c r="W2245">
        <v>-11700000000</v>
      </c>
      <c r="X2245">
        <v>-2972928687</v>
      </c>
      <c r="Y2245" t="s">
        <v>386</v>
      </c>
      <c r="Z2245">
        <v>-2972928687</v>
      </c>
      <c r="AA2245">
        <v>-1035149</v>
      </c>
      <c r="AB2245" t="b">
        <v>0</v>
      </c>
      <c r="AC2245">
        <v>1</v>
      </c>
    </row>
    <row r="2246" spans="17:29" x14ac:dyDescent="0.2">
      <c r="Q2246" t="s">
        <v>2043</v>
      </c>
      <c r="R2246" t="s">
        <v>2654</v>
      </c>
      <c r="S2246" t="s">
        <v>384</v>
      </c>
      <c r="T2246" s="1">
        <v>44033</v>
      </c>
      <c r="U2246" s="1">
        <v>44312</v>
      </c>
      <c r="V2246" t="s">
        <v>386</v>
      </c>
      <c r="W2246">
        <v>33500000000</v>
      </c>
      <c r="X2246">
        <v>11700000000</v>
      </c>
      <c r="Y2246" t="s">
        <v>386</v>
      </c>
      <c r="Z2246">
        <v>11700000000</v>
      </c>
      <c r="AA2246">
        <v>4073844</v>
      </c>
      <c r="AB2246" t="b">
        <v>0</v>
      </c>
      <c r="AC2246">
        <v>1</v>
      </c>
    </row>
    <row r="2247" spans="17:29" x14ac:dyDescent="0.2">
      <c r="Q2247" t="s">
        <v>2043</v>
      </c>
      <c r="R2247" t="s">
        <v>2654</v>
      </c>
      <c r="S2247" t="s">
        <v>384</v>
      </c>
      <c r="T2247" s="1">
        <v>44561</v>
      </c>
      <c r="U2247" s="1">
        <v>44561</v>
      </c>
      <c r="V2247" t="s">
        <v>386</v>
      </c>
      <c r="W2247">
        <v>-11700000000</v>
      </c>
      <c r="X2247">
        <v>-2972928687</v>
      </c>
      <c r="Y2247" t="s">
        <v>386</v>
      </c>
      <c r="Z2247">
        <v>-2972928687</v>
      </c>
      <c r="AA2247">
        <v>-1035149</v>
      </c>
      <c r="AB2247" t="b">
        <v>0</v>
      </c>
      <c r="AC2247">
        <v>1</v>
      </c>
    </row>
    <row r="2248" spans="17:29" x14ac:dyDescent="0.2">
      <c r="Q2248" t="s">
        <v>2043</v>
      </c>
      <c r="R2248" t="s">
        <v>2654</v>
      </c>
      <c r="S2248" t="s">
        <v>384</v>
      </c>
      <c r="T2248" s="1">
        <v>44033</v>
      </c>
      <c r="U2248" s="1">
        <v>44312</v>
      </c>
      <c r="V2248" t="s">
        <v>386</v>
      </c>
      <c r="W2248">
        <v>33500000000</v>
      </c>
      <c r="X2248">
        <v>11700000000</v>
      </c>
      <c r="Y2248" t="s">
        <v>386</v>
      </c>
      <c r="Z2248">
        <v>11700000000</v>
      </c>
      <c r="AA2248">
        <v>4073844</v>
      </c>
      <c r="AB2248" t="b">
        <v>0</v>
      </c>
      <c r="AC2248">
        <v>1</v>
      </c>
    </row>
    <row r="2249" spans="17:29" x14ac:dyDescent="0.2">
      <c r="Q2249" t="s">
        <v>2029</v>
      </c>
      <c r="R2249" t="s">
        <v>2654</v>
      </c>
      <c r="S2249" t="s">
        <v>384</v>
      </c>
      <c r="T2249" s="1">
        <v>44561</v>
      </c>
      <c r="U2249" s="1">
        <v>44561</v>
      </c>
      <c r="V2249" t="s">
        <v>386</v>
      </c>
      <c r="W2249">
        <v>-11700000000</v>
      </c>
      <c r="X2249">
        <v>-2972928687</v>
      </c>
      <c r="Y2249" t="s">
        <v>386</v>
      </c>
      <c r="Z2249">
        <v>-2972928687</v>
      </c>
      <c r="AA2249">
        <v>-1035149</v>
      </c>
      <c r="AB2249" t="b">
        <v>0</v>
      </c>
      <c r="AC2249">
        <v>1</v>
      </c>
    </row>
    <row r="2250" spans="17:29" x14ac:dyDescent="0.2">
      <c r="Q2250" t="s">
        <v>2029</v>
      </c>
      <c r="R2250" t="s">
        <v>2654</v>
      </c>
      <c r="S2250" t="s">
        <v>384</v>
      </c>
      <c r="T2250" s="1">
        <v>44033</v>
      </c>
      <c r="U2250" s="1">
        <v>44312</v>
      </c>
      <c r="V2250" t="s">
        <v>386</v>
      </c>
      <c r="W2250">
        <v>33500000000</v>
      </c>
      <c r="X2250">
        <v>11700000000</v>
      </c>
      <c r="Y2250" t="s">
        <v>386</v>
      </c>
      <c r="Z2250">
        <v>11700000000</v>
      </c>
      <c r="AA2250">
        <v>4073844</v>
      </c>
      <c r="AB2250" t="b">
        <v>0</v>
      </c>
      <c r="AC2250">
        <v>1</v>
      </c>
    </row>
    <row r="2251" spans="17:29" x14ac:dyDescent="0.2">
      <c r="Q2251" t="s">
        <v>2029</v>
      </c>
      <c r="R2251" t="s">
        <v>2654</v>
      </c>
      <c r="S2251" t="s">
        <v>384</v>
      </c>
      <c r="T2251" s="1">
        <v>44561</v>
      </c>
      <c r="U2251" s="1">
        <v>44561</v>
      </c>
      <c r="V2251" t="s">
        <v>386</v>
      </c>
      <c r="W2251">
        <v>-11700000000</v>
      </c>
      <c r="X2251">
        <v>-2972928687</v>
      </c>
      <c r="Y2251" t="s">
        <v>386</v>
      </c>
      <c r="Z2251">
        <v>-2972928687</v>
      </c>
      <c r="AA2251">
        <v>-1035149</v>
      </c>
      <c r="AB2251" t="b">
        <v>0</v>
      </c>
      <c r="AC2251">
        <v>1</v>
      </c>
    </row>
    <row r="2252" spans="17:29" x14ac:dyDescent="0.2">
      <c r="Q2252" t="s">
        <v>2029</v>
      </c>
      <c r="R2252" t="s">
        <v>2654</v>
      </c>
      <c r="S2252" t="s">
        <v>384</v>
      </c>
      <c r="T2252" s="1">
        <v>44033</v>
      </c>
      <c r="U2252" s="1">
        <v>44312</v>
      </c>
      <c r="V2252" t="s">
        <v>386</v>
      </c>
      <c r="W2252">
        <v>33500000000</v>
      </c>
      <c r="X2252">
        <v>11700000000</v>
      </c>
      <c r="Y2252" t="s">
        <v>386</v>
      </c>
      <c r="Z2252">
        <v>11700000000</v>
      </c>
      <c r="AA2252">
        <v>4073844</v>
      </c>
      <c r="AB2252" t="b">
        <v>0</v>
      </c>
      <c r="AC2252">
        <v>1</v>
      </c>
    </row>
    <row r="2253" spans="17:29" x14ac:dyDescent="0.2">
      <c r="Q2253" t="s">
        <v>2043</v>
      </c>
      <c r="R2253" t="s">
        <v>2655</v>
      </c>
      <c r="S2253" t="s">
        <v>384</v>
      </c>
      <c r="T2253" s="1">
        <v>44152</v>
      </c>
      <c r="U2253" s="1">
        <v>44294</v>
      </c>
      <c r="V2253" t="s">
        <v>386</v>
      </c>
      <c r="W2253">
        <v>48410000000</v>
      </c>
      <c r="X2253">
        <v>9230000000</v>
      </c>
      <c r="Y2253" t="s">
        <v>386</v>
      </c>
      <c r="Z2253">
        <v>9230000000</v>
      </c>
      <c r="AA2253">
        <v>3213810</v>
      </c>
      <c r="AB2253" t="b">
        <v>0</v>
      </c>
      <c r="AC2253">
        <v>1</v>
      </c>
    </row>
    <row r="2254" spans="17:29" x14ac:dyDescent="0.2">
      <c r="Q2254" t="s">
        <v>2043</v>
      </c>
      <c r="R2254" t="s">
        <v>2655</v>
      </c>
      <c r="S2254" t="s">
        <v>384</v>
      </c>
      <c r="T2254" s="1">
        <v>44152</v>
      </c>
      <c r="U2254" s="1">
        <v>44294</v>
      </c>
      <c r="V2254" t="s">
        <v>386</v>
      </c>
      <c r="W2254">
        <v>48410000000</v>
      </c>
      <c r="X2254">
        <v>9230000000</v>
      </c>
      <c r="Y2254" t="s">
        <v>386</v>
      </c>
      <c r="Z2254">
        <v>9230000000</v>
      </c>
      <c r="AA2254">
        <v>3213810</v>
      </c>
      <c r="AB2254" t="b">
        <v>0</v>
      </c>
      <c r="AC2254">
        <v>1</v>
      </c>
    </row>
    <row r="2255" spans="17:29" x14ac:dyDescent="0.2">
      <c r="Q2255" t="s">
        <v>2029</v>
      </c>
      <c r="R2255" t="s">
        <v>2655</v>
      </c>
      <c r="S2255" t="s">
        <v>384</v>
      </c>
      <c r="T2255" s="1">
        <v>44152</v>
      </c>
      <c r="U2255" s="1">
        <v>44294</v>
      </c>
      <c r="V2255" t="s">
        <v>386</v>
      </c>
      <c r="W2255">
        <v>48410000000</v>
      </c>
      <c r="X2255">
        <v>9230000000</v>
      </c>
      <c r="Y2255" t="s">
        <v>386</v>
      </c>
      <c r="Z2255">
        <v>9230000000</v>
      </c>
      <c r="AA2255">
        <v>3213810</v>
      </c>
      <c r="AB2255" t="b">
        <v>0</v>
      </c>
      <c r="AC2255">
        <v>1</v>
      </c>
    </row>
    <row r="2256" spans="17:29" x14ac:dyDescent="0.2">
      <c r="Q2256" t="s">
        <v>2029</v>
      </c>
      <c r="R2256" t="s">
        <v>2655</v>
      </c>
      <c r="S2256" t="s">
        <v>384</v>
      </c>
      <c r="T2256" s="1">
        <v>44152</v>
      </c>
      <c r="U2256" s="1">
        <v>44294</v>
      </c>
      <c r="V2256" t="s">
        <v>386</v>
      </c>
      <c r="W2256">
        <v>48410000000</v>
      </c>
      <c r="X2256">
        <v>9230000000</v>
      </c>
      <c r="Y2256" t="s">
        <v>386</v>
      </c>
      <c r="Z2256">
        <v>9230000000</v>
      </c>
      <c r="AA2256">
        <v>3213810</v>
      </c>
      <c r="AB2256" t="b">
        <v>0</v>
      </c>
      <c r="AC2256">
        <v>1</v>
      </c>
    </row>
    <row r="2257" spans="17:29" x14ac:dyDescent="0.2">
      <c r="Q2257" t="s">
        <v>2043</v>
      </c>
      <c r="R2257" t="s">
        <v>2656</v>
      </c>
      <c r="S2257" t="s">
        <v>384</v>
      </c>
      <c r="T2257" s="1">
        <v>44016</v>
      </c>
      <c r="U2257" s="1">
        <v>44295</v>
      </c>
      <c r="V2257" t="s">
        <v>386</v>
      </c>
      <c r="W2257">
        <v>10000000000</v>
      </c>
      <c r="X2257">
        <v>6299000000</v>
      </c>
      <c r="Y2257" t="s">
        <v>386</v>
      </c>
      <c r="Z2257">
        <v>6299000000</v>
      </c>
      <c r="AA2257">
        <v>2193260</v>
      </c>
      <c r="AB2257" t="b">
        <v>0</v>
      </c>
      <c r="AC2257">
        <v>1</v>
      </c>
    </row>
    <row r="2258" spans="17:29" x14ac:dyDescent="0.2">
      <c r="Q2258" t="s">
        <v>2043</v>
      </c>
      <c r="R2258" t="s">
        <v>2656</v>
      </c>
      <c r="S2258" t="s">
        <v>384</v>
      </c>
      <c r="T2258" s="1">
        <v>44016</v>
      </c>
      <c r="U2258" s="1">
        <v>44295</v>
      </c>
      <c r="V2258" t="s">
        <v>386</v>
      </c>
      <c r="W2258">
        <v>10000000000</v>
      </c>
      <c r="X2258">
        <v>6299000000</v>
      </c>
      <c r="Y2258" t="s">
        <v>386</v>
      </c>
      <c r="Z2258">
        <v>6299000000</v>
      </c>
      <c r="AA2258">
        <v>2193260</v>
      </c>
      <c r="AB2258" t="b">
        <v>0</v>
      </c>
      <c r="AC2258">
        <v>1</v>
      </c>
    </row>
    <row r="2259" spans="17:29" x14ac:dyDescent="0.2">
      <c r="Q2259" t="s">
        <v>2029</v>
      </c>
      <c r="R2259" t="s">
        <v>2656</v>
      </c>
      <c r="S2259" t="s">
        <v>384</v>
      </c>
      <c r="T2259" s="1">
        <v>44016</v>
      </c>
      <c r="U2259" s="1">
        <v>44295</v>
      </c>
      <c r="V2259" t="s">
        <v>386</v>
      </c>
      <c r="W2259">
        <v>10000000000</v>
      </c>
      <c r="X2259">
        <v>6299000000</v>
      </c>
      <c r="Y2259" t="s">
        <v>386</v>
      </c>
      <c r="Z2259">
        <v>6299000000</v>
      </c>
      <c r="AA2259">
        <v>2193260</v>
      </c>
      <c r="AB2259" t="b">
        <v>0</v>
      </c>
      <c r="AC2259">
        <v>1</v>
      </c>
    </row>
    <row r="2260" spans="17:29" x14ac:dyDescent="0.2">
      <c r="Q2260" t="s">
        <v>2029</v>
      </c>
      <c r="R2260" t="s">
        <v>2656</v>
      </c>
      <c r="S2260" t="s">
        <v>384</v>
      </c>
      <c r="T2260" s="1">
        <v>44016</v>
      </c>
      <c r="U2260" s="1">
        <v>44295</v>
      </c>
      <c r="V2260" t="s">
        <v>386</v>
      </c>
      <c r="W2260">
        <v>10000000000</v>
      </c>
      <c r="X2260">
        <v>6299000000</v>
      </c>
      <c r="Y2260" t="s">
        <v>386</v>
      </c>
      <c r="Z2260">
        <v>6299000000</v>
      </c>
      <c r="AA2260">
        <v>2193260</v>
      </c>
      <c r="AB2260" t="b">
        <v>0</v>
      </c>
      <c r="AC2260">
        <v>1</v>
      </c>
    </row>
    <row r="2261" spans="17:29" x14ac:dyDescent="0.2">
      <c r="Q2261" t="s">
        <v>2043</v>
      </c>
      <c r="R2261" t="s">
        <v>2657</v>
      </c>
      <c r="S2261" t="s">
        <v>384</v>
      </c>
      <c r="T2261" s="1">
        <v>44561</v>
      </c>
      <c r="U2261" s="1">
        <v>44561</v>
      </c>
      <c r="V2261" t="s">
        <v>386</v>
      </c>
      <c r="W2261">
        <v>-10973560000</v>
      </c>
      <c r="X2261">
        <v>-4915502263</v>
      </c>
      <c r="Y2261" t="s">
        <v>386</v>
      </c>
      <c r="Z2261">
        <v>-4915502263</v>
      </c>
      <c r="AA2261">
        <v>-1711537</v>
      </c>
      <c r="AB2261" t="b">
        <v>0</v>
      </c>
      <c r="AC2261">
        <v>1</v>
      </c>
    </row>
    <row r="2262" spans="17:29" x14ac:dyDescent="0.2">
      <c r="Q2262" t="s">
        <v>2043</v>
      </c>
      <c r="R2262" t="s">
        <v>2657</v>
      </c>
      <c r="S2262" t="s">
        <v>384</v>
      </c>
      <c r="T2262" s="1">
        <v>44166</v>
      </c>
      <c r="U2262" s="1">
        <v>44370</v>
      </c>
      <c r="V2262" t="s">
        <v>386</v>
      </c>
      <c r="W2262">
        <v>13635000000</v>
      </c>
      <c r="X2262">
        <v>10973560000</v>
      </c>
      <c r="Y2262" t="s">
        <v>386</v>
      </c>
      <c r="Z2262">
        <v>10973560000</v>
      </c>
      <c r="AA2262">
        <v>3820904</v>
      </c>
      <c r="AB2262" t="b">
        <v>0</v>
      </c>
      <c r="AC2262">
        <v>1</v>
      </c>
    </row>
    <row r="2263" spans="17:29" x14ac:dyDescent="0.2">
      <c r="Q2263" t="s">
        <v>2043</v>
      </c>
      <c r="R2263" t="s">
        <v>2657</v>
      </c>
      <c r="S2263" t="s">
        <v>384</v>
      </c>
      <c r="T2263" s="1">
        <v>44561</v>
      </c>
      <c r="U2263" s="1">
        <v>44561</v>
      </c>
      <c r="V2263" t="s">
        <v>386</v>
      </c>
      <c r="W2263">
        <v>-10973560000</v>
      </c>
      <c r="X2263">
        <v>-4915502263</v>
      </c>
      <c r="Y2263" t="s">
        <v>386</v>
      </c>
      <c r="Z2263">
        <v>-4915502263</v>
      </c>
      <c r="AA2263">
        <v>-1711537</v>
      </c>
      <c r="AB2263" t="b">
        <v>0</v>
      </c>
      <c r="AC2263">
        <v>1</v>
      </c>
    </row>
    <row r="2264" spans="17:29" x14ac:dyDescent="0.2">
      <c r="Q2264" t="s">
        <v>2043</v>
      </c>
      <c r="R2264" t="s">
        <v>2657</v>
      </c>
      <c r="S2264" t="s">
        <v>384</v>
      </c>
      <c r="T2264" s="1">
        <v>44166</v>
      </c>
      <c r="U2264" s="1">
        <v>44370</v>
      </c>
      <c r="V2264" t="s">
        <v>386</v>
      </c>
      <c r="W2264">
        <v>13635000000</v>
      </c>
      <c r="X2264">
        <v>10973560000</v>
      </c>
      <c r="Y2264" t="s">
        <v>386</v>
      </c>
      <c r="Z2264">
        <v>10973560000</v>
      </c>
      <c r="AA2264">
        <v>3820904</v>
      </c>
      <c r="AB2264" t="b">
        <v>0</v>
      </c>
      <c r="AC2264">
        <v>1</v>
      </c>
    </row>
    <row r="2265" spans="17:29" x14ac:dyDescent="0.2">
      <c r="Q2265" t="s">
        <v>2029</v>
      </c>
      <c r="R2265" t="s">
        <v>2657</v>
      </c>
      <c r="S2265" t="s">
        <v>384</v>
      </c>
      <c r="T2265" s="1">
        <v>44561</v>
      </c>
      <c r="U2265" s="1">
        <v>44561</v>
      </c>
      <c r="V2265" t="s">
        <v>386</v>
      </c>
      <c r="W2265">
        <v>-10973560000</v>
      </c>
      <c r="X2265">
        <v>-4915502263</v>
      </c>
      <c r="Y2265" t="s">
        <v>386</v>
      </c>
      <c r="Z2265">
        <v>-4915502263</v>
      </c>
      <c r="AA2265">
        <v>-1711537</v>
      </c>
      <c r="AB2265" t="b">
        <v>0</v>
      </c>
      <c r="AC2265">
        <v>1</v>
      </c>
    </row>
    <row r="2266" spans="17:29" x14ac:dyDescent="0.2">
      <c r="Q2266" t="s">
        <v>2029</v>
      </c>
      <c r="R2266" t="s">
        <v>2657</v>
      </c>
      <c r="S2266" t="s">
        <v>384</v>
      </c>
      <c r="T2266" s="1">
        <v>44166</v>
      </c>
      <c r="U2266" s="1">
        <v>44370</v>
      </c>
      <c r="V2266" t="s">
        <v>386</v>
      </c>
      <c r="W2266">
        <v>13635000000</v>
      </c>
      <c r="X2266">
        <v>10973560000</v>
      </c>
      <c r="Y2266" t="s">
        <v>386</v>
      </c>
      <c r="Z2266">
        <v>10973560000</v>
      </c>
      <c r="AA2266">
        <v>3820904</v>
      </c>
      <c r="AB2266" t="b">
        <v>0</v>
      </c>
      <c r="AC2266">
        <v>1</v>
      </c>
    </row>
    <row r="2267" spans="17:29" x14ac:dyDescent="0.2">
      <c r="Q2267" t="s">
        <v>2029</v>
      </c>
      <c r="R2267" t="s">
        <v>2657</v>
      </c>
      <c r="S2267" t="s">
        <v>384</v>
      </c>
      <c r="T2267" s="1">
        <v>44561</v>
      </c>
      <c r="U2267" s="1">
        <v>44561</v>
      </c>
      <c r="V2267" t="s">
        <v>386</v>
      </c>
      <c r="W2267">
        <v>-10973560000</v>
      </c>
      <c r="X2267">
        <v>-4915502263</v>
      </c>
      <c r="Y2267" t="s">
        <v>386</v>
      </c>
      <c r="Z2267">
        <v>-4915502263</v>
      </c>
      <c r="AA2267">
        <v>-1711537</v>
      </c>
      <c r="AB2267" t="b">
        <v>0</v>
      </c>
      <c r="AC2267">
        <v>1</v>
      </c>
    </row>
    <row r="2268" spans="17:29" x14ac:dyDescent="0.2">
      <c r="Q2268" t="s">
        <v>2029</v>
      </c>
      <c r="R2268" t="s">
        <v>2657</v>
      </c>
      <c r="S2268" t="s">
        <v>384</v>
      </c>
      <c r="T2268" s="1">
        <v>44166</v>
      </c>
      <c r="U2268" s="1">
        <v>44370</v>
      </c>
      <c r="V2268" t="s">
        <v>386</v>
      </c>
      <c r="W2268">
        <v>13635000000</v>
      </c>
      <c r="X2268">
        <v>10973560000</v>
      </c>
      <c r="Y2268" t="s">
        <v>386</v>
      </c>
      <c r="Z2268">
        <v>10973560000</v>
      </c>
      <c r="AA2268">
        <v>3820904</v>
      </c>
      <c r="AB2268" t="b">
        <v>0</v>
      </c>
      <c r="AC2268">
        <v>1</v>
      </c>
    </row>
    <row r="2269" spans="17:29" x14ac:dyDescent="0.2">
      <c r="Q2269" t="s">
        <v>2043</v>
      </c>
      <c r="R2269" t="s">
        <v>2658</v>
      </c>
      <c r="S2269" t="s">
        <v>384</v>
      </c>
      <c r="T2269" s="1">
        <v>44187</v>
      </c>
      <c r="U2269" s="1">
        <v>44419</v>
      </c>
      <c r="V2269" t="s">
        <v>386</v>
      </c>
      <c r="W2269">
        <v>29950000000</v>
      </c>
      <c r="X2269">
        <v>14450000000</v>
      </c>
      <c r="Y2269" t="s">
        <v>386</v>
      </c>
      <c r="Z2269">
        <v>14450000000</v>
      </c>
      <c r="AA2269">
        <v>5031372</v>
      </c>
      <c r="AB2269" t="b">
        <v>0</v>
      </c>
      <c r="AC2269">
        <v>1</v>
      </c>
    </row>
    <row r="2270" spans="17:29" x14ac:dyDescent="0.2">
      <c r="Q2270" t="s">
        <v>2043</v>
      </c>
      <c r="R2270" t="s">
        <v>2658</v>
      </c>
      <c r="S2270" t="s">
        <v>384</v>
      </c>
      <c r="T2270" s="1">
        <v>44187</v>
      </c>
      <c r="U2270" s="1">
        <v>44419</v>
      </c>
      <c r="V2270" t="s">
        <v>386</v>
      </c>
      <c r="W2270">
        <v>29950000000</v>
      </c>
      <c r="X2270">
        <v>14450000000</v>
      </c>
      <c r="Y2270" t="s">
        <v>386</v>
      </c>
      <c r="Z2270">
        <v>14450000000</v>
      </c>
      <c r="AA2270">
        <v>5031372</v>
      </c>
      <c r="AB2270" t="b">
        <v>0</v>
      </c>
      <c r="AC2270">
        <v>1</v>
      </c>
    </row>
    <row r="2271" spans="17:29" x14ac:dyDescent="0.2">
      <c r="Q2271" t="s">
        <v>2029</v>
      </c>
      <c r="R2271" t="s">
        <v>2658</v>
      </c>
      <c r="S2271" t="s">
        <v>384</v>
      </c>
      <c r="T2271" s="1">
        <v>44187</v>
      </c>
      <c r="U2271" s="1">
        <v>44419</v>
      </c>
      <c r="V2271" t="s">
        <v>386</v>
      </c>
      <c r="W2271">
        <v>29950000000</v>
      </c>
      <c r="X2271">
        <v>14450000000</v>
      </c>
      <c r="Y2271" t="s">
        <v>386</v>
      </c>
      <c r="Z2271">
        <v>14450000000</v>
      </c>
      <c r="AA2271">
        <v>5031372</v>
      </c>
      <c r="AB2271" t="b">
        <v>0</v>
      </c>
      <c r="AC2271">
        <v>1</v>
      </c>
    </row>
    <row r="2272" spans="17:29" x14ac:dyDescent="0.2">
      <c r="Q2272" t="s">
        <v>2029</v>
      </c>
      <c r="R2272" t="s">
        <v>2658</v>
      </c>
      <c r="S2272" t="s">
        <v>384</v>
      </c>
      <c r="T2272" s="1">
        <v>44187</v>
      </c>
      <c r="U2272" s="1">
        <v>44419</v>
      </c>
      <c r="V2272" t="s">
        <v>386</v>
      </c>
      <c r="W2272">
        <v>29950000000</v>
      </c>
      <c r="X2272">
        <v>14450000000</v>
      </c>
      <c r="Y2272" t="s">
        <v>386</v>
      </c>
      <c r="Z2272">
        <v>14450000000</v>
      </c>
      <c r="AA2272">
        <v>5031372</v>
      </c>
      <c r="AB2272" t="b">
        <v>0</v>
      </c>
      <c r="AC2272">
        <v>1</v>
      </c>
    </row>
    <row r="2273" spans="17:29" x14ac:dyDescent="0.2">
      <c r="Q2273" t="s">
        <v>2043</v>
      </c>
      <c r="R2273" t="s">
        <v>2659</v>
      </c>
      <c r="S2273" t="s">
        <v>384</v>
      </c>
      <c r="T2273" s="1">
        <v>44561</v>
      </c>
      <c r="U2273" s="1">
        <v>44561</v>
      </c>
      <c r="V2273" t="s">
        <v>386</v>
      </c>
      <c r="W2273">
        <v>-31746000000</v>
      </c>
      <c r="X2273">
        <v>-9891103564</v>
      </c>
      <c r="Y2273" t="s">
        <v>386</v>
      </c>
      <c r="Z2273">
        <v>-9891103564</v>
      </c>
      <c r="AA2273">
        <v>-3444001</v>
      </c>
      <c r="AB2273" t="b">
        <v>0</v>
      </c>
      <c r="AC2273">
        <v>1</v>
      </c>
    </row>
    <row r="2274" spans="17:29" x14ac:dyDescent="0.2">
      <c r="Q2274" t="s">
        <v>2043</v>
      </c>
      <c r="R2274" t="s">
        <v>2659</v>
      </c>
      <c r="S2274" t="s">
        <v>384</v>
      </c>
      <c r="T2274" s="1">
        <v>44187</v>
      </c>
      <c r="U2274" s="1">
        <v>44496</v>
      </c>
      <c r="V2274" t="s">
        <v>386</v>
      </c>
      <c r="W2274">
        <v>31746000000</v>
      </c>
      <c r="X2274">
        <v>31746000000</v>
      </c>
      <c r="Y2274" t="s">
        <v>386</v>
      </c>
      <c r="Z2274">
        <v>31746000000</v>
      </c>
      <c r="AA2274">
        <v>11053698</v>
      </c>
      <c r="AB2274" t="b">
        <v>0</v>
      </c>
      <c r="AC2274">
        <v>1</v>
      </c>
    </row>
    <row r="2275" spans="17:29" x14ac:dyDescent="0.2">
      <c r="Q2275" t="s">
        <v>2043</v>
      </c>
      <c r="R2275" t="s">
        <v>2659</v>
      </c>
      <c r="S2275" t="s">
        <v>384</v>
      </c>
      <c r="T2275" s="1">
        <v>44561</v>
      </c>
      <c r="U2275" s="1">
        <v>44561</v>
      </c>
      <c r="V2275" t="s">
        <v>386</v>
      </c>
      <c r="W2275">
        <v>-31746000000</v>
      </c>
      <c r="X2275">
        <v>-9891103564</v>
      </c>
      <c r="Y2275" t="s">
        <v>386</v>
      </c>
      <c r="Z2275">
        <v>-9891103564</v>
      </c>
      <c r="AA2275">
        <v>-3444001</v>
      </c>
      <c r="AB2275" t="b">
        <v>0</v>
      </c>
      <c r="AC2275">
        <v>1</v>
      </c>
    </row>
    <row r="2276" spans="17:29" x14ac:dyDescent="0.2">
      <c r="Q2276" t="s">
        <v>2043</v>
      </c>
      <c r="R2276" t="s">
        <v>2659</v>
      </c>
      <c r="S2276" t="s">
        <v>384</v>
      </c>
      <c r="T2276" s="1">
        <v>44187</v>
      </c>
      <c r="U2276" s="1">
        <v>44496</v>
      </c>
      <c r="V2276" t="s">
        <v>386</v>
      </c>
      <c r="W2276">
        <v>31746000000</v>
      </c>
      <c r="X2276">
        <v>31746000000</v>
      </c>
      <c r="Y2276" t="s">
        <v>386</v>
      </c>
      <c r="Z2276">
        <v>31746000000</v>
      </c>
      <c r="AA2276">
        <v>11053698</v>
      </c>
      <c r="AB2276" t="b">
        <v>0</v>
      </c>
      <c r="AC2276">
        <v>1</v>
      </c>
    </row>
    <row r="2277" spans="17:29" x14ac:dyDescent="0.2">
      <c r="Q2277" t="s">
        <v>2029</v>
      </c>
      <c r="R2277" t="s">
        <v>2659</v>
      </c>
      <c r="S2277" t="s">
        <v>384</v>
      </c>
      <c r="T2277" s="1">
        <v>44561</v>
      </c>
      <c r="U2277" s="1">
        <v>44561</v>
      </c>
      <c r="V2277" t="s">
        <v>386</v>
      </c>
      <c r="W2277">
        <v>-31746000000</v>
      </c>
      <c r="X2277">
        <v>-9891103564</v>
      </c>
      <c r="Y2277" t="s">
        <v>386</v>
      </c>
      <c r="Z2277">
        <v>-9891103564</v>
      </c>
      <c r="AA2277">
        <v>-3444001</v>
      </c>
      <c r="AB2277" t="b">
        <v>0</v>
      </c>
      <c r="AC2277">
        <v>1</v>
      </c>
    </row>
    <row r="2278" spans="17:29" x14ac:dyDescent="0.2">
      <c r="Q2278" t="s">
        <v>2029</v>
      </c>
      <c r="R2278" t="s">
        <v>2659</v>
      </c>
      <c r="S2278" t="s">
        <v>384</v>
      </c>
      <c r="T2278" s="1">
        <v>44187</v>
      </c>
      <c r="U2278" s="1">
        <v>44496</v>
      </c>
      <c r="V2278" t="s">
        <v>386</v>
      </c>
      <c r="W2278">
        <v>31746000000</v>
      </c>
      <c r="X2278">
        <v>31746000000</v>
      </c>
      <c r="Y2278" t="s">
        <v>386</v>
      </c>
      <c r="Z2278">
        <v>31746000000</v>
      </c>
      <c r="AA2278">
        <v>11053698</v>
      </c>
      <c r="AB2278" t="b">
        <v>0</v>
      </c>
      <c r="AC2278">
        <v>1</v>
      </c>
    </row>
    <row r="2279" spans="17:29" x14ac:dyDescent="0.2">
      <c r="Q2279" t="s">
        <v>2029</v>
      </c>
      <c r="R2279" t="s">
        <v>2659</v>
      </c>
      <c r="S2279" t="s">
        <v>384</v>
      </c>
      <c r="T2279" s="1">
        <v>44561</v>
      </c>
      <c r="U2279" s="1">
        <v>44561</v>
      </c>
      <c r="V2279" t="s">
        <v>386</v>
      </c>
      <c r="W2279">
        <v>-31746000000</v>
      </c>
      <c r="X2279">
        <v>-9891103564</v>
      </c>
      <c r="Y2279" t="s">
        <v>386</v>
      </c>
      <c r="Z2279">
        <v>-9891103564</v>
      </c>
      <c r="AA2279">
        <v>-3444001</v>
      </c>
      <c r="AB2279" t="b">
        <v>0</v>
      </c>
      <c r="AC2279">
        <v>1</v>
      </c>
    </row>
    <row r="2280" spans="17:29" x14ac:dyDescent="0.2">
      <c r="Q2280" t="s">
        <v>2029</v>
      </c>
      <c r="R2280" t="s">
        <v>2659</v>
      </c>
      <c r="S2280" t="s">
        <v>384</v>
      </c>
      <c r="T2280" s="1">
        <v>44187</v>
      </c>
      <c r="U2280" s="1">
        <v>44496</v>
      </c>
      <c r="V2280" t="s">
        <v>386</v>
      </c>
      <c r="W2280">
        <v>31746000000</v>
      </c>
      <c r="X2280">
        <v>31746000000</v>
      </c>
      <c r="Y2280" t="s">
        <v>386</v>
      </c>
      <c r="Z2280">
        <v>31746000000</v>
      </c>
      <c r="AA2280">
        <v>11053698</v>
      </c>
      <c r="AB2280" t="b">
        <v>0</v>
      </c>
      <c r="AC2280">
        <v>1</v>
      </c>
    </row>
  </sheetData>
  <pageMargins left="0.75" right="0.75" top="1" bottom="1" header="0.5" footer="0.5"/>
  <headerFooter alignWithMargins="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C42E9-54A8-2245-A4A5-5DB8E0D71B15}">
  <dimension ref="F3:AB156"/>
  <sheetViews>
    <sheetView topLeftCell="M1" workbookViewId="0">
      <selection activeCell="U5" sqref="U5:U40"/>
    </sheetView>
  </sheetViews>
  <sheetFormatPr baseColWidth="10" defaultRowHeight="16" x14ac:dyDescent="0.2"/>
  <cols>
    <col min="6" max="6" width="111.1640625" customWidth="1"/>
    <col min="27" max="27" width="57.83203125" bestFit="1" customWidth="1"/>
    <col min="28" max="28" width="24" bestFit="1" customWidth="1"/>
  </cols>
  <sheetData>
    <row r="3" spans="6:28" x14ac:dyDescent="0.2">
      <c r="AA3" s="52" t="s">
        <v>237</v>
      </c>
      <c r="AB3" s="55" t="s">
        <v>1953</v>
      </c>
    </row>
    <row r="4" spans="6:28" x14ac:dyDescent="0.2">
      <c r="U4" s="52" t="s">
        <v>237</v>
      </c>
      <c r="V4" s="54" t="s">
        <v>251</v>
      </c>
      <c r="W4" s="52" t="s">
        <v>237</v>
      </c>
      <c r="X4" s="52" t="s">
        <v>237</v>
      </c>
      <c r="AA4" s="54" t="s">
        <v>1142</v>
      </c>
      <c r="AB4" s="56" t="s">
        <v>1955</v>
      </c>
    </row>
    <row r="5" spans="6:28" x14ac:dyDescent="0.2">
      <c r="I5" s="35"/>
      <c r="N5" t="b">
        <f>I5=O5</f>
        <v>0</v>
      </c>
      <c r="O5" s="38" t="s">
        <v>1142</v>
      </c>
      <c r="U5" s="71" t="s">
        <v>1072</v>
      </c>
      <c r="V5" s="53" t="s">
        <v>274</v>
      </c>
      <c r="W5" s="71" t="s">
        <v>1072</v>
      </c>
      <c r="X5" s="71" t="s">
        <v>1072</v>
      </c>
      <c r="AA5" s="54" t="s">
        <v>577</v>
      </c>
      <c r="AB5" s="56" t="s">
        <v>1955</v>
      </c>
    </row>
    <row r="6" spans="6:28" x14ac:dyDescent="0.2">
      <c r="G6" s="36" t="s">
        <v>2746</v>
      </c>
      <c r="H6" t="b">
        <f>G6=I6</f>
        <v>1</v>
      </c>
      <c r="I6" s="33" t="s">
        <v>2746</v>
      </c>
      <c r="N6" t="b">
        <f t="shared" ref="N6:N56" si="0">I6=O6</f>
        <v>1</v>
      </c>
      <c r="O6" s="32" t="s">
        <v>2746</v>
      </c>
      <c r="U6" s="71" t="s">
        <v>288</v>
      </c>
      <c r="V6" s="69" t="s">
        <v>284</v>
      </c>
      <c r="W6" s="71" t="s">
        <v>288</v>
      </c>
      <c r="X6" s="71" t="s">
        <v>288</v>
      </c>
      <c r="AA6" s="54" t="s">
        <v>1415</v>
      </c>
      <c r="AB6" s="56" t="s">
        <v>1955</v>
      </c>
    </row>
    <row r="7" spans="6:28" x14ac:dyDescent="0.2">
      <c r="F7" s="7" t="s">
        <v>854</v>
      </c>
      <c r="H7" t="b">
        <f t="shared" ref="H7:H55" si="1">G7=I7</f>
        <v>0</v>
      </c>
      <c r="I7" s="35" t="s">
        <v>577</v>
      </c>
      <c r="N7" t="b">
        <f t="shared" si="0"/>
        <v>1</v>
      </c>
      <c r="O7" s="38" t="s">
        <v>577</v>
      </c>
      <c r="U7" s="71" t="s">
        <v>1316</v>
      </c>
      <c r="V7" s="53" t="s">
        <v>303</v>
      </c>
      <c r="W7" s="71" t="s">
        <v>1316</v>
      </c>
      <c r="X7" s="71" t="s">
        <v>1316</v>
      </c>
      <c r="AA7" s="53" t="s">
        <v>1415</v>
      </c>
      <c r="AB7" s="57" t="s">
        <v>1956</v>
      </c>
    </row>
    <row r="8" spans="6:28" x14ac:dyDescent="0.2">
      <c r="F8" s="7" t="s">
        <v>874</v>
      </c>
      <c r="G8" s="36" t="s">
        <v>2758</v>
      </c>
      <c r="H8" t="b">
        <f t="shared" si="1"/>
        <v>1</v>
      </c>
      <c r="I8" s="33" t="s">
        <v>2758</v>
      </c>
      <c r="N8" t="b">
        <f t="shared" si="0"/>
        <v>1</v>
      </c>
      <c r="O8" s="32" t="s">
        <v>2758</v>
      </c>
      <c r="U8" s="71" t="s">
        <v>2754</v>
      </c>
      <c r="V8" s="54" t="s">
        <v>312</v>
      </c>
      <c r="W8" s="71" t="s">
        <v>2754</v>
      </c>
      <c r="X8" s="71" t="s">
        <v>2754</v>
      </c>
      <c r="AA8" s="54" t="s">
        <v>1316</v>
      </c>
      <c r="AB8" s="56" t="s">
        <v>1955</v>
      </c>
    </row>
    <row r="9" spans="6:28" x14ac:dyDescent="0.2">
      <c r="F9" s="7" t="s">
        <v>280</v>
      </c>
      <c r="G9" s="36" t="s">
        <v>2735</v>
      </c>
      <c r="H9" t="b">
        <f t="shared" si="1"/>
        <v>1</v>
      </c>
      <c r="I9" s="33" t="s">
        <v>2735</v>
      </c>
      <c r="N9" t="b">
        <f t="shared" si="0"/>
        <v>1</v>
      </c>
      <c r="O9" s="32" t="s">
        <v>2735</v>
      </c>
      <c r="U9" s="71" t="s">
        <v>2755</v>
      </c>
      <c r="V9" s="53" t="s">
        <v>318</v>
      </c>
      <c r="W9" s="71" t="s">
        <v>2755</v>
      </c>
      <c r="X9" s="71" t="s">
        <v>2755</v>
      </c>
      <c r="AA9" s="54" t="s">
        <v>1316</v>
      </c>
      <c r="AB9" s="56" t="s">
        <v>1956</v>
      </c>
    </row>
    <row r="10" spans="6:28" x14ac:dyDescent="0.2">
      <c r="F10" s="7" t="s">
        <v>507</v>
      </c>
      <c r="G10" s="36" t="s">
        <v>1415</v>
      </c>
      <c r="H10" t="b">
        <f t="shared" si="1"/>
        <v>1</v>
      </c>
      <c r="I10" s="33" t="s">
        <v>1415</v>
      </c>
      <c r="N10" t="b">
        <f t="shared" si="0"/>
        <v>1</v>
      </c>
      <c r="O10" s="33" t="s">
        <v>1415</v>
      </c>
      <c r="U10" s="71" t="s">
        <v>2759</v>
      </c>
      <c r="V10" s="54" t="s">
        <v>330</v>
      </c>
      <c r="W10" s="71" t="s">
        <v>2759</v>
      </c>
      <c r="X10" s="71" t="s">
        <v>2759</v>
      </c>
      <c r="AA10" s="53" t="s">
        <v>651</v>
      </c>
      <c r="AB10" s="57" t="s">
        <v>1955</v>
      </c>
    </row>
    <row r="11" spans="6:28" x14ac:dyDescent="0.2">
      <c r="F11" s="7" t="s">
        <v>307</v>
      </c>
      <c r="G11" s="36" t="s">
        <v>2754</v>
      </c>
      <c r="H11" t="b">
        <f t="shared" si="1"/>
        <v>1</v>
      </c>
      <c r="I11" s="33" t="s">
        <v>2754</v>
      </c>
      <c r="N11" t="b">
        <f t="shared" si="0"/>
        <v>1</v>
      </c>
      <c r="O11" s="32" t="s">
        <v>2754</v>
      </c>
      <c r="U11" s="71" t="s">
        <v>2758</v>
      </c>
      <c r="V11" s="53" t="s">
        <v>349</v>
      </c>
      <c r="W11" s="71" t="s">
        <v>2758</v>
      </c>
      <c r="X11" s="71" t="s">
        <v>2758</v>
      </c>
      <c r="AA11" s="54" t="s">
        <v>651</v>
      </c>
      <c r="AB11" s="56" t="s">
        <v>1957</v>
      </c>
    </row>
    <row r="12" spans="6:28" x14ac:dyDescent="0.2">
      <c r="F12" s="7" t="s">
        <v>986</v>
      </c>
      <c r="G12" s="36" t="s">
        <v>2760</v>
      </c>
      <c r="H12" t="b">
        <f t="shared" si="1"/>
        <v>1</v>
      </c>
      <c r="I12" s="33" t="s">
        <v>2760</v>
      </c>
      <c r="N12" t="b">
        <f t="shared" si="0"/>
        <v>0</v>
      </c>
      <c r="O12" s="32" t="s">
        <v>1316</v>
      </c>
      <c r="U12" s="71" t="s">
        <v>2756</v>
      </c>
      <c r="V12" s="54" t="s">
        <v>381</v>
      </c>
      <c r="W12" s="71" t="s">
        <v>2756</v>
      </c>
      <c r="X12" s="71" t="s">
        <v>2756</v>
      </c>
      <c r="AA12" s="53" t="s">
        <v>651</v>
      </c>
      <c r="AB12" s="57" t="s">
        <v>1956</v>
      </c>
    </row>
    <row r="13" spans="6:28" x14ac:dyDescent="0.2">
      <c r="F13" s="7" t="s">
        <v>320</v>
      </c>
      <c r="G13" s="36" t="s">
        <v>2748</v>
      </c>
      <c r="H13" t="b">
        <f t="shared" si="1"/>
        <v>1</v>
      </c>
      <c r="I13" s="33" t="s">
        <v>2748</v>
      </c>
      <c r="N13" t="b">
        <f t="shared" si="0"/>
        <v>1</v>
      </c>
      <c r="O13" s="32" t="s">
        <v>2748</v>
      </c>
      <c r="U13" s="71" t="s">
        <v>2757</v>
      </c>
      <c r="V13" s="53" t="s">
        <v>413</v>
      </c>
      <c r="W13" s="71" t="s">
        <v>2757</v>
      </c>
      <c r="X13" s="71" t="s">
        <v>2757</v>
      </c>
      <c r="AA13" s="54" t="s">
        <v>1072</v>
      </c>
      <c r="AB13" s="56" t="s">
        <v>1955</v>
      </c>
    </row>
    <row r="14" spans="6:28" x14ac:dyDescent="0.2">
      <c r="F14" s="7" t="s">
        <v>1024</v>
      </c>
      <c r="G14" s="36" t="s">
        <v>2761</v>
      </c>
      <c r="H14" t="b">
        <f t="shared" si="1"/>
        <v>1</v>
      </c>
      <c r="I14" s="33" t="s">
        <v>2761</v>
      </c>
      <c r="N14" t="b">
        <f t="shared" si="0"/>
        <v>0</v>
      </c>
      <c r="O14" s="32" t="s">
        <v>651</v>
      </c>
      <c r="U14" s="71" t="s">
        <v>651</v>
      </c>
      <c r="V14" s="54" t="s">
        <v>421</v>
      </c>
      <c r="W14" s="71" t="s">
        <v>651</v>
      </c>
      <c r="X14" s="71" t="s">
        <v>651</v>
      </c>
      <c r="AA14" s="53" t="s">
        <v>1556</v>
      </c>
      <c r="AB14" s="57" t="s">
        <v>1955</v>
      </c>
    </row>
    <row r="15" spans="6:28" x14ac:dyDescent="0.2">
      <c r="F15" s="7" t="s">
        <v>427</v>
      </c>
      <c r="G15" s="36" t="s">
        <v>2756</v>
      </c>
      <c r="H15" t="b">
        <f t="shared" si="1"/>
        <v>1</v>
      </c>
      <c r="I15" s="33" t="s">
        <v>2756</v>
      </c>
      <c r="N15" t="b">
        <f t="shared" si="0"/>
        <v>1</v>
      </c>
      <c r="O15" s="32" t="s">
        <v>2756</v>
      </c>
      <c r="U15" s="71" t="s">
        <v>2753</v>
      </c>
      <c r="V15" s="53" t="s">
        <v>425</v>
      </c>
      <c r="W15" s="71" t="s">
        <v>2753</v>
      </c>
      <c r="X15" s="71" t="s">
        <v>2753</v>
      </c>
      <c r="AA15" s="53" t="s">
        <v>1065</v>
      </c>
      <c r="AB15" s="57" t="s">
        <v>1961</v>
      </c>
    </row>
    <row r="16" spans="6:28" x14ac:dyDescent="0.2">
      <c r="F16" s="7" t="s">
        <v>659</v>
      </c>
      <c r="G16" s="36" t="s">
        <v>2759</v>
      </c>
      <c r="H16" t="b">
        <f t="shared" si="1"/>
        <v>1</v>
      </c>
      <c r="I16" s="33" t="s">
        <v>2759</v>
      </c>
      <c r="N16" t="b">
        <f t="shared" si="0"/>
        <v>1</v>
      </c>
      <c r="O16" s="32" t="s">
        <v>2759</v>
      </c>
      <c r="U16" s="71" t="s">
        <v>1415</v>
      </c>
      <c r="V16" s="54" t="s">
        <v>440</v>
      </c>
      <c r="W16" s="71" t="s">
        <v>1415</v>
      </c>
      <c r="X16" s="71" t="s">
        <v>1415</v>
      </c>
      <c r="AA16" s="54" t="s">
        <v>1065</v>
      </c>
      <c r="AB16" s="56" t="s">
        <v>1956</v>
      </c>
    </row>
    <row r="17" spans="6:28" x14ac:dyDescent="0.2">
      <c r="F17" s="7" t="s">
        <v>646</v>
      </c>
      <c r="G17" s="36" t="s">
        <v>1072</v>
      </c>
      <c r="H17" t="b">
        <f t="shared" si="1"/>
        <v>1</v>
      </c>
      <c r="I17" s="33" t="s">
        <v>1072</v>
      </c>
      <c r="N17" t="b">
        <f t="shared" si="0"/>
        <v>1</v>
      </c>
      <c r="O17" s="32" t="s">
        <v>1072</v>
      </c>
      <c r="U17" s="71" t="s">
        <v>2752</v>
      </c>
      <c r="V17" s="53" t="s">
        <v>447</v>
      </c>
      <c r="W17" s="72" t="s">
        <v>529</v>
      </c>
      <c r="X17" s="72" t="s">
        <v>529</v>
      </c>
      <c r="AA17" s="53" t="s">
        <v>1065</v>
      </c>
      <c r="AB17" s="57" t="s">
        <v>1955</v>
      </c>
    </row>
    <row r="18" spans="6:28" x14ac:dyDescent="0.2">
      <c r="F18" s="7" t="s">
        <v>385</v>
      </c>
      <c r="H18" t="b">
        <f t="shared" si="1"/>
        <v>0</v>
      </c>
      <c r="I18" s="35" t="s">
        <v>1556</v>
      </c>
      <c r="N18" t="b">
        <f t="shared" si="0"/>
        <v>1</v>
      </c>
      <c r="O18" s="38" t="s">
        <v>1556</v>
      </c>
      <c r="U18" s="71" t="s">
        <v>2751</v>
      </c>
      <c r="V18" s="54" t="s">
        <v>459</v>
      </c>
      <c r="W18" s="72" t="s">
        <v>577</v>
      </c>
      <c r="X18" s="54"/>
      <c r="AA18" s="54" t="s">
        <v>1065</v>
      </c>
      <c r="AB18" s="56" t="s">
        <v>1960</v>
      </c>
    </row>
    <row r="19" spans="6:28" x14ac:dyDescent="0.2">
      <c r="F19" s="7" t="s">
        <v>1221</v>
      </c>
      <c r="G19" s="36" t="s">
        <v>1156</v>
      </c>
      <c r="H19" t="b">
        <f t="shared" si="1"/>
        <v>1</v>
      </c>
      <c r="I19" s="33" t="s">
        <v>1156</v>
      </c>
      <c r="N19" t="b">
        <f t="shared" si="0"/>
        <v>1</v>
      </c>
      <c r="O19" s="32" t="s">
        <v>1156</v>
      </c>
      <c r="U19" s="71" t="s">
        <v>1191</v>
      </c>
      <c r="V19" s="53" t="s">
        <v>464</v>
      </c>
      <c r="W19" s="71" t="s">
        <v>2752</v>
      </c>
      <c r="X19" s="72" t="s">
        <v>577</v>
      </c>
      <c r="AA19" s="53" t="s">
        <v>905</v>
      </c>
      <c r="AB19" s="57" t="s">
        <v>1961</v>
      </c>
    </row>
    <row r="20" spans="6:28" x14ac:dyDescent="0.2">
      <c r="F20" s="7" t="s">
        <v>1247</v>
      </c>
      <c r="H20" t="b">
        <f t="shared" si="1"/>
        <v>0</v>
      </c>
      <c r="I20" s="37" t="s">
        <v>1474</v>
      </c>
      <c r="N20" t="b">
        <f t="shared" si="0"/>
        <v>1</v>
      </c>
      <c r="O20" s="32" t="s">
        <v>1474</v>
      </c>
      <c r="U20" s="71" t="s">
        <v>2750</v>
      </c>
      <c r="V20" s="54" t="s">
        <v>475</v>
      </c>
      <c r="W20" s="71" t="s">
        <v>2751</v>
      </c>
      <c r="X20" s="71" t="s">
        <v>2752</v>
      </c>
      <c r="AA20" s="53" t="s">
        <v>905</v>
      </c>
      <c r="AB20" s="57" t="s">
        <v>1955</v>
      </c>
    </row>
    <row r="21" spans="6:28" x14ac:dyDescent="0.2">
      <c r="F21" s="7" t="s">
        <v>1258</v>
      </c>
      <c r="G21" s="36" t="s">
        <v>2750</v>
      </c>
      <c r="H21" t="b">
        <f t="shared" si="1"/>
        <v>1</v>
      </c>
      <c r="I21" s="33" t="s">
        <v>2750</v>
      </c>
      <c r="N21" t="b">
        <f t="shared" si="0"/>
        <v>1</v>
      </c>
      <c r="O21" s="32" t="s">
        <v>2750</v>
      </c>
      <c r="U21" s="71" t="s">
        <v>2749</v>
      </c>
      <c r="V21" s="53" t="s">
        <v>503</v>
      </c>
      <c r="W21" s="71" t="s">
        <v>1191</v>
      </c>
      <c r="X21" s="71" t="s">
        <v>2751</v>
      </c>
      <c r="AA21" s="53" t="s">
        <v>1398</v>
      </c>
      <c r="AB21" s="57" t="s">
        <v>1955</v>
      </c>
    </row>
    <row r="22" spans="6:28" x14ac:dyDescent="0.2">
      <c r="F22" s="7" t="s">
        <v>1281</v>
      </c>
      <c r="H22" t="b">
        <f t="shared" si="1"/>
        <v>0</v>
      </c>
      <c r="I22" s="35" t="s">
        <v>1065</v>
      </c>
      <c r="N22" t="b">
        <f t="shared" si="0"/>
        <v>1</v>
      </c>
      <c r="O22" s="38" t="s">
        <v>1065</v>
      </c>
      <c r="U22" s="71" t="s">
        <v>2748</v>
      </c>
      <c r="V22" s="54" t="s">
        <v>511</v>
      </c>
      <c r="W22" s="71" t="s">
        <v>2750</v>
      </c>
      <c r="X22" s="71" t="s">
        <v>1191</v>
      </c>
      <c r="AA22" s="53" t="s">
        <v>809</v>
      </c>
      <c r="AB22" s="57" t="s">
        <v>1956</v>
      </c>
    </row>
    <row r="23" spans="6:28" x14ac:dyDescent="0.2">
      <c r="F23" s="7" t="s">
        <v>1294</v>
      </c>
      <c r="H23" t="b">
        <f t="shared" si="1"/>
        <v>0</v>
      </c>
      <c r="I23" s="35" t="s">
        <v>905</v>
      </c>
      <c r="N23" t="b">
        <f t="shared" si="0"/>
        <v>1</v>
      </c>
      <c r="O23" s="38" t="s">
        <v>905</v>
      </c>
      <c r="U23" s="71" t="s">
        <v>2746</v>
      </c>
      <c r="V23" s="53" t="s">
        <v>517</v>
      </c>
      <c r="W23" s="71" t="s">
        <v>2749</v>
      </c>
      <c r="X23" s="71" t="s">
        <v>2750</v>
      </c>
      <c r="AA23" s="54" t="s">
        <v>809</v>
      </c>
      <c r="AB23" s="56" t="s">
        <v>1960</v>
      </c>
    </row>
    <row r="24" spans="6:28" x14ac:dyDescent="0.2">
      <c r="F24" s="7" t="s">
        <v>725</v>
      </c>
      <c r="H24" t="b">
        <f t="shared" si="1"/>
        <v>0</v>
      </c>
      <c r="I24" s="35" t="s">
        <v>1398</v>
      </c>
      <c r="N24" t="b">
        <f t="shared" si="0"/>
        <v>1</v>
      </c>
      <c r="O24" s="38" t="s">
        <v>1398</v>
      </c>
      <c r="U24" s="71" t="s">
        <v>2745</v>
      </c>
      <c r="V24" s="54" t="s">
        <v>526</v>
      </c>
      <c r="W24" s="71" t="s">
        <v>2748</v>
      </c>
      <c r="X24" s="71" t="s">
        <v>2749</v>
      </c>
      <c r="AA24" s="53" t="s">
        <v>1191</v>
      </c>
      <c r="AB24" s="57" t="s">
        <v>1961</v>
      </c>
    </row>
    <row r="25" spans="6:28" x14ac:dyDescent="0.2">
      <c r="F25" s="7" t="s">
        <v>335</v>
      </c>
      <c r="H25" t="b">
        <f t="shared" si="1"/>
        <v>1</v>
      </c>
      <c r="I25" s="35"/>
      <c r="N25" t="b">
        <f t="shared" si="0"/>
        <v>0</v>
      </c>
      <c r="O25" s="38" t="s">
        <v>809</v>
      </c>
      <c r="U25" s="71" t="s">
        <v>2744</v>
      </c>
      <c r="V25" s="53" t="s">
        <v>544</v>
      </c>
      <c r="W25" s="72" t="s">
        <v>809</v>
      </c>
      <c r="X25" s="71" t="s">
        <v>2748</v>
      </c>
      <c r="AA25" s="54" t="s">
        <v>1191</v>
      </c>
      <c r="AB25" s="56" t="s">
        <v>1956</v>
      </c>
    </row>
    <row r="26" spans="6:28" x14ac:dyDescent="0.2">
      <c r="F26" s="7" t="s">
        <v>1466</v>
      </c>
      <c r="G26" s="36" t="s">
        <v>2757</v>
      </c>
      <c r="H26" t="b">
        <f t="shared" si="1"/>
        <v>1</v>
      </c>
      <c r="I26" s="33" t="s">
        <v>2757</v>
      </c>
      <c r="N26" t="b">
        <f t="shared" si="0"/>
        <v>1</v>
      </c>
      <c r="O26" s="32" t="s">
        <v>2757</v>
      </c>
      <c r="U26" s="71" t="s">
        <v>2743</v>
      </c>
      <c r="V26" s="54" t="s">
        <v>552</v>
      </c>
      <c r="W26" s="72" t="s">
        <v>816</v>
      </c>
      <c r="X26" s="72" t="s">
        <v>809</v>
      </c>
      <c r="AA26" s="54" t="s">
        <v>1191</v>
      </c>
      <c r="AB26" s="56" t="s">
        <v>1959</v>
      </c>
    </row>
    <row r="27" spans="6:28" x14ac:dyDescent="0.2">
      <c r="F27" s="7" t="s">
        <v>468</v>
      </c>
      <c r="G27" s="36" t="s">
        <v>2745</v>
      </c>
      <c r="H27" t="b">
        <f t="shared" si="1"/>
        <v>1</v>
      </c>
      <c r="I27" s="33" t="s">
        <v>2745</v>
      </c>
      <c r="N27" t="b">
        <f t="shared" si="0"/>
        <v>1</v>
      </c>
      <c r="O27" s="32" t="s">
        <v>2745</v>
      </c>
      <c r="U27" s="71" t="s">
        <v>1031</v>
      </c>
      <c r="V27" s="53" t="s">
        <v>574</v>
      </c>
      <c r="W27" s="71" t="s">
        <v>2746</v>
      </c>
      <c r="X27" s="72" t="s">
        <v>816</v>
      </c>
      <c r="AA27" s="54" t="s">
        <v>1191</v>
      </c>
      <c r="AB27" s="56" t="s">
        <v>1962</v>
      </c>
    </row>
    <row r="28" spans="6:28" x14ac:dyDescent="0.2">
      <c r="F28" s="7" t="s">
        <v>1550</v>
      </c>
      <c r="G28" s="36" t="s">
        <v>2755</v>
      </c>
      <c r="H28" t="b">
        <f t="shared" si="1"/>
        <v>1</v>
      </c>
      <c r="I28" s="33" t="s">
        <v>2755</v>
      </c>
      <c r="N28" t="b">
        <f t="shared" si="0"/>
        <v>1</v>
      </c>
      <c r="O28" s="32" t="s">
        <v>2755</v>
      </c>
      <c r="U28" s="71" t="s">
        <v>1156</v>
      </c>
      <c r="V28" s="54" t="s">
        <v>583</v>
      </c>
      <c r="W28" s="71" t="s">
        <v>2745</v>
      </c>
      <c r="X28" s="71" t="s">
        <v>2746</v>
      </c>
      <c r="AA28" s="54" t="s">
        <v>1191</v>
      </c>
      <c r="AB28" s="56" t="s">
        <v>1965</v>
      </c>
    </row>
    <row r="29" spans="6:28" x14ac:dyDescent="0.2">
      <c r="F29" s="7" t="s">
        <v>480</v>
      </c>
      <c r="G29" s="36" t="s">
        <v>2749</v>
      </c>
      <c r="H29" t="b">
        <f t="shared" si="1"/>
        <v>1</v>
      </c>
      <c r="I29" s="33" t="s">
        <v>2749</v>
      </c>
      <c r="N29" t="b">
        <f t="shared" si="0"/>
        <v>1</v>
      </c>
      <c r="O29" s="32" t="s">
        <v>2749</v>
      </c>
      <c r="U29" s="71" t="s">
        <v>2742</v>
      </c>
      <c r="V29" s="53" t="s">
        <v>601</v>
      </c>
      <c r="W29" s="72" t="s">
        <v>905</v>
      </c>
      <c r="X29" s="71" t="s">
        <v>2745</v>
      </c>
      <c r="AA29" s="53" t="s">
        <v>1191</v>
      </c>
      <c r="AB29" s="57" t="s">
        <v>1955</v>
      </c>
    </row>
    <row r="30" spans="6:28" x14ac:dyDescent="0.2">
      <c r="F30" s="7" t="s">
        <v>1660</v>
      </c>
      <c r="G30" s="36" t="s">
        <v>2740</v>
      </c>
      <c r="H30" t="b">
        <f t="shared" si="1"/>
        <v>1</v>
      </c>
      <c r="I30" s="33" t="s">
        <v>2740</v>
      </c>
      <c r="N30" t="b">
        <f t="shared" si="0"/>
        <v>1</v>
      </c>
      <c r="O30" s="32" t="s">
        <v>2740</v>
      </c>
      <c r="U30" s="71" t="s">
        <v>2741</v>
      </c>
      <c r="V30" s="54" t="s">
        <v>611</v>
      </c>
      <c r="W30" s="72" t="s">
        <v>933</v>
      </c>
      <c r="X30" s="72" t="s">
        <v>905</v>
      </c>
      <c r="AA30" s="54" t="s">
        <v>1191</v>
      </c>
      <c r="AB30" s="56" t="s">
        <v>1960</v>
      </c>
    </row>
    <row r="31" spans="6:28" x14ac:dyDescent="0.2">
      <c r="F31" s="7" t="s">
        <v>754</v>
      </c>
      <c r="G31" s="36" t="s">
        <v>1191</v>
      </c>
      <c r="H31" t="b">
        <f t="shared" si="1"/>
        <v>1</v>
      </c>
      <c r="I31" s="33" t="s">
        <v>1191</v>
      </c>
      <c r="N31" t="b">
        <f t="shared" si="0"/>
        <v>1</v>
      </c>
      <c r="O31" s="32" t="s">
        <v>1191</v>
      </c>
      <c r="U31" s="71" t="s">
        <v>2740</v>
      </c>
      <c r="V31" s="53" t="s">
        <v>619</v>
      </c>
      <c r="W31" s="71" t="s">
        <v>2744</v>
      </c>
      <c r="X31" s="72" t="s">
        <v>933</v>
      </c>
      <c r="AA31" s="54" t="s">
        <v>1191</v>
      </c>
      <c r="AB31" s="56" t="s">
        <v>441</v>
      </c>
    </row>
    <row r="32" spans="6:28" x14ac:dyDescent="0.2">
      <c r="F32" s="7" t="s">
        <v>1795</v>
      </c>
      <c r="G32" s="36" t="s">
        <v>2738</v>
      </c>
      <c r="H32" t="b">
        <f t="shared" si="1"/>
        <v>1</v>
      </c>
      <c r="I32" s="33" t="s">
        <v>2738</v>
      </c>
      <c r="N32" t="b">
        <f t="shared" si="0"/>
        <v>1</v>
      </c>
      <c r="O32" s="32" t="s">
        <v>2738</v>
      </c>
      <c r="U32" s="71" t="s">
        <v>2739</v>
      </c>
      <c r="V32" s="54" t="s">
        <v>632</v>
      </c>
      <c r="W32" s="71" t="s">
        <v>2743</v>
      </c>
      <c r="X32" s="71" t="s">
        <v>2744</v>
      </c>
      <c r="AA32" s="54" t="s">
        <v>1191</v>
      </c>
      <c r="AB32" s="56" t="s">
        <v>1957</v>
      </c>
    </row>
    <row r="33" spans="6:28" x14ac:dyDescent="0.2">
      <c r="F33" s="7" t="s">
        <v>1838</v>
      </c>
      <c r="H33" t="b">
        <f>G31=I33</f>
        <v>0</v>
      </c>
      <c r="I33" s="35" t="s">
        <v>529</v>
      </c>
      <c r="N33" t="b">
        <f t="shared" si="0"/>
        <v>1</v>
      </c>
      <c r="O33" s="38" t="s">
        <v>529</v>
      </c>
      <c r="U33" s="71" t="s">
        <v>2738</v>
      </c>
      <c r="V33" s="53" t="s">
        <v>639</v>
      </c>
      <c r="W33" s="71" t="s">
        <v>1031</v>
      </c>
      <c r="X33" s="71" t="s">
        <v>2743</v>
      </c>
      <c r="AA33" s="54" t="s">
        <v>529</v>
      </c>
      <c r="AB33" s="56" t="s">
        <v>1958</v>
      </c>
    </row>
    <row r="34" spans="6:28" x14ac:dyDescent="0.2">
      <c r="F34" s="7" t="s">
        <v>1879</v>
      </c>
      <c r="G34" s="36" t="s">
        <v>1031</v>
      </c>
      <c r="H34" t="b">
        <f t="shared" si="1"/>
        <v>1</v>
      </c>
      <c r="I34" s="33" t="s">
        <v>1031</v>
      </c>
      <c r="N34" t="b">
        <f t="shared" si="0"/>
        <v>1</v>
      </c>
      <c r="O34" s="32" t="s">
        <v>1031</v>
      </c>
      <c r="U34" s="71" t="s">
        <v>2737</v>
      </c>
      <c r="V34" s="54" t="s">
        <v>644</v>
      </c>
      <c r="W34" s="72" t="s">
        <v>1065</v>
      </c>
      <c r="X34" s="71" t="s">
        <v>1031</v>
      </c>
      <c r="AA34" s="53" t="s">
        <v>529</v>
      </c>
      <c r="AB34" s="57" t="s">
        <v>1960</v>
      </c>
    </row>
    <row r="35" spans="6:28" x14ac:dyDescent="0.2">
      <c r="G35" s="36" t="s">
        <v>2736</v>
      </c>
      <c r="H35" t="b">
        <f t="shared" si="1"/>
        <v>1</v>
      </c>
      <c r="I35" s="33" t="s">
        <v>2736</v>
      </c>
      <c r="N35" t="b">
        <f t="shared" si="0"/>
        <v>1</v>
      </c>
      <c r="O35" s="32" t="s">
        <v>2736</v>
      </c>
      <c r="U35" s="71" t="s">
        <v>1474</v>
      </c>
      <c r="V35" s="53" t="s">
        <v>650</v>
      </c>
      <c r="W35" s="72" t="s">
        <v>1135</v>
      </c>
      <c r="X35" s="72" t="s">
        <v>1065</v>
      </c>
      <c r="AA35" s="54" t="s">
        <v>529</v>
      </c>
      <c r="AB35" s="56" t="s">
        <v>1961</v>
      </c>
    </row>
    <row r="36" spans="6:28" x14ac:dyDescent="0.2">
      <c r="H36" t="b">
        <f t="shared" si="1"/>
        <v>1</v>
      </c>
      <c r="I36" s="35"/>
      <c r="N36" t="b">
        <f t="shared" si="0"/>
        <v>0</v>
      </c>
      <c r="O36" s="38" t="s">
        <v>816</v>
      </c>
      <c r="U36" s="71" t="s">
        <v>1529</v>
      </c>
      <c r="V36" s="54" t="s">
        <v>657</v>
      </c>
      <c r="W36" s="72" t="s">
        <v>1142</v>
      </c>
      <c r="X36" s="72" t="s">
        <v>1135</v>
      </c>
      <c r="AA36" s="53" t="s">
        <v>529</v>
      </c>
      <c r="AB36" s="57" t="s">
        <v>1957</v>
      </c>
    </row>
    <row r="37" spans="6:28" x14ac:dyDescent="0.2">
      <c r="G37" s="36" t="s">
        <v>288</v>
      </c>
      <c r="H37" t="b">
        <f t="shared" si="1"/>
        <v>1</v>
      </c>
      <c r="I37" s="33" t="s">
        <v>288</v>
      </c>
      <c r="N37" t="b">
        <f t="shared" si="0"/>
        <v>1</v>
      </c>
      <c r="O37" s="32" t="s">
        <v>288</v>
      </c>
      <c r="U37" s="71" t="s">
        <v>2747</v>
      </c>
      <c r="V37" s="53" t="s">
        <v>672</v>
      </c>
      <c r="W37" s="71" t="s">
        <v>1156</v>
      </c>
      <c r="X37" s="72" t="s">
        <v>1142</v>
      </c>
      <c r="AA37" s="54" t="s">
        <v>529</v>
      </c>
      <c r="AB37" s="56" t="s">
        <v>1962</v>
      </c>
    </row>
    <row r="38" spans="6:28" x14ac:dyDescent="0.2">
      <c r="H38" t="b">
        <f t="shared" si="1"/>
        <v>1</v>
      </c>
      <c r="I38" s="35"/>
      <c r="N38" t="b">
        <f t="shared" si="0"/>
        <v>0</v>
      </c>
      <c r="O38" s="38" t="s">
        <v>933</v>
      </c>
      <c r="U38" s="71" t="s">
        <v>2736</v>
      </c>
      <c r="V38" s="54" t="s">
        <v>702</v>
      </c>
      <c r="W38" s="71" t="s">
        <v>2742</v>
      </c>
      <c r="X38" s="71" t="s">
        <v>1156</v>
      </c>
      <c r="AA38" s="54" t="s">
        <v>816</v>
      </c>
      <c r="AB38" s="56" t="s">
        <v>1956</v>
      </c>
    </row>
    <row r="39" spans="6:28" x14ac:dyDescent="0.2">
      <c r="G39" s="36" t="s">
        <v>2751</v>
      </c>
      <c r="H39" t="b">
        <f t="shared" si="1"/>
        <v>1</v>
      </c>
      <c r="I39" s="33" t="s">
        <v>2751</v>
      </c>
      <c r="N39" t="b">
        <f t="shared" si="0"/>
        <v>1</v>
      </c>
      <c r="O39" s="32" t="s">
        <v>2751</v>
      </c>
      <c r="U39" s="71" t="s">
        <v>2735</v>
      </c>
      <c r="V39" s="53" t="s">
        <v>720</v>
      </c>
      <c r="W39" s="71" t="s">
        <v>2741</v>
      </c>
      <c r="X39" s="71" t="s">
        <v>2742</v>
      </c>
      <c r="AA39" s="53" t="s">
        <v>933</v>
      </c>
      <c r="AB39" s="57" t="s">
        <v>1958</v>
      </c>
    </row>
    <row r="40" spans="6:28" x14ac:dyDescent="0.2">
      <c r="G40" s="36" t="s">
        <v>2762</v>
      </c>
      <c r="H40" t="b">
        <f t="shared" si="1"/>
        <v>0</v>
      </c>
      <c r="I40" s="35"/>
      <c r="N40" t="b">
        <f t="shared" si="0"/>
        <v>0</v>
      </c>
      <c r="O40" s="38" t="s">
        <v>1846</v>
      </c>
      <c r="U40" s="71" t="s">
        <v>2734</v>
      </c>
      <c r="V40" s="54" t="s">
        <v>737</v>
      </c>
      <c r="W40" s="71" t="s">
        <v>2740</v>
      </c>
      <c r="X40" s="71" t="s">
        <v>2741</v>
      </c>
      <c r="AA40" s="54" t="s">
        <v>1846</v>
      </c>
      <c r="AB40" s="56" t="s">
        <v>1960</v>
      </c>
    </row>
    <row r="41" spans="6:28" x14ac:dyDescent="0.2">
      <c r="G41" s="36" t="s">
        <v>2763</v>
      </c>
      <c r="H41" t="b">
        <f t="shared" si="1"/>
        <v>0</v>
      </c>
      <c r="I41" s="33" t="s">
        <v>2747</v>
      </c>
      <c r="N41" t="b">
        <f t="shared" si="0"/>
        <v>1</v>
      </c>
      <c r="O41" s="32" t="s">
        <v>2747</v>
      </c>
      <c r="V41" s="53" t="s">
        <v>753</v>
      </c>
      <c r="W41" s="71" t="s">
        <v>2739</v>
      </c>
      <c r="X41" s="71" t="s">
        <v>2740</v>
      </c>
      <c r="AA41" s="53" t="s">
        <v>1846</v>
      </c>
      <c r="AB41" s="57" t="s">
        <v>1961</v>
      </c>
    </row>
    <row r="42" spans="6:28" x14ac:dyDescent="0.2">
      <c r="H42" t="b">
        <f t="shared" si="1"/>
        <v>1</v>
      </c>
      <c r="I42" s="35"/>
      <c r="N42" t="b">
        <f t="shared" si="0"/>
        <v>0</v>
      </c>
      <c r="O42" s="38" t="s">
        <v>1369</v>
      </c>
      <c r="V42" s="54" t="s">
        <v>764</v>
      </c>
      <c r="W42" s="71" t="s">
        <v>2738</v>
      </c>
      <c r="X42" s="71" t="s">
        <v>2739</v>
      </c>
      <c r="AA42" s="53" t="s">
        <v>1846</v>
      </c>
      <c r="AB42" s="57" t="s">
        <v>1956</v>
      </c>
    </row>
    <row r="43" spans="6:28" x14ac:dyDescent="0.2">
      <c r="H43" t="b">
        <f t="shared" si="1"/>
        <v>0</v>
      </c>
      <c r="I43" s="33" t="s">
        <v>2734</v>
      </c>
      <c r="N43" t="b">
        <f t="shared" si="0"/>
        <v>1</v>
      </c>
      <c r="O43" s="32" t="s">
        <v>2734</v>
      </c>
      <c r="V43" s="53" t="s">
        <v>771</v>
      </c>
      <c r="W43" s="72" t="s">
        <v>1324</v>
      </c>
      <c r="X43" s="71" t="s">
        <v>2738</v>
      </c>
      <c r="AA43" s="54" t="s">
        <v>1846</v>
      </c>
      <c r="AB43" s="56" t="s">
        <v>1962</v>
      </c>
    </row>
    <row r="44" spans="6:28" x14ac:dyDescent="0.2">
      <c r="G44" s="36" t="s">
        <v>2752</v>
      </c>
      <c r="H44" t="b">
        <f t="shared" si="1"/>
        <v>1</v>
      </c>
      <c r="I44" s="33" t="s">
        <v>2752</v>
      </c>
      <c r="N44" t="b">
        <f t="shared" si="0"/>
        <v>1</v>
      </c>
      <c r="O44" s="32" t="s">
        <v>2752</v>
      </c>
      <c r="V44" s="54" t="s">
        <v>781</v>
      </c>
      <c r="W44" s="72" t="s">
        <v>1369</v>
      </c>
      <c r="X44" s="72" t="s">
        <v>1324</v>
      </c>
      <c r="AA44" s="53" t="s">
        <v>1369</v>
      </c>
      <c r="AB44" s="57" t="s">
        <v>1946</v>
      </c>
    </row>
    <row r="45" spans="6:28" x14ac:dyDescent="0.2">
      <c r="H45" t="b">
        <f t="shared" si="1"/>
        <v>0</v>
      </c>
      <c r="I45" s="35" t="s">
        <v>1638</v>
      </c>
      <c r="N45" t="b">
        <f t="shared" si="0"/>
        <v>1</v>
      </c>
      <c r="O45" s="38" t="s">
        <v>1638</v>
      </c>
      <c r="V45" s="53" t="s">
        <v>787</v>
      </c>
      <c r="W45" s="72" t="s">
        <v>1398</v>
      </c>
      <c r="X45" s="53"/>
      <c r="AA45" s="53" t="s">
        <v>1369</v>
      </c>
      <c r="AB45" s="57" t="s">
        <v>1960</v>
      </c>
    </row>
    <row r="46" spans="6:28" x14ac:dyDescent="0.2">
      <c r="G46" s="36" t="s">
        <v>2737</v>
      </c>
      <c r="H46" t="b">
        <f t="shared" si="1"/>
        <v>1</v>
      </c>
      <c r="I46" s="33" t="s">
        <v>2737</v>
      </c>
      <c r="N46" t="b">
        <f t="shared" si="0"/>
        <v>1</v>
      </c>
      <c r="O46" s="32" t="s">
        <v>2737</v>
      </c>
      <c r="V46" s="54" t="s">
        <v>796</v>
      </c>
      <c r="W46" s="71" t="s">
        <v>2737</v>
      </c>
      <c r="X46" s="72" t="s">
        <v>1369</v>
      </c>
      <c r="AA46" s="54" t="s">
        <v>1369</v>
      </c>
      <c r="AB46" s="56" t="s">
        <v>1955</v>
      </c>
    </row>
    <row r="47" spans="6:28" x14ac:dyDescent="0.2">
      <c r="G47" s="36" t="s">
        <v>2743</v>
      </c>
      <c r="H47" t="b">
        <f t="shared" si="1"/>
        <v>1</v>
      </c>
      <c r="I47" s="33" t="s">
        <v>2743</v>
      </c>
      <c r="N47" t="b">
        <f t="shared" si="0"/>
        <v>1</v>
      </c>
      <c r="O47" s="32" t="s">
        <v>2743</v>
      </c>
      <c r="V47" s="53" t="s">
        <v>802</v>
      </c>
      <c r="W47" s="71" t="s">
        <v>1474</v>
      </c>
      <c r="X47" s="72" t="s">
        <v>1398</v>
      </c>
      <c r="AA47" s="53" t="s">
        <v>1638</v>
      </c>
      <c r="AB47" s="57" t="s">
        <v>1956</v>
      </c>
    </row>
    <row r="48" spans="6:28" x14ac:dyDescent="0.2">
      <c r="G48" s="36" t="s">
        <v>2739</v>
      </c>
      <c r="H48" t="b">
        <f t="shared" si="1"/>
        <v>1</v>
      </c>
      <c r="I48" s="33" t="s">
        <v>2739</v>
      </c>
      <c r="N48" t="b">
        <f t="shared" si="0"/>
        <v>1</v>
      </c>
      <c r="O48" s="32" t="s">
        <v>2739</v>
      </c>
      <c r="V48" s="70" t="s">
        <v>806</v>
      </c>
      <c r="W48" s="72" t="s">
        <v>1518</v>
      </c>
      <c r="X48" s="54"/>
      <c r="AA48" s="54" t="s">
        <v>1638</v>
      </c>
      <c r="AB48" s="56" t="s">
        <v>1958</v>
      </c>
    </row>
    <row r="49" spans="7:28" x14ac:dyDescent="0.2">
      <c r="H49" t="b">
        <f t="shared" si="1"/>
        <v>0</v>
      </c>
      <c r="I49" s="35" t="s">
        <v>1518</v>
      </c>
      <c r="N49" t="b">
        <f t="shared" si="0"/>
        <v>1</v>
      </c>
      <c r="O49" s="38" t="s">
        <v>1518</v>
      </c>
      <c r="V49" s="70" t="s">
        <v>815</v>
      </c>
      <c r="W49" s="71" t="s">
        <v>1529</v>
      </c>
      <c r="X49" s="71" t="s">
        <v>2737</v>
      </c>
      <c r="AA49" s="53" t="s">
        <v>1638</v>
      </c>
      <c r="AB49" s="57" t="s">
        <v>1960</v>
      </c>
    </row>
    <row r="50" spans="7:28" x14ac:dyDescent="0.2">
      <c r="G50" s="36" t="s">
        <v>2742</v>
      </c>
      <c r="H50" t="b">
        <f t="shared" si="1"/>
        <v>1</v>
      </c>
      <c r="I50" s="33" t="s">
        <v>2742</v>
      </c>
      <c r="N50" t="b">
        <f t="shared" si="0"/>
        <v>1</v>
      </c>
      <c r="O50" s="32" t="s">
        <v>2742</v>
      </c>
      <c r="V50" s="54" t="s">
        <v>829</v>
      </c>
      <c r="W50" s="71" t="s">
        <v>2747</v>
      </c>
      <c r="X50" s="71" t="s">
        <v>1474</v>
      </c>
      <c r="AA50" s="54" t="s">
        <v>1638</v>
      </c>
      <c r="AB50" s="56" t="s">
        <v>1955</v>
      </c>
    </row>
    <row r="51" spans="7:28" x14ac:dyDescent="0.2">
      <c r="G51" s="36" t="s">
        <v>2741</v>
      </c>
      <c r="H51" t="b">
        <f t="shared" si="1"/>
        <v>1</v>
      </c>
      <c r="I51" s="33" t="s">
        <v>2741</v>
      </c>
      <c r="N51" t="b">
        <f t="shared" si="0"/>
        <v>1</v>
      </c>
      <c r="O51" s="32" t="s">
        <v>2741</v>
      </c>
      <c r="V51" s="53" t="s">
        <v>836</v>
      </c>
      <c r="W51" s="72" t="s">
        <v>1556</v>
      </c>
      <c r="X51" s="72" t="s">
        <v>1518</v>
      </c>
      <c r="AA51" s="53" t="s">
        <v>1638</v>
      </c>
      <c r="AB51" s="57" t="s">
        <v>1957</v>
      </c>
    </row>
    <row r="52" spans="7:28" x14ac:dyDescent="0.2">
      <c r="H52" t="b">
        <f t="shared" si="1"/>
        <v>0</v>
      </c>
      <c r="I52" s="37" t="s">
        <v>2753</v>
      </c>
      <c r="N52" t="b">
        <f t="shared" si="0"/>
        <v>1</v>
      </c>
      <c r="O52" s="32" t="s">
        <v>2753</v>
      </c>
      <c r="V52" s="54" t="s">
        <v>850</v>
      </c>
      <c r="W52" s="72" t="s">
        <v>1638</v>
      </c>
      <c r="X52" s="71" t="s">
        <v>1529</v>
      </c>
      <c r="AA52" s="54" t="s">
        <v>1638</v>
      </c>
      <c r="AB52" s="56" t="s">
        <v>1962</v>
      </c>
    </row>
    <row r="53" spans="7:28" x14ac:dyDescent="0.2">
      <c r="H53" t="b">
        <f t="shared" si="1"/>
        <v>0</v>
      </c>
      <c r="I53" s="35" t="s">
        <v>1135</v>
      </c>
      <c r="N53" t="b">
        <f t="shared" si="0"/>
        <v>1</v>
      </c>
      <c r="O53" s="38" t="s">
        <v>1135</v>
      </c>
      <c r="V53" s="53" t="s">
        <v>873</v>
      </c>
      <c r="W53" s="71" t="s">
        <v>2736</v>
      </c>
      <c r="X53" s="71" t="s">
        <v>2747</v>
      </c>
      <c r="AA53" s="53" t="s">
        <v>1518</v>
      </c>
      <c r="AB53" s="57" t="s">
        <v>1955</v>
      </c>
    </row>
    <row r="54" spans="7:28" x14ac:dyDescent="0.2">
      <c r="G54" s="36" t="s">
        <v>2744</v>
      </c>
      <c r="H54" t="b">
        <f t="shared" si="1"/>
        <v>1</v>
      </c>
      <c r="I54" s="33" t="s">
        <v>2744</v>
      </c>
      <c r="N54" t="b">
        <f t="shared" si="0"/>
        <v>1</v>
      </c>
      <c r="O54" s="32" t="s">
        <v>2744</v>
      </c>
      <c r="V54" s="54" t="s">
        <v>888</v>
      </c>
      <c r="W54" s="71" t="s">
        <v>2735</v>
      </c>
      <c r="X54" s="72" t="s">
        <v>1556</v>
      </c>
      <c r="AA54" s="54" t="s">
        <v>1135</v>
      </c>
      <c r="AB54" s="56" t="s">
        <v>1957</v>
      </c>
    </row>
    <row r="55" spans="7:28" x14ac:dyDescent="0.2">
      <c r="G55" s="36" t="s">
        <v>1529</v>
      </c>
      <c r="H55" t="b">
        <f t="shared" si="1"/>
        <v>1</v>
      </c>
      <c r="I55" s="33" t="s">
        <v>1529</v>
      </c>
      <c r="N55" t="b">
        <f t="shared" si="0"/>
        <v>1</v>
      </c>
      <c r="O55" s="32" t="s">
        <v>1529</v>
      </c>
      <c r="V55" s="53" t="s">
        <v>903</v>
      </c>
      <c r="W55" s="72" t="s">
        <v>1846</v>
      </c>
      <c r="X55" s="72" t="s">
        <v>1638</v>
      </c>
      <c r="AA55" s="54" t="s">
        <v>1855</v>
      </c>
      <c r="AB55" s="56" t="s">
        <v>1956</v>
      </c>
    </row>
    <row r="56" spans="7:28" x14ac:dyDescent="0.2">
      <c r="N56" t="b">
        <f t="shared" si="0"/>
        <v>0</v>
      </c>
      <c r="O56" s="38" t="s">
        <v>1855</v>
      </c>
      <c r="V56" s="54" t="s">
        <v>916</v>
      </c>
      <c r="W56" s="72" t="s">
        <v>1855</v>
      </c>
      <c r="X56" s="54"/>
      <c r="AA56" s="53" t="s">
        <v>1324</v>
      </c>
      <c r="AB56" s="57" t="s">
        <v>1955</v>
      </c>
    </row>
    <row r="57" spans="7:28" x14ac:dyDescent="0.2">
      <c r="N57" t="b">
        <f>I58=O57</f>
        <v>0</v>
      </c>
      <c r="O57" s="38" t="s">
        <v>1324</v>
      </c>
      <c r="V57" s="53" t="s">
        <v>921</v>
      </c>
      <c r="W57" s="71" t="s">
        <v>2734</v>
      </c>
      <c r="X57" s="71" t="s">
        <v>2736</v>
      </c>
    </row>
    <row r="58" spans="7:28" x14ac:dyDescent="0.2">
      <c r="V58" s="54" t="s">
        <v>931</v>
      </c>
      <c r="X58" s="53"/>
    </row>
    <row r="59" spans="7:28" x14ac:dyDescent="0.2">
      <c r="V59" s="53" t="s">
        <v>961</v>
      </c>
      <c r="X59" s="71" t="s">
        <v>2735</v>
      </c>
    </row>
    <row r="60" spans="7:28" x14ac:dyDescent="0.2">
      <c r="V60" s="54" t="s">
        <v>968</v>
      </c>
      <c r="X60" s="72" t="s">
        <v>1846</v>
      </c>
    </row>
    <row r="61" spans="7:28" x14ac:dyDescent="0.2">
      <c r="V61" s="53" t="s">
        <v>985</v>
      </c>
      <c r="X61" s="72" t="s">
        <v>1855</v>
      </c>
    </row>
    <row r="62" spans="7:28" x14ac:dyDescent="0.2">
      <c r="V62" s="54" t="s">
        <v>1003</v>
      </c>
      <c r="X62" s="71" t="s">
        <v>2734</v>
      </c>
    </row>
    <row r="63" spans="7:28" x14ac:dyDescent="0.2">
      <c r="V63" s="53" t="s">
        <v>1016</v>
      </c>
    </row>
    <row r="64" spans="7:28" x14ac:dyDescent="0.2">
      <c r="V64" s="54" t="s">
        <v>1022</v>
      </c>
    </row>
    <row r="65" spans="22:22" x14ac:dyDescent="0.2">
      <c r="V65" s="69" t="s">
        <v>1029</v>
      </c>
    </row>
    <row r="66" spans="22:22" x14ac:dyDescent="0.2">
      <c r="V66" s="54" t="s">
        <v>1041</v>
      </c>
    </row>
    <row r="67" spans="22:22" x14ac:dyDescent="0.2">
      <c r="V67" s="53" t="s">
        <v>1049</v>
      </c>
    </row>
    <row r="68" spans="22:22" x14ac:dyDescent="0.2">
      <c r="V68" s="54" t="s">
        <v>1053</v>
      </c>
    </row>
    <row r="69" spans="22:22" x14ac:dyDescent="0.2">
      <c r="V69" s="53" t="s">
        <v>1060</v>
      </c>
    </row>
    <row r="70" spans="22:22" x14ac:dyDescent="0.2">
      <c r="V70" s="54" t="s">
        <v>1064</v>
      </c>
    </row>
    <row r="71" spans="22:22" x14ac:dyDescent="0.2">
      <c r="V71" s="53" t="s">
        <v>1071</v>
      </c>
    </row>
    <row r="72" spans="22:22" x14ac:dyDescent="0.2">
      <c r="V72" s="54" t="s">
        <v>1075</v>
      </c>
    </row>
    <row r="73" spans="22:22" x14ac:dyDescent="0.2">
      <c r="V73" s="53" t="s">
        <v>1088</v>
      </c>
    </row>
    <row r="74" spans="22:22" x14ac:dyDescent="0.2">
      <c r="V74" s="54" t="s">
        <v>1125</v>
      </c>
    </row>
    <row r="75" spans="22:22" x14ac:dyDescent="0.2">
      <c r="V75" s="53" t="s">
        <v>1128</v>
      </c>
    </row>
    <row r="76" spans="22:22" x14ac:dyDescent="0.2">
      <c r="V76" s="70" t="s">
        <v>1133</v>
      </c>
    </row>
    <row r="77" spans="22:22" x14ac:dyDescent="0.2">
      <c r="V77" s="53" t="s">
        <v>1140</v>
      </c>
    </row>
    <row r="78" spans="22:22" x14ac:dyDescent="0.2">
      <c r="V78" s="69" t="s">
        <v>1154</v>
      </c>
    </row>
    <row r="79" spans="22:22" x14ac:dyDescent="0.2">
      <c r="V79" s="53" t="s">
        <v>1167</v>
      </c>
    </row>
    <row r="80" spans="22:22" x14ac:dyDescent="0.2">
      <c r="V80" s="54" t="s">
        <v>1185</v>
      </c>
    </row>
    <row r="81" spans="22:22" x14ac:dyDescent="0.2">
      <c r="V81" s="70" t="s">
        <v>1189</v>
      </c>
    </row>
    <row r="82" spans="22:22" x14ac:dyDescent="0.2">
      <c r="V82" s="54" t="s">
        <v>1210</v>
      </c>
    </row>
    <row r="83" spans="22:22" x14ac:dyDescent="0.2">
      <c r="V83" s="53" t="s">
        <v>1220</v>
      </c>
    </row>
    <row r="84" spans="22:22" x14ac:dyDescent="0.2">
      <c r="V84" s="54" t="s">
        <v>1233</v>
      </c>
    </row>
    <row r="85" spans="22:22" x14ac:dyDescent="0.2">
      <c r="V85" s="53" t="s">
        <v>1246</v>
      </c>
    </row>
    <row r="86" spans="22:22" x14ac:dyDescent="0.2">
      <c r="V86" s="54" t="s">
        <v>1248</v>
      </c>
    </row>
    <row r="87" spans="22:22" x14ac:dyDescent="0.2">
      <c r="V87" s="53" t="s">
        <v>1256</v>
      </c>
    </row>
    <row r="88" spans="22:22" x14ac:dyDescent="0.2">
      <c r="V88" s="54" t="s">
        <v>1263</v>
      </c>
    </row>
    <row r="89" spans="22:22" x14ac:dyDescent="0.2">
      <c r="V89" s="53" t="s">
        <v>1272</v>
      </c>
    </row>
    <row r="90" spans="22:22" x14ac:dyDescent="0.2">
      <c r="V90" s="54" t="s">
        <v>1276</v>
      </c>
    </row>
    <row r="91" spans="22:22" x14ac:dyDescent="0.2">
      <c r="V91" s="53" t="s">
        <v>1292</v>
      </c>
    </row>
    <row r="92" spans="22:22" x14ac:dyDescent="0.2">
      <c r="V92" s="54" t="s">
        <v>1299</v>
      </c>
    </row>
    <row r="93" spans="22:22" x14ac:dyDescent="0.2">
      <c r="V93" s="53" t="s">
        <v>1315</v>
      </c>
    </row>
    <row r="94" spans="22:22" x14ac:dyDescent="0.2">
      <c r="V94" s="54" t="s">
        <v>1320</v>
      </c>
    </row>
    <row r="95" spans="22:22" x14ac:dyDescent="0.2">
      <c r="V95" s="53" t="s">
        <v>1323</v>
      </c>
    </row>
    <row r="96" spans="22:22" x14ac:dyDescent="0.2">
      <c r="V96" s="54" t="s">
        <v>1342</v>
      </c>
    </row>
    <row r="97" spans="22:22" x14ac:dyDescent="0.2">
      <c r="V97" s="53" t="s">
        <v>1367</v>
      </c>
    </row>
    <row r="98" spans="22:22" x14ac:dyDescent="0.2">
      <c r="V98" s="54" t="s">
        <v>1378</v>
      </c>
    </row>
    <row r="99" spans="22:22" x14ac:dyDescent="0.2">
      <c r="V99" s="70" t="s">
        <v>1397</v>
      </c>
    </row>
    <row r="100" spans="22:22" x14ac:dyDescent="0.2">
      <c r="V100" s="54" t="s">
        <v>1414</v>
      </c>
    </row>
    <row r="101" spans="22:22" x14ac:dyDescent="0.2">
      <c r="V101" s="53" t="s">
        <v>1447</v>
      </c>
    </row>
    <row r="102" spans="22:22" x14ac:dyDescent="0.2">
      <c r="V102" s="54" t="s">
        <v>1450</v>
      </c>
    </row>
    <row r="103" spans="22:22" x14ac:dyDescent="0.2">
      <c r="V103" s="53" t="s">
        <v>1454</v>
      </c>
    </row>
    <row r="104" spans="22:22" x14ac:dyDescent="0.2">
      <c r="V104" s="54" t="s">
        <v>1458</v>
      </c>
    </row>
    <row r="105" spans="22:22" x14ac:dyDescent="0.2">
      <c r="V105" s="53" t="s">
        <v>1464</v>
      </c>
    </row>
    <row r="106" spans="22:22" x14ac:dyDescent="0.2">
      <c r="V106" s="69" t="s">
        <v>1472</v>
      </c>
    </row>
    <row r="107" spans="22:22" x14ac:dyDescent="0.2">
      <c r="V107" s="53" t="s">
        <v>1479</v>
      </c>
    </row>
    <row r="108" spans="22:22" x14ac:dyDescent="0.2">
      <c r="V108" s="54" t="s">
        <v>1497</v>
      </c>
    </row>
    <row r="109" spans="22:22" x14ac:dyDescent="0.2">
      <c r="V109" s="53" t="s">
        <v>1505</v>
      </c>
    </row>
    <row r="110" spans="22:22" x14ac:dyDescent="0.2">
      <c r="V110" s="70" t="s">
        <v>1511</v>
      </c>
    </row>
    <row r="111" spans="22:22" x14ac:dyDescent="0.2">
      <c r="V111" s="53" t="s">
        <v>1516</v>
      </c>
    </row>
    <row r="112" spans="22:22" x14ac:dyDescent="0.2">
      <c r="V112" s="69" t="s">
        <v>1527</v>
      </c>
    </row>
    <row r="113" spans="22:22" x14ac:dyDescent="0.2">
      <c r="V113" s="53" t="s">
        <v>1540</v>
      </c>
    </row>
    <row r="114" spans="22:22" x14ac:dyDescent="0.2">
      <c r="V114" s="54" t="s">
        <v>1544</v>
      </c>
    </row>
    <row r="115" spans="22:22" x14ac:dyDescent="0.2">
      <c r="V115" s="53" t="s">
        <v>1548</v>
      </c>
    </row>
    <row r="116" spans="22:22" x14ac:dyDescent="0.2">
      <c r="V116" s="70" t="s">
        <v>1555</v>
      </c>
    </row>
    <row r="117" spans="22:22" x14ac:dyDescent="0.2">
      <c r="V117" s="53" t="s">
        <v>1564</v>
      </c>
    </row>
    <row r="118" spans="22:22" x14ac:dyDescent="0.2">
      <c r="V118" s="54" t="s">
        <v>1577</v>
      </c>
    </row>
    <row r="119" spans="22:22" x14ac:dyDescent="0.2">
      <c r="V119" s="53" t="s">
        <v>1587</v>
      </c>
    </row>
    <row r="120" spans="22:22" x14ac:dyDescent="0.2">
      <c r="V120" s="54" t="s">
        <v>1601</v>
      </c>
    </row>
    <row r="121" spans="22:22" x14ac:dyDescent="0.2">
      <c r="V121" s="53" t="s">
        <v>1636</v>
      </c>
    </row>
    <row r="122" spans="22:22" x14ac:dyDescent="0.2">
      <c r="V122" s="54" t="s">
        <v>1645</v>
      </c>
    </row>
    <row r="123" spans="22:22" x14ac:dyDescent="0.2">
      <c r="V123" s="53" t="s">
        <v>1653</v>
      </c>
    </row>
    <row r="124" spans="22:22" x14ac:dyDescent="0.2">
      <c r="V124" s="54" t="s">
        <v>1658</v>
      </c>
    </row>
    <row r="125" spans="22:22" x14ac:dyDescent="0.2">
      <c r="V125" s="53" t="s">
        <v>1666</v>
      </c>
    </row>
    <row r="126" spans="22:22" x14ac:dyDescent="0.2">
      <c r="V126" s="54" t="s">
        <v>1671</v>
      </c>
    </row>
    <row r="127" spans="22:22" x14ac:dyDescent="0.2">
      <c r="V127" s="53" t="s">
        <v>1680</v>
      </c>
    </row>
    <row r="128" spans="22:22" x14ac:dyDescent="0.2">
      <c r="V128" s="54" t="s">
        <v>1687</v>
      </c>
    </row>
    <row r="129" spans="22:22" x14ac:dyDescent="0.2">
      <c r="V129" s="53" t="s">
        <v>1696</v>
      </c>
    </row>
    <row r="130" spans="22:22" x14ac:dyDescent="0.2">
      <c r="V130" s="54" t="s">
        <v>1707</v>
      </c>
    </row>
    <row r="131" spans="22:22" x14ac:dyDescent="0.2">
      <c r="V131" s="53" t="s">
        <v>1711</v>
      </c>
    </row>
    <row r="132" spans="22:22" x14ac:dyDescent="0.2">
      <c r="V132" s="54" t="s">
        <v>1714</v>
      </c>
    </row>
    <row r="133" spans="22:22" x14ac:dyDescent="0.2">
      <c r="V133" s="53" t="s">
        <v>1719</v>
      </c>
    </row>
    <row r="134" spans="22:22" x14ac:dyDescent="0.2">
      <c r="V134" s="54" t="s">
        <v>1738</v>
      </c>
    </row>
    <row r="135" spans="22:22" x14ac:dyDescent="0.2">
      <c r="V135" s="53" t="s">
        <v>1749</v>
      </c>
    </row>
    <row r="136" spans="22:22" x14ac:dyDescent="0.2">
      <c r="V136" s="54" t="s">
        <v>1753</v>
      </c>
    </row>
    <row r="137" spans="22:22" x14ac:dyDescent="0.2">
      <c r="V137" s="53" t="s">
        <v>1755</v>
      </c>
    </row>
    <row r="138" spans="22:22" x14ac:dyDescent="0.2">
      <c r="V138" s="54" t="s">
        <v>1764</v>
      </c>
    </row>
    <row r="139" spans="22:22" x14ac:dyDescent="0.2">
      <c r="V139" s="53" t="s">
        <v>1770</v>
      </c>
    </row>
    <row r="140" spans="22:22" x14ac:dyDescent="0.2">
      <c r="V140" s="54" t="s">
        <v>1776</v>
      </c>
    </row>
    <row r="141" spans="22:22" x14ac:dyDescent="0.2">
      <c r="V141" s="53" t="s">
        <v>1788</v>
      </c>
    </row>
    <row r="142" spans="22:22" x14ac:dyDescent="0.2">
      <c r="V142" s="54" t="s">
        <v>1793</v>
      </c>
    </row>
    <row r="143" spans="22:22" x14ac:dyDescent="0.2">
      <c r="V143" s="70" t="s">
        <v>1800</v>
      </c>
    </row>
    <row r="144" spans="22:22" x14ac:dyDescent="0.2">
      <c r="V144" s="54" t="s">
        <v>1809</v>
      </c>
    </row>
    <row r="145" spans="22:22" x14ac:dyDescent="0.2">
      <c r="V145" s="53" t="s">
        <v>1824</v>
      </c>
    </row>
    <row r="146" spans="22:22" x14ac:dyDescent="0.2">
      <c r="V146" s="54" t="s">
        <v>1844</v>
      </c>
    </row>
    <row r="147" spans="22:22" x14ac:dyDescent="0.2">
      <c r="V147" s="70" t="s">
        <v>1853</v>
      </c>
    </row>
    <row r="148" spans="22:22" x14ac:dyDescent="0.2">
      <c r="V148" s="54" t="s">
        <v>1873</v>
      </c>
    </row>
    <row r="149" spans="22:22" x14ac:dyDescent="0.2">
      <c r="V149" s="53" t="s">
        <v>1877</v>
      </c>
    </row>
    <row r="150" spans="22:22" x14ac:dyDescent="0.2">
      <c r="V150" s="54" t="s">
        <v>1891</v>
      </c>
    </row>
    <row r="151" spans="22:22" x14ac:dyDescent="0.2">
      <c r="V151" s="53" t="s">
        <v>1897</v>
      </c>
    </row>
    <row r="152" spans="22:22" x14ac:dyDescent="0.2">
      <c r="V152" s="54" t="s">
        <v>1901</v>
      </c>
    </row>
    <row r="153" spans="22:22" x14ac:dyDescent="0.2">
      <c r="V153" s="70" t="s">
        <v>1912</v>
      </c>
    </row>
    <row r="154" spans="22:22" x14ac:dyDescent="0.2">
      <c r="V154" s="54" t="s">
        <v>1917</v>
      </c>
    </row>
    <row r="155" spans="22:22" x14ac:dyDescent="0.2">
      <c r="V155" s="53" t="s">
        <v>1932</v>
      </c>
    </row>
    <row r="156" spans="22:22" x14ac:dyDescent="0.2">
      <c r="V156" s="54" t="s">
        <v>1942</v>
      </c>
    </row>
  </sheetData>
  <sortState xmlns:xlrd2="http://schemas.microsoft.com/office/spreadsheetml/2017/richdata2" ref="AA4:AB63">
    <sortCondition ref="AA4:AA63"/>
  </sortState>
  <pageMargins left="0.7" right="0.7" top="0.75" bottom="0.75" header="0.3" footer="0.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22CEF-0282-7140-B4FA-74D650A56679}">
  <dimension ref="A1:K6"/>
  <sheetViews>
    <sheetView workbookViewId="0">
      <selection activeCell="L14" sqref="L14"/>
    </sheetView>
  </sheetViews>
  <sheetFormatPr baseColWidth="10" defaultRowHeight="16" x14ac:dyDescent="0.2"/>
  <cols>
    <col min="1" max="1" width="3.83203125" bestFit="1" customWidth="1"/>
    <col min="2" max="2" width="14.6640625" bestFit="1" customWidth="1"/>
    <col min="3" max="3" width="13.33203125" bestFit="1" customWidth="1"/>
    <col min="4" max="4" width="13.5" bestFit="1" customWidth="1"/>
    <col min="5" max="5" width="12.1640625" bestFit="1" customWidth="1"/>
    <col min="6" max="6" width="13.33203125" bestFit="1" customWidth="1"/>
    <col min="7" max="7" width="12" bestFit="1" customWidth="1"/>
  </cols>
  <sheetData>
    <row r="1" spans="1:11" x14ac:dyDescent="0.2">
      <c r="A1" s="68" t="s">
        <v>2857</v>
      </c>
      <c r="B1" s="68" t="s">
        <v>2863</v>
      </c>
      <c r="C1" s="68" t="s">
        <v>2862</v>
      </c>
      <c r="D1" s="68" t="s">
        <v>2858</v>
      </c>
      <c r="E1" s="68" t="s">
        <v>2859</v>
      </c>
      <c r="F1" s="68" t="s">
        <v>2860</v>
      </c>
      <c r="G1" s="68" t="s">
        <v>2861</v>
      </c>
      <c r="H1" s="68" t="s">
        <v>2869</v>
      </c>
      <c r="I1" s="68" t="s">
        <v>2870</v>
      </c>
      <c r="J1" s="68" t="s">
        <v>2871</v>
      </c>
      <c r="K1" s="68" t="s">
        <v>2872</v>
      </c>
    </row>
    <row r="2" spans="1:11" x14ac:dyDescent="0.2">
      <c r="A2" s="68" t="s">
        <v>2864</v>
      </c>
      <c r="B2" s="68">
        <v>0.73380000000000001</v>
      </c>
      <c r="C2" s="68">
        <v>38</v>
      </c>
      <c r="D2" s="68">
        <v>0.69640000000000002</v>
      </c>
      <c r="E2" s="68">
        <v>283</v>
      </c>
      <c r="F2" s="68">
        <v>0.67449999999999999</v>
      </c>
      <c r="G2" s="68">
        <v>23</v>
      </c>
      <c r="H2" s="68">
        <v>0.70730000000000004</v>
      </c>
      <c r="I2" s="68">
        <v>19</v>
      </c>
      <c r="J2" s="68">
        <v>0.72929999999999995</v>
      </c>
      <c r="K2" s="68">
        <v>66</v>
      </c>
    </row>
    <row r="3" spans="1:11" x14ac:dyDescent="0.2">
      <c r="A3" s="68" t="s">
        <v>2865</v>
      </c>
      <c r="B3" s="68">
        <v>0.73380000000000001</v>
      </c>
      <c r="C3" s="68">
        <v>38</v>
      </c>
      <c r="D3" s="68">
        <v>0.90069999999999995</v>
      </c>
      <c r="E3" s="68">
        <v>38</v>
      </c>
      <c r="F3" s="68">
        <v>0.91559999999999997</v>
      </c>
      <c r="G3" s="68">
        <v>2</v>
      </c>
      <c r="H3" s="68">
        <v>0.93049999999999999</v>
      </c>
      <c r="I3" s="68">
        <v>8</v>
      </c>
      <c r="J3" s="68">
        <v>0.87819999999999998</v>
      </c>
      <c r="K3" s="68">
        <v>24</v>
      </c>
    </row>
    <row r="4" spans="1:11" x14ac:dyDescent="0.2">
      <c r="A4" s="68" t="s">
        <v>2866</v>
      </c>
      <c r="B4" s="68">
        <v>0.79769999999999996</v>
      </c>
      <c r="C4" s="68">
        <v>28</v>
      </c>
      <c r="D4" s="76">
        <v>1</v>
      </c>
      <c r="E4" s="68">
        <v>25</v>
      </c>
      <c r="F4" s="76">
        <v>1</v>
      </c>
      <c r="G4" s="68">
        <v>1</v>
      </c>
      <c r="H4" s="76">
        <v>0.97619999999999996</v>
      </c>
      <c r="I4" s="68">
        <v>4</v>
      </c>
      <c r="J4" s="76">
        <v>1</v>
      </c>
      <c r="K4" s="68">
        <v>11</v>
      </c>
    </row>
    <row r="5" spans="1:11" x14ac:dyDescent="0.2">
      <c r="A5" s="68" t="s">
        <v>2867</v>
      </c>
      <c r="B5" s="68">
        <v>0.84689999999999999</v>
      </c>
      <c r="C5" s="68">
        <v>15</v>
      </c>
      <c r="D5" s="76">
        <v>1</v>
      </c>
      <c r="E5" s="68">
        <v>21</v>
      </c>
      <c r="F5" s="76">
        <v>1</v>
      </c>
      <c r="G5" s="68">
        <v>1</v>
      </c>
      <c r="H5" s="76">
        <v>1</v>
      </c>
      <c r="I5" s="68">
        <v>2</v>
      </c>
      <c r="J5" s="76">
        <v>1</v>
      </c>
      <c r="K5" s="68">
        <v>9</v>
      </c>
    </row>
    <row r="6" spans="1:11" x14ac:dyDescent="0.2">
      <c r="A6" s="68" t="s">
        <v>2868</v>
      </c>
      <c r="B6" s="68">
        <v>0.81430000000000002</v>
      </c>
      <c r="C6" s="68">
        <v>24</v>
      </c>
      <c r="D6" s="68">
        <v>0.97370000000000001</v>
      </c>
      <c r="E6" s="68">
        <v>26</v>
      </c>
      <c r="F6" s="76">
        <v>1</v>
      </c>
      <c r="G6" s="68">
        <v>1</v>
      </c>
      <c r="H6" s="68">
        <v>0.90849999999999997</v>
      </c>
      <c r="I6" s="68">
        <v>7</v>
      </c>
      <c r="J6" s="76">
        <v>1</v>
      </c>
      <c r="K6" s="68">
        <v>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DB9A-E867-D547-9751-D7C3B9ED84AE}">
  <dimension ref="A1:AM287"/>
  <sheetViews>
    <sheetView tabSelected="1" topLeftCell="Z1" workbookViewId="0">
      <selection activeCell="AJ135" sqref="AJ135"/>
    </sheetView>
  </sheetViews>
  <sheetFormatPr baseColWidth="10" defaultRowHeight="16" x14ac:dyDescent="0.2"/>
  <cols>
    <col min="26" max="26" width="46.1640625" customWidth="1"/>
  </cols>
  <sheetData>
    <row r="1" spans="1:39" x14ac:dyDescent="0.2">
      <c r="A1" t="s">
        <v>213</v>
      </c>
      <c r="B1" t="s">
        <v>214</v>
      </c>
      <c r="C1" t="s">
        <v>215</v>
      </c>
      <c r="D1" t="s">
        <v>216</v>
      </c>
      <c r="E1" t="s">
        <v>217</v>
      </c>
      <c r="F1" t="s">
        <v>218</v>
      </c>
      <c r="G1" t="s">
        <v>219</v>
      </c>
      <c r="H1" t="s">
        <v>220</v>
      </c>
      <c r="I1" t="s">
        <v>2765</v>
      </c>
      <c r="J1" t="s">
        <v>221</v>
      </c>
      <c r="K1" t="s">
        <v>222</v>
      </c>
      <c r="L1" t="s">
        <v>223</v>
      </c>
      <c r="M1" t="s">
        <v>224</v>
      </c>
      <c r="N1" t="s">
        <v>225</v>
      </c>
      <c r="O1" t="s">
        <v>226</v>
      </c>
      <c r="P1" t="s">
        <v>227</v>
      </c>
      <c r="Q1" t="s">
        <v>228</v>
      </c>
      <c r="R1" t="s">
        <v>229</v>
      </c>
      <c r="S1" t="s">
        <v>230</v>
      </c>
      <c r="T1" t="s">
        <v>231</v>
      </c>
      <c r="U1" t="s">
        <v>232</v>
      </c>
      <c r="V1" t="s">
        <v>233</v>
      </c>
      <c r="W1" t="s">
        <v>234</v>
      </c>
      <c r="X1" t="s">
        <v>235</v>
      </c>
      <c r="Y1" t="s">
        <v>236</v>
      </c>
      <c r="Z1" t="s">
        <v>237</v>
      </c>
      <c r="AA1" t="s">
        <v>238</v>
      </c>
      <c r="AB1" t="s">
        <v>239</v>
      </c>
      <c r="AC1" t="s">
        <v>2898</v>
      </c>
      <c r="AD1" t="s">
        <v>2876</v>
      </c>
      <c r="AE1" t="s">
        <v>2875</v>
      </c>
      <c r="AF1" t="s">
        <v>2882</v>
      </c>
      <c r="AG1" t="s">
        <v>2883</v>
      </c>
      <c r="AH1" t="s">
        <v>243</v>
      </c>
      <c r="AI1" t="s">
        <v>2907</v>
      </c>
      <c r="AJ1" t="s">
        <v>2908</v>
      </c>
      <c r="AK1" t="s">
        <v>244</v>
      </c>
      <c r="AL1" t="s">
        <v>245</v>
      </c>
      <c r="AM1" t="s">
        <v>246</v>
      </c>
    </row>
    <row r="2" spans="1:39" hidden="1" x14ac:dyDescent="0.2">
      <c r="A2" t="s">
        <v>247</v>
      </c>
      <c r="B2" t="b">
        <v>1</v>
      </c>
      <c r="C2" t="b">
        <v>0</v>
      </c>
      <c r="D2" t="b">
        <v>1</v>
      </c>
      <c r="E2" t="s">
        <v>248</v>
      </c>
      <c r="F2" t="b">
        <v>0</v>
      </c>
      <c r="G2" t="b">
        <v>0</v>
      </c>
      <c r="H2" t="s">
        <v>249</v>
      </c>
      <c r="I2" t="s">
        <v>247</v>
      </c>
      <c r="J2" t="s">
        <v>250</v>
      </c>
      <c r="N2" t="s">
        <v>251</v>
      </c>
      <c r="O2" t="s">
        <v>252</v>
      </c>
      <c r="R2" s="1">
        <v>43876</v>
      </c>
      <c r="S2" s="1">
        <v>50298</v>
      </c>
      <c r="T2" s="2">
        <v>44938.616716122684</v>
      </c>
      <c r="U2" t="s">
        <v>253</v>
      </c>
      <c r="V2" t="s">
        <v>254</v>
      </c>
      <c r="W2" t="s">
        <v>255</v>
      </c>
      <c r="X2" t="s">
        <v>256</v>
      </c>
      <c r="Y2" t="s">
        <v>257</v>
      </c>
      <c r="AA2" s="6" t="s">
        <v>258</v>
      </c>
      <c r="AB2" s="6" t="s">
        <v>259</v>
      </c>
      <c r="AC2" s="6"/>
      <c r="AD2" s="6"/>
      <c r="AE2" s="6"/>
      <c r="AF2" s="6"/>
      <c r="AG2" s="6"/>
      <c r="AH2" s="6"/>
      <c r="AI2" s="6"/>
      <c r="AJ2" s="6"/>
      <c r="AK2" t="s">
        <v>260</v>
      </c>
      <c r="AL2">
        <v>280000000</v>
      </c>
      <c r="AM2" s="3" t="s">
        <v>261</v>
      </c>
    </row>
    <row r="3" spans="1:39" hidden="1" x14ac:dyDescent="0.2">
      <c r="A3" t="s">
        <v>262</v>
      </c>
      <c r="B3" t="b">
        <v>0</v>
      </c>
      <c r="C3" t="b">
        <v>0</v>
      </c>
      <c r="D3" t="b">
        <v>1</v>
      </c>
      <c r="E3" t="b">
        <v>0</v>
      </c>
      <c r="F3" t="b">
        <v>1</v>
      </c>
      <c r="G3" t="s">
        <v>361</v>
      </c>
      <c r="H3" t="s">
        <v>263</v>
      </c>
      <c r="I3" t="s">
        <v>262</v>
      </c>
      <c r="J3" t="s">
        <v>264</v>
      </c>
      <c r="M3" t="s">
        <v>265</v>
      </c>
      <c r="N3" t="s">
        <v>266</v>
      </c>
      <c r="O3" t="s">
        <v>252</v>
      </c>
      <c r="R3" s="1">
        <v>44993</v>
      </c>
      <c r="S3" s="1">
        <v>48281</v>
      </c>
      <c r="T3" s="2">
        <v>45026.646237361114</v>
      </c>
      <c r="U3" t="s">
        <v>253</v>
      </c>
      <c r="V3" t="s">
        <v>267</v>
      </c>
      <c r="W3" t="s">
        <v>268</v>
      </c>
      <c r="X3" t="s">
        <v>256</v>
      </c>
      <c r="Y3" t="s">
        <v>269</v>
      </c>
      <c r="AK3" t="s">
        <v>270</v>
      </c>
      <c r="AL3">
        <v>60000000</v>
      </c>
      <c r="AM3" s="3" t="s">
        <v>271</v>
      </c>
    </row>
    <row r="4" spans="1:39" hidden="1" x14ac:dyDescent="0.2">
      <c r="A4" t="s">
        <v>272</v>
      </c>
      <c r="B4" t="b">
        <v>0</v>
      </c>
      <c r="C4" t="b">
        <v>0</v>
      </c>
      <c r="D4" t="b">
        <v>1</v>
      </c>
      <c r="E4" t="b">
        <v>0</v>
      </c>
      <c r="F4" t="b">
        <v>1</v>
      </c>
      <c r="G4" t="b">
        <v>0</v>
      </c>
      <c r="H4" t="s">
        <v>273</v>
      </c>
      <c r="I4" t="s">
        <v>272</v>
      </c>
      <c r="J4" t="s">
        <v>12</v>
      </c>
      <c r="N4" t="s">
        <v>274</v>
      </c>
      <c r="O4" t="s">
        <v>252</v>
      </c>
      <c r="P4" t="s">
        <v>275</v>
      </c>
      <c r="Q4" t="s">
        <v>276</v>
      </c>
      <c r="R4" s="1">
        <v>44130</v>
      </c>
      <c r="S4" s="1">
        <v>45227</v>
      </c>
      <c r="T4" s="2">
        <v>45960.676123819445</v>
      </c>
      <c r="U4" t="s">
        <v>253</v>
      </c>
      <c r="V4" t="s">
        <v>267</v>
      </c>
      <c r="W4" t="s">
        <v>277</v>
      </c>
      <c r="X4" t="s">
        <v>278</v>
      </c>
      <c r="Y4" t="s">
        <v>279</v>
      </c>
      <c r="Z4" s="32" t="s">
        <v>1072</v>
      </c>
      <c r="AA4" s="7" t="s">
        <v>280</v>
      </c>
      <c r="AB4" s="23">
        <f t="shared" ref="AB4:AB9" si="0">AQ4</f>
        <v>0</v>
      </c>
      <c r="AC4" s="23"/>
      <c r="AD4" s="23"/>
      <c r="AE4" s="23"/>
      <c r="AF4" s="23"/>
      <c r="AG4" s="23"/>
      <c r="AH4" s="23"/>
      <c r="AI4" s="23"/>
      <c r="AJ4" s="23"/>
      <c r="AK4" t="s">
        <v>270</v>
      </c>
      <c r="AL4">
        <v>2000000</v>
      </c>
      <c r="AM4" s="3" t="s">
        <v>281</v>
      </c>
    </row>
    <row r="5" spans="1:39" hidden="1" x14ac:dyDescent="0.2">
      <c r="A5" s="9" t="s">
        <v>282</v>
      </c>
      <c r="B5" s="9" t="b">
        <v>1</v>
      </c>
      <c r="C5" s="9" t="b">
        <v>1</v>
      </c>
      <c r="D5" s="9" t="b">
        <v>1</v>
      </c>
      <c r="E5" s="9" t="b">
        <v>0</v>
      </c>
      <c r="F5" s="9" t="b">
        <v>0</v>
      </c>
      <c r="G5" s="9" t="b">
        <v>0</v>
      </c>
      <c r="H5" s="9" t="s">
        <v>283</v>
      </c>
      <c r="I5" s="9" t="s">
        <v>282</v>
      </c>
      <c r="J5" s="10" t="s">
        <v>196</v>
      </c>
      <c r="K5" s="9"/>
      <c r="L5" s="9"/>
      <c r="M5" s="9"/>
      <c r="N5" s="9" t="s">
        <v>284</v>
      </c>
      <c r="O5" s="9" t="s">
        <v>252</v>
      </c>
      <c r="P5" s="9"/>
      <c r="Q5" s="9"/>
      <c r="R5" s="11">
        <v>43566</v>
      </c>
      <c r="S5" s="11">
        <v>52671</v>
      </c>
      <c r="T5" s="9"/>
      <c r="U5" s="9" t="s">
        <v>285</v>
      </c>
      <c r="V5" s="9" t="s">
        <v>254</v>
      </c>
      <c r="W5" s="9" t="s">
        <v>286</v>
      </c>
      <c r="X5" s="9" t="s">
        <v>256</v>
      </c>
      <c r="Y5" s="9" t="s">
        <v>287</v>
      </c>
      <c r="Z5" s="32" t="s">
        <v>288</v>
      </c>
      <c r="AA5" s="9" t="s">
        <v>289</v>
      </c>
      <c r="AB5" s="23">
        <f t="shared" si="0"/>
        <v>0</v>
      </c>
      <c r="AC5" s="23"/>
      <c r="AD5" s="23"/>
      <c r="AE5" s="23"/>
      <c r="AF5" s="23"/>
      <c r="AG5" s="23"/>
      <c r="AH5" s="23"/>
      <c r="AI5" s="23"/>
      <c r="AJ5" s="23"/>
      <c r="AK5" s="9" t="s">
        <v>290</v>
      </c>
      <c r="AL5" s="9">
        <v>2000000</v>
      </c>
      <c r="AM5" s="12" t="s">
        <v>291</v>
      </c>
    </row>
    <row r="6" spans="1:39" hidden="1" x14ac:dyDescent="0.2">
      <c r="A6" t="s">
        <v>292</v>
      </c>
      <c r="B6" t="b">
        <v>0</v>
      </c>
      <c r="C6" t="b">
        <v>0</v>
      </c>
      <c r="D6" t="b">
        <v>0</v>
      </c>
      <c r="E6" t="b">
        <v>0</v>
      </c>
      <c r="F6" t="b">
        <v>0</v>
      </c>
      <c r="G6" t="b">
        <v>1</v>
      </c>
      <c r="H6" t="s">
        <v>293</v>
      </c>
      <c r="I6" t="s">
        <v>292</v>
      </c>
      <c r="J6" t="s">
        <v>112</v>
      </c>
      <c r="N6" t="s">
        <v>294</v>
      </c>
      <c r="O6" t="s">
        <v>252</v>
      </c>
      <c r="R6" s="1">
        <v>44734</v>
      </c>
      <c r="S6" s="1">
        <v>45830</v>
      </c>
      <c r="T6" s="2">
        <v>46077.763666261577</v>
      </c>
      <c r="U6" t="s">
        <v>253</v>
      </c>
      <c r="V6" t="s">
        <v>295</v>
      </c>
      <c r="W6" t="s">
        <v>296</v>
      </c>
      <c r="X6" t="s">
        <v>278</v>
      </c>
      <c r="Y6" t="s">
        <v>257</v>
      </c>
      <c r="AA6" t="s">
        <v>297</v>
      </c>
      <c r="AB6" s="23">
        <f t="shared" si="0"/>
        <v>0</v>
      </c>
      <c r="AC6" s="23"/>
      <c r="AD6" s="23"/>
      <c r="AE6" s="23"/>
      <c r="AF6" s="23"/>
      <c r="AG6" s="23"/>
      <c r="AH6" s="23"/>
      <c r="AI6" s="23"/>
      <c r="AJ6" s="23"/>
      <c r="AK6" t="s">
        <v>260</v>
      </c>
      <c r="AL6">
        <v>572400000</v>
      </c>
      <c r="AM6" s="3" t="s">
        <v>298</v>
      </c>
    </row>
    <row r="7" spans="1:39" hidden="1" x14ac:dyDescent="0.2">
      <c r="A7" t="s">
        <v>299</v>
      </c>
      <c r="B7" t="b">
        <v>0</v>
      </c>
      <c r="C7" t="b">
        <v>0</v>
      </c>
      <c r="D7" t="b">
        <v>1</v>
      </c>
      <c r="E7" t="b">
        <v>0</v>
      </c>
      <c r="F7" t="b">
        <v>1</v>
      </c>
      <c r="G7" t="b">
        <v>0</v>
      </c>
      <c r="H7" t="s">
        <v>300</v>
      </c>
      <c r="I7" t="s">
        <v>299</v>
      </c>
      <c r="J7" t="s">
        <v>70</v>
      </c>
      <c r="K7" t="s">
        <v>301</v>
      </c>
      <c r="M7" t="s">
        <v>302</v>
      </c>
      <c r="N7" t="s">
        <v>303</v>
      </c>
      <c r="O7" t="s">
        <v>252</v>
      </c>
      <c r="R7" s="1">
        <v>44742</v>
      </c>
      <c r="S7" s="1">
        <v>46356</v>
      </c>
      <c r="T7" s="2">
        <v>44952.904067407406</v>
      </c>
      <c r="U7" t="s">
        <v>253</v>
      </c>
      <c r="V7" t="s">
        <v>267</v>
      </c>
      <c r="W7" t="s">
        <v>304</v>
      </c>
      <c r="X7" t="s">
        <v>305</v>
      </c>
      <c r="Y7" t="s">
        <v>306</v>
      </c>
      <c r="Z7" s="32" t="s">
        <v>1316</v>
      </c>
      <c r="AA7" s="7" t="s">
        <v>307</v>
      </c>
      <c r="AB7" s="23">
        <f t="shared" si="0"/>
        <v>0</v>
      </c>
      <c r="AC7" s="23" t="s">
        <v>382</v>
      </c>
      <c r="AD7" s="23" t="s">
        <v>2878</v>
      </c>
      <c r="AE7" s="23" t="s">
        <v>2906</v>
      </c>
      <c r="AF7" s="23"/>
      <c r="AG7" s="23"/>
      <c r="AH7" s="23" t="s">
        <v>2851</v>
      </c>
      <c r="AI7" s="23"/>
      <c r="AJ7" s="23"/>
      <c r="AK7" t="s">
        <v>308</v>
      </c>
      <c r="AL7">
        <v>155000000</v>
      </c>
      <c r="AM7" s="3" t="s">
        <v>309</v>
      </c>
    </row>
    <row r="8" spans="1:39" hidden="1" x14ac:dyDescent="0.2">
      <c r="A8" t="s">
        <v>310</v>
      </c>
      <c r="B8" t="b">
        <v>0</v>
      </c>
      <c r="C8" t="b">
        <v>0</v>
      </c>
      <c r="D8" t="b">
        <v>1</v>
      </c>
      <c r="E8" t="b">
        <v>0</v>
      </c>
      <c r="F8" t="b">
        <v>1</v>
      </c>
      <c r="G8" t="b">
        <v>0</v>
      </c>
      <c r="H8" t="s">
        <v>311</v>
      </c>
      <c r="I8" t="s">
        <v>310</v>
      </c>
      <c r="J8" t="s">
        <v>178</v>
      </c>
      <c r="N8" t="s">
        <v>312</v>
      </c>
      <c r="O8" t="s">
        <v>252</v>
      </c>
      <c r="R8" s="1">
        <v>45504</v>
      </c>
      <c r="S8" s="1">
        <v>47331</v>
      </c>
      <c r="T8" s="2">
        <v>46086.922778298613</v>
      </c>
      <c r="U8" t="s">
        <v>253</v>
      </c>
      <c r="V8" t="s">
        <v>267</v>
      </c>
      <c r="W8" t="s">
        <v>313</v>
      </c>
      <c r="X8" t="s">
        <v>278</v>
      </c>
      <c r="Y8" t="s">
        <v>287</v>
      </c>
      <c r="Z8" s="32" t="s">
        <v>2754</v>
      </c>
      <c r="AA8" s="7" t="s">
        <v>314</v>
      </c>
      <c r="AB8" s="23">
        <f t="shared" si="0"/>
        <v>0</v>
      </c>
      <c r="AC8" s="23" t="s">
        <v>2904</v>
      </c>
      <c r="AD8" s="23" t="s">
        <v>2878</v>
      </c>
      <c r="AE8" s="23" t="s">
        <v>2905</v>
      </c>
      <c r="AF8" s="23"/>
      <c r="AG8" s="23"/>
      <c r="AH8" s="23" t="s">
        <v>2851</v>
      </c>
      <c r="AI8" s="23"/>
      <c r="AJ8" s="23"/>
      <c r="AK8" t="s">
        <v>270</v>
      </c>
      <c r="AL8">
        <v>20000000</v>
      </c>
      <c r="AM8" s="3" t="s">
        <v>315</v>
      </c>
    </row>
    <row r="9" spans="1:39" hidden="1" x14ac:dyDescent="0.2">
      <c r="A9" t="s">
        <v>316</v>
      </c>
      <c r="B9" t="b">
        <v>0</v>
      </c>
      <c r="C9" t="b">
        <v>0</v>
      </c>
      <c r="D9" t="b">
        <v>1</v>
      </c>
      <c r="E9" t="b">
        <v>0</v>
      </c>
      <c r="F9" t="b">
        <v>1</v>
      </c>
      <c r="G9" t="b">
        <v>0</v>
      </c>
      <c r="H9" t="s">
        <v>317</v>
      </c>
      <c r="I9" t="s">
        <v>316</v>
      </c>
      <c r="J9" t="s">
        <v>48</v>
      </c>
      <c r="N9" t="s">
        <v>318</v>
      </c>
      <c r="O9" t="s">
        <v>252</v>
      </c>
      <c r="R9" s="1">
        <v>45121</v>
      </c>
      <c r="S9" s="1">
        <v>45852</v>
      </c>
      <c r="T9" s="2">
        <v>46059.639393240737</v>
      </c>
      <c r="U9" t="s">
        <v>253</v>
      </c>
      <c r="V9" t="s">
        <v>267</v>
      </c>
      <c r="W9" t="s">
        <v>319</v>
      </c>
      <c r="X9" t="s">
        <v>256</v>
      </c>
      <c r="Y9" t="s">
        <v>269</v>
      </c>
      <c r="Z9" s="32" t="s">
        <v>2755</v>
      </c>
      <c r="AA9" s="7" t="s">
        <v>320</v>
      </c>
      <c r="AB9" s="23">
        <f t="shared" si="0"/>
        <v>0</v>
      </c>
      <c r="AC9" s="23"/>
      <c r="AD9" s="23"/>
      <c r="AE9" s="23"/>
      <c r="AF9" s="23"/>
      <c r="AG9" s="23"/>
      <c r="AH9" s="23"/>
      <c r="AI9" s="23"/>
      <c r="AJ9" s="23"/>
      <c r="AK9" t="s">
        <v>270</v>
      </c>
      <c r="AL9">
        <v>10867627</v>
      </c>
      <c r="AM9" s="3" t="s">
        <v>321</v>
      </c>
    </row>
    <row r="10" spans="1:39" hidden="1" x14ac:dyDescent="0.2">
      <c r="A10" t="s">
        <v>322</v>
      </c>
      <c r="B10" t="b">
        <v>0</v>
      </c>
      <c r="C10" t="b">
        <v>0</v>
      </c>
      <c r="D10" t="b">
        <v>1</v>
      </c>
      <c r="E10" t="b">
        <v>0</v>
      </c>
      <c r="F10" t="b">
        <v>1</v>
      </c>
      <c r="G10" t="s">
        <v>361</v>
      </c>
      <c r="H10" t="s">
        <v>323</v>
      </c>
      <c r="I10" t="s">
        <v>322</v>
      </c>
      <c r="J10" t="s">
        <v>324</v>
      </c>
      <c r="M10" t="s">
        <v>325</v>
      </c>
      <c r="N10" t="s">
        <v>326</v>
      </c>
      <c r="O10" t="s">
        <v>252</v>
      </c>
      <c r="R10" s="1">
        <v>44741</v>
      </c>
      <c r="S10" s="1">
        <v>46020</v>
      </c>
      <c r="T10" s="2">
        <v>44896.683726261574</v>
      </c>
      <c r="U10" t="s">
        <v>253</v>
      </c>
      <c r="V10" t="s">
        <v>267</v>
      </c>
      <c r="W10" t="s">
        <v>268</v>
      </c>
      <c r="X10" t="s">
        <v>256</v>
      </c>
      <c r="Y10" t="s">
        <v>269</v>
      </c>
      <c r="AK10" t="s">
        <v>270</v>
      </c>
      <c r="AL10">
        <v>20000000</v>
      </c>
      <c r="AM10" s="3" t="s">
        <v>315</v>
      </c>
    </row>
    <row r="11" spans="1:39" hidden="1" x14ac:dyDescent="0.2">
      <c r="A11" t="s">
        <v>327</v>
      </c>
      <c r="B11" t="b">
        <v>0</v>
      </c>
      <c r="C11" t="b">
        <v>0</v>
      </c>
      <c r="D11" t="b">
        <v>1</v>
      </c>
      <c r="E11" t="b">
        <v>0</v>
      </c>
      <c r="F11" t="b">
        <v>1</v>
      </c>
      <c r="G11" t="b">
        <v>0</v>
      </c>
      <c r="H11" t="s">
        <v>328</v>
      </c>
      <c r="I11" t="s">
        <v>327</v>
      </c>
      <c r="J11" t="s">
        <v>53</v>
      </c>
      <c r="K11" t="s">
        <v>329</v>
      </c>
      <c r="N11" t="s">
        <v>330</v>
      </c>
      <c r="O11" t="s">
        <v>252</v>
      </c>
      <c r="P11" t="s">
        <v>331</v>
      </c>
      <c r="Q11" t="s">
        <v>332</v>
      </c>
      <c r="R11" s="1">
        <v>43852</v>
      </c>
      <c r="S11" s="1">
        <v>48240</v>
      </c>
      <c r="T11" s="2">
        <v>44923.64825071759</v>
      </c>
      <c r="U11" t="s">
        <v>253</v>
      </c>
      <c r="V11" t="s">
        <v>267</v>
      </c>
      <c r="W11" t="s">
        <v>333</v>
      </c>
      <c r="X11" t="s">
        <v>334</v>
      </c>
      <c r="Y11" t="s">
        <v>287</v>
      </c>
      <c r="Z11" s="32" t="s">
        <v>2759</v>
      </c>
      <c r="AA11" s="7" t="s">
        <v>335</v>
      </c>
      <c r="AB11" s="23">
        <f>AQ11</f>
        <v>0</v>
      </c>
      <c r="AC11" s="23"/>
      <c r="AD11" s="23"/>
      <c r="AE11" s="23"/>
      <c r="AF11" s="23"/>
      <c r="AG11" s="23"/>
      <c r="AH11" s="23"/>
      <c r="AI11" s="23"/>
      <c r="AJ11" s="23"/>
      <c r="AK11" t="s">
        <v>270</v>
      </c>
      <c r="AL11">
        <v>1500000000</v>
      </c>
      <c r="AM11" s="3" t="s">
        <v>336</v>
      </c>
    </row>
    <row r="12" spans="1:39" hidden="1" x14ac:dyDescent="0.2">
      <c r="A12" t="s">
        <v>337</v>
      </c>
      <c r="B12" t="b">
        <v>0</v>
      </c>
      <c r="C12" t="b">
        <v>0</v>
      </c>
      <c r="D12" t="b">
        <v>0</v>
      </c>
      <c r="E12" t="b">
        <v>0</v>
      </c>
      <c r="F12" t="b">
        <v>0</v>
      </c>
      <c r="G12" t="b">
        <v>1</v>
      </c>
      <c r="H12" t="s">
        <v>338</v>
      </c>
      <c r="I12" t="s">
        <v>337</v>
      </c>
      <c r="J12" t="s">
        <v>38</v>
      </c>
      <c r="N12" t="s">
        <v>339</v>
      </c>
      <c r="O12" t="s">
        <v>252</v>
      </c>
      <c r="P12" t="s">
        <v>340</v>
      </c>
      <c r="Q12" t="s">
        <v>341</v>
      </c>
      <c r="R12" s="1">
        <v>45217</v>
      </c>
      <c r="S12" s="1">
        <v>48859</v>
      </c>
      <c r="T12" s="2">
        <v>45233.796936064813</v>
      </c>
      <c r="U12" t="s">
        <v>253</v>
      </c>
      <c r="V12" t="s">
        <v>295</v>
      </c>
      <c r="W12" t="s">
        <v>342</v>
      </c>
      <c r="X12" t="s">
        <v>305</v>
      </c>
      <c r="Y12" t="s">
        <v>343</v>
      </c>
      <c r="AA12" t="s">
        <v>344</v>
      </c>
      <c r="AB12" s="23">
        <f>AQ12</f>
        <v>0</v>
      </c>
      <c r="AC12" s="23"/>
      <c r="AD12" s="23"/>
      <c r="AE12" s="23"/>
      <c r="AF12" s="23"/>
      <c r="AG12" s="23"/>
      <c r="AH12" s="23"/>
      <c r="AI12" s="23"/>
      <c r="AJ12" s="23"/>
      <c r="AK12" t="s">
        <v>345</v>
      </c>
      <c r="AL12">
        <v>5948000000</v>
      </c>
      <c r="AM12" s="3" t="s">
        <v>346</v>
      </c>
    </row>
    <row r="13" spans="1:39" hidden="1" x14ac:dyDescent="0.2">
      <c r="A13" t="s">
        <v>347</v>
      </c>
      <c r="B13" t="b">
        <v>0</v>
      </c>
      <c r="C13" t="b">
        <v>0</v>
      </c>
      <c r="D13" t="b">
        <v>1</v>
      </c>
      <c r="E13" t="b">
        <v>0</v>
      </c>
      <c r="F13" t="b">
        <v>1</v>
      </c>
      <c r="G13" t="b">
        <v>0</v>
      </c>
      <c r="H13" t="s">
        <v>348</v>
      </c>
      <c r="I13" t="s">
        <v>347</v>
      </c>
      <c r="J13" t="s">
        <v>170</v>
      </c>
      <c r="N13" t="s">
        <v>349</v>
      </c>
      <c r="O13" t="s">
        <v>252</v>
      </c>
      <c r="R13" s="1">
        <v>45526</v>
      </c>
      <c r="S13" s="1">
        <v>49178</v>
      </c>
      <c r="T13" s="2">
        <v>46126.882648310188</v>
      </c>
      <c r="U13" t="s">
        <v>253</v>
      </c>
      <c r="V13" t="s">
        <v>267</v>
      </c>
      <c r="W13" t="s">
        <v>350</v>
      </c>
      <c r="X13" t="s">
        <v>305</v>
      </c>
      <c r="Y13" t="s">
        <v>351</v>
      </c>
      <c r="Z13" s="32" t="s">
        <v>2758</v>
      </c>
      <c r="AA13" s="7" t="s">
        <v>352</v>
      </c>
      <c r="AB13" s="23">
        <f>AQ13</f>
        <v>0</v>
      </c>
      <c r="AC13" s="23"/>
      <c r="AD13" s="23" t="s">
        <v>2873</v>
      </c>
      <c r="AE13" s="23" t="s">
        <v>2901</v>
      </c>
      <c r="AF13" s="23"/>
      <c r="AG13" s="23"/>
      <c r="AH13" s="23" t="s">
        <v>2852</v>
      </c>
      <c r="AI13" s="23"/>
      <c r="AJ13" s="23"/>
      <c r="AK13" t="s">
        <v>270</v>
      </c>
      <c r="AL13">
        <v>50000000</v>
      </c>
      <c r="AM13" s="3" t="s">
        <v>353</v>
      </c>
    </row>
    <row r="14" spans="1:39" hidden="1" x14ac:dyDescent="0.2">
      <c r="A14" t="s">
        <v>354</v>
      </c>
      <c r="B14" t="b">
        <v>0</v>
      </c>
      <c r="C14" t="b">
        <v>0</v>
      </c>
      <c r="D14" t="b">
        <v>1</v>
      </c>
      <c r="E14" t="b">
        <v>0</v>
      </c>
      <c r="F14" t="b">
        <v>1</v>
      </c>
      <c r="G14" t="s">
        <v>361</v>
      </c>
      <c r="H14" t="s">
        <v>355</v>
      </c>
      <c r="I14" t="s">
        <v>354</v>
      </c>
      <c r="J14" t="s">
        <v>356</v>
      </c>
      <c r="N14" t="s">
        <v>357</v>
      </c>
      <c r="O14" t="s">
        <v>252</v>
      </c>
      <c r="R14" s="1">
        <v>44176</v>
      </c>
      <c r="S14" s="1">
        <v>46006</v>
      </c>
      <c r="U14" t="s">
        <v>253</v>
      </c>
      <c r="V14" t="s">
        <v>254</v>
      </c>
      <c r="W14" t="s">
        <v>358</v>
      </c>
      <c r="X14" t="s">
        <v>256</v>
      </c>
      <c r="Y14" t="s">
        <v>257</v>
      </c>
      <c r="AK14" t="s">
        <v>260</v>
      </c>
      <c r="AL14">
        <v>480000000</v>
      </c>
      <c r="AM14" s="3" t="s">
        <v>359</v>
      </c>
    </row>
    <row r="15" spans="1:39" hidden="1" x14ac:dyDescent="0.2">
      <c r="A15" t="s">
        <v>360</v>
      </c>
      <c r="B15" t="b">
        <v>1</v>
      </c>
      <c r="C15" t="b">
        <v>0</v>
      </c>
      <c r="D15" t="b">
        <v>1</v>
      </c>
      <c r="E15" t="b">
        <v>0</v>
      </c>
      <c r="F15" t="b">
        <v>0</v>
      </c>
      <c r="G15" t="s">
        <v>361</v>
      </c>
      <c r="H15" t="s">
        <v>362</v>
      </c>
      <c r="I15" t="s">
        <v>360</v>
      </c>
      <c r="J15" t="s">
        <v>363</v>
      </c>
      <c r="K15" t="s">
        <v>364</v>
      </c>
      <c r="N15" t="s">
        <v>365</v>
      </c>
      <c r="O15" t="s">
        <v>252</v>
      </c>
      <c r="R15" s="1">
        <v>44027</v>
      </c>
      <c r="S15" s="1">
        <v>47679</v>
      </c>
      <c r="T15" s="2">
        <v>44981.737543796298</v>
      </c>
      <c r="U15" t="s">
        <v>253</v>
      </c>
      <c r="V15" t="s">
        <v>254</v>
      </c>
      <c r="W15" t="s">
        <v>366</v>
      </c>
      <c r="X15" t="s">
        <v>256</v>
      </c>
      <c r="Y15" t="s">
        <v>257</v>
      </c>
      <c r="AA15" s="6" t="s">
        <v>367</v>
      </c>
      <c r="AB15" s="6"/>
      <c r="AC15" s="6"/>
      <c r="AD15" s="6"/>
      <c r="AE15" s="6"/>
      <c r="AF15" s="6"/>
      <c r="AG15" s="6"/>
      <c r="AH15" s="6"/>
      <c r="AI15" s="6"/>
      <c r="AJ15" s="6"/>
      <c r="AK15" t="s">
        <v>260</v>
      </c>
      <c r="AL15">
        <v>259804000</v>
      </c>
      <c r="AM15" s="3" t="s">
        <v>368</v>
      </c>
    </row>
    <row r="16" spans="1:39" hidden="1" x14ac:dyDescent="0.2">
      <c r="A16" t="s">
        <v>369</v>
      </c>
      <c r="B16" t="b">
        <v>1</v>
      </c>
      <c r="C16" t="b">
        <v>0</v>
      </c>
      <c r="D16" t="b">
        <v>1</v>
      </c>
      <c r="E16" t="b">
        <v>0</v>
      </c>
      <c r="F16" t="b">
        <v>0</v>
      </c>
      <c r="G16" t="s">
        <v>361</v>
      </c>
      <c r="H16" t="s">
        <v>370</v>
      </c>
      <c r="I16" t="s">
        <v>369</v>
      </c>
      <c r="J16" t="s">
        <v>371</v>
      </c>
      <c r="M16" t="s">
        <v>372</v>
      </c>
      <c r="N16" t="s">
        <v>373</v>
      </c>
      <c r="O16" t="s">
        <v>252</v>
      </c>
      <c r="R16" s="1">
        <v>43286</v>
      </c>
      <c r="S16" s="1">
        <v>46871</v>
      </c>
      <c r="U16" t="s">
        <v>253</v>
      </c>
      <c r="V16" t="s">
        <v>254</v>
      </c>
      <c r="W16" t="s">
        <v>374</v>
      </c>
      <c r="X16" t="s">
        <v>256</v>
      </c>
      <c r="Y16" t="s">
        <v>257</v>
      </c>
      <c r="AA16" s="6" t="s">
        <v>375</v>
      </c>
      <c r="AB16" s="6" t="s">
        <v>376</v>
      </c>
      <c r="AC16" s="6"/>
      <c r="AD16" s="6"/>
      <c r="AE16" s="6"/>
      <c r="AF16" s="6"/>
      <c r="AG16" s="6"/>
      <c r="AH16" s="6"/>
      <c r="AI16" s="6"/>
      <c r="AJ16" s="6"/>
      <c r="AK16" t="s">
        <v>260</v>
      </c>
      <c r="AL16">
        <v>16000000</v>
      </c>
      <c r="AM16" s="3" t="s">
        <v>377</v>
      </c>
    </row>
    <row r="17" spans="1:39" hidden="1" x14ac:dyDescent="0.2">
      <c r="A17" t="s">
        <v>378</v>
      </c>
      <c r="B17" t="b">
        <v>0</v>
      </c>
      <c r="C17" t="b">
        <v>0</v>
      </c>
      <c r="D17" t="b">
        <v>1</v>
      </c>
      <c r="E17" t="b">
        <v>0</v>
      </c>
      <c r="F17" t="b">
        <v>1</v>
      </c>
      <c r="G17" t="b">
        <v>0</v>
      </c>
      <c r="H17" t="s">
        <v>379</v>
      </c>
      <c r="I17" t="s">
        <v>378</v>
      </c>
      <c r="M17" t="s">
        <v>380</v>
      </c>
      <c r="N17" t="s">
        <v>381</v>
      </c>
      <c r="O17" t="s">
        <v>382</v>
      </c>
      <c r="T17" s="2">
        <v>44900.9807319213</v>
      </c>
      <c r="U17" t="s">
        <v>253</v>
      </c>
      <c r="V17" t="s">
        <v>267</v>
      </c>
      <c r="W17" t="s">
        <v>383</v>
      </c>
      <c r="X17" t="s">
        <v>278</v>
      </c>
      <c r="Y17" t="s">
        <v>384</v>
      </c>
      <c r="Z17" s="32" t="s">
        <v>2756</v>
      </c>
      <c r="AA17" s="7" t="s">
        <v>385</v>
      </c>
      <c r="AB17" s="23">
        <f>AQ17</f>
        <v>0</v>
      </c>
      <c r="AC17" s="23"/>
      <c r="AD17" s="23"/>
      <c r="AE17" s="23"/>
      <c r="AF17" s="23"/>
      <c r="AG17" s="23"/>
      <c r="AH17" s="23"/>
      <c r="AI17" s="23"/>
      <c r="AJ17" s="23"/>
      <c r="AK17" t="s">
        <v>386</v>
      </c>
    </row>
    <row r="18" spans="1:39" hidden="1" x14ac:dyDescent="0.2">
      <c r="A18" t="s">
        <v>387</v>
      </c>
      <c r="B18" t="b">
        <v>0</v>
      </c>
      <c r="C18" t="b">
        <v>0</v>
      </c>
      <c r="D18" t="b">
        <v>0</v>
      </c>
      <c r="E18" t="b">
        <v>0</v>
      </c>
      <c r="F18" t="b">
        <v>0</v>
      </c>
      <c r="G18" t="b">
        <v>1</v>
      </c>
      <c r="H18" t="s">
        <v>388</v>
      </c>
      <c r="I18" t="s">
        <v>387</v>
      </c>
      <c r="M18" t="s">
        <v>389</v>
      </c>
      <c r="N18" t="s">
        <v>390</v>
      </c>
      <c r="O18" t="s">
        <v>382</v>
      </c>
      <c r="T18" s="2">
        <v>44889.790690173613</v>
      </c>
      <c r="U18" t="s">
        <v>253</v>
      </c>
      <c r="V18" t="s">
        <v>295</v>
      </c>
      <c r="W18" t="s">
        <v>391</v>
      </c>
      <c r="X18" t="s">
        <v>305</v>
      </c>
      <c r="Y18" t="s">
        <v>384</v>
      </c>
      <c r="AA18" t="s">
        <v>392</v>
      </c>
      <c r="AB18" s="23">
        <f>AQ18</f>
        <v>0</v>
      </c>
      <c r="AC18" s="23"/>
      <c r="AD18" s="23"/>
      <c r="AE18" s="23"/>
      <c r="AF18" s="23"/>
      <c r="AG18" s="23"/>
      <c r="AH18" s="23"/>
      <c r="AI18" s="23"/>
      <c r="AJ18" s="23"/>
      <c r="AK18" t="s">
        <v>386</v>
      </c>
    </row>
    <row r="19" spans="1:39" hidden="1" x14ac:dyDescent="0.2">
      <c r="A19" t="s">
        <v>393</v>
      </c>
      <c r="B19" t="b">
        <v>0</v>
      </c>
      <c r="C19" t="b">
        <v>0</v>
      </c>
      <c r="D19" t="b">
        <v>1</v>
      </c>
      <c r="E19" t="b">
        <v>0</v>
      </c>
      <c r="F19" t="b">
        <v>1</v>
      </c>
      <c r="G19" t="s">
        <v>361</v>
      </c>
      <c r="H19" t="s">
        <v>394</v>
      </c>
      <c r="I19" t="s">
        <v>393</v>
      </c>
      <c r="M19" t="s">
        <v>395</v>
      </c>
      <c r="N19" t="s">
        <v>396</v>
      </c>
      <c r="O19" t="s">
        <v>252</v>
      </c>
      <c r="P19" t="s">
        <v>397</v>
      </c>
      <c r="Q19" t="s">
        <v>398</v>
      </c>
      <c r="R19" s="1">
        <v>44012</v>
      </c>
      <c r="S19" s="1">
        <v>45473</v>
      </c>
      <c r="U19" t="s">
        <v>253</v>
      </c>
      <c r="V19" t="s">
        <v>254</v>
      </c>
      <c r="W19" t="s">
        <v>399</v>
      </c>
      <c r="X19" t="s">
        <v>256</v>
      </c>
      <c r="Y19" t="s">
        <v>400</v>
      </c>
      <c r="AK19" t="s">
        <v>401</v>
      </c>
      <c r="AL19">
        <v>4000000</v>
      </c>
      <c r="AM19" s="3" t="s">
        <v>281</v>
      </c>
    </row>
    <row r="20" spans="1:39" hidden="1" x14ac:dyDescent="0.2">
      <c r="A20" t="s">
        <v>402</v>
      </c>
      <c r="B20" t="b">
        <v>0</v>
      </c>
      <c r="C20" t="b">
        <v>0</v>
      </c>
      <c r="D20" t="b">
        <v>1</v>
      </c>
      <c r="E20" t="b">
        <v>0</v>
      </c>
      <c r="F20" t="b">
        <v>1</v>
      </c>
      <c r="G20" t="s">
        <v>361</v>
      </c>
      <c r="H20" t="s">
        <v>403</v>
      </c>
      <c r="I20" t="s">
        <v>402</v>
      </c>
      <c r="M20" t="s">
        <v>404</v>
      </c>
      <c r="N20" t="s">
        <v>405</v>
      </c>
      <c r="O20" t="s">
        <v>252</v>
      </c>
      <c r="R20" s="1">
        <v>44407</v>
      </c>
      <c r="S20" s="1">
        <v>46951</v>
      </c>
      <c r="T20" s="2">
        <v>44984.424582106483</v>
      </c>
      <c r="U20" t="s">
        <v>253</v>
      </c>
      <c r="V20" t="s">
        <v>267</v>
      </c>
      <c r="W20" t="s">
        <v>406</v>
      </c>
      <c r="X20" t="s">
        <v>256</v>
      </c>
      <c r="Y20" t="s">
        <v>257</v>
      </c>
      <c r="AK20" t="s">
        <v>260</v>
      </c>
      <c r="AL20">
        <v>100000000</v>
      </c>
      <c r="AM20" s="3" t="s">
        <v>407</v>
      </c>
    </row>
    <row r="21" spans="1:39" hidden="1" x14ac:dyDescent="0.2">
      <c r="A21" t="s">
        <v>408</v>
      </c>
      <c r="B21" t="b">
        <v>1</v>
      </c>
      <c r="C21" t="b">
        <v>0</v>
      </c>
      <c r="D21" t="b">
        <v>1</v>
      </c>
      <c r="E21" t="s">
        <v>248</v>
      </c>
      <c r="F21" t="b">
        <v>0</v>
      </c>
      <c r="G21" t="b">
        <v>0</v>
      </c>
      <c r="H21" t="s">
        <v>409</v>
      </c>
      <c r="I21" t="s">
        <v>408</v>
      </c>
      <c r="J21" t="s">
        <v>410</v>
      </c>
      <c r="K21" t="s">
        <v>411</v>
      </c>
      <c r="M21" t="s">
        <v>412</v>
      </c>
      <c r="N21" t="s">
        <v>413</v>
      </c>
      <c r="O21" t="s">
        <v>252</v>
      </c>
      <c r="R21" s="1">
        <v>43327</v>
      </c>
      <c r="S21" s="1">
        <v>48684</v>
      </c>
      <c r="U21" t="s">
        <v>253</v>
      </c>
      <c r="V21" t="s">
        <v>254</v>
      </c>
      <c r="W21" t="s">
        <v>414</v>
      </c>
      <c r="X21" t="s">
        <v>256</v>
      </c>
      <c r="Y21" t="s">
        <v>257</v>
      </c>
      <c r="AA21" s="6" t="s">
        <v>415</v>
      </c>
      <c r="AB21" s="6"/>
      <c r="AC21" s="6"/>
      <c r="AD21" s="6"/>
      <c r="AE21" s="6"/>
      <c r="AF21" s="6"/>
      <c r="AG21" s="6"/>
      <c r="AH21" s="6"/>
      <c r="AI21" s="6"/>
      <c r="AJ21" s="6"/>
      <c r="AK21" t="s">
        <v>260</v>
      </c>
      <c r="AL21">
        <v>127780000</v>
      </c>
      <c r="AM21" s="3" t="s">
        <v>416</v>
      </c>
    </row>
    <row r="22" spans="1:39" hidden="1" x14ac:dyDescent="0.2">
      <c r="A22" t="s">
        <v>417</v>
      </c>
      <c r="B22" t="b">
        <v>0</v>
      </c>
      <c r="C22" t="b">
        <v>0</v>
      </c>
      <c r="D22" t="b">
        <v>1</v>
      </c>
      <c r="E22" t="b">
        <v>0</v>
      </c>
      <c r="F22" t="b">
        <v>1</v>
      </c>
      <c r="G22" t="b">
        <v>0</v>
      </c>
      <c r="H22" t="s">
        <v>418</v>
      </c>
      <c r="I22" t="s">
        <v>417</v>
      </c>
      <c r="J22" t="s">
        <v>50</v>
      </c>
      <c r="K22" t="s">
        <v>419</v>
      </c>
      <c r="L22" t="s">
        <v>420</v>
      </c>
      <c r="N22" t="s">
        <v>421</v>
      </c>
      <c r="O22" t="s">
        <v>252</v>
      </c>
      <c r="R22" s="1">
        <v>44441</v>
      </c>
      <c r="S22" s="1">
        <v>46632</v>
      </c>
      <c r="T22" s="2">
        <v>46057.610439131946</v>
      </c>
      <c r="U22" t="s">
        <v>253</v>
      </c>
      <c r="V22" t="s">
        <v>267</v>
      </c>
      <c r="W22" t="s">
        <v>319</v>
      </c>
      <c r="X22" t="s">
        <v>256</v>
      </c>
      <c r="Y22" t="s">
        <v>269</v>
      </c>
      <c r="Z22" s="32" t="s">
        <v>2755</v>
      </c>
      <c r="AA22" s="7" t="s">
        <v>320</v>
      </c>
      <c r="AB22" s="23">
        <f>AQ22</f>
        <v>0</v>
      </c>
      <c r="AC22" s="23"/>
      <c r="AD22" s="23"/>
      <c r="AE22" s="23"/>
      <c r="AF22" s="23"/>
      <c r="AG22" s="23"/>
      <c r="AH22" s="23"/>
      <c r="AI22" s="23"/>
      <c r="AJ22" s="23"/>
      <c r="AK22" t="s">
        <v>270</v>
      </c>
      <c r="AL22">
        <v>366118638</v>
      </c>
      <c r="AM22" s="3" t="s">
        <v>422</v>
      </c>
    </row>
    <row r="23" spans="1:39" hidden="1" x14ac:dyDescent="0.2">
      <c r="A23" t="s">
        <v>423</v>
      </c>
      <c r="B23" t="b">
        <v>0</v>
      </c>
      <c r="C23" t="b">
        <v>0</v>
      </c>
      <c r="D23" t="b">
        <v>1</v>
      </c>
      <c r="E23" t="b">
        <v>0</v>
      </c>
      <c r="F23" t="b">
        <v>1</v>
      </c>
      <c r="G23" t="b">
        <v>0</v>
      </c>
      <c r="H23" t="s">
        <v>424</v>
      </c>
      <c r="I23" t="s">
        <v>423</v>
      </c>
      <c r="J23" t="s">
        <v>78</v>
      </c>
      <c r="N23" t="s">
        <v>425</v>
      </c>
      <c r="O23" t="s">
        <v>252</v>
      </c>
      <c r="R23" s="1">
        <v>43873</v>
      </c>
      <c r="S23" s="1">
        <v>46006</v>
      </c>
      <c r="U23" t="s">
        <v>253</v>
      </c>
      <c r="V23" t="s">
        <v>254</v>
      </c>
      <c r="W23" t="s">
        <v>426</v>
      </c>
      <c r="X23" t="s">
        <v>256</v>
      </c>
      <c r="Y23" t="s">
        <v>257</v>
      </c>
      <c r="Z23" s="32" t="s">
        <v>2757</v>
      </c>
      <c r="AA23" s="7" t="s">
        <v>427</v>
      </c>
      <c r="AB23" s="23">
        <f>AQ23</f>
        <v>0</v>
      </c>
      <c r="AC23" s="23"/>
      <c r="AD23" s="23"/>
      <c r="AE23" s="23"/>
      <c r="AF23" s="23"/>
      <c r="AG23" s="23"/>
      <c r="AH23" s="23"/>
      <c r="AI23" s="23"/>
      <c r="AJ23" s="23"/>
      <c r="AK23" t="s">
        <v>270</v>
      </c>
      <c r="AL23">
        <v>680000000</v>
      </c>
      <c r="AM23" s="3" t="s">
        <v>428</v>
      </c>
    </row>
    <row r="24" spans="1:39" hidden="1" x14ac:dyDescent="0.2">
      <c r="A24" t="s">
        <v>429</v>
      </c>
      <c r="B24" t="b">
        <v>0</v>
      </c>
      <c r="C24" t="b">
        <v>0</v>
      </c>
      <c r="D24" t="b">
        <v>1</v>
      </c>
      <c r="E24" t="b">
        <v>0</v>
      </c>
      <c r="F24" t="b">
        <v>1</v>
      </c>
      <c r="G24" t="s">
        <v>361</v>
      </c>
      <c r="H24" t="s">
        <v>430</v>
      </c>
      <c r="I24" t="s">
        <v>429</v>
      </c>
      <c r="J24" t="s">
        <v>431</v>
      </c>
      <c r="N24" t="s">
        <v>432</v>
      </c>
      <c r="O24" t="s">
        <v>252</v>
      </c>
      <c r="P24" t="s">
        <v>433</v>
      </c>
      <c r="Q24" t="s">
        <v>434</v>
      </c>
      <c r="R24" s="1">
        <v>44056</v>
      </c>
      <c r="S24" s="1">
        <v>51361</v>
      </c>
      <c r="U24" t="s">
        <v>253</v>
      </c>
      <c r="V24" t="s">
        <v>254</v>
      </c>
      <c r="W24" t="s">
        <v>435</v>
      </c>
      <c r="X24" t="s">
        <v>256</v>
      </c>
      <c r="Y24" t="s">
        <v>384</v>
      </c>
      <c r="AK24" t="s">
        <v>386</v>
      </c>
      <c r="AL24">
        <v>139997669786</v>
      </c>
      <c r="AM24" s="3" t="s">
        <v>436</v>
      </c>
    </row>
    <row r="25" spans="1:39" hidden="1" x14ac:dyDescent="0.2">
      <c r="A25" t="s">
        <v>437</v>
      </c>
      <c r="B25" t="b">
        <v>1</v>
      </c>
      <c r="C25" t="b">
        <v>0</v>
      </c>
      <c r="D25" t="b">
        <v>1</v>
      </c>
      <c r="E25" t="s">
        <v>248</v>
      </c>
      <c r="F25" t="b">
        <v>0</v>
      </c>
      <c r="G25" t="b">
        <v>0</v>
      </c>
      <c r="H25" t="s">
        <v>438</v>
      </c>
      <c r="I25" t="s">
        <v>437</v>
      </c>
      <c r="J25" t="s">
        <v>439</v>
      </c>
      <c r="N25" t="s">
        <v>440</v>
      </c>
      <c r="O25" t="s">
        <v>252</v>
      </c>
      <c r="R25" s="1">
        <v>42699</v>
      </c>
      <c r="S25" s="1">
        <v>45621</v>
      </c>
      <c r="U25" t="s">
        <v>441</v>
      </c>
      <c r="V25" t="s">
        <v>254</v>
      </c>
      <c r="W25" t="s">
        <v>442</v>
      </c>
      <c r="X25" t="s">
        <v>256</v>
      </c>
      <c r="Y25" t="s">
        <v>257</v>
      </c>
      <c r="AA25" s="6" t="s">
        <v>415</v>
      </c>
      <c r="AB25" s="6"/>
      <c r="AC25" s="6"/>
      <c r="AD25" s="6"/>
      <c r="AE25" s="6"/>
      <c r="AF25" s="6"/>
      <c r="AG25" s="6"/>
      <c r="AH25" s="6"/>
      <c r="AI25" s="6"/>
      <c r="AJ25" s="6"/>
      <c r="AK25" t="s">
        <v>260</v>
      </c>
      <c r="AL25">
        <v>1000000000</v>
      </c>
      <c r="AM25" s="3" t="s">
        <v>443</v>
      </c>
    </row>
    <row r="26" spans="1:39" hidden="1" x14ac:dyDescent="0.2">
      <c r="A26" t="s">
        <v>444</v>
      </c>
      <c r="B26" t="b">
        <v>0</v>
      </c>
      <c r="C26" t="b">
        <v>0</v>
      </c>
      <c r="D26" t="b">
        <v>1</v>
      </c>
      <c r="E26" t="b">
        <v>0</v>
      </c>
      <c r="F26" t="b">
        <v>1</v>
      </c>
      <c r="G26" t="b">
        <v>0</v>
      </c>
      <c r="H26" t="s">
        <v>445</v>
      </c>
      <c r="I26" t="s">
        <v>444</v>
      </c>
      <c r="J26" t="s">
        <v>20</v>
      </c>
      <c r="K26" t="s">
        <v>446</v>
      </c>
      <c r="N26" t="s">
        <v>447</v>
      </c>
      <c r="O26" t="s">
        <v>252</v>
      </c>
      <c r="P26" t="s">
        <v>275</v>
      </c>
      <c r="Q26" t="s">
        <v>276</v>
      </c>
      <c r="R26" s="1">
        <v>45440</v>
      </c>
      <c r="S26" s="1">
        <v>46170</v>
      </c>
      <c r="T26" s="2">
        <v>45960.676935138887</v>
      </c>
      <c r="U26" t="s">
        <v>253</v>
      </c>
      <c r="V26" t="s">
        <v>267</v>
      </c>
      <c r="W26" t="s">
        <v>277</v>
      </c>
      <c r="X26" t="s">
        <v>278</v>
      </c>
      <c r="Y26" t="s">
        <v>279</v>
      </c>
      <c r="Z26" s="32" t="s">
        <v>1072</v>
      </c>
      <c r="AA26" s="7" t="s">
        <v>280</v>
      </c>
      <c r="AB26" s="23">
        <f>AQ26</f>
        <v>0</v>
      </c>
      <c r="AC26" s="23"/>
      <c r="AD26" s="23"/>
      <c r="AE26" s="23"/>
      <c r="AF26" s="23"/>
      <c r="AG26" s="23"/>
      <c r="AH26" s="23"/>
      <c r="AI26" s="23"/>
      <c r="AJ26" s="23"/>
      <c r="AK26" t="s">
        <v>270</v>
      </c>
      <c r="AL26">
        <v>5800000</v>
      </c>
      <c r="AM26" s="3" t="s">
        <v>448</v>
      </c>
    </row>
    <row r="27" spans="1:39" hidden="1" x14ac:dyDescent="0.2">
      <c r="A27" t="s">
        <v>449</v>
      </c>
      <c r="B27" t="b">
        <v>0</v>
      </c>
      <c r="C27" t="b">
        <v>0</v>
      </c>
      <c r="D27" t="b">
        <v>1</v>
      </c>
      <c r="E27" t="b">
        <v>0</v>
      </c>
      <c r="F27" t="b">
        <v>1</v>
      </c>
      <c r="G27" t="s">
        <v>361</v>
      </c>
      <c r="H27" t="s">
        <v>450</v>
      </c>
      <c r="I27" t="s">
        <v>449</v>
      </c>
      <c r="J27" t="s">
        <v>451</v>
      </c>
      <c r="K27" t="s">
        <v>452</v>
      </c>
      <c r="M27" t="s">
        <v>453</v>
      </c>
      <c r="N27" t="s">
        <v>454</v>
      </c>
      <c r="O27" t="s">
        <v>252</v>
      </c>
      <c r="R27" s="1">
        <v>42580</v>
      </c>
      <c r="S27" s="1">
        <v>44056</v>
      </c>
      <c r="U27" t="s">
        <v>253</v>
      </c>
      <c r="V27" t="s">
        <v>254</v>
      </c>
      <c r="W27" t="s">
        <v>304</v>
      </c>
      <c r="X27" t="s">
        <v>305</v>
      </c>
      <c r="Y27" t="s">
        <v>306</v>
      </c>
      <c r="AK27" t="s">
        <v>455</v>
      </c>
      <c r="AL27">
        <v>1032000000</v>
      </c>
      <c r="AM27" s="3" t="s">
        <v>456</v>
      </c>
    </row>
    <row r="28" spans="1:39" hidden="1" x14ac:dyDescent="0.2">
      <c r="A28" t="s">
        <v>457</v>
      </c>
      <c r="B28" t="b">
        <v>0</v>
      </c>
      <c r="C28" t="b">
        <v>0</v>
      </c>
      <c r="D28" t="b">
        <v>1</v>
      </c>
      <c r="E28" t="b">
        <v>0</v>
      </c>
      <c r="F28" t="b">
        <v>1</v>
      </c>
      <c r="G28" t="b">
        <v>0</v>
      </c>
      <c r="H28" t="s">
        <v>458</v>
      </c>
      <c r="I28" t="s">
        <v>457</v>
      </c>
      <c r="J28" t="s">
        <v>129</v>
      </c>
      <c r="N28" t="s">
        <v>459</v>
      </c>
      <c r="O28" t="s">
        <v>252</v>
      </c>
      <c r="P28" t="s">
        <v>378</v>
      </c>
      <c r="Q28" t="s">
        <v>379</v>
      </c>
      <c r="R28" s="1">
        <v>44637</v>
      </c>
      <c r="S28" s="1">
        <v>45733</v>
      </c>
      <c r="T28" s="2">
        <v>44900.980065243057</v>
      </c>
      <c r="U28" t="s">
        <v>253</v>
      </c>
      <c r="V28" t="s">
        <v>267</v>
      </c>
      <c r="W28" t="s">
        <v>383</v>
      </c>
      <c r="X28" t="s">
        <v>278</v>
      </c>
      <c r="Y28" t="s">
        <v>384</v>
      </c>
      <c r="Z28" s="32" t="s">
        <v>2756</v>
      </c>
      <c r="AA28" s="7" t="s">
        <v>385</v>
      </c>
      <c r="AB28" s="23">
        <f>AQ28</f>
        <v>0</v>
      </c>
      <c r="AC28" s="23"/>
      <c r="AD28" s="23"/>
      <c r="AE28" s="23"/>
      <c r="AF28" s="23"/>
      <c r="AG28" s="23"/>
      <c r="AH28" s="23"/>
      <c r="AI28" s="23"/>
      <c r="AJ28" s="23"/>
      <c r="AK28" t="s">
        <v>386</v>
      </c>
      <c r="AL28">
        <v>47121000000</v>
      </c>
      <c r="AM28" s="3" t="s">
        <v>460</v>
      </c>
    </row>
    <row r="29" spans="1:39" hidden="1" x14ac:dyDescent="0.2">
      <c r="A29" t="s">
        <v>461</v>
      </c>
      <c r="B29" t="b">
        <v>0</v>
      </c>
      <c r="C29" t="b">
        <v>0</v>
      </c>
      <c r="D29" t="b">
        <v>1</v>
      </c>
      <c r="E29" t="b">
        <v>0</v>
      </c>
      <c r="F29" t="b">
        <v>1</v>
      </c>
      <c r="G29" t="b">
        <v>0</v>
      </c>
      <c r="H29" t="s">
        <v>462</v>
      </c>
      <c r="I29" t="s">
        <v>461</v>
      </c>
      <c r="J29" t="s">
        <v>88</v>
      </c>
      <c r="K29" t="s">
        <v>463</v>
      </c>
      <c r="N29" t="s">
        <v>464</v>
      </c>
      <c r="O29" t="s">
        <v>252</v>
      </c>
      <c r="P29" t="s">
        <v>465</v>
      </c>
      <c r="Q29" t="s">
        <v>466</v>
      </c>
      <c r="R29" s="1">
        <v>44078</v>
      </c>
      <c r="S29" s="1">
        <v>45904</v>
      </c>
      <c r="U29" t="s">
        <v>253</v>
      </c>
      <c r="V29" t="s">
        <v>254</v>
      </c>
      <c r="W29" t="s">
        <v>467</v>
      </c>
      <c r="X29" t="s">
        <v>305</v>
      </c>
      <c r="Y29" t="s">
        <v>306</v>
      </c>
      <c r="Z29" s="32" t="s">
        <v>651</v>
      </c>
      <c r="AA29" s="7" t="s">
        <v>468</v>
      </c>
      <c r="AB29" s="23">
        <f>AQ29</f>
        <v>0</v>
      </c>
      <c r="AC29" s="23"/>
      <c r="AD29" s="23"/>
      <c r="AE29" s="23"/>
      <c r="AF29" s="23"/>
      <c r="AG29" s="23"/>
      <c r="AH29" s="23"/>
      <c r="AI29" s="23"/>
      <c r="AJ29" s="23"/>
      <c r="AK29" t="s">
        <v>308</v>
      </c>
      <c r="AL29">
        <v>350000000</v>
      </c>
      <c r="AM29" s="3" t="s">
        <v>469</v>
      </c>
    </row>
    <row r="30" spans="1:39" hidden="1" x14ac:dyDescent="0.2">
      <c r="A30" t="s">
        <v>470</v>
      </c>
      <c r="B30" t="b">
        <v>0</v>
      </c>
      <c r="C30" t="b">
        <v>0</v>
      </c>
      <c r="D30" t="b">
        <v>1</v>
      </c>
      <c r="E30" t="b">
        <v>0</v>
      </c>
      <c r="F30" t="b">
        <v>1</v>
      </c>
      <c r="G30" t="b">
        <v>0</v>
      </c>
      <c r="H30" t="s">
        <v>471</v>
      </c>
      <c r="I30" t="s">
        <v>470</v>
      </c>
      <c r="J30" t="s">
        <v>106</v>
      </c>
      <c r="K30" t="s">
        <v>472</v>
      </c>
      <c r="L30" t="s">
        <v>473</v>
      </c>
      <c r="M30" t="s">
        <v>474</v>
      </c>
      <c r="N30" t="s">
        <v>475</v>
      </c>
      <c r="O30" t="s">
        <v>252</v>
      </c>
      <c r="P30" t="s">
        <v>476</v>
      </c>
      <c r="Q30" t="s">
        <v>477</v>
      </c>
      <c r="R30" s="1">
        <v>45966</v>
      </c>
      <c r="S30" s="1">
        <v>49618</v>
      </c>
      <c r="T30" s="2">
        <v>46111.823175474536</v>
      </c>
      <c r="U30" t="s">
        <v>253</v>
      </c>
      <c r="V30" t="s">
        <v>267</v>
      </c>
      <c r="W30" t="s">
        <v>478</v>
      </c>
      <c r="X30" t="s">
        <v>479</v>
      </c>
      <c r="Y30" t="s">
        <v>384</v>
      </c>
      <c r="Z30" s="32" t="s">
        <v>2753</v>
      </c>
      <c r="AA30" s="7" t="s">
        <v>480</v>
      </c>
      <c r="AB30" s="23">
        <f>AQ30</f>
        <v>0</v>
      </c>
      <c r="AC30" s="23"/>
      <c r="AD30" s="23"/>
      <c r="AE30" s="23"/>
      <c r="AF30" s="23"/>
      <c r="AG30" s="23"/>
      <c r="AH30" s="23"/>
      <c r="AI30" s="23"/>
      <c r="AJ30" s="23"/>
      <c r="AK30" t="s">
        <v>386</v>
      </c>
      <c r="AL30">
        <v>2130928000000</v>
      </c>
      <c r="AM30" s="3" t="s">
        <v>481</v>
      </c>
    </row>
    <row r="31" spans="1:39" hidden="1" x14ac:dyDescent="0.2">
      <c r="A31" t="s">
        <v>482</v>
      </c>
      <c r="B31" t="b">
        <v>0</v>
      </c>
      <c r="C31" t="b">
        <v>0</v>
      </c>
      <c r="D31" t="b">
        <v>1</v>
      </c>
      <c r="E31" t="b">
        <v>0</v>
      </c>
      <c r="F31" t="b">
        <v>1</v>
      </c>
      <c r="G31" t="s">
        <v>361</v>
      </c>
      <c r="H31" t="s">
        <v>483</v>
      </c>
      <c r="I31" t="s">
        <v>482</v>
      </c>
      <c r="J31" t="s">
        <v>484</v>
      </c>
      <c r="K31" t="s">
        <v>485</v>
      </c>
      <c r="N31" t="s">
        <v>486</v>
      </c>
      <c r="O31" t="s">
        <v>252</v>
      </c>
      <c r="R31" s="1">
        <v>44547</v>
      </c>
      <c r="S31" s="1">
        <v>45643</v>
      </c>
      <c r="U31" t="s">
        <v>253</v>
      </c>
      <c r="V31" t="s">
        <v>267</v>
      </c>
      <c r="W31" t="s">
        <v>487</v>
      </c>
      <c r="X31" t="s">
        <v>256</v>
      </c>
      <c r="Y31" t="s">
        <v>269</v>
      </c>
      <c r="AK31" t="s">
        <v>488</v>
      </c>
      <c r="AL31">
        <v>115000000</v>
      </c>
      <c r="AM31" s="3" t="s">
        <v>489</v>
      </c>
    </row>
    <row r="32" spans="1:39" hidden="1" x14ac:dyDescent="0.2">
      <c r="A32" t="s">
        <v>490</v>
      </c>
      <c r="B32" t="b">
        <v>0</v>
      </c>
      <c r="C32" t="b">
        <v>0</v>
      </c>
      <c r="D32" t="b">
        <v>1</v>
      </c>
      <c r="E32" t="b">
        <v>0</v>
      </c>
      <c r="F32" t="b">
        <v>1</v>
      </c>
      <c r="G32" t="s">
        <v>361</v>
      </c>
      <c r="H32" t="s">
        <v>491</v>
      </c>
      <c r="I32" t="s">
        <v>490</v>
      </c>
      <c r="J32" t="s">
        <v>492</v>
      </c>
      <c r="M32" t="s">
        <v>493</v>
      </c>
      <c r="N32" t="s">
        <v>493</v>
      </c>
      <c r="O32" t="s">
        <v>252</v>
      </c>
      <c r="R32" s="1">
        <v>43023</v>
      </c>
      <c r="S32" s="1">
        <v>47467</v>
      </c>
      <c r="U32" t="s">
        <v>253</v>
      </c>
      <c r="V32" t="s">
        <v>254</v>
      </c>
      <c r="W32" t="s">
        <v>494</v>
      </c>
      <c r="X32" t="s">
        <v>256</v>
      </c>
      <c r="Y32" t="s">
        <v>257</v>
      </c>
      <c r="AK32" t="s">
        <v>260</v>
      </c>
      <c r="AL32">
        <v>220000000</v>
      </c>
      <c r="AM32" s="3" t="s">
        <v>495</v>
      </c>
    </row>
    <row r="33" spans="1:39" hidden="1" x14ac:dyDescent="0.2">
      <c r="A33" t="s">
        <v>496</v>
      </c>
      <c r="B33" t="b">
        <v>0</v>
      </c>
      <c r="C33" t="b">
        <v>0</v>
      </c>
      <c r="D33" t="b">
        <v>0</v>
      </c>
      <c r="E33" t="b">
        <v>0</v>
      </c>
      <c r="F33" t="b">
        <v>0</v>
      </c>
      <c r="G33" t="b">
        <v>1</v>
      </c>
      <c r="H33" t="s">
        <v>497</v>
      </c>
      <c r="I33" t="s">
        <v>496</v>
      </c>
      <c r="J33" t="s">
        <v>37</v>
      </c>
      <c r="N33" t="s">
        <v>498</v>
      </c>
      <c r="O33" t="s">
        <v>252</v>
      </c>
      <c r="P33" t="s">
        <v>340</v>
      </c>
      <c r="Q33" t="s">
        <v>341</v>
      </c>
      <c r="R33" s="1">
        <v>45217</v>
      </c>
      <c r="S33" s="1">
        <v>46311</v>
      </c>
      <c r="T33" s="2">
        <v>45233.799360370373</v>
      </c>
      <c r="U33" t="s">
        <v>253</v>
      </c>
      <c r="V33" t="s">
        <v>295</v>
      </c>
      <c r="W33" t="s">
        <v>342</v>
      </c>
      <c r="X33" t="s">
        <v>305</v>
      </c>
      <c r="Y33" t="s">
        <v>343</v>
      </c>
      <c r="AA33" t="s">
        <v>344</v>
      </c>
      <c r="AB33" s="23">
        <f>AQ33</f>
        <v>0</v>
      </c>
      <c r="AC33" s="23"/>
      <c r="AD33" s="23"/>
      <c r="AE33" s="23"/>
      <c r="AF33" s="23"/>
      <c r="AG33" s="23"/>
      <c r="AH33" s="23"/>
      <c r="AI33" s="23"/>
      <c r="AJ33" s="23"/>
      <c r="AK33" t="s">
        <v>345</v>
      </c>
      <c r="AL33">
        <v>4835000000</v>
      </c>
      <c r="AM33" s="3" t="s">
        <v>499</v>
      </c>
    </row>
    <row r="34" spans="1:39" hidden="1" x14ac:dyDescent="0.2">
      <c r="A34" t="s">
        <v>500</v>
      </c>
      <c r="B34" t="b">
        <v>0</v>
      </c>
      <c r="C34" t="b">
        <v>0</v>
      </c>
      <c r="D34" t="b">
        <v>1</v>
      </c>
      <c r="E34" t="b">
        <v>0</v>
      </c>
      <c r="F34" t="b">
        <v>1</v>
      </c>
      <c r="G34" t="b">
        <v>0</v>
      </c>
      <c r="H34" t="s">
        <v>501</v>
      </c>
      <c r="I34" t="s">
        <v>500</v>
      </c>
      <c r="J34" t="s">
        <v>127</v>
      </c>
      <c r="K34" t="s">
        <v>502</v>
      </c>
      <c r="N34" t="s">
        <v>503</v>
      </c>
      <c r="O34" t="s">
        <v>252</v>
      </c>
      <c r="P34" t="s">
        <v>504</v>
      </c>
      <c r="Q34" t="s">
        <v>505</v>
      </c>
      <c r="R34" s="1">
        <v>44165</v>
      </c>
      <c r="S34" s="1">
        <v>45991</v>
      </c>
      <c r="T34" s="2">
        <v>45099.925569375002</v>
      </c>
      <c r="U34" t="s">
        <v>253</v>
      </c>
      <c r="V34" t="s">
        <v>267</v>
      </c>
      <c r="W34" t="s">
        <v>506</v>
      </c>
      <c r="X34" t="s">
        <v>278</v>
      </c>
      <c r="Y34" t="s">
        <v>257</v>
      </c>
      <c r="Z34" s="32" t="s">
        <v>1415</v>
      </c>
      <c r="AA34" s="7" t="s">
        <v>507</v>
      </c>
      <c r="AB34" s="23">
        <f>AQ34</f>
        <v>0</v>
      </c>
      <c r="AC34" s="23" t="s">
        <v>382</v>
      </c>
      <c r="AD34" s="23" t="s">
        <v>2878</v>
      </c>
      <c r="AE34" s="23" t="s">
        <v>2902</v>
      </c>
      <c r="AF34" s="23"/>
      <c r="AG34" s="23"/>
      <c r="AH34" s="23" t="s">
        <v>2851</v>
      </c>
      <c r="AI34" s="23"/>
      <c r="AJ34" s="23"/>
      <c r="AK34" t="s">
        <v>270</v>
      </c>
      <c r="AL34">
        <v>50000000</v>
      </c>
      <c r="AM34" s="3" t="s">
        <v>353</v>
      </c>
    </row>
    <row r="35" spans="1:39" hidden="1" x14ac:dyDescent="0.2">
      <c r="A35" t="s">
        <v>508</v>
      </c>
      <c r="B35" t="b">
        <v>0</v>
      </c>
      <c r="C35" t="b">
        <v>0</v>
      </c>
      <c r="D35" t="b">
        <v>1</v>
      </c>
      <c r="E35" t="b">
        <v>0</v>
      </c>
      <c r="F35" t="b">
        <v>1</v>
      </c>
      <c r="G35" t="b">
        <v>0</v>
      </c>
      <c r="H35" t="s">
        <v>509</v>
      </c>
      <c r="I35" t="s">
        <v>508</v>
      </c>
      <c r="J35" t="s">
        <v>16</v>
      </c>
      <c r="K35" t="s">
        <v>510</v>
      </c>
      <c r="N35" t="s">
        <v>511</v>
      </c>
      <c r="O35" t="s">
        <v>252</v>
      </c>
      <c r="P35" t="s">
        <v>275</v>
      </c>
      <c r="Q35" t="s">
        <v>276</v>
      </c>
      <c r="R35" s="1">
        <v>45166</v>
      </c>
      <c r="S35" s="1">
        <v>45897</v>
      </c>
      <c r="T35" s="2">
        <v>45960.676532256941</v>
      </c>
      <c r="U35" t="s">
        <v>253</v>
      </c>
      <c r="V35" t="s">
        <v>267</v>
      </c>
      <c r="W35" t="s">
        <v>277</v>
      </c>
      <c r="X35" t="s">
        <v>278</v>
      </c>
      <c r="Y35" t="s">
        <v>279</v>
      </c>
      <c r="Z35" s="32" t="s">
        <v>1072</v>
      </c>
      <c r="AA35" s="7" t="s">
        <v>280</v>
      </c>
      <c r="AB35" s="23">
        <f>AQ35</f>
        <v>0</v>
      </c>
      <c r="AC35" s="23"/>
      <c r="AD35" s="23"/>
      <c r="AE35" s="23"/>
      <c r="AF35" s="23"/>
      <c r="AG35" s="23"/>
      <c r="AH35" s="23"/>
      <c r="AI35" s="23"/>
      <c r="AJ35" s="23"/>
      <c r="AK35" t="s">
        <v>270</v>
      </c>
      <c r="AL35">
        <v>2000000</v>
      </c>
      <c r="AM35" s="3" t="s">
        <v>281</v>
      </c>
    </row>
    <row r="36" spans="1:39" hidden="1" x14ac:dyDescent="0.2">
      <c r="A36" t="s">
        <v>512</v>
      </c>
      <c r="B36" t="b">
        <v>1</v>
      </c>
      <c r="C36" t="b">
        <v>0</v>
      </c>
      <c r="D36" t="b">
        <v>1</v>
      </c>
      <c r="E36" t="s">
        <v>248</v>
      </c>
      <c r="F36" t="b">
        <v>0</v>
      </c>
      <c r="G36" t="b">
        <v>0</v>
      </c>
      <c r="H36" t="s">
        <v>513</v>
      </c>
      <c r="I36" t="s">
        <v>512</v>
      </c>
      <c r="J36" t="s">
        <v>514</v>
      </c>
      <c r="K36" t="s">
        <v>515</v>
      </c>
      <c r="M36" t="s">
        <v>516</v>
      </c>
      <c r="N36" t="s">
        <v>517</v>
      </c>
      <c r="O36" t="s">
        <v>252</v>
      </c>
      <c r="R36" s="1">
        <v>42857</v>
      </c>
      <c r="S36" s="1">
        <v>47102</v>
      </c>
      <c r="U36" t="s">
        <v>253</v>
      </c>
      <c r="V36" t="s">
        <v>254</v>
      </c>
      <c r="W36" t="s">
        <v>414</v>
      </c>
      <c r="X36" t="s">
        <v>256</v>
      </c>
      <c r="Y36" t="s">
        <v>257</v>
      </c>
      <c r="AA36" s="6" t="s">
        <v>518</v>
      </c>
      <c r="AB36" s="7" t="s">
        <v>519</v>
      </c>
      <c r="AC36" s="7"/>
      <c r="AD36" s="7"/>
      <c r="AE36" s="7"/>
      <c r="AF36" s="7"/>
      <c r="AG36" s="7"/>
      <c r="AH36" s="7"/>
      <c r="AI36" s="7"/>
      <c r="AJ36" s="7"/>
      <c r="AK36" t="s">
        <v>260</v>
      </c>
      <c r="AL36">
        <v>111760000</v>
      </c>
      <c r="AM36" s="3" t="s">
        <v>520</v>
      </c>
    </row>
    <row r="37" spans="1:39" x14ac:dyDescent="0.2">
      <c r="A37" s="4" t="s">
        <v>521</v>
      </c>
      <c r="B37" t="b">
        <v>1</v>
      </c>
      <c r="C37" t="b">
        <v>0</v>
      </c>
      <c r="D37" t="b">
        <v>1</v>
      </c>
      <c r="E37" t="s">
        <v>522</v>
      </c>
      <c r="F37" t="b">
        <v>0</v>
      </c>
      <c r="G37" t="b">
        <v>0</v>
      </c>
      <c r="H37" t="s">
        <v>523</v>
      </c>
      <c r="I37" s="4" t="s">
        <v>521</v>
      </c>
      <c r="K37" s="20" t="s">
        <v>524</v>
      </c>
      <c r="M37" t="s">
        <v>525</v>
      </c>
      <c r="N37" t="s">
        <v>526</v>
      </c>
      <c r="O37" t="s">
        <v>252</v>
      </c>
      <c r="R37" s="1">
        <v>43819</v>
      </c>
      <c r="S37" s="1">
        <v>45646</v>
      </c>
      <c r="T37" s="2">
        <v>46150.61309979167</v>
      </c>
      <c r="U37" t="s">
        <v>441</v>
      </c>
      <c r="V37" t="s">
        <v>267</v>
      </c>
      <c r="W37" t="s">
        <v>527</v>
      </c>
      <c r="X37" t="s">
        <v>278</v>
      </c>
      <c r="Y37" t="s">
        <v>528</v>
      </c>
      <c r="Z37" s="35" t="s">
        <v>529</v>
      </c>
      <c r="AA37" s="7" t="s">
        <v>530</v>
      </c>
      <c r="AB37" s="23">
        <f>AQ37</f>
        <v>0</v>
      </c>
      <c r="AC37" s="23"/>
      <c r="AD37" s="23" t="s">
        <v>2873</v>
      </c>
      <c r="AE37" s="23" t="s">
        <v>2877</v>
      </c>
      <c r="AF37" s="23" t="s">
        <v>2884</v>
      </c>
      <c r="AG37" s="23" t="s">
        <v>2884</v>
      </c>
      <c r="AH37" s="23" t="s">
        <v>2852</v>
      </c>
      <c r="AI37" s="23" t="s">
        <v>2912</v>
      </c>
      <c r="AJ37" s="77" t="s">
        <v>2916</v>
      </c>
      <c r="AK37" t="s">
        <v>270</v>
      </c>
      <c r="AL37">
        <v>150000000</v>
      </c>
      <c r="AM37" s="3" t="s">
        <v>531</v>
      </c>
    </row>
    <row r="38" spans="1:39" hidden="1" x14ac:dyDescent="0.2">
      <c r="A38" t="s">
        <v>532</v>
      </c>
      <c r="B38" t="b">
        <v>0</v>
      </c>
      <c r="C38" t="b">
        <v>0</v>
      </c>
      <c r="D38" t="b">
        <v>1</v>
      </c>
      <c r="E38" t="b">
        <v>0</v>
      </c>
      <c r="F38" t="b">
        <v>1</v>
      </c>
      <c r="G38" t="s">
        <v>361</v>
      </c>
      <c r="H38" t="s">
        <v>533</v>
      </c>
      <c r="I38" t="s">
        <v>532</v>
      </c>
      <c r="J38" t="s">
        <v>534</v>
      </c>
      <c r="K38" t="s">
        <v>535</v>
      </c>
      <c r="M38" t="s">
        <v>536</v>
      </c>
      <c r="N38" t="s">
        <v>537</v>
      </c>
      <c r="O38" t="s">
        <v>252</v>
      </c>
      <c r="R38" s="1">
        <v>44595</v>
      </c>
      <c r="S38" s="1">
        <v>48247</v>
      </c>
      <c r="U38" t="s">
        <v>253</v>
      </c>
      <c r="V38" t="s">
        <v>254</v>
      </c>
      <c r="W38" t="s">
        <v>538</v>
      </c>
      <c r="X38" t="s">
        <v>256</v>
      </c>
      <c r="Y38" t="s">
        <v>269</v>
      </c>
      <c r="AK38" t="s">
        <v>270</v>
      </c>
      <c r="AL38">
        <v>63900000</v>
      </c>
      <c r="AM38" s="3" t="s">
        <v>539</v>
      </c>
    </row>
    <row r="39" spans="1:39" hidden="1" x14ac:dyDescent="0.2">
      <c r="A39" t="s">
        <v>540</v>
      </c>
      <c r="B39" t="b">
        <v>1</v>
      </c>
      <c r="C39" t="b">
        <v>0</v>
      </c>
      <c r="D39" t="b">
        <v>1</v>
      </c>
      <c r="E39" t="s">
        <v>248</v>
      </c>
      <c r="F39" t="b">
        <v>0</v>
      </c>
      <c r="G39" t="b">
        <v>0</v>
      </c>
      <c r="H39" t="s">
        <v>541</v>
      </c>
      <c r="I39" t="s">
        <v>540</v>
      </c>
      <c r="J39" t="s">
        <v>542</v>
      </c>
      <c r="K39" t="s">
        <v>543</v>
      </c>
      <c r="N39" t="s">
        <v>544</v>
      </c>
      <c r="O39" t="s">
        <v>252</v>
      </c>
      <c r="R39" s="1">
        <v>43814</v>
      </c>
      <c r="S39" s="1">
        <v>52946</v>
      </c>
      <c r="U39" t="s">
        <v>253</v>
      </c>
      <c r="V39" t="s">
        <v>267</v>
      </c>
      <c r="W39" t="s">
        <v>545</v>
      </c>
      <c r="X39" t="s">
        <v>256</v>
      </c>
      <c r="Y39" t="s">
        <v>257</v>
      </c>
      <c r="AA39" s="6" t="s">
        <v>546</v>
      </c>
      <c r="AB39" s="7" t="s">
        <v>547</v>
      </c>
      <c r="AC39" s="7"/>
      <c r="AD39" s="7"/>
      <c r="AE39" s="7"/>
      <c r="AF39" s="7"/>
      <c r="AG39" s="7"/>
      <c r="AH39" s="7"/>
      <c r="AI39" s="7"/>
      <c r="AJ39" s="7"/>
      <c r="AK39" t="s">
        <v>260</v>
      </c>
      <c r="AL39">
        <v>300000000</v>
      </c>
      <c r="AM39" s="3" t="s">
        <v>548</v>
      </c>
    </row>
    <row r="40" spans="1:39" hidden="1" x14ac:dyDescent="0.2">
      <c r="A40" t="s">
        <v>549</v>
      </c>
      <c r="B40" t="b">
        <v>0</v>
      </c>
      <c r="C40" t="b">
        <v>0</v>
      </c>
      <c r="D40" t="b">
        <v>1</v>
      </c>
      <c r="E40" t="b">
        <v>0</v>
      </c>
      <c r="F40" t="b">
        <v>1</v>
      </c>
      <c r="G40" t="b">
        <v>0</v>
      </c>
      <c r="H40" t="s">
        <v>550</v>
      </c>
      <c r="I40" t="s">
        <v>549</v>
      </c>
      <c r="J40" t="s">
        <v>19</v>
      </c>
      <c r="K40" t="s">
        <v>551</v>
      </c>
      <c r="N40" t="s">
        <v>552</v>
      </c>
      <c r="O40" t="s">
        <v>252</v>
      </c>
      <c r="P40" t="s">
        <v>275</v>
      </c>
      <c r="Q40" t="s">
        <v>276</v>
      </c>
      <c r="R40" s="1">
        <v>45421</v>
      </c>
      <c r="S40" s="1">
        <v>46151</v>
      </c>
      <c r="T40" s="2">
        <v>45960.678322789354</v>
      </c>
      <c r="U40" t="s">
        <v>253</v>
      </c>
      <c r="V40" t="s">
        <v>267</v>
      </c>
      <c r="W40" t="s">
        <v>277</v>
      </c>
      <c r="X40" t="s">
        <v>278</v>
      </c>
      <c r="Y40" t="s">
        <v>279</v>
      </c>
      <c r="Z40" s="32" t="s">
        <v>1072</v>
      </c>
      <c r="AA40" s="7" t="s">
        <v>280</v>
      </c>
      <c r="AB40" s="23">
        <f>AQ40</f>
        <v>0</v>
      </c>
      <c r="AC40" s="23"/>
      <c r="AD40" s="23"/>
      <c r="AE40" s="23"/>
      <c r="AF40" s="23"/>
      <c r="AG40" s="23"/>
      <c r="AH40" s="23"/>
      <c r="AI40" s="23"/>
      <c r="AJ40" s="23"/>
      <c r="AK40" t="s">
        <v>270</v>
      </c>
      <c r="AL40">
        <v>750000</v>
      </c>
      <c r="AM40" s="3" t="s">
        <v>553</v>
      </c>
    </row>
    <row r="41" spans="1:39" hidden="1" x14ac:dyDescent="0.2">
      <c r="A41" t="s">
        <v>554</v>
      </c>
      <c r="B41" t="b">
        <v>1</v>
      </c>
      <c r="C41" t="b">
        <v>0</v>
      </c>
      <c r="D41" t="b">
        <v>1</v>
      </c>
      <c r="E41" t="b">
        <v>0</v>
      </c>
      <c r="F41" t="b">
        <v>0</v>
      </c>
      <c r="G41" t="s">
        <v>361</v>
      </c>
      <c r="H41" t="s">
        <v>555</v>
      </c>
      <c r="I41" t="s">
        <v>554</v>
      </c>
      <c r="J41" t="s">
        <v>556</v>
      </c>
      <c r="N41" t="s">
        <v>557</v>
      </c>
      <c r="O41" t="s">
        <v>252</v>
      </c>
      <c r="R41" s="1">
        <v>42710</v>
      </c>
      <c r="S41" s="1">
        <v>45265</v>
      </c>
      <c r="U41" t="s">
        <v>253</v>
      </c>
      <c r="V41" t="s">
        <v>254</v>
      </c>
      <c r="W41" t="s">
        <v>558</v>
      </c>
      <c r="X41" t="s">
        <v>278</v>
      </c>
      <c r="Y41" t="s">
        <v>384</v>
      </c>
      <c r="Z41" t="s">
        <v>559</v>
      </c>
      <c r="AA41" t="s">
        <v>560</v>
      </c>
      <c r="AB41" t="s">
        <v>559</v>
      </c>
      <c r="AK41" t="s">
        <v>386</v>
      </c>
      <c r="AL41">
        <v>350000000000</v>
      </c>
      <c r="AM41" s="3" t="s">
        <v>561</v>
      </c>
    </row>
    <row r="42" spans="1:39" hidden="1" x14ac:dyDescent="0.2">
      <c r="A42" t="s">
        <v>563</v>
      </c>
      <c r="B42" t="b">
        <v>0</v>
      </c>
      <c r="C42" t="b">
        <v>0</v>
      </c>
      <c r="D42" t="b">
        <v>1</v>
      </c>
      <c r="E42" t="b">
        <v>0</v>
      </c>
      <c r="F42" t="b">
        <v>1</v>
      </c>
      <c r="G42" t="s">
        <v>361</v>
      </c>
      <c r="H42" t="s">
        <v>564</v>
      </c>
      <c r="I42" t="s">
        <v>563</v>
      </c>
      <c r="J42" t="s">
        <v>565</v>
      </c>
      <c r="K42" t="s">
        <v>566</v>
      </c>
      <c r="N42" t="s">
        <v>567</v>
      </c>
      <c r="O42" t="s">
        <v>252</v>
      </c>
      <c r="R42" s="1">
        <v>44861</v>
      </c>
      <c r="S42" s="1">
        <v>45957</v>
      </c>
      <c r="T42" s="2">
        <v>45035.810434930558</v>
      </c>
      <c r="U42" t="s">
        <v>253</v>
      </c>
      <c r="V42" t="s">
        <v>267</v>
      </c>
      <c r="W42" t="s">
        <v>568</v>
      </c>
      <c r="X42" t="s">
        <v>479</v>
      </c>
      <c r="Y42" t="s">
        <v>269</v>
      </c>
      <c r="AK42" t="s">
        <v>488</v>
      </c>
      <c r="AL42">
        <v>2000000000</v>
      </c>
      <c r="AM42" s="3" t="s">
        <v>569</v>
      </c>
    </row>
    <row r="43" spans="1:39" x14ac:dyDescent="0.2">
      <c r="A43" t="s">
        <v>570</v>
      </c>
      <c r="B43" t="b">
        <v>1</v>
      </c>
      <c r="C43" t="b">
        <v>0</v>
      </c>
      <c r="D43" t="b">
        <v>1</v>
      </c>
      <c r="E43" t="s">
        <v>522</v>
      </c>
      <c r="F43" t="b">
        <v>0</v>
      </c>
      <c r="G43" t="b">
        <v>0</v>
      </c>
      <c r="H43" t="s">
        <v>571</v>
      </c>
      <c r="I43" t="s">
        <v>570</v>
      </c>
      <c r="J43" s="20" t="s">
        <v>184</v>
      </c>
      <c r="K43" t="s">
        <v>572</v>
      </c>
      <c r="L43" t="s">
        <v>573</v>
      </c>
      <c r="N43" t="s">
        <v>574</v>
      </c>
      <c r="O43" t="s">
        <v>252</v>
      </c>
      <c r="R43" s="1">
        <v>42864</v>
      </c>
      <c r="S43" s="1">
        <v>45421</v>
      </c>
      <c r="T43" s="2">
        <v>45322.717228935187</v>
      </c>
      <c r="U43" t="s">
        <v>575</v>
      </c>
      <c r="V43" t="s">
        <v>254</v>
      </c>
      <c r="W43" t="s">
        <v>576</v>
      </c>
      <c r="X43" t="s">
        <v>305</v>
      </c>
      <c r="Y43" t="s">
        <v>257</v>
      </c>
      <c r="Z43" s="35" t="s">
        <v>577</v>
      </c>
      <c r="AA43" s="7" t="s">
        <v>578</v>
      </c>
      <c r="AB43" s="23">
        <f>AQ43</f>
        <v>0</v>
      </c>
      <c r="AC43" s="23"/>
      <c r="AD43" s="23" t="s">
        <v>2873</v>
      </c>
      <c r="AE43" s="23" t="s">
        <v>2874</v>
      </c>
      <c r="AF43" s="23" t="s">
        <v>2884</v>
      </c>
      <c r="AG43" s="23" t="s">
        <v>2884</v>
      </c>
      <c r="AH43" s="23" t="s">
        <v>2851</v>
      </c>
      <c r="AI43" s="23" t="s">
        <v>2912</v>
      </c>
      <c r="AJ43" s="23" t="s">
        <v>2914</v>
      </c>
      <c r="AK43" t="s">
        <v>270</v>
      </c>
      <c r="AL43">
        <v>1000000000</v>
      </c>
      <c r="AM43" s="3" t="s">
        <v>579</v>
      </c>
    </row>
    <row r="44" spans="1:39" hidden="1" x14ac:dyDescent="0.2">
      <c r="A44" t="s">
        <v>580</v>
      </c>
      <c r="B44" t="b">
        <v>1</v>
      </c>
      <c r="C44" t="b">
        <v>0</v>
      </c>
      <c r="D44" t="b">
        <v>1</v>
      </c>
      <c r="E44" t="s">
        <v>248</v>
      </c>
      <c r="F44" t="b">
        <v>0</v>
      </c>
      <c r="G44" t="b">
        <v>0</v>
      </c>
      <c r="H44" t="s">
        <v>581</v>
      </c>
      <c r="I44" t="s">
        <v>580</v>
      </c>
      <c r="J44" t="s">
        <v>582</v>
      </c>
      <c r="N44" t="s">
        <v>583</v>
      </c>
      <c r="O44" t="s">
        <v>252</v>
      </c>
      <c r="R44" s="1">
        <v>42752</v>
      </c>
      <c r="S44" s="1">
        <v>46404</v>
      </c>
      <c r="U44" t="s">
        <v>285</v>
      </c>
      <c r="V44" t="s">
        <v>254</v>
      </c>
      <c r="W44" t="s">
        <v>442</v>
      </c>
      <c r="X44" t="s">
        <v>256</v>
      </c>
      <c r="Y44" t="s">
        <v>257</v>
      </c>
      <c r="AA44" s="6" t="s">
        <v>546</v>
      </c>
      <c r="AB44" s="7" t="s">
        <v>584</v>
      </c>
      <c r="AC44" s="7"/>
      <c r="AD44" s="7"/>
      <c r="AE44" s="7"/>
      <c r="AF44" s="7"/>
      <c r="AG44" s="7"/>
      <c r="AH44" s="7"/>
      <c r="AI44" s="7"/>
      <c r="AJ44" s="7"/>
      <c r="AK44" t="s">
        <v>270</v>
      </c>
      <c r="AL44">
        <v>700000000</v>
      </c>
      <c r="AM44" s="3" t="s">
        <v>585</v>
      </c>
    </row>
    <row r="45" spans="1:39" hidden="1" x14ac:dyDescent="0.2">
      <c r="A45" t="s">
        <v>586</v>
      </c>
      <c r="B45" t="b">
        <v>0</v>
      </c>
      <c r="C45" t="b">
        <v>0</v>
      </c>
      <c r="D45" t="b">
        <v>0</v>
      </c>
      <c r="E45" t="b">
        <v>0</v>
      </c>
      <c r="F45" t="b">
        <v>0</v>
      </c>
      <c r="G45" t="b">
        <v>1</v>
      </c>
      <c r="H45" t="s">
        <v>587</v>
      </c>
      <c r="I45" t="s">
        <v>586</v>
      </c>
      <c r="J45" t="s">
        <v>84</v>
      </c>
      <c r="N45" t="s">
        <v>588</v>
      </c>
      <c r="O45" t="s">
        <v>252</v>
      </c>
      <c r="R45" s="1">
        <v>44922</v>
      </c>
      <c r="S45" s="1">
        <v>46748</v>
      </c>
      <c r="T45" s="2">
        <v>44952.904264814817</v>
      </c>
      <c r="U45" t="s">
        <v>253</v>
      </c>
      <c r="V45" t="s">
        <v>589</v>
      </c>
      <c r="W45" t="s">
        <v>304</v>
      </c>
      <c r="X45" t="s">
        <v>305</v>
      </c>
      <c r="Y45" t="s">
        <v>306</v>
      </c>
      <c r="AA45" t="s">
        <v>590</v>
      </c>
      <c r="AB45" s="23">
        <f>AQ45</f>
        <v>0</v>
      </c>
      <c r="AC45" s="23"/>
      <c r="AD45" s="23"/>
      <c r="AE45" s="23"/>
      <c r="AF45" s="23"/>
      <c r="AG45" s="23"/>
      <c r="AH45" s="23"/>
      <c r="AI45" s="23"/>
      <c r="AJ45" s="23"/>
      <c r="AK45" t="s">
        <v>591</v>
      </c>
      <c r="AL45">
        <v>10000000000</v>
      </c>
      <c r="AM45" s="3" t="s">
        <v>592</v>
      </c>
    </row>
    <row r="46" spans="1:39" hidden="1" x14ac:dyDescent="0.2">
      <c r="A46" t="s">
        <v>593</v>
      </c>
      <c r="B46" t="b">
        <v>0</v>
      </c>
      <c r="C46" t="b">
        <v>0</v>
      </c>
      <c r="D46" t="b">
        <v>0</v>
      </c>
      <c r="E46" t="b">
        <v>0</v>
      </c>
      <c r="F46" t="b">
        <v>0</v>
      </c>
      <c r="G46" t="b">
        <v>1</v>
      </c>
      <c r="H46" t="s">
        <v>594</v>
      </c>
      <c r="I46" t="s">
        <v>593</v>
      </c>
      <c r="J46" t="s">
        <v>35</v>
      </c>
      <c r="N46" t="s">
        <v>595</v>
      </c>
      <c r="O46" t="s">
        <v>252</v>
      </c>
      <c r="P46" t="s">
        <v>596</v>
      </c>
      <c r="Q46" t="s">
        <v>597</v>
      </c>
      <c r="R46" s="1">
        <v>44974</v>
      </c>
      <c r="S46" s="1">
        <v>46066</v>
      </c>
      <c r="T46" s="2">
        <v>44977.943740127317</v>
      </c>
      <c r="U46" t="s">
        <v>253</v>
      </c>
      <c r="V46" t="s">
        <v>295</v>
      </c>
      <c r="W46" t="s">
        <v>342</v>
      </c>
      <c r="X46" t="s">
        <v>305</v>
      </c>
      <c r="Y46" t="s">
        <v>343</v>
      </c>
      <c r="AA46" t="s">
        <v>344</v>
      </c>
      <c r="AB46" s="23">
        <f>AQ46</f>
        <v>0</v>
      </c>
      <c r="AC46" s="23"/>
      <c r="AD46" s="23"/>
      <c r="AE46" s="23"/>
      <c r="AF46" s="23"/>
      <c r="AG46" s="23"/>
      <c r="AH46" s="23"/>
      <c r="AI46" s="23"/>
      <c r="AJ46" s="23"/>
      <c r="AK46" t="s">
        <v>345</v>
      </c>
      <c r="AL46">
        <v>4000000000</v>
      </c>
      <c r="AM46" s="3" t="s">
        <v>598</v>
      </c>
    </row>
    <row r="47" spans="1:39" hidden="1" x14ac:dyDescent="0.2">
      <c r="A47" t="s">
        <v>599</v>
      </c>
      <c r="B47" t="b">
        <v>0</v>
      </c>
      <c r="C47" t="b">
        <v>0</v>
      </c>
      <c r="D47" t="b">
        <v>1</v>
      </c>
      <c r="E47" t="b">
        <v>0</v>
      </c>
      <c r="F47" t="b">
        <v>1</v>
      </c>
      <c r="G47" t="b">
        <v>0</v>
      </c>
      <c r="H47" t="s">
        <v>600</v>
      </c>
      <c r="I47" t="s">
        <v>599</v>
      </c>
      <c r="J47" t="s">
        <v>49</v>
      </c>
      <c r="N47" t="s">
        <v>601</v>
      </c>
      <c r="O47" t="s">
        <v>252</v>
      </c>
      <c r="R47" s="1">
        <v>45121</v>
      </c>
      <c r="S47" s="1">
        <v>46217</v>
      </c>
      <c r="T47" s="2">
        <v>46059.658434780089</v>
      </c>
      <c r="U47" t="s">
        <v>253</v>
      </c>
      <c r="V47" t="s">
        <v>267</v>
      </c>
      <c r="W47" t="s">
        <v>319</v>
      </c>
      <c r="X47" t="s">
        <v>256</v>
      </c>
      <c r="Y47" t="s">
        <v>269</v>
      </c>
      <c r="Z47" s="32" t="s">
        <v>2755</v>
      </c>
      <c r="AA47" s="7" t="s">
        <v>320</v>
      </c>
      <c r="AB47" s="23">
        <f>AQ47</f>
        <v>0</v>
      </c>
      <c r="AC47" s="23"/>
      <c r="AD47" s="23"/>
      <c r="AE47" s="23"/>
      <c r="AF47" s="23"/>
      <c r="AG47" s="23"/>
      <c r="AH47" s="23"/>
      <c r="AI47" s="23"/>
      <c r="AJ47" s="23"/>
      <c r="AK47" t="s">
        <v>270</v>
      </c>
      <c r="AL47">
        <v>30000000</v>
      </c>
      <c r="AM47" s="3" t="s">
        <v>602</v>
      </c>
    </row>
    <row r="48" spans="1:39" hidden="1" x14ac:dyDescent="0.2">
      <c r="A48" t="s">
        <v>603</v>
      </c>
      <c r="B48" t="b">
        <v>0</v>
      </c>
      <c r="C48" t="b">
        <v>0</v>
      </c>
      <c r="D48" t="b">
        <v>1</v>
      </c>
      <c r="E48" t="b">
        <v>0</v>
      </c>
      <c r="F48" t="b">
        <v>1</v>
      </c>
      <c r="G48" t="s">
        <v>361</v>
      </c>
      <c r="H48" t="s">
        <v>604</v>
      </c>
      <c r="I48" t="s">
        <v>603</v>
      </c>
      <c r="J48" t="s">
        <v>194</v>
      </c>
      <c r="N48" t="s">
        <v>605</v>
      </c>
      <c r="O48" t="s">
        <v>252</v>
      </c>
      <c r="R48" s="1">
        <v>44455</v>
      </c>
      <c r="S48" s="1">
        <v>48838</v>
      </c>
      <c r="U48" t="s">
        <v>253</v>
      </c>
      <c r="V48" t="s">
        <v>254</v>
      </c>
      <c r="W48" t="s">
        <v>558</v>
      </c>
      <c r="X48" t="s">
        <v>278</v>
      </c>
      <c r="Y48" t="s">
        <v>384</v>
      </c>
      <c r="AA48" s="7" t="s">
        <v>606</v>
      </c>
      <c r="AB48" s="23">
        <f>AQ48</f>
        <v>0</v>
      </c>
      <c r="AC48" s="23"/>
      <c r="AD48" s="23"/>
      <c r="AE48" s="23"/>
      <c r="AF48" s="23"/>
      <c r="AG48" s="23"/>
      <c r="AH48" s="23"/>
      <c r="AI48" s="23"/>
      <c r="AJ48" s="23"/>
      <c r="AK48" t="s">
        <v>386</v>
      </c>
      <c r="AL48">
        <v>600000000000</v>
      </c>
      <c r="AM48" s="3" t="s">
        <v>607</v>
      </c>
    </row>
    <row r="49" spans="1:39" hidden="1" x14ac:dyDescent="0.2">
      <c r="A49" t="s">
        <v>608</v>
      </c>
      <c r="B49" t="b">
        <v>1</v>
      </c>
      <c r="C49" t="b">
        <v>0</v>
      </c>
      <c r="D49" t="b">
        <v>1</v>
      </c>
      <c r="E49" t="s">
        <v>248</v>
      </c>
      <c r="F49" t="b">
        <v>0</v>
      </c>
      <c r="G49" t="b">
        <v>0</v>
      </c>
      <c r="H49" t="s">
        <v>609</v>
      </c>
      <c r="I49" t="s">
        <v>608</v>
      </c>
      <c r="J49" t="s">
        <v>610</v>
      </c>
      <c r="N49" t="s">
        <v>611</v>
      </c>
      <c r="O49" t="s">
        <v>252</v>
      </c>
      <c r="R49" s="1">
        <v>44286</v>
      </c>
      <c r="S49" s="1">
        <v>48060</v>
      </c>
      <c r="U49" t="s">
        <v>253</v>
      </c>
      <c r="V49" t="s">
        <v>254</v>
      </c>
      <c r="W49" t="s">
        <v>612</v>
      </c>
      <c r="X49" t="s">
        <v>278</v>
      </c>
      <c r="Y49" t="s">
        <v>257</v>
      </c>
      <c r="AA49" t="s">
        <v>613</v>
      </c>
      <c r="AB49" s="7" t="s">
        <v>614</v>
      </c>
      <c r="AC49" s="7"/>
      <c r="AD49" s="7"/>
      <c r="AE49" s="7"/>
      <c r="AF49" s="7"/>
      <c r="AG49" s="7"/>
      <c r="AH49" s="7"/>
      <c r="AI49" s="7"/>
      <c r="AJ49" s="7"/>
      <c r="AK49" t="s">
        <v>260</v>
      </c>
      <c r="AL49">
        <v>140389781</v>
      </c>
      <c r="AM49" s="3" t="s">
        <v>615</v>
      </c>
    </row>
    <row r="50" spans="1:39" hidden="1" x14ac:dyDescent="0.2">
      <c r="A50" t="s">
        <v>616</v>
      </c>
      <c r="B50" t="b">
        <v>0</v>
      </c>
      <c r="C50" t="b">
        <v>0</v>
      </c>
      <c r="D50" t="b">
        <v>1</v>
      </c>
      <c r="E50" t="b">
        <v>0</v>
      </c>
      <c r="F50" t="b">
        <v>1</v>
      </c>
      <c r="G50" t="b">
        <v>0</v>
      </c>
      <c r="H50" t="s">
        <v>617</v>
      </c>
      <c r="I50" t="s">
        <v>616</v>
      </c>
      <c r="J50" t="s">
        <v>4</v>
      </c>
      <c r="K50" t="s">
        <v>618</v>
      </c>
      <c r="N50" t="s">
        <v>619</v>
      </c>
      <c r="O50" t="s">
        <v>252</v>
      </c>
      <c r="P50" t="s">
        <v>275</v>
      </c>
      <c r="Q50" t="s">
        <v>276</v>
      </c>
      <c r="R50" s="1">
        <v>43732</v>
      </c>
      <c r="S50" s="1">
        <v>45565</v>
      </c>
      <c r="T50" s="2">
        <v>45960.676335902775</v>
      </c>
      <c r="U50" t="s">
        <v>253</v>
      </c>
      <c r="V50" t="s">
        <v>267</v>
      </c>
      <c r="W50" t="s">
        <v>277</v>
      </c>
      <c r="X50" t="s">
        <v>278</v>
      </c>
      <c r="Y50" t="s">
        <v>279</v>
      </c>
      <c r="Z50" s="32" t="s">
        <v>1072</v>
      </c>
      <c r="AA50" s="7" t="s">
        <v>280</v>
      </c>
      <c r="AB50" s="23">
        <f>AQ50</f>
        <v>0</v>
      </c>
      <c r="AC50" s="23"/>
      <c r="AD50" s="23"/>
      <c r="AE50" s="23"/>
      <c r="AF50" s="23"/>
      <c r="AG50" s="23"/>
      <c r="AH50" s="23"/>
      <c r="AI50" s="23"/>
      <c r="AJ50" s="23"/>
      <c r="AK50" t="s">
        <v>270</v>
      </c>
      <c r="AL50">
        <v>12000000</v>
      </c>
      <c r="AM50" s="3" t="s">
        <v>620</v>
      </c>
    </row>
    <row r="51" spans="1:39" hidden="1" x14ac:dyDescent="0.2">
      <c r="A51" t="s">
        <v>621</v>
      </c>
      <c r="B51" t="b">
        <v>0</v>
      </c>
      <c r="C51" t="b">
        <v>0</v>
      </c>
      <c r="D51" t="b">
        <v>1</v>
      </c>
      <c r="E51" t="b">
        <v>0</v>
      </c>
      <c r="F51" t="b">
        <v>1</v>
      </c>
      <c r="G51" t="s">
        <v>361</v>
      </c>
      <c r="H51" t="s">
        <v>622</v>
      </c>
      <c r="I51" t="s">
        <v>621</v>
      </c>
      <c r="M51" t="s">
        <v>623</v>
      </c>
      <c r="N51" t="s">
        <v>624</v>
      </c>
      <c r="O51" t="s">
        <v>252</v>
      </c>
      <c r="R51" s="1">
        <v>44188</v>
      </c>
      <c r="S51" s="1">
        <v>45131</v>
      </c>
      <c r="U51" t="s">
        <v>625</v>
      </c>
      <c r="V51" t="s">
        <v>267</v>
      </c>
      <c r="W51" t="s">
        <v>626</v>
      </c>
      <c r="X51" t="s">
        <v>278</v>
      </c>
      <c r="Y51" t="s">
        <v>257</v>
      </c>
      <c r="AK51" t="s">
        <v>260</v>
      </c>
      <c r="AL51">
        <v>1200000000</v>
      </c>
      <c r="AM51" s="3" t="s">
        <v>627</v>
      </c>
    </row>
    <row r="52" spans="1:39" hidden="1" x14ac:dyDescent="0.2">
      <c r="A52" t="s">
        <v>628</v>
      </c>
      <c r="B52" t="b">
        <v>1</v>
      </c>
      <c r="C52" t="b">
        <v>0</v>
      </c>
      <c r="D52" t="b">
        <v>1</v>
      </c>
      <c r="E52" t="s">
        <v>248</v>
      </c>
      <c r="F52" t="b">
        <v>0</v>
      </c>
      <c r="G52" t="b">
        <v>0</v>
      </c>
      <c r="H52" t="s">
        <v>629</v>
      </c>
      <c r="I52" t="s">
        <v>628</v>
      </c>
      <c r="J52" t="s">
        <v>630</v>
      </c>
      <c r="K52" t="s">
        <v>631</v>
      </c>
      <c r="N52" t="s">
        <v>632</v>
      </c>
      <c r="O52" t="s">
        <v>252</v>
      </c>
      <c r="R52" s="1">
        <v>43682</v>
      </c>
      <c r="S52" s="1">
        <v>45509</v>
      </c>
      <c r="U52" t="s">
        <v>625</v>
      </c>
      <c r="V52" t="s">
        <v>254</v>
      </c>
      <c r="W52" t="s">
        <v>633</v>
      </c>
      <c r="X52" t="s">
        <v>256</v>
      </c>
      <c r="Y52" t="s">
        <v>257</v>
      </c>
      <c r="AA52" s="6" t="s">
        <v>634</v>
      </c>
      <c r="AB52" t="s">
        <v>635</v>
      </c>
      <c r="AK52" t="s">
        <v>260</v>
      </c>
      <c r="AL52">
        <v>20000000</v>
      </c>
      <c r="AM52" s="3" t="s">
        <v>636</v>
      </c>
    </row>
    <row r="53" spans="1:39" hidden="1" x14ac:dyDescent="0.2">
      <c r="A53" t="s">
        <v>637</v>
      </c>
      <c r="B53" t="b">
        <v>0</v>
      </c>
      <c r="C53" t="b">
        <v>0</v>
      </c>
      <c r="D53" t="b">
        <v>1</v>
      </c>
      <c r="E53" t="b">
        <v>0</v>
      </c>
      <c r="F53" t="b">
        <v>1</v>
      </c>
      <c r="G53" t="b">
        <v>0</v>
      </c>
      <c r="H53" t="s">
        <v>638</v>
      </c>
      <c r="I53" t="s">
        <v>637</v>
      </c>
      <c r="J53" t="s">
        <v>11</v>
      </c>
      <c r="N53" t="s">
        <v>639</v>
      </c>
      <c r="O53" t="s">
        <v>252</v>
      </c>
      <c r="P53" t="s">
        <v>275</v>
      </c>
      <c r="Q53" t="s">
        <v>276</v>
      </c>
      <c r="R53" s="1">
        <v>44106</v>
      </c>
      <c r="S53" s="1">
        <v>44840</v>
      </c>
      <c r="T53" s="2">
        <v>45960.673860208335</v>
      </c>
      <c r="U53" t="s">
        <v>253</v>
      </c>
      <c r="V53" t="s">
        <v>267</v>
      </c>
      <c r="W53" t="s">
        <v>277</v>
      </c>
      <c r="X53" t="s">
        <v>278</v>
      </c>
      <c r="Y53" t="s">
        <v>279</v>
      </c>
      <c r="Z53" s="32" t="s">
        <v>1072</v>
      </c>
      <c r="AA53" s="7" t="s">
        <v>280</v>
      </c>
      <c r="AB53" s="23">
        <f>AQ53</f>
        <v>0</v>
      </c>
      <c r="AC53" s="23"/>
      <c r="AD53" s="23"/>
      <c r="AE53" s="23"/>
      <c r="AF53" s="23"/>
      <c r="AG53" s="23"/>
      <c r="AH53" s="23"/>
      <c r="AI53" s="23"/>
      <c r="AJ53" s="23"/>
      <c r="AK53" t="s">
        <v>270</v>
      </c>
      <c r="AL53">
        <v>4000000</v>
      </c>
      <c r="AM53" s="3" t="s">
        <v>640</v>
      </c>
    </row>
    <row r="54" spans="1:39" hidden="1" x14ac:dyDescent="0.2">
      <c r="A54" t="s">
        <v>641</v>
      </c>
      <c r="B54" t="b">
        <v>0</v>
      </c>
      <c r="C54" t="b">
        <v>0</v>
      </c>
      <c r="D54" t="b">
        <v>1</v>
      </c>
      <c r="E54" t="b">
        <v>0</v>
      </c>
      <c r="F54" t="b">
        <v>1</v>
      </c>
      <c r="G54" t="b">
        <v>0</v>
      </c>
      <c r="H54" t="s">
        <v>642</v>
      </c>
      <c r="I54" t="s">
        <v>641</v>
      </c>
      <c r="J54" t="s">
        <v>62</v>
      </c>
      <c r="M54" t="s">
        <v>643</v>
      </c>
      <c r="N54" t="s">
        <v>644</v>
      </c>
      <c r="O54" t="s">
        <v>252</v>
      </c>
      <c r="R54" s="1">
        <v>44770</v>
      </c>
      <c r="S54" s="1">
        <v>46596</v>
      </c>
      <c r="T54" s="2">
        <v>46153.778729143516</v>
      </c>
      <c r="U54" t="s">
        <v>253</v>
      </c>
      <c r="V54" t="s">
        <v>267</v>
      </c>
      <c r="W54" t="s">
        <v>645</v>
      </c>
      <c r="X54" t="s">
        <v>256</v>
      </c>
      <c r="Y54" t="s">
        <v>351</v>
      </c>
      <c r="Z54" s="32" t="s">
        <v>2752</v>
      </c>
      <c r="AA54" s="7" t="s">
        <v>646</v>
      </c>
      <c r="AB54" s="23">
        <f>AQ54</f>
        <v>0</v>
      </c>
      <c r="AC54" s="23"/>
      <c r="AD54" s="23"/>
      <c r="AE54" s="23"/>
      <c r="AF54" s="23"/>
      <c r="AG54" s="23"/>
      <c r="AH54" s="23"/>
      <c r="AI54" s="23"/>
      <c r="AJ54" s="23"/>
      <c r="AK54" t="s">
        <v>647</v>
      </c>
      <c r="AL54">
        <v>4060000000</v>
      </c>
      <c r="AM54" s="3" t="s">
        <v>648</v>
      </c>
    </row>
    <row r="55" spans="1:39" hidden="1" x14ac:dyDescent="0.2">
      <c r="A55" t="s">
        <v>465</v>
      </c>
      <c r="B55" t="b">
        <v>1</v>
      </c>
      <c r="C55" t="b">
        <v>0</v>
      </c>
      <c r="D55" t="b">
        <v>1</v>
      </c>
      <c r="E55" t="s">
        <v>522</v>
      </c>
      <c r="F55" t="b">
        <v>0</v>
      </c>
      <c r="G55" t="b">
        <v>0</v>
      </c>
      <c r="H55" t="s">
        <v>466</v>
      </c>
      <c r="I55" t="s">
        <v>465</v>
      </c>
      <c r="M55" t="s">
        <v>649</v>
      </c>
      <c r="N55" t="s">
        <v>650</v>
      </c>
      <c r="O55" t="s">
        <v>382</v>
      </c>
      <c r="U55" t="s">
        <v>253</v>
      </c>
      <c r="V55" t="s">
        <v>254</v>
      </c>
      <c r="W55" t="s">
        <v>467</v>
      </c>
      <c r="X55" t="s">
        <v>305</v>
      </c>
      <c r="Y55" t="s">
        <v>306</v>
      </c>
      <c r="Z55" s="35" t="s">
        <v>651</v>
      </c>
      <c r="AA55" t="s">
        <v>468</v>
      </c>
      <c r="AB55" s="23">
        <f>AQ55</f>
        <v>0</v>
      </c>
      <c r="AC55" s="23"/>
      <c r="AD55" s="23" t="s">
        <v>2895</v>
      </c>
      <c r="AE55" s="23" t="s">
        <v>2895</v>
      </c>
      <c r="AF55" s="23" t="s">
        <v>2895</v>
      </c>
      <c r="AG55" s="23" t="s">
        <v>2895</v>
      </c>
      <c r="AH55" s="23" t="s">
        <v>2895</v>
      </c>
      <c r="AI55" s="23"/>
      <c r="AJ55" s="23"/>
      <c r="AK55" t="s">
        <v>270</v>
      </c>
    </row>
    <row r="56" spans="1:39" hidden="1" x14ac:dyDescent="0.2">
      <c r="A56" t="s">
        <v>652</v>
      </c>
      <c r="B56" t="b">
        <v>0</v>
      </c>
      <c r="C56" t="b">
        <v>0</v>
      </c>
      <c r="D56" t="b">
        <v>1</v>
      </c>
      <c r="E56" t="b">
        <v>0</v>
      </c>
      <c r="F56" t="b">
        <v>1</v>
      </c>
      <c r="G56" t="b">
        <v>0</v>
      </c>
      <c r="H56" t="s">
        <v>653</v>
      </c>
      <c r="I56" t="s">
        <v>652</v>
      </c>
      <c r="J56" t="s">
        <v>114</v>
      </c>
      <c r="K56" t="s">
        <v>654</v>
      </c>
      <c r="L56" t="s">
        <v>655</v>
      </c>
      <c r="M56" t="s">
        <v>656</v>
      </c>
      <c r="N56" t="s">
        <v>657</v>
      </c>
      <c r="O56" t="s">
        <v>252</v>
      </c>
      <c r="R56" s="1">
        <v>44356</v>
      </c>
      <c r="S56" s="1">
        <v>48745</v>
      </c>
      <c r="U56" t="s">
        <v>253</v>
      </c>
      <c r="V56" t="s">
        <v>254</v>
      </c>
      <c r="W56" t="s">
        <v>658</v>
      </c>
      <c r="X56" t="s">
        <v>256</v>
      </c>
      <c r="Y56" t="s">
        <v>287</v>
      </c>
      <c r="Z56" s="32" t="s">
        <v>2751</v>
      </c>
      <c r="AA56" s="7" t="s">
        <v>659</v>
      </c>
      <c r="AB56" s="23">
        <f>AQ56</f>
        <v>0</v>
      </c>
      <c r="AC56" s="23"/>
      <c r="AD56" s="23"/>
      <c r="AE56" s="23"/>
      <c r="AF56" s="23"/>
      <c r="AG56" s="23"/>
      <c r="AH56" s="23"/>
      <c r="AI56" s="23"/>
      <c r="AJ56" s="23"/>
      <c r="AK56" t="s">
        <v>270</v>
      </c>
      <c r="AL56">
        <v>153670000</v>
      </c>
      <c r="AM56" s="3" t="s">
        <v>660</v>
      </c>
    </row>
    <row r="57" spans="1:39" hidden="1" x14ac:dyDescent="0.2">
      <c r="A57" t="s">
        <v>661</v>
      </c>
      <c r="B57" t="b">
        <v>0</v>
      </c>
      <c r="C57" t="b">
        <v>0</v>
      </c>
      <c r="D57" t="b">
        <v>1</v>
      </c>
      <c r="E57" t="b">
        <v>0</v>
      </c>
      <c r="F57" t="b">
        <v>1</v>
      </c>
      <c r="G57" t="s">
        <v>361</v>
      </c>
      <c r="H57" t="s">
        <v>662</v>
      </c>
      <c r="I57" t="s">
        <v>661</v>
      </c>
      <c r="J57" t="s">
        <v>663</v>
      </c>
      <c r="M57" t="s">
        <v>664</v>
      </c>
      <c r="N57" t="s">
        <v>665</v>
      </c>
      <c r="O57" t="s">
        <v>252</v>
      </c>
      <c r="R57" s="1">
        <v>44377</v>
      </c>
      <c r="S57" s="1">
        <v>48015</v>
      </c>
      <c r="T57" s="2">
        <v>45089.753906944446</v>
      </c>
      <c r="U57" t="s">
        <v>253</v>
      </c>
      <c r="V57" t="s">
        <v>254</v>
      </c>
      <c r="W57" t="s">
        <v>666</v>
      </c>
      <c r="X57" t="s">
        <v>256</v>
      </c>
      <c r="Y57" t="s">
        <v>257</v>
      </c>
      <c r="AK57" t="s">
        <v>260</v>
      </c>
      <c r="AL57">
        <v>500000000</v>
      </c>
      <c r="AM57" s="3" t="s">
        <v>667</v>
      </c>
    </row>
    <row r="58" spans="1:39" hidden="1" x14ac:dyDescent="0.2">
      <c r="A58" t="s">
        <v>668</v>
      </c>
      <c r="B58" t="b">
        <v>1</v>
      </c>
      <c r="C58" t="b">
        <v>0</v>
      </c>
      <c r="D58" t="b">
        <v>1</v>
      </c>
      <c r="E58" t="s">
        <v>248</v>
      </c>
      <c r="F58" t="b">
        <v>0</v>
      </c>
      <c r="G58" t="b">
        <v>0</v>
      </c>
      <c r="H58" t="s">
        <v>669</v>
      </c>
      <c r="I58" t="s">
        <v>668</v>
      </c>
      <c r="J58" t="s">
        <v>670</v>
      </c>
      <c r="K58" t="s">
        <v>671</v>
      </c>
      <c r="N58" t="s">
        <v>672</v>
      </c>
      <c r="O58" t="s">
        <v>252</v>
      </c>
      <c r="R58" s="1">
        <v>43763</v>
      </c>
      <c r="S58" s="1">
        <v>52855</v>
      </c>
      <c r="U58" t="s">
        <v>253</v>
      </c>
      <c r="V58" t="s">
        <v>267</v>
      </c>
      <c r="W58" t="s">
        <v>545</v>
      </c>
      <c r="X58" t="s">
        <v>256</v>
      </c>
      <c r="Y58" t="s">
        <v>257</v>
      </c>
      <c r="AA58" s="6" t="s">
        <v>673</v>
      </c>
      <c r="AB58" s="7" t="s">
        <v>674</v>
      </c>
      <c r="AC58" s="7"/>
      <c r="AD58" s="7"/>
      <c r="AE58" s="7"/>
      <c r="AF58" s="7"/>
      <c r="AG58" s="7"/>
      <c r="AH58" s="7"/>
      <c r="AI58" s="7"/>
      <c r="AJ58" s="7"/>
      <c r="AK58" t="s">
        <v>260</v>
      </c>
      <c r="AL58">
        <v>508960000</v>
      </c>
      <c r="AM58" s="3" t="s">
        <v>675</v>
      </c>
    </row>
    <row r="59" spans="1:39" hidden="1" x14ac:dyDescent="0.2">
      <c r="A59" t="s">
        <v>676</v>
      </c>
      <c r="B59" t="b">
        <v>0</v>
      </c>
      <c r="C59" t="b">
        <v>0</v>
      </c>
      <c r="D59" t="b">
        <v>1</v>
      </c>
      <c r="E59" t="b">
        <v>0</v>
      </c>
      <c r="F59" t="b">
        <v>1</v>
      </c>
      <c r="G59" t="s">
        <v>361</v>
      </c>
      <c r="H59" t="s">
        <v>677</v>
      </c>
      <c r="I59" t="s">
        <v>676</v>
      </c>
      <c r="J59" t="s">
        <v>678</v>
      </c>
      <c r="N59" t="s">
        <v>679</v>
      </c>
      <c r="O59" t="s">
        <v>252</v>
      </c>
      <c r="R59" s="1">
        <v>43962</v>
      </c>
      <c r="S59" s="1">
        <v>46155</v>
      </c>
      <c r="U59" t="s">
        <v>680</v>
      </c>
      <c r="V59" t="s">
        <v>254</v>
      </c>
      <c r="W59" t="s">
        <v>681</v>
      </c>
      <c r="X59" t="s">
        <v>278</v>
      </c>
      <c r="Y59" t="s">
        <v>257</v>
      </c>
      <c r="AK59" t="s">
        <v>260</v>
      </c>
      <c r="AL59">
        <v>1500000</v>
      </c>
      <c r="AM59" s="3" t="s">
        <v>682</v>
      </c>
    </row>
    <row r="60" spans="1:39" hidden="1" x14ac:dyDescent="0.2">
      <c r="A60" t="s">
        <v>683</v>
      </c>
      <c r="B60" t="b">
        <v>1</v>
      </c>
      <c r="C60" t="b">
        <v>0</v>
      </c>
      <c r="D60" t="b">
        <v>1</v>
      </c>
      <c r="E60" t="b">
        <v>0</v>
      </c>
      <c r="F60" t="b">
        <v>0</v>
      </c>
      <c r="G60" t="s">
        <v>361</v>
      </c>
      <c r="H60" t="s">
        <v>684</v>
      </c>
      <c r="I60" t="s">
        <v>683</v>
      </c>
      <c r="J60" t="s">
        <v>685</v>
      </c>
      <c r="K60" t="s">
        <v>686</v>
      </c>
      <c r="N60" t="s">
        <v>687</v>
      </c>
      <c r="O60" t="s">
        <v>252</v>
      </c>
      <c r="R60" s="1">
        <v>43747</v>
      </c>
      <c r="S60" s="1">
        <v>46310</v>
      </c>
      <c r="U60" t="s">
        <v>575</v>
      </c>
      <c r="V60" t="s">
        <v>254</v>
      </c>
      <c r="W60" t="s">
        <v>688</v>
      </c>
      <c r="X60" t="s">
        <v>256</v>
      </c>
      <c r="Y60" t="s">
        <v>257</v>
      </c>
      <c r="AA60" s="6" t="s">
        <v>689</v>
      </c>
      <c r="AK60" t="s">
        <v>260</v>
      </c>
      <c r="AL60">
        <v>55000000</v>
      </c>
      <c r="AM60" s="3" t="s">
        <v>690</v>
      </c>
    </row>
    <row r="61" spans="1:39" hidden="1" x14ac:dyDescent="0.2">
      <c r="A61" t="s">
        <v>691</v>
      </c>
      <c r="B61" t="b">
        <v>0</v>
      </c>
      <c r="C61" t="b">
        <v>0</v>
      </c>
      <c r="D61" t="b">
        <v>0</v>
      </c>
      <c r="E61" t="b">
        <v>0</v>
      </c>
      <c r="F61" t="b">
        <v>0</v>
      </c>
      <c r="G61" t="b">
        <v>1</v>
      </c>
      <c r="H61" t="s">
        <v>692</v>
      </c>
      <c r="I61" t="s">
        <v>691</v>
      </c>
      <c r="J61" t="s">
        <v>29</v>
      </c>
      <c r="K61" t="s">
        <v>693</v>
      </c>
      <c r="M61" t="s">
        <v>694</v>
      </c>
      <c r="N61" t="s">
        <v>695</v>
      </c>
      <c r="O61" t="s">
        <v>252</v>
      </c>
      <c r="P61" t="s">
        <v>696</v>
      </c>
      <c r="Q61" t="s">
        <v>697</v>
      </c>
      <c r="R61" s="1">
        <v>44495</v>
      </c>
      <c r="S61" s="1">
        <v>45590</v>
      </c>
      <c r="T61" s="2">
        <v>44937.850156712964</v>
      </c>
      <c r="U61" t="s">
        <v>253</v>
      </c>
      <c r="V61" t="s">
        <v>295</v>
      </c>
      <c r="W61" t="s">
        <v>342</v>
      </c>
      <c r="X61" t="s">
        <v>305</v>
      </c>
      <c r="Y61" t="s">
        <v>343</v>
      </c>
      <c r="AA61" t="s">
        <v>344</v>
      </c>
      <c r="AB61" s="23">
        <f>AQ61</f>
        <v>0</v>
      </c>
      <c r="AC61" s="23"/>
      <c r="AD61" s="23"/>
      <c r="AE61" s="23"/>
      <c r="AF61" s="23"/>
      <c r="AG61" s="23"/>
      <c r="AH61" s="23"/>
      <c r="AI61" s="23"/>
      <c r="AJ61" s="23"/>
      <c r="AK61" t="s">
        <v>345</v>
      </c>
      <c r="AL61">
        <v>3000000000</v>
      </c>
      <c r="AM61" s="3" t="s">
        <v>698</v>
      </c>
    </row>
    <row r="62" spans="1:39" hidden="1" x14ac:dyDescent="0.2">
      <c r="A62" t="s">
        <v>699</v>
      </c>
      <c r="B62" t="b">
        <v>0</v>
      </c>
      <c r="C62" t="b">
        <v>0</v>
      </c>
      <c r="D62" t="b">
        <v>1</v>
      </c>
      <c r="E62" t="b">
        <v>0</v>
      </c>
      <c r="F62" t="b">
        <v>1</v>
      </c>
      <c r="G62" t="b">
        <v>0</v>
      </c>
      <c r="H62" t="s">
        <v>700</v>
      </c>
      <c r="I62" t="s">
        <v>699</v>
      </c>
      <c r="J62" t="s">
        <v>160</v>
      </c>
      <c r="M62" t="s">
        <v>701</v>
      </c>
      <c r="N62" t="s">
        <v>702</v>
      </c>
      <c r="O62" t="s">
        <v>252</v>
      </c>
      <c r="R62" s="1">
        <v>44454</v>
      </c>
      <c r="S62" s="1">
        <v>47376</v>
      </c>
      <c r="T62" s="2">
        <v>45124.52618148148</v>
      </c>
      <c r="U62" t="s">
        <v>253</v>
      </c>
      <c r="V62" t="s">
        <v>254</v>
      </c>
      <c r="W62" t="s">
        <v>703</v>
      </c>
      <c r="X62" t="s">
        <v>256</v>
      </c>
      <c r="Y62" t="s">
        <v>257</v>
      </c>
      <c r="Z62" s="32" t="s">
        <v>1191</v>
      </c>
      <c r="AA62" s="7" t="s">
        <v>704</v>
      </c>
      <c r="AB62" s="23">
        <f>AQ62</f>
        <v>0</v>
      </c>
      <c r="AC62" s="23"/>
      <c r="AD62" s="23"/>
      <c r="AE62" s="23"/>
      <c r="AF62" s="23"/>
      <c r="AG62" s="23"/>
      <c r="AH62" s="23"/>
      <c r="AI62" s="23"/>
      <c r="AJ62" s="23"/>
      <c r="AK62" t="s">
        <v>260</v>
      </c>
      <c r="AL62">
        <v>185000000</v>
      </c>
      <c r="AM62" s="3" t="s">
        <v>705</v>
      </c>
    </row>
    <row r="63" spans="1:39" hidden="1" x14ac:dyDescent="0.2">
      <c r="A63" s="4" t="s">
        <v>706</v>
      </c>
      <c r="B63" t="b">
        <v>0</v>
      </c>
      <c r="C63" t="b">
        <v>0</v>
      </c>
      <c r="D63" t="b">
        <v>1</v>
      </c>
      <c r="E63" t="b">
        <v>0</v>
      </c>
      <c r="F63" t="b">
        <v>1</v>
      </c>
      <c r="G63" t="s">
        <v>361</v>
      </c>
      <c r="H63" t="s">
        <v>707</v>
      </c>
      <c r="I63" s="4" t="s">
        <v>706</v>
      </c>
      <c r="J63" t="s">
        <v>708</v>
      </c>
      <c r="M63" t="s">
        <v>709</v>
      </c>
      <c r="N63" t="s">
        <v>709</v>
      </c>
      <c r="O63" t="s">
        <v>252</v>
      </c>
      <c r="R63" s="1">
        <v>44089</v>
      </c>
      <c r="S63" s="1">
        <v>47011</v>
      </c>
      <c r="U63" t="s">
        <v>253</v>
      </c>
      <c r="V63" t="s">
        <v>254</v>
      </c>
      <c r="W63" t="s">
        <v>494</v>
      </c>
      <c r="X63" t="s">
        <v>256</v>
      </c>
      <c r="Y63" t="s">
        <v>257</v>
      </c>
      <c r="AK63" t="s">
        <v>260</v>
      </c>
      <c r="AL63">
        <v>50000000</v>
      </c>
      <c r="AM63" s="3" t="s">
        <v>710</v>
      </c>
    </row>
    <row r="64" spans="1:39" hidden="1" x14ac:dyDescent="0.2">
      <c r="A64" t="s">
        <v>711</v>
      </c>
      <c r="B64" t="b">
        <v>0</v>
      </c>
      <c r="C64" t="b">
        <v>0</v>
      </c>
      <c r="D64" t="b">
        <v>1</v>
      </c>
      <c r="E64" t="b">
        <v>0</v>
      </c>
      <c r="F64" t="b">
        <v>1</v>
      </c>
      <c r="G64" t="s">
        <v>361</v>
      </c>
      <c r="H64" t="s">
        <v>712</v>
      </c>
      <c r="I64" t="s">
        <v>711</v>
      </c>
      <c r="J64" t="s">
        <v>713</v>
      </c>
      <c r="M64" t="s">
        <v>714</v>
      </c>
      <c r="N64" t="s">
        <v>715</v>
      </c>
      <c r="O64" t="s">
        <v>252</v>
      </c>
      <c r="R64" s="1">
        <v>45957</v>
      </c>
      <c r="S64" s="1">
        <v>51424</v>
      </c>
      <c r="T64" s="2">
        <v>46139.843939351849</v>
      </c>
      <c r="U64" t="s">
        <v>253</v>
      </c>
      <c r="V64" t="s">
        <v>267</v>
      </c>
      <c r="W64" t="s">
        <v>716</v>
      </c>
      <c r="X64" t="s">
        <v>256</v>
      </c>
      <c r="Y64" t="s">
        <v>257</v>
      </c>
      <c r="AK64" t="s">
        <v>260</v>
      </c>
      <c r="AL64">
        <v>120000000</v>
      </c>
      <c r="AM64" s="3" t="s">
        <v>717</v>
      </c>
    </row>
    <row r="65" spans="1:39" hidden="1" x14ac:dyDescent="0.2">
      <c r="A65" t="s">
        <v>718</v>
      </c>
      <c r="B65" t="b">
        <v>0</v>
      </c>
      <c r="C65" t="b">
        <v>0</v>
      </c>
      <c r="D65" t="b">
        <v>1</v>
      </c>
      <c r="E65" t="b">
        <v>0</v>
      </c>
      <c r="F65" t="b">
        <v>1</v>
      </c>
      <c r="G65" t="b">
        <v>0</v>
      </c>
      <c r="H65" t="s">
        <v>719</v>
      </c>
      <c r="I65" t="s">
        <v>718</v>
      </c>
      <c r="J65" t="s">
        <v>80</v>
      </c>
      <c r="L65" t="s">
        <v>80</v>
      </c>
      <c r="N65" t="s">
        <v>720</v>
      </c>
      <c r="O65" t="s">
        <v>252</v>
      </c>
      <c r="P65" t="s">
        <v>721</v>
      </c>
      <c r="Q65" t="s">
        <v>722</v>
      </c>
      <c r="R65" s="1">
        <v>44559</v>
      </c>
      <c r="S65" s="1">
        <v>49887</v>
      </c>
      <c r="U65" t="s">
        <v>253</v>
      </c>
      <c r="V65" t="s">
        <v>267</v>
      </c>
      <c r="W65" t="s">
        <v>723</v>
      </c>
      <c r="X65" t="s">
        <v>256</v>
      </c>
      <c r="Y65" t="s">
        <v>724</v>
      </c>
      <c r="Z65" s="32" t="s">
        <v>2750</v>
      </c>
      <c r="AA65" s="7" t="s">
        <v>725</v>
      </c>
      <c r="AB65" s="23">
        <f>AQ65</f>
        <v>0</v>
      </c>
      <c r="AC65" s="23"/>
      <c r="AD65" s="23"/>
      <c r="AE65" s="23"/>
      <c r="AF65" s="23"/>
      <c r="AG65" s="23"/>
      <c r="AH65" s="23"/>
      <c r="AI65" s="23"/>
      <c r="AJ65" s="23"/>
      <c r="AK65" t="s">
        <v>270</v>
      </c>
      <c r="AL65">
        <v>20000000</v>
      </c>
      <c r="AM65" s="3" t="s">
        <v>315</v>
      </c>
    </row>
    <row r="66" spans="1:39" hidden="1" x14ac:dyDescent="0.2">
      <c r="A66" t="s">
        <v>726</v>
      </c>
      <c r="B66" t="b">
        <v>0</v>
      </c>
      <c r="C66" t="b">
        <v>0</v>
      </c>
      <c r="D66" t="b">
        <v>0</v>
      </c>
      <c r="E66" t="b">
        <v>0</v>
      </c>
      <c r="F66" t="b">
        <v>0</v>
      </c>
      <c r="G66" t="b">
        <v>1</v>
      </c>
      <c r="H66" t="s">
        <v>727</v>
      </c>
      <c r="I66" t="s">
        <v>726</v>
      </c>
      <c r="J66" t="s">
        <v>33</v>
      </c>
      <c r="K66" t="s">
        <v>728</v>
      </c>
      <c r="M66" t="s">
        <v>729</v>
      </c>
      <c r="N66" t="s">
        <v>730</v>
      </c>
      <c r="O66" t="s">
        <v>252</v>
      </c>
      <c r="P66" t="s">
        <v>731</v>
      </c>
      <c r="Q66" t="s">
        <v>732</v>
      </c>
      <c r="R66" s="1">
        <v>44643</v>
      </c>
      <c r="S66" s="1">
        <v>48289</v>
      </c>
      <c r="T66" s="2">
        <v>45125.780712685184</v>
      </c>
      <c r="U66" t="s">
        <v>253</v>
      </c>
      <c r="V66" t="s">
        <v>295</v>
      </c>
      <c r="W66" t="s">
        <v>342</v>
      </c>
      <c r="X66" t="s">
        <v>305</v>
      </c>
      <c r="Y66" t="s">
        <v>343</v>
      </c>
      <c r="AA66" t="s">
        <v>344</v>
      </c>
      <c r="AB66" s="23">
        <f>AQ66</f>
        <v>0</v>
      </c>
      <c r="AC66" s="23"/>
      <c r="AD66" s="23"/>
      <c r="AE66" s="23"/>
      <c r="AF66" s="23"/>
      <c r="AG66" s="23"/>
      <c r="AH66" s="23"/>
      <c r="AI66" s="23"/>
      <c r="AJ66" s="23"/>
      <c r="AK66" t="s">
        <v>345</v>
      </c>
      <c r="AL66">
        <v>8114000000</v>
      </c>
      <c r="AM66" s="3" t="s">
        <v>733</v>
      </c>
    </row>
    <row r="67" spans="1:39" hidden="1" x14ac:dyDescent="0.2">
      <c r="A67" t="s">
        <v>734</v>
      </c>
      <c r="B67" t="b">
        <v>0</v>
      </c>
      <c r="C67" t="b">
        <v>0</v>
      </c>
      <c r="D67" t="b">
        <v>1</v>
      </c>
      <c r="E67" t="b">
        <v>0</v>
      </c>
      <c r="F67" t="b">
        <v>1</v>
      </c>
      <c r="G67" t="b">
        <v>0</v>
      </c>
      <c r="H67" t="s">
        <v>735</v>
      </c>
      <c r="I67" t="s">
        <v>734</v>
      </c>
      <c r="J67" t="s">
        <v>52</v>
      </c>
      <c r="K67" t="s">
        <v>736</v>
      </c>
      <c r="N67" t="s">
        <v>737</v>
      </c>
      <c r="O67" t="s">
        <v>252</v>
      </c>
      <c r="P67" t="s">
        <v>331</v>
      </c>
      <c r="Q67" t="s">
        <v>332</v>
      </c>
      <c r="R67" s="1">
        <v>43633</v>
      </c>
      <c r="S67" s="1">
        <v>54813</v>
      </c>
      <c r="T67" s="2">
        <v>44923.648048020834</v>
      </c>
      <c r="U67" t="s">
        <v>253</v>
      </c>
      <c r="V67" t="s">
        <v>254</v>
      </c>
      <c r="W67" t="s">
        <v>333</v>
      </c>
      <c r="X67" t="s">
        <v>334</v>
      </c>
      <c r="Y67" t="s">
        <v>287</v>
      </c>
      <c r="Z67" s="32" t="s">
        <v>2759</v>
      </c>
      <c r="AA67" s="7" t="s">
        <v>335</v>
      </c>
      <c r="AB67" s="23">
        <f>AQ67</f>
        <v>0</v>
      </c>
      <c r="AC67" s="23"/>
      <c r="AD67" s="23"/>
      <c r="AE67" s="23"/>
      <c r="AF67" s="23"/>
      <c r="AG67" s="23"/>
      <c r="AH67" s="23"/>
      <c r="AI67" s="23"/>
      <c r="AJ67" s="23"/>
      <c r="AK67" t="s">
        <v>270</v>
      </c>
      <c r="AL67">
        <v>2318357000</v>
      </c>
      <c r="AM67" s="3" t="s">
        <v>738</v>
      </c>
    </row>
    <row r="68" spans="1:39" hidden="1" x14ac:dyDescent="0.2">
      <c r="A68" t="s">
        <v>739</v>
      </c>
      <c r="B68" t="b">
        <v>1</v>
      </c>
      <c r="C68" t="b">
        <v>0</v>
      </c>
      <c r="D68" t="b">
        <v>1</v>
      </c>
      <c r="E68" t="b">
        <v>0</v>
      </c>
      <c r="F68" t="b">
        <v>0</v>
      </c>
      <c r="G68" t="s">
        <v>361</v>
      </c>
      <c r="H68" t="s">
        <v>740</v>
      </c>
      <c r="I68" t="s">
        <v>739</v>
      </c>
      <c r="J68" t="s">
        <v>741</v>
      </c>
      <c r="N68" t="s">
        <v>742</v>
      </c>
      <c r="O68" t="s">
        <v>252</v>
      </c>
      <c r="R68" s="1">
        <v>44175</v>
      </c>
      <c r="S68" s="1">
        <v>46111</v>
      </c>
      <c r="U68" t="s">
        <v>743</v>
      </c>
      <c r="V68" t="s">
        <v>254</v>
      </c>
      <c r="W68" t="s">
        <v>681</v>
      </c>
      <c r="X68" t="s">
        <v>278</v>
      </c>
      <c r="Y68" t="s">
        <v>257</v>
      </c>
      <c r="AA68" t="s">
        <v>689</v>
      </c>
      <c r="AK68" t="s">
        <v>260</v>
      </c>
      <c r="AL68">
        <v>1050000</v>
      </c>
      <c r="AM68" s="3" t="s">
        <v>744</v>
      </c>
    </row>
    <row r="69" spans="1:39" hidden="1" x14ac:dyDescent="0.2">
      <c r="A69" t="s">
        <v>745</v>
      </c>
      <c r="B69" t="b">
        <v>0</v>
      </c>
      <c r="C69" t="b">
        <v>0</v>
      </c>
      <c r="D69" t="b">
        <v>1</v>
      </c>
      <c r="E69" t="b">
        <v>0</v>
      </c>
      <c r="F69" t="b">
        <v>1</v>
      </c>
      <c r="G69" t="s">
        <v>361</v>
      </c>
      <c r="H69" t="s">
        <v>746</v>
      </c>
      <c r="I69" t="s">
        <v>745</v>
      </c>
      <c r="J69" t="s">
        <v>747</v>
      </c>
      <c r="N69" t="s">
        <v>748</v>
      </c>
      <c r="O69" t="s">
        <v>252</v>
      </c>
      <c r="R69" s="1">
        <v>45050</v>
      </c>
      <c r="S69" s="1">
        <v>45416</v>
      </c>
      <c r="T69" s="2">
        <v>46128.869312650466</v>
      </c>
      <c r="U69" t="s">
        <v>253</v>
      </c>
      <c r="V69" t="s">
        <v>267</v>
      </c>
      <c r="W69" t="s">
        <v>749</v>
      </c>
      <c r="X69" t="s">
        <v>256</v>
      </c>
      <c r="Y69" t="s">
        <v>269</v>
      </c>
      <c r="AK69" t="s">
        <v>488</v>
      </c>
      <c r="AL69">
        <v>5980316325</v>
      </c>
      <c r="AM69" s="3" t="s">
        <v>750</v>
      </c>
    </row>
    <row r="70" spans="1:39" hidden="1" x14ac:dyDescent="0.2">
      <c r="A70" t="s">
        <v>751</v>
      </c>
      <c r="B70" t="b">
        <v>0</v>
      </c>
      <c r="C70" t="b">
        <v>0</v>
      </c>
      <c r="D70" t="b">
        <v>1</v>
      </c>
      <c r="E70" t="b">
        <v>0</v>
      </c>
      <c r="F70" t="b">
        <v>1</v>
      </c>
      <c r="G70" t="b">
        <v>0</v>
      </c>
      <c r="H70" t="s">
        <v>752</v>
      </c>
      <c r="I70" t="s">
        <v>751</v>
      </c>
      <c r="J70" t="s">
        <v>133</v>
      </c>
      <c r="N70" t="s">
        <v>753</v>
      </c>
      <c r="O70" t="s">
        <v>252</v>
      </c>
      <c r="R70" s="1">
        <v>45721</v>
      </c>
      <c r="S70" s="1">
        <v>46817</v>
      </c>
      <c r="T70" s="2">
        <v>46177.580883935188</v>
      </c>
      <c r="U70" t="s">
        <v>253</v>
      </c>
      <c r="V70" t="s">
        <v>267</v>
      </c>
      <c r="W70" t="s">
        <v>319</v>
      </c>
      <c r="X70" t="s">
        <v>256</v>
      </c>
      <c r="Y70" t="s">
        <v>269</v>
      </c>
      <c r="Z70" s="32" t="s">
        <v>2749</v>
      </c>
      <c r="AA70" s="7" t="s">
        <v>754</v>
      </c>
      <c r="AB70" s="23">
        <f>AQ70</f>
        <v>0</v>
      </c>
      <c r="AC70" s="23"/>
      <c r="AD70" s="23"/>
      <c r="AE70" s="23"/>
      <c r="AF70" s="23"/>
      <c r="AG70" s="23"/>
      <c r="AH70" s="23"/>
      <c r="AI70" s="23"/>
      <c r="AJ70" s="23"/>
      <c r="AK70" t="s">
        <v>270</v>
      </c>
      <c r="AL70">
        <v>27760264</v>
      </c>
      <c r="AM70" s="3" t="s">
        <v>755</v>
      </c>
    </row>
    <row r="71" spans="1:39" hidden="1" x14ac:dyDescent="0.2">
      <c r="A71" t="s">
        <v>756</v>
      </c>
      <c r="B71" t="b">
        <v>0</v>
      </c>
      <c r="C71" t="b">
        <v>0</v>
      </c>
      <c r="D71" t="b">
        <v>1</v>
      </c>
      <c r="E71" t="b">
        <v>0</v>
      </c>
      <c r="F71" t="b">
        <v>1</v>
      </c>
      <c r="G71" t="s">
        <v>361</v>
      </c>
      <c r="H71" t="s">
        <v>757</v>
      </c>
      <c r="I71" t="s">
        <v>756</v>
      </c>
      <c r="J71" t="s">
        <v>758</v>
      </c>
      <c r="N71" t="s">
        <v>759</v>
      </c>
      <c r="O71" t="s">
        <v>252</v>
      </c>
      <c r="R71" s="1">
        <v>44365</v>
      </c>
      <c r="S71" s="1">
        <v>46554</v>
      </c>
      <c r="T71" s="2">
        <v>45117.568342951388</v>
      </c>
      <c r="U71" t="s">
        <v>253</v>
      </c>
      <c r="V71" t="s">
        <v>267</v>
      </c>
      <c r="W71" t="s">
        <v>760</v>
      </c>
      <c r="X71" t="s">
        <v>278</v>
      </c>
      <c r="Y71" t="s">
        <v>257</v>
      </c>
      <c r="AK71" t="s">
        <v>260</v>
      </c>
      <c r="AL71">
        <v>416700000</v>
      </c>
      <c r="AM71" s="3" t="s">
        <v>761</v>
      </c>
    </row>
    <row r="72" spans="1:39" hidden="1" x14ac:dyDescent="0.2">
      <c r="A72" t="s">
        <v>762</v>
      </c>
      <c r="B72" t="b">
        <v>0</v>
      </c>
      <c r="C72" t="b">
        <v>0</v>
      </c>
      <c r="D72" t="b">
        <v>1</v>
      </c>
      <c r="E72" t="b">
        <v>0</v>
      </c>
      <c r="F72" t="b">
        <v>1</v>
      </c>
      <c r="G72" t="b">
        <v>0</v>
      </c>
      <c r="H72" t="s">
        <v>763</v>
      </c>
      <c r="I72" t="s">
        <v>762</v>
      </c>
      <c r="J72" t="s">
        <v>10</v>
      </c>
      <c r="N72" t="s">
        <v>764</v>
      </c>
      <c r="O72" t="s">
        <v>252</v>
      </c>
      <c r="P72" t="s">
        <v>275</v>
      </c>
      <c r="Q72" t="s">
        <v>276</v>
      </c>
      <c r="R72" s="1">
        <v>44072</v>
      </c>
      <c r="S72" s="1">
        <v>44524</v>
      </c>
      <c r="T72" s="2">
        <v>45960.690112766206</v>
      </c>
      <c r="U72" t="s">
        <v>253</v>
      </c>
      <c r="V72" t="s">
        <v>267</v>
      </c>
      <c r="W72" t="s">
        <v>277</v>
      </c>
      <c r="X72" t="s">
        <v>278</v>
      </c>
      <c r="Y72" t="s">
        <v>279</v>
      </c>
      <c r="Z72" s="32" t="s">
        <v>1072</v>
      </c>
      <c r="AA72" s="7" t="s">
        <v>280</v>
      </c>
      <c r="AB72" s="23">
        <f>AQ72</f>
        <v>0</v>
      </c>
      <c r="AC72" s="23"/>
      <c r="AD72" s="23"/>
      <c r="AE72" s="23"/>
      <c r="AF72" s="23"/>
      <c r="AG72" s="23"/>
      <c r="AH72" s="23"/>
      <c r="AI72" s="23"/>
      <c r="AJ72" s="23"/>
      <c r="AK72" t="s">
        <v>270</v>
      </c>
      <c r="AL72">
        <v>1000000</v>
      </c>
      <c r="AM72" s="3" t="s">
        <v>765</v>
      </c>
    </row>
    <row r="73" spans="1:39" hidden="1" x14ac:dyDescent="0.2">
      <c r="A73" t="s">
        <v>766</v>
      </c>
      <c r="B73" t="b">
        <v>0</v>
      </c>
      <c r="C73" t="b">
        <v>0</v>
      </c>
      <c r="D73" t="b">
        <v>1</v>
      </c>
      <c r="E73" t="b">
        <v>0</v>
      </c>
      <c r="F73" t="b">
        <v>1</v>
      </c>
      <c r="G73" t="b">
        <v>0</v>
      </c>
      <c r="H73" t="s">
        <v>767</v>
      </c>
      <c r="I73" t="s">
        <v>766</v>
      </c>
      <c r="J73" t="s">
        <v>105</v>
      </c>
      <c r="K73" t="s">
        <v>768</v>
      </c>
      <c r="L73" t="s">
        <v>769</v>
      </c>
      <c r="M73" t="s">
        <v>770</v>
      </c>
      <c r="N73" t="s">
        <v>771</v>
      </c>
      <c r="O73" t="s">
        <v>252</v>
      </c>
      <c r="P73" t="s">
        <v>476</v>
      </c>
      <c r="Q73" t="s">
        <v>477</v>
      </c>
      <c r="R73" s="1">
        <v>45966</v>
      </c>
      <c r="S73" s="1">
        <v>49618</v>
      </c>
      <c r="T73" s="2">
        <v>46111.823309097221</v>
      </c>
      <c r="U73" t="s">
        <v>253</v>
      </c>
      <c r="V73" t="s">
        <v>267</v>
      </c>
      <c r="W73" t="s">
        <v>478</v>
      </c>
      <c r="X73" t="s">
        <v>479</v>
      </c>
      <c r="Y73" t="s">
        <v>384</v>
      </c>
      <c r="Z73" s="32" t="s">
        <v>2753</v>
      </c>
      <c r="AA73" s="7" t="s">
        <v>480</v>
      </c>
      <c r="AB73" s="23">
        <f>AQ73</f>
        <v>0</v>
      </c>
      <c r="AC73" s="23"/>
      <c r="AD73" s="23"/>
      <c r="AE73" s="23"/>
      <c r="AF73" s="23"/>
      <c r="AG73" s="23"/>
      <c r="AH73" s="23"/>
      <c r="AI73" s="23"/>
      <c r="AJ73" s="23"/>
      <c r="AK73" t="s">
        <v>386</v>
      </c>
      <c r="AL73">
        <v>175592000</v>
      </c>
      <c r="AM73" s="3" t="s">
        <v>772</v>
      </c>
    </row>
    <row r="74" spans="1:39" hidden="1" x14ac:dyDescent="0.2">
      <c r="A74" t="s">
        <v>773</v>
      </c>
      <c r="B74" t="b">
        <v>0</v>
      </c>
      <c r="C74" t="b">
        <v>0</v>
      </c>
      <c r="D74" t="b">
        <v>1</v>
      </c>
      <c r="E74" t="b">
        <v>0</v>
      </c>
      <c r="F74" t="b">
        <v>1</v>
      </c>
      <c r="G74" t="s">
        <v>361</v>
      </c>
      <c r="H74" t="s">
        <v>774</v>
      </c>
      <c r="I74" t="s">
        <v>773</v>
      </c>
      <c r="J74" t="s">
        <v>775</v>
      </c>
      <c r="N74" t="s">
        <v>776</v>
      </c>
      <c r="O74" t="s">
        <v>252</v>
      </c>
      <c r="R74" s="1">
        <v>44440</v>
      </c>
      <c r="S74" s="1">
        <v>45170</v>
      </c>
      <c r="T74" s="2">
        <v>44973.744121967589</v>
      </c>
      <c r="U74" t="s">
        <v>253</v>
      </c>
      <c r="V74" t="s">
        <v>267</v>
      </c>
      <c r="W74" t="s">
        <v>760</v>
      </c>
      <c r="X74" t="s">
        <v>278</v>
      </c>
      <c r="Y74" t="s">
        <v>257</v>
      </c>
      <c r="AK74" t="s">
        <v>260</v>
      </c>
      <c r="AL74">
        <v>10000000</v>
      </c>
      <c r="AM74" s="3" t="s">
        <v>777</v>
      </c>
    </row>
    <row r="75" spans="1:39" hidden="1" x14ac:dyDescent="0.2">
      <c r="A75" t="s">
        <v>778</v>
      </c>
      <c r="B75" t="b">
        <v>0</v>
      </c>
      <c r="C75" t="b">
        <v>0</v>
      </c>
      <c r="D75" t="b">
        <v>1</v>
      </c>
      <c r="E75" t="b">
        <v>0</v>
      </c>
      <c r="F75" t="b">
        <v>1</v>
      </c>
      <c r="G75" t="b">
        <v>0</v>
      </c>
      <c r="H75" t="s">
        <v>779</v>
      </c>
      <c r="I75" t="s">
        <v>778</v>
      </c>
      <c r="K75" t="s">
        <v>780</v>
      </c>
      <c r="N75" t="s">
        <v>781</v>
      </c>
      <c r="O75" t="s">
        <v>252</v>
      </c>
      <c r="R75" s="1">
        <v>44553</v>
      </c>
      <c r="S75" s="1">
        <v>45649</v>
      </c>
      <c r="T75" s="2">
        <v>45296.606584421294</v>
      </c>
      <c r="U75" t="s">
        <v>253</v>
      </c>
      <c r="V75" t="s">
        <v>267</v>
      </c>
      <c r="W75" t="s">
        <v>319</v>
      </c>
      <c r="X75" t="s">
        <v>256</v>
      </c>
      <c r="Y75" t="s">
        <v>269</v>
      </c>
      <c r="Z75" s="32" t="s">
        <v>2755</v>
      </c>
      <c r="AA75" s="7" t="s">
        <v>320</v>
      </c>
      <c r="AB75" s="23">
        <f>AQ75</f>
        <v>0</v>
      </c>
      <c r="AC75" s="23"/>
      <c r="AD75" s="23"/>
      <c r="AE75" s="23"/>
      <c r="AF75" s="23"/>
      <c r="AG75" s="23"/>
      <c r="AH75" s="23"/>
      <c r="AI75" s="23"/>
      <c r="AJ75" s="23"/>
      <c r="AK75" t="s">
        <v>270</v>
      </c>
      <c r="AL75">
        <v>38184061</v>
      </c>
      <c r="AM75" s="3" t="s">
        <v>782</v>
      </c>
    </row>
    <row r="76" spans="1:39" hidden="1" x14ac:dyDescent="0.2">
      <c r="A76" t="s">
        <v>783</v>
      </c>
      <c r="B76" t="b">
        <v>1</v>
      </c>
      <c r="C76" t="b">
        <v>0</v>
      </c>
      <c r="D76" t="b">
        <v>1</v>
      </c>
      <c r="E76" t="s">
        <v>248</v>
      </c>
      <c r="F76" t="b">
        <v>0</v>
      </c>
      <c r="G76" t="b">
        <v>0</v>
      </c>
      <c r="H76" t="s">
        <v>784</v>
      </c>
      <c r="I76" t="s">
        <v>783</v>
      </c>
      <c r="J76" t="s">
        <v>785</v>
      </c>
      <c r="K76" t="s">
        <v>786</v>
      </c>
      <c r="N76" t="s">
        <v>787</v>
      </c>
      <c r="O76" t="s">
        <v>252</v>
      </c>
      <c r="R76" s="1">
        <v>43656</v>
      </c>
      <c r="S76" s="1">
        <v>48745</v>
      </c>
      <c r="U76" t="s">
        <v>253</v>
      </c>
      <c r="V76" t="s">
        <v>254</v>
      </c>
      <c r="W76" t="s">
        <v>788</v>
      </c>
      <c r="X76" t="s">
        <v>256</v>
      </c>
      <c r="Y76" t="s">
        <v>257</v>
      </c>
      <c r="AA76" s="6" t="s">
        <v>789</v>
      </c>
      <c r="AB76" t="s">
        <v>790</v>
      </c>
      <c r="AK76" t="s">
        <v>260</v>
      </c>
      <c r="AL76">
        <v>1294449000</v>
      </c>
      <c r="AM76" s="3" t="s">
        <v>791</v>
      </c>
    </row>
    <row r="77" spans="1:39" hidden="1" x14ac:dyDescent="0.2">
      <c r="A77" t="s">
        <v>792</v>
      </c>
      <c r="B77" t="b">
        <v>0</v>
      </c>
      <c r="C77" t="b">
        <v>0</v>
      </c>
      <c r="D77" t="b">
        <v>1</v>
      </c>
      <c r="E77" t="b">
        <v>0</v>
      </c>
      <c r="F77" t="b">
        <v>1</v>
      </c>
      <c r="G77" t="b">
        <v>0</v>
      </c>
      <c r="H77" t="s">
        <v>793</v>
      </c>
      <c r="I77" t="s">
        <v>792</v>
      </c>
      <c r="J77" t="s">
        <v>138</v>
      </c>
      <c r="K77" t="s">
        <v>794</v>
      </c>
      <c r="M77" t="s">
        <v>795</v>
      </c>
      <c r="N77" t="s">
        <v>796</v>
      </c>
      <c r="O77" t="s">
        <v>252</v>
      </c>
      <c r="R77" s="1">
        <v>44180</v>
      </c>
      <c r="S77" s="1">
        <v>46731</v>
      </c>
      <c r="T77" s="2">
        <v>45156.676018923608</v>
      </c>
      <c r="U77" t="s">
        <v>253</v>
      </c>
      <c r="V77" t="s">
        <v>267</v>
      </c>
      <c r="W77" t="s">
        <v>797</v>
      </c>
      <c r="X77" t="s">
        <v>256</v>
      </c>
      <c r="Y77" t="s">
        <v>343</v>
      </c>
      <c r="Z77" s="32" t="s">
        <v>2748</v>
      </c>
      <c r="AA77" s="7" t="s">
        <v>798</v>
      </c>
      <c r="AB77" s="23">
        <f>AQ77</f>
        <v>0</v>
      </c>
      <c r="AC77" s="23"/>
      <c r="AD77" s="23" t="s">
        <v>2873</v>
      </c>
      <c r="AE77" s="23" t="s">
        <v>2891</v>
      </c>
      <c r="AF77" s="23"/>
      <c r="AG77" s="23"/>
      <c r="AH77" s="23" t="s">
        <v>2851</v>
      </c>
      <c r="AI77" s="23"/>
      <c r="AJ77" s="23"/>
      <c r="AK77" t="s">
        <v>345</v>
      </c>
      <c r="AL77">
        <v>502100000</v>
      </c>
      <c r="AM77" s="3" t="s">
        <v>799</v>
      </c>
    </row>
    <row r="78" spans="1:39" hidden="1" x14ac:dyDescent="0.2">
      <c r="A78" t="s">
        <v>800</v>
      </c>
      <c r="B78" t="b">
        <v>0</v>
      </c>
      <c r="C78" t="b">
        <v>0</v>
      </c>
      <c r="D78" t="b">
        <v>1</v>
      </c>
      <c r="E78" t="b">
        <v>0</v>
      </c>
      <c r="F78" t="b">
        <v>1</v>
      </c>
      <c r="G78" t="b">
        <v>0</v>
      </c>
      <c r="H78" t="s">
        <v>801</v>
      </c>
      <c r="I78" t="s">
        <v>800</v>
      </c>
      <c r="J78" t="s">
        <v>5</v>
      </c>
      <c r="N78" t="s">
        <v>802</v>
      </c>
      <c r="O78" t="s">
        <v>252</v>
      </c>
      <c r="P78" t="s">
        <v>275</v>
      </c>
      <c r="Q78" t="s">
        <v>276</v>
      </c>
      <c r="R78" s="1">
        <v>43794</v>
      </c>
      <c r="S78" s="1">
        <v>45623</v>
      </c>
      <c r="T78" s="2">
        <v>45960.665561655092</v>
      </c>
      <c r="U78" t="s">
        <v>253</v>
      </c>
      <c r="V78" t="s">
        <v>267</v>
      </c>
      <c r="W78" t="s">
        <v>277</v>
      </c>
      <c r="X78" t="s">
        <v>278</v>
      </c>
      <c r="Y78" t="s">
        <v>279</v>
      </c>
      <c r="Z78" s="32" t="s">
        <v>1072</v>
      </c>
      <c r="AA78" s="7" t="s">
        <v>280</v>
      </c>
      <c r="AB78" s="23">
        <f>AQ78</f>
        <v>0</v>
      </c>
      <c r="AC78" s="23"/>
      <c r="AD78" s="23"/>
      <c r="AE78" s="23"/>
      <c r="AF78" s="23"/>
      <c r="AG78" s="23"/>
      <c r="AH78" s="23"/>
      <c r="AI78" s="23"/>
      <c r="AJ78" s="23"/>
      <c r="AK78" t="s">
        <v>270</v>
      </c>
      <c r="AL78">
        <v>1000000</v>
      </c>
      <c r="AM78" s="3" t="s">
        <v>765</v>
      </c>
    </row>
    <row r="79" spans="1:39" x14ac:dyDescent="0.2">
      <c r="A79" s="14" t="s">
        <v>803</v>
      </c>
      <c r="B79" s="14" t="b">
        <v>1</v>
      </c>
      <c r="C79" s="14" t="b">
        <v>0</v>
      </c>
      <c r="D79" s="14" t="b">
        <v>1</v>
      </c>
      <c r="E79" s="14" t="s">
        <v>522</v>
      </c>
      <c r="F79" s="14" t="b">
        <v>0</v>
      </c>
      <c r="G79" s="14" t="b">
        <v>0</v>
      </c>
      <c r="H79" s="14" t="s">
        <v>804</v>
      </c>
      <c r="I79" s="14" t="s">
        <v>803</v>
      </c>
      <c r="J79" s="19" t="s">
        <v>146</v>
      </c>
      <c r="K79" s="14" t="s">
        <v>805</v>
      </c>
      <c r="L79" s="14"/>
      <c r="M79" s="14"/>
      <c r="N79" s="14" t="s">
        <v>806</v>
      </c>
      <c r="O79" s="14" t="s">
        <v>252</v>
      </c>
      <c r="P79" s="14"/>
      <c r="Q79" s="14"/>
      <c r="R79" s="15">
        <v>43396</v>
      </c>
      <c r="S79" s="15">
        <v>45588</v>
      </c>
      <c r="T79" s="14"/>
      <c r="U79" s="14" t="s">
        <v>253</v>
      </c>
      <c r="V79" s="14" t="s">
        <v>267</v>
      </c>
      <c r="W79" s="14" t="s">
        <v>807</v>
      </c>
      <c r="X79" s="14" t="s">
        <v>256</v>
      </c>
      <c r="Y79" s="14" t="s">
        <v>808</v>
      </c>
      <c r="Z79" s="35" t="s">
        <v>809</v>
      </c>
      <c r="AA79" s="34" t="s">
        <v>810</v>
      </c>
      <c r="AB79" s="23">
        <f>AQ79</f>
        <v>0</v>
      </c>
      <c r="AC79" s="23" t="s">
        <v>382</v>
      </c>
      <c r="AD79" s="23" t="s">
        <v>2878</v>
      </c>
      <c r="AE79" s="23" t="s">
        <v>2879</v>
      </c>
      <c r="AF79" s="23" t="s">
        <v>2884</v>
      </c>
      <c r="AG79" s="23" t="s">
        <v>2884</v>
      </c>
      <c r="AH79" s="23" t="s">
        <v>2851</v>
      </c>
      <c r="AI79" s="23" t="s">
        <v>2912</v>
      </c>
      <c r="AJ79" s="77" t="s">
        <v>2917</v>
      </c>
      <c r="AK79" s="14" t="s">
        <v>811</v>
      </c>
      <c r="AL79" s="14">
        <v>100000000</v>
      </c>
      <c r="AM79" s="16" t="s">
        <v>812</v>
      </c>
    </row>
    <row r="80" spans="1:39" x14ac:dyDescent="0.2">
      <c r="A80" s="14" t="s">
        <v>813</v>
      </c>
      <c r="B80" s="14" t="b">
        <v>1</v>
      </c>
      <c r="C80" s="14" t="b">
        <v>0</v>
      </c>
      <c r="D80" s="14" t="b">
        <v>1</v>
      </c>
      <c r="E80" s="14" t="s">
        <v>522</v>
      </c>
      <c r="F80" s="14" t="b">
        <v>0</v>
      </c>
      <c r="G80" s="14" t="b">
        <v>0</v>
      </c>
      <c r="H80" s="14" t="s">
        <v>814</v>
      </c>
      <c r="I80" s="14" t="s">
        <v>813</v>
      </c>
      <c r="J80" s="19" t="s">
        <v>206</v>
      </c>
      <c r="K80" s="14"/>
      <c r="L80" s="14"/>
      <c r="M80" s="14"/>
      <c r="N80" s="14" t="s">
        <v>815</v>
      </c>
      <c r="O80" s="14" t="s">
        <v>252</v>
      </c>
      <c r="P80" s="14"/>
      <c r="Q80" s="14"/>
      <c r="R80" s="15">
        <v>43208</v>
      </c>
      <c r="S80" s="15">
        <v>45730</v>
      </c>
      <c r="T80" s="14"/>
      <c r="U80" s="14" t="s">
        <v>285</v>
      </c>
      <c r="V80" s="14" t="s">
        <v>254</v>
      </c>
      <c r="W80" s="14" t="s">
        <v>286</v>
      </c>
      <c r="X80" s="14" t="s">
        <v>256</v>
      </c>
      <c r="Y80" s="14" t="s">
        <v>287</v>
      </c>
      <c r="Z80" s="35" t="s">
        <v>816</v>
      </c>
      <c r="AA80" s="34" t="s">
        <v>817</v>
      </c>
      <c r="AB80" s="23">
        <f>AQ80</f>
        <v>0</v>
      </c>
      <c r="AC80" s="23" t="s">
        <v>252</v>
      </c>
      <c r="AD80" s="23" t="s">
        <v>2878</v>
      </c>
      <c r="AE80" s="23" t="s">
        <v>2880</v>
      </c>
      <c r="AF80" s="23" t="s">
        <v>2884</v>
      </c>
      <c r="AG80" s="23" t="s">
        <v>2885</v>
      </c>
      <c r="AH80" s="23" t="s">
        <v>2851</v>
      </c>
      <c r="AI80" s="23" t="s">
        <v>2912</v>
      </c>
      <c r="AJ80" s="23" t="s">
        <v>2914</v>
      </c>
      <c r="AK80" s="14" t="s">
        <v>290</v>
      </c>
      <c r="AL80" s="14">
        <v>1500000</v>
      </c>
      <c r="AM80" s="16" t="s">
        <v>818</v>
      </c>
    </row>
    <row r="81" spans="1:39" hidden="1" x14ac:dyDescent="0.2">
      <c r="A81" s="4" t="s">
        <v>819</v>
      </c>
      <c r="B81" t="b">
        <v>0</v>
      </c>
      <c r="C81" t="b">
        <v>0</v>
      </c>
      <c r="D81" t="b">
        <v>1</v>
      </c>
      <c r="E81" t="b">
        <v>0</v>
      </c>
      <c r="F81" t="b">
        <v>1</v>
      </c>
      <c r="G81" t="s">
        <v>361</v>
      </c>
      <c r="H81" t="s">
        <v>820</v>
      </c>
      <c r="I81" s="4" t="s">
        <v>819</v>
      </c>
      <c r="J81" t="s">
        <v>821</v>
      </c>
      <c r="K81" t="s">
        <v>822</v>
      </c>
      <c r="N81" t="s">
        <v>823</v>
      </c>
      <c r="O81" t="s">
        <v>252</v>
      </c>
      <c r="P81" t="s">
        <v>824</v>
      </c>
      <c r="Q81" t="s">
        <v>825</v>
      </c>
      <c r="R81" s="1">
        <v>44666</v>
      </c>
      <c r="S81" s="1">
        <v>50145</v>
      </c>
      <c r="U81" t="s">
        <v>253</v>
      </c>
      <c r="V81" t="s">
        <v>267</v>
      </c>
      <c r="W81" t="s">
        <v>545</v>
      </c>
      <c r="X81" t="s">
        <v>256</v>
      </c>
      <c r="Y81" t="s">
        <v>257</v>
      </c>
      <c r="AK81" t="s">
        <v>260</v>
      </c>
      <c r="AL81">
        <v>318807000</v>
      </c>
      <c r="AM81" s="3" t="s">
        <v>826</v>
      </c>
    </row>
    <row r="82" spans="1:39" hidden="1" x14ac:dyDescent="0.2">
      <c r="A82" t="s">
        <v>827</v>
      </c>
      <c r="B82" t="b">
        <v>0</v>
      </c>
      <c r="C82" t="b">
        <v>0</v>
      </c>
      <c r="D82" t="b">
        <v>1</v>
      </c>
      <c r="E82" t="b">
        <v>0</v>
      </c>
      <c r="F82" t="b">
        <v>1</v>
      </c>
      <c r="G82" t="b">
        <v>0</v>
      </c>
      <c r="H82" t="s">
        <v>828</v>
      </c>
      <c r="I82" t="s">
        <v>827</v>
      </c>
      <c r="J82" t="s">
        <v>73</v>
      </c>
      <c r="N82" t="s">
        <v>829</v>
      </c>
      <c r="O82" t="s">
        <v>252</v>
      </c>
      <c r="R82" s="1">
        <v>44869</v>
      </c>
      <c r="S82" s="1">
        <v>50360</v>
      </c>
      <c r="T82" s="2">
        <v>44952.903385243058</v>
      </c>
      <c r="U82" t="s">
        <v>253</v>
      </c>
      <c r="V82" t="s">
        <v>267</v>
      </c>
      <c r="W82" t="s">
        <v>304</v>
      </c>
      <c r="X82" t="s">
        <v>305</v>
      </c>
      <c r="Y82" t="s">
        <v>306</v>
      </c>
      <c r="Z82" s="32" t="s">
        <v>1316</v>
      </c>
      <c r="AA82" s="7" t="s">
        <v>307</v>
      </c>
      <c r="AB82" s="23">
        <f>AQ82</f>
        <v>0</v>
      </c>
      <c r="AC82" s="23" t="s">
        <v>2903</v>
      </c>
      <c r="AD82" s="23"/>
      <c r="AE82" s="23"/>
      <c r="AF82" s="23"/>
      <c r="AG82" s="23"/>
      <c r="AH82" s="23"/>
      <c r="AI82" s="23"/>
      <c r="AJ82" s="23"/>
      <c r="AK82" t="s">
        <v>830</v>
      </c>
      <c r="AL82">
        <v>25000000</v>
      </c>
      <c r="AM82" s="3" t="s">
        <v>831</v>
      </c>
    </row>
    <row r="83" spans="1:39" hidden="1" x14ac:dyDescent="0.2">
      <c r="A83" t="s">
        <v>832</v>
      </c>
      <c r="B83" t="b">
        <v>0</v>
      </c>
      <c r="C83" t="b">
        <v>0</v>
      </c>
      <c r="D83" t="b">
        <v>1</v>
      </c>
      <c r="E83" t="b">
        <v>0</v>
      </c>
      <c r="F83" t="b">
        <v>1</v>
      </c>
      <c r="G83" t="b">
        <v>0</v>
      </c>
      <c r="H83" t="s">
        <v>833</v>
      </c>
      <c r="I83" t="s">
        <v>832</v>
      </c>
      <c r="J83" t="s">
        <v>89</v>
      </c>
      <c r="K83" t="s">
        <v>834</v>
      </c>
      <c r="M83" t="s">
        <v>835</v>
      </c>
      <c r="N83" t="s">
        <v>836</v>
      </c>
      <c r="O83" t="s">
        <v>252</v>
      </c>
      <c r="P83" t="s">
        <v>465</v>
      </c>
      <c r="Q83" t="s">
        <v>466</v>
      </c>
      <c r="R83" s="1">
        <v>44616</v>
      </c>
      <c r="S83" s="1">
        <v>46442</v>
      </c>
      <c r="U83" t="s">
        <v>253</v>
      </c>
      <c r="V83" t="s">
        <v>254</v>
      </c>
      <c r="W83" t="s">
        <v>467</v>
      </c>
      <c r="X83" t="s">
        <v>305</v>
      </c>
      <c r="Y83" t="s">
        <v>306</v>
      </c>
      <c r="Z83" s="32" t="s">
        <v>651</v>
      </c>
      <c r="AA83" s="7" t="s">
        <v>468</v>
      </c>
      <c r="AB83" s="23">
        <f>AQ83</f>
        <v>0</v>
      </c>
      <c r="AC83" s="23"/>
      <c r="AD83" s="23"/>
      <c r="AE83" s="23"/>
      <c r="AF83" s="23"/>
      <c r="AG83" s="23"/>
      <c r="AH83" s="23"/>
      <c r="AI83" s="23"/>
      <c r="AJ83" s="23"/>
      <c r="AK83" t="s">
        <v>308</v>
      </c>
      <c r="AL83">
        <v>350000000</v>
      </c>
      <c r="AM83" s="3" t="s">
        <v>837</v>
      </c>
    </row>
    <row r="84" spans="1:39" hidden="1" x14ac:dyDescent="0.2">
      <c r="A84" t="s">
        <v>596</v>
      </c>
      <c r="B84" t="b">
        <v>0</v>
      </c>
      <c r="C84" t="b">
        <v>0</v>
      </c>
      <c r="D84" t="b">
        <v>0</v>
      </c>
      <c r="E84" t="b">
        <v>0</v>
      </c>
      <c r="F84" t="b">
        <v>0</v>
      </c>
      <c r="G84" t="b">
        <v>1</v>
      </c>
      <c r="H84" t="s">
        <v>597</v>
      </c>
      <c r="I84" t="s">
        <v>596</v>
      </c>
      <c r="J84" t="s">
        <v>28</v>
      </c>
      <c r="N84" t="s">
        <v>838</v>
      </c>
      <c r="O84" t="s">
        <v>382</v>
      </c>
      <c r="S84" s="1">
        <v>47522</v>
      </c>
      <c r="T84" s="2">
        <v>44977.942694305559</v>
      </c>
      <c r="U84" t="s">
        <v>253</v>
      </c>
      <c r="V84" t="s">
        <v>295</v>
      </c>
      <c r="W84" t="s">
        <v>342</v>
      </c>
      <c r="X84" t="s">
        <v>305</v>
      </c>
      <c r="Y84" t="s">
        <v>343</v>
      </c>
      <c r="AA84" t="s">
        <v>344</v>
      </c>
      <c r="AB84" s="23">
        <f>AQ84</f>
        <v>0</v>
      </c>
      <c r="AC84" s="23"/>
      <c r="AD84" s="23"/>
      <c r="AE84" s="23"/>
      <c r="AF84" s="23"/>
      <c r="AG84" s="23"/>
      <c r="AH84" s="23"/>
      <c r="AI84" s="23"/>
      <c r="AJ84" s="23"/>
      <c r="AK84" t="s">
        <v>345</v>
      </c>
    </row>
    <row r="85" spans="1:39" hidden="1" x14ac:dyDescent="0.2">
      <c r="A85" t="s">
        <v>839</v>
      </c>
      <c r="B85" t="b">
        <v>1</v>
      </c>
      <c r="C85" t="b">
        <v>0</v>
      </c>
      <c r="D85" t="b">
        <v>1</v>
      </c>
      <c r="E85" t="b">
        <v>0</v>
      </c>
      <c r="F85" t="b">
        <v>0</v>
      </c>
      <c r="G85" t="s">
        <v>361</v>
      </c>
      <c r="H85" t="s">
        <v>840</v>
      </c>
      <c r="I85" t="s">
        <v>839</v>
      </c>
      <c r="J85" t="s">
        <v>841</v>
      </c>
      <c r="K85" t="s">
        <v>842</v>
      </c>
      <c r="L85" t="s">
        <v>843</v>
      </c>
      <c r="N85" t="s">
        <v>844</v>
      </c>
      <c r="O85" t="s">
        <v>252</v>
      </c>
      <c r="R85" s="1">
        <v>43745</v>
      </c>
      <c r="S85" s="1">
        <v>65660</v>
      </c>
      <c r="U85" t="s">
        <v>441</v>
      </c>
      <c r="V85" t="s">
        <v>267</v>
      </c>
      <c r="W85" t="s">
        <v>845</v>
      </c>
      <c r="X85" t="s">
        <v>256</v>
      </c>
      <c r="Y85" t="s">
        <v>287</v>
      </c>
      <c r="AK85" t="s">
        <v>270</v>
      </c>
      <c r="AL85">
        <v>450000000</v>
      </c>
      <c r="AM85" s="3" t="s">
        <v>846</v>
      </c>
    </row>
    <row r="86" spans="1:39" hidden="1" x14ac:dyDescent="0.2">
      <c r="A86" s="4" t="s">
        <v>847</v>
      </c>
      <c r="B86" t="b">
        <v>0</v>
      </c>
      <c r="C86" t="b">
        <v>0</v>
      </c>
      <c r="D86" t="b">
        <v>1</v>
      </c>
      <c r="E86" t="b">
        <v>0</v>
      </c>
      <c r="F86" t="b">
        <v>1</v>
      </c>
      <c r="G86" t="b">
        <v>0</v>
      </c>
      <c r="H86" t="s">
        <v>848</v>
      </c>
      <c r="I86" s="4" t="s">
        <v>847</v>
      </c>
      <c r="J86" t="s">
        <v>93</v>
      </c>
      <c r="K86" t="s">
        <v>849</v>
      </c>
      <c r="N86" t="s">
        <v>850</v>
      </c>
      <c r="O86" t="s">
        <v>252</v>
      </c>
      <c r="P86" t="s">
        <v>851</v>
      </c>
      <c r="Q86" t="s">
        <v>852</v>
      </c>
      <c r="R86" s="1">
        <v>44272</v>
      </c>
      <c r="S86" s="1">
        <v>47455</v>
      </c>
      <c r="T86" s="2">
        <v>45050.650330358796</v>
      </c>
      <c r="U86" t="s">
        <v>253</v>
      </c>
      <c r="V86" t="s">
        <v>267</v>
      </c>
      <c r="W86" t="s">
        <v>853</v>
      </c>
      <c r="X86" t="s">
        <v>278</v>
      </c>
      <c r="Y86" t="s">
        <v>287</v>
      </c>
      <c r="Z86" s="32" t="s">
        <v>2746</v>
      </c>
      <c r="AA86" t="s">
        <v>854</v>
      </c>
      <c r="AB86" s="23">
        <f>AQ86</f>
        <v>0</v>
      </c>
      <c r="AC86" s="23"/>
      <c r="AD86" s="23" t="s">
        <v>252</v>
      </c>
      <c r="AE86" s="23" t="s">
        <v>2900</v>
      </c>
      <c r="AF86" s="23"/>
      <c r="AG86" s="23"/>
      <c r="AH86" s="23" t="s">
        <v>2851</v>
      </c>
      <c r="AI86" s="23"/>
      <c r="AJ86" s="23"/>
      <c r="AK86" t="s">
        <v>270</v>
      </c>
      <c r="AL86">
        <v>54000000</v>
      </c>
      <c r="AM86" s="3" t="s">
        <v>855</v>
      </c>
    </row>
    <row r="87" spans="1:39" hidden="1" x14ac:dyDescent="0.2">
      <c r="A87" t="s">
        <v>856</v>
      </c>
      <c r="B87" t="b">
        <v>0</v>
      </c>
      <c r="C87" t="b">
        <v>0</v>
      </c>
      <c r="D87" t="b">
        <v>0</v>
      </c>
      <c r="E87" t="b">
        <v>0</v>
      </c>
      <c r="F87" t="b">
        <v>0</v>
      </c>
      <c r="G87" t="b">
        <v>1</v>
      </c>
      <c r="H87" t="s">
        <v>857</v>
      </c>
      <c r="I87" t="s">
        <v>856</v>
      </c>
      <c r="J87" t="s">
        <v>98</v>
      </c>
      <c r="N87" t="s">
        <v>858</v>
      </c>
      <c r="O87" t="s">
        <v>252</v>
      </c>
      <c r="P87" t="s">
        <v>859</v>
      </c>
      <c r="Q87" t="s">
        <v>860</v>
      </c>
      <c r="R87" s="1">
        <v>44552</v>
      </c>
      <c r="S87" s="1">
        <v>46382</v>
      </c>
      <c r="T87" s="2">
        <v>45149.694170462964</v>
      </c>
      <c r="U87" t="s">
        <v>253</v>
      </c>
      <c r="V87" t="s">
        <v>295</v>
      </c>
      <c r="W87" t="s">
        <v>861</v>
      </c>
      <c r="X87" t="s">
        <v>278</v>
      </c>
      <c r="Y87" t="s">
        <v>351</v>
      </c>
      <c r="AA87" t="s">
        <v>862</v>
      </c>
      <c r="AB87" s="23">
        <f>AQ87</f>
        <v>0</v>
      </c>
      <c r="AC87" s="23"/>
      <c r="AD87" s="23"/>
      <c r="AE87" s="23"/>
      <c r="AF87" s="23"/>
      <c r="AG87" s="23"/>
      <c r="AH87" s="23"/>
      <c r="AI87" s="23"/>
      <c r="AJ87" s="23"/>
      <c r="AK87" t="s">
        <v>270</v>
      </c>
      <c r="AL87">
        <v>10000000</v>
      </c>
      <c r="AM87" s="3" t="s">
        <v>863</v>
      </c>
    </row>
    <row r="88" spans="1:39" hidden="1" x14ac:dyDescent="0.2">
      <c r="A88" t="s">
        <v>864</v>
      </c>
      <c r="B88" t="b">
        <v>0</v>
      </c>
      <c r="C88" t="b">
        <v>0</v>
      </c>
      <c r="D88" t="b">
        <v>1</v>
      </c>
      <c r="E88" t="b">
        <v>0</v>
      </c>
      <c r="F88" t="b">
        <v>1</v>
      </c>
      <c r="G88" t="s">
        <v>361</v>
      </c>
      <c r="H88" t="s">
        <v>865</v>
      </c>
      <c r="I88" t="s">
        <v>864</v>
      </c>
      <c r="M88" t="s">
        <v>866</v>
      </c>
      <c r="N88" t="s">
        <v>867</v>
      </c>
      <c r="O88" t="s">
        <v>252</v>
      </c>
      <c r="R88" s="1">
        <v>43123</v>
      </c>
      <c r="S88" s="1">
        <v>49263</v>
      </c>
      <c r="T88" s="2">
        <v>44981.789174791666</v>
      </c>
      <c r="U88" t="s">
        <v>253</v>
      </c>
      <c r="V88" t="s">
        <v>267</v>
      </c>
      <c r="W88" t="s">
        <v>868</v>
      </c>
      <c r="X88" t="s">
        <v>256</v>
      </c>
      <c r="Y88" t="s">
        <v>869</v>
      </c>
      <c r="AK88" t="s">
        <v>270</v>
      </c>
      <c r="AL88">
        <v>64750000</v>
      </c>
      <c r="AM88" s="3" t="s">
        <v>870</v>
      </c>
    </row>
    <row r="89" spans="1:39" hidden="1" x14ac:dyDescent="0.2">
      <c r="A89" t="s">
        <v>871</v>
      </c>
      <c r="B89" t="b">
        <v>0</v>
      </c>
      <c r="C89" t="b">
        <v>0</v>
      </c>
      <c r="D89" t="b">
        <v>1</v>
      </c>
      <c r="E89" t="b">
        <v>0</v>
      </c>
      <c r="F89" t="b">
        <v>1</v>
      </c>
      <c r="G89" t="b">
        <v>0</v>
      </c>
      <c r="H89" t="s">
        <v>872</v>
      </c>
      <c r="I89" t="s">
        <v>871</v>
      </c>
      <c r="J89" t="s">
        <v>166</v>
      </c>
      <c r="N89" t="s">
        <v>873</v>
      </c>
      <c r="O89" t="s">
        <v>252</v>
      </c>
      <c r="R89" s="1">
        <v>44007</v>
      </c>
      <c r="S89" s="1">
        <v>44979</v>
      </c>
      <c r="U89" t="s">
        <v>253</v>
      </c>
      <c r="V89" t="s">
        <v>254</v>
      </c>
      <c r="W89" t="s">
        <v>426</v>
      </c>
      <c r="X89" t="s">
        <v>256</v>
      </c>
      <c r="Y89" t="s">
        <v>257</v>
      </c>
      <c r="Z89" s="32" t="s">
        <v>2745</v>
      </c>
      <c r="AA89" t="s">
        <v>874</v>
      </c>
      <c r="AB89" s="23">
        <f>AQ89</f>
        <v>0</v>
      </c>
      <c r="AC89" s="23"/>
      <c r="AD89" s="23"/>
      <c r="AE89" s="23"/>
      <c r="AF89" s="23"/>
      <c r="AG89" s="23"/>
      <c r="AH89" s="23"/>
      <c r="AI89" s="23"/>
      <c r="AJ89" s="23"/>
      <c r="AK89" t="s">
        <v>260</v>
      </c>
      <c r="AL89">
        <v>138507000</v>
      </c>
      <c r="AM89" s="3" t="s">
        <v>875</v>
      </c>
    </row>
    <row r="90" spans="1:39" hidden="1" x14ac:dyDescent="0.2">
      <c r="A90" t="s">
        <v>876</v>
      </c>
      <c r="B90" t="b">
        <v>1</v>
      </c>
      <c r="C90" t="b">
        <v>0</v>
      </c>
      <c r="D90" t="b">
        <v>0</v>
      </c>
      <c r="E90" t="b">
        <v>0</v>
      </c>
      <c r="F90" t="b">
        <v>0</v>
      </c>
      <c r="G90" t="b">
        <v>1</v>
      </c>
      <c r="H90" t="s">
        <v>877</v>
      </c>
      <c r="I90" t="s">
        <v>876</v>
      </c>
      <c r="J90" t="s">
        <v>878</v>
      </c>
      <c r="K90" t="s">
        <v>879</v>
      </c>
      <c r="M90" t="s">
        <v>880</v>
      </c>
      <c r="N90" t="s">
        <v>881</v>
      </c>
      <c r="O90" t="s">
        <v>252</v>
      </c>
      <c r="R90" s="1">
        <v>44251</v>
      </c>
      <c r="S90" s="1">
        <v>45528</v>
      </c>
      <c r="U90" t="s">
        <v>253</v>
      </c>
      <c r="V90" t="s">
        <v>295</v>
      </c>
      <c r="W90" t="s">
        <v>882</v>
      </c>
      <c r="X90" t="s">
        <v>256</v>
      </c>
      <c r="Y90" t="s">
        <v>269</v>
      </c>
      <c r="AK90" t="s">
        <v>883</v>
      </c>
      <c r="AL90">
        <v>26576111</v>
      </c>
      <c r="AM90" s="3" t="s">
        <v>884</v>
      </c>
    </row>
    <row r="91" spans="1:39" hidden="1" x14ac:dyDescent="0.2">
      <c r="A91" t="s">
        <v>885</v>
      </c>
      <c r="B91" t="b">
        <v>0</v>
      </c>
      <c r="C91" t="b">
        <v>0</v>
      </c>
      <c r="D91" t="b">
        <v>1</v>
      </c>
      <c r="E91" t="b">
        <v>0</v>
      </c>
      <c r="F91" t="b">
        <v>1</v>
      </c>
      <c r="G91" t="b">
        <v>0</v>
      </c>
      <c r="H91" t="s">
        <v>886</v>
      </c>
      <c r="I91" t="s">
        <v>885</v>
      </c>
      <c r="J91" t="s">
        <v>14</v>
      </c>
      <c r="K91" t="s">
        <v>887</v>
      </c>
      <c r="N91" t="s">
        <v>888</v>
      </c>
      <c r="O91" t="s">
        <v>252</v>
      </c>
      <c r="P91" t="s">
        <v>275</v>
      </c>
      <c r="Q91" t="s">
        <v>276</v>
      </c>
      <c r="R91" s="1">
        <v>44834</v>
      </c>
      <c r="S91" s="1">
        <v>46295</v>
      </c>
      <c r="T91" s="2">
        <v>45960.678512916667</v>
      </c>
      <c r="U91" t="s">
        <v>253</v>
      </c>
      <c r="V91" t="s">
        <v>267</v>
      </c>
      <c r="W91" t="s">
        <v>277</v>
      </c>
      <c r="X91" t="s">
        <v>278</v>
      </c>
      <c r="Y91" t="s">
        <v>279</v>
      </c>
      <c r="Z91" s="32" t="s">
        <v>1072</v>
      </c>
      <c r="AA91" t="s">
        <v>280</v>
      </c>
      <c r="AB91" s="23">
        <f>AQ91</f>
        <v>0</v>
      </c>
      <c r="AC91" s="23"/>
      <c r="AD91" s="23"/>
      <c r="AE91" s="23"/>
      <c r="AF91" s="23"/>
      <c r="AG91" s="23"/>
      <c r="AH91" s="23"/>
      <c r="AI91" s="23"/>
      <c r="AJ91" s="23"/>
      <c r="AK91" t="s">
        <v>270</v>
      </c>
      <c r="AL91">
        <v>10229000</v>
      </c>
      <c r="AM91" s="3" t="s">
        <v>889</v>
      </c>
    </row>
    <row r="92" spans="1:39" hidden="1" x14ac:dyDescent="0.2">
      <c r="A92" t="s">
        <v>890</v>
      </c>
      <c r="B92" t="b">
        <v>0</v>
      </c>
      <c r="C92" t="b">
        <v>0</v>
      </c>
      <c r="D92" t="b">
        <v>1</v>
      </c>
      <c r="E92" t="b">
        <v>0</v>
      </c>
      <c r="F92" t="b">
        <v>1</v>
      </c>
      <c r="G92" t="s">
        <v>361</v>
      </c>
      <c r="H92" t="s">
        <v>891</v>
      </c>
      <c r="I92" t="s">
        <v>890</v>
      </c>
      <c r="M92" t="s">
        <v>892</v>
      </c>
      <c r="N92" t="s">
        <v>892</v>
      </c>
      <c r="O92" t="s">
        <v>252</v>
      </c>
      <c r="P92" t="s">
        <v>893</v>
      </c>
      <c r="Q92" t="s">
        <v>894</v>
      </c>
      <c r="R92" s="1">
        <v>44232</v>
      </c>
      <c r="S92" s="1">
        <v>45327</v>
      </c>
      <c r="U92" t="s">
        <v>253</v>
      </c>
      <c r="V92" t="s">
        <v>254</v>
      </c>
      <c r="W92" t="s">
        <v>399</v>
      </c>
      <c r="X92" t="s">
        <v>256</v>
      </c>
      <c r="Y92" t="s">
        <v>400</v>
      </c>
      <c r="AK92" t="s">
        <v>401</v>
      </c>
      <c r="AL92">
        <v>14000000</v>
      </c>
      <c r="AM92" s="3" t="s">
        <v>895</v>
      </c>
    </row>
    <row r="93" spans="1:39" hidden="1" x14ac:dyDescent="0.2">
      <c r="A93" t="s">
        <v>896</v>
      </c>
      <c r="B93" t="b">
        <v>0</v>
      </c>
      <c r="C93" t="b">
        <v>0</v>
      </c>
      <c r="D93" t="b">
        <v>1</v>
      </c>
      <c r="E93" t="b">
        <v>0</v>
      </c>
      <c r="F93" t="b">
        <v>1</v>
      </c>
      <c r="G93" t="s">
        <v>361</v>
      </c>
      <c r="H93" t="s">
        <v>897</v>
      </c>
      <c r="I93" t="s">
        <v>896</v>
      </c>
      <c r="M93" t="s">
        <v>898</v>
      </c>
      <c r="N93" t="s">
        <v>899</v>
      </c>
      <c r="O93" t="s">
        <v>382</v>
      </c>
      <c r="T93" s="2">
        <v>44956.754762523145</v>
      </c>
      <c r="U93" t="s">
        <v>253</v>
      </c>
      <c r="V93" t="s">
        <v>267</v>
      </c>
      <c r="W93" t="s">
        <v>900</v>
      </c>
      <c r="X93" t="s">
        <v>256</v>
      </c>
      <c r="Y93" t="s">
        <v>257</v>
      </c>
      <c r="AK93" t="s">
        <v>260</v>
      </c>
    </row>
    <row r="94" spans="1:39" x14ac:dyDescent="0.2">
      <c r="A94" t="s">
        <v>901</v>
      </c>
      <c r="B94" t="b">
        <v>1</v>
      </c>
      <c r="C94" t="b">
        <v>0</v>
      </c>
      <c r="D94" t="b">
        <v>1</v>
      </c>
      <c r="E94" t="s">
        <v>522</v>
      </c>
      <c r="F94" t="b">
        <v>0</v>
      </c>
      <c r="G94" t="b">
        <v>0</v>
      </c>
      <c r="H94" t="s">
        <v>902</v>
      </c>
      <c r="I94" t="s">
        <v>901</v>
      </c>
      <c r="J94" s="20" t="s">
        <v>109</v>
      </c>
      <c r="N94" t="s">
        <v>903</v>
      </c>
      <c r="O94" t="s">
        <v>252</v>
      </c>
      <c r="R94" s="1">
        <v>43791</v>
      </c>
      <c r="S94" s="1">
        <v>44967</v>
      </c>
      <c r="T94" s="2">
        <v>45012.851635740742</v>
      </c>
      <c r="U94" t="s">
        <v>441</v>
      </c>
      <c r="V94" t="s">
        <v>267</v>
      </c>
      <c r="W94" t="s">
        <v>904</v>
      </c>
      <c r="X94" t="s">
        <v>305</v>
      </c>
      <c r="Y94" t="s">
        <v>343</v>
      </c>
      <c r="Z94" s="35" t="s">
        <v>905</v>
      </c>
      <c r="AA94" t="s">
        <v>906</v>
      </c>
      <c r="AB94" s="23">
        <f>AQ94</f>
        <v>0</v>
      </c>
      <c r="AC94" s="23" t="s">
        <v>382</v>
      </c>
      <c r="AD94" s="23" t="s">
        <v>2878</v>
      </c>
      <c r="AE94" s="23" t="s">
        <v>2881</v>
      </c>
      <c r="AF94" s="23" t="s">
        <v>2884</v>
      </c>
      <c r="AG94" s="23" t="s">
        <v>2884</v>
      </c>
      <c r="AH94" s="23" t="s">
        <v>2851</v>
      </c>
      <c r="AI94" s="78" t="s">
        <v>2919</v>
      </c>
      <c r="AJ94">
        <v>1</v>
      </c>
      <c r="AK94" t="s">
        <v>345</v>
      </c>
      <c r="AL94">
        <v>2500000000</v>
      </c>
      <c r="AM94" s="3" t="s">
        <v>907</v>
      </c>
    </row>
    <row r="95" spans="1:39" hidden="1" x14ac:dyDescent="0.2">
      <c r="A95" t="s">
        <v>908</v>
      </c>
      <c r="B95" t="b">
        <v>0</v>
      </c>
      <c r="C95" t="b">
        <v>0</v>
      </c>
      <c r="D95" t="b">
        <v>1</v>
      </c>
      <c r="E95" t="b">
        <v>0</v>
      </c>
      <c r="F95" t="b">
        <v>1</v>
      </c>
      <c r="G95" t="s">
        <v>361</v>
      </c>
      <c r="H95" t="s">
        <v>909</v>
      </c>
      <c r="I95" t="s">
        <v>908</v>
      </c>
      <c r="J95" t="s">
        <v>910</v>
      </c>
      <c r="N95" t="s">
        <v>911</v>
      </c>
      <c r="O95" t="s">
        <v>252</v>
      </c>
      <c r="P95" t="s">
        <v>433</v>
      </c>
      <c r="Q95" t="s">
        <v>434</v>
      </c>
      <c r="R95" s="1">
        <v>44056</v>
      </c>
      <c r="S95" s="1">
        <v>47343</v>
      </c>
      <c r="U95" t="s">
        <v>253</v>
      </c>
      <c r="V95" t="s">
        <v>254</v>
      </c>
      <c r="W95" t="s">
        <v>435</v>
      </c>
      <c r="X95" t="s">
        <v>256</v>
      </c>
      <c r="Y95" t="s">
        <v>384</v>
      </c>
      <c r="AK95" t="s">
        <v>386</v>
      </c>
      <c r="AL95">
        <v>160000000000</v>
      </c>
      <c r="AM95" s="3" t="s">
        <v>912</v>
      </c>
    </row>
    <row r="96" spans="1:39" hidden="1" x14ac:dyDescent="0.2">
      <c r="A96" t="s">
        <v>913</v>
      </c>
      <c r="B96" t="b">
        <v>0</v>
      </c>
      <c r="C96" t="b">
        <v>0</v>
      </c>
      <c r="D96" t="b">
        <v>1</v>
      </c>
      <c r="E96" t="b">
        <v>0</v>
      </c>
      <c r="F96" t="b">
        <v>1</v>
      </c>
      <c r="G96" t="b">
        <v>0</v>
      </c>
      <c r="H96" t="s">
        <v>914</v>
      </c>
      <c r="I96" t="s">
        <v>913</v>
      </c>
      <c r="J96" t="s">
        <v>94</v>
      </c>
      <c r="K96" t="s">
        <v>915</v>
      </c>
      <c r="N96" t="s">
        <v>916</v>
      </c>
      <c r="O96" t="s">
        <v>252</v>
      </c>
      <c r="P96" t="s">
        <v>851</v>
      </c>
      <c r="Q96" t="s">
        <v>852</v>
      </c>
      <c r="R96" s="1">
        <v>44568</v>
      </c>
      <c r="S96" s="1">
        <v>46394</v>
      </c>
      <c r="T96" s="2">
        <v>45050.650130104164</v>
      </c>
      <c r="U96" t="s">
        <v>253</v>
      </c>
      <c r="V96" t="s">
        <v>267</v>
      </c>
      <c r="W96" t="s">
        <v>853</v>
      </c>
      <c r="X96" t="s">
        <v>278</v>
      </c>
      <c r="Y96" t="s">
        <v>287</v>
      </c>
      <c r="Z96" s="32" t="s">
        <v>2746</v>
      </c>
      <c r="AA96" t="s">
        <v>854</v>
      </c>
      <c r="AB96" s="23">
        <f>AQ96</f>
        <v>0</v>
      </c>
      <c r="AC96" s="23"/>
      <c r="AD96" s="23" t="s">
        <v>2897</v>
      </c>
      <c r="AE96" s="23" t="s">
        <v>2897</v>
      </c>
      <c r="AF96" s="23"/>
      <c r="AG96" s="23"/>
      <c r="AH96" s="23"/>
      <c r="AI96" s="23"/>
      <c r="AK96" t="s">
        <v>591</v>
      </c>
      <c r="AL96">
        <v>5000000000</v>
      </c>
      <c r="AM96" s="3" t="s">
        <v>917</v>
      </c>
    </row>
    <row r="97" spans="1:39" hidden="1" x14ac:dyDescent="0.2">
      <c r="A97" t="s">
        <v>918</v>
      </c>
      <c r="B97" t="b">
        <v>0</v>
      </c>
      <c r="C97" t="b">
        <v>0</v>
      </c>
      <c r="D97" t="b">
        <v>1</v>
      </c>
      <c r="E97" t="b">
        <v>0</v>
      </c>
      <c r="F97" t="b">
        <v>1</v>
      </c>
      <c r="G97" t="b">
        <v>0</v>
      </c>
      <c r="H97" t="s">
        <v>919</v>
      </c>
      <c r="I97" t="s">
        <v>918</v>
      </c>
      <c r="J97" t="s">
        <v>126</v>
      </c>
      <c r="K97" t="s">
        <v>920</v>
      </c>
      <c r="N97" t="s">
        <v>921</v>
      </c>
      <c r="O97" t="s">
        <v>252</v>
      </c>
      <c r="P97" t="s">
        <v>504</v>
      </c>
      <c r="Q97" t="s">
        <v>505</v>
      </c>
      <c r="R97" s="1">
        <v>44204</v>
      </c>
      <c r="S97" s="1">
        <v>46033</v>
      </c>
      <c r="T97" s="2">
        <v>45099.925763865744</v>
      </c>
      <c r="U97" t="s">
        <v>253</v>
      </c>
      <c r="V97" t="s">
        <v>267</v>
      </c>
      <c r="W97" t="s">
        <v>506</v>
      </c>
      <c r="X97" t="s">
        <v>278</v>
      </c>
      <c r="Y97" t="s">
        <v>257</v>
      </c>
      <c r="Z97" s="32" t="s">
        <v>1415</v>
      </c>
      <c r="AA97" t="s">
        <v>507</v>
      </c>
      <c r="AB97" s="23">
        <f>AQ97</f>
        <v>0</v>
      </c>
      <c r="AC97" s="23" t="s">
        <v>2903</v>
      </c>
      <c r="AD97" s="23"/>
      <c r="AE97" s="23"/>
      <c r="AF97" s="23"/>
      <c r="AG97" s="23"/>
      <c r="AH97" s="23"/>
      <c r="AI97" s="23"/>
      <c r="AK97" t="s">
        <v>270</v>
      </c>
      <c r="AL97">
        <v>500000000</v>
      </c>
      <c r="AM97" s="3" t="s">
        <v>922</v>
      </c>
    </row>
    <row r="98" spans="1:39" hidden="1" x14ac:dyDescent="0.2">
      <c r="A98" s="4" t="s">
        <v>923</v>
      </c>
      <c r="B98" t="b">
        <v>0</v>
      </c>
      <c r="C98" t="b">
        <v>0</v>
      </c>
      <c r="D98" t="b">
        <v>1</v>
      </c>
      <c r="E98" t="b">
        <v>0</v>
      </c>
      <c r="F98" t="b">
        <v>1</v>
      </c>
      <c r="G98" t="s">
        <v>361</v>
      </c>
      <c r="H98" t="s">
        <v>924</v>
      </c>
      <c r="I98" s="4" t="s">
        <v>923</v>
      </c>
      <c r="J98" t="s">
        <v>925</v>
      </c>
      <c r="K98" t="s">
        <v>926</v>
      </c>
      <c r="N98" t="s">
        <v>927</v>
      </c>
      <c r="O98" t="s">
        <v>252</v>
      </c>
      <c r="R98" s="1">
        <v>44128</v>
      </c>
      <c r="S98" s="1">
        <v>45589</v>
      </c>
      <c r="T98" s="2">
        <v>45029.619226875002</v>
      </c>
      <c r="U98" t="s">
        <v>253</v>
      </c>
      <c r="V98" t="s">
        <v>267</v>
      </c>
      <c r="W98" t="s">
        <v>760</v>
      </c>
      <c r="X98" t="s">
        <v>278</v>
      </c>
      <c r="Y98" t="s">
        <v>257</v>
      </c>
      <c r="AK98" t="s">
        <v>270</v>
      </c>
      <c r="AL98">
        <v>50000000</v>
      </c>
      <c r="AM98" s="3" t="s">
        <v>353</v>
      </c>
    </row>
    <row r="99" spans="1:39" x14ac:dyDescent="0.2">
      <c r="A99" t="s">
        <v>928</v>
      </c>
      <c r="B99" t="b">
        <v>1</v>
      </c>
      <c r="C99" t="b">
        <v>0</v>
      </c>
      <c r="D99" t="b">
        <v>1</v>
      </c>
      <c r="E99" t="s">
        <v>522</v>
      </c>
      <c r="F99" t="b">
        <v>0</v>
      </c>
      <c r="G99" t="b">
        <v>0</v>
      </c>
      <c r="H99" t="s">
        <v>929</v>
      </c>
      <c r="I99" t="s">
        <v>928</v>
      </c>
      <c r="M99" s="20" t="s">
        <v>930</v>
      </c>
      <c r="N99" t="s">
        <v>931</v>
      </c>
      <c r="O99" t="s">
        <v>252</v>
      </c>
      <c r="R99" s="1">
        <v>42850</v>
      </c>
      <c r="S99" s="1">
        <v>46502</v>
      </c>
      <c r="U99" t="s">
        <v>253</v>
      </c>
      <c r="V99" t="s">
        <v>267</v>
      </c>
      <c r="W99" t="s">
        <v>932</v>
      </c>
      <c r="X99" t="s">
        <v>278</v>
      </c>
      <c r="Y99" t="s">
        <v>384</v>
      </c>
      <c r="Z99" s="35" t="s">
        <v>933</v>
      </c>
      <c r="AA99" s="7" t="s">
        <v>934</v>
      </c>
      <c r="AD99" t="s">
        <v>2873</v>
      </c>
      <c r="AE99">
        <v>0</v>
      </c>
      <c r="AF99" t="s">
        <v>2884</v>
      </c>
      <c r="AG99" t="s">
        <v>2884</v>
      </c>
      <c r="AH99" t="s">
        <v>2851</v>
      </c>
      <c r="AI99" t="b">
        <v>1</v>
      </c>
      <c r="AJ99">
        <v>0</v>
      </c>
      <c r="AK99" t="s">
        <v>386</v>
      </c>
      <c r="AL99">
        <v>433000000000</v>
      </c>
      <c r="AM99" s="3" t="s">
        <v>531</v>
      </c>
    </row>
    <row r="100" spans="1:39" hidden="1" x14ac:dyDescent="0.2">
      <c r="A100" t="s">
        <v>935</v>
      </c>
      <c r="B100" t="b">
        <v>0</v>
      </c>
      <c r="C100" t="b">
        <v>0</v>
      </c>
      <c r="D100" t="b">
        <v>1</v>
      </c>
      <c r="E100" t="b">
        <v>0</v>
      </c>
      <c r="F100" t="b">
        <v>1</v>
      </c>
      <c r="G100" t="s">
        <v>361</v>
      </c>
      <c r="H100" t="s">
        <v>936</v>
      </c>
      <c r="I100" t="s">
        <v>935</v>
      </c>
      <c r="J100" t="s">
        <v>937</v>
      </c>
      <c r="K100" t="s">
        <v>938</v>
      </c>
      <c r="M100" t="s">
        <v>939</v>
      </c>
      <c r="N100" t="s">
        <v>940</v>
      </c>
      <c r="O100" t="s">
        <v>252</v>
      </c>
      <c r="R100" s="1">
        <v>44423</v>
      </c>
      <c r="S100" s="1">
        <v>49536</v>
      </c>
      <c r="U100" t="s">
        <v>253</v>
      </c>
      <c r="V100" t="s">
        <v>254</v>
      </c>
      <c r="W100" t="s">
        <v>941</v>
      </c>
      <c r="X100" t="s">
        <v>256</v>
      </c>
      <c r="Y100" t="s">
        <v>257</v>
      </c>
      <c r="AK100" t="s">
        <v>260</v>
      </c>
      <c r="AL100">
        <v>220000000</v>
      </c>
      <c r="AM100" s="3" t="s">
        <v>942</v>
      </c>
    </row>
    <row r="101" spans="1:39" hidden="1" x14ac:dyDescent="0.2">
      <c r="A101" t="s">
        <v>943</v>
      </c>
      <c r="B101" t="b">
        <v>0</v>
      </c>
      <c r="C101" t="b">
        <v>0</v>
      </c>
      <c r="D101" t="b">
        <v>1</v>
      </c>
      <c r="E101" t="b">
        <v>0</v>
      </c>
      <c r="F101" t="b">
        <v>1</v>
      </c>
      <c r="G101" t="s">
        <v>361</v>
      </c>
      <c r="H101" t="s">
        <v>944</v>
      </c>
      <c r="I101" t="s">
        <v>943</v>
      </c>
      <c r="J101" t="s">
        <v>945</v>
      </c>
      <c r="M101" t="s">
        <v>946</v>
      </c>
      <c r="N101" t="s">
        <v>947</v>
      </c>
      <c r="O101" t="s">
        <v>252</v>
      </c>
      <c r="R101" s="1">
        <v>44286</v>
      </c>
      <c r="S101" s="1">
        <v>47467</v>
      </c>
      <c r="T101" s="2">
        <v>44895.814672685185</v>
      </c>
      <c r="U101" t="s">
        <v>253</v>
      </c>
      <c r="V101" t="s">
        <v>267</v>
      </c>
      <c r="W101" t="s">
        <v>716</v>
      </c>
      <c r="X101" t="s">
        <v>256</v>
      </c>
      <c r="Y101" t="s">
        <v>257</v>
      </c>
      <c r="AK101" t="s">
        <v>260</v>
      </c>
      <c r="AL101">
        <v>60000000</v>
      </c>
      <c r="AM101" s="3" t="s">
        <v>948</v>
      </c>
    </row>
    <row r="102" spans="1:39" hidden="1" x14ac:dyDescent="0.2">
      <c r="A102" t="s">
        <v>949</v>
      </c>
      <c r="B102" t="b">
        <v>0</v>
      </c>
      <c r="C102" t="b">
        <v>0</v>
      </c>
      <c r="D102" t="b">
        <v>1</v>
      </c>
      <c r="E102" t="b">
        <v>0</v>
      </c>
      <c r="F102" t="b">
        <v>1</v>
      </c>
      <c r="G102" t="s">
        <v>361</v>
      </c>
      <c r="H102" t="s">
        <v>950</v>
      </c>
      <c r="I102" t="s">
        <v>949</v>
      </c>
      <c r="J102" t="s">
        <v>951</v>
      </c>
      <c r="M102" t="s">
        <v>952</v>
      </c>
      <c r="N102" t="s">
        <v>953</v>
      </c>
      <c r="O102" t="s">
        <v>252</v>
      </c>
      <c r="R102" s="1">
        <v>44848</v>
      </c>
      <c r="S102" s="1">
        <v>46615</v>
      </c>
      <c r="T102" s="2">
        <v>46139.779389756943</v>
      </c>
      <c r="U102" t="s">
        <v>253</v>
      </c>
      <c r="V102" t="s">
        <v>267</v>
      </c>
      <c r="W102" t="s">
        <v>716</v>
      </c>
      <c r="X102" t="s">
        <v>256</v>
      </c>
      <c r="Y102" t="s">
        <v>257</v>
      </c>
      <c r="AK102" t="s">
        <v>260</v>
      </c>
      <c r="AL102">
        <v>486000000</v>
      </c>
      <c r="AM102" s="3" t="s">
        <v>954</v>
      </c>
    </row>
    <row r="103" spans="1:39" hidden="1" x14ac:dyDescent="0.2">
      <c r="A103" t="s">
        <v>824</v>
      </c>
      <c r="B103" t="b">
        <v>0</v>
      </c>
      <c r="C103" t="b">
        <v>0</v>
      </c>
      <c r="D103" t="b">
        <v>1</v>
      </c>
      <c r="E103" t="b">
        <v>0</v>
      </c>
      <c r="F103" t="b">
        <v>1</v>
      </c>
      <c r="G103" t="s">
        <v>361</v>
      </c>
      <c r="H103" t="s">
        <v>825</v>
      </c>
      <c r="I103" t="s">
        <v>824</v>
      </c>
      <c r="M103" t="s">
        <v>955</v>
      </c>
      <c r="N103" t="s">
        <v>956</v>
      </c>
      <c r="O103" t="s">
        <v>382</v>
      </c>
      <c r="U103" t="s">
        <v>253</v>
      </c>
      <c r="V103" t="s">
        <v>267</v>
      </c>
      <c r="W103" t="s">
        <v>545</v>
      </c>
      <c r="X103" t="s">
        <v>256</v>
      </c>
      <c r="Y103" t="s">
        <v>257</v>
      </c>
      <c r="AK103" t="s">
        <v>260</v>
      </c>
    </row>
    <row r="104" spans="1:39" hidden="1" x14ac:dyDescent="0.2">
      <c r="A104" t="s">
        <v>957</v>
      </c>
      <c r="B104" t="b">
        <v>1</v>
      </c>
      <c r="C104" t="b">
        <v>0</v>
      </c>
      <c r="D104" t="b">
        <v>1</v>
      </c>
      <c r="E104" t="s">
        <v>248</v>
      </c>
      <c r="F104" t="b">
        <v>0</v>
      </c>
      <c r="G104" t="b">
        <v>0</v>
      </c>
      <c r="H104" t="s">
        <v>958</v>
      </c>
      <c r="I104" t="s">
        <v>957</v>
      </c>
      <c r="J104" t="s">
        <v>959</v>
      </c>
      <c r="K104" t="s">
        <v>960</v>
      </c>
      <c r="N104" t="s">
        <v>961</v>
      </c>
      <c r="O104" t="s">
        <v>252</v>
      </c>
      <c r="R104" s="1">
        <v>43888</v>
      </c>
      <c r="S104" s="1">
        <v>53008</v>
      </c>
      <c r="U104" t="s">
        <v>253</v>
      </c>
      <c r="V104" t="s">
        <v>254</v>
      </c>
      <c r="W104" t="s">
        <v>788</v>
      </c>
      <c r="X104" t="s">
        <v>256</v>
      </c>
      <c r="Y104" t="s">
        <v>257</v>
      </c>
      <c r="AA104" s="6" t="s">
        <v>789</v>
      </c>
      <c r="AB104" s="8" t="s">
        <v>962</v>
      </c>
      <c r="AC104" s="8"/>
      <c r="AD104" s="8"/>
      <c r="AE104" s="8"/>
      <c r="AF104" s="8"/>
      <c r="AG104" s="8"/>
      <c r="AH104" s="8"/>
      <c r="AI104" s="8"/>
      <c r="AK104" t="s">
        <v>260</v>
      </c>
      <c r="AL104">
        <v>300000000</v>
      </c>
      <c r="AM104" s="3" t="s">
        <v>963</v>
      </c>
    </row>
    <row r="105" spans="1:39" hidden="1" x14ac:dyDescent="0.2">
      <c r="A105" t="s">
        <v>964</v>
      </c>
      <c r="B105" t="b">
        <v>0</v>
      </c>
      <c r="C105" t="b">
        <v>0</v>
      </c>
      <c r="D105" t="b">
        <v>1</v>
      </c>
      <c r="E105" t="b">
        <v>0</v>
      </c>
      <c r="F105" t="b">
        <v>1</v>
      </c>
      <c r="G105" t="b">
        <v>0</v>
      </c>
      <c r="H105" t="s">
        <v>965</v>
      </c>
      <c r="I105" t="s">
        <v>964</v>
      </c>
      <c r="J105" t="s">
        <v>69</v>
      </c>
      <c r="K105" t="s">
        <v>966</v>
      </c>
      <c r="M105" t="s">
        <v>967</v>
      </c>
      <c r="N105" t="s">
        <v>968</v>
      </c>
      <c r="O105" t="s">
        <v>252</v>
      </c>
      <c r="R105" s="1">
        <v>44522</v>
      </c>
      <c r="S105" s="1">
        <v>47102</v>
      </c>
      <c r="U105" t="s">
        <v>253</v>
      </c>
      <c r="V105" t="s">
        <v>254</v>
      </c>
      <c r="W105" t="s">
        <v>304</v>
      </c>
      <c r="X105" t="s">
        <v>305</v>
      </c>
      <c r="Y105" t="s">
        <v>306</v>
      </c>
      <c r="Z105" s="32" t="s">
        <v>1316</v>
      </c>
      <c r="AA105" t="s">
        <v>307</v>
      </c>
      <c r="AB105" s="23">
        <f>AQ105</f>
        <v>0</v>
      </c>
      <c r="AC105" s="23" t="s">
        <v>2903</v>
      </c>
      <c r="AD105" s="23"/>
      <c r="AE105" s="23"/>
      <c r="AF105" s="23"/>
      <c r="AG105" s="23"/>
      <c r="AH105" s="23"/>
      <c r="AI105" s="23"/>
      <c r="AK105" t="s">
        <v>308</v>
      </c>
      <c r="AL105">
        <v>220000000</v>
      </c>
      <c r="AM105" s="3" t="s">
        <v>969</v>
      </c>
    </row>
    <row r="106" spans="1:39" hidden="1" x14ac:dyDescent="0.2">
      <c r="A106" s="4" t="s">
        <v>970</v>
      </c>
      <c r="B106" t="b">
        <v>1</v>
      </c>
      <c r="C106" t="b">
        <v>0</v>
      </c>
      <c r="D106" t="b">
        <v>1</v>
      </c>
      <c r="E106" t="b">
        <v>0</v>
      </c>
      <c r="F106" t="b">
        <v>0</v>
      </c>
      <c r="G106" t="s">
        <v>361</v>
      </c>
      <c r="H106" t="s">
        <v>971</v>
      </c>
      <c r="I106" s="4" t="s">
        <v>970</v>
      </c>
      <c r="J106" t="s">
        <v>972</v>
      </c>
      <c r="N106" t="s">
        <v>973</v>
      </c>
      <c r="O106" t="s">
        <v>252</v>
      </c>
      <c r="R106" s="1">
        <v>43731</v>
      </c>
      <c r="S106" s="1">
        <v>48285</v>
      </c>
      <c r="U106" t="s">
        <v>253</v>
      </c>
      <c r="V106" t="s">
        <v>254</v>
      </c>
      <c r="W106" t="s">
        <v>974</v>
      </c>
      <c r="X106" t="s">
        <v>256</v>
      </c>
      <c r="Y106" t="s">
        <v>257</v>
      </c>
      <c r="AA106" s="6" t="s">
        <v>689</v>
      </c>
      <c r="AB106" s="8" t="s">
        <v>975</v>
      </c>
      <c r="AC106" s="8"/>
      <c r="AD106" s="8"/>
      <c r="AE106" s="8"/>
      <c r="AF106" s="8"/>
      <c r="AG106" s="8"/>
      <c r="AH106" s="8"/>
      <c r="AI106" s="8"/>
      <c r="AK106" t="s">
        <v>260</v>
      </c>
      <c r="AL106">
        <v>25247827</v>
      </c>
      <c r="AM106" s="3" t="s">
        <v>976</v>
      </c>
    </row>
    <row r="107" spans="1:39" hidden="1" x14ac:dyDescent="0.2">
      <c r="A107" t="s">
        <v>977</v>
      </c>
      <c r="B107" t="b">
        <v>0</v>
      </c>
      <c r="C107" t="b">
        <v>0</v>
      </c>
      <c r="D107" t="b">
        <v>0</v>
      </c>
      <c r="E107" t="b">
        <v>0</v>
      </c>
      <c r="F107" t="b">
        <v>0</v>
      </c>
      <c r="G107" t="b">
        <v>1</v>
      </c>
      <c r="H107" t="s">
        <v>978</v>
      </c>
      <c r="I107" t="s">
        <v>977</v>
      </c>
      <c r="J107" t="s">
        <v>117</v>
      </c>
      <c r="K107" t="s">
        <v>979</v>
      </c>
      <c r="M107" t="s">
        <v>980</v>
      </c>
      <c r="N107" t="s">
        <v>981</v>
      </c>
      <c r="O107" t="s">
        <v>252</v>
      </c>
      <c r="P107" t="s">
        <v>387</v>
      </c>
      <c r="Q107" t="s">
        <v>388</v>
      </c>
      <c r="R107" s="1">
        <v>43634</v>
      </c>
      <c r="S107" s="1">
        <v>46191</v>
      </c>
      <c r="T107" s="2">
        <v>44889.687130810184</v>
      </c>
      <c r="U107" t="s">
        <v>253</v>
      </c>
      <c r="V107" t="s">
        <v>295</v>
      </c>
      <c r="W107" t="s">
        <v>391</v>
      </c>
      <c r="X107" t="s">
        <v>305</v>
      </c>
      <c r="Y107" t="s">
        <v>384</v>
      </c>
      <c r="AA107" t="s">
        <v>392</v>
      </c>
      <c r="AB107" s="23">
        <f>AQ107</f>
        <v>0</v>
      </c>
      <c r="AC107" s="23"/>
      <c r="AD107" s="23"/>
      <c r="AE107" s="23"/>
      <c r="AF107" s="23"/>
      <c r="AG107" s="23"/>
      <c r="AH107" s="23"/>
      <c r="AI107" s="23"/>
      <c r="AK107" t="s">
        <v>386</v>
      </c>
      <c r="AL107">
        <v>267173000000</v>
      </c>
      <c r="AM107" s="3" t="s">
        <v>982</v>
      </c>
    </row>
    <row r="108" spans="1:39" hidden="1" x14ac:dyDescent="0.2">
      <c r="A108" t="s">
        <v>983</v>
      </c>
      <c r="B108" t="b">
        <v>0</v>
      </c>
      <c r="C108" t="b">
        <v>0</v>
      </c>
      <c r="D108" t="b">
        <v>1</v>
      </c>
      <c r="E108" t="b">
        <v>0</v>
      </c>
      <c r="F108" t="b">
        <v>1</v>
      </c>
      <c r="G108" t="b">
        <v>0</v>
      </c>
      <c r="H108" t="s">
        <v>984</v>
      </c>
      <c r="I108" t="s">
        <v>983</v>
      </c>
      <c r="J108" t="s">
        <v>156</v>
      </c>
      <c r="N108" t="s">
        <v>985</v>
      </c>
      <c r="O108" t="s">
        <v>252</v>
      </c>
      <c r="R108" s="1">
        <v>44582</v>
      </c>
      <c r="S108" s="1">
        <v>48234</v>
      </c>
      <c r="T108" s="2">
        <v>46077.763330590278</v>
      </c>
      <c r="U108" t="s">
        <v>253</v>
      </c>
      <c r="V108" t="s">
        <v>267</v>
      </c>
      <c r="W108" t="s">
        <v>296</v>
      </c>
      <c r="X108" t="s">
        <v>278</v>
      </c>
      <c r="Y108" t="s">
        <v>257</v>
      </c>
      <c r="Z108" s="32" t="s">
        <v>2744</v>
      </c>
      <c r="AA108" t="s">
        <v>986</v>
      </c>
      <c r="AB108" s="23">
        <f>AQ108</f>
        <v>0</v>
      </c>
      <c r="AC108" s="23"/>
      <c r="AD108" s="23"/>
      <c r="AE108" s="23"/>
      <c r="AF108" s="23"/>
      <c r="AG108" s="23"/>
      <c r="AH108" s="23"/>
      <c r="AI108" s="23"/>
      <c r="AK108" t="s">
        <v>270</v>
      </c>
      <c r="AL108">
        <v>100000000</v>
      </c>
      <c r="AM108" s="3" t="s">
        <v>987</v>
      </c>
    </row>
    <row r="109" spans="1:39" hidden="1" x14ac:dyDescent="0.2">
      <c r="A109" t="s">
        <v>988</v>
      </c>
      <c r="B109" t="b">
        <v>0</v>
      </c>
      <c r="C109" t="b">
        <v>0</v>
      </c>
      <c r="D109" t="b">
        <v>0</v>
      </c>
      <c r="E109" t="b">
        <v>0</v>
      </c>
      <c r="F109" t="b">
        <v>0</v>
      </c>
      <c r="G109" t="b">
        <v>1</v>
      </c>
      <c r="H109" t="s">
        <v>989</v>
      </c>
      <c r="I109" t="s">
        <v>988</v>
      </c>
      <c r="J109" t="s">
        <v>118</v>
      </c>
      <c r="K109" t="s">
        <v>990</v>
      </c>
      <c r="M109" t="s">
        <v>991</v>
      </c>
      <c r="N109" t="s">
        <v>992</v>
      </c>
      <c r="O109" t="s">
        <v>252</v>
      </c>
      <c r="P109" t="s">
        <v>387</v>
      </c>
      <c r="Q109" t="s">
        <v>388</v>
      </c>
      <c r="R109" s="1">
        <v>43634</v>
      </c>
      <c r="S109" s="1">
        <v>45461</v>
      </c>
      <c r="T109" s="2">
        <v>44889.687600138888</v>
      </c>
      <c r="U109" t="s">
        <v>253</v>
      </c>
      <c r="V109" t="s">
        <v>295</v>
      </c>
      <c r="W109" t="s">
        <v>391</v>
      </c>
      <c r="X109" t="s">
        <v>305</v>
      </c>
      <c r="Y109" t="s">
        <v>384</v>
      </c>
      <c r="AA109" t="s">
        <v>392</v>
      </c>
      <c r="AB109" s="23">
        <f>AQ109</f>
        <v>0</v>
      </c>
      <c r="AC109" s="23"/>
      <c r="AD109" s="23"/>
      <c r="AE109" s="23"/>
      <c r="AF109" s="23"/>
      <c r="AG109" s="23"/>
      <c r="AH109" s="23"/>
      <c r="AI109" s="23"/>
      <c r="AK109" t="s">
        <v>386</v>
      </c>
      <c r="AL109">
        <v>132827000000</v>
      </c>
      <c r="AM109" s="3" t="s">
        <v>993</v>
      </c>
    </row>
    <row r="110" spans="1:39" hidden="1" x14ac:dyDescent="0.2">
      <c r="A110" s="4" t="s">
        <v>994</v>
      </c>
      <c r="B110" t="b">
        <v>0</v>
      </c>
      <c r="C110" t="b">
        <v>0</v>
      </c>
      <c r="D110" t="b">
        <v>0</v>
      </c>
      <c r="E110" t="b">
        <v>0</v>
      </c>
      <c r="F110" t="b">
        <v>0</v>
      </c>
      <c r="G110" t="b">
        <v>1</v>
      </c>
      <c r="H110" t="s">
        <v>995</v>
      </c>
      <c r="I110" s="4" t="s">
        <v>994</v>
      </c>
      <c r="J110" t="s">
        <v>34</v>
      </c>
      <c r="K110" t="s">
        <v>996</v>
      </c>
      <c r="M110" t="s">
        <v>997</v>
      </c>
      <c r="N110" t="s">
        <v>998</v>
      </c>
      <c r="O110" t="s">
        <v>252</v>
      </c>
      <c r="P110" t="s">
        <v>731</v>
      </c>
      <c r="Q110" t="s">
        <v>732</v>
      </c>
      <c r="R110" s="1">
        <v>44643</v>
      </c>
      <c r="S110" s="1">
        <v>45741</v>
      </c>
      <c r="T110" s="2">
        <v>45125.778022268518</v>
      </c>
      <c r="U110" t="s">
        <v>253</v>
      </c>
      <c r="V110" t="s">
        <v>295</v>
      </c>
      <c r="W110" t="s">
        <v>342</v>
      </c>
      <c r="X110" t="s">
        <v>305</v>
      </c>
      <c r="Y110" t="s">
        <v>343</v>
      </c>
      <c r="AA110" t="s">
        <v>344</v>
      </c>
      <c r="AB110" s="23">
        <f>AQ110</f>
        <v>0</v>
      </c>
      <c r="AC110" s="23"/>
      <c r="AD110" s="23"/>
      <c r="AE110" s="23"/>
      <c r="AF110" s="23"/>
      <c r="AG110" s="23"/>
      <c r="AH110" s="23"/>
      <c r="AI110" s="23"/>
      <c r="AK110" t="s">
        <v>345</v>
      </c>
      <c r="AL110">
        <v>4985193000</v>
      </c>
      <c r="AM110" s="3" t="s">
        <v>999</v>
      </c>
    </row>
    <row r="111" spans="1:39" hidden="1" x14ac:dyDescent="0.2">
      <c r="A111" t="s">
        <v>1000</v>
      </c>
      <c r="B111" t="b">
        <v>1</v>
      </c>
      <c r="C111" t="b">
        <v>0</v>
      </c>
      <c r="D111" t="b">
        <v>1</v>
      </c>
      <c r="E111" t="s">
        <v>248</v>
      </c>
      <c r="F111" t="b">
        <v>0</v>
      </c>
      <c r="G111" t="b">
        <v>0</v>
      </c>
      <c r="H111" t="s">
        <v>1001</v>
      </c>
      <c r="I111" t="s">
        <v>1000</v>
      </c>
      <c r="J111" t="s">
        <v>1002</v>
      </c>
      <c r="N111" t="s">
        <v>1003</v>
      </c>
      <c r="O111" t="s">
        <v>252</v>
      </c>
      <c r="R111" s="1">
        <v>44239</v>
      </c>
      <c r="S111" s="1">
        <v>47914</v>
      </c>
      <c r="U111" t="s">
        <v>253</v>
      </c>
      <c r="V111" t="s">
        <v>254</v>
      </c>
      <c r="W111" t="s">
        <v>612</v>
      </c>
      <c r="X111" t="s">
        <v>278</v>
      </c>
      <c r="Y111" t="s">
        <v>257</v>
      </c>
      <c r="AA111" t="s">
        <v>613</v>
      </c>
      <c r="AB111" s="7" t="s">
        <v>614</v>
      </c>
      <c r="AC111" s="7"/>
      <c r="AD111" s="7"/>
      <c r="AE111" s="7"/>
      <c r="AF111" s="7"/>
      <c r="AG111" s="7"/>
      <c r="AH111" s="7"/>
      <c r="AI111" s="7"/>
      <c r="AK111" t="s">
        <v>260</v>
      </c>
      <c r="AL111">
        <v>64064000</v>
      </c>
      <c r="AM111" s="3" t="s">
        <v>1004</v>
      </c>
    </row>
    <row r="112" spans="1:39" hidden="1" x14ac:dyDescent="0.2">
      <c r="A112" t="s">
        <v>1005</v>
      </c>
      <c r="B112" t="b">
        <v>0</v>
      </c>
      <c r="C112" t="b">
        <v>0</v>
      </c>
      <c r="D112" t="b">
        <v>1</v>
      </c>
      <c r="E112" t="b">
        <v>0</v>
      </c>
      <c r="F112" t="b">
        <v>1</v>
      </c>
      <c r="G112" t="s">
        <v>361</v>
      </c>
      <c r="H112" t="s">
        <v>1006</v>
      </c>
      <c r="I112" t="s">
        <v>1005</v>
      </c>
      <c r="J112" t="s">
        <v>1007</v>
      </c>
      <c r="M112" t="s">
        <v>1008</v>
      </c>
      <c r="N112" t="s">
        <v>1008</v>
      </c>
      <c r="O112" t="s">
        <v>252</v>
      </c>
      <c r="R112" s="1">
        <v>44270</v>
      </c>
      <c r="S112" s="1">
        <v>47192</v>
      </c>
      <c r="U112" t="s">
        <v>253</v>
      </c>
      <c r="V112" t="s">
        <v>254</v>
      </c>
      <c r="W112" t="s">
        <v>494</v>
      </c>
      <c r="X112" t="s">
        <v>256</v>
      </c>
      <c r="Y112" t="s">
        <v>257</v>
      </c>
      <c r="AK112" t="s">
        <v>260</v>
      </c>
      <c r="AL112">
        <v>1050000000</v>
      </c>
      <c r="AM112" s="3" t="s">
        <v>1009</v>
      </c>
    </row>
    <row r="113" spans="1:39" hidden="1" x14ac:dyDescent="0.2">
      <c r="A113" t="s">
        <v>1010</v>
      </c>
      <c r="B113" t="b">
        <v>0</v>
      </c>
      <c r="C113" t="b">
        <v>0</v>
      </c>
      <c r="D113" t="b">
        <v>0</v>
      </c>
      <c r="E113" t="b">
        <v>0</v>
      </c>
      <c r="F113" t="b">
        <v>0</v>
      </c>
      <c r="G113" t="b">
        <v>1</v>
      </c>
      <c r="H113" t="s">
        <v>1011</v>
      </c>
      <c r="I113" t="s">
        <v>1010</v>
      </c>
      <c r="J113" t="s">
        <v>111</v>
      </c>
      <c r="N113" t="s">
        <v>1012</v>
      </c>
      <c r="O113" t="s">
        <v>252</v>
      </c>
      <c r="R113" s="1">
        <v>44768</v>
      </c>
      <c r="S113" s="1">
        <v>45475</v>
      </c>
      <c r="T113" s="2">
        <v>46077.764219097226</v>
      </c>
      <c r="U113" t="s">
        <v>253</v>
      </c>
      <c r="V113" t="s">
        <v>295</v>
      </c>
      <c r="W113" t="s">
        <v>296</v>
      </c>
      <c r="X113" t="s">
        <v>278</v>
      </c>
      <c r="Y113" t="s">
        <v>257</v>
      </c>
      <c r="AA113" t="s">
        <v>297</v>
      </c>
      <c r="AB113" s="23">
        <f>AQ113</f>
        <v>0</v>
      </c>
      <c r="AC113" s="23"/>
      <c r="AD113" s="23"/>
      <c r="AE113" s="23"/>
      <c r="AF113" s="23"/>
      <c r="AG113" s="23"/>
      <c r="AH113" s="23"/>
      <c r="AI113" s="23"/>
      <c r="AK113" t="s">
        <v>260</v>
      </c>
      <c r="AL113">
        <v>207600000</v>
      </c>
      <c r="AM113" s="3" t="s">
        <v>1013</v>
      </c>
    </row>
    <row r="114" spans="1:39" hidden="1" x14ac:dyDescent="0.2">
      <c r="A114" t="s">
        <v>1014</v>
      </c>
      <c r="B114" t="b">
        <v>0</v>
      </c>
      <c r="C114" t="b">
        <v>0</v>
      </c>
      <c r="D114" t="b">
        <v>1</v>
      </c>
      <c r="E114" t="b">
        <v>0</v>
      </c>
      <c r="F114" t="b">
        <v>1</v>
      </c>
      <c r="G114" t="b">
        <v>0</v>
      </c>
      <c r="H114" t="s">
        <v>1015</v>
      </c>
      <c r="I114" t="s">
        <v>1014</v>
      </c>
      <c r="J114" t="s">
        <v>47</v>
      </c>
      <c r="N114" t="s">
        <v>1016</v>
      </c>
      <c r="O114" t="s">
        <v>252</v>
      </c>
      <c r="R114" s="1">
        <v>45121</v>
      </c>
      <c r="S114" s="1">
        <v>46948</v>
      </c>
      <c r="T114" s="2">
        <v>46059.657382766207</v>
      </c>
      <c r="U114" t="s">
        <v>253</v>
      </c>
      <c r="V114" t="s">
        <v>267</v>
      </c>
      <c r="W114" t="s">
        <v>319</v>
      </c>
      <c r="X114" t="s">
        <v>256</v>
      </c>
      <c r="Y114" t="s">
        <v>269</v>
      </c>
      <c r="Z114" s="32" t="s">
        <v>2755</v>
      </c>
      <c r="AA114" t="s">
        <v>320</v>
      </c>
      <c r="AB114" s="23">
        <f>AQ114</f>
        <v>0</v>
      </c>
      <c r="AC114" s="23"/>
      <c r="AD114" s="23"/>
      <c r="AE114" s="23"/>
      <c r="AF114" s="23"/>
      <c r="AG114" s="23"/>
      <c r="AH114" s="23"/>
      <c r="AI114" s="23"/>
      <c r="AK114" t="s">
        <v>270</v>
      </c>
      <c r="AL114">
        <v>30000000</v>
      </c>
      <c r="AM114" s="3" t="s">
        <v>602</v>
      </c>
    </row>
    <row r="115" spans="1:39" hidden="1" x14ac:dyDescent="0.2">
      <c r="A115" t="s">
        <v>1017</v>
      </c>
      <c r="B115" t="b">
        <v>0</v>
      </c>
      <c r="C115" t="b">
        <v>0</v>
      </c>
      <c r="D115" t="b">
        <v>1</v>
      </c>
      <c r="E115" t="b">
        <v>0</v>
      </c>
      <c r="F115" t="b">
        <v>1</v>
      </c>
      <c r="G115" t="b">
        <v>0</v>
      </c>
      <c r="H115" t="s">
        <v>1018</v>
      </c>
      <c r="I115" t="s">
        <v>1017</v>
      </c>
      <c r="J115" t="s">
        <v>144</v>
      </c>
      <c r="K115" t="s">
        <v>1019</v>
      </c>
      <c r="L115" t="s">
        <v>1020</v>
      </c>
      <c r="M115" t="s">
        <v>1021</v>
      </c>
      <c r="N115" t="s">
        <v>1022</v>
      </c>
      <c r="O115" t="s">
        <v>252</v>
      </c>
      <c r="R115" s="1">
        <v>43425</v>
      </c>
      <c r="S115" s="1">
        <v>47078</v>
      </c>
      <c r="T115" s="2">
        <v>44951.734472638891</v>
      </c>
      <c r="U115" t="s">
        <v>441</v>
      </c>
      <c r="V115" t="s">
        <v>267</v>
      </c>
      <c r="W115" t="s">
        <v>1023</v>
      </c>
      <c r="X115" t="s">
        <v>479</v>
      </c>
      <c r="Y115" t="s">
        <v>343</v>
      </c>
      <c r="Z115" s="32" t="s">
        <v>2743</v>
      </c>
      <c r="AA115" t="s">
        <v>1024</v>
      </c>
      <c r="AB115" s="23">
        <f>AQ115</f>
        <v>0</v>
      </c>
      <c r="AC115" s="23"/>
      <c r="AD115" s="23"/>
      <c r="AE115" s="23"/>
      <c r="AF115" s="23"/>
      <c r="AG115" s="23"/>
      <c r="AH115" s="23"/>
      <c r="AI115" s="23"/>
      <c r="AK115" t="s">
        <v>345</v>
      </c>
      <c r="AL115">
        <v>1100000000</v>
      </c>
      <c r="AM115" s="3" t="s">
        <v>1025</v>
      </c>
    </row>
    <row r="116" spans="1:39" hidden="1" x14ac:dyDescent="0.2">
      <c r="A116" s="9" t="s">
        <v>1026</v>
      </c>
      <c r="B116" s="9" t="b">
        <v>1</v>
      </c>
      <c r="C116" s="9" t="b">
        <v>1</v>
      </c>
      <c r="D116" s="9" t="b">
        <v>1</v>
      </c>
      <c r="E116" s="9" t="b">
        <v>0</v>
      </c>
      <c r="F116" s="9" t="b">
        <v>0</v>
      </c>
      <c r="G116" s="9" t="b">
        <v>0</v>
      </c>
      <c r="H116" s="9" t="s">
        <v>1027</v>
      </c>
      <c r="I116" s="9" t="s">
        <v>1026</v>
      </c>
      <c r="J116" s="9"/>
      <c r="K116" s="9"/>
      <c r="L116" s="9"/>
      <c r="M116" s="10" t="s">
        <v>1028</v>
      </c>
      <c r="N116" s="9" t="s">
        <v>1029</v>
      </c>
      <c r="O116" s="9" t="s">
        <v>252</v>
      </c>
      <c r="P116" s="9"/>
      <c r="Q116" s="9"/>
      <c r="R116" s="11">
        <v>43665</v>
      </c>
      <c r="S116" s="11">
        <v>44761</v>
      </c>
      <c r="T116" s="9"/>
      <c r="U116" s="9" t="s">
        <v>253</v>
      </c>
      <c r="V116" s="9" t="s">
        <v>254</v>
      </c>
      <c r="W116" s="9" t="s">
        <v>1030</v>
      </c>
      <c r="X116" s="9" t="s">
        <v>256</v>
      </c>
      <c r="Y116" s="9" t="s">
        <v>257</v>
      </c>
      <c r="Z116" s="32" t="s">
        <v>1031</v>
      </c>
      <c r="AA116" s="9" t="s">
        <v>1032</v>
      </c>
      <c r="AB116" s="23">
        <f>AQ116</f>
        <v>0</v>
      </c>
      <c r="AC116" s="23"/>
      <c r="AD116" s="23"/>
      <c r="AE116" s="23"/>
      <c r="AF116" s="23"/>
      <c r="AG116" s="23"/>
      <c r="AH116" s="23"/>
      <c r="AI116" s="23"/>
      <c r="AK116" s="9" t="s">
        <v>260</v>
      </c>
      <c r="AL116" s="9">
        <v>40150000</v>
      </c>
      <c r="AM116" s="12" t="s">
        <v>1033</v>
      </c>
    </row>
    <row r="117" spans="1:39" hidden="1" x14ac:dyDescent="0.2">
      <c r="A117" t="s">
        <v>433</v>
      </c>
      <c r="B117" t="b">
        <v>1</v>
      </c>
      <c r="C117" t="b">
        <v>0</v>
      </c>
      <c r="D117" t="b">
        <v>1</v>
      </c>
      <c r="E117" t="b">
        <v>0</v>
      </c>
      <c r="F117" t="b">
        <v>0</v>
      </c>
      <c r="G117" t="s">
        <v>361</v>
      </c>
      <c r="H117" t="s">
        <v>434</v>
      </c>
      <c r="I117" t="s">
        <v>433</v>
      </c>
      <c r="M117" t="s">
        <v>1034</v>
      </c>
      <c r="N117" t="s">
        <v>1035</v>
      </c>
      <c r="O117" t="s">
        <v>382</v>
      </c>
      <c r="S117" s="1">
        <v>51361</v>
      </c>
      <c r="U117" t="s">
        <v>253</v>
      </c>
      <c r="V117" t="s">
        <v>254</v>
      </c>
      <c r="W117" t="s">
        <v>435</v>
      </c>
      <c r="X117" t="s">
        <v>256</v>
      </c>
      <c r="Y117" t="s">
        <v>384</v>
      </c>
      <c r="AK117" t="s">
        <v>386</v>
      </c>
    </row>
    <row r="118" spans="1:39" hidden="1" x14ac:dyDescent="0.2">
      <c r="A118" t="s">
        <v>1036</v>
      </c>
      <c r="B118" t="b">
        <v>1</v>
      </c>
      <c r="C118" t="b">
        <v>0</v>
      </c>
      <c r="D118" t="b">
        <v>1</v>
      </c>
      <c r="E118" t="s">
        <v>248</v>
      </c>
      <c r="F118" t="b">
        <v>0</v>
      </c>
      <c r="G118" t="b">
        <v>0</v>
      </c>
      <c r="H118" t="s">
        <v>1037</v>
      </c>
      <c r="I118" t="s">
        <v>1036</v>
      </c>
      <c r="J118" t="s">
        <v>1038</v>
      </c>
      <c r="K118" t="s">
        <v>1039</v>
      </c>
      <c r="M118" t="s">
        <v>1040</v>
      </c>
      <c r="N118" t="s">
        <v>1041</v>
      </c>
      <c r="O118" t="s">
        <v>252</v>
      </c>
      <c r="R118" s="1">
        <v>43222</v>
      </c>
      <c r="S118" s="1">
        <v>45762</v>
      </c>
      <c r="U118" t="s">
        <v>441</v>
      </c>
      <c r="V118" t="s">
        <v>254</v>
      </c>
      <c r="W118" t="s">
        <v>1042</v>
      </c>
      <c r="X118" t="s">
        <v>256</v>
      </c>
      <c r="Y118" t="s">
        <v>257</v>
      </c>
      <c r="AA118" s="6" t="s">
        <v>1043</v>
      </c>
      <c r="AB118" t="s">
        <v>1044</v>
      </c>
      <c r="AK118" t="s">
        <v>260</v>
      </c>
      <c r="AL118">
        <v>621000000</v>
      </c>
      <c r="AM118" s="3" t="s">
        <v>1045</v>
      </c>
    </row>
    <row r="119" spans="1:39" hidden="1" x14ac:dyDescent="0.2">
      <c r="A119" t="s">
        <v>1046</v>
      </c>
      <c r="B119" t="b">
        <v>0</v>
      </c>
      <c r="C119" t="b">
        <v>0</v>
      </c>
      <c r="D119" t="b">
        <v>1</v>
      </c>
      <c r="E119" t="b">
        <v>0</v>
      </c>
      <c r="F119" t="b">
        <v>1</v>
      </c>
      <c r="G119" t="b">
        <v>0</v>
      </c>
      <c r="H119" t="s">
        <v>1047</v>
      </c>
      <c r="I119" t="s">
        <v>1046</v>
      </c>
      <c r="K119" t="s">
        <v>1048</v>
      </c>
      <c r="N119" t="s">
        <v>1049</v>
      </c>
      <c r="O119" t="s">
        <v>252</v>
      </c>
      <c r="R119" s="1">
        <v>44418</v>
      </c>
      <c r="S119" s="1">
        <v>45514</v>
      </c>
      <c r="T119" s="2">
        <v>46057.583327986111</v>
      </c>
      <c r="U119" t="s">
        <v>253</v>
      </c>
      <c r="V119" t="s">
        <v>267</v>
      </c>
      <c r="W119" t="s">
        <v>319</v>
      </c>
      <c r="X119" t="s">
        <v>256</v>
      </c>
      <c r="Y119" t="s">
        <v>269</v>
      </c>
      <c r="Z119" s="32" t="s">
        <v>2755</v>
      </c>
      <c r="AA119" t="s">
        <v>320</v>
      </c>
      <c r="AB119" s="23">
        <f>AQ119</f>
        <v>0</v>
      </c>
      <c r="AC119" s="23"/>
      <c r="AD119" s="23"/>
      <c r="AE119" s="23"/>
      <c r="AF119" s="23"/>
      <c r="AG119" s="23"/>
      <c r="AH119" s="23"/>
      <c r="AI119" s="23"/>
      <c r="AK119" t="s">
        <v>270</v>
      </c>
      <c r="AL119">
        <v>15605522</v>
      </c>
      <c r="AM119" s="3" t="s">
        <v>1050</v>
      </c>
    </row>
    <row r="120" spans="1:39" hidden="1" x14ac:dyDescent="0.2">
      <c r="A120" t="s">
        <v>1051</v>
      </c>
      <c r="B120" t="b">
        <v>0</v>
      </c>
      <c r="C120" t="b">
        <v>0</v>
      </c>
      <c r="D120" t="b">
        <v>1</v>
      </c>
      <c r="E120" t="b">
        <v>0</v>
      </c>
      <c r="F120" t="b">
        <v>1</v>
      </c>
      <c r="G120" t="b">
        <v>0</v>
      </c>
      <c r="H120" t="s">
        <v>1052</v>
      </c>
      <c r="I120" t="s">
        <v>1051</v>
      </c>
      <c r="J120" t="s">
        <v>77</v>
      </c>
      <c r="N120" t="s">
        <v>1053</v>
      </c>
      <c r="O120" t="s">
        <v>252</v>
      </c>
      <c r="R120" s="1">
        <v>44518</v>
      </c>
      <c r="S120" s="1">
        <v>46343</v>
      </c>
      <c r="U120" t="s">
        <v>253</v>
      </c>
      <c r="V120" t="s">
        <v>254</v>
      </c>
      <c r="W120" t="s">
        <v>426</v>
      </c>
      <c r="X120" t="s">
        <v>256</v>
      </c>
      <c r="Y120" t="s">
        <v>257</v>
      </c>
      <c r="Z120" s="32" t="s">
        <v>2757</v>
      </c>
      <c r="AA120" t="s">
        <v>427</v>
      </c>
      <c r="AB120" s="23">
        <f>AQ120</f>
        <v>0</v>
      </c>
      <c r="AC120" s="23"/>
      <c r="AD120" s="23"/>
      <c r="AE120" s="23"/>
      <c r="AF120" s="23"/>
      <c r="AG120" s="23"/>
      <c r="AH120" s="23"/>
      <c r="AI120" s="23"/>
      <c r="AK120" t="s">
        <v>260</v>
      </c>
      <c r="AL120">
        <v>16000000</v>
      </c>
      <c r="AM120" s="3" t="s">
        <v>1054</v>
      </c>
    </row>
    <row r="121" spans="1:39" hidden="1" x14ac:dyDescent="0.2">
      <c r="A121" t="s">
        <v>1055</v>
      </c>
      <c r="B121" t="b">
        <v>0</v>
      </c>
      <c r="C121" t="b">
        <v>0</v>
      </c>
      <c r="D121" t="b">
        <v>1</v>
      </c>
      <c r="E121" t="b">
        <v>0</v>
      </c>
      <c r="F121" t="b">
        <v>1</v>
      </c>
      <c r="G121" t="b">
        <v>0</v>
      </c>
      <c r="H121" t="s">
        <v>1056</v>
      </c>
      <c r="I121" t="s">
        <v>1055</v>
      </c>
      <c r="J121" t="s">
        <v>115</v>
      </c>
      <c r="K121" t="s">
        <v>1057</v>
      </c>
      <c r="L121" t="s">
        <v>1058</v>
      </c>
      <c r="M121" t="s">
        <v>1059</v>
      </c>
      <c r="N121" t="s">
        <v>1060</v>
      </c>
      <c r="O121" t="s">
        <v>252</v>
      </c>
      <c r="R121" s="1">
        <v>44356</v>
      </c>
      <c r="S121" s="1">
        <v>48745</v>
      </c>
      <c r="U121" t="s">
        <v>253</v>
      </c>
      <c r="V121" t="s">
        <v>254</v>
      </c>
      <c r="W121" t="s">
        <v>658</v>
      </c>
      <c r="X121" t="s">
        <v>256</v>
      </c>
      <c r="Y121" t="s">
        <v>287</v>
      </c>
      <c r="Z121" s="32" t="s">
        <v>2751</v>
      </c>
      <c r="AA121" t="s">
        <v>659</v>
      </c>
      <c r="AB121" s="23">
        <f>AQ121</f>
        <v>0</v>
      </c>
      <c r="AC121" s="23"/>
      <c r="AD121" s="23"/>
      <c r="AE121" s="23"/>
      <c r="AF121" s="23"/>
      <c r="AG121" s="23"/>
      <c r="AH121" s="23"/>
      <c r="AI121" s="23"/>
      <c r="AK121" t="s">
        <v>270</v>
      </c>
      <c r="AL121">
        <v>250230000</v>
      </c>
      <c r="AM121" s="3" t="s">
        <v>1061</v>
      </c>
    </row>
    <row r="122" spans="1:39" x14ac:dyDescent="0.2">
      <c r="A122" t="s">
        <v>1062</v>
      </c>
      <c r="B122" t="b">
        <v>1</v>
      </c>
      <c r="C122" t="b">
        <v>0</v>
      </c>
      <c r="D122" t="b">
        <v>1</v>
      </c>
      <c r="E122" t="s">
        <v>522</v>
      </c>
      <c r="F122" t="b">
        <v>0</v>
      </c>
      <c r="G122" t="b">
        <v>0</v>
      </c>
      <c r="H122" t="s">
        <v>1063</v>
      </c>
      <c r="I122" t="s">
        <v>1062</v>
      </c>
      <c r="J122" s="20" t="s">
        <v>174</v>
      </c>
      <c r="N122" t="s">
        <v>1064</v>
      </c>
      <c r="O122" t="s">
        <v>252</v>
      </c>
      <c r="R122" s="1">
        <v>44008</v>
      </c>
      <c r="S122" s="1">
        <v>45100</v>
      </c>
      <c r="T122" s="2">
        <v>45012.853227465275</v>
      </c>
      <c r="U122" t="s">
        <v>253</v>
      </c>
      <c r="V122" t="s">
        <v>267</v>
      </c>
      <c r="W122" t="s">
        <v>904</v>
      </c>
      <c r="X122" t="s">
        <v>305</v>
      </c>
      <c r="Y122" t="s">
        <v>343</v>
      </c>
      <c r="Z122" s="35" t="s">
        <v>1065</v>
      </c>
      <c r="AA122" s="7" t="s">
        <v>1066</v>
      </c>
      <c r="AB122" s="23">
        <f>AQ122</f>
        <v>0</v>
      </c>
      <c r="AC122" s="23" t="s">
        <v>382</v>
      </c>
      <c r="AD122" s="23" t="s">
        <v>2878</v>
      </c>
      <c r="AE122" s="23" t="s">
        <v>2881</v>
      </c>
      <c r="AF122" s="23" t="s">
        <v>2884</v>
      </c>
      <c r="AG122" s="23" t="s">
        <v>2884</v>
      </c>
      <c r="AH122" s="23" t="s">
        <v>2851</v>
      </c>
      <c r="AI122" s="78" t="s">
        <v>2919</v>
      </c>
      <c r="AJ122">
        <v>1</v>
      </c>
      <c r="AK122" t="s">
        <v>345</v>
      </c>
      <c r="AL122">
        <v>3000000000</v>
      </c>
      <c r="AM122" s="3" t="s">
        <v>1067</v>
      </c>
    </row>
    <row r="123" spans="1:39" hidden="1" x14ac:dyDescent="0.2">
      <c r="A123" t="s">
        <v>331</v>
      </c>
      <c r="B123" t="b">
        <v>1</v>
      </c>
      <c r="C123" t="b">
        <v>0</v>
      </c>
      <c r="D123" t="b">
        <v>1</v>
      </c>
      <c r="E123" t="b">
        <v>0</v>
      </c>
      <c r="F123" t="b">
        <v>0</v>
      </c>
      <c r="G123" t="s">
        <v>361</v>
      </c>
      <c r="H123" t="s">
        <v>332</v>
      </c>
      <c r="I123" t="s">
        <v>331</v>
      </c>
      <c r="M123" t="s">
        <v>1068</v>
      </c>
      <c r="N123" t="s">
        <v>1069</v>
      </c>
      <c r="O123" t="s">
        <v>382</v>
      </c>
      <c r="T123" s="2">
        <v>44923.626521018516</v>
      </c>
      <c r="U123" t="s">
        <v>253</v>
      </c>
      <c r="V123" t="s">
        <v>254</v>
      </c>
      <c r="W123" t="s">
        <v>333</v>
      </c>
      <c r="X123" t="s">
        <v>334</v>
      </c>
      <c r="Y123" t="s">
        <v>287</v>
      </c>
      <c r="AK123" t="s">
        <v>270</v>
      </c>
    </row>
    <row r="124" spans="1:39" hidden="1" x14ac:dyDescent="0.2">
      <c r="A124" t="s">
        <v>275</v>
      </c>
      <c r="B124" t="b">
        <v>1</v>
      </c>
      <c r="C124" t="b">
        <v>0</v>
      </c>
      <c r="D124" t="b">
        <v>1</v>
      </c>
      <c r="E124" t="s">
        <v>522</v>
      </c>
      <c r="F124" t="b">
        <v>0</v>
      </c>
      <c r="G124" t="b">
        <v>0</v>
      </c>
      <c r="H124" t="s">
        <v>276</v>
      </c>
      <c r="I124" t="s">
        <v>275</v>
      </c>
      <c r="M124" s="20" t="s">
        <v>1070</v>
      </c>
      <c r="N124" t="s">
        <v>1071</v>
      </c>
      <c r="O124" t="s">
        <v>382</v>
      </c>
      <c r="T124" s="2">
        <v>45960.678060416663</v>
      </c>
      <c r="U124" t="s">
        <v>253</v>
      </c>
      <c r="V124" t="s">
        <v>254</v>
      </c>
      <c r="W124" t="s">
        <v>277</v>
      </c>
      <c r="X124" t="s">
        <v>278</v>
      </c>
      <c r="Y124" t="s">
        <v>279</v>
      </c>
      <c r="Z124" s="35" t="s">
        <v>1072</v>
      </c>
      <c r="AA124" t="s">
        <v>280</v>
      </c>
      <c r="AB124" s="23">
        <f>AQ124</f>
        <v>0</v>
      </c>
      <c r="AC124" s="23"/>
      <c r="AD124" s="23" t="s">
        <v>2895</v>
      </c>
      <c r="AE124" s="23" t="s">
        <v>2895</v>
      </c>
      <c r="AF124" s="23" t="s">
        <v>2895</v>
      </c>
      <c r="AG124" s="23" t="s">
        <v>2895</v>
      </c>
      <c r="AH124" s="23" t="s">
        <v>2895</v>
      </c>
      <c r="AI124" s="23"/>
      <c r="AK124" t="s">
        <v>270</v>
      </c>
    </row>
    <row r="125" spans="1:39" hidden="1" x14ac:dyDescent="0.2">
      <c r="A125" t="s">
        <v>1073</v>
      </c>
      <c r="B125" t="b">
        <v>0</v>
      </c>
      <c r="C125" t="b">
        <v>0</v>
      </c>
      <c r="D125" t="b">
        <v>1</v>
      </c>
      <c r="E125" t="b">
        <v>0</v>
      </c>
      <c r="F125" t="b">
        <v>1</v>
      </c>
      <c r="G125" t="b">
        <v>0</v>
      </c>
      <c r="H125" t="s">
        <v>1074</v>
      </c>
      <c r="I125" t="s">
        <v>1073</v>
      </c>
      <c r="J125" t="s">
        <v>64</v>
      </c>
      <c r="N125" t="s">
        <v>1075</v>
      </c>
      <c r="O125" t="s">
        <v>252</v>
      </c>
      <c r="P125" t="s">
        <v>1076</v>
      </c>
      <c r="Q125" t="s">
        <v>1077</v>
      </c>
      <c r="R125" s="1">
        <v>45468</v>
      </c>
      <c r="S125" s="1">
        <v>50946</v>
      </c>
      <c r="T125" s="2">
        <v>46153.778920069446</v>
      </c>
      <c r="U125" t="s">
        <v>253</v>
      </c>
      <c r="V125" t="s">
        <v>267</v>
      </c>
      <c r="W125" t="s">
        <v>645</v>
      </c>
      <c r="X125" t="s">
        <v>256</v>
      </c>
      <c r="Y125" t="s">
        <v>351</v>
      </c>
      <c r="Z125" s="32" t="s">
        <v>2752</v>
      </c>
      <c r="AA125" t="s">
        <v>646</v>
      </c>
      <c r="AB125" s="23">
        <f>AQ125</f>
        <v>0</v>
      </c>
      <c r="AC125" s="23"/>
      <c r="AD125" s="23"/>
      <c r="AE125" s="23"/>
      <c r="AF125" s="23"/>
      <c r="AG125" s="23"/>
      <c r="AH125" s="23"/>
      <c r="AI125" s="23"/>
      <c r="AK125" t="s">
        <v>647</v>
      </c>
      <c r="AL125">
        <v>6700000000</v>
      </c>
      <c r="AM125" s="3" t="s">
        <v>1078</v>
      </c>
    </row>
    <row r="126" spans="1:39" hidden="1" x14ac:dyDescent="0.2">
      <c r="A126" t="s">
        <v>1079</v>
      </c>
      <c r="B126" t="b">
        <v>0</v>
      </c>
      <c r="C126" t="b">
        <v>0</v>
      </c>
      <c r="D126" t="b">
        <v>1</v>
      </c>
      <c r="E126" t="b">
        <v>0</v>
      </c>
      <c r="F126" t="b">
        <v>1</v>
      </c>
      <c r="G126" t="s">
        <v>361</v>
      </c>
      <c r="H126" t="s">
        <v>1080</v>
      </c>
      <c r="I126" t="s">
        <v>1079</v>
      </c>
      <c r="J126" t="s">
        <v>1081</v>
      </c>
      <c r="K126" t="s">
        <v>1082</v>
      </c>
      <c r="M126" t="s">
        <v>1083</v>
      </c>
      <c r="N126" t="s">
        <v>1084</v>
      </c>
      <c r="O126" t="s">
        <v>252</v>
      </c>
      <c r="R126" s="1">
        <v>44497</v>
      </c>
      <c r="S126" s="1">
        <v>45593</v>
      </c>
      <c r="U126" t="s">
        <v>253</v>
      </c>
      <c r="V126" t="s">
        <v>254</v>
      </c>
      <c r="W126" t="s">
        <v>1085</v>
      </c>
      <c r="X126" t="s">
        <v>256</v>
      </c>
      <c r="Y126" t="s">
        <v>269</v>
      </c>
      <c r="AK126" t="s">
        <v>270</v>
      </c>
      <c r="AL126">
        <v>30000000</v>
      </c>
      <c r="AM126" s="3" t="s">
        <v>602</v>
      </c>
    </row>
    <row r="127" spans="1:39" hidden="1" x14ac:dyDescent="0.2">
      <c r="A127" t="s">
        <v>1086</v>
      </c>
      <c r="B127" t="b">
        <v>0</v>
      </c>
      <c r="C127" t="b">
        <v>0</v>
      </c>
      <c r="D127" t="b">
        <v>1</v>
      </c>
      <c r="E127" t="b">
        <v>0</v>
      </c>
      <c r="F127" t="b">
        <v>1</v>
      </c>
      <c r="G127" t="b">
        <v>0</v>
      </c>
      <c r="H127" t="s">
        <v>1087</v>
      </c>
      <c r="I127" t="s">
        <v>1086</v>
      </c>
      <c r="J127" t="s">
        <v>130</v>
      </c>
      <c r="N127" t="s">
        <v>1088</v>
      </c>
      <c r="O127" t="s">
        <v>252</v>
      </c>
      <c r="P127" t="s">
        <v>378</v>
      </c>
      <c r="Q127" t="s">
        <v>379</v>
      </c>
      <c r="R127" s="1">
        <v>44637</v>
      </c>
      <c r="S127" s="1">
        <v>45368</v>
      </c>
      <c r="T127" s="2">
        <v>44900.980550798609</v>
      </c>
      <c r="U127" t="s">
        <v>253</v>
      </c>
      <c r="V127" t="s">
        <v>267</v>
      </c>
      <c r="W127" t="s">
        <v>383</v>
      </c>
      <c r="X127" t="s">
        <v>278</v>
      </c>
      <c r="Y127" t="s">
        <v>384</v>
      </c>
      <c r="Z127" s="32" t="s">
        <v>2756</v>
      </c>
      <c r="AA127" t="s">
        <v>385</v>
      </c>
      <c r="AB127" s="23">
        <f>AQ127</f>
        <v>0</v>
      </c>
      <c r="AC127" s="23"/>
      <c r="AD127" s="23"/>
      <c r="AE127" s="23"/>
      <c r="AF127" s="23"/>
      <c r="AG127" s="23"/>
      <c r="AH127" s="23"/>
      <c r="AI127" s="23"/>
      <c r="AK127" t="s">
        <v>386</v>
      </c>
      <c r="AL127">
        <v>80855000000</v>
      </c>
      <c r="AM127" s="3" t="s">
        <v>1089</v>
      </c>
    </row>
    <row r="128" spans="1:39" hidden="1" x14ac:dyDescent="0.2">
      <c r="A128" t="s">
        <v>1090</v>
      </c>
      <c r="B128" t="b">
        <v>0</v>
      </c>
      <c r="C128" t="b">
        <v>0</v>
      </c>
      <c r="D128" t="b">
        <v>1</v>
      </c>
      <c r="E128" t="b">
        <v>0</v>
      </c>
      <c r="F128" t="b">
        <v>1</v>
      </c>
      <c r="G128" t="s">
        <v>361</v>
      </c>
      <c r="H128" t="s">
        <v>1091</v>
      </c>
      <c r="I128" t="s">
        <v>1090</v>
      </c>
      <c r="J128" t="s">
        <v>1092</v>
      </c>
      <c r="K128" t="s">
        <v>1093</v>
      </c>
      <c r="M128" t="s">
        <v>1094</v>
      </c>
      <c r="N128" t="s">
        <v>1095</v>
      </c>
      <c r="O128" t="s">
        <v>252</v>
      </c>
      <c r="R128" s="1">
        <v>44490</v>
      </c>
      <c r="S128" s="1">
        <v>48506</v>
      </c>
      <c r="U128" t="s">
        <v>253</v>
      </c>
      <c r="V128" t="s">
        <v>267</v>
      </c>
      <c r="W128" t="s">
        <v>1096</v>
      </c>
      <c r="X128" t="s">
        <v>256</v>
      </c>
      <c r="Y128" t="s">
        <v>287</v>
      </c>
      <c r="AK128" t="s">
        <v>270</v>
      </c>
      <c r="AL128">
        <v>600000000</v>
      </c>
      <c r="AM128" s="3" t="s">
        <v>1097</v>
      </c>
    </row>
    <row r="129" spans="1:39" hidden="1" x14ac:dyDescent="0.2">
      <c r="A129" t="s">
        <v>1098</v>
      </c>
      <c r="B129" t="b">
        <v>0</v>
      </c>
      <c r="C129" t="b">
        <v>0</v>
      </c>
      <c r="D129" t="b">
        <v>1</v>
      </c>
      <c r="E129" t="b">
        <v>0</v>
      </c>
      <c r="F129" t="b">
        <v>1</v>
      </c>
      <c r="G129" t="s">
        <v>361</v>
      </c>
      <c r="H129" t="s">
        <v>1099</v>
      </c>
      <c r="I129" t="s">
        <v>1098</v>
      </c>
      <c r="J129" t="s">
        <v>1100</v>
      </c>
      <c r="N129" t="s">
        <v>1101</v>
      </c>
      <c r="O129" t="s">
        <v>252</v>
      </c>
      <c r="R129" s="1">
        <v>43700</v>
      </c>
      <c r="S129" s="1">
        <v>43700</v>
      </c>
      <c r="U129" t="s">
        <v>253</v>
      </c>
      <c r="V129" t="s">
        <v>267</v>
      </c>
      <c r="W129" t="s">
        <v>1102</v>
      </c>
      <c r="X129" t="s">
        <v>278</v>
      </c>
      <c r="Y129" t="s">
        <v>257</v>
      </c>
      <c r="AK129" t="s">
        <v>260</v>
      </c>
      <c r="AL129">
        <v>79920000</v>
      </c>
      <c r="AM129" s="3" t="s">
        <v>1103</v>
      </c>
    </row>
    <row r="130" spans="1:39" hidden="1" x14ac:dyDescent="0.2">
      <c r="A130" t="s">
        <v>1104</v>
      </c>
      <c r="B130" t="b">
        <v>0</v>
      </c>
      <c r="C130" t="b">
        <v>0</v>
      </c>
      <c r="D130" t="b">
        <v>0</v>
      </c>
      <c r="E130" t="b">
        <v>0</v>
      </c>
      <c r="F130" t="b">
        <v>0</v>
      </c>
      <c r="G130" t="b">
        <v>1</v>
      </c>
      <c r="H130" t="s">
        <v>1105</v>
      </c>
      <c r="I130" t="s">
        <v>1104</v>
      </c>
      <c r="J130" t="s">
        <v>39</v>
      </c>
      <c r="K130" t="s">
        <v>1106</v>
      </c>
      <c r="L130" t="s">
        <v>1107</v>
      </c>
      <c r="M130" t="s">
        <v>1108</v>
      </c>
      <c r="N130" t="s">
        <v>1109</v>
      </c>
      <c r="O130" t="s">
        <v>252</v>
      </c>
      <c r="R130" s="1">
        <v>44419</v>
      </c>
      <c r="S130" s="1">
        <v>48071</v>
      </c>
      <c r="T130" s="2">
        <v>44895.76934190972</v>
      </c>
      <c r="U130" t="s">
        <v>253</v>
      </c>
      <c r="V130" t="s">
        <v>295</v>
      </c>
      <c r="W130" t="s">
        <v>342</v>
      </c>
      <c r="X130" t="s">
        <v>305</v>
      </c>
      <c r="Y130" t="s">
        <v>343</v>
      </c>
      <c r="AA130" t="s">
        <v>344</v>
      </c>
      <c r="AB130" s="23">
        <f t="shared" ref="AB130:AB135" si="1">AQ130</f>
        <v>0</v>
      </c>
      <c r="AC130" s="23"/>
      <c r="AD130" s="23"/>
      <c r="AE130" s="23"/>
      <c r="AF130" s="23"/>
      <c r="AG130" s="23"/>
      <c r="AH130" s="23"/>
      <c r="AI130" s="23"/>
      <c r="AK130" t="s">
        <v>270</v>
      </c>
      <c r="AL130">
        <v>500000000</v>
      </c>
      <c r="AM130" s="3" t="s">
        <v>922</v>
      </c>
    </row>
    <row r="131" spans="1:39" hidden="1" x14ac:dyDescent="0.2">
      <c r="A131" t="s">
        <v>1110</v>
      </c>
      <c r="B131" t="b">
        <v>0</v>
      </c>
      <c r="C131" t="b">
        <v>0</v>
      </c>
      <c r="D131" t="b">
        <v>0</v>
      </c>
      <c r="E131" t="b">
        <v>0</v>
      </c>
      <c r="F131" t="b">
        <v>0</v>
      </c>
      <c r="G131" t="b">
        <v>1</v>
      </c>
      <c r="H131" t="s">
        <v>1111</v>
      </c>
      <c r="I131" t="s">
        <v>1110</v>
      </c>
      <c r="J131" t="s">
        <v>59</v>
      </c>
      <c r="K131" t="s">
        <v>1112</v>
      </c>
      <c r="N131" t="s">
        <v>1113</v>
      </c>
      <c r="O131" t="s">
        <v>252</v>
      </c>
      <c r="P131" t="s">
        <v>331</v>
      </c>
      <c r="Q131" t="s">
        <v>332</v>
      </c>
      <c r="R131" s="1">
        <v>44301</v>
      </c>
      <c r="S131" s="1">
        <v>55989</v>
      </c>
      <c r="T131" s="2">
        <v>44923.62756306713</v>
      </c>
      <c r="U131" t="s">
        <v>253</v>
      </c>
      <c r="V131" t="s">
        <v>295</v>
      </c>
      <c r="W131" t="s">
        <v>333</v>
      </c>
      <c r="X131" t="s">
        <v>334</v>
      </c>
      <c r="Y131" t="s">
        <v>287</v>
      </c>
      <c r="AA131" t="s">
        <v>335</v>
      </c>
      <c r="AB131" s="23">
        <f t="shared" si="1"/>
        <v>0</v>
      </c>
      <c r="AC131" s="23"/>
      <c r="AD131" s="23"/>
      <c r="AE131" s="23"/>
      <c r="AF131" s="23"/>
      <c r="AG131" s="23"/>
      <c r="AH131" s="23"/>
      <c r="AI131" s="23"/>
      <c r="AK131" t="s">
        <v>270</v>
      </c>
      <c r="AL131">
        <v>1500000000</v>
      </c>
      <c r="AM131" s="3" t="s">
        <v>336</v>
      </c>
    </row>
    <row r="132" spans="1:39" hidden="1" x14ac:dyDescent="0.2">
      <c r="A132" s="4" t="s">
        <v>1114</v>
      </c>
      <c r="B132" t="b">
        <v>0</v>
      </c>
      <c r="C132" t="b">
        <v>0</v>
      </c>
      <c r="D132" t="b">
        <v>0</v>
      </c>
      <c r="E132" t="b">
        <v>0</v>
      </c>
      <c r="F132" t="b">
        <v>0</v>
      </c>
      <c r="G132" t="b">
        <v>1</v>
      </c>
      <c r="H132" t="s">
        <v>1115</v>
      </c>
      <c r="I132" s="4" t="s">
        <v>1114</v>
      </c>
      <c r="J132" t="s">
        <v>120</v>
      </c>
      <c r="K132" t="s">
        <v>1116</v>
      </c>
      <c r="N132" t="s">
        <v>1117</v>
      </c>
      <c r="O132" t="s">
        <v>252</v>
      </c>
      <c r="P132" t="s">
        <v>1118</v>
      </c>
      <c r="Q132" t="s">
        <v>1119</v>
      </c>
      <c r="R132" s="1">
        <v>44522</v>
      </c>
      <c r="S132" s="1">
        <v>46342</v>
      </c>
      <c r="T132" s="2">
        <v>45007.989223564815</v>
      </c>
      <c r="U132" t="s">
        <v>253</v>
      </c>
      <c r="V132" t="s">
        <v>295</v>
      </c>
      <c r="W132" t="s">
        <v>1120</v>
      </c>
      <c r="X132" t="s">
        <v>305</v>
      </c>
      <c r="Y132" t="s">
        <v>343</v>
      </c>
      <c r="AA132" t="s">
        <v>1121</v>
      </c>
      <c r="AB132" s="23">
        <f t="shared" si="1"/>
        <v>0</v>
      </c>
      <c r="AC132" s="23"/>
      <c r="AD132" s="23"/>
      <c r="AE132" s="23"/>
      <c r="AF132" s="23"/>
      <c r="AG132" s="23"/>
      <c r="AH132" s="23"/>
      <c r="AI132" s="23"/>
      <c r="AK132" t="s">
        <v>345</v>
      </c>
      <c r="AL132">
        <v>1300000000</v>
      </c>
      <c r="AM132" s="3" t="s">
        <v>1122</v>
      </c>
    </row>
    <row r="133" spans="1:39" hidden="1" x14ac:dyDescent="0.2">
      <c r="A133" t="s">
        <v>1123</v>
      </c>
      <c r="B133" t="b">
        <v>0</v>
      </c>
      <c r="C133" t="b">
        <v>0</v>
      </c>
      <c r="D133" t="b">
        <v>1</v>
      </c>
      <c r="E133" t="b">
        <v>0</v>
      </c>
      <c r="F133" t="b">
        <v>1</v>
      </c>
      <c r="G133" t="b">
        <v>0</v>
      </c>
      <c r="H133" t="s">
        <v>1124</v>
      </c>
      <c r="I133" t="s">
        <v>1123</v>
      </c>
      <c r="J133" t="s">
        <v>63</v>
      </c>
      <c r="N133" t="s">
        <v>1125</v>
      </c>
      <c r="O133" t="s">
        <v>252</v>
      </c>
      <c r="P133" t="s">
        <v>1076</v>
      </c>
      <c r="Q133" t="s">
        <v>1077</v>
      </c>
      <c r="R133" s="1">
        <v>45468</v>
      </c>
      <c r="S133" s="1">
        <v>49120</v>
      </c>
      <c r="T133" s="2">
        <v>46153.777862951392</v>
      </c>
      <c r="U133" t="s">
        <v>253</v>
      </c>
      <c r="V133" t="s">
        <v>267</v>
      </c>
      <c r="W133" t="s">
        <v>645</v>
      </c>
      <c r="X133" t="s">
        <v>256</v>
      </c>
      <c r="Y133" t="s">
        <v>351</v>
      </c>
      <c r="Z133" s="32" t="s">
        <v>2752</v>
      </c>
      <c r="AA133" t="s">
        <v>646</v>
      </c>
      <c r="AB133" s="23">
        <f t="shared" si="1"/>
        <v>0</v>
      </c>
      <c r="AC133" s="23"/>
      <c r="AD133" s="23"/>
      <c r="AE133" s="23"/>
      <c r="AF133" s="23"/>
      <c r="AG133" s="23"/>
      <c r="AH133" s="23"/>
      <c r="AI133" s="23"/>
      <c r="AK133" t="s">
        <v>647</v>
      </c>
      <c r="AL133">
        <v>3000000000</v>
      </c>
      <c r="AM133" s="3" t="s">
        <v>1126</v>
      </c>
    </row>
    <row r="134" spans="1:39" hidden="1" x14ac:dyDescent="0.2">
      <c r="A134" t="s">
        <v>851</v>
      </c>
      <c r="B134" t="b">
        <v>0</v>
      </c>
      <c r="C134" t="b">
        <v>0</v>
      </c>
      <c r="D134" t="b">
        <v>1</v>
      </c>
      <c r="E134" t="b">
        <v>0</v>
      </c>
      <c r="F134" t="b">
        <v>1</v>
      </c>
      <c r="G134" t="b">
        <v>0</v>
      </c>
      <c r="H134" t="s">
        <v>852</v>
      </c>
      <c r="I134" t="s">
        <v>851</v>
      </c>
      <c r="M134" t="s">
        <v>1127</v>
      </c>
      <c r="N134" t="s">
        <v>1128</v>
      </c>
      <c r="O134" t="s">
        <v>382</v>
      </c>
      <c r="T134" s="2">
        <v>45100.782460127317</v>
      </c>
      <c r="U134" t="s">
        <v>253</v>
      </c>
      <c r="V134" t="s">
        <v>267</v>
      </c>
      <c r="W134" t="s">
        <v>853</v>
      </c>
      <c r="X134" t="s">
        <v>278</v>
      </c>
      <c r="Y134" t="s">
        <v>287</v>
      </c>
      <c r="Z134" s="32" t="s">
        <v>2746</v>
      </c>
      <c r="AA134" t="s">
        <v>854</v>
      </c>
      <c r="AB134" s="23">
        <f t="shared" si="1"/>
        <v>0</v>
      </c>
      <c r="AC134" s="23"/>
      <c r="AD134" s="23" t="s">
        <v>2897</v>
      </c>
      <c r="AE134" s="23" t="s">
        <v>2897</v>
      </c>
      <c r="AF134" s="23"/>
      <c r="AG134" s="23"/>
      <c r="AH134" s="23"/>
      <c r="AI134" s="23"/>
      <c r="AK134" t="s">
        <v>270</v>
      </c>
    </row>
    <row r="135" spans="1:39" x14ac:dyDescent="0.2">
      <c r="A135" s="14" t="s">
        <v>1129</v>
      </c>
      <c r="B135" s="14" t="b">
        <v>1</v>
      </c>
      <c r="C135" s="14" t="b">
        <v>0</v>
      </c>
      <c r="D135" s="14" t="b">
        <v>1</v>
      </c>
      <c r="E135" s="14" t="s">
        <v>522</v>
      </c>
      <c r="F135" s="14" t="b">
        <v>0</v>
      </c>
      <c r="G135" s="14" t="b">
        <v>0</v>
      </c>
      <c r="H135" s="14" t="s">
        <v>1130</v>
      </c>
      <c r="I135" s="14" t="s">
        <v>1129</v>
      </c>
      <c r="J135" s="19" t="s">
        <v>152</v>
      </c>
      <c r="K135" s="14" t="s">
        <v>1131</v>
      </c>
      <c r="L135" s="14"/>
      <c r="M135" s="14" t="s">
        <v>1132</v>
      </c>
      <c r="N135" s="14" t="s">
        <v>1133</v>
      </c>
      <c r="O135" s="14" t="s">
        <v>252</v>
      </c>
      <c r="P135" s="14"/>
      <c r="Q135" s="14"/>
      <c r="R135" s="15">
        <v>44012</v>
      </c>
      <c r="S135" s="15">
        <v>46762</v>
      </c>
      <c r="T135" s="14"/>
      <c r="U135" s="14" t="s">
        <v>253</v>
      </c>
      <c r="V135" s="14" t="s">
        <v>254</v>
      </c>
      <c r="W135" s="14" t="s">
        <v>1134</v>
      </c>
      <c r="X135" s="14" t="s">
        <v>256</v>
      </c>
      <c r="Y135" s="14" t="s">
        <v>257</v>
      </c>
      <c r="Z135" s="35" t="s">
        <v>1135</v>
      </c>
      <c r="AA135" s="34" t="s">
        <v>1136</v>
      </c>
      <c r="AB135" s="23">
        <f t="shared" si="1"/>
        <v>0</v>
      </c>
      <c r="AC135" s="23" t="s">
        <v>382</v>
      </c>
      <c r="AD135" s="23" t="s">
        <v>2878</v>
      </c>
      <c r="AE135" s="23" t="s">
        <v>2886</v>
      </c>
      <c r="AF135" s="23" t="s">
        <v>2885</v>
      </c>
      <c r="AG135" s="23" t="s">
        <v>2885</v>
      </c>
      <c r="AH135" s="23" t="s">
        <v>2851</v>
      </c>
      <c r="AI135" s="23" t="s">
        <v>2912</v>
      </c>
      <c r="AJ135" s="3" t="s">
        <v>2918</v>
      </c>
      <c r="AK135" s="14" t="s">
        <v>270</v>
      </c>
      <c r="AL135" s="14">
        <v>500000000</v>
      </c>
      <c r="AM135" s="16" t="s">
        <v>922</v>
      </c>
    </row>
    <row r="136" spans="1:39" hidden="1" x14ac:dyDescent="0.2">
      <c r="A136" t="s">
        <v>1137</v>
      </c>
      <c r="B136" t="b">
        <v>1</v>
      </c>
      <c r="C136" t="b">
        <v>0</v>
      </c>
      <c r="D136" t="b">
        <v>1</v>
      </c>
      <c r="E136" t="s">
        <v>522</v>
      </c>
      <c r="F136" t="b">
        <v>0</v>
      </c>
      <c r="G136" t="b">
        <v>0</v>
      </c>
      <c r="H136" t="s">
        <v>1138</v>
      </c>
      <c r="I136" t="s">
        <v>1137</v>
      </c>
      <c r="J136" s="20" t="s">
        <v>1139</v>
      </c>
      <c r="N136" t="s">
        <v>1140</v>
      </c>
      <c r="O136" t="s">
        <v>252</v>
      </c>
      <c r="R136" s="1">
        <v>43879</v>
      </c>
      <c r="S136" s="1">
        <v>44153</v>
      </c>
      <c r="U136" t="s">
        <v>441</v>
      </c>
      <c r="V136" t="s">
        <v>254</v>
      </c>
      <c r="W136" t="s">
        <v>1141</v>
      </c>
      <c r="X136" t="s">
        <v>256</v>
      </c>
      <c r="Y136" t="s">
        <v>269</v>
      </c>
      <c r="Z136" s="35" t="s">
        <v>1142</v>
      </c>
      <c r="AA136" s="7" t="s">
        <v>1143</v>
      </c>
      <c r="AD136" t="s">
        <v>2878</v>
      </c>
      <c r="AE136">
        <v>3</v>
      </c>
      <c r="AF136" t="s">
        <v>2885</v>
      </c>
      <c r="AG136" t="s">
        <v>2885</v>
      </c>
      <c r="AH136" t="s">
        <v>2851</v>
      </c>
      <c r="AI136" t="s">
        <v>2909</v>
      </c>
      <c r="AJ136" s="3" t="s">
        <v>2910</v>
      </c>
      <c r="AK136" t="s">
        <v>270</v>
      </c>
      <c r="AL136">
        <v>48450360</v>
      </c>
      <c r="AM136" s="3" t="s">
        <v>1144</v>
      </c>
    </row>
    <row r="137" spans="1:39" hidden="1" x14ac:dyDescent="0.2">
      <c r="A137" t="s">
        <v>1145</v>
      </c>
      <c r="B137" t="b">
        <v>0</v>
      </c>
      <c r="C137" t="b">
        <v>0</v>
      </c>
      <c r="D137" t="b">
        <v>1</v>
      </c>
      <c r="E137" t="b">
        <v>0</v>
      </c>
      <c r="F137" t="b">
        <v>1</v>
      </c>
      <c r="G137" t="s">
        <v>361</v>
      </c>
      <c r="H137" t="s">
        <v>1146</v>
      </c>
      <c r="I137" t="s">
        <v>1145</v>
      </c>
      <c r="M137" t="s">
        <v>1147</v>
      </c>
      <c r="N137" t="s">
        <v>1148</v>
      </c>
      <c r="O137" t="s">
        <v>252</v>
      </c>
      <c r="P137" t="s">
        <v>397</v>
      </c>
      <c r="Q137" t="s">
        <v>398</v>
      </c>
      <c r="R137" s="1">
        <v>43281</v>
      </c>
      <c r="S137" s="1">
        <v>46203</v>
      </c>
      <c r="U137" t="s">
        <v>253</v>
      </c>
      <c r="V137" t="s">
        <v>254</v>
      </c>
      <c r="W137" t="s">
        <v>399</v>
      </c>
      <c r="X137" t="s">
        <v>256</v>
      </c>
      <c r="Y137" t="s">
        <v>400</v>
      </c>
      <c r="AK137" t="s">
        <v>401</v>
      </c>
      <c r="AL137">
        <v>4000000</v>
      </c>
      <c r="AM137" s="3" t="s">
        <v>281</v>
      </c>
    </row>
    <row r="138" spans="1:39" hidden="1" x14ac:dyDescent="0.2">
      <c r="A138" t="s">
        <v>1118</v>
      </c>
      <c r="B138" t="b">
        <v>0</v>
      </c>
      <c r="C138" t="b">
        <v>0</v>
      </c>
      <c r="D138" t="b">
        <v>0</v>
      </c>
      <c r="E138" t="b">
        <v>0</v>
      </c>
      <c r="F138" t="b">
        <v>0</v>
      </c>
      <c r="G138" t="b">
        <v>1</v>
      </c>
      <c r="H138" t="s">
        <v>1119</v>
      </c>
      <c r="I138" t="s">
        <v>1118</v>
      </c>
      <c r="M138" t="s">
        <v>1149</v>
      </c>
      <c r="N138" t="s">
        <v>1150</v>
      </c>
      <c r="O138" t="s">
        <v>382</v>
      </c>
      <c r="S138" s="1">
        <v>48162</v>
      </c>
      <c r="T138" s="2">
        <v>45007.98883357639</v>
      </c>
      <c r="U138" t="s">
        <v>253</v>
      </c>
      <c r="V138" t="s">
        <v>295</v>
      </c>
      <c r="W138" t="s">
        <v>1120</v>
      </c>
      <c r="X138" t="s">
        <v>305</v>
      </c>
      <c r="Y138" t="s">
        <v>343</v>
      </c>
      <c r="AA138" t="s">
        <v>1121</v>
      </c>
      <c r="AB138" s="23">
        <f>AQ138</f>
        <v>0</v>
      </c>
      <c r="AC138" s="23"/>
      <c r="AD138" s="23"/>
      <c r="AE138" s="23"/>
      <c r="AF138" s="23"/>
      <c r="AG138" s="23"/>
      <c r="AH138" s="23"/>
      <c r="AI138" s="23"/>
      <c r="AK138" t="s">
        <v>345</v>
      </c>
    </row>
    <row r="139" spans="1:39" hidden="1" x14ac:dyDescent="0.2">
      <c r="A139" s="13" t="s">
        <v>1151</v>
      </c>
      <c r="B139" s="9" t="b">
        <v>1</v>
      </c>
      <c r="C139" s="9" t="b">
        <v>1</v>
      </c>
      <c r="D139" s="9" t="b">
        <v>1</v>
      </c>
      <c r="E139" s="9" t="b">
        <v>0</v>
      </c>
      <c r="F139" s="9" t="b">
        <v>0</v>
      </c>
      <c r="G139" s="9" t="b">
        <v>0</v>
      </c>
      <c r="H139" s="9" t="s">
        <v>1152</v>
      </c>
      <c r="I139" s="13" t="s">
        <v>1151</v>
      </c>
      <c r="J139" s="10" t="s">
        <v>202</v>
      </c>
      <c r="K139" s="9" t="s">
        <v>1153</v>
      </c>
      <c r="L139" s="9"/>
      <c r="M139" s="9"/>
      <c r="N139" s="9" t="s">
        <v>1154</v>
      </c>
      <c r="O139" s="9" t="s">
        <v>252</v>
      </c>
      <c r="P139" s="9"/>
      <c r="Q139" s="9"/>
      <c r="R139" s="11">
        <v>44270</v>
      </c>
      <c r="S139" s="11">
        <v>47557</v>
      </c>
      <c r="T139" s="9"/>
      <c r="U139" s="9" t="s">
        <v>253</v>
      </c>
      <c r="V139" s="9" t="s">
        <v>254</v>
      </c>
      <c r="W139" s="9" t="s">
        <v>1155</v>
      </c>
      <c r="X139" s="9" t="s">
        <v>256</v>
      </c>
      <c r="Y139" s="9" t="s">
        <v>257</v>
      </c>
      <c r="Z139" s="32" t="s">
        <v>1156</v>
      </c>
      <c r="AA139" s="9" t="s">
        <v>1157</v>
      </c>
      <c r="AB139" s="23">
        <f>AQ139</f>
        <v>0</v>
      </c>
      <c r="AC139" s="23"/>
      <c r="AD139" s="23"/>
      <c r="AE139" s="23"/>
      <c r="AF139" s="23"/>
      <c r="AG139" s="23"/>
      <c r="AH139" s="23"/>
      <c r="AI139" s="23"/>
      <c r="AK139" s="9" t="s">
        <v>260</v>
      </c>
      <c r="AL139" s="9">
        <v>150000000</v>
      </c>
      <c r="AM139" s="12" t="s">
        <v>1158</v>
      </c>
    </row>
    <row r="140" spans="1:39" hidden="1" x14ac:dyDescent="0.2">
      <c r="A140" t="s">
        <v>1159</v>
      </c>
      <c r="B140" t="b">
        <v>0</v>
      </c>
      <c r="C140" t="b">
        <v>0</v>
      </c>
      <c r="D140" t="b">
        <v>1</v>
      </c>
      <c r="E140" t="b">
        <v>0</v>
      </c>
      <c r="F140" t="b">
        <v>1</v>
      </c>
      <c r="G140" t="s">
        <v>361</v>
      </c>
      <c r="H140" t="s">
        <v>1160</v>
      </c>
      <c r="I140" t="s">
        <v>1159</v>
      </c>
      <c r="J140" t="s">
        <v>1161</v>
      </c>
      <c r="N140" t="s">
        <v>1162</v>
      </c>
      <c r="O140" t="s">
        <v>252</v>
      </c>
      <c r="R140" s="1">
        <v>44253</v>
      </c>
      <c r="S140" s="1">
        <v>44253</v>
      </c>
      <c r="T140" s="2">
        <v>44980.73542045139</v>
      </c>
      <c r="U140" t="s">
        <v>253</v>
      </c>
      <c r="V140" t="s">
        <v>267</v>
      </c>
      <c r="W140" t="s">
        <v>1102</v>
      </c>
      <c r="X140" t="s">
        <v>278</v>
      </c>
      <c r="Y140" t="s">
        <v>257</v>
      </c>
      <c r="AK140" t="s">
        <v>260</v>
      </c>
      <c r="AL140">
        <v>61822000</v>
      </c>
      <c r="AM140" s="3" t="s">
        <v>1163</v>
      </c>
    </row>
    <row r="141" spans="1:39" hidden="1" x14ac:dyDescent="0.2">
      <c r="A141" t="s">
        <v>1164</v>
      </c>
      <c r="B141" t="b">
        <v>0</v>
      </c>
      <c r="C141" t="b">
        <v>0</v>
      </c>
      <c r="D141" t="b">
        <v>1</v>
      </c>
      <c r="E141" t="b">
        <v>0</v>
      </c>
      <c r="F141" t="b">
        <v>1</v>
      </c>
      <c r="G141" t="b">
        <v>0</v>
      </c>
      <c r="H141" t="s">
        <v>1165</v>
      </c>
      <c r="I141" t="s">
        <v>1164</v>
      </c>
      <c r="J141" t="s">
        <v>92</v>
      </c>
      <c r="K141" t="s">
        <v>1166</v>
      </c>
      <c r="N141" t="s">
        <v>1167</v>
      </c>
      <c r="O141" t="s">
        <v>252</v>
      </c>
      <c r="P141" t="s">
        <v>851</v>
      </c>
      <c r="Q141" t="s">
        <v>852</v>
      </c>
      <c r="R141" s="1">
        <v>44587</v>
      </c>
      <c r="S141" s="1">
        <v>46503</v>
      </c>
      <c r="T141" s="2">
        <v>45050.650593020837</v>
      </c>
      <c r="U141" t="s">
        <v>253</v>
      </c>
      <c r="V141" t="s">
        <v>267</v>
      </c>
      <c r="W141" t="s">
        <v>853</v>
      </c>
      <c r="X141" t="s">
        <v>278</v>
      </c>
      <c r="Y141" t="s">
        <v>287</v>
      </c>
      <c r="Z141" s="32" t="s">
        <v>2746</v>
      </c>
      <c r="AA141" t="s">
        <v>854</v>
      </c>
      <c r="AB141" s="23">
        <f>AQ141</f>
        <v>0</v>
      </c>
      <c r="AC141" s="23"/>
      <c r="AD141" s="23" t="s">
        <v>2897</v>
      </c>
      <c r="AE141" s="23" t="s">
        <v>2897</v>
      </c>
      <c r="AF141" s="23"/>
      <c r="AG141" s="23"/>
      <c r="AH141" s="23"/>
      <c r="AI141" s="23"/>
      <c r="AK141" t="s">
        <v>308</v>
      </c>
      <c r="AL141">
        <v>200000000</v>
      </c>
      <c r="AM141" s="3" t="s">
        <v>1168</v>
      </c>
    </row>
    <row r="142" spans="1:39" hidden="1" x14ac:dyDescent="0.2">
      <c r="A142" t="s">
        <v>1169</v>
      </c>
      <c r="B142" t="b">
        <v>0</v>
      </c>
      <c r="C142" t="b">
        <v>0</v>
      </c>
      <c r="D142" t="b">
        <v>1</v>
      </c>
      <c r="E142" t="b">
        <v>0</v>
      </c>
      <c r="F142" t="b">
        <v>1</v>
      </c>
      <c r="G142" t="s">
        <v>361</v>
      </c>
      <c r="H142" t="s">
        <v>1170</v>
      </c>
      <c r="I142" t="s">
        <v>1169</v>
      </c>
      <c r="J142" t="s">
        <v>1171</v>
      </c>
      <c r="K142" t="s">
        <v>1172</v>
      </c>
      <c r="M142" t="s">
        <v>1173</v>
      </c>
      <c r="N142" t="s">
        <v>1174</v>
      </c>
      <c r="O142" t="s">
        <v>252</v>
      </c>
      <c r="R142" s="1">
        <v>43814</v>
      </c>
      <c r="S142" s="1">
        <v>52946</v>
      </c>
      <c r="U142" t="s">
        <v>253</v>
      </c>
      <c r="V142" t="s">
        <v>254</v>
      </c>
      <c r="W142" t="s">
        <v>1175</v>
      </c>
      <c r="X142" t="s">
        <v>256</v>
      </c>
      <c r="Y142" t="s">
        <v>257</v>
      </c>
      <c r="AK142" t="s">
        <v>260</v>
      </c>
      <c r="AL142">
        <v>530000000</v>
      </c>
      <c r="AM142" s="3" t="s">
        <v>1176</v>
      </c>
    </row>
    <row r="143" spans="1:39" hidden="1" x14ac:dyDescent="0.2">
      <c r="A143" t="s">
        <v>1177</v>
      </c>
      <c r="B143" t="b">
        <v>0</v>
      </c>
      <c r="C143" t="b">
        <v>0</v>
      </c>
      <c r="D143" t="b">
        <v>0</v>
      </c>
      <c r="E143" t="b">
        <v>0</v>
      </c>
      <c r="F143" t="b">
        <v>0</v>
      </c>
      <c r="G143" t="b">
        <v>1</v>
      </c>
      <c r="H143" t="s">
        <v>1178</v>
      </c>
      <c r="I143" t="s">
        <v>1177</v>
      </c>
      <c r="J143" t="s">
        <v>32</v>
      </c>
      <c r="K143" t="s">
        <v>1179</v>
      </c>
      <c r="M143" t="s">
        <v>1180</v>
      </c>
      <c r="N143" t="s">
        <v>1181</v>
      </c>
      <c r="O143" t="s">
        <v>252</v>
      </c>
      <c r="P143" t="s">
        <v>731</v>
      </c>
      <c r="Q143" t="s">
        <v>732</v>
      </c>
      <c r="R143" s="1">
        <v>44643</v>
      </c>
      <c r="S143" s="1">
        <v>46469</v>
      </c>
      <c r="T143" s="2">
        <v>45131.945912418982</v>
      </c>
      <c r="U143" t="s">
        <v>253</v>
      </c>
      <c r="V143" t="s">
        <v>295</v>
      </c>
      <c r="W143" t="s">
        <v>342</v>
      </c>
      <c r="X143" t="s">
        <v>305</v>
      </c>
      <c r="Y143" t="s">
        <v>343</v>
      </c>
      <c r="AA143" t="s">
        <v>344</v>
      </c>
      <c r="AB143" s="23">
        <f>AQ143</f>
        <v>0</v>
      </c>
      <c r="AC143" s="23"/>
      <c r="AD143" s="23"/>
      <c r="AE143" s="23"/>
      <c r="AF143" s="23"/>
      <c r="AG143" s="23"/>
      <c r="AH143" s="23"/>
      <c r="AI143" s="23"/>
      <c r="AK143" t="s">
        <v>345</v>
      </c>
      <c r="AL143">
        <v>4100000000</v>
      </c>
      <c r="AM143" s="3" t="s">
        <v>1182</v>
      </c>
    </row>
    <row r="144" spans="1:39" hidden="1" x14ac:dyDescent="0.2">
      <c r="A144" t="s">
        <v>1183</v>
      </c>
      <c r="B144" t="b">
        <v>0</v>
      </c>
      <c r="C144" t="b">
        <v>0</v>
      </c>
      <c r="D144" t="b">
        <v>1</v>
      </c>
      <c r="E144" t="b">
        <v>0</v>
      </c>
      <c r="F144" t="b">
        <v>1</v>
      </c>
      <c r="G144" t="b">
        <v>0</v>
      </c>
      <c r="H144" t="s">
        <v>1184</v>
      </c>
      <c r="I144" t="s">
        <v>1183</v>
      </c>
      <c r="J144" t="s">
        <v>7</v>
      </c>
      <c r="N144" t="s">
        <v>1185</v>
      </c>
      <c r="O144" t="s">
        <v>252</v>
      </c>
      <c r="P144" t="s">
        <v>275</v>
      </c>
      <c r="Q144" t="s">
        <v>276</v>
      </c>
      <c r="R144" s="1">
        <v>43817</v>
      </c>
      <c r="S144" s="1">
        <v>45652</v>
      </c>
      <c r="T144" s="2">
        <v>45960.674446724537</v>
      </c>
      <c r="U144" t="s">
        <v>253</v>
      </c>
      <c r="V144" t="s">
        <v>267</v>
      </c>
      <c r="W144" t="s">
        <v>277</v>
      </c>
      <c r="X144" t="s">
        <v>278</v>
      </c>
      <c r="Y144" t="s">
        <v>279</v>
      </c>
      <c r="Z144" s="32" t="s">
        <v>1072</v>
      </c>
      <c r="AA144" t="s">
        <v>280</v>
      </c>
      <c r="AB144" s="23">
        <f>AQ144</f>
        <v>0</v>
      </c>
      <c r="AC144" s="23"/>
      <c r="AD144" s="23"/>
      <c r="AE144" s="23"/>
      <c r="AF144" s="23"/>
      <c r="AG144" s="23"/>
      <c r="AH144" s="23"/>
      <c r="AI144" s="23"/>
      <c r="AK144" t="s">
        <v>270</v>
      </c>
      <c r="AL144">
        <v>7000000</v>
      </c>
      <c r="AM144" s="3" t="s">
        <v>895</v>
      </c>
    </row>
    <row r="145" spans="1:39" x14ac:dyDescent="0.2">
      <c r="A145" s="14" t="s">
        <v>1186</v>
      </c>
      <c r="B145" s="14" t="b">
        <v>1</v>
      </c>
      <c r="C145" s="14" t="b">
        <v>0</v>
      </c>
      <c r="D145" s="14" t="b">
        <v>1</v>
      </c>
      <c r="E145" s="14" t="s">
        <v>522</v>
      </c>
      <c r="F145" s="14" t="b">
        <v>0</v>
      </c>
      <c r="G145" s="14" t="b">
        <v>0</v>
      </c>
      <c r="H145" s="14" t="s">
        <v>1187</v>
      </c>
      <c r="I145" s="14" t="s">
        <v>1186</v>
      </c>
      <c r="J145" s="19" t="s">
        <v>124</v>
      </c>
      <c r="K145" s="14" t="s">
        <v>1188</v>
      </c>
      <c r="L145" s="14"/>
      <c r="M145" s="14"/>
      <c r="N145" s="14" t="s">
        <v>1189</v>
      </c>
      <c r="O145" s="14" t="s">
        <v>252</v>
      </c>
      <c r="P145" s="14"/>
      <c r="Q145" s="14"/>
      <c r="R145" s="15">
        <v>42997</v>
      </c>
      <c r="S145" s="15">
        <v>46649</v>
      </c>
      <c r="T145" s="14"/>
      <c r="U145" s="14" t="s">
        <v>253</v>
      </c>
      <c r="V145" s="14" t="s">
        <v>254</v>
      </c>
      <c r="W145" s="14" t="s">
        <v>1190</v>
      </c>
      <c r="X145" s="14" t="s">
        <v>256</v>
      </c>
      <c r="Y145" s="14" t="s">
        <v>257</v>
      </c>
      <c r="Z145" s="35" t="s">
        <v>1191</v>
      </c>
      <c r="AA145" s="14" t="s">
        <v>1192</v>
      </c>
      <c r="AB145" s="23">
        <f>AQ145</f>
        <v>0</v>
      </c>
      <c r="AC145" s="23" t="s">
        <v>252</v>
      </c>
      <c r="AD145" s="23" t="s">
        <v>2878</v>
      </c>
      <c r="AE145" s="23" t="s">
        <v>2887</v>
      </c>
      <c r="AF145" s="23" t="s">
        <v>2884</v>
      </c>
      <c r="AG145" s="23" t="s">
        <v>2884</v>
      </c>
      <c r="AH145" s="23" t="s">
        <v>2851</v>
      </c>
      <c r="AI145" s="23" t="s">
        <v>2912</v>
      </c>
      <c r="AJ145" t="s">
        <v>2913</v>
      </c>
      <c r="AK145" s="14" t="s">
        <v>270</v>
      </c>
      <c r="AL145" s="14">
        <v>500000000</v>
      </c>
      <c r="AM145" s="16" t="s">
        <v>922</v>
      </c>
    </row>
    <row r="146" spans="1:39" hidden="1" x14ac:dyDescent="0.2">
      <c r="A146" t="s">
        <v>1193</v>
      </c>
      <c r="B146" t="b">
        <v>0</v>
      </c>
      <c r="C146" t="b">
        <v>0</v>
      </c>
      <c r="D146" t="b">
        <v>1</v>
      </c>
      <c r="E146" t="b">
        <v>0</v>
      </c>
      <c r="F146" t="b">
        <v>1</v>
      </c>
      <c r="G146" t="s">
        <v>361</v>
      </c>
      <c r="H146" t="s">
        <v>1194</v>
      </c>
      <c r="I146" t="s">
        <v>1193</v>
      </c>
      <c r="J146" t="s">
        <v>1195</v>
      </c>
      <c r="N146" t="s">
        <v>1196</v>
      </c>
      <c r="O146" t="s">
        <v>252</v>
      </c>
      <c r="R146" s="1">
        <v>44686</v>
      </c>
      <c r="S146" s="1">
        <v>45782</v>
      </c>
      <c r="U146" t="s">
        <v>253</v>
      </c>
      <c r="V146" t="s">
        <v>267</v>
      </c>
      <c r="W146" t="s">
        <v>1085</v>
      </c>
      <c r="X146" t="s">
        <v>256</v>
      </c>
      <c r="Y146" t="s">
        <v>269</v>
      </c>
      <c r="AK146" t="s">
        <v>270</v>
      </c>
      <c r="AL146">
        <v>15000000</v>
      </c>
      <c r="AM146" s="3" t="s">
        <v>1197</v>
      </c>
    </row>
    <row r="147" spans="1:39" hidden="1" x14ac:dyDescent="0.2">
      <c r="A147" t="s">
        <v>1198</v>
      </c>
      <c r="B147" t="b">
        <v>0</v>
      </c>
      <c r="C147" t="b">
        <v>0</v>
      </c>
      <c r="D147" t="b">
        <v>1</v>
      </c>
      <c r="E147" t="b">
        <v>0</v>
      </c>
      <c r="F147" t="b">
        <v>1</v>
      </c>
      <c r="G147" t="s">
        <v>361</v>
      </c>
      <c r="H147" t="s">
        <v>1199</v>
      </c>
      <c r="I147" t="s">
        <v>1198</v>
      </c>
      <c r="M147" t="s">
        <v>1200</v>
      </c>
      <c r="N147" t="s">
        <v>1200</v>
      </c>
      <c r="O147" t="s">
        <v>252</v>
      </c>
      <c r="P147" t="s">
        <v>397</v>
      </c>
      <c r="Q147" t="s">
        <v>398</v>
      </c>
      <c r="R147" s="1">
        <v>43646</v>
      </c>
      <c r="S147" s="1">
        <v>45107</v>
      </c>
      <c r="U147" t="s">
        <v>253</v>
      </c>
      <c r="V147" t="s">
        <v>254</v>
      </c>
      <c r="W147" t="s">
        <v>399</v>
      </c>
      <c r="X147" t="s">
        <v>256</v>
      </c>
      <c r="Y147" t="s">
        <v>400</v>
      </c>
      <c r="AK147" t="s">
        <v>401</v>
      </c>
      <c r="AL147">
        <v>3000000</v>
      </c>
      <c r="AM147" s="3" t="s">
        <v>1201</v>
      </c>
    </row>
    <row r="148" spans="1:39" hidden="1" x14ac:dyDescent="0.2">
      <c r="A148" t="s">
        <v>1202</v>
      </c>
      <c r="B148" t="b">
        <v>0</v>
      </c>
      <c r="C148" t="b">
        <v>0</v>
      </c>
      <c r="D148" t="b">
        <v>1</v>
      </c>
      <c r="E148" t="b">
        <v>0</v>
      </c>
      <c r="F148" t="b">
        <v>1</v>
      </c>
      <c r="G148" t="s">
        <v>361</v>
      </c>
      <c r="H148" t="s">
        <v>1203</v>
      </c>
      <c r="I148" t="s">
        <v>1202</v>
      </c>
      <c r="M148" t="s">
        <v>1204</v>
      </c>
      <c r="N148" t="s">
        <v>1205</v>
      </c>
      <c r="O148" t="s">
        <v>252</v>
      </c>
      <c r="R148" s="1">
        <v>44090</v>
      </c>
      <c r="S148" s="1">
        <v>51455</v>
      </c>
      <c r="U148" t="s">
        <v>253</v>
      </c>
      <c r="V148" t="s">
        <v>267</v>
      </c>
      <c r="W148" t="s">
        <v>1206</v>
      </c>
      <c r="X148" t="s">
        <v>256</v>
      </c>
      <c r="Y148" t="s">
        <v>869</v>
      </c>
      <c r="AK148" t="s">
        <v>270</v>
      </c>
      <c r="AL148">
        <v>28071000</v>
      </c>
      <c r="AM148" s="3" t="s">
        <v>1207</v>
      </c>
    </row>
    <row r="149" spans="1:39" hidden="1" x14ac:dyDescent="0.2">
      <c r="A149" t="s">
        <v>1208</v>
      </c>
      <c r="B149" t="b">
        <v>0</v>
      </c>
      <c r="C149" t="b">
        <v>0</v>
      </c>
      <c r="D149" t="b">
        <v>1</v>
      </c>
      <c r="E149" t="b">
        <v>0</v>
      </c>
      <c r="F149" t="b">
        <v>1</v>
      </c>
      <c r="G149" t="b">
        <v>0</v>
      </c>
      <c r="H149" t="s">
        <v>1209</v>
      </c>
      <c r="I149" t="s">
        <v>1208</v>
      </c>
      <c r="J149" t="s">
        <v>9</v>
      </c>
      <c r="N149" t="s">
        <v>1210</v>
      </c>
      <c r="O149" t="s">
        <v>252</v>
      </c>
      <c r="P149" t="s">
        <v>275</v>
      </c>
      <c r="Q149" t="s">
        <v>276</v>
      </c>
      <c r="R149" s="1">
        <v>44067</v>
      </c>
      <c r="S149" s="1">
        <v>45164</v>
      </c>
      <c r="T149" s="2">
        <v>45960.67530584491</v>
      </c>
      <c r="U149" t="s">
        <v>253</v>
      </c>
      <c r="V149" t="s">
        <v>267</v>
      </c>
      <c r="W149" t="s">
        <v>277</v>
      </c>
      <c r="X149" t="s">
        <v>278</v>
      </c>
      <c r="Y149" t="s">
        <v>279</v>
      </c>
      <c r="Z149" s="32" t="s">
        <v>1072</v>
      </c>
      <c r="AA149" t="s">
        <v>280</v>
      </c>
      <c r="AB149" s="23">
        <f>AQ149</f>
        <v>0</v>
      </c>
      <c r="AC149" s="23"/>
      <c r="AD149" s="23"/>
      <c r="AE149" s="23"/>
      <c r="AF149" s="23"/>
      <c r="AG149" s="23"/>
      <c r="AH149" s="23"/>
      <c r="AI149" s="23"/>
      <c r="AK149" t="s">
        <v>270</v>
      </c>
      <c r="AL149">
        <v>1000000</v>
      </c>
      <c r="AM149" s="3" t="s">
        <v>765</v>
      </c>
    </row>
    <row r="150" spans="1:39" hidden="1" x14ac:dyDescent="0.2">
      <c r="A150" t="s">
        <v>1211</v>
      </c>
      <c r="B150" t="b">
        <v>0</v>
      </c>
      <c r="C150" t="b">
        <v>0</v>
      </c>
      <c r="D150" t="b">
        <v>1</v>
      </c>
      <c r="E150" t="b">
        <v>0</v>
      </c>
      <c r="F150" t="b">
        <v>1</v>
      </c>
      <c r="G150" t="s">
        <v>361</v>
      </c>
      <c r="H150" t="s">
        <v>1212</v>
      </c>
      <c r="I150" t="s">
        <v>1211</v>
      </c>
      <c r="J150" t="s">
        <v>1213</v>
      </c>
      <c r="N150" t="s">
        <v>1214</v>
      </c>
      <c r="O150" t="s">
        <v>252</v>
      </c>
      <c r="R150" s="1">
        <v>44155</v>
      </c>
      <c r="S150" s="1">
        <v>50729</v>
      </c>
      <c r="U150" t="s">
        <v>253</v>
      </c>
      <c r="V150" t="s">
        <v>254</v>
      </c>
      <c r="W150" t="s">
        <v>1215</v>
      </c>
      <c r="X150" t="s">
        <v>256</v>
      </c>
      <c r="Y150" t="s">
        <v>257</v>
      </c>
      <c r="AK150" t="s">
        <v>260</v>
      </c>
      <c r="AL150">
        <v>410000000</v>
      </c>
      <c r="AM150" s="3" t="s">
        <v>1216</v>
      </c>
    </row>
    <row r="151" spans="1:39" hidden="1" x14ac:dyDescent="0.2">
      <c r="A151" t="s">
        <v>1217</v>
      </c>
      <c r="B151" t="b">
        <v>0</v>
      </c>
      <c r="C151" t="b">
        <v>0</v>
      </c>
      <c r="D151" t="b">
        <v>1</v>
      </c>
      <c r="E151" t="b">
        <v>0</v>
      </c>
      <c r="F151" t="b">
        <v>1</v>
      </c>
      <c r="G151" t="b">
        <v>0</v>
      </c>
      <c r="H151" t="s">
        <v>1218</v>
      </c>
      <c r="I151" t="s">
        <v>1217</v>
      </c>
      <c r="J151" t="s">
        <v>150</v>
      </c>
      <c r="K151" t="s">
        <v>1219</v>
      </c>
      <c r="N151" t="s">
        <v>1220</v>
      </c>
      <c r="O151" t="s">
        <v>252</v>
      </c>
      <c r="R151" s="1">
        <v>42615</v>
      </c>
      <c r="S151" s="1">
        <v>45170</v>
      </c>
      <c r="T151" s="2">
        <v>45026.721045196762</v>
      </c>
      <c r="U151" t="s">
        <v>253</v>
      </c>
      <c r="V151" t="s">
        <v>267</v>
      </c>
      <c r="W151" t="s">
        <v>1120</v>
      </c>
      <c r="X151" t="s">
        <v>305</v>
      </c>
      <c r="Y151" t="s">
        <v>343</v>
      </c>
      <c r="Z151" s="32" t="s">
        <v>2742</v>
      </c>
      <c r="AA151" t="s">
        <v>1221</v>
      </c>
      <c r="AB151" s="23">
        <f>AQ151</f>
        <v>0</v>
      </c>
      <c r="AC151" s="23"/>
      <c r="AD151" s="23"/>
      <c r="AE151" s="23"/>
      <c r="AF151" s="23"/>
      <c r="AG151" s="23"/>
      <c r="AH151" s="23"/>
      <c r="AI151" s="23"/>
      <c r="AK151" t="s">
        <v>345</v>
      </c>
      <c r="AL151">
        <v>2000000000</v>
      </c>
      <c r="AM151" s="3" t="s">
        <v>1222</v>
      </c>
    </row>
    <row r="152" spans="1:39" hidden="1" x14ac:dyDescent="0.2">
      <c r="A152" t="s">
        <v>1223</v>
      </c>
      <c r="B152" t="b">
        <v>1</v>
      </c>
      <c r="C152" t="b">
        <v>0</v>
      </c>
      <c r="D152" t="b">
        <v>0</v>
      </c>
      <c r="E152" t="b">
        <v>0</v>
      </c>
      <c r="F152" t="b">
        <v>0</v>
      </c>
      <c r="G152" t="b">
        <v>1</v>
      </c>
      <c r="H152" t="s">
        <v>1224</v>
      </c>
      <c r="I152" t="s">
        <v>1223</v>
      </c>
      <c r="J152" t="s">
        <v>186</v>
      </c>
      <c r="K152" t="s">
        <v>1225</v>
      </c>
      <c r="L152" t="s">
        <v>1226</v>
      </c>
      <c r="M152" t="s">
        <v>1227</v>
      </c>
      <c r="N152" t="s">
        <v>1228</v>
      </c>
      <c r="O152" t="s">
        <v>252</v>
      </c>
      <c r="R152" s="1">
        <v>42997</v>
      </c>
      <c r="S152" s="1">
        <v>46819</v>
      </c>
      <c r="U152" t="s">
        <v>441</v>
      </c>
      <c r="V152" t="s">
        <v>295</v>
      </c>
      <c r="W152" t="s">
        <v>1023</v>
      </c>
      <c r="X152" t="s">
        <v>479</v>
      </c>
      <c r="Y152" t="s">
        <v>343</v>
      </c>
      <c r="AA152" t="s">
        <v>1229</v>
      </c>
      <c r="AB152" s="23">
        <f>AQ152</f>
        <v>0</v>
      </c>
      <c r="AC152" s="23"/>
      <c r="AD152" s="23"/>
      <c r="AE152" s="23"/>
      <c r="AF152" s="23"/>
      <c r="AG152" s="23"/>
      <c r="AH152" s="23"/>
      <c r="AI152" s="23"/>
      <c r="AK152" t="s">
        <v>345</v>
      </c>
      <c r="AL152">
        <v>2000000000</v>
      </c>
      <c r="AM152" s="3" t="s">
        <v>1230</v>
      </c>
    </row>
    <row r="153" spans="1:39" hidden="1" x14ac:dyDescent="0.2">
      <c r="A153" t="s">
        <v>1231</v>
      </c>
      <c r="B153" t="b">
        <v>0</v>
      </c>
      <c r="C153" t="b">
        <v>0</v>
      </c>
      <c r="D153" t="b">
        <v>1</v>
      </c>
      <c r="E153" t="b">
        <v>0</v>
      </c>
      <c r="F153" t="b">
        <v>1</v>
      </c>
      <c r="G153" t="b">
        <v>0</v>
      </c>
      <c r="H153" t="s">
        <v>1232</v>
      </c>
      <c r="I153" t="s">
        <v>1231</v>
      </c>
      <c r="J153" t="s">
        <v>66</v>
      </c>
      <c r="N153" t="s">
        <v>1233</v>
      </c>
      <c r="O153" t="s">
        <v>252</v>
      </c>
      <c r="P153" t="s">
        <v>1076</v>
      </c>
      <c r="Q153" t="s">
        <v>1077</v>
      </c>
      <c r="R153" s="1">
        <v>45476</v>
      </c>
      <c r="S153" s="1">
        <v>52781</v>
      </c>
      <c r="T153" s="2">
        <v>46153.777921157409</v>
      </c>
      <c r="U153" t="s">
        <v>253</v>
      </c>
      <c r="V153" t="s">
        <v>267</v>
      </c>
      <c r="W153" t="s">
        <v>645</v>
      </c>
      <c r="X153" t="s">
        <v>256</v>
      </c>
      <c r="Y153" t="s">
        <v>351</v>
      </c>
      <c r="Z153" s="32" t="s">
        <v>2752</v>
      </c>
      <c r="AA153" t="s">
        <v>646</v>
      </c>
      <c r="AB153" s="23">
        <f>AQ153</f>
        <v>0</v>
      </c>
      <c r="AC153" s="23"/>
      <c r="AD153" s="23"/>
      <c r="AE153" s="23"/>
      <c r="AF153" s="23"/>
      <c r="AG153" s="23"/>
      <c r="AH153" s="23"/>
      <c r="AI153" s="23"/>
      <c r="AK153" t="s">
        <v>647</v>
      </c>
      <c r="AL153">
        <v>1500000000</v>
      </c>
      <c r="AM153" s="3" t="s">
        <v>1234</v>
      </c>
    </row>
    <row r="154" spans="1:39" hidden="1" x14ac:dyDescent="0.2">
      <c r="A154" t="s">
        <v>1235</v>
      </c>
      <c r="B154" t="b">
        <v>0</v>
      </c>
      <c r="C154" t="b">
        <v>0</v>
      </c>
      <c r="D154" t="b">
        <v>1</v>
      </c>
      <c r="E154" t="b">
        <v>0</v>
      </c>
      <c r="F154" t="b">
        <v>1</v>
      </c>
      <c r="G154" t="s">
        <v>361</v>
      </c>
      <c r="H154" t="s">
        <v>1236</v>
      </c>
      <c r="I154" t="s">
        <v>1235</v>
      </c>
      <c r="J154" t="s">
        <v>1237</v>
      </c>
      <c r="K154" t="s">
        <v>1238</v>
      </c>
      <c r="M154" t="s">
        <v>1239</v>
      </c>
      <c r="N154" t="s">
        <v>1240</v>
      </c>
      <c r="O154" t="s">
        <v>252</v>
      </c>
      <c r="R154" s="1">
        <v>44362</v>
      </c>
      <c r="S154" s="1">
        <v>50936</v>
      </c>
      <c r="T154" s="2">
        <v>45175.76371875</v>
      </c>
      <c r="U154" t="s">
        <v>253</v>
      </c>
      <c r="V154" t="s">
        <v>267</v>
      </c>
      <c r="W154" t="s">
        <v>1241</v>
      </c>
      <c r="X154" t="s">
        <v>256</v>
      </c>
      <c r="Y154" t="s">
        <v>257</v>
      </c>
      <c r="AK154" t="s">
        <v>260</v>
      </c>
      <c r="AL154">
        <v>475000000</v>
      </c>
      <c r="AM154" s="3" t="s">
        <v>1242</v>
      </c>
    </row>
    <row r="155" spans="1:39" hidden="1" x14ac:dyDescent="0.2">
      <c r="A155" t="s">
        <v>1243</v>
      </c>
      <c r="B155" t="b">
        <v>0</v>
      </c>
      <c r="C155" t="b">
        <v>0</v>
      </c>
      <c r="D155" t="b">
        <v>1</v>
      </c>
      <c r="E155" t="b">
        <v>0</v>
      </c>
      <c r="F155" t="b">
        <v>1</v>
      </c>
      <c r="G155" t="b">
        <v>0</v>
      </c>
      <c r="H155" t="s">
        <v>1244</v>
      </c>
      <c r="I155" t="s">
        <v>1243</v>
      </c>
      <c r="J155" t="s">
        <v>180</v>
      </c>
      <c r="K155" t="s">
        <v>1245</v>
      </c>
      <c r="N155" t="s">
        <v>1246</v>
      </c>
      <c r="O155" t="s">
        <v>252</v>
      </c>
      <c r="R155" s="1">
        <v>42313</v>
      </c>
      <c r="S155" s="1">
        <v>44140</v>
      </c>
      <c r="T155" s="2">
        <v>45026.735266585645</v>
      </c>
      <c r="U155" t="s">
        <v>253</v>
      </c>
      <c r="V155" t="s">
        <v>267</v>
      </c>
      <c r="W155" t="s">
        <v>1120</v>
      </c>
      <c r="X155" t="s">
        <v>305</v>
      </c>
      <c r="Y155" t="s">
        <v>343</v>
      </c>
      <c r="Z155" s="32" t="s">
        <v>2741</v>
      </c>
      <c r="AA155" t="s">
        <v>1247</v>
      </c>
      <c r="AB155" s="23">
        <f t="shared" ref="AB155:AB162" si="2">AQ155</f>
        <v>0</v>
      </c>
      <c r="AC155" s="23"/>
      <c r="AD155" s="23"/>
      <c r="AE155" s="23"/>
      <c r="AF155" s="23"/>
      <c r="AG155" s="23"/>
      <c r="AH155" s="23"/>
      <c r="AI155" s="23"/>
      <c r="AK155" t="s">
        <v>270</v>
      </c>
      <c r="AL155">
        <v>500000000</v>
      </c>
      <c r="AM155" s="3" t="s">
        <v>922</v>
      </c>
    </row>
    <row r="156" spans="1:39" hidden="1" x14ac:dyDescent="0.2">
      <c r="A156" t="s">
        <v>1076</v>
      </c>
      <c r="B156" t="b">
        <v>0</v>
      </c>
      <c r="C156" t="b">
        <v>0</v>
      </c>
      <c r="D156" t="b">
        <v>1</v>
      </c>
      <c r="E156" t="b">
        <v>0</v>
      </c>
      <c r="F156" t="b">
        <v>1</v>
      </c>
      <c r="G156" t="b">
        <v>0</v>
      </c>
      <c r="H156" t="s">
        <v>1077</v>
      </c>
      <c r="I156" t="s">
        <v>1076</v>
      </c>
      <c r="J156" t="s">
        <v>61</v>
      </c>
      <c r="N156" t="s">
        <v>1248</v>
      </c>
      <c r="O156" t="s">
        <v>382</v>
      </c>
      <c r="T156" s="2">
        <v>46153.777791550929</v>
      </c>
      <c r="U156" t="s">
        <v>253</v>
      </c>
      <c r="V156" t="s">
        <v>267</v>
      </c>
      <c r="W156" t="s">
        <v>645</v>
      </c>
      <c r="X156" t="s">
        <v>256</v>
      </c>
      <c r="Y156" t="s">
        <v>351</v>
      </c>
      <c r="Z156" s="32" t="s">
        <v>2752</v>
      </c>
      <c r="AA156" t="s">
        <v>646</v>
      </c>
      <c r="AB156" s="23">
        <f t="shared" si="2"/>
        <v>0</v>
      </c>
      <c r="AC156" s="23"/>
      <c r="AD156" s="23"/>
      <c r="AE156" s="23"/>
      <c r="AF156" s="23"/>
      <c r="AG156" s="23"/>
      <c r="AH156" s="23"/>
      <c r="AI156" s="23"/>
      <c r="AK156" t="s">
        <v>647</v>
      </c>
    </row>
    <row r="157" spans="1:39" hidden="1" x14ac:dyDescent="0.2">
      <c r="A157" t="s">
        <v>731</v>
      </c>
      <c r="B157" t="b">
        <v>0</v>
      </c>
      <c r="C157" t="b">
        <v>0</v>
      </c>
      <c r="D157" t="b">
        <v>0</v>
      </c>
      <c r="E157" t="b">
        <v>0</v>
      </c>
      <c r="F157" t="b">
        <v>0</v>
      </c>
      <c r="G157" t="b">
        <v>1</v>
      </c>
      <c r="H157" t="s">
        <v>732</v>
      </c>
      <c r="I157" t="s">
        <v>731</v>
      </c>
      <c r="M157" t="s">
        <v>1249</v>
      </c>
      <c r="N157" t="s">
        <v>1250</v>
      </c>
      <c r="O157" t="s">
        <v>382</v>
      </c>
      <c r="S157" s="1">
        <v>48289</v>
      </c>
      <c r="T157" s="2">
        <v>45125.929056863424</v>
      </c>
      <c r="U157" t="s">
        <v>253</v>
      </c>
      <c r="V157" t="s">
        <v>295</v>
      </c>
      <c r="W157" t="s">
        <v>342</v>
      </c>
      <c r="X157" t="s">
        <v>305</v>
      </c>
      <c r="Y157" t="s">
        <v>343</v>
      </c>
      <c r="AA157" t="s">
        <v>344</v>
      </c>
      <c r="AB157" s="23">
        <f t="shared" si="2"/>
        <v>0</v>
      </c>
      <c r="AC157" s="23"/>
      <c r="AD157" s="23"/>
      <c r="AE157" s="23"/>
      <c r="AF157" s="23"/>
      <c r="AG157" s="23"/>
      <c r="AH157" s="23"/>
      <c r="AI157" s="23"/>
      <c r="AK157" t="s">
        <v>345</v>
      </c>
    </row>
    <row r="158" spans="1:39" hidden="1" x14ac:dyDescent="0.2">
      <c r="A158" t="s">
        <v>1251</v>
      </c>
      <c r="B158" t="b">
        <v>0</v>
      </c>
      <c r="C158" t="b">
        <v>0</v>
      </c>
      <c r="D158" t="b">
        <v>1</v>
      </c>
      <c r="E158" t="b">
        <v>0</v>
      </c>
      <c r="F158" t="b">
        <v>1</v>
      </c>
      <c r="G158" t="b">
        <v>0</v>
      </c>
      <c r="H158" t="s">
        <v>1252</v>
      </c>
      <c r="I158" t="s">
        <v>1251</v>
      </c>
      <c r="J158" t="s">
        <v>136</v>
      </c>
      <c r="K158" t="s">
        <v>1253</v>
      </c>
      <c r="L158" t="s">
        <v>1254</v>
      </c>
      <c r="M158" t="s">
        <v>1255</v>
      </c>
      <c r="N158" t="s">
        <v>1256</v>
      </c>
      <c r="O158" t="s">
        <v>252</v>
      </c>
      <c r="R158" s="1">
        <v>45232</v>
      </c>
      <c r="S158" s="1">
        <v>48890</v>
      </c>
      <c r="T158" s="2">
        <v>46156.693664085651</v>
      </c>
      <c r="U158" t="s">
        <v>253</v>
      </c>
      <c r="V158" t="s">
        <v>267</v>
      </c>
      <c r="W158" t="s">
        <v>1257</v>
      </c>
      <c r="X158" t="s">
        <v>256</v>
      </c>
      <c r="Y158" t="s">
        <v>287</v>
      </c>
      <c r="Z158" s="32" t="s">
        <v>2740</v>
      </c>
      <c r="AA158" t="s">
        <v>1258</v>
      </c>
      <c r="AB158" s="23">
        <f t="shared" si="2"/>
        <v>0</v>
      </c>
      <c r="AC158" s="23"/>
      <c r="AD158" s="23"/>
      <c r="AE158" s="23"/>
      <c r="AF158" s="23"/>
      <c r="AG158" s="23"/>
      <c r="AH158" s="23"/>
      <c r="AI158" s="23"/>
      <c r="AK158" t="s">
        <v>270</v>
      </c>
      <c r="AL158">
        <v>750000000</v>
      </c>
      <c r="AM158" s="3" t="s">
        <v>1259</v>
      </c>
    </row>
    <row r="159" spans="1:39" hidden="1" x14ac:dyDescent="0.2">
      <c r="A159" t="s">
        <v>1260</v>
      </c>
      <c r="B159" t="b">
        <v>0</v>
      </c>
      <c r="C159" t="b">
        <v>0</v>
      </c>
      <c r="D159" t="b">
        <v>1</v>
      </c>
      <c r="E159" t="b">
        <v>0</v>
      </c>
      <c r="F159" t="b">
        <v>1</v>
      </c>
      <c r="G159" t="b">
        <v>0</v>
      </c>
      <c r="H159" t="s">
        <v>1261</v>
      </c>
      <c r="I159" t="s">
        <v>1260</v>
      </c>
      <c r="J159" t="s">
        <v>17</v>
      </c>
      <c r="K159" t="s">
        <v>1262</v>
      </c>
      <c r="N159" t="s">
        <v>1263</v>
      </c>
      <c r="O159" t="s">
        <v>252</v>
      </c>
      <c r="P159" t="s">
        <v>275</v>
      </c>
      <c r="Q159" t="s">
        <v>276</v>
      </c>
      <c r="R159" s="1">
        <v>45229</v>
      </c>
      <c r="S159" s="1">
        <v>45960</v>
      </c>
      <c r="T159" s="2">
        <v>45960.674849675925</v>
      </c>
      <c r="U159" t="s">
        <v>253</v>
      </c>
      <c r="V159" t="s">
        <v>267</v>
      </c>
      <c r="W159" t="s">
        <v>277</v>
      </c>
      <c r="X159" t="s">
        <v>278</v>
      </c>
      <c r="Y159" t="s">
        <v>279</v>
      </c>
      <c r="Z159" s="32" t="s">
        <v>1072</v>
      </c>
      <c r="AA159" t="s">
        <v>280</v>
      </c>
      <c r="AB159" s="23">
        <f t="shared" si="2"/>
        <v>0</v>
      </c>
      <c r="AC159" s="23"/>
      <c r="AD159" s="23"/>
      <c r="AE159" s="23"/>
      <c r="AF159" s="23"/>
      <c r="AG159" s="23"/>
      <c r="AH159" s="23"/>
      <c r="AI159" s="23"/>
      <c r="AK159" t="s">
        <v>270</v>
      </c>
      <c r="AL159">
        <v>880000</v>
      </c>
      <c r="AM159" s="3" t="s">
        <v>1264</v>
      </c>
    </row>
    <row r="160" spans="1:39" hidden="1" x14ac:dyDescent="0.2">
      <c r="A160" t="s">
        <v>1265</v>
      </c>
      <c r="B160" t="b">
        <v>0</v>
      </c>
      <c r="C160" t="b">
        <v>0</v>
      </c>
      <c r="D160" t="b">
        <v>0</v>
      </c>
      <c r="E160" t="b">
        <v>0</v>
      </c>
      <c r="F160" t="b">
        <v>0</v>
      </c>
      <c r="G160" t="b">
        <v>1</v>
      </c>
      <c r="H160" t="s">
        <v>1266</v>
      </c>
      <c r="I160" t="s">
        <v>1265</v>
      </c>
      <c r="J160" t="s">
        <v>56</v>
      </c>
      <c r="K160" t="s">
        <v>1267</v>
      </c>
      <c r="N160" t="s">
        <v>1268</v>
      </c>
      <c r="O160" t="s">
        <v>252</v>
      </c>
      <c r="P160" t="s">
        <v>331</v>
      </c>
      <c r="Q160" t="s">
        <v>332</v>
      </c>
      <c r="R160" s="1">
        <v>44592</v>
      </c>
      <c r="S160" s="1">
        <v>46418</v>
      </c>
      <c r="T160" s="2">
        <v>44923.626786620371</v>
      </c>
      <c r="U160" t="s">
        <v>253</v>
      </c>
      <c r="V160" t="s">
        <v>295</v>
      </c>
      <c r="W160" t="s">
        <v>333</v>
      </c>
      <c r="X160" t="s">
        <v>334</v>
      </c>
      <c r="Y160" t="s">
        <v>287</v>
      </c>
      <c r="AA160" t="s">
        <v>335</v>
      </c>
      <c r="AB160" s="23">
        <f t="shared" si="2"/>
        <v>0</v>
      </c>
      <c r="AC160" s="23"/>
      <c r="AD160" s="23"/>
      <c r="AE160" s="23"/>
      <c r="AF160" s="23"/>
      <c r="AG160" s="23"/>
      <c r="AH160" s="23"/>
      <c r="AI160" s="23"/>
      <c r="AK160" t="s">
        <v>270</v>
      </c>
      <c r="AL160">
        <v>1500000000</v>
      </c>
      <c r="AM160" s="3" t="s">
        <v>336</v>
      </c>
    </row>
    <row r="161" spans="1:39" hidden="1" x14ac:dyDescent="0.2">
      <c r="A161" s="4" t="s">
        <v>1269</v>
      </c>
      <c r="B161" t="b">
        <v>0</v>
      </c>
      <c r="C161" t="b">
        <v>0</v>
      </c>
      <c r="D161" t="b">
        <v>1</v>
      </c>
      <c r="E161" t="b">
        <v>0</v>
      </c>
      <c r="F161" t="b">
        <v>1</v>
      </c>
      <c r="G161" t="b">
        <v>0</v>
      </c>
      <c r="H161" t="s">
        <v>1270</v>
      </c>
      <c r="I161" s="4" t="s">
        <v>1269</v>
      </c>
      <c r="J161" t="s">
        <v>3</v>
      </c>
      <c r="K161" t="s">
        <v>1271</v>
      </c>
      <c r="N161" t="s">
        <v>1272</v>
      </c>
      <c r="O161" t="s">
        <v>252</v>
      </c>
      <c r="P161" t="s">
        <v>275</v>
      </c>
      <c r="Q161" t="s">
        <v>276</v>
      </c>
      <c r="R161" s="1">
        <v>43732</v>
      </c>
      <c r="S161" s="1">
        <v>44834</v>
      </c>
      <c r="T161" s="2">
        <v>45960.674979074072</v>
      </c>
      <c r="U161" t="s">
        <v>253</v>
      </c>
      <c r="V161" t="s">
        <v>267</v>
      </c>
      <c r="W161" t="s">
        <v>277</v>
      </c>
      <c r="X161" t="s">
        <v>278</v>
      </c>
      <c r="Y161" t="s">
        <v>279</v>
      </c>
      <c r="Z161" s="32" t="s">
        <v>1072</v>
      </c>
      <c r="AA161" t="s">
        <v>280</v>
      </c>
      <c r="AB161" s="23">
        <f t="shared" si="2"/>
        <v>0</v>
      </c>
      <c r="AC161" s="23"/>
      <c r="AD161" s="23"/>
      <c r="AE161" s="23"/>
      <c r="AF161" s="23"/>
      <c r="AG161" s="23"/>
      <c r="AH161" s="23"/>
      <c r="AI161" s="23"/>
      <c r="AK161" t="s">
        <v>270</v>
      </c>
      <c r="AL161">
        <v>15000000</v>
      </c>
      <c r="AM161" s="3" t="s">
        <v>1197</v>
      </c>
    </row>
    <row r="162" spans="1:39" hidden="1" x14ac:dyDescent="0.2">
      <c r="A162" t="s">
        <v>1273</v>
      </c>
      <c r="B162" t="b">
        <v>0</v>
      </c>
      <c r="C162" t="b">
        <v>0</v>
      </c>
      <c r="D162" t="b">
        <v>1</v>
      </c>
      <c r="E162" t="b">
        <v>0</v>
      </c>
      <c r="F162" t="b">
        <v>1</v>
      </c>
      <c r="G162" t="b">
        <v>0</v>
      </c>
      <c r="H162" t="s">
        <v>1274</v>
      </c>
      <c r="I162" t="s">
        <v>1273</v>
      </c>
      <c r="M162" t="s">
        <v>1275</v>
      </c>
      <c r="N162" t="s">
        <v>1276</v>
      </c>
      <c r="O162" t="s">
        <v>252</v>
      </c>
      <c r="P162" t="s">
        <v>1277</v>
      </c>
      <c r="Q162" t="s">
        <v>1278</v>
      </c>
      <c r="R162" s="1">
        <v>45280</v>
      </c>
      <c r="S162" s="1">
        <v>46116</v>
      </c>
      <c r="T162" s="2">
        <v>45369.548883391202</v>
      </c>
      <c r="U162" t="s">
        <v>253</v>
      </c>
      <c r="V162" t="s">
        <v>267</v>
      </c>
      <c r="W162" t="s">
        <v>1279</v>
      </c>
      <c r="X162" t="s">
        <v>305</v>
      </c>
      <c r="Y162" t="s">
        <v>1280</v>
      </c>
      <c r="Z162" s="32" t="s">
        <v>2739</v>
      </c>
      <c r="AA162" t="s">
        <v>1281</v>
      </c>
      <c r="AB162" s="23">
        <f t="shared" si="2"/>
        <v>0</v>
      </c>
      <c r="AC162" s="23"/>
      <c r="AD162" s="23"/>
      <c r="AE162" s="23"/>
      <c r="AF162" s="23"/>
      <c r="AG162" s="23"/>
      <c r="AH162" s="23"/>
      <c r="AI162" s="23"/>
      <c r="AK162" t="s">
        <v>1282</v>
      </c>
      <c r="AL162">
        <v>25725000</v>
      </c>
      <c r="AM162" s="3" t="s">
        <v>1283</v>
      </c>
    </row>
    <row r="163" spans="1:39" hidden="1" x14ac:dyDescent="0.2">
      <c r="A163" t="s">
        <v>1284</v>
      </c>
      <c r="B163" t="b">
        <v>0</v>
      </c>
      <c r="C163" t="b">
        <v>0</v>
      </c>
      <c r="D163" t="b">
        <v>1</v>
      </c>
      <c r="E163" t="b">
        <v>0</v>
      </c>
      <c r="F163" t="b">
        <v>1</v>
      </c>
      <c r="G163" t="s">
        <v>361</v>
      </c>
      <c r="H163" t="s">
        <v>1285</v>
      </c>
      <c r="I163" t="s">
        <v>1284</v>
      </c>
      <c r="M163" t="s">
        <v>1286</v>
      </c>
      <c r="N163" t="s">
        <v>1286</v>
      </c>
      <c r="O163" t="s">
        <v>252</v>
      </c>
      <c r="P163" t="s">
        <v>397</v>
      </c>
      <c r="Q163" t="s">
        <v>398</v>
      </c>
      <c r="R163" s="1">
        <v>44196</v>
      </c>
      <c r="S163" s="1">
        <v>44926</v>
      </c>
      <c r="U163" t="s">
        <v>253</v>
      </c>
      <c r="V163" t="s">
        <v>254</v>
      </c>
      <c r="W163" t="s">
        <v>399</v>
      </c>
      <c r="X163" t="s">
        <v>256</v>
      </c>
      <c r="Y163" t="s">
        <v>400</v>
      </c>
      <c r="AK163" t="s">
        <v>401</v>
      </c>
      <c r="AL163">
        <v>4000000</v>
      </c>
      <c r="AM163" s="3" t="s">
        <v>281</v>
      </c>
    </row>
    <row r="164" spans="1:39" hidden="1" x14ac:dyDescent="0.2">
      <c r="A164" t="s">
        <v>859</v>
      </c>
      <c r="B164" t="b">
        <v>0</v>
      </c>
      <c r="C164" t="b">
        <v>0</v>
      </c>
      <c r="D164" t="b">
        <v>0</v>
      </c>
      <c r="E164" t="b">
        <v>0</v>
      </c>
      <c r="F164" t="b">
        <v>0</v>
      </c>
      <c r="G164" t="b">
        <v>1</v>
      </c>
      <c r="H164" t="s">
        <v>860</v>
      </c>
      <c r="I164" t="s">
        <v>859</v>
      </c>
      <c r="M164" t="s">
        <v>1287</v>
      </c>
      <c r="N164" t="s">
        <v>1288</v>
      </c>
      <c r="O164" t="s">
        <v>382</v>
      </c>
      <c r="T164" s="2">
        <v>45149.694307361111</v>
      </c>
      <c r="U164" t="s">
        <v>253</v>
      </c>
      <c r="V164" t="s">
        <v>295</v>
      </c>
      <c r="W164" t="s">
        <v>861</v>
      </c>
      <c r="X164" t="s">
        <v>278</v>
      </c>
      <c r="Y164" t="s">
        <v>351</v>
      </c>
      <c r="AA164" t="s">
        <v>862</v>
      </c>
      <c r="AB164" s="23">
        <f>AQ164</f>
        <v>0</v>
      </c>
      <c r="AC164" s="23"/>
      <c r="AD164" s="23"/>
      <c r="AE164" s="23"/>
      <c r="AF164" s="23"/>
      <c r="AG164" s="23"/>
      <c r="AH164" s="23"/>
      <c r="AI164" s="23"/>
      <c r="AK164" t="s">
        <v>270</v>
      </c>
    </row>
    <row r="165" spans="1:39" hidden="1" x14ac:dyDescent="0.2">
      <c r="A165" t="s">
        <v>1289</v>
      </c>
      <c r="B165" t="b">
        <v>0</v>
      </c>
      <c r="C165" t="b">
        <v>0</v>
      </c>
      <c r="D165" t="b">
        <v>1</v>
      </c>
      <c r="E165" t="b">
        <v>0</v>
      </c>
      <c r="F165" t="b">
        <v>1</v>
      </c>
      <c r="G165" t="b">
        <v>0</v>
      </c>
      <c r="H165" t="s">
        <v>1290</v>
      </c>
      <c r="I165" t="s">
        <v>1289</v>
      </c>
      <c r="J165" t="s">
        <v>168</v>
      </c>
      <c r="M165" t="s">
        <v>1291</v>
      </c>
      <c r="N165" t="s">
        <v>1292</v>
      </c>
      <c r="O165" t="s">
        <v>252</v>
      </c>
      <c r="R165" s="1">
        <v>44942</v>
      </c>
      <c r="S165" s="1">
        <v>47134</v>
      </c>
      <c r="T165" s="2">
        <v>45070.88728855324</v>
      </c>
      <c r="U165" t="s">
        <v>253</v>
      </c>
      <c r="V165" t="s">
        <v>267</v>
      </c>
      <c r="W165" t="s">
        <v>1293</v>
      </c>
      <c r="X165" t="s">
        <v>256</v>
      </c>
      <c r="Y165" t="s">
        <v>528</v>
      </c>
      <c r="Z165" s="32" t="s">
        <v>2738</v>
      </c>
      <c r="AA165" t="s">
        <v>1294</v>
      </c>
      <c r="AB165" s="23">
        <f>AQ165</f>
        <v>0</v>
      </c>
      <c r="AC165" s="23"/>
      <c r="AD165" s="23"/>
      <c r="AE165" s="23"/>
      <c r="AF165" s="23"/>
      <c r="AG165" s="23"/>
      <c r="AH165" s="23"/>
      <c r="AI165" s="23"/>
      <c r="AK165" t="s">
        <v>270</v>
      </c>
      <c r="AL165">
        <v>80000000</v>
      </c>
      <c r="AM165" s="3" t="s">
        <v>1295</v>
      </c>
    </row>
    <row r="166" spans="1:39" hidden="1" x14ac:dyDescent="0.2">
      <c r="A166" t="s">
        <v>1296</v>
      </c>
      <c r="B166" t="b">
        <v>0</v>
      </c>
      <c r="C166" t="b">
        <v>0</v>
      </c>
      <c r="D166" t="b">
        <v>1</v>
      </c>
      <c r="E166" t="b">
        <v>0</v>
      </c>
      <c r="F166" t="b">
        <v>1</v>
      </c>
      <c r="G166" t="b">
        <v>0</v>
      </c>
      <c r="H166" t="s">
        <v>1297</v>
      </c>
      <c r="I166" t="s">
        <v>1296</v>
      </c>
      <c r="K166" t="s">
        <v>1298</v>
      </c>
      <c r="N166" t="s">
        <v>1299</v>
      </c>
      <c r="O166" t="s">
        <v>252</v>
      </c>
      <c r="R166" s="1">
        <v>44418</v>
      </c>
      <c r="S166" s="1">
        <v>45148</v>
      </c>
      <c r="T166" s="2">
        <v>45296.606925069442</v>
      </c>
      <c r="U166" t="s">
        <v>253</v>
      </c>
      <c r="V166" t="s">
        <v>267</v>
      </c>
      <c r="W166" t="s">
        <v>319</v>
      </c>
      <c r="X166" t="s">
        <v>256</v>
      </c>
      <c r="Y166" t="s">
        <v>269</v>
      </c>
      <c r="Z166" s="32" t="s">
        <v>2755</v>
      </c>
      <c r="AA166" t="s">
        <v>320</v>
      </c>
      <c r="AB166" s="23">
        <f>AQ166</f>
        <v>0</v>
      </c>
      <c r="AC166" s="23"/>
      <c r="AD166" s="23"/>
      <c r="AE166" s="23"/>
      <c r="AF166" s="23"/>
      <c r="AG166" s="23"/>
      <c r="AH166" s="23"/>
      <c r="AI166" s="23"/>
      <c r="AK166" t="s">
        <v>270</v>
      </c>
      <c r="AL166">
        <v>48971674</v>
      </c>
      <c r="AM166" s="3" t="s">
        <v>1300</v>
      </c>
    </row>
    <row r="167" spans="1:39" hidden="1" x14ac:dyDescent="0.2">
      <c r="A167" t="s">
        <v>1301</v>
      </c>
      <c r="B167" t="b">
        <v>0</v>
      </c>
      <c r="C167" t="b">
        <v>0</v>
      </c>
      <c r="D167" t="b">
        <v>1</v>
      </c>
      <c r="E167" t="b">
        <v>0</v>
      </c>
      <c r="F167" t="b">
        <v>1</v>
      </c>
      <c r="G167" t="s">
        <v>361</v>
      </c>
      <c r="H167" t="s">
        <v>1302</v>
      </c>
      <c r="I167" t="s">
        <v>1301</v>
      </c>
      <c r="J167" t="s">
        <v>1303</v>
      </c>
      <c r="K167" t="s">
        <v>1304</v>
      </c>
      <c r="N167" t="s">
        <v>1305</v>
      </c>
      <c r="O167" t="s">
        <v>252</v>
      </c>
      <c r="P167" t="s">
        <v>824</v>
      </c>
      <c r="Q167" t="s">
        <v>825</v>
      </c>
      <c r="R167" s="1">
        <v>44691</v>
      </c>
      <c r="S167" s="1">
        <v>47223</v>
      </c>
      <c r="U167" t="s">
        <v>253</v>
      </c>
      <c r="V167" t="s">
        <v>267</v>
      </c>
      <c r="W167" t="s">
        <v>545</v>
      </c>
      <c r="X167" t="s">
        <v>256</v>
      </c>
      <c r="Y167" t="s">
        <v>257</v>
      </c>
      <c r="AK167" t="s">
        <v>260</v>
      </c>
      <c r="AL167">
        <v>630783000</v>
      </c>
      <c r="AM167" s="3" t="s">
        <v>1306</v>
      </c>
    </row>
    <row r="168" spans="1:39" hidden="1" x14ac:dyDescent="0.2">
      <c r="A168" t="s">
        <v>1307</v>
      </c>
      <c r="B168" t="b">
        <v>0</v>
      </c>
      <c r="C168" t="b">
        <v>0</v>
      </c>
      <c r="D168" t="b">
        <v>1</v>
      </c>
      <c r="E168" t="b">
        <v>0</v>
      </c>
      <c r="F168" t="b">
        <v>1</v>
      </c>
      <c r="G168" t="s">
        <v>361</v>
      </c>
      <c r="H168" t="s">
        <v>1308</v>
      </c>
      <c r="I168" t="s">
        <v>1307</v>
      </c>
      <c r="J168" t="s">
        <v>1309</v>
      </c>
      <c r="M168" t="s">
        <v>1310</v>
      </c>
      <c r="N168" t="s">
        <v>1311</v>
      </c>
      <c r="O168" t="s">
        <v>252</v>
      </c>
      <c r="R168" s="1">
        <v>44993</v>
      </c>
      <c r="S168" s="1">
        <v>45724</v>
      </c>
      <c r="T168" s="2">
        <v>45026.645915960646</v>
      </c>
      <c r="U168" t="s">
        <v>253</v>
      </c>
      <c r="V168" t="s">
        <v>267</v>
      </c>
      <c r="W168" t="s">
        <v>268</v>
      </c>
      <c r="X168" t="s">
        <v>256</v>
      </c>
      <c r="Y168" t="s">
        <v>269</v>
      </c>
      <c r="AK168" t="s">
        <v>270</v>
      </c>
      <c r="AL168">
        <v>20000000</v>
      </c>
      <c r="AM168" s="3" t="s">
        <v>315</v>
      </c>
    </row>
    <row r="169" spans="1:39" hidden="1" x14ac:dyDescent="0.2">
      <c r="A169" t="s">
        <v>1312</v>
      </c>
      <c r="B169" t="b">
        <v>1</v>
      </c>
      <c r="C169" t="b">
        <v>0</v>
      </c>
      <c r="D169" t="b">
        <v>1</v>
      </c>
      <c r="E169" t="s">
        <v>522</v>
      </c>
      <c r="F169" t="b">
        <v>0</v>
      </c>
      <c r="G169" t="b">
        <v>0</v>
      </c>
      <c r="H169" t="s">
        <v>1313</v>
      </c>
      <c r="I169" t="s">
        <v>1312</v>
      </c>
      <c r="J169" s="20" t="s">
        <v>72</v>
      </c>
      <c r="K169" t="s">
        <v>1314</v>
      </c>
      <c r="N169" t="s">
        <v>1315</v>
      </c>
      <c r="O169" t="s">
        <v>252</v>
      </c>
      <c r="R169" s="1">
        <v>43769</v>
      </c>
      <c r="S169" s="1">
        <v>45611</v>
      </c>
      <c r="U169" t="s">
        <v>575</v>
      </c>
      <c r="V169" t="s">
        <v>254</v>
      </c>
      <c r="W169" t="s">
        <v>304</v>
      </c>
      <c r="X169" t="s">
        <v>305</v>
      </c>
      <c r="Y169" t="s">
        <v>306</v>
      </c>
      <c r="Z169" s="35" t="s">
        <v>1316</v>
      </c>
      <c r="AA169" t="s">
        <v>307</v>
      </c>
      <c r="AB169" s="23">
        <f>AQ169</f>
        <v>0</v>
      </c>
      <c r="AC169" s="23"/>
      <c r="AD169" s="23" t="s">
        <v>2895</v>
      </c>
      <c r="AE169" s="23" t="s">
        <v>2895</v>
      </c>
      <c r="AF169" s="23" t="s">
        <v>2895</v>
      </c>
      <c r="AG169" s="23" t="s">
        <v>2895</v>
      </c>
      <c r="AH169" s="23" t="s">
        <v>2895</v>
      </c>
      <c r="AI169" s="23"/>
      <c r="AK169" t="s">
        <v>270</v>
      </c>
      <c r="AL169">
        <v>375000000</v>
      </c>
      <c r="AM169" s="3" t="s">
        <v>1317</v>
      </c>
    </row>
    <row r="170" spans="1:39" hidden="1" x14ac:dyDescent="0.2">
      <c r="A170" t="s">
        <v>1318</v>
      </c>
      <c r="B170" t="b">
        <v>0</v>
      </c>
      <c r="C170" t="b">
        <v>0</v>
      </c>
      <c r="D170" t="b">
        <v>1</v>
      </c>
      <c r="E170" t="b">
        <v>0</v>
      </c>
      <c r="F170" t="b">
        <v>1</v>
      </c>
      <c r="G170" t="b">
        <v>0</v>
      </c>
      <c r="H170" t="s">
        <v>1319</v>
      </c>
      <c r="I170" t="s">
        <v>1318</v>
      </c>
      <c r="J170" t="s">
        <v>81</v>
      </c>
      <c r="L170" t="s">
        <v>81</v>
      </c>
      <c r="N170" t="s">
        <v>1320</v>
      </c>
      <c r="O170" t="s">
        <v>252</v>
      </c>
      <c r="P170" t="s">
        <v>721</v>
      </c>
      <c r="Q170" t="s">
        <v>722</v>
      </c>
      <c r="R170" s="1">
        <v>44614</v>
      </c>
      <c r="S170" s="1">
        <v>49887</v>
      </c>
      <c r="U170" t="s">
        <v>253</v>
      </c>
      <c r="V170" t="s">
        <v>267</v>
      </c>
      <c r="W170" t="s">
        <v>723</v>
      </c>
      <c r="X170" t="s">
        <v>256</v>
      </c>
      <c r="Y170" t="s">
        <v>724</v>
      </c>
      <c r="Z170" s="32" t="s">
        <v>2750</v>
      </c>
      <c r="AA170" t="s">
        <v>725</v>
      </c>
      <c r="AB170" s="23">
        <f>AQ170</f>
        <v>0</v>
      </c>
      <c r="AC170" s="23"/>
      <c r="AD170" s="23"/>
      <c r="AE170" s="23"/>
      <c r="AF170" s="23"/>
      <c r="AG170" s="23"/>
      <c r="AH170" s="23"/>
      <c r="AI170" s="23"/>
      <c r="AK170" t="s">
        <v>270</v>
      </c>
      <c r="AL170">
        <v>40000000</v>
      </c>
      <c r="AM170" s="3" t="s">
        <v>1321</v>
      </c>
    </row>
    <row r="171" spans="1:39" x14ac:dyDescent="0.2">
      <c r="A171" t="s">
        <v>397</v>
      </c>
      <c r="B171" t="b">
        <v>1</v>
      </c>
      <c r="C171" t="b">
        <v>0</v>
      </c>
      <c r="D171" t="b">
        <v>1</v>
      </c>
      <c r="E171" t="s">
        <v>522</v>
      </c>
      <c r="F171" t="b">
        <v>0</v>
      </c>
      <c r="G171" t="b">
        <v>0</v>
      </c>
      <c r="H171" t="s">
        <v>398</v>
      </c>
      <c r="I171" t="s">
        <v>397</v>
      </c>
      <c r="M171" s="20" t="s">
        <v>1322</v>
      </c>
      <c r="N171" t="s">
        <v>1323</v>
      </c>
      <c r="O171" t="s">
        <v>382</v>
      </c>
      <c r="U171" t="s">
        <v>253</v>
      </c>
      <c r="V171" t="s">
        <v>254</v>
      </c>
      <c r="W171" t="s">
        <v>399</v>
      </c>
      <c r="X171" t="s">
        <v>256</v>
      </c>
      <c r="Y171" t="s">
        <v>400</v>
      </c>
      <c r="Z171" s="35" t="s">
        <v>1324</v>
      </c>
      <c r="AA171" s="7" t="s">
        <v>1325</v>
      </c>
      <c r="AC171" t="s">
        <v>382</v>
      </c>
      <c r="AD171" t="s">
        <v>2878</v>
      </c>
      <c r="AE171">
        <v>0</v>
      </c>
      <c r="AF171" t="s">
        <v>2884</v>
      </c>
      <c r="AG171" t="s">
        <v>2884</v>
      </c>
      <c r="AH171" t="s">
        <v>2851</v>
      </c>
      <c r="AI171" s="78" t="s">
        <v>2919</v>
      </c>
      <c r="AJ171">
        <v>0</v>
      </c>
      <c r="AK171" t="s">
        <v>401</v>
      </c>
    </row>
    <row r="172" spans="1:39" hidden="1" x14ac:dyDescent="0.2">
      <c r="A172" t="s">
        <v>1326</v>
      </c>
      <c r="B172" t="b">
        <v>0</v>
      </c>
      <c r="C172" t="b">
        <v>0</v>
      </c>
      <c r="D172" t="b">
        <v>0</v>
      </c>
      <c r="E172" t="b">
        <v>0</v>
      </c>
      <c r="F172" t="b">
        <v>0</v>
      </c>
      <c r="G172" t="b">
        <v>1</v>
      </c>
      <c r="H172" t="s">
        <v>1327</v>
      </c>
      <c r="I172" t="s">
        <v>1326</v>
      </c>
      <c r="J172" t="s">
        <v>30</v>
      </c>
      <c r="K172" t="s">
        <v>1328</v>
      </c>
      <c r="M172" t="s">
        <v>1329</v>
      </c>
      <c r="N172" t="s">
        <v>1330</v>
      </c>
      <c r="O172" t="s">
        <v>252</v>
      </c>
      <c r="P172" t="s">
        <v>696</v>
      </c>
      <c r="Q172" t="s">
        <v>697</v>
      </c>
      <c r="R172" s="1">
        <v>44495</v>
      </c>
      <c r="S172" s="1">
        <v>46318</v>
      </c>
      <c r="T172" s="2">
        <v>44937.850214432867</v>
      </c>
      <c r="U172" t="s">
        <v>253</v>
      </c>
      <c r="V172" t="s">
        <v>295</v>
      </c>
      <c r="W172" t="s">
        <v>342</v>
      </c>
      <c r="X172" t="s">
        <v>305</v>
      </c>
      <c r="Y172" t="s">
        <v>343</v>
      </c>
      <c r="AA172" t="s">
        <v>344</v>
      </c>
      <c r="AB172" s="23">
        <f>AQ172</f>
        <v>0</v>
      </c>
      <c r="AC172" s="23"/>
      <c r="AD172" s="23"/>
      <c r="AE172" s="23"/>
      <c r="AF172" s="23"/>
      <c r="AG172" s="23"/>
      <c r="AH172" s="23"/>
      <c r="AI172" s="23"/>
      <c r="AK172" t="s">
        <v>345</v>
      </c>
      <c r="AL172">
        <v>1000000000</v>
      </c>
      <c r="AM172" s="3" t="s">
        <v>1331</v>
      </c>
    </row>
    <row r="173" spans="1:39" hidden="1" x14ac:dyDescent="0.2">
      <c r="A173" t="s">
        <v>1332</v>
      </c>
      <c r="B173" t="b">
        <v>0</v>
      </c>
      <c r="C173" t="b">
        <v>0</v>
      </c>
      <c r="D173" t="b">
        <v>1</v>
      </c>
      <c r="E173" t="b">
        <v>0</v>
      </c>
      <c r="F173" t="b">
        <v>1</v>
      </c>
      <c r="G173" t="s">
        <v>361</v>
      </c>
      <c r="H173" t="s">
        <v>1333</v>
      </c>
      <c r="I173" t="s">
        <v>1332</v>
      </c>
      <c r="J173" t="s">
        <v>1334</v>
      </c>
      <c r="M173" t="s">
        <v>1335</v>
      </c>
      <c r="N173" t="s">
        <v>1336</v>
      </c>
      <c r="O173" t="s">
        <v>252</v>
      </c>
      <c r="R173" s="1">
        <v>45063</v>
      </c>
      <c r="S173" s="1">
        <v>45247</v>
      </c>
      <c r="T173" s="2">
        <v>45089.577341226854</v>
      </c>
      <c r="U173" t="s">
        <v>253</v>
      </c>
      <c r="V173" t="s">
        <v>267</v>
      </c>
      <c r="W173" t="s">
        <v>1337</v>
      </c>
      <c r="X173" t="s">
        <v>479</v>
      </c>
      <c r="Y173" t="s">
        <v>269</v>
      </c>
      <c r="AK173" t="s">
        <v>488</v>
      </c>
      <c r="AL173">
        <v>300000000</v>
      </c>
      <c r="AM173" s="3" t="s">
        <v>1338</v>
      </c>
    </row>
    <row r="174" spans="1:39" hidden="1" x14ac:dyDescent="0.2">
      <c r="A174" t="s">
        <v>1339</v>
      </c>
      <c r="B174" t="b">
        <v>0</v>
      </c>
      <c r="C174" t="b">
        <v>0</v>
      </c>
      <c r="D174" t="b">
        <v>1</v>
      </c>
      <c r="E174" t="b">
        <v>0</v>
      </c>
      <c r="F174" t="b">
        <v>1</v>
      </c>
      <c r="G174" t="b">
        <v>0</v>
      </c>
      <c r="H174" t="s">
        <v>1340</v>
      </c>
      <c r="I174" t="s">
        <v>1339</v>
      </c>
      <c r="J174" t="s">
        <v>45</v>
      </c>
      <c r="K174" t="s">
        <v>1341</v>
      </c>
      <c r="N174" t="s">
        <v>1342</v>
      </c>
      <c r="O174" t="s">
        <v>252</v>
      </c>
      <c r="R174" s="1">
        <v>44876</v>
      </c>
      <c r="S174" s="1">
        <v>46337</v>
      </c>
      <c r="T174" s="2">
        <v>45296.606440023148</v>
      </c>
      <c r="U174" t="s">
        <v>253</v>
      </c>
      <c r="V174" t="s">
        <v>267</v>
      </c>
      <c r="W174" t="s">
        <v>319</v>
      </c>
      <c r="X174" t="s">
        <v>256</v>
      </c>
      <c r="Y174" t="s">
        <v>269</v>
      </c>
      <c r="Z174" s="32" t="s">
        <v>2755</v>
      </c>
      <c r="AA174" t="s">
        <v>320</v>
      </c>
      <c r="AB174" s="23">
        <f>AQ174</f>
        <v>0</v>
      </c>
      <c r="AC174" s="23"/>
      <c r="AD174" s="23"/>
      <c r="AE174" s="23"/>
      <c r="AF174" s="23"/>
      <c r="AG174" s="23"/>
      <c r="AH174" s="23"/>
      <c r="AI174" s="23"/>
      <c r="AK174" t="s">
        <v>270</v>
      </c>
      <c r="AL174">
        <v>29917476</v>
      </c>
      <c r="AM174" s="3" t="s">
        <v>1343</v>
      </c>
    </row>
    <row r="175" spans="1:39" hidden="1" x14ac:dyDescent="0.2">
      <c r="A175" t="s">
        <v>1344</v>
      </c>
      <c r="B175" t="b">
        <v>1</v>
      </c>
      <c r="C175" t="b">
        <v>0</v>
      </c>
      <c r="D175" t="b">
        <v>1</v>
      </c>
      <c r="E175" t="b">
        <v>0</v>
      </c>
      <c r="F175" t="b">
        <v>0</v>
      </c>
      <c r="G175" t="s">
        <v>361</v>
      </c>
      <c r="H175" t="s">
        <v>1345</v>
      </c>
      <c r="I175" t="s">
        <v>1344</v>
      </c>
      <c r="J175" t="s">
        <v>158</v>
      </c>
      <c r="K175" t="s">
        <v>1346</v>
      </c>
      <c r="L175" t="s">
        <v>1347</v>
      </c>
      <c r="M175" t="s">
        <v>1348</v>
      </c>
      <c r="N175" t="s">
        <v>1349</v>
      </c>
      <c r="O175" t="s">
        <v>252</v>
      </c>
      <c r="R175" s="1">
        <v>42711</v>
      </c>
      <c r="S175" s="1">
        <v>44537</v>
      </c>
      <c r="U175" t="s">
        <v>743</v>
      </c>
      <c r="V175" t="s">
        <v>267</v>
      </c>
      <c r="W175" t="s">
        <v>1023</v>
      </c>
      <c r="X175" t="s">
        <v>479</v>
      </c>
      <c r="Y175" t="s">
        <v>343</v>
      </c>
      <c r="Z175" t="s">
        <v>1350</v>
      </c>
      <c r="AA175" s="7" t="s">
        <v>1351</v>
      </c>
      <c r="AB175" s="23">
        <f>AQ175</f>
        <v>0</v>
      </c>
      <c r="AC175" s="23"/>
      <c r="AD175" s="23"/>
      <c r="AE175" s="23"/>
      <c r="AF175" s="23"/>
      <c r="AG175" s="23"/>
      <c r="AH175" s="23"/>
      <c r="AI175" s="23"/>
      <c r="AK175" t="s">
        <v>345</v>
      </c>
      <c r="AL175">
        <v>1000000000</v>
      </c>
      <c r="AM175" s="3" t="s">
        <v>1352</v>
      </c>
    </row>
    <row r="176" spans="1:39" hidden="1" x14ac:dyDescent="0.2">
      <c r="A176" t="s">
        <v>1353</v>
      </c>
      <c r="B176" t="b">
        <v>0</v>
      </c>
      <c r="C176" t="b">
        <v>0</v>
      </c>
      <c r="D176" t="b">
        <v>1</v>
      </c>
      <c r="E176" t="b">
        <v>0</v>
      </c>
      <c r="F176" t="b">
        <v>1</v>
      </c>
      <c r="G176" t="s">
        <v>361</v>
      </c>
      <c r="H176" t="s">
        <v>1354</v>
      </c>
      <c r="I176" t="s">
        <v>1353</v>
      </c>
      <c r="M176" t="s">
        <v>1355</v>
      </c>
      <c r="N176" t="s">
        <v>1356</v>
      </c>
      <c r="O176" t="s">
        <v>252</v>
      </c>
      <c r="P176" t="s">
        <v>397</v>
      </c>
      <c r="Q176" t="s">
        <v>398</v>
      </c>
      <c r="R176" s="1">
        <v>44012</v>
      </c>
      <c r="S176" s="1">
        <v>44742</v>
      </c>
      <c r="U176" t="s">
        <v>253</v>
      </c>
      <c r="V176" t="s">
        <v>254</v>
      </c>
      <c r="W176" t="s">
        <v>399</v>
      </c>
      <c r="X176" t="s">
        <v>256</v>
      </c>
      <c r="Y176" t="s">
        <v>400</v>
      </c>
      <c r="AK176" t="s">
        <v>401</v>
      </c>
      <c r="AL176">
        <v>4000000</v>
      </c>
      <c r="AM176" s="3" t="s">
        <v>281</v>
      </c>
    </row>
    <row r="177" spans="1:39" hidden="1" x14ac:dyDescent="0.2">
      <c r="A177" t="s">
        <v>1357</v>
      </c>
      <c r="B177" t="b">
        <v>0</v>
      </c>
      <c r="C177" t="b">
        <v>0</v>
      </c>
      <c r="D177" t="b">
        <v>1</v>
      </c>
      <c r="E177" t="b">
        <v>0</v>
      </c>
      <c r="F177" t="b">
        <v>1</v>
      </c>
      <c r="G177" t="s">
        <v>361</v>
      </c>
      <c r="H177" t="s">
        <v>1358</v>
      </c>
      <c r="I177" t="s">
        <v>1357</v>
      </c>
      <c r="J177" t="s">
        <v>1359</v>
      </c>
      <c r="K177" t="s">
        <v>1360</v>
      </c>
      <c r="N177" t="s">
        <v>1361</v>
      </c>
      <c r="O177" t="s">
        <v>252</v>
      </c>
      <c r="R177" s="1">
        <v>44242</v>
      </c>
      <c r="S177" s="1">
        <v>46798</v>
      </c>
      <c r="U177" t="s">
        <v>253</v>
      </c>
      <c r="V177" t="s">
        <v>254</v>
      </c>
      <c r="W177" t="s">
        <v>1362</v>
      </c>
      <c r="X177" t="s">
        <v>256</v>
      </c>
      <c r="Y177" t="s">
        <v>257</v>
      </c>
      <c r="AK177" t="s">
        <v>260</v>
      </c>
      <c r="AL177">
        <v>115000000</v>
      </c>
      <c r="AM177" s="3" t="s">
        <v>1363</v>
      </c>
    </row>
    <row r="178" spans="1:39" x14ac:dyDescent="0.2">
      <c r="A178" t="s">
        <v>1364</v>
      </c>
      <c r="B178" t="b">
        <v>1</v>
      </c>
      <c r="C178" t="b">
        <v>0</v>
      </c>
      <c r="D178" t="b">
        <v>1</v>
      </c>
      <c r="E178" t="s">
        <v>522</v>
      </c>
      <c r="F178" t="b">
        <v>0</v>
      </c>
      <c r="G178" t="b">
        <v>0</v>
      </c>
      <c r="H178" t="s">
        <v>1365</v>
      </c>
      <c r="I178" t="s">
        <v>1364</v>
      </c>
      <c r="M178" s="20" t="s">
        <v>1366</v>
      </c>
      <c r="N178" t="s">
        <v>1367</v>
      </c>
      <c r="O178" t="s">
        <v>252</v>
      </c>
      <c r="R178" s="1">
        <v>43441</v>
      </c>
      <c r="S178" s="1">
        <v>45266</v>
      </c>
      <c r="U178" t="s">
        <v>625</v>
      </c>
      <c r="V178" t="s">
        <v>254</v>
      </c>
      <c r="W178" t="s">
        <v>1368</v>
      </c>
      <c r="X178" t="s">
        <v>305</v>
      </c>
      <c r="Y178" t="s">
        <v>269</v>
      </c>
      <c r="Z178" s="35" t="s">
        <v>1369</v>
      </c>
      <c r="AA178" s="7" t="s">
        <v>1370</v>
      </c>
      <c r="AB178" s="23">
        <f>AQ178</f>
        <v>0</v>
      </c>
      <c r="AC178" s="23" t="s">
        <v>2899</v>
      </c>
      <c r="AD178" s="23" t="s">
        <v>2878</v>
      </c>
      <c r="AE178" s="23" t="s">
        <v>2888</v>
      </c>
      <c r="AF178" s="23" t="s">
        <v>2884</v>
      </c>
      <c r="AG178" s="23" t="s">
        <v>2884</v>
      </c>
      <c r="AH178" s="23" t="s">
        <v>2852</v>
      </c>
      <c r="AI178" s="23" t="s">
        <v>2912</v>
      </c>
      <c r="AJ178" s="3" t="s">
        <v>2915</v>
      </c>
      <c r="AK178" t="s">
        <v>270</v>
      </c>
      <c r="AL178">
        <v>30000000</v>
      </c>
      <c r="AM178" s="3" t="s">
        <v>602</v>
      </c>
    </row>
    <row r="179" spans="1:39" hidden="1" x14ac:dyDescent="0.2">
      <c r="A179" t="s">
        <v>1371</v>
      </c>
      <c r="B179" t="b">
        <v>0</v>
      </c>
      <c r="C179" t="b">
        <v>0</v>
      </c>
      <c r="D179" t="b">
        <v>1</v>
      </c>
      <c r="E179" t="b">
        <v>0</v>
      </c>
      <c r="F179" t="b">
        <v>1</v>
      </c>
      <c r="G179" t="s">
        <v>361</v>
      </c>
      <c r="H179" t="s">
        <v>1372</v>
      </c>
      <c r="I179" t="s">
        <v>1371</v>
      </c>
      <c r="J179" t="s">
        <v>1373</v>
      </c>
      <c r="N179" t="s">
        <v>1374</v>
      </c>
      <c r="O179" t="s">
        <v>252</v>
      </c>
      <c r="R179" s="1">
        <v>44686</v>
      </c>
      <c r="S179" s="1">
        <v>48339</v>
      </c>
      <c r="U179" t="s">
        <v>253</v>
      </c>
      <c r="V179" t="s">
        <v>267</v>
      </c>
      <c r="W179" t="s">
        <v>1085</v>
      </c>
      <c r="X179" t="s">
        <v>256</v>
      </c>
      <c r="Y179" t="s">
        <v>269</v>
      </c>
      <c r="AK179" t="s">
        <v>270</v>
      </c>
      <c r="AL179">
        <v>62536958</v>
      </c>
      <c r="AM179" s="3" t="s">
        <v>1375</v>
      </c>
    </row>
    <row r="180" spans="1:39" hidden="1" x14ac:dyDescent="0.2">
      <c r="A180" t="s">
        <v>1376</v>
      </c>
      <c r="B180" t="b">
        <v>0</v>
      </c>
      <c r="C180" t="b">
        <v>0</v>
      </c>
      <c r="D180" t="b">
        <v>1</v>
      </c>
      <c r="E180" t="b">
        <v>0</v>
      </c>
      <c r="F180" t="b">
        <v>1</v>
      </c>
      <c r="G180" t="b">
        <v>0</v>
      </c>
      <c r="H180" t="s">
        <v>1377</v>
      </c>
      <c r="I180" t="s">
        <v>1376</v>
      </c>
      <c r="J180" t="s">
        <v>44</v>
      </c>
      <c r="N180" t="s">
        <v>1378</v>
      </c>
      <c r="O180" t="s">
        <v>252</v>
      </c>
      <c r="R180" s="1">
        <v>45359</v>
      </c>
      <c r="S180" s="1">
        <v>46454</v>
      </c>
      <c r="T180" s="2">
        <v>46059.644276967592</v>
      </c>
      <c r="U180" t="s">
        <v>253</v>
      </c>
      <c r="V180" t="s">
        <v>267</v>
      </c>
      <c r="W180" t="s">
        <v>319</v>
      </c>
      <c r="X180" t="s">
        <v>256</v>
      </c>
      <c r="Y180" t="s">
        <v>269</v>
      </c>
      <c r="Z180" s="32" t="s">
        <v>2755</v>
      </c>
      <c r="AA180" t="s">
        <v>320</v>
      </c>
      <c r="AB180" s="23">
        <f>AQ180</f>
        <v>0</v>
      </c>
      <c r="AC180" s="23"/>
      <c r="AD180" s="23"/>
      <c r="AE180" s="23"/>
      <c r="AF180" s="23"/>
      <c r="AG180" s="23"/>
      <c r="AH180" s="23"/>
      <c r="AI180" s="23"/>
      <c r="AK180" t="s">
        <v>270</v>
      </c>
      <c r="AL180">
        <v>20697951</v>
      </c>
      <c r="AM180" s="3" t="s">
        <v>1379</v>
      </c>
    </row>
    <row r="181" spans="1:39" hidden="1" x14ac:dyDescent="0.2">
      <c r="A181" t="s">
        <v>1380</v>
      </c>
      <c r="B181" t="b">
        <v>0</v>
      </c>
      <c r="C181" t="b">
        <v>0</v>
      </c>
      <c r="D181" t="b">
        <v>1</v>
      </c>
      <c r="E181" t="b">
        <v>0</v>
      </c>
      <c r="F181" t="b">
        <v>1</v>
      </c>
      <c r="G181" t="s">
        <v>361</v>
      </c>
      <c r="H181" t="s">
        <v>1381</v>
      </c>
      <c r="I181" t="s">
        <v>1380</v>
      </c>
      <c r="J181" t="s">
        <v>1382</v>
      </c>
      <c r="N181" t="s">
        <v>1383</v>
      </c>
      <c r="O181" t="s">
        <v>252</v>
      </c>
      <c r="R181" s="1">
        <v>44365</v>
      </c>
      <c r="S181" s="1">
        <v>45474</v>
      </c>
      <c r="T181" s="2">
        <v>44943.760328865741</v>
      </c>
      <c r="U181" t="s">
        <v>253</v>
      </c>
      <c r="V181" t="s">
        <v>267</v>
      </c>
      <c r="W181" t="s">
        <v>760</v>
      </c>
      <c r="X181" t="s">
        <v>278</v>
      </c>
      <c r="Y181" t="s">
        <v>257</v>
      </c>
      <c r="AK181" t="s">
        <v>260</v>
      </c>
      <c r="AL181">
        <v>83150000</v>
      </c>
      <c r="AM181" s="3" t="s">
        <v>1384</v>
      </c>
    </row>
    <row r="182" spans="1:39" hidden="1" x14ac:dyDescent="0.2">
      <c r="A182" t="s">
        <v>1385</v>
      </c>
      <c r="B182" t="b">
        <v>0</v>
      </c>
      <c r="C182" t="b">
        <v>0</v>
      </c>
      <c r="D182" t="b">
        <v>1</v>
      </c>
      <c r="E182" t="b">
        <v>0</v>
      </c>
      <c r="F182" t="b">
        <v>1</v>
      </c>
      <c r="G182" t="s">
        <v>361</v>
      </c>
      <c r="H182" t="s">
        <v>1386</v>
      </c>
      <c r="I182" t="s">
        <v>1385</v>
      </c>
      <c r="J182" t="s">
        <v>1387</v>
      </c>
      <c r="N182" t="s">
        <v>1388</v>
      </c>
      <c r="O182" t="s">
        <v>252</v>
      </c>
      <c r="R182" s="1">
        <v>44833</v>
      </c>
      <c r="S182" s="1">
        <v>46294</v>
      </c>
      <c r="U182" t="s">
        <v>253</v>
      </c>
      <c r="V182" t="s">
        <v>267</v>
      </c>
      <c r="W182" t="s">
        <v>1085</v>
      </c>
      <c r="X182" t="s">
        <v>256</v>
      </c>
      <c r="Y182" t="s">
        <v>269</v>
      </c>
      <c r="AK182" t="s">
        <v>270</v>
      </c>
      <c r="AL182">
        <v>80000000</v>
      </c>
      <c r="AM182" s="3" t="s">
        <v>1295</v>
      </c>
    </row>
    <row r="183" spans="1:39" hidden="1" x14ac:dyDescent="0.2">
      <c r="A183" t="s">
        <v>1389</v>
      </c>
      <c r="B183" t="b">
        <v>0</v>
      </c>
      <c r="C183" t="b">
        <v>0</v>
      </c>
      <c r="D183" t="b">
        <v>0</v>
      </c>
      <c r="E183" t="b">
        <v>0</v>
      </c>
      <c r="F183" t="b">
        <v>0</v>
      </c>
      <c r="G183" t="b">
        <v>1</v>
      </c>
      <c r="H183" t="s">
        <v>1390</v>
      </c>
      <c r="I183" t="s">
        <v>1389</v>
      </c>
      <c r="J183" t="s">
        <v>86</v>
      </c>
      <c r="N183" t="s">
        <v>1391</v>
      </c>
      <c r="O183" t="s">
        <v>252</v>
      </c>
      <c r="R183" s="1">
        <v>44957</v>
      </c>
      <c r="S183" s="1">
        <v>48610</v>
      </c>
      <c r="T183" s="2">
        <v>44952.903251990741</v>
      </c>
      <c r="U183" t="s">
        <v>253</v>
      </c>
      <c r="V183" t="s">
        <v>589</v>
      </c>
      <c r="W183" t="s">
        <v>304</v>
      </c>
      <c r="X183" t="s">
        <v>305</v>
      </c>
      <c r="Y183" t="s">
        <v>306</v>
      </c>
      <c r="AA183" t="s">
        <v>590</v>
      </c>
      <c r="AB183" s="23">
        <f>AQ183</f>
        <v>0</v>
      </c>
      <c r="AC183" s="23"/>
      <c r="AD183" s="23"/>
      <c r="AE183" s="23"/>
      <c r="AF183" s="23"/>
      <c r="AG183" s="23"/>
      <c r="AH183" s="23"/>
      <c r="AI183" s="23"/>
      <c r="AK183" t="s">
        <v>591</v>
      </c>
      <c r="AL183">
        <v>7000000000</v>
      </c>
      <c r="AM183" s="3" t="s">
        <v>1392</v>
      </c>
    </row>
    <row r="184" spans="1:39" hidden="1" x14ac:dyDescent="0.2">
      <c r="A184" s="14" t="s">
        <v>1393</v>
      </c>
      <c r="B184" s="14" t="b">
        <v>1</v>
      </c>
      <c r="C184" s="14" t="b">
        <v>0</v>
      </c>
      <c r="D184" s="14" t="b">
        <v>1</v>
      </c>
      <c r="E184" s="14" t="s">
        <v>522</v>
      </c>
      <c r="F184" s="14" t="b">
        <v>0</v>
      </c>
      <c r="G184" s="14" t="b">
        <v>0</v>
      </c>
      <c r="H184" s="14" t="s">
        <v>1394</v>
      </c>
      <c r="I184" s="14" t="s">
        <v>1393</v>
      </c>
      <c r="J184" s="19" t="s">
        <v>101</v>
      </c>
      <c r="K184" s="14" t="s">
        <v>1395</v>
      </c>
      <c r="L184" s="14"/>
      <c r="M184" s="14" t="s">
        <v>1396</v>
      </c>
      <c r="N184" s="14" t="s">
        <v>1397</v>
      </c>
      <c r="O184" s="14" t="s">
        <v>252</v>
      </c>
      <c r="P184" s="14"/>
      <c r="Q184" s="14"/>
      <c r="R184" s="15">
        <v>44237</v>
      </c>
      <c r="S184" s="15">
        <v>52793</v>
      </c>
      <c r="T184" s="14"/>
      <c r="U184" s="14" t="s">
        <v>441</v>
      </c>
      <c r="V184" s="14" t="s">
        <v>267</v>
      </c>
      <c r="W184" s="14" t="s">
        <v>1042</v>
      </c>
      <c r="X184" s="14" t="s">
        <v>256</v>
      </c>
      <c r="Y184" s="14" t="s">
        <v>257</v>
      </c>
      <c r="Z184" s="35" t="s">
        <v>1398</v>
      </c>
      <c r="AA184" s="14" t="s">
        <v>1399</v>
      </c>
      <c r="AB184" s="23">
        <f>AQ184</f>
        <v>0</v>
      </c>
      <c r="AC184" s="23"/>
      <c r="AD184" s="23" t="s">
        <v>2873</v>
      </c>
      <c r="AE184" s="23" t="s">
        <v>2893</v>
      </c>
      <c r="AF184" s="23" t="s">
        <v>2884</v>
      </c>
      <c r="AG184" s="23" t="s">
        <v>2884</v>
      </c>
      <c r="AH184" s="23" t="s">
        <v>2892</v>
      </c>
      <c r="AI184" t="s">
        <v>2911</v>
      </c>
      <c r="AJ184" s="3" t="s">
        <v>2910</v>
      </c>
      <c r="AK184" s="14" t="s">
        <v>260</v>
      </c>
      <c r="AL184" s="14">
        <v>672500000</v>
      </c>
      <c r="AM184" s="16" t="s">
        <v>1400</v>
      </c>
    </row>
    <row r="185" spans="1:39" hidden="1" x14ac:dyDescent="0.2">
      <c r="A185" t="s">
        <v>1401</v>
      </c>
      <c r="B185" t="b">
        <v>0</v>
      </c>
      <c r="C185" t="b">
        <v>0</v>
      </c>
      <c r="D185" t="b">
        <v>1</v>
      </c>
      <c r="E185" t="b">
        <v>0</v>
      </c>
      <c r="F185" t="b">
        <v>1</v>
      </c>
      <c r="G185" t="s">
        <v>361</v>
      </c>
      <c r="H185" t="s">
        <v>1402</v>
      </c>
      <c r="I185" t="s">
        <v>1401</v>
      </c>
      <c r="J185" t="s">
        <v>1403</v>
      </c>
      <c r="M185" t="s">
        <v>1404</v>
      </c>
      <c r="N185" t="s">
        <v>1404</v>
      </c>
      <c r="O185" t="s">
        <v>252</v>
      </c>
      <c r="R185" s="1">
        <v>42809</v>
      </c>
      <c r="S185" s="1">
        <v>46371</v>
      </c>
      <c r="U185" t="s">
        <v>253</v>
      </c>
      <c r="V185" t="s">
        <v>254</v>
      </c>
      <c r="W185" t="s">
        <v>494</v>
      </c>
      <c r="X185" t="s">
        <v>256</v>
      </c>
      <c r="Y185" t="s">
        <v>257</v>
      </c>
      <c r="AK185" t="s">
        <v>260</v>
      </c>
      <c r="AL185">
        <v>42431000</v>
      </c>
      <c r="AM185" s="3" t="s">
        <v>1405</v>
      </c>
    </row>
    <row r="186" spans="1:39" hidden="1" x14ac:dyDescent="0.2">
      <c r="A186" t="s">
        <v>1406</v>
      </c>
      <c r="B186" t="b">
        <v>1</v>
      </c>
      <c r="C186" t="b">
        <v>0</v>
      </c>
      <c r="D186" t="b">
        <v>1</v>
      </c>
      <c r="E186" t="b">
        <v>0</v>
      </c>
      <c r="F186" t="b">
        <v>0</v>
      </c>
      <c r="G186" t="s">
        <v>361</v>
      </c>
      <c r="H186" t="s">
        <v>1407</v>
      </c>
      <c r="I186" t="s">
        <v>1406</v>
      </c>
      <c r="J186" t="s">
        <v>1408</v>
      </c>
      <c r="N186" t="s">
        <v>1409</v>
      </c>
      <c r="O186" t="s">
        <v>252</v>
      </c>
      <c r="R186" s="1">
        <v>43299</v>
      </c>
      <c r="S186" s="1">
        <v>45125</v>
      </c>
      <c r="U186" t="s">
        <v>253</v>
      </c>
      <c r="V186" t="s">
        <v>254</v>
      </c>
      <c r="W186" t="s">
        <v>558</v>
      </c>
      <c r="X186" t="s">
        <v>278</v>
      </c>
      <c r="Y186" t="s">
        <v>384</v>
      </c>
      <c r="Z186" t="s">
        <v>559</v>
      </c>
      <c r="AA186" t="s">
        <v>1410</v>
      </c>
      <c r="AB186" t="s">
        <v>559</v>
      </c>
      <c r="AK186" t="s">
        <v>386</v>
      </c>
      <c r="AL186">
        <v>300000000000</v>
      </c>
      <c r="AM186" s="3" t="s">
        <v>1411</v>
      </c>
    </row>
    <row r="187" spans="1:39" hidden="1" x14ac:dyDescent="0.2">
      <c r="A187" t="s">
        <v>504</v>
      </c>
      <c r="B187" t="b">
        <v>1</v>
      </c>
      <c r="C187" t="b">
        <v>0</v>
      </c>
      <c r="D187" t="b">
        <v>1</v>
      </c>
      <c r="E187" t="s">
        <v>522</v>
      </c>
      <c r="F187" t="b">
        <v>0</v>
      </c>
      <c r="G187" t="b">
        <v>0</v>
      </c>
      <c r="H187" t="s">
        <v>505</v>
      </c>
      <c r="I187" t="s">
        <v>504</v>
      </c>
      <c r="M187" s="20" t="s">
        <v>1413</v>
      </c>
      <c r="N187" t="s">
        <v>1414</v>
      </c>
      <c r="O187" t="s">
        <v>382</v>
      </c>
      <c r="S187" s="1">
        <v>46033</v>
      </c>
      <c r="T187" s="2">
        <v>45099.926049768517</v>
      </c>
      <c r="U187" t="s">
        <v>253</v>
      </c>
      <c r="V187" t="s">
        <v>267</v>
      </c>
      <c r="W187" t="s">
        <v>506</v>
      </c>
      <c r="X187" t="s">
        <v>278</v>
      </c>
      <c r="Y187" t="s">
        <v>257</v>
      </c>
      <c r="Z187" s="35" t="s">
        <v>1415</v>
      </c>
      <c r="AA187" s="7" t="s">
        <v>507</v>
      </c>
      <c r="AB187" s="23">
        <f>AQ187</f>
        <v>0</v>
      </c>
      <c r="AC187" s="23"/>
      <c r="AD187" s="23" t="s">
        <v>2895</v>
      </c>
      <c r="AE187" s="23" t="s">
        <v>2895</v>
      </c>
      <c r="AF187" s="23" t="s">
        <v>2895</v>
      </c>
      <c r="AG187" s="23" t="s">
        <v>2895</v>
      </c>
      <c r="AH187" s="23" t="s">
        <v>2895</v>
      </c>
      <c r="AI187" s="23"/>
      <c r="AJ187" s="23"/>
      <c r="AK187" t="s">
        <v>270</v>
      </c>
    </row>
    <row r="188" spans="1:39" hidden="1" x14ac:dyDescent="0.2">
      <c r="A188" t="s">
        <v>1416</v>
      </c>
      <c r="B188" t="b">
        <v>1</v>
      </c>
      <c r="C188" t="b">
        <v>0</v>
      </c>
      <c r="D188" t="b">
        <v>1</v>
      </c>
      <c r="E188" t="b">
        <v>0</v>
      </c>
      <c r="F188" t="b">
        <v>0</v>
      </c>
      <c r="G188" t="s">
        <v>361</v>
      </c>
      <c r="H188" t="s">
        <v>1417</v>
      </c>
      <c r="I188" t="s">
        <v>1416</v>
      </c>
      <c r="J188" t="s">
        <v>1418</v>
      </c>
      <c r="N188" t="s">
        <v>1419</v>
      </c>
      <c r="O188" t="s">
        <v>252</v>
      </c>
      <c r="R188" s="1">
        <v>43665</v>
      </c>
      <c r="S188" s="1">
        <v>45492</v>
      </c>
      <c r="U188" t="s">
        <v>253</v>
      </c>
      <c r="V188" t="s">
        <v>254</v>
      </c>
      <c r="W188" t="s">
        <v>558</v>
      </c>
      <c r="X188" t="s">
        <v>278</v>
      </c>
      <c r="Y188" t="s">
        <v>384</v>
      </c>
      <c r="Z188" t="s">
        <v>559</v>
      </c>
      <c r="AA188" t="s">
        <v>606</v>
      </c>
      <c r="AB188" t="s">
        <v>559</v>
      </c>
      <c r="AK188" t="s">
        <v>386</v>
      </c>
      <c r="AL188">
        <v>657000000000</v>
      </c>
      <c r="AM188" s="3" t="s">
        <v>1420</v>
      </c>
    </row>
    <row r="189" spans="1:39" hidden="1" x14ac:dyDescent="0.2">
      <c r="A189" t="s">
        <v>1421</v>
      </c>
      <c r="B189" t="b">
        <v>1</v>
      </c>
      <c r="C189" t="b">
        <v>0</v>
      </c>
      <c r="D189" t="b">
        <v>1</v>
      </c>
      <c r="E189" t="b">
        <v>0</v>
      </c>
      <c r="F189" t="b">
        <v>0</v>
      </c>
      <c r="G189" t="s">
        <v>361</v>
      </c>
      <c r="H189" t="s">
        <v>1422</v>
      </c>
      <c r="I189" t="s">
        <v>1421</v>
      </c>
      <c r="M189" t="s">
        <v>1423</v>
      </c>
      <c r="N189" t="s">
        <v>1424</v>
      </c>
      <c r="O189" t="s">
        <v>252</v>
      </c>
      <c r="R189" s="1">
        <v>43241</v>
      </c>
      <c r="S189" s="1">
        <v>52737</v>
      </c>
      <c r="U189" t="s">
        <v>253</v>
      </c>
      <c r="V189" t="s">
        <v>254</v>
      </c>
      <c r="W189" t="s">
        <v>1425</v>
      </c>
      <c r="X189" t="s">
        <v>256</v>
      </c>
      <c r="Y189" t="s">
        <v>343</v>
      </c>
      <c r="Z189" t="s">
        <v>1426</v>
      </c>
      <c r="AK189" t="s">
        <v>270</v>
      </c>
      <c r="AL189">
        <v>304150000</v>
      </c>
      <c r="AM189" s="3" t="s">
        <v>1427</v>
      </c>
    </row>
    <row r="190" spans="1:39" hidden="1" x14ac:dyDescent="0.2">
      <c r="A190" t="s">
        <v>1428</v>
      </c>
      <c r="B190" t="b">
        <v>0</v>
      </c>
      <c r="C190" t="b">
        <v>0</v>
      </c>
      <c r="D190" t="b">
        <v>1</v>
      </c>
      <c r="E190" t="b">
        <v>0</v>
      </c>
      <c r="F190" t="b">
        <v>1</v>
      </c>
      <c r="G190" t="s">
        <v>361</v>
      </c>
      <c r="H190" t="s">
        <v>1429</v>
      </c>
      <c r="I190" t="s">
        <v>1428</v>
      </c>
      <c r="J190" t="s">
        <v>1430</v>
      </c>
      <c r="N190" t="s">
        <v>1431</v>
      </c>
      <c r="O190" t="s">
        <v>252</v>
      </c>
      <c r="R190" s="1">
        <v>43873</v>
      </c>
      <c r="S190" s="1">
        <v>44981</v>
      </c>
      <c r="U190" t="s">
        <v>253</v>
      </c>
      <c r="V190" t="s">
        <v>267</v>
      </c>
      <c r="W190" t="s">
        <v>1102</v>
      </c>
      <c r="X190" t="s">
        <v>278</v>
      </c>
      <c r="Y190" t="s">
        <v>257</v>
      </c>
      <c r="AK190" t="s">
        <v>260</v>
      </c>
      <c r="AL190">
        <v>210267000</v>
      </c>
      <c r="AM190" s="3" t="s">
        <v>1432</v>
      </c>
    </row>
    <row r="191" spans="1:39" hidden="1" x14ac:dyDescent="0.2">
      <c r="A191" t="s">
        <v>1433</v>
      </c>
      <c r="B191" t="b">
        <v>0</v>
      </c>
      <c r="C191" t="b">
        <v>0</v>
      </c>
      <c r="D191" t="b">
        <v>1</v>
      </c>
      <c r="E191" t="b">
        <v>0</v>
      </c>
      <c r="F191" t="b">
        <v>1</v>
      </c>
      <c r="G191" t="s">
        <v>361</v>
      </c>
      <c r="H191" t="s">
        <v>1434</v>
      </c>
      <c r="I191" t="s">
        <v>1433</v>
      </c>
      <c r="J191" t="s">
        <v>1435</v>
      </c>
      <c r="N191" t="s">
        <v>1436</v>
      </c>
      <c r="O191" t="s">
        <v>252</v>
      </c>
      <c r="R191" s="1">
        <v>44516</v>
      </c>
      <c r="S191" s="1">
        <v>45999</v>
      </c>
      <c r="U191" t="s">
        <v>253</v>
      </c>
      <c r="V191" t="s">
        <v>267</v>
      </c>
      <c r="W191" t="s">
        <v>1437</v>
      </c>
      <c r="X191" t="s">
        <v>256</v>
      </c>
      <c r="Y191" t="s">
        <v>257</v>
      </c>
      <c r="AK191" t="s">
        <v>260</v>
      </c>
      <c r="AL191">
        <v>100000000</v>
      </c>
      <c r="AM191" s="3" t="s">
        <v>1438</v>
      </c>
    </row>
    <row r="192" spans="1:39" hidden="1" x14ac:dyDescent="0.2">
      <c r="A192" t="s">
        <v>1439</v>
      </c>
      <c r="B192" t="b">
        <v>0</v>
      </c>
      <c r="C192" t="b">
        <v>0</v>
      </c>
      <c r="D192" t="b">
        <v>0</v>
      </c>
      <c r="E192" t="b">
        <v>0</v>
      </c>
      <c r="F192" t="b">
        <v>0</v>
      </c>
      <c r="G192" t="b">
        <v>1</v>
      </c>
      <c r="H192" t="s">
        <v>1440</v>
      </c>
      <c r="I192" t="s">
        <v>1439</v>
      </c>
      <c r="J192" t="s">
        <v>85</v>
      </c>
      <c r="N192" t="s">
        <v>1441</v>
      </c>
      <c r="O192" t="s">
        <v>252</v>
      </c>
      <c r="R192" s="1">
        <v>44924</v>
      </c>
      <c r="S192" s="1">
        <v>46750</v>
      </c>
      <c r="T192" s="2">
        <v>44952.903572743053</v>
      </c>
      <c r="U192" t="s">
        <v>253</v>
      </c>
      <c r="V192" t="s">
        <v>589</v>
      </c>
      <c r="W192" t="s">
        <v>304</v>
      </c>
      <c r="X192" t="s">
        <v>305</v>
      </c>
      <c r="Y192" t="s">
        <v>306</v>
      </c>
      <c r="AA192" t="s">
        <v>590</v>
      </c>
      <c r="AB192" s="23">
        <f t="shared" ref="AB192:AB199" si="3">AQ192</f>
        <v>0</v>
      </c>
      <c r="AC192" s="23"/>
      <c r="AD192" s="23"/>
      <c r="AE192" s="23"/>
      <c r="AF192" s="23"/>
      <c r="AG192" s="23"/>
      <c r="AH192" s="23"/>
      <c r="AI192" s="23"/>
      <c r="AJ192" s="23"/>
      <c r="AK192" t="s">
        <v>1442</v>
      </c>
      <c r="AL192">
        <v>30000000</v>
      </c>
      <c r="AM192" s="3" t="s">
        <v>1443</v>
      </c>
    </row>
    <row r="193" spans="1:39" hidden="1" x14ac:dyDescent="0.2">
      <c r="A193" t="s">
        <v>1444</v>
      </c>
      <c r="B193" t="b">
        <v>0</v>
      </c>
      <c r="C193" t="b">
        <v>0</v>
      </c>
      <c r="D193" t="b">
        <v>1</v>
      </c>
      <c r="E193" t="b">
        <v>0</v>
      </c>
      <c r="F193" t="b">
        <v>1</v>
      </c>
      <c r="G193" t="b">
        <v>0</v>
      </c>
      <c r="H193" t="s">
        <v>1445</v>
      </c>
      <c r="I193" t="s">
        <v>1444</v>
      </c>
      <c r="J193" t="s">
        <v>58</v>
      </c>
      <c r="K193" t="s">
        <v>1446</v>
      </c>
      <c r="N193" t="s">
        <v>1447</v>
      </c>
      <c r="O193" t="s">
        <v>252</v>
      </c>
      <c r="P193" t="s">
        <v>331</v>
      </c>
      <c r="Q193" t="s">
        <v>332</v>
      </c>
      <c r="R193" s="1">
        <v>43853</v>
      </c>
      <c r="S193" s="1">
        <v>51164</v>
      </c>
      <c r="T193" s="2">
        <v>44923.626993194448</v>
      </c>
      <c r="U193" t="s">
        <v>253</v>
      </c>
      <c r="V193" t="s">
        <v>254</v>
      </c>
      <c r="W193" t="s">
        <v>333</v>
      </c>
      <c r="X193" t="s">
        <v>334</v>
      </c>
      <c r="Y193" t="s">
        <v>287</v>
      </c>
      <c r="Z193" s="32" t="s">
        <v>2759</v>
      </c>
      <c r="AA193" t="s">
        <v>335</v>
      </c>
      <c r="AB193" s="23">
        <f t="shared" si="3"/>
        <v>0</v>
      </c>
      <c r="AC193" s="23"/>
      <c r="AD193" s="23"/>
      <c r="AE193" s="23"/>
      <c r="AF193" s="23"/>
      <c r="AG193" s="23"/>
      <c r="AH193" s="23"/>
      <c r="AI193" s="23"/>
      <c r="AJ193" s="23"/>
      <c r="AK193" t="s">
        <v>830</v>
      </c>
      <c r="AL193">
        <v>1269017000</v>
      </c>
      <c r="AM193" s="3" t="s">
        <v>1448</v>
      </c>
    </row>
    <row r="194" spans="1:39" hidden="1" x14ac:dyDescent="0.2">
      <c r="A194" t="s">
        <v>1277</v>
      </c>
      <c r="B194" t="b">
        <v>0</v>
      </c>
      <c r="C194" t="b">
        <v>0</v>
      </c>
      <c r="D194" t="b">
        <v>1</v>
      </c>
      <c r="E194" t="b">
        <v>0</v>
      </c>
      <c r="F194" t="b">
        <v>1</v>
      </c>
      <c r="G194" t="b">
        <v>0</v>
      </c>
      <c r="H194" t="s">
        <v>1278</v>
      </c>
      <c r="I194" t="s">
        <v>1277</v>
      </c>
      <c r="M194" t="s">
        <v>1449</v>
      </c>
      <c r="N194" t="s">
        <v>1450</v>
      </c>
      <c r="O194" t="s">
        <v>382</v>
      </c>
      <c r="S194" s="1">
        <v>48160</v>
      </c>
      <c r="T194" s="2">
        <v>45369.548675532409</v>
      </c>
      <c r="U194" t="s">
        <v>253</v>
      </c>
      <c r="V194" t="s">
        <v>267</v>
      </c>
      <c r="W194" t="s">
        <v>1279</v>
      </c>
      <c r="X194" t="s">
        <v>305</v>
      </c>
      <c r="Y194" t="s">
        <v>1280</v>
      </c>
      <c r="Z194" s="32" t="s">
        <v>2739</v>
      </c>
      <c r="AA194" t="s">
        <v>1281</v>
      </c>
      <c r="AB194" s="23">
        <f t="shared" si="3"/>
        <v>0</v>
      </c>
      <c r="AC194" s="23"/>
      <c r="AD194" s="23"/>
      <c r="AE194" s="23"/>
      <c r="AF194" s="23"/>
      <c r="AG194" s="23"/>
      <c r="AH194" s="23"/>
      <c r="AI194" s="23"/>
      <c r="AJ194" s="23"/>
      <c r="AK194" t="s">
        <v>1282</v>
      </c>
    </row>
    <row r="195" spans="1:39" hidden="1" x14ac:dyDescent="0.2">
      <c r="A195" t="s">
        <v>1451</v>
      </c>
      <c r="B195" t="b">
        <v>0</v>
      </c>
      <c r="C195" t="b">
        <v>0</v>
      </c>
      <c r="D195" t="b">
        <v>1</v>
      </c>
      <c r="E195" t="b">
        <v>0</v>
      </c>
      <c r="F195" t="b">
        <v>1</v>
      </c>
      <c r="G195" t="b">
        <v>0</v>
      </c>
      <c r="H195" t="s">
        <v>1452</v>
      </c>
      <c r="I195" t="s">
        <v>1451</v>
      </c>
      <c r="J195" t="s">
        <v>57</v>
      </c>
      <c r="K195" t="s">
        <v>1453</v>
      </c>
      <c r="N195" t="s">
        <v>1454</v>
      </c>
      <c r="O195" t="s">
        <v>252</v>
      </c>
      <c r="P195" t="s">
        <v>331</v>
      </c>
      <c r="Q195" t="s">
        <v>332</v>
      </c>
      <c r="R195" s="1">
        <v>43641</v>
      </c>
      <c r="S195" s="1">
        <v>48031</v>
      </c>
      <c r="T195" s="2">
        <v>44923.627495104163</v>
      </c>
      <c r="U195" t="s">
        <v>253</v>
      </c>
      <c r="V195" t="s">
        <v>254</v>
      </c>
      <c r="W195" t="s">
        <v>333</v>
      </c>
      <c r="X195" t="s">
        <v>334</v>
      </c>
      <c r="Y195" t="s">
        <v>287</v>
      </c>
      <c r="Z195" s="32" t="s">
        <v>2759</v>
      </c>
      <c r="AA195" t="s">
        <v>335</v>
      </c>
      <c r="AB195" s="23">
        <f t="shared" si="3"/>
        <v>0</v>
      </c>
      <c r="AC195" s="23"/>
      <c r="AD195" s="23"/>
      <c r="AE195" s="23"/>
      <c r="AF195" s="23"/>
      <c r="AG195" s="23"/>
      <c r="AH195" s="23"/>
      <c r="AI195" s="23"/>
      <c r="AJ195" s="23"/>
      <c r="AK195" t="s">
        <v>830</v>
      </c>
      <c r="AL195">
        <v>1954685000</v>
      </c>
      <c r="AM195" s="3" t="s">
        <v>1455</v>
      </c>
    </row>
    <row r="196" spans="1:39" hidden="1" x14ac:dyDescent="0.2">
      <c r="A196" t="s">
        <v>1456</v>
      </c>
      <c r="B196" t="b">
        <v>0</v>
      </c>
      <c r="C196" t="b">
        <v>0</v>
      </c>
      <c r="D196" t="b">
        <v>1</v>
      </c>
      <c r="E196" t="b">
        <v>0</v>
      </c>
      <c r="F196" t="b">
        <v>1</v>
      </c>
      <c r="G196" t="b">
        <v>0</v>
      </c>
      <c r="H196" t="s">
        <v>1457</v>
      </c>
      <c r="I196" t="s">
        <v>1456</v>
      </c>
      <c r="J196" t="s">
        <v>42</v>
      </c>
      <c r="N196" t="s">
        <v>1458</v>
      </c>
      <c r="O196" t="s">
        <v>252</v>
      </c>
      <c r="R196" s="1">
        <v>45359</v>
      </c>
      <c r="S196" s="1">
        <v>46089</v>
      </c>
      <c r="T196" s="2">
        <v>46059.641546018516</v>
      </c>
      <c r="U196" t="s">
        <v>253</v>
      </c>
      <c r="V196" t="s">
        <v>267</v>
      </c>
      <c r="W196" t="s">
        <v>319</v>
      </c>
      <c r="X196" t="s">
        <v>256</v>
      </c>
      <c r="Y196" t="s">
        <v>269</v>
      </c>
      <c r="Z196" s="32" t="s">
        <v>2755</v>
      </c>
      <c r="AA196" t="s">
        <v>320</v>
      </c>
      <c r="AB196" s="23">
        <f t="shared" si="3"/>
        <v>0</v>
      </c>
      <c r="AC196" s="23"/>
      <c r="AD196" s="23"/>
      <c r="AE196" s="23"/>
      <c r="AF196" s="23"/>
      <c r="AG196" s="23"/>
      <c r="AH196" s="23"/>
      <c r="AI196" s="23"/>
      <c r="AJ196" s="23"/>
      <c r="AK196" t="s">
        <v>270</v>
      </c>
      <c r="AL196">
        <v>12502792</v>
      </c>
      <c r="AM196" s="3" t="s">
        <v>1459</v>
      </c>
    </row>
    <row r="197" spans="1:39" hidden="1" x14ac:dyDescent="0.2">
      <c r="A197" t="s">
        <v>1460</v>
      </c>
      <c r="B197" t="b">
        <v>0</v>
      </c>
      <c r="C197" t="b">
        <v>0</v>
      </c>
      <c r="D197" t="b">
        <v>1</v>
      </c>
      <c r="E197" t="b">
        <v>0</v>
      </c>
      <c r="F197" t="b">
        <v>1</v>
      </c>
      <c r="G197" t="b">
        <v>0</v>
      </c>
      <c r="H197" t="s">
        <v>1461</v>
      </c>
      <c r="I197" t="s">
        <v>1460</v>
      </c>
      <c r="J197" t="s">
        <v>154</v>
      </c>
      <c r="K197" t="s">
        <v>1462</v>
      </c>
      <c r="M197" t="s">
        <v>1463</v>
      </c>
      <c r="N197" t="s">
        <v>1464</v>
      </c>
      <c r="O197" t="s">
        <v>252</v>
      </c>
      <c r="R197" s="1">
        <v>44468</v>
      </c>
      <c r="S197" s="1">
        <v>47933</v>
      </c>
      <c r="U197" t="s">
        <v>253</v>
      </c>
      <c r="V197" t="s">
        <v>254</v>
      </c>
      <c r="W197" t="s">
        <v>1465</v>
      </c>
      <c r="X197" t="s">
        <v>334</v>
      </c>
      <c r="Y197" t="s">
        <v>384</v>
      </c>
      <c r="Z197" s="32" t="s">
        <v>2737</v>
      </c>
      <c r="AA197" t="s">
        <v>1466</v>
      </c>
      <c r="AB197" s="23">
        <f t="shared" si="3"/>
        <v>0</v>
      </c>
      <c r="AC197" s="23"/>
      <c r="AD197" s="23"/>
      <c r="AE197" s="23"/>
      <c r="AF197" s="23"/>
      <c r="AG197" s="23"/>
      <c r="AH197" s="23"/>
      <c r="AI197" s="23"/>
      <c r="AJ197" s="23"/>
      <c r="AK197" t="s">
        <v>386</v>
      </c>
      <c r="AL197">
        <v>1985525463369</v>
      </c>
      <c r="AM197" s="3" t="s">
        <v>1467</v>
      </c>
    </row>
    <row r="198" spans="1:39" hidden="1" x14ac:dyDescent="0.2">
      <c r="A198" s="9" t="s">
        <v>1468</v>
      </c>
      <c r="B198" s="9" t="b">
        <v>1</v>
      </c>
      <c r="C198" s="9" t="b">
        <v>1</v>
      </c>
      <c r="D198" s="9" t="b">
        <v>1</v>
      </c>
      <c r="E198" s="9" t="b">
        <v>0</v>
      </c>
      <c r="F198" s="9" t="b">
        <v>0</v>
      </c>
      <c r="G198" s="9" t="b">
        <v>0</v>
      </c>
      <c r="H198" s="9" t="s">
        <v>1469</v>
      </c>
      <c r="I198" s="9" t="s">
        <v>1468</v>
      </c>
      <c r="J198" s="18" t="s">
        <v>172</v>
      </c>
      <c r="K198" s="9" t="s">
        <v>1470</v>
      </c>
      <c r="L198" s="9"/>
      <c r="M198" s="9" t="s">
        <v>1471</v>
      </c>
      <c r="N198" s="9" t="s">
        <v>1472</v>
      </c>
      <c r="O198" s="9" t="s">
        <v>252</v>
      </c>
      <c r="P198" s="9"/>
      <c r="Q198" s="9"/>
      <c r="R198" s="11">
        <v>44075</v>
      </c>
      <c r="S198" s="11">
        <v>48458</v>
      </c>
      <c r="T198" s="9"/>
      <c r="U198" s="9" t="s">
        <v>575</v>
      </c>
      <c r="V198" s="9" t="s">
        <v>254</v>
      </c>
      <c r="W198" s="9" t="s">
        <v>1473</v>
      </c>
      <c r="X198" s="9" t="s">
        <v>256</v>
      </c>
      <c r="Y198" s="9" t="s">
        <v>343</v>
      </c>
      <c r="Z198" s="32" t="s">
        <v>1474</v>
      </c>
      <c r="AA198" s="9" t="s">
        <v>1475</v>
      </c>
      <c r="AB198" s="23">
        <f t="shared" si="3"/>
        <v>0</v>
      </c>
      <c r="AC198" s="23"/>
      <c r="AD198" s="23"/>
      <c r="AE198" s="23"/>
      <c r="AF198" s="23"/>
      <c r="AG198" s="23"/>
      <c r="AH198" s="23"/>
      <c r="AI198" s="23"/>
      <c r="AJ198" s="23"/>
      <c r="AK198" s="9" t="s">
        <v>270</v>
      </c>
      <c r="AL198" s="9">
        <v>705000000</v>
      </c>
      <c r="AM198" s="12" t="s">
        <v>1476</v>
      </c>
    </row>
    <row r="199" spans="1:39" hidden="1" x14ac:dyDescent="0.2">
      <c r="A199" t="s">
        <v>1477</v>
      </c>
      <c r="B199" t="b">
        <v>0</v>
      </c>
      <c r="C199" t="b">
        <v>0</v>
      </c>
      <c r="D199" t="b">
        <v>1</v>
      </c>
      <c r="E199" t="b">
        <v>0</v>
      </c>
      <c r="F199" t="b">
        <v>1</v>
      </c>
      <c r="G199" t="b">
        <v>0</v>
      </c>
      <c r="H199" t="s">
        <v>1478</v>
      </c>
      <c r="I199" t="s">
        <v>1477</v>
      </c>
      <c r="J199" t="s">
        <v>43</v>
      </c>
      <c r="N199" t="s">
        <v>1479</v>
      </c>
      <c r="O199" t="s">
        <v>252</v>
      </c>
      <c r="R199" s="1">
        <v>45246</v>
      </c>
      <c r="S199" s="1">
        <v>46523</v>
      </c>
      <c r="T199" s="2">
        <v>46059.656189479167</v>
      </c>
      <c r="U199" t="s">
        <v>253</v>
      </c>
      <c r="V199" t="s">
        <v>267</v>
      </c>
      <c r="W199" t="s">
        <v>319</v>
      </c>
      <c r="X199" t="s">
        <v>256</v>
      </c>
      <c r="Y199" t="s">
        <v>269</v>
      </c>
      <c r="Z199" s="32" t="s">
        <v>2755</v>
      </c>
      <c r="AA199" t="s">
        <v>320</v>
      </c>
      <c r="AB199" s="23">
        <f t="shared" si="3"/>
        <v>0</v>
      </c>
      <c r="AC199" s="23"/>
      <c r="AD199" s="23"/>
      <c r="AE199" s="23"/>
      <c r="AF199" s="23"/>
      <c r="AG199" s="23"/>
      <c r="AH199" s="23"/>
      <c r="AI199" s="23"/>
      <c r="AJ199" s="23"/>
      <c r="AK199" t="s">
        <v>270</v>
      </c>
      <c r="AL199">
        <v>15196669</v>
      </c>
      <c r="AM199" s="3" t="s">
        <v>1480</v>
      </c>
    </row>
    <row r="200" spans="1:39" hidden="1" x14ac:dyDescent="0.2">
      <c r="A200" t="s">
        <v>1481</v>
      </c>
      <c r="B200" t="b">
        <v>1</v>
      </c>
      <c r="C200" t="b">
        <v>0</v>
      </c>
      <c r="D200" t="b">
        <v>1</v>
      </c>
      <c r="E200" t="b">
        <v>0</v>
      </c>
      <c r="F200" t="b">
        <v>0</v>
      </c>
      <c r="G200" t="s">
        <v>361</v>
      </c>
      <c r="H200" t="s">
        <v>1482</v>
      </c>
      <c r="I200" t="s">
        <v>1481</v>
      </c>
      <c r="J200" t="s">
        <v>1483</v>
      </c>
      <c r="M200" t="s">
        <v>1484</v>
      </c>
      <c r="N200" t="s">
        <v>1485</v>
      </c>
      <c r="O200" t="s">
        <v>252</v>
      </c>
      <c r="R200" s="1">
        <v>43286</v>
      </c>
      <c r="S200" s="1">
        <v>46871</v>
      </c>
      <c r="U200" t="s">
        <v>253</v>
      </c>
      <c r="V200" t="s">
        <v>254</v>
      </c>
      <c r="W200" t="s">
        <v>374</v>
      </c>
      <c r="X200" t="s">
        <v>256</v>
      </c>
      <c r="Y200" t="s">
        <v>257</v>
      </c>
      <c r="AA200" s="6" t="s">
        <v>375</v>
      </c>
      <c r="AB200" s="6" t="s">
        <v>376</v>
      </c>
      <c r="AC200" s="6"/>
      <c r="AD200" s="6"/>
      <c r="AE200" s="6"/>
      <c r="AF200" s="6"/>
      <c r="AG200" s="6"/>
      <c r="AH200" s="6"/>
      <c r="AI200" s="6"/>
      <c r="AJ200" s="6"/>
      <c r="AK200" t="s">
        <v>260</v>
      </c>
      <c r="AL200">
        <v>14000000</v>
      </c>
      <c r="AM200" s="3" t="s">
        <v>1486</v>
      </c>
    </row>
    <row r="201" spans="1:39" hidden="1" x14ac:dyDescent="0.2">
      <c r="A201" t="s">
        <v>1487</v>
      </c>
      <c r="B201" t="b">
        <v>0</v>
      </c>
      <c r="C201" t="b">
        <v>0</v>
      </c>
      <c r="D201" t="b">
        <v>0</v>
      </c>
      <c r="E201" t="b">
        <v>0</v>
      </c>
      <c r="F201" t="b">
        <v>0</v>
      </c>
      <c r="G201" t="b">
        <v>1</v>
      </c>
      <c r="H201" t="s">
        <v>1488</v>
      </c>
      <c r="I201" t="s">
        <v>1487</v>
      </c>
      <c r="J201" t="s">
        <v>176</v>
      </c>
      <c r="K201" t="s">
        <v>1489</v>
      </c>
      <c r="L201" t="s">
        <v>1490</v>
      </c>
      <c r="N201" t="s">
        <v>1491</v>
      </c>
      <c r="O201" t="s">
        <v>252</v>
      </c>
      <c r="R201" s="1">
        <v>44224</v>
      </c>
      <c r="S201" s="1">
        <v>46780</v>
      </c>
      <c r="T201" s="2">
        <v>45149.560605729166</v>
      </c>
      <c r="U201" t="s">
        <v>253</v>
      </c>
      <c r="V201" t="s">
        <v>295</v>
      </c>
      <c r="W201" t="s">
        <v>1492</v>
      </c>
      <c r="X201" t="s">
        <v>256</v>
      </c>
      <c r="Y201" t="s">
        <v>257</v>
      </c>
      <c r="AA201" t="s">
        <v>1493</v>
      </c>
      <c r="AB201" s="23">
        <f>AQ201</f>
        <v>0</v>
      </c>
      <c r="AC201" s="23"/>
      <c r="AD201" s="23"/>
      <c r="AE201" s="23"/>
      <c r="AF201" s="23"/>
      <c r="AG201" s="23"/>
      <c r="AH201" s="23"/>
      <c r="AI201" s="23"/>
      <c r="AJ201" s="23"/>
      <c r="AK201" t="s">
        <v>270</v>
      </c>
      <c r="AL201">
        <v>750000000</v>
      </c>
      <c r="AM201" s="3" t="s">
        <v>1259</v>
      </c>
    </row>
    <row r="202" spans="1:39" hidden="1" x14ac:dyDescent="0.2">
      <c r="A202" t="s">
        <v>1494</v>
      </c>
      <c r="B202" t="b">
        <v>1</v>
      </c>
      <c r="C202" t="b">
        <v>0</v>
      </c>
      <c r="D202" t="b">
        <v>1</v>
      </c>
      <c r="E202" t="s">
        <v>248</v>
      </c>
      <c r="F202" t="b">
        <v>0</v>
      </c>
      <c r="G202" t="b">
        <v>0</v>
      </c>
      <c r="H202" t="s">
        <v>1495</v>
      </c>
      <c r="I202" t="s">
        <v>1494</v>
      </c>
      <c r="J202" t="s">
        <v>1496</v>
      </c>
      <c r="N202" t="s">
        <v>1497</v>
      </c>
      <c r="O202" t="s">
        <v>252</v>
      </c>
      <c r="R202" s="1">
        <v>42901</v>
      </c>
      <c r="S202" s="1">
        <v>48014</v>
      </c>
      <c r="U202" t="s">
        <v>253</v>
      </c>
      <c r="V202" t="s">
        <v>254</v>
      </c>
      <c r="W202" t="s">
        <v>1498</v>
      </c>
      <c r="X202" t="s">
        <v>256</v>
      </c>
      <c r="Y202" t="s">
        <v>257</v>
      </c>
      <c r="AA202" s="6" t="s">
        <v>1499</v>
      </c>
      <c r="AB202" s="7" t="s">
        <v>1500</v>
      </c>
      <c r="AC202" s="7"/>
      <c r="AD202" s="7"/>
      <c r="AE202" s="7"/>
      <c r="AF202" s="7"/>
      <c r="AG202" s="7"/>
      <c r="AH202" s="7"/>
      <c r="AI202" s="7"/>
      <c r="AJ202" s="7"/>
      <c r="AK202" t="s">
        <v>260</v>
      </c>
      <c r="AL202">
        <v>48000000</v>
      </c>
      <c r="AM202" s="3" t="s">
        <v>1501</v>
      </c>
    </row>
    <row r="203" spans="1:39" hidden="1" x14ac:dyDescent="0.2">
      <c r="A203" t="s">
        <v>1502</v>
      </c>
      <c r="B203" t="b">
        <v>0</v>
      </c>
      <c r="C203" t="b">
        <v>0</v>
      </c>
      <c r="D203" t="b">
        <v>1</v>
      </c>
      <c r="E203" t="b">
        <v>0</v>
      </c>
      <c r="F203" t="b">
        <v>1</v>
      </c>
      <c r="G203" t="b">
        <v>0</v>
      </c>
      <c r="H203" t="s">
        <v>1503</v>
      </c>
      <c r="I203" t="s">
        <v>1502</v>
      </c>
      <c r="J203" t="s">
        <v>90</v>
      </c>
      <c r="K203" t="s">
        <v>1504</v>
      </c>
      <c r="N203" t="s">
        <v>1505</v>
      </c>
      <c r="O203" t="s">
        <v>252</v>
      </c>
      <c r="P203" t="s">
        <v>465</v>
      </c>
      <c r="Q203" t="s">
        <v>466</v>
      </c>
      <c r="R203" s="1">
        <v>43789</v>
      </c>
      <c r="S203" s="1">
        <v>46346</v>
      </c>
      <c r="U203" t="s">
        <v>253</v>
      </c>
      <c r="V203" t="s">
        <v>254</v>
      </c>
      <c r="W203" t="s">
        <v>467</v>
      </c>
      <c r="X203" t="s">
        <v>305</v>
      </c>
      <c r="Y203" t="s">
        <v>306</v>
      </c>
      <c r="Z203" s="32" t="s">
        <v>651</v>
      </c>
      <c r="AA203" t="s">
        <v>468</v>
      </c>
      <c r="AB203" s="23">
        <f>AQ203</f>
        <v>0</v>
      </c>
      <c r="AC203" s="23"/>
      <c r="AD203" s="23"/>
      <c r="AE203" s="23"/>
      <c r="AF203" s="23"/>
      <c r="AG203" s="23"/>
      <c r="AH203" s="23"/>
      <c r="AI203" s="23"/>
      <c r="AJ203" s="23"/>
      <c r="AK203" t="s">
        <v>830</v>
      </c>
      <c r="AL203">
        <v>750000000</v>
      </c>
      <c r="AM203" s="3" t="s">
        <v>1506</v>
      </c>
    </row>
    <row r="204" spans="1:39" hidden="1" x14ac:dyDescent="0.2">
      <c r="A204" s="14" t="s">
        <v>1507</v>
      </c>
      <c r="B204" s="14" t="b">
        <v>1</v>
      </c>
      <c r="C204" s="14" t="b">
        <v>0</v>
      </c>
      <c r="D204" s="14" t="b">
        <v>1</v>
      </c>
      <c r="E204" s="14" t="s">
        <v>522</v>
      </c>
      <c r="F204" s="14" t="b">
        <v>0</v>
      </c>
      <c r="G204" s="14" t="b">
        <v>0</v>
      </c>
      <c r="H204" s="14" t="s">
        <v>1508</v>
      </c>
      <c r="I204" s="14" t="s">
        <v>1507</v>
      </c>
      <c r="J204" s="19" t="s">
        <v>100</v>
      </c>
      <c r="K204" s="14" t="s">
        <v>1509</v>
      </c>
      <c r="L204" s="14"/>
      <c r="M204" s="14" t="s">
        <v>1510</v>
      </c>
      <c r="N204" s="14" t="s">
        <v>1511</v>
      </c>
      <c r="O204" s="14" t="s">
        <v>252</v>
      </c>
      <c r="P204" s="14"/>
      <c r="Q204" s="14"/>
      <c r="R204" s="15">
        <v>44172</v>
      </c>
      <c r="S204" s="15">
        <v>52732</v>
      </c>
      <c r="T204" s="14"/>
      <c r="U204" s="14" t="s">
        <v>441</v>
      </c>
      <c r="V204" s="14" t="s">
        <v>267</v>
      </c>
      <c r="W204" s="14" t="s">
        <v>1042</v>
      </c>
      <c r="X204" s="14" t="s">
        <v>256</v>
      </c>
      <c r="Y204" s="14" t="s">
        <v>257</v>
      </c>
      <c r="Z204" s="35" t="s">
        <v>1398</v>
      </c>
      <c r="AA204" s="14" t="s">
        <v>1399</v>
      </c>
      <c r="AB204" s="23">
        <f>AQ204</f>
        <v>0</v>
      </c>
      <c r="AC204" s="23"/>
      <c r="AD204" s="23" t="s">
        <v>2897</v>
      </c>
      <c r="AE204" s="23" t="s">
        <v>2897</v>
      </c>
      <c r="AF204" s="23" t="s">
        <v>2897</v>
      </c>
      <c r="AG204" s="23" t="s">
        <v>2897</v>
      </c>
      <c r="AH204" s="23" t="s">
        <v>2897</v>
      </c>
      <c r="AI204" s="23"/>
      <c r="AJ204" s="23"/>
      <c r="AK204" s="14" t="s">
        <v>260</v>
      </c>
      <c r="AL204" s="14">
        <v>800000000</v>
      </c>
      <c r="AM204" s="16" t="s">
        <v>1512</v>
      </c>
    </row>
    <row r="205" spans="1:39" x14ac:dyDescent="0.2">
      <c r="A205" t="s">
        <v>1513</v>
      </c>
      <c r="B205" t="b">
        <v>1</v>
      </c>
      <c r="C205" t="b">
        <v>0</v>
      </c>
      <c r="D205" t="b">
        <v>1</v>
      </c>
      <c r="E205" t="s">
        <v>522</v>
      </c>
      <c r="F205" t="b">
        <v>0</v>
      </c>
      <c r="G205" t="b">
        <v>0</v>
      </c>
      <c r="H205" t="s">
        <v>1514</v>
      </c>
      <c r="I205" t="s">
        <v>1513</v>
      </c>
      <c r="J205" s="20" t="s">
        <v>164</v>
      </c>
      <c r="K205" t="s">
        <v>1515</v>
      </c>
      <c r="N205" t="s">
        <v>1516</v>
      </c>
      <c r="O205" t="s">
        <v>252</v>
      </c>
      <c r="R205" s="1">
        <v>43581</v>
      </c>
      <c r="S205" s="1">
        <v>44677</v>
      </c>
      <c r="U205" t="s">
        <v>253</v>
      </c>
      <c r="V205" t="s">
        <v>254</v>
      </c>
      <c r="W205" t="s">
        <v>1517</v>
      </c>
      <c r="X205" t="s">
        <v>305</v>
      </c>
      <c r="Y205" t="s">
        <v>808</v>
      </c>
      <c r="Z205" s="35" t="s">
        <v>1518</v>
      </c>
      <c r="AA205" t="s">
        <v>1519</v>
      </c>
      <c r="AB205" s="23">
        <f>AQ205</f>
        <v>0</v>
      </c>
      <c r="AC205" s="23" t="s">
        <v>2899</v>
      </c>
      <c r="AD205" s="23" t="s">
        <v>2878</v>
      </c>
      <c r="AE205" s="23" t="s">
        <v>2889</v>
      </c>
      <c r="AF205" s="23" t="s">
        <v>2884</v>
      </c>
      <c r="AG205" s="23" t="s">
        <v>2885</v>
      </c>
      <c r="AH205" s="23" t="s">
        <v>2852</v>
      </c>
      <c r="AI205" s="23" t="s">
        <v>2912</v>
      </c>
      <c r="AJ205" s="23" t="s">
        <v>2914</v>
      </c>
      <c r="AK205" t="s">
        <v>811</v>
      </c>
      <c r="AL205">
        <v>100000000</v>
      </c>
      <c r="AM205" s="3" t="s">
        <v>1520</v>
      </c>
    </row>
    <row r="206" spans="1:39" hidden="1" x14ac:dyDescent="0.2">
      <c r="A206" t="s">
        <v>1521</v>
      </c>
      <c r="B206" t="b">
        <v>0</v>
      </c>
      <c r="C206" t="b">
        <v>0</v>
      </c>
      <c r="D206" t="b">
        <v>1</v>
      </c>
      <c r="E206" t="b">
        <v>0</v>
      </c>
      <c r="F206" t="b">
        <v>1</v>
      </c>
      <c r="G206" t="s">
        <v>361</v>
      </c>
      <c r="H206" t="s">
        <v>1522</v>
      </c>
      <c r="I206" t="s">
        <v>1521</v>
      </c>
      <c r="M206" t="s">
        <v>1523</v>
      </c>
      <c r="N206" t="s">
        <v>1523</v>
      </c>
      <c r="O206" t="s">
        <v>252</v>
      </c>
      <c r="P206" t="s">
        <v>397</v>
      </c>
      <c r="Q206" t="s">
        <v>398</v>
      </c>
      <c r="R206" s="1">
        <v>43799</v>
      </c>
      <c r="S206" s="1">
        <v>45260</v>
      </c>
      <c r="U206" t="s">
        <v>253</v>
      </c>
      <c r="V206" t="s">
        <v>254</v>
      </c>
      <c r="W206" t="s">
        <v>399</v>
      </c>
      <c r="X206" t="s">
        <v>256</v>
      </c>
      <c r="Y206" t="s">
        <v>400</v>
      </c>
      <c r="AK206" t="s">
        <v>401</v>
      </c>
      <c r="AL206">
        <v>4500000</v>
      </c>
      <c r="AM206" s="3" t="s">
        <v>1524</v>
      </c>
    </row>
    <row r="207" spans="1:39" hidden="1" x14ac:dyDescent="0.2">
      <c r="A207" s="9" t="s">
        <v>1525</v>
      </c>
      <c r="B207" s="9" t="b">
        <v>1</v>
      </c>
      <c r="C207" s="9" t="b">
        <v>1</v>
      </c>
      <c r="D207" s="9" t="b">
        <v>1</v>
      </c>
      <c r="E207" s="9" t="b">
        <v>0</v>
      </c>
      <c r="F207" s="9" t="b">
        <v>0</v>
      </c>
      <c r="G207" s="9" t="b">
        <v>0</v>
      </c>
      <c r="H207" s="9" t="s">
        <v>1526</v>
      </c>
      <c r="I207" s="9" t="s">
        <v>1525</v>
      </c>
      <c r="J207" s="10" t="s">
        <v>182</v>
      </c>
      <c r="K207" s="9"/>
      <c r="L207" s="9"/>
      <c r="M207" s="9"/>
      <c r="N207" s="9" t="s">
        <v>1527</v>
      </c>
      <c r="O207" s="9" t="s">
        <v>252</v>
      </c>
      <c r="P207" s="9"/>
      <c r="Q207" s="9"/>
      <c r="R207" s="11">
        <v>43755</v>
      </c>
      <c r="S207" s="11">
        <v>45566</v>
      </c>
      <c r="T207" s="9"/>
      <c r="U207" s="9" t="s">
        <v>285</v>
      </c>
      <c r="V207" s="9" t="s">
        <v>254</v>
      </c>
      <c r="W207" s="9" t="s">
        <v>1528</v>
      </c>
      <c r="X207" s="9" t="s">
        <v>256</v>
      </c>
      <c r="Y207" s="9" t="s">
        <v>287</v>
      </c>
      <c r="Z207" s="32" t="s">
        <v>1529</v>
      </c>
      <c r="AA207" s="9" t="s">
        <v>1530</v>
      </c>
      <c r="AB207" s="23">
        <f>AQ207</f>
        <v>0</v>
      </c>
      <c r="AC207" s="23"/>
      <c r="AD207" s="23"/>
      <c r="AE207" s="23"/>
      <c r="AF207" s="23"/>
      <c r="AG207" s="23"/>
      <c r="AH207" s="23"/>
      <c r="AI207" s="23"/>
      <c r="AJ207" s="23"/>
      <c r="AK207" s="9" t="s">
        <v>290</v>
      </c>
      <c r="AL207" s="9">
        <v>1500000</v>
      </c>
      <c r="AM207" s="12" t="s">
        <v>1531</v>
      </c>
    </row>
    <row r="208" spans="1:39" hidden="1" x14ac:dyDescent="0.2">
      <c r="A208" t="s">
        <v>1532</v>
      </c>
      <c r="B208" t="b">
        <v>0</v>
      </c>
      <c r="C208" t="b">
        <v>0</v>
      </c>
      <c r="D208" t="b">
        <v>1</v>
      </c>
      <c r="E208" t="b">
        <v>0</v>
      </c>
      <c r="F208" t="b">
        <v>1</v>
      </c>
      <c r="G208" t="s">
        <v>361</v>
      </c>
      <c r="H208" t="s">
        <v>1533</v>
      </c>
      <c r="I208" t="s">
        <v>1532</v>
      </c>
      <c r="J208" t="s">
        <v>1534</v>
      </c>
      <c r="M208" t="s">
        <v>1535</v>
      </c>
      <c r="N208" t="s">
        <v>1536</v>
      </c>
      <c r="O208" t="s">
        <v>252</v>
      </c>
      <c r="R208" s="1">
        <v>44614</v>
      </c>
      <c r="S208" s="1">
        <v>50055</v>
      </c>
      <c r="U208" t="s">
        <v>253</v>
      </c>
      <c r="V208" t="s">
        <v>254</v>
      </c>
      <c r="W208" t="s">
        <v>666</v>
      </c>
      <c r="X208" t="s">
        <v>256</v>
      </c>
      <c r="Y208" t="s">
        <v>257</v>
      </c>
      <c r="AK208" t="s">
        <v>260</v>
      </c>
      <c r="AL208">
        <v>492884000</v>
      </c>
      <c r="AM208" s="3" t="s">
        <v>1537</v>
      </c>
    </row>
    <row r="209" spans="1:39" hidden="1" x14ac:dyDescent="0.2">
      <c r="A209" t="s">
        <v>1538</v>
      </c>
      <c r="B209" t="b">
        <v>0</v>
      </c>
      <c r="C209" t="b">
        <v>0</v>
      </c>
      <c r="D209" t="b">
        <v>1</v>
      </c>
      <c r="E209" t="b">
        <v>0</v>
      </c>
      <c r="F209" t="b">
        <v>1</v>
      </c>
      <c r="G209" t="b">
        <v>0</v>
      </c>
      <c r="H209" t="s">
        <v>1539</v>
      </c>
      <c r="I209" t="s">
        <v>1538</v>
      </c>
      <c r="J209" t="s">
        <v>8</v>
      </c>
      <c r="N209" t="s">
        <v>1540</v>
      </c>
      <c r="O209" t="s">
        <v>252</v>
      </c>
      <c r="P209" t="s">
        <v>275</v>
      </c>
      <c r="Q209" t="s">
        <v>276</v>
      </c>
      <c r="R209" s="1">
        <v>43887</v>
      </c>
      <c r="S209" s="1">
        <v>44985</v>
      </c>
      <c r="T209" s="2">
        <v>45960.665353252312</v>
      </c>
      <c r="U209" t="s">
        <v>253</v>
      </c>
      <c r="V209" t="s">
        <v>267</v>
      </c>
      <c r="W209" t="s">
        <v>277</v>
      </c>
      <c r="X209" t="s">
        <v>278</v>
      </c>
      <c r="Y209" t="s">
        <v>279</v>
      </c>
      <c r="Z209" s="32" t="s">
        <v>1072</v>
      </c>
      <c r="AA209" t="s">
        <v>280</v>
      </c>
      <c r="AB209" s="23">
        <f t="shared" ref="AB209:AB214" si="4">AQ209</f>
        <v>0</v>
      </c>
      <c r="AC209" s="23"/>
      <c r="AD209" s="23"/>
      <c r="AE209" s="23"/>
      <c r="AF209" s="23"/>
      <c r="AG209" s="23"/>
      <c r="AH209" s="23"/>
      <c r="AI209" s="23"/>
      <c r="AJ209" s="23"/>
      <c r="AK209" t="s">
        <v>270</v>
      </c>
      <c r="AL209">
        <v>1000000</v>
      </c>
      <c r="AM209" s="3" t="s">
        <v>765</v>
      </c>
    </row>
    <row r="210" spans="1:39" hidden="1" x14ac:dyDescent="0.2">
      <c r="A210" t="s">
        <v>1541</v>
      </c>
      <c r="B210" t="b">
        <v>0</v>
      </c>
      <c r="C210" t="b">
        <v>0</v>
      </c>
      <c r="D210" t="b">
        <v>1</v>
      </c>
      <c r="E210" t="b">
        <v>0</v>
      </c>
      <c r="F210" t="b">
        <v>1</v>
      </c>
      <c r="G210" t="b">
        <v>0</v>
      </c>
      <c r="H210" t="s">
        <v>1542</v>
      </c>
      <c r="I210" t="s">
        <v>1541</v>
      </c>
      <c r="M210" t="s">
        <v>1543</v>
      </c>
      <c r="N210" t="s">
        <v>1544</v>
      </c>
      <c r="O210" t="s">
        <v>252</v>
      </c>
      <c r="P210" t="s">
        <v>1277</v>
      </c>
      <c r="Q210" t="s">
        <v>1278</v>
      </c>
      <c r="R210" s="1">
        <v>45280</v>
      </c>
      <c r="S210" s="1">
        <v>47080</v>
      </c>
      <c r="T210" s="2">
        <v>45369.549036342592</v>
      </c>
      <c r="U210" t="s">
        <v>253</v>
      </c>
      <c r="V210" t="s">
        <v>267</v>
      </c>
      <c r="W210" t="s">
        <v>1279</v>
      </c>
      <c r="X210" t="s">
        <v>305</v>
      </c>
      <c r="Y210" t="s">
        <v>1280</v>
      </c>
      <c r="Z210" s="32" t="s">
        <v>2739</v>
      </c>
      <c r="AA210" t="s">
        <v>1281</v>
      </c>
      <c r="AB210" s="23">
        <f t="shared" si="4"/>
        <v>0</v>
      </c>
      <c r="AC210" s="23"/>
      <c r="AD210" s="23"/>
      <c r="AE210" s="23"/>
      <c r="AF210" s="23"/>
      <c r="AG210" s="23"/>
      <c r="AH210" s="23"/>
      <c r="AI210" s="23"/>
      <c r="AJ210" s="23"/>
      <c r="AK210" t="s">
        <v>1282</v>
      </c>
      <c r="AL210">
        <v>30870000</v>
      </c>
      <c r="AM210" s="3" t="s">
        <v>1545</v>
      </c>
    </row>
    <row r="211" spans="1:39" hidden="1" x14ac:dyDescent="0.2">
      <c r="A211" t="s">
        <v>1546</v>
      </c>
      <c r="B211" t="b">
        <v>0</v>
      </c>
      <c r="C211" t="b">
        <v>0</v>
      </c>
      <c r="D211" t="b">
        <v>1</v>
      </c>
      <c r="E211" t="b">
        <v>0</v>
      </c>
      <c r="F211" t="b">
        <v>1</v>
      </c>
      <c r="G211" t="b">
        <v>0</v>
      </c>
      <c r="H211" t="s">
        <v>1547</v>
      </c>
      <c r="I211" t="s">
        <v>1546</v>
      </c>
      <c r="J211" t="s">
        <v>162</v>
      </c>
      <c r="N211" t="s">
        <v>1548</v>
      </c>
      <c r="O211" t="s">
        <v>252</v>
      </c>
      <c r="R211" s="1">
        <v>44508</v>
      </c>
      <c r="S211" s="1">
        <v>46989</v>
      </c>
      <c r="T211" s="2">
        <v>46163.839127488427</v>
      </c>
      <c r="U211" t="s">
        <v>253</v>
      </c>
      <c r="V211" t="s">
        <v>267</v>
      </c>
      <c r="W211" t="s">
        <v>1549</v>
      </c>
      <c r="X211" t="s">
        <v>256</v>
      </c>
      <c r="Y211" t="s">
        <v>351</v>
      </c>
      <c r="Z211" s="32" t="s">
        <v>2747</v>
      </c>
      <c r="AA211" t="s">
        <v>1550</v>
      </c>
      <c r="AB211" s="23">
        <f t="shared" si="4"/>
        <v>0</v>
      </c>
      <c r="AC211" s="23"/>
      <c r="AD211" s="23"/>
      <c r="AE211" s="23"/>
      <c r="AF211" s="23"/>
      <c r="AG211" s="23"/>
      <c r="AH211" s="23"/>
      <c r="AI211" s="23"/>
      <c r="AJ211" s="23"/>
      <c r="AK211" t="s">
        <v>647</v>
      </c>
      <c r="AL211">
        <v>14443000000</v>
      </c>
      <c r="AM211" s="3" t="s">
        <v>1551</v>
      </c>
    </row>
    <row r="212" spans="1:39" x14ac:dyDescent="0.2">
      <c r="A212" s="14" t="s">
        <v>1552</v>
      </c>
      <c r="B212" s="14" t="b">
        <v>1</v>
      </c>
      <c r="C212" s="14" t="b">
        <v>0</v>
      </c>
      <c r="D212" s="14" t="b">
        <v>1</v>
      </c>
      <c r="E212" s="14" t="s">
        <v>522</v>
      </c>
      <c r="F212" s="14" t="b">
        <v>0</v>
      </c>
      <c r="G212" s="14" t="b">
        <v>0</v>
      </c>
      <c r="H212" s="14" t="s">
        <v>1553</v>
      </c>
      <c r="I212" s="14" t="s">
        <v>1552</v>
      </c>
      <c r="J212" s="17"/>
      <c r="K212" s="14"/>
      <c r="L212" s="14"/>
      <c r="M212" s="20" t="s">
        <v>1554</v>
      </c>
      <c r="N212" s="14" t="s">
        <v>1555</v>
      </c>
      <c r="O212" s="14" t="s">
        <v>252</v>
      </c>
      <c r="P212" s="14"/>
      <c r="Q212" s="14"/>
      <c r="R212" s="15">
        <v>44427</v>
      </c>
      <c r="S212" s="15">
        <v>49552</v>
      </c>
      <c r="T212" s="14"/>
      <c r="U212" s="14" t="s">
        <v>253</v>
      </c>
      <c r="V212" s="14" t="s">
        <v>254</v>
      </c>
      <c r="W212" s="14" t="s">
        <v>1030</v>
      </c>
      <c r="X212" s="14" t="s">
        <v>256</v>
      </c>
      <c r="Y212" s="14" t="s">
        <v>257</v>
      </c>
      <c r="Z212" s="35" t="s">
        <v>1556</v>
      </c>
      <c r="AA212" s="14" t="s">
        <v>1557</v>
      </c>
      <c r="AB212" s="23">
        <f t="shared" si="4"/>
        <v>0</v>
      </c>
      <c r="AC212" s="23"/>
      <c r="AD212" s="23" t="s">
        <v>2873</v>
      </c>
      <c r="AE212" s="23" t="s">
        <v>2890</v>
      </c>
      <c r="AF212" s="23" t="s">
        <v>2884</v>
      </c>
      <c r="AG212" s="23" t="s">
        <v>2884</v>
      </c>
      <c r="AH212" s="23" t="s">
        <v>2851</v>
      </c>
      <c r="AI212" s="23" t="s">
        <v>2912</v>
      </c>
      <c r="AJ212" s="23" t="s">
        <v>2914</v>
      </c>
      <c r="AK212" s="14" t="s">
        <v>260</v>
      </c>
      <c r="AL212" s="14">
        <v>82850000</v>
      </c>
      <c r="AM212" s="16" t="s">
        <v>1558</v>
      </c>
    </row>
    <row r="213" spans="1:39" hidden="1" x14ac:dyDescent="0.2">
      <c r="A213" t="s">
        <v>696</v>
      </c>
      <c r="B213" t="b">
        <v>0</v>
      </c>
      <c r="C213" t="b">
        <v>0</v>
      </c>
      <c r="D213" t="b">
        <v>0</v>
      </c>
      <c r="E213" t="b">
        <v>0</v>
      </c>
      <c r="F213" t="b">
        <v>0</v>
      </c>
      <c r="G213" t="b">
        <v>1</v>
      </c>
      <c r="H213" t="s">
        <v>697</v>
      </c>
      <c r="I213" t="s">
        <v>696</v>
      </c>
      <c r="M213" t="s">
        <v>1559</v>
      </c>
      <c r="N213" t="s">
        <v>1560</v>
      </c>
      <c r="O213" t="s">
        <v>382</v>
      </c>
      <c r="S213" s="1">
        <v>48138</v>
      </c>
      <c r="T213" s="2">
        <v>44937.850349166663</v>
      </c>
      <c r="U213" t="s">
        <v>253</v>
      </c>
      <c r="V213" t="s">
        <v>295</v>
      </c>
      <c r="W213" t="s">
        <v>342</v>
      </c>
      <c r="X213" t="s">
        <v>305</v>
      </c>
      <c r="Y213" t="s">
        <v>343</v>
      </c>
      <c r="AA213" t="s">
        <v>344</v>
      </c>
      <c r="AB213" s="23">
        <f t="shared" si="4"/>
        <v>0</v>
      </c>
      <c r="AC213" s="23"/>
      <c r="AD213" s="23"/>
      <c r="AE213" s="23"/>
      <c r="AF213" s="23"/>
      <c r="AG213" s="23"/>
      <c r="AH213" s="23"/>
      <c r="AI213" s="23"/>
      <c r="AJ213" s="23"/>
      <c r="AK213" t="s">
        <v>345</v>
      </c>
    </row>
    <row r="214" spans="1:39" hidden="1" x14ac:dyDescent="0.2">
      <c r="A214" t="s">
        <v>1561</v>
      </c>
      <c r="B214" t="b">
        <v>0</v>
      </c>
      <c r="C214" t="b">
        <v>0</v>
      </c>
      <c r="D214" t="b">
        <v>1</v>
      </c>
      <c r="E214" t="b">
        <v>0</v>
      </c>
      <c r="F214" t="b">
        <v>1</v>
      </c>
      <c r="G214" t="b">
        <v>0</v>
      </c>
      <c r="H214" t="s">
        <v>1562</v>
      </c>
      <c r="I214" t="s">
        <v>1561</v>
      </c>
      <c r="J214" t="s">
        <v>24</v>
      </c>
      <c r="K214" t="s">
        <v>1563</v>
      </c>
      <c r="N214" t="s">
        <v>1564</v>
      </c>
      <c r="O214" t="s">
        <v>252</v>
      </c>
      <c r="P214" t="s">
        <v>275</v>
      </c>
      <c r="Q214" t="s">
        <v>276</v>
      </c>
      <c r="R214" s="1">
        <v>45572</v>
      </c>
      <c r="S214" s="1">
        <v>46667</v>
      </c>
      <c r="T214" s="2">
        <v>45960.676731828702</v>
      </c>
      <c r="U214" t="s">
        <v>253</v>
      </c>
      <c r="V214" t="s">
        <v>267</v>
      </c>
      <c r="W214" t="s">
        <v>277</v>
      </c>
      <c r="X214" t="s">
        <v>278</v>
      </c>
      <c r="Y214" t="s">
        <v>279</v>
      </c>
      <c r="Z214" s="32" t="s">
        <v>1072</v>
      </c>
      <c r="AA214" t="s">
        <v>280</v>
      </c>
      <c r="AB214" s="23">
        <f t="shared" si="4"/>
        <v>0</v>
      </c>
      <c r="AC214" s="23"/>
      <c r="AD214" s="23"/>
      <c r="AE214" s="23"/>
      <c r="AF214" s="23"/>
      <c r="AG214" s="23"/>
      <c r="AH214" s="23"/>
      <c r="AI214" s="23"/>
      <c r="AJ214" s="23"/>
      <c r="AK214" t="s">
        <v>270</v>
      </c>
      <c r="AL214">
        <v>2000000</v>
      </c>
      <c r="AM214" s="3" t="s">
        <v>281</v>
      </c>
    </row>
    <row r="215" spans="1:39" hidden="1" x14ac:dyDescent="0.2">
      <c r="A215" t="s">
        <v>1565</v>
      </c>
      <c r="B215" t="b">
        <v>0</v>
      </c>
      <c r="C215" t="b">
        <v>0</v>
      </c>
      <c r="D215" t="b">
        <v>1</v>
      </c>
      <c r="E215" t="b">
        <v>0</v>
      </c>
      <c r="F215" t="b">
        <v>1</v>
      </c>
      <c r="G215" t="s">
        <v>361</v>
      </c>
      <c r="H215" t="s">
        <v>1566</v>
      </c>
      <c r="I215" t="s">
        <v>1565</v>
      </c>
      <c r="J215" t="s">
        <v>1567</v>
      </c>
      <c r="N215" t="s">
        <v>1568</v>
      </c>
      <c r="O215" t="s">
        <v>252</v>
      </c>
      <c r="P215" t="s">
        <v>896</v>
      </c>
      <c r="Q215" t="s">
        <v>897</v>
      </c>
      <c r="R215" s="1">
        <v>44298</v>
      </c>
      <c r="S215" s="1">
        <v>45986</v>
      </c>
      <c r="T215" s="2">
        <v>44946.54771327546</v>
      </c>
      <c r="U215" t="s">
        <v>253</v>
      </c>
      <c r="V215" t="s">
        <v>267</v>
      </c>
      <c r="W215" t="s">
        <v>900</v>
      </c>
      <c r="X215" t="s">
        <v>256</v>
      </c>
      <c r="Y215" t="s">
        <v>257</v>
      </c>
      <c r="AK215" t="s">
        <v>260</v>
      </c>
      <c r="AL215">
        <v>35000000</v>
      </c>
      <c r="AM215" s="3" t="s">
        <v>1569</v>
      </c>
    </row>
    <row r="216" spans="1:39" hidden="1" x14ac:dyDescent="0.2">
      <c r="A216" t="s">
        <v>1570</v>
      </c>
      <c r="B216" t="b">
        <v>0</v>
      </c>
      <c r="C216" t="b">
        <v>0</v>
      </c>
      <c r="D216" t="b">
        <v>0</v>
      </c>
      <c r="E216" t="b">
        <v>0</v>
      </c>
      <c r="F216" t="b">
        <v>0</v>
      </c>
      <c r="G216" t="b">
        <v>1</v>
      </c>
      <c r="H216" t="s">
        <v>1571</v>
      </c>
      <c r="I216" t="s">
        <v>1570</v>
      </c>
      <c r="J216" t="s">
        <v>97</v>
      </c>
      <c r="N216" t="s">
        <v>1572</v>
      </c>
      <c r="O216" t="s">
        <v>252</v>
      </c>
      <c r="P216" t="s">
        <v>859</v>
      </c>
      <c r="Q216" t="s">
        <v>860</v>
      </c>
      <c r="R216" s="1">
        <v>44462</v>
      </c>
      <c r="S216" s="1">
        <v>46288</v>
      </c>
      <c r="T216" s="2">
        <v>45149.69504712963</v>
      </c>
      <c r="U216" t="s">
        <v>253</v>
      </c>
      <c r="V216" t="s">
        <v>295</v>
      </c>
      <c r="W216" t="s">
        <v>861</v>
      </c>
      <c r="X216" t="s">
        <v>278</v>
      </c>
      <c r="Y216" t="s">
        <v>351</v>
      </c>
      <c r="AA216" t="s">
        <v>862</v>
      </c>
      <c r="AB216" s="23">
        <f>AQ216</f>
        <v>0</v>
      </c>
      <c r="AC216" s="23"/>
      <c r="AD216" s="23"/>
      <c r="AE216" s="23"/>
      <c r="AF216" s="23"/>
      <c r="AG216" s="23"/>
      <c r="AH216" s="23"/>
      <c r="AI216" s="23"/>
      <c r="AJ216" s="23"/>
      <c r="AK216" t="s">
        <v>270</v>
      </c>
      <c r="AL216">
        <v>10000000</v>
      </c>
      <c r="AM216" s="3" t="s">
        <v>863</v>
      </c>
    </row>
    <row r="217" spans="1:39" hidden="1" x14ac:dyDescent="0.2">
      <c r="A217" t="s">
        <v>1573</v>
      </c>
      <c r="B217" t="b">
        <v>1</v>
      </c>
      <c r="C217" t="b">
        <v>0</v>
      </c>
      <c r="D217" t="b">
        <v>1</v>
      </c>
      <c r="E217" t="s">
        <v>248</v>
      </c>
      <c r="F217" t="b">
        <v>0</v>
      </c>
      <c r="G217" t="b">
        <v>0</v>
      </c>
      <c r="H217" t="s">
        <v>1574</v>
      </c>
      <c r="I217" t="s">
        <v>1573</v>
      </c>
      <c r="J217" t="s">
        <v>1575</v>
      </c>
      <c r="M217" t="s">
        <v>1576</v>
      </c>
      <c r="N217" t="s">
        <v>1577</v>
      </c>
      <c r="O217" t="s">
        <v>252</v>
      </c>
      <c r="R217" s="1">
        <v>44076</v>
      </c>
      <c r="S217" s="1">
        <v>44441</v>
      </c>
      <c r="U217" t="s">
        <v>743</v>
      </c>
      <c r="V217" t="s">
        <v>254</v>
      </c>
      <c r="W217" t="s">
        <v>1578</v>
      </c>
      <c r="X217" t="s">
        <v>256</v>
      </c>
      <c r="Y217" t="s">
        <v>269</v>
      </c>
      <c r="AA217" t="s">
        <v>1579</v>
      </c>
      <c r="AB217" s="7" t="s">
        <v>1580</v>
      </c>
      <c r="AC217" s="7"/>
      <c r="AD217" s="7"/>
      <c r="AE217" s="7"/>
      <c r="AF217" s="7"/>
      <c r="AG217" s="7"/>
      <c r="AH217" s="7"/>
      <c r="AI217" s="7"/>
      <c r="AJ217" s="7"/>
      <c r="AK217" t="s">
        <v>488</v>
      </c>
      <c r="AL217">
        <v>1109925000</v>
      </c>
      <c r="AM217" s="3" t="s">
        <v>1197</v>
      </c>
    </row>
    <row r="218" spans="1:39" hidden="1" x14ac:dyDescent="0.2">
      <c r="A218" t="s">
        <v>1581</v>
      </c>
      <c r="B218" t="b">
        <v>0</v>
      </c>
      <c r="C218" t="b">
        <v>0</v>
      </c>
      <c r="D218" t="b">
        <v>0</v>
      </c>
      <c r="E218" t="b">
        <v>0</v>
      </c>
      <c r="F218" t="b">
        <v>0</v>
      </c>
      <c r="G218" t="b">
        <v>1</v>
      </c>
      <c r="H218" t="s">
        <v>1582</v>
      </c>
      <c r="I218" t="s">
        <v>1581</v>
      </c>
      <c r="J218" t="s">
        <v>55</v>
      </c>
      <c r="K218" t="s">
        <v>1583</v>
      </c>
      <c r="N218" t="s">
        <v>1584</v>
      </c>
      <c r="O218" t="s">
        <v>252</v>
      </c>
      <c r="P218" t="s">
        <v>331</v>
      </c>
      <c r="Q218" t="s">
        <v>332</v>
      </c>
      <c r="R218" s="1">
        <v>44592</v>
      </c>
      <c r="S218" s="1">
        <v>55549</v>
      </c>
      <c r="T218" s="2">
        <v>44923.627622106484</v>
      </c>
      <c r="U218" t="s">
        <v>253</v>
      </c>
      <c r="V218" t="s">
        <v>295</v>
      </c>
      <c r="W218" t="s">
        <v>333</v>
      </c>
      <c r="X218" t="s">
        <v>334</v>
      </c>
      <c r="Y218" t="s">
        <v>287</v>
      </c>
      <c r="AA218" t="s">
        <v>335</v>
      </c>
      <c r="AB218" s="23">
        <f>AQ218</f>
        <v>0</v>
      </c>
      <c r="AC218" s="23"/>
      <c r="AD218" s="23"/>
      <c r="AE218" s="23"/>
      <c r="AF218" s="23"/>
      <c r="AG218" s="23"/>
      <c r="AH218" s="23"/>
      <c r="AI218" s="23"/>
      <c r="AJ218" s="23"/>
      <c r="AK218" t="s">
        <v>270</v>
      </c>
      <c r="AL218">
        <v>1000000000</v>
      </c>
      <c r="AM218" s="3" t="s">
        <v>579</v>
      </c>
    </row>
    <row r="219" spans="1:39" hidden="1" x14ac:dyDescent="0.2">
      <c r="A219" t="s">
        <v>1585</v>
      </c>
      <c r="B219" t="b">
        <v>0</v>
      </c>
      <c r="C219" t="b">
        <v>0</v>
      </c>
      <c r="D219" t="b">
        <v>1</v>
      </c>
      <c r="E219" t="b">
        <v>0</v>
      </c>
      <c r="F219" t="b">
        <v>1</v>
      </c>
      <c r="G219" t="b">
        <v>0</v>
      </c>
      <c r="H219" t="s">
        <v>1586</v>
      </c>
      <c r="I219" t="s">
        <v>1585</v>
      </c>
      <c r="J219" t="s">
        <v>46</v>
      </c>
      <c r="N219" t="s">
        <v>1587</v>
      </c>
      <c r="O219" t="s">
        <v>252</v>
      </c>
      <c r="R219" s="1">
        <v>44967</v>
      </c>
      <c r="S219" s="1">
        <v>48620</v>
      </c>
      <c r="T219" s="2">
        <v>46059.651967025464</v>
      </c>
      <c r="U219" t="s">
        <v>253</v>
      </c>
      <c r="V219" t="s">
        <v>267</v>
      </c>
      <c r="W219" t="s">
        <v>319</v>
      </c>
      <c r="X219" t="s">
        <v>256</v>
      </c>
      <c r="Y219" t="s">
        <v>269</v>
      </c>
      <c r="Z219" s="32" t="s">
        <v>2755</v>
      </c>
      <c r="AA219" t="s">
        <v>320</v>
      </c>
      <c r="AB219" s="23">
        <f>AQ219</f>
        <v>0</v>
      </c>
      <c r="AC219" s="23"/>
      <c r="AD219" s="23"/>
      <c r="AE219" s="23"/>
      <c r="AF219" s="23"/>
      <c r="AG219" s="23"/>
      <c r="AH219" s="23"/>
      <c r="AI219" s="23"/>
      <c r="AJ219" s="23"/>
      <c r="AK219" t="s">
        <v>270</v>
      </c>
      <c r="AL219">
        <v>73432000</v>
      </c>
      <c r="AM219" s="3" t="s">
        <v>1588</v>
      </c>
    </row>
    <row r="220" spans="1:39" hidden="1" x14ac:dyDescent="0.2">
      <c r="A220" t="s">
        <v>1589</v>
      </c>
      <c r="B220" t="b">
        <v>0</v>
      </c>
      <c r="C220" t="b">
        <v>0</v>
      </c>
      <c r="D220" t="b">
        <v>1</v>
      </c>
      <c r="E220" t="b">
        <v>0</v>
      </c>
      <c r="F220" t="b">
        <v>1</v>
      </c>
      <c r="G220" t="s">
        <v>361</v>
      </c>
      <c r="H220" t="s">
        <v>1590</v>
      </c>
      <c r="I220" t="s">
        <v>1589</v>
      </c>
      <c r="J220" t="s">
        <v>1591</v>
      </c>
      <c r="K220" t="s">
        <v>1592</v>
      </c>
      <c r="N220" t="s">
        <v>1593</v>
      </c>
      <c r="O220" t="s">
        <v>252</v>
      </c>
      <c r="R220" s="1">
        <v>44242</v>
      </c>
      <c r="S220" s="1">
        <v>47894</v>
      </c>
      <c r="U220" t="s">
        <v>253</v>
      </c>
      <c r="V220" t="s">
        <v>254</v>
      </c>
      <c r="W220" t="s">
        <v>1362</v>
      </c>
      <c r="X220" t="s">
        <v>256</v>
      </c>
      <c r="Y220" t="s">
        <v>257</v>
      </c>
      <c r="AK220" t="s">
        <v>260</v>
      </c>
      <c r="AL220">
        <v>335000000</v>
      </c>
      <c r="AM220" s="3" t="s">
        <v>1594</v>
      </c>
    </row>
    <row r="221" spans="1:39" hidden="1" x14ac:dyDescent="0.2">
      <c r="A221" t="s">
        <v>1595</v>
      </c>
      <c r="B221" t="b">
        <v>1</v>
      </c>
      <c r="C221" t="b">
        <v>0</v>
      </c>
      <c r="D221" t="b">
        <v>1</v>
      </c>
      <c r="E221" t="b">
        <v>0</v>
      </c>
      <c r="F221" t="b">
        <v>0</v>
      </c>
      <c r="G221" t="s">
        <v>361</v>
      </c>
      <c r="H221" t="s">
        <v>1596</v>
      </c>
      <c r="I221" t="s">
        <v>1595</v>
      </c>
      <c r="J221" t="s">
        <v>1597</v>
      </c>
      <c r="K221" t="s">
        <v>1598</v>
      </c>
      <c r="N221" t="s">
        <v>1599</v>
      </c>
      <c r="O221" t="s">
        <v>252</v>
      </c>
      <c r="R221" s="1">
        <v>44027</v>
      </c>
      <c r="S221" s="1">
        <v>49140</v>
      </c>
      <c r="T221" s="2">
        <v>44981.729049178241</v>
      </c>
      <c r="U221" t="s">
        <v>253</v>
      </c>
      <c r="V221" t="s">
        <v>254</v>
      </c>
      <c r="W221" t="s">
        <v>366</v>
      </c>
      <c r="X221" t="s">
        <v>256</v>
      </c>
      <c r="Y221" t="s">
        <v>257</v>
      </c>
      <c r="AA221" s="6" t="s">
        <v>367</v>
      </c>
      <c r="AK221" t="s">
        <v>260</v>
      </c>
      <c r="AL221">
        <v>620486000</v>
      </c>
      <c r="AM221" s="3" t="s">
        <v>1600</v>
      </c>
    </row>
    <row r="222" spans="1:39" hidden="1" x14ac:dyDescent="0.2">
      <c r="A222" t="s">
        <v>476</v>
      </c>
      <c r="B222" t="b">
        <v>0</v>
      </c>
      <c r="C222" t="b">
        <v>0</v>
      </c>
      <c r="D222" t="b">
        <v>1</v>
      </c>
      <c r="E222" t="b">
        <v>0</v>
      </c>
      <c r="F222" t="b">
        <v>1</v>
      </c>
      <c r="G222" t="b">
        <v>0</v>
      </c>
      <c r="H222" t="s">
        <v>477</v>
      </c>
      <c r="I222" t="s">
        <v>476</v>
      </c>
      <c r="J222" t="s">
        <v>104</v>
      </c>
      <c r="N222" t="s">
        <v>1601</v>
      </c>
      <c r="O222" t="s">
        <v>382</v>
      </c>
      <c r="S222" s="1">
        <v>49618</v>
      </c>
      <c r="T222" s="2">
        <v>46111.82235829861</v>
      </c>
      <c r="U222" t="s">
        <v>253</v>
      </c>
      <c r="V222" t="s">
        <v>267</v>
      </c>
      <c r="W222" t="s">
        <v>478</v>
      </c>
      <c r="X222" t="s">
        <v>479</v>
      </c>
      <c r="Y222" t="s">
        <v>384</v>
      </c>
      <c r="Z222" s="32" t="s">
        <v>2753</v>
      </c>
      <c r="AA222" t="s">
        <v>480</v>
      </c>
      <c r="AB222" s="23">
        <f>AQ222</f>
        <v>0</v>
      </c>
      <c r="AC222" s="23"/>
      <c r="AD222" s="23"/>
      <c r="AE222" s="23"/>
      <c r="AF222" s="23"/>
      <c r="AG222" s="23"/>
      <c r="AH222" s="23"/>
      <c r="AI222" s="23"/>
      <c r="AJ222" s="23"/>
      <c r="AK222" t="s">
        <v>386</v>
      </c>
    </row>
    <row r="223" spans="1:39" hidden="1" x14ac:dyDescent="0.2">
      <c r="A223" t="s">
        <v>1602</v>
      </c>
      <c r="B223" t="b">
        <v>0</v>
      </c>
      <c r="C223" t="b">
        <v>0</v>
      </c>
      <c r="D223" t="b">
        <v>1</v>
      </c>
      <c r="E223" t="b">
        <v>0</v>
      </c>
      <c r="F223" t="b">
        <v>1</v>
      </c>
      <c r="G223" t="s">
        <v>361</v>
      </c>
      <c r="H223" t="s">
        <v>1603</v>
      </c>
      <c r="I223" t="s">
        <v>1602</v>
      </c>
      <c r="J223" t="s">
        <v>1604</v>
      </c>
      <c r="K223" t="s">
        <v>1605</v>
      </c>
      <c r="M223" t="s">
        <v>1606</v>
      </c>
      <c r="N223" t="s">
        <v>1607</v>
      </c>
      <c r="O223" t="s">
        <v>252</v>
      </c>
      <c r="R223" s="1">
        <v>43679</v>
      </c>
      <c r="S223" s="1">
        <v>45857</v>
      </c>
      <c r="T223" s="2">
        <v>44895.813733935189</v>
      </c>
      <c r="U223" t="s">
        <v>253</v>
      </c>
      <c r="V223" t="s">
        <v>267</v>
      </c>
      <c r="W223" t="s">
        <v>716</v>
      </c>
      <c r="X223" t="s">
        <v>256</v>
      </c>
      <c r="Y223" t="s">
        <v>257</v>
      </c>
      <c r="AK223" t="s">
        <v>260</v>
      </c>
      <c r="AL223">
        <v>505000000</v>
      </c>
      <c r="AM223" s="3" t="s">
        <v>1608</v>
      </c>
    </row>
    <row r="224" spans="1:39" hidden="1" x14ac:dyDescent="0.2">
      <c r="A224" t="s">
        <v>1609</v>
      </c>
      <c r="B224" t="b">
        <v>0</v>
      </c>
      <c r="C224" t="b">
        <v>0</v>
      </c>
      <c r="D224" t="b">
        <v>1</v>
      </c>
      <c r="E224" t="b">
        <v>0</v>
      </c>
      <c r="F224" t="b">
        <v>1</v>
      </c>
      <c r="G224" t="s">
        <v>361</v>
      </c>
      <c r="H224" t="s">
        <v>1610</v>
      </c>
      <c r="I224" t="s">
        <v>1609</v>
      </c>
      <c r="J224" t="s">
        <v>1611</v>
      </c>
      <c r="M224" t="s">
        <v>1612</v>
      </c>
      <c r="N224" t="s">
        <v>1613</v>
      </c>
      <c r="O224" t="s">
        <v>252</v>
      </c>
      <c r="R224" s="1">
        <v>44211</v>
      </c>
      <c r="S224" s="1">
        <v>48197</v>
      </c>
      <c r="U224" t="s">
        <v>253</v>
      </c>
      <c r="V224" t="s">
        <v>254</v>
      </c>
      <c r="W224" t="s">
        <v>1614</v>
      </c>
      <c r="X224" t="s">
        <v>256</v>
      </c>
      <c r="Y224" t="s">
        <v>257</v>
      </c>
      <c r="AK224" t="s">
        <v>260</v>
      </c>
      <c r="AL224">
        <v>1200000000</v>
      </c>
      <c r="AM224" s="3" t="s">
        <v>1615</v>
      </c>
    </row>
    <row r="225" spans="1:39" hidden="1" x14ac:dyDescent="0.2">
      <c r="A225" t="s">
        <v>1616</v>
      </c>
      <c r="B225" t="b">
        <v>0</v>
      </c>
      <c r="C225" t="b">
        <v>0</v>
      </c>
      <c r="D225" t="b">
        <v>1</v>
      </c>
      <c r="E225" t="b">
        <v>0</v>
      </c>
      <c r="F225" t="b">
        <v>1</v>
      </c>
      <c r="G225" t="s">
        <v>361</v>
      </c>
      <c r="H225" t="s">
        <v>1617</v>
      </c>
      <c r="I225" t="s">
        <v>1616</v>
      </c>
      <c r="J225" t="s">
        <v>1618</v>
      </c>
      <c r="N225" t="s">
        <v>1619</v>
      </c>
      <c r="O225" t="s">
        <v>252</v>
      </c>
      <c r="R225" s="1">
        <v>43878</v>
      </c>
      <c r="S225" s="1">
        <v>44244</v>
      </c>
      <c r="U225" t="s">
        <v>253</v>
      </c>
      <c r="V225" t="s">
        <v>267</v>
      </c>
      <c r="W225" t="s">
        <v>1620</v>
      </c>
      <c r="X225" t="s">
        <v>256</v>
      </c>
      <c r="Y225" t="s">
        <v>269</v>
      </c>
      <c r="AK225" t="s">
        <v>270</v>
      </c>
      <c r="AL225">
        <v>36962246</v>
      </c>
      <c r="AM225" s="3" t="s">
        <v>1621</v>
      </c>
    </row>
    <row r="226" spans="1:39" hidden="1" x14ac:dyDescent="0.2">
      <c r="A226" t="s">
        <v>1622</v>
      </c>
      <c r="B226" t="b">
        <v>0</v>
      </c>
      <c r="C226" t="b">
        <v>0</v>
      </c>
      <c r="D226" t="b">
        <v>1</v>
      </c>
      <c r="E226" t="b">
        <v>0</v>
      </c>
      <c r="F226" t="b">
        <v>1</v>
      </c>
      <c r="G226" t="s">
        <v>361</v>
      </c>
      <c r="H226" t="s">
        <v>1623</v>
      </c>
      <c r="I226" t="s">
        <v>1622</v>
      </c>
      <c r="J226" t="s">
        <v>1624</v>
      </c>
      <c r="N226" t="s">
        <v>1625</v>
      </c>
      <c r="O226" t="s">
        <v>252</v>
      </c>
      <c r="R226" s="1">
        <v>44523</v>
      </c>
      <c r="S226" s="1">
        <v>47073</v>
      </c>
      <c r="U226" t="s">
        <v>253</v>
      </c>
      <c r="V226" t="s">
        <v>254</v>
      </c>
      <c r="W226" t="s">
        <v>1626</v>
      </c>
      <c r="X226" t="s">
        <v>256</v>
      </c>
      <c r="Y226" t="s">
        <v>257</v>
      </c>
      <c r="AK226" t="s">
        <v>260</v>
      </c>
      <c r="AL226">
        <v>150000000</v>
      </c>
      <c r="AM226" s="3" t="s">
        <v>1627</v>
      </c>
    </row>
    <row r="227" spans="1:39" hidden="1" x14ac:dyDescent="0.2">
      <c r="A227" t="s">
        <v>1628</v>
      </c>
      <c r="B227" t="b">
        <v>0</v>
      </c>
      <c r="C227" t="b">
        <v>0</v>
      </c>
      <c r="D227" t="b">
        <v>1</v>
      </c>
      <c r="E227" t="b">
        <v>0</v>
      </c>
      <c r="F227" t="b">
        <v>1</v>
      </c>
      <c r="G227" t="s">
        <v>361</v>
      </c>
      <c r="H227" t="s">
        <v>1629</v>
      </c>
      <c r="I227" t="s">
        <v>1628</v>
      </c>
      <c r="M227" t="s">
        <v>1630</v>
      </c>
      <c r="N227" t="s">
        <v>1631</v>
      </c>
      <c r="O227" t="s">
        <v>252</v>
      </c>
      <c r="R227" s="1">
        <v>44419</v>
      </c>
      <c r="S227" s="1">
        <v>53036</v>
      </c>
      <c r="U227" t="s">
        <v>253</v>
      </c>
      <c r="V227" t="s">
        <v>267</v>
      </c>
      <c r="W227" t="s">
        <v>868</v>
      </c>
      <c r="X227" t="s">
        <v>256</v>
      </c>
      <c r="Y227" t="s">
        <v>869</v>
      </c>
      <c r="AK227" t="s">
        <v>270</v>
      </c>
      <c r="AL227">
        <v>55539288.960000001</v>
      </c>
      <c r="AM227" s="3" t="s">
        <v>1632</v>
      </c>
    </row>
    <row r="228" spans="1:39" hidden="1" x14ac:dyDescent="0.2">
      <c r="A228" t="s">
        <v>1633</v>
      </c>
      <c r="B228" t="b">
        <v>1</v>
      </c>
      <c r="C228" t="b">
        <v>0</v>
      </c>
      <c r="D228" t="b">
        <v>1</v>
      </c>
      <c r="E228" t="s">
        <v>522</v>
      </c>
      <c r="F228" t="b">
        <v>0</v>
      </c>
      <c r="G228" t="b">
        <v>0</v>
      </c>
      <c r="H228" t="s">
        <v>1634</v>
      </c>
      <c r="I228" t="s">
        <v>1633</v>
      </c>
      <c r="J228" s="20" t="s">
        <v>198</v>
      </c>
      <c r="L228" t="s">
        <v>1635</v>
      </c>
      <c r="N228" t="s">
        <v>1636</v>
      </c>
      <c r="O228" t="s">
        <v>252</v>
      </c>
      <c r="R228" s="1">
        <v>44098</v>
      </c>
      <c r="S228" s="1">
        <v>45924</v>
      </c>
      <c r="U228" t="s">
        <v>253</v>
      </c>
      <c r="V228" t="s">
        <v>254</v>
      </c>
      <c r="W228" t="s">
        <v>1637</v>
      </c>
      <c r="X228" t="s">
        <v>278</v>
      </c>
      <c r="Y228" t="s">
        <v>384</v>
      </c>
      <c r="Z228" s="35" t="s">
        <v>1638</v>
      </c>
      <c r="AA228" t="s">
        <v>1639</v>
      </c>
      <c r="AB228" s="23">
        <f>AQ228</f>
        <v>0</v>
      </c>
      <c r="AC228" s="23"/>
      <c r="AD228" s="23" t="s">
        <v>2896</v>
      </c>
      <c r="AE228" s="23" t="s">
        <v>2896</v>
      </c>
      <c r="AF228" s="23" t="s">
        <v>2896</v>
      </c>
      <c r="AG228" s="23" t="s">
        <v>2896</v>
      </c>
      <c r="AH228" s="23" t="s">
        <v>2896</v>
      </c>
      <c r="AI228" s="23"/>
      <c r="AJ228" s="23"/>
      <c r="AK228" t="s">
        <v>386</v>
      </c>
      <c r="AL228">
        <v>300000000000</v>
      </c>
      <c r="AM228" s="3" t="s">
        <v>1640</v>
      </c>
    </row>
    <row r="229" spans="1:39" hidden="1" x14ac:dyDescent="0.2">
      <c r="A229" t="s">
        <v>1641</v>
      </c>
      <c r="B229" t="b">
        <v>1</v>
      </c>
      <c r="C229" t="b">
        <v>0</v>
      </c>
      <c r="D229" t="b">
        <v>1</v>
      </c>
      <c r="E229" t="s">
        <v>248</v>
      </c>
      <c r="F229" t="b">
        <v>0</v>
      </c>
      <c r="G229" t="b">
        <v>0</v>
      </c>
      <c r="H229" t="s">
        <v>1642</v>
      </c>
      <c r="I229" t="s">
        <v>1641</v>
      </c>
      <c r="J229" t="s">
        <v>1643</v>
      </c>
      <c r="K229" t="s">
        <v>1644</v>
      </c>
      <c r="N229" t="s">
        <v>1645</v>
      </c>
      <c r="O229" t="s">
        <v>252</v>
      </c>
      <c r="R229" s="1">
        <v>44183</v>
      </c>
      <c r="S229" s="1">
        <v>50679</v>
      </c>
      <c r="U229" t="s">
        <v>253</v>
      </c>
      <c r="V229" t="s">
        <v>254</v>
      </c>
      <c r="W229" t="s">
        <v>1646</v>
      </c>
      <c r="X229" t="s">
        <v>256</v>
      </c>
      <c r="Y229" t="s">
        <v>279</v>
      </c>
      <c r="Z229" t="s">
        <v>1647</v>
      </c>
      <c r="AA229" s="7" t="s">
        <v>1648</v>
      </c>
      <c r="AB229" t="s">
        <v>1649</v>
      </c>
      <c r="AK229" t="s">
        <v>270</v>
      </c>
      <c r="AL229">
        <v>262664000</v>
      </c>
      <c r="AM229" s="3" t="s">
        <v>1650</v>
      </c>
    </row>
    <row r="230" spans="1:39" hidden="1" x14ac:dyDescent="0.2">
      <c r="A230" t="s">
        <v>1651</v>
      </c>
      <c r="B230" t="b">
        <v>0</v>
      </c>
      <c r="C230" t="b">
        <v>0</v>
      </c>
      <c r="D230" t="b">
        <v>1</v>
      </c>
      <c r="E230" t="b">
        <v>0</v>
      </c>
      <c r="F230" t="b">
        <v>1</v>
      </c>
      <c r="G230" t="b">
        <v>0</v>
      </c>
      <c r="H230" t="s">
        <v>1652</v>
      </c>
      <c r="I230" t="s">
        <v>1651</v>
      </c>
      <c r="J230" t="s">
        <v>71</v>
      </c>
      <c r="N230" t="s">
        <v>1653</v>
      </c>
      <c r="O230" t="s">
        <v>252</v>
      </c>
      <c r="R230" s="1">
        <v>44908</v>
      </c>
      <c r="S230" s="1">
        <v>46734</v>
      </c>
      <c r="T230" s="2">
        <v>44952.903512974539</v>
      </c>
      <c r="U230" t="s">
        <v>253</v>
      </c>
      <c r="V230" t="s">
        <v>267</v>
      </c>
      <c r="W230" t="s">
        <v>304</v>
      </c>
      <c r="X230" t="s">
        <v>305</v>
      </c>
      <c r="Y230" t="s">
        <v>306</v>
      </c>
      <c r="Z230" s="32" t="s">
        <v>1316</v>
      </c>
      <c r="AA230" t="s">
        <v>307</v>
      </c>
      <c r="AB230" s="23">
        <f>AQ230</f>
        <v>0</v>
      </c>
      <c r="AC230" s="23" t="s">
        <v>2903</v>
      </c>
      <c r="AD230" s="23"/>
      <c r="AE230" s="23"/>
      <c r="AF230" s="23"/>
      <c r="AG230" s="23"/>
      <c r="AH230" s="23"/>
      <c r="AI230" s="23"/>
      <c r="AJ230" s="23"/>
      <c r="AK230" t="s">
        <v>308</v>
      </c>
      <c r="AL230">
        <v>110000000</v>
      </c>
      <c r="AM230" s="3" t="s">
        <v>1654</v>
      </c>
    </row>
    <row r="231" spans="1:39" hidden="1" x14ac:dyDescent="0.2">
      <c r="A231" t="s">
        <v>1655</v>
      </c>
      <c r="B231" t="b">
        <v>0</v>
      </c>
      <c r="C231" t="b">
        <v>0</v>
      </c>
      <c r="D231" t="b">
        <v>1</v>
      </c>
      <c r="E231" t="b">
        <v>0</v>
      </c>
      <c r="F231" t="b">
        <v>1</v>
      </c>
      <c r="G231" t="b">
        <v>0</v>
      </c>
      <c r="H231" t="s">
        <v>1656</v>
      </c>
      <c r="I231" t="s">
        <v>1655</v>
      </c>
      <c r="J231" t="s">
        <v>192</v>
      </c>
      <c r="K231" t="s">
        <v>1657</v>
      </c>
      <c r="N231" t="s">
        <v>1658</v>
      </c>
      <c r="O231" t="s">
        <v>252</v>
      </c>
      <c r="R231" s="1">
        <v>44403</v>
      </c>
      <c r="S231" s="1">
        <v>57161</v>
      </c>
      <c r="T231" s="2">
        <v>44960.608868888892</v>
      </c>
      <c r="U231" t="s">
        <v>253</v>
      </c>
      <c r="V231" t="s">
        <v>267</v>
      </c>
      <c r="W231" t="s">
        <v>1659</v>
      </c>
      <c r="X231" t="s">
        <v>256</v>
      </c>
      <c r="Y231" t="s">
        <v>287</v>
      </c>
      <c r="Z231" s="32" t="s">
        <v>2736</v>
      </c>
      <c r="AA231" t="s">
        <v>1660</v>
      </c>
      <c r="AB231" s="23">
        <f>AQ231</f>
        <v>0</v>
      </c>
      <c r="AC231" s="23"/>
      <c r="AD231" s="23"/>
      <c r="AE231" s="23"/>
      <c r="AF231" s="23"/>
      <c r="AG231" s="23"/>
      <c r="AH231" s="23"/>
      <c r="AI231" s="23"/>
      <c r="AJ231" s="23"/>
      <c r="AK231" t="s">
        <v>270</v>
      </c>
      <c r="AL231">
        <v>1200000000</v>
      </c>
      <c r="AM231" s="3" t="s">
        <v>1661</v>
      </c>
    </row>
    <row r="232" spans="1:39" hidden="1" x14ac:dyDescent="0.2">
      <c r="A232" t="s">
        <v>1662</v>
      </c>
      <c r="B232" t="b">
        <v>1</v>
      </c>
      <c r="C232" t="b">
        <v>0</v>
      </c>
      <c r="D232" t="b">
        <v>1</v>
      </c>
      <c r="E232" t="s">
        <v>248</v>
      </c>
      <c r="F232" t="b">
        <v>0</v>
      </c>
      <c r="G232" t="b">
        <v>0</v>
      </c>
      <c r="H232" t="s">
        <v>1663</v>
      </c>
      <c r="I232" t="s">
        <v>1662</v>
      </c>
      <c r="J232" t="s">
        <v>1664</v>
      </c>
      <c r="M232" t="s">
        <v>1665</v>
      </c>
      <c r="N232" t="s">
        <v>1666</v>
      </c>
      <c r="O232" t="s">
        <v>252</v>
      </c>
      <c r="R232" s="1">
        <v>44076</v>
      </c>
      <c r="S232" s="1">
        <v>45171</v>
      </c>
      <c r="U232" t="s">
        <v>743</v>
      </c>
      <c r="V232" t="s">
        <v>254</v>
      </c>
      <c r="W232" t="s">
        <v>1578</v>
      </c>
      <c r="X232" t="s">
        <v>256</v>
      </c>
      <c r="Y232" t="s">
        <v>269</v>
      </c>
      <c r="AA232" t="s">
        <v>1579</v>
      </c>
      <c r="AB232" s="7" t="s">
        <v>1580</v>
      </c>
      <c r="AC232" s="7"/>
      <c r="AD232" s="7"/>
      <c r="AE232" s="7"/>
      <c r="AF232" s="7"/>
      <c r="AG232" s="7"/>
      <c r="AH232" s="7"/>
      <c r="AI232" s="7"/>
      <c r="AJ232" s="7"/>
      <c r="AK232" t="s">
        <v>270</v>
      </c>
      <c r="AL232">
        <v>35160000</v>
      </c>
      <c r="AM232" s="3" t="s">
        <v>1667</v>
      </c>
    </row>
    <row r="233" spans="1:39" hidden="1" x14ac:dyDescent="0.2">
      <c r="A233" t="s">
        <v>1668</v>
      </c>
      <c r="B233" t="b">
        <v>0</v>
      </c>
      <c r="C233" t="b">
        <v>0</v>
      </c>
      <c r="D233" t="b">
        <v>1</v>
      </c>
      <c r="E233" t="b">
        <v>0</v>
      </c>
      <c r="F233" t="b">
        <v>1</v>
      </c>
      <c r="G233" t="b">
        <v>0</v>
      </c>
      <c r="H233" t="s">
        <v>1669</v>
      </c>
      <c r="I233" t="s">
        <v>1668</v>
      </c>
      <c r="J233" t="s">
        <v>22</v>
      </c>
      <c r="K233" t="s">
        <v>1670</v>
      </c>
      <c r="N233" t="s">
        <v>1671</v>
      </c>
      <c r="O233" t="s">
        <v>252</v>
      </c>
      <c r="P233" t="s">
        <v>275</v>
      </c>
      <c r="Q233" t="s">
        <v>276</v>
      </c>
      <c r="R233" s="1">
        <v>45593</v>
      </c>
      <c r="S233" s="1">
        <v>46688</v>
      </c>
      <c r="T233" s="2">
        <v>45960.678736203707</v>
      </c>
      <c r="U233" t="s">
        <v>253</v>
      </c>
      <c r="V233" t="s">
        <v>267</v>
      </c>
      <c r="W233" t="s">
        <v>277</v>
      </c>
      <c r="X233" t="s">
        <v>278</v>
      </c>
      <c r="Y233" t="s">
        <v>279</v>
      </c>
      <c r="Z233" s="32" t="s">
        <v>1072</v>
      </c>
      <c r="AA233" t="s">
        <v>280</v>
      </c>
      <c r="AB233" s="23">
        <f>AQ233</f>
        <v>0</v>
      </c>
      <c r="AC233" s="23"/>
      <c r="AD233" s="23"/>
      <c r="AE233" s="23"/>
      <c r="AF233" s="23"/>
      <c r="AG233" s="23"/>
      <c r="AH233" s="23"/>
      <c r="AI233" s="23"/>
      <c r="AJ233" s="23"/>
      <c r="AK233" t="s">
        <v>270</v>
      </c>
      <c r="AL233">
        <v>570000</v>
      </c>
      <c r="AM233" s="3" t="s">
        <v>1672</v>
      </c>
    </row>
    <row r="234" spans="1:39" hidden="1" x14ac:dyDescent="0.2">
      <c r="A234" t="s">
        <v>1673</v>
      </c>
      <c r="B234" t="b">
        <v>0</v>
      </c>
      <c r="C234" t="b">
        <v>0</v>
      </c>
      <c r="D234" t="b">
        <v>1</v>
      </c>
      <c r="E234" t="b">
        <v>0</v>
      </c>
      <c r="F234" t="b">
        <v>1</v>
      </c>
      <c r="G234" t="s">
        <v>361</v>
      </c>
      <c r="H234" t="s">
        <v>1674</v>
      </c>
      <c r="I234" t="s">
        <v>1673</v>
      </c>
      <c r="J234" t="s">
        <v>1675</v>
      </c>
      <c r="N234" t="s">
        <v>1676</v>
      </c>
      <c r="O234" t="s">
        <v>252</v>
      </c>
      <c r="R234" s="1">
        <v>44775</v>
      </c>
      <c r="S234" s="1">
        <v>47618</v>
      </c>
      <c r="T234" s="2">
        <v>44966.714454016204</v>
      </c>
      <c r="U234" t="s">
        <v>253</v>
      </c>
      <c r="V234" t="s">
        <v>267</v>
      </c>
      <c r="W234" t="s">
        <v>1626</v>
      </c>
      <c r="X234" t="s">
        <v>256</v>
      </c>
      <c r="Y234" t="s">
        <v>257</v>
      </c>
      <c r="AK234" t="s">
        <v>260</v>
      </c>
      <c r="AL234">
        <v>200000000</v>
      </c>
      <c r="AM234" s="3" t="s">
        <v>1677</v>
      </c>
    </row>
    <row r="235" spans="1:39" hidden="1" x14ac:dyDescent="0.2">
      <c r="A235" t="s">
        <v>1678</v>
      </c>
      <c r="B235" t="b">
        <v>0</v>
      </c>
      <c r="C235" t="b">
        <v>0</v>
      </c>
      <c r="D235" t="b">
        <v>1</v>
      </c>
      <c r="E235" t="b">
        <v>0</v>
      </c>
      <c r="F235" t="b">
        <v>1</v>
      </c>
      <c r="G235" t="b">
        <v>0</v>
      </c>
      <c r="H235" t="s">
        <v>1679</v>
      </c>
      <c r="I235" t="s">
        <v>1678</v>
      </c>
      <c r="J235" t="s">
        <v>67</v>
      </c>
      <c r="N235" t="s">
        <v>1680</v>
      </c>
      <c r="O235" t="s">
        <v>252</v>
      </c>
      <c r="P235" t="s">
        <v>1076</v>
      </c>
      <c r="Q235" t="s">
        <v>1077</v>
      </c>
      <c r="R235" s="1">
        <v>45476</v>
      </c>
      <c r="S235" s="1">
        <v>49128</v>
      </c>
      <c r="T235" s="2">
        <v>46153.779112673612</v>
      </c>
      <c r="U235" t="s">
        <v>253</v>
      </c>
      <c r="V235" t="s">
        <v>267</v>
      </c>
      <c r="W235" t="s">
        <v>645</v>
      </c>
      <c r="X235" t="s">
        <v>256</v>
      </c>
      <c r="Y235" t="s">
        <v>351</v>
      </c>
      <c r="Z235" s="32" t="s">
        <v>2752</v>
      </c>
      <c r="AA235" t="s">
        <v>646</v>
      </c>
      <c r="AB235" s="23">
        <f>AQ235</f>
        <v>0</v>
      </c>
      <c r="AC235" s="23"/>
      <c r="AD235" s="23"/>
      <c r="AE235" s="23"/>
      <c r="AF235" s="23"/>
      <c r="AG235" s="23"/>
      <c r="AH235" s="23"/>
      <c r="AI235" s="23"/>
      <c r="AJ235" s="23"/>
      <c r="AK235" t="s">
        <v>647</v>
      </c>
      <c r="AL235">
        <v>8625000000</v>
      </c>
      <c r="AM235" s="3" t="s">
        <v>1681</v>
      </c>
    </row>
    <row r="236" spans="1:39" hidden="1" x14ac:dyDescent="0.2">
      <c r="A236" t="s">
        <v>1682</v>
      </c>
      <c r="B236" t="b">
        <v>1</v>
      </c>
      <c r="C236" t="b">
        <v>0</v>
      </c>
      <c r="D236" t="b">
        <v>1</v>
      </c>
      <c r="E236" t="s">
        <v>248</v>
      </c>
      <c r="F236" t="b">
        <v>0</v>
      </c>
      <c r="G236" t="b">
        <v>0</v>
      </c>
      <c r="H236" t="s">
        <v>1683</v>
      </c>
      <c r="I236" t="s">
        <v>1682</v>
      </c>
      <c r="J236" t="s">
        <v>1684</v>
      </c>
      <c r="K236" t="s">
        <v>1685</v>
      </c>
      <c r="M236" t="s">
        <v>1686</v>
      </c>
      <c r="N236" t="s">
        <v>1687</v>
      </c>
      <c r="O236" t="s">
        <v>252</v>
      </c>
      <c r="R236" s="1">
        <v>43819</v>
      </c>
      <c r="S236" s="1">
        <v>47467</v>
      </c>
      <c r="U236" t="s">
        <v>441</v>
      </c>
      <c r="V236" t="s">
        <v>267</v>
      </c>
      <c r="W236" t="s">
        <v>1042</v>
      </c>
      <c r="X236" t="s">
        <v>256</v>
      </c>
      <c r="Y236" t="s">
        <v>257</v>
      </c>
      <c r="AA236" s="6" t="s">
        <v>1043</v>
      </c>
      <c r="AB236" t="s">
        <v>1044</v>
      </c>
      <c r="AK236" t="s">
        <v>260</v>
      </c>
      <c r="AL236">
        <v>409000000</v>
      </c>
      <c r="AM236" s="3" t="s">
        <v>1688</v>
      </c>
    </row>
    <row r="237" spans="1:39" hidden="1" x14ac:dyDescent="0.2">
      <c r="A237" t="s">
        <v>1689</v>
      </c>
      <c r="B237" t="b">
        <v>0</v>
      </c>
      <c r="C237" t="b">
        <v>0</v>
      </c>
      <c r="D237" t="b">
        <v>1</v>
      </c>
      <c r="E237" t="b">
        <v>0</v>
      </c>
      <c r="F237" t="b">
        <v>1</v>
      </c>
      <c r="G237" t="s">
        <v>361</v>
      </c>
      <c r="H237" t="s">
        <v>1690</v>
      </c>
      <c r="I237" t="s">
        <v>1689</v>
      </c>
      <c r="J237" t="s">
        <v>1691</v>
      </c>
      <c r="M237" t="s">
        <v>1692</v>
      </c>
      <c r="N237" t="s">
        <v>1692</v>
      </c>
      <c r="O237" t="s">
        <v>252</v>
      </c>
      <c r="R237" s="1">
        <v>44089</v>
      </c>
      <c r="S237" s="1">
        <v>47011</v>
      </c>
      <c r="U237" t="s">
        <v>253</v>
      </c>
      <c r="V237" t="s">
        <v>254</v>
      </c>
      <c r="W237" t="s">
        <v>494</v>
      </c>
      <c r="X237" t="s">
        <v>256</v>
      </c>
      <c r="Y237" t="s">
        <v>257</v>
      </c>
      <c r="AK237" t="s">
        <v>260</v>
      </c>
      <c r="AL237">
        <v>110000000</v>
      </c>
      <c r="AM237" s="3" t="s">
        <v>1693</v>
      </c>
    </row>
    <row r="238" spans="1:39" hidden="1" x14ac:dyDescent="0.2">
      <c r="A238" t="s">
        <v>1694</v>
      </c>
      <c r="B238" t="b">
        <v>0</v>
      </c>
      <c r="C238" t="b">
        <v>0</v>
      </c>
      <c r="D238" t="b">
        <v>1</v>
      </c>
      <c r="E238" t="b">
        <v>0</v>
      </c>
      <c r="F238" t="b">
        <v>1</v>
      </c>
      <c r="G238" t="b">
        <v>0</v>
      </c>
      <c r="H238" t="s">
        <v>1695</v>
      </c>
      <c r="I238" t="s">
        <v>1694</v>
      </c>
      <c r="J238" t="s">
        <v>41</v>
      </c>
      <c r="N238" t="s">
        <v>1696</v>
      </c>
      <c r="O238" t="s">
        <v>252</v>
      </c>
      <c r="R238" s="1">
        <v>45470</v>
      </c>
      <c r="S238" s="1">
        <v>46200</v>
      </c>
      <c r="T238" s="2">
        <v>46059.645272199072</v>
      </c>
      <c r="U238" t="s">
        <v>253</v>
      </c>
      <c r="V238" t="s">
        <v>267</v>
      </c>
      <c r="W238" t="s">
        <v>319</v>
      </c>
      <c r="X238" t="s">
        <v>256</v>
      </c>
      <c r="Y238" t="s">
        <v>269</v>
      </c>
      <c r="Z238" s="32" t="s">
        <v>2755</v>
      </c>
      <c r="AA238" t="s">
        <v>320</v>
      </c>
      <c r="AB238" s="23">
        <f>AQ238</f>
        <v>0</v>
      </c>
      <c r="AC238" s="23"/>
      <c r="AD238" s="23"/>
      <c r="AE238" s="23"/>
      <c r="AF238" s="23"/>
      <c r="AG238" s="23"/>
      <c r="AH238" s="23"/>
      <c r="AI238" s="23"/>
      <c r="AJ238" s="23"/>
      <c r="AK238" t="s">
        <v>270</v>
      </c>
      <c r="AL238">
        <v>60000000</v>
      </c>
      <c r="AM238" s="3" t="s">
        <v>271</v>
      </c>
    </row>
    <row r="239" spans="1:39" hidden="1" x14ac:dyDescent="0.2">
      <c r="A239" t="s">
        <v>1697</v>
      </c>
      <c r="B239" t="b">
        <v>1</v>
      </c>
      <c r="C239" t="b">
        <v>0</v>
      </c>
      <c r="D239" t="b">
        <v>1</v>
      </c>
      <c r="E239" t="b">
        <v>0</v>
      </c>
      <c r="F239" t="b">
        <v>0</v>
      </c>
      <c r="G239" t="s">
        <v>361</v>
      </c>
      <c r="H239" t="s">
        <v>1698</v>
      </c>
      <c r="I239" t="s">
        <v>1697</v>
      </c>
      <c r="J239" t="s">
        <v>1699</v>
      </c>
      <c r="N239" t="s">
        <v>1700</v>
      </c>
      <c r="O239" t="s">
        <v>252</v>
      </c>
      <c r="R239" s="1">
        <v>44328</v>
      </c>
      <c r="S239" s="1">
        <v>45426</v>
      </c>
      <c r="U239" t="s">
        <v>253</v>
      </c>
      <c r="V239" t="s">
        <v>254</v>
      </c>
      <c r="W239" t="s">
        <v>681</v>
      </c>
      <c r="X239" t="s">
        <v>278</v>
      </c>
      <c r="Y239" t="s">
        <v>257</v>
      </c>
      <c r="AA239" t="s">
        <v>689</v>
      </c>
      <c r="AK239" t="s">
        <v>260</v>
      </c>
      <c r="AL239">
        <v>5000000</v>
      </c>
      <c r="AM239" s="3" t="s">
        <v>1701</v>
      </c>
    </row>
    <row r="240" spans="1:39" hidden="1" x14ac:dyDescent="0.2">
      <c r="A240" t="s">
        <v>1702</v>
      </c>
      <c r="B240" t="b">
        <v>0</v>
      </c>
      <c r="C240" t="b">
        <v>0</v>
      </c>
      <c r="D240" t="b">
        <v>1</v>
      </c>
      <c r="E240" t="b">
        <v>0</v>
      </c>
      <c r="F240" t="b">
        <v>1</v>
      </c>
      <c r="G240" t="b">
        <v>0</v>
      </c>
      <c r="H240" t="s">
        <v>1703</v>
      </c>
      <c r="I240" t="s">
        <v>1702</v>
      </c>
      <c r="J240" t="s">
        <v>135</v>
      </c>
      <c r="K240" t="s">
        <v>1704</v>
      </c>
      <c r="L240" t="s">
        <v>1705</v>
      </c>
      <c r="M240" t="s">
        <v>1706</v>
      </c>
      <c r="N240" t="s">
        <v>1707</v>
      </c>
      <c r="O240" t="s">
        <v>252</v>
      </c>
      <c r="R240" s="1">
        <v>44449</v>
      </c>
      <c r="S240" s="1">
        <v>55416</v>
      </c>
      <c r="U240" t="s">
        <v>253</v>
      </c>
      <c r="V240" t="s">
        <v>267</v>
      </c>
      <c r="W240" t="s">
        <v>1257</v>
      </c>
      <c r="X240" t="s">
        <v>256</v>
      </c>
      <c r="Y240" t="s">
        <v>287</v>
      </c>
      <c r="Z240" s="32" t="s">
        <v>2740</v>
      </c>
      <c r="AA240" t="s">
        <v>1258</v>
      </c>
      <c r="AB240" s="23">
        <f>AQ240</f>
        <v>0</v>
      </c>
      <c r="AC240" s="23"/>
      <c r="AD240" s="23"/>
      <c r="AE240" s="23"/>
      <c r="AF240" s="23"/>
      <c r="AG240" s="23"/>
      <c r="AH240" s="23"/>
      <c r="AI240" s="23"/>
      <c r="AJ240" s="23"/>
      <c r="AK240" t="s">
        <v>270</v>
      </c>
      <c r="AL240">
        <v>700000000</v>
      </c>
      <c r="AM240" s="3" t="s">
        <v>585</v>
      </c>
    </row>
    <row r="241" spans="1:39" hidden="1" x14ac:dyDescent="0.2">
      <c r="A241" t="s">
        <v>1708</v>
      </c>
      <c r="B241" t="b">
        <v>0</v>
      </c>
      <c r="C241" t="b">
        <v>0</v>
      </c>
      <c r="D241" t="b">
        <v>1</v>
      </c>
      <c r="E241" t="b">
        <v>0</v>
      </c>
      <c r="F241" t="b">
        <v>1</v>
      </c>
      <c r="G241" t="b">
        <v>0</v>
      </c>
      <c r="H241" t="s">
        <v>1709</v>
      </c>
      <c r="I241" t="s">
        <v>1708</v>
      </c>
      <c r="J241" t="s">
        <v>25</v>
      </c>
      <c r="K241" t="s">
        <v>1710</v>
      </c>
      <c r="N241" t="s">
        <v>1711</v>
      </c>
      <c r="O241" t="s">
        <v>252</v>
      </c>
      <c r="P241" t="s">
        <v>275</v>
      </c>
      <c r="Q241" t="s">
        <v>276</v>
      </c>
      <c r="R241" s="1">
        <v>45462</v>
      </c>
      <c r="S241" s="1">
        <v>46923</v>
      </c>
      <c r="T241" s="2">
        <v>45960.674193171297</v>
      </c>
      <c r="U241" t="s">
        <v>253</v>
      </c>
      <c r="V241" t="s">
        <v>267</v>
      </c>
      <c r="W241" t="s">
        <v>277</v>
      </c>
      <c r="X241" t="s">
        <v>278</v>
      </c>
      <c r="Y241" t="s">
        <v>279</v>
      </c>
      <c r="Z241" s="32" t="s">
        <v>1072</v>
      </c>
      <c r="AA241" t="s">
        <v>280</v>
      </c>
      <c r="AB241" s="23">
        <f>AQ241</f>
        <v>0</v>
      </c>
      <c r="AC241" s="23"/>
      <c r="AD241" s="23"/>
      <c r="AE241" s="23"/>
      <c r="AF241" s="23"/>
      <c r="AG241" s="23"/>
      <c r="AH241" s="23"/>
      <c r="AI241" s="23"/>
      <c r="AJ241" s="23"/>
      <c r="AK241" t="s">
        <v>270</v>
      </c>
      <c r="AL241">
        <v>10000000</v>
      </c>
      <c r="AM241" s="3" t="s">
        <v>863</v>
      </c>
    </row>
    <row r="242" spans="1:39" hidden="1" x14ac:dyDescent="0.2">
      <c r="A242" t="s">
        <v>1712</v>
      </c>
      <c r="B242" t="b">
        <v>1</v>
      </c>
      <c r="C242" t="b">
        <v>0</v>
      </c>
      <c r="D242" t="b">
        <v>1</v>
      </c>
      <c r="E242" t="s">
        <v>522</v>
      </c>
      <c r="F242" t="b">
        <v>0</v>
      </c>
      <c r="G242" t="b">
        <v>0</v>
      </c>
      <c r="H242" t="s">
        <v>1713</v>
      </c>
      <c r="I242" t="s">
        <v>1712</v>
      </c>
      <c r="J242" s="20" t="s">
        <v>108</v>
      </c>
      <c r="N242" t="s">
        <v>1714</v>
      </c>
      <c r="O242" t="s">
        <v>252</v>
      </c>
      <c r="R242" s="1">
        <v>43396</v>
      </c>
      <c r="S242" s="1">
        <v>44488</v>
      </c>
      <c r="T242" s="2">
        <v>45050.844610451386</v>
      </c>
      <c r="U242" t="s">
        <v>441</v>
      </c>
      <c r="V242" t="s">
        <v>267</v>
      </c>
      <c r="W242" t="s">
        <v>904</v>
      </c>
      <c r="X242" t="s">
        <v>305</v>
      </c>
      <c r="Y242" t="s">
        <v>343</v>
      </c>
      <c r="Z242" s="35" t="s">
        <v>905</v>
      </c>
      <c r="AA242" s="7" t="s">
        <v>906</v>
      </c>
      <c r="AB242" s="23">
        <f>AQ242</f>
        <v>0</v>
      </c>
      <c r="AC242" s="23"/>
      <c r="AD242" s="23" t="s">
        <v>2897</v>
      </c>
      <c r="AE242" s="23" t="s">
        <v>2897</v>
      </c>
      <c r="AF242" s="23" t="s">
        <v>2897</v>
      </c>
      <c r="AG242" s="23" t="s">
        <v>2897</v>
      </c>
      <c r="AH242" s="23" t="s">
        <v>2897</v>
      </c>
      <c r="AI242" s="23"/>
      <c r="AJ242" s="23"/>
      <c r="AK242" t="s">
        <v>345</v>
      </c>
      <c r="AL242">
        <v>2500000000</v>
      </c>
      <c r="AM242" s="3" t="s">
        <v>1715</v>
      </c>
    </row>
    <row r="243" spans="1:39" hidden="1" x14ac:dyDescent="0.2">
      <c r="A243" t="s">
        <v>1716</v>
      </c>
      <c r="B243" t="b">
        <v>1</v>
      </c>
      <c r="C243" t="b">
        <v>0</v>
      </c>
      <c r="D243" t="b">
        <v>1</v>
      </c>
      <c r="E243" t="s">
        <v>248</v>
      </c>
      <c r="F243" t="b">
        <v>0</v>
      </c>
      <c r="G243" t="b">
        <v>0</v>
      </c>
      <c r="H243" t="s">
        <v>1717</v>
      </c>
      <c r="I243" t="s">
        <v>1716</v>
      </c>
      <c r="M243" t="s">
        <v>1718</v>
      </c>
      <c r="N243" t="s">
        <v>1719</v>
      </c>
      <c r="O243" t="s">
        <v>252</v>
      </c>
      <c r="R243" s="1">
        <v>43657</v>
      </c>
      <c r="S243" s="1">
        <v>49125</v>
      </c>
      <c r="U243" t="s">
        <v>253</v>
      </c>
      <c r="V243" t="s">
        <v>267</v>
      </c>
      <c r="W243" t="s">
        <v>1720</v>
      </c>
      <c r="X243" t="s">
        <v>256</v>
      </c>
      <c r="Y243" t="s">
        <v>808</v>
      </c>
      <c r="Z243" t="s">
        <v>1721</v>
      </c>
      <c r="AA243" s="7" t="s">
        <v>1722</v>
      </c>
      <c r="AB243" t="s">
        <v>1723</v>
      </c>
      <c r="AK243" t="s">
        <v>270</v>
      </c>
      <c r="AL243">
        <v>219270538</v>
      </c>
      <c r="AM243" s="3" t="s">
        <v>1724</v>
      </c>
    </row>
    <row r="244" spans="1:39" hidden="1" x14ac:dyDescent="0.2">
      <c r="A244" t="s">
        <v>1729</v>
      </c>
      <c r="B244" t="b">
        <v>0</v>
      </c>
      <c r="C244" t="b">
        <v>0</v>
      </c>
      <c r="D244" t="b">
        <v>1</v>
      </c>
      <c r="E244" t="b">
        <v>0</v>
      </c>
      <c r="F244" t="b">
        <v>1</v>
      </c>
      <c r="G244" t="s">
        <v>361</v>
      </c>
      <c r="H244" t="s">
        <v>1730</v>
      </c>
      <c r="I244" t="s">
        <v>1729</v>
      </c>
      <c r="J244" t="s">
        <v>1731</v>
      </c>
      <c r="M244" t="s">
        <v>1732</v>
      </c>
      <c r="N244" t="s">
        <v>1733</v>
      </c>
      <c r="O244" t="s">
        <v>252</v>
      </c>
      <c r="R244" s="1">
        <v>44788</v>
      </c>
      <c r="S244" s="1">
        <v>47345</v>
      </c>
      <c r="T244" s="2">
        <v>46139.779598993053</v>
      </c>
      <c r="U244" t="s">
        <v>253</v>
      </c>
      <c r="V244" t="s">
        <v>267</v>
      </c>
      <c r="W244" t="s">
        <v>716</v>
      </c>
      <c r="X244" t="s">
        <v>256</v>
      </c>
      <c r="Y244" t="s">
        <v>257</v>
      </c>
      <c r="AK244" t="s">
        <v>260</v>
      </c>
      <c r="AL244">
        <v>233000000</v>
      </c>
      <c r="AM244" s="3" t="s">
        <v>1734</v>
      </c>
    </row>
    <row r="245" spans="1:39" hidden="1" x14ac:dyDescent="0.2">
      <c r="A245" t="s">
        <v>1735</v>
      </c>
      <c r="B245" t="b">
        <v>0</v>
      </c>
      <c r="C245" t="b">
        <v>0</v>
      </c>
      <c r="D245" t="b">
        <v>1</v>
      </c>
      <c r="E245" t="b">
        <v>0</v>
      </c>
      <c r="F245" t="b">
        <v>1</v>
      </c>
      <c r="G245" t="b">
        <v>0</v>
      </c>
      <c r="H245" t="s">
        <v>1736</v>
      </c>
      <c r="I245" t="s">
        <v>1735</v>
      </c>
      <c r="J245" t="s">
        <v>18</v>
      </c>
      <c r="K245" t="s">
        <v>1737</v>
      </c>
      <c r="N245" t="s">
        <v>1738</v>
      </c>
      <c r="O245" t="s">
        <v>252</v>
      </c>
      <c r="P245" t="s">
        <v>275</v>
      </c>
      <c r="Q245" t="s">
        <v>276</v>
      </c>
      <c r="R245" s="1">
        <v>45281</v>
      </c>
      <c r="S245" s="1">
        <v>46739</v>
      </c>
      <c r="T245" s="2">
        <v>45960.67471521991</v>
      </c>
      <c r="U245" t="s">
        <v>253</v>
      </c>
      <c r="V245" t="s">
        <v>267</v>
      </c>
      <c r="W245" t="s">
        <v>277</v>
      </c>
      <c r="X245" t="s">
        <v>278</v>
      </c>
      <c r="Y245" t="s">
        <v>279</v>
      </c>
      <c r="Z245" s="32" t="s">
        <v>1072</v>
      </c>
      <c r="AA245" t="s">
        <v>280</v>
      </c>
      <c r="AB245" s="23">
        <f>AQ245</f>
        <v>0</v>
      </c>
      <c r="AC245" s="23"/>
      <c r="AD245" s="23"/>
      <c r="AE245" s="23"/>
      <c r="AF245" s="23"/>
      <c r="AG245" s="23"/>
      <c r="AH245" s="23"/>
      <c r="AI245" s="23"/>
      <c r="AJ245" s="23"/>
      <c r="AK245" t="s">
        <v>270</v>
      </c>
      <c r="AL245">
        <v>10000000</v>
      </c>
      <c r="AM245" s="3" t="s">
        <v>863</v>
      </c>
    </row>
    <row r="246" spans="1:39" hidden="1" x14ac:dyDescent="0.2">
      <c r="A246" t="s">
        <v>1739</v>
      </c>
      <c r="B246" t="b">
        <v>0</v>
      </c>
      <c r="C246" t="b">
        <v>0</v>
      </c>
      <c r="D246" t="b">
        <v>0</v>
      </c>
      <c r="E246" t="b">
        <v>0</v>
      </c>
      <c r="F246" t="b">
        <v>0</v>
      </c>
      <c r="G246" t="b">
        <v>1</v>
      </c>
      <c r="H246" t="s">
        <v>1740</v>
      </c>
      <c r="I246" t="s">
        <v>1739</v>
      </c>
      <c r="J246" t="s">
        <v>1741</v>
      </c>
      <c r="K246" t="s">
        <v>1742</v>
      </c>
      <c r="L246" t="s">
        <v>1743</v>
      </c>
      <c r="N246" t="s">
        <v>1744</v>
      </c>
      <c r="O246" t="s">
        <v>252</v>
      </c>
      <c r="R246" s="1">
        <v>44217</v>
      </c>
      <c r="S246" s="1">
        <v>47953</v>
      </c>
      <c r="U246" t="s">
        <v>253</v>
      </c>
      <c r="V246" t="s">
        <v>295</v>
      </c>
      <c r="W246" t="s">
        <v>1745</v>
      </c>
      <c r="X246" t="s">
        <v>278</v>
      </c>
      <c r="Y246" t="s">
        <v>257</v>
      </c>
      <c r="AK246" t="s">
        <v>270</v>
      </c>
      <c r="AL246">
        <v>500000000</v>
      </c>
      <c r="AM246" s="3" t="s">
        <v>922</v>
      </c>
    </row>
    <row r="247" spans="1:39" hidden="1" x14ac:dyDescent="0.2">
      <c r="A247" t="s">
        <v>1746</v>
      </c>
      <c r="B247" t="b">
        <v>0</v>
      </c>
      <c r="C247" t="b">
        <v>0</v>
      </c>
      <c r="D247" t="b">
        <v>1</v>
      </c>
      <c r="E247" t="b">
        <v>0</v>
      </c>
      <c r="F247" t="b">
        <v>1</v>
      </c>
      <c r="G247" t="b">
        <v>0</v>
      </c>
      <c r="H247" t="s">
        <v>1747</v>
      </c>
      <c r="I247" t="s">
        <v>1746</v>
      </c>
      <c r="J247" t="s">
        <v>21</v>
      </c>
      <c r="K247" t="s">
        <v>1748</v>
      </c>
      <c r="N247" t="s">
        <v>1749</v>
      </c>
      <c r="O247" t="s">
        <v>252</v>
      </c>
      <c r="P247" t="s">
        <v>275</v>
      </c>
      <c r="Q247" t="s">
        <v>276</v>
      </c>
      <c r="R247" s="1">
        <v>45588</v>
      </c>
      <c r="S247" s="1">
        <v>46500</v>
      </c>
      <c r="T247" s="2">
        <v>45960.690248981482</v>
      </c>
      <c r="U247" t="s">
        <v>253</v>
      </c>
      <c r="V247" t="s">
        <v>267</v>
      </c>
      <c r="W247" t="s">
        <v>277</v>
      </c>
      <c r="X247" t="s">
        <v>278</v>
      </c>
      <c r="Y247" t="s">
        <v>279</v>
      </c>
      <c r="Z247" s="32" t="s">
        <v>1072</v>
      </c>
      <c r="AA247" t="s">
        <v>280</v>
      </c>
      <c r="AB247" s="23">
        <f>AQ247</f>
        <v>0</v>
      </c>
      <c r="AC247" s="23"/>
      <c r="AD247" s="23"/>
      <c r="AE247" s="23"/>
      <c r="AF247" s="23"/>
      <c r="AG247" s="23"/>
      <c r="AH247" s="23"/>
      <c r="AI247" s="23"/>
      <c r="AJ247" s="23"/>
      <c r="AK247" t="s">
        <v>270</v>
      </c>
      <c r="AL247">
        <v>3000000</v>
      </c>
      <c r="AM247" s="3" t="s">
        <v>1750</v>
      </c>
    </row>
    <row r="248" spans="1:39" hidden="1" x14ac:dyDescent="0.2">
      <c r="A248" t="s">
        <v>1751</v>
      </c>
      <c r="B248" t="b">
        <v>0</v>
      </c>
      <c r="C248" t="b">
        <v>0</v>
      </c>
      <c r="D248" t="b">
        <v>1</v>
      </c>
      <c r="E248" t="b">
        <v>0</v>
      </c>
      <c r="F248" t="b">
        <v>1</v>
      </c>
      <c r="G248" t="b">
        <v>0</v>
      </c>
      <c r="H248" t="s">
        <v>1752</v>
      </c>
      <c r="I248" t="s">
        <v>1751</v>
      </c>
      <c r="J248" t="s">
        <v>132</v>
      </c>
      <c r="N248" t="s">
        <v>1753</v>
      </c>
      <c r="O248" t="s">
        <v>252</v>
      </c>
      <c r="R248" s="1">
        <v>45582</v>
      </c>
      <c r="S248" s="1">
        <v>47043</v>
      </c>
      <c r="T248" s="2">
        <v>46059.660198726851</v>
      </c>
      <c r="U248" t="s">
        <v>253</v>
      </c>
      <c r="V248" t="s">
        <v>267</v>
      </c>
      <c r="W248" t="s">
        <v>319</v>
      </c>
      <c r="X248" t="s">
        <v>256</v>
      </c>
      <c r="Y248" t="s">
        <v>269</v>
      </c>
      <c r="Z248" s="32" t="s">
        <v>2749</v>
      </c>
      <c r="AA248" t="s">
        <v>754</v>
      </c>
      <c r="AB248" s="23">
        <f>AQ248</f>
        <v>0</v>
      </c>
      <c r="AC248" s="23"/>
      <c r="AD248" s="23"/>
      <c r="AE248" s="23"/>
      <c r="AF248" s="23"/>
      <c r="AG248" s="23"/>
      <c r="AH248" s="23"/>
      <c r="AI248" s="23"/>
      <c r="AJ248" s="23"/>
      <c r="AK248" t="s">
        <v>270</v>
      </c>
      <c r="AL248">
        <v>48300000</v>
      </c>
      <c r="AM248" s="3" t="s">
        <v>1754</v>
      </c>
    </row>
    <row r="249" spans="1:39" hidden="1" x14ac:dyDescent="0.2">
      <c r="A249" t="s">
        <v>721</v>
      </c>
      <c r="B249" t="b">
        <v>0</v>
      </c>
      <c r="C249" t="b">
        <v>0</v>
      </c>
      <c r="D249" t="b">
        <v>1</v>
      </c>
      <c r="E249" t="b">
        <v>0</v>
      </c>
      <c r="F249" t="b">
        <v>1</v>
      </c>
      <c r="G249" t="b">
        <v>0</v>
      </c>
      <c r="H249" t="s">
        <v>722</v>
      </c>
      <c r="I249" t="s">
        <v>721</v>
      </c>
      <c r="J249" t="s">
        <v>82</v>
      </c>
      <c r="N249" t="s">
        <v>1755</v>
      </c>
      <c r="O249" t="s">
        <v>382</v>
      </c>
      <c r="S249" s="1">
        <v>49887</v>
      </c>
      <c r="U249" t="s">
        <v>253</v>
      </c>
      <c r="V249" t="s">
        <v>267</v>
      </c>
      <c r="W249" t="s">
        <v>723</v>
      </c>
      <c r="X249" t="s">
        <v>256</v>
      </c>
      <c r="Y249" t="s">
        <v>724</v>
      </c>
      <c r="Z249" s="32" t="s">
        <v>2750</v>
      </c>
      <c r="AA249" t="s">
        <v>725</v>
      </c>
      <c r="AB249" s="23">
        <f>AQ249</f>
        <v>0</v>
      </c>
      <c r="AC249" s="23"/>
      <c r="AD249" s="23"/>
      <c r="AE249" s="23"/>
      <c r="AF249" s="23"/>
      <c r="AG249" s="23"/>
      <c r="AH249" s="23"/>
      <c r="AI249" s="23"/>
      <c r="AJ249" s="23"/>
      <c r="AK249" t="s">
        <v>270</v>
      </c>
    </row>
    <row r="250" spans="1:39" hidden="1" x14ac:dyDescent="0.2">
      <c r="A250" t="s">
        <v>1756</v>
      </c>
      <c r="B250" t="b">
        <v>0</v>
      </c>
      <c r="C250" t="b">
        <v>0</v>
      </c>
      <c r="D250" t="b">
        <v>0</v>
      </c>
      <c r="E250" t="b">
        <v>0</v>
      </c>
      <c r="F250" t="b">
        <v>0</v>
      </c>
      <c r="G250" t="b">
        <v>1</v>
      </c>
      <c r="H250" t="s">
        <v>1757</v>
      </c>
      <c r="I250" t="s">
        <v>1756</v>
      </c>
      <c r="J250" t="s">
        <v>121</v>
      </c>
      <c r="K250" t="s">
        <v>1758</v>
      </c>
      <c r="N250" t="s">
        <v>1759</v>
      </c>
      <c r="O250" t="s">
        <v>252</v>
      </c>
      <c r="P250" t="s">
        <v>1118</v>
      </c>
      <c r="Q250" t="s">
        <v>1119</v>
      </c>
      <c r="R250" s="1">
        <v>44522</v>
      </c>
      <c r="S250" s="1">
        <v>48162</v>
      </c>
      <c r="T250" s="2">
        <v>45007.989033958336</v>
      </c>
      <c r="U250" t="s">
        <v>253</v>
      </c>
      <c r="V250" t="s">
        <v>295</v>
      </c>
      <c r="W250" t="s">
        <v>1120</v>
      </c>
      <c r="X250" t="s">
        <v>305</v>
      </c>
      <c r="Y250" t="s">
        <v>343</v>
      </c>
      <c r="AA250" t="s">
        <v>1121</v>
      </c>
      <c r="AB250" s="23">
        <f>AQ250</f>
        <v>0</v>
      </c>
      <c r="AC250" s="23"/>
      <c r="AD250" s="23"/>
      <c r="AE250" s="23"/>
      <c r="AF250" s="23"/>
      <c r="AG250" s="23"/>
      <c r="AH250" s="23"/>
      <c r="AI250" s="23"/>
      <c r="AJ250" s="23"/>
      <c r="AK250" t="s">
        <v>345</v>
      </c>
      <c r="AL250">
        <v>6500000000</v>
      </c>
      <c r="AM250" s="3" t="s">
        <v>1760</v>
      </c>
    </row>
    <row r="251" spans="1:39" hidden="1" x14ac:dyDescent="0.2">
      <c r="A251" t="s">
        <v>1761</v>
      </c>
      <c r="B251" t="b">
        <v>0</v>
      </c>
      <c r="C251" t="b">
        <v>0</v>
      </c>
      <c r="D251" t="b">
        <v>1</v>
      </c>
      <c r="E251" t="b">
        <v>0</v>
      </c>
      <c r="F251" t="b">
        <v>1</v>
      </c>
      <c r="G251" t="b">
        <v>0</v>
      </c>
      <c r="H251" t="s">
        <v>1762</v>
      </c>
      <c r="I251" t="s">
        <v>1761</v>
      </c>
      <c r="J251" t="s">
        <v>75</v>
      </c>
      <c r="K251" t="s">
        <v>1763</v>
      </c>
      <c r="N251" t="s">
        <v>1764</v>
      </c>
      <c r="O251" t="s">
        <v>252</v>
      </c>
      <c r="R251" s="1">
        <v>44442</v>
      </c>
      <c r="S251" s="1">
        <v>45915</v>
      </c>
      <c r="U251" t="s">
        <v>253</v>
      </c>
      <c r="V251" t="s">
        <v>254</v>
      </c>
      <c r="W251" t="s">
        <v>426</v>
      </c>
      <c r="X251" t="s">
        <v>256</v>
      </c>
      <c r="Y251" t="s">
        <v>257</v>
      </c>
      <c r="Z251" s="32" t="s">
        <v>2757</v>
      </c>
      <c r="AA251" t="s">
        <v>427</v>
      </c>
      <c r="AB251" s="23">
        <f>AQ251</f>
        <v>0</v>
      </c>
      <c r="AC251" s="23"/>
      <c r="AD251" s="23"/>
      <c r="AE251" s="23"/>
      <c r="AF251" s="23"/>
      <c r="AG251" s="23"/>
      <c r="AH251" s="23"/>
      <c r="AI251" s="23"/>
      <c r="AJ251" s="23"/>
      <c r="AK251" t="s">
        <v>260</v>
      </c>
      <c r="AL251">
        <v>300000000</v>
      </c>
      <c r="AM251" s="3" t="s">
        <v>1765</v>
      </c>
    </row>
    <row r="252" spans="1:39" hidden="1" x14ac:dyDescent="0.2">
      <c r="A252" t="s">
        <v>1766</v>
      </c>
      <c r="B252" t="b">
        <v>1</v>
      </c>
      <c r="C252" t="b">
        <v>0</v>
      </c>
      <c r="D252" t="b">
        <v>1</v>
      </c>
      <c r="E252" t="s">
        <v>248</v>
      </c>
      <c r="F252" t="b">
        <v>0</v>
      </c>
      <c r="G252" t="b">
        <v>0</v>
      </c>
      <c r="H252" t="s">
        <v>1767</v>
      </c>
      <c r="I252" t="s">
        <v>1766</v>
      </c>
      <c r="J252" t="s">
        <v>1768</v>
      </c>
      <c r="K252" t="s">
        <v>1769</v>
      </c>
      <c r="N252" t="s">
        <v>1770</v>
      </c>
      <c r="O252" t="s">
        <v>252</v>
      </c>
      <c r="R252" s="1">
        <v>44335</v>
      </c>
      <c r="S252" s="1">
        <v>49810</v>
      </c>
      <c r="U252" t="s">
        <v>253</v>
      </c>
      <c r="V252" t="s">
        <v>267</v>
      </c>
      <c r="W252" t="s">
        <v>545</v>
      </c>
      <c r="X252" t="s">
        <v>256</v>
      </c>
      <c r="Y252" t="s">
        <v>257</v>
      </c>
      <c r="AA252" s="6" t="s">
        <v>673</v>
      </c>
      <c r="AB252" s="7" t="s">
        <v>674</v>
      </c>
      <c r="AC252" s="7"/>
      <c r="AD252" s="7"/>
      <c r="AE252" s="7"/>
      <c r="AF252" s="7"/>
      <c r="AG252" s="7"/>
      <c r="AH252" s="7"/>
      <c r="AI252" s="7"/>
      <c r="AJ252" s="7"/>
      <c r="AK252" t="s">
        <v>260</v>
      </c>
      <c r="AL252">
        <v>100000000</v>
      </c>
      <c r="AM252" s="3" t="s">
        <v>1771</v>
      </c>
    </row>
    <row r="253" spans="1:39" hidden="1" x14ac:dyDescent="0.2">
      <c r="A253" t="s">
        <v>1772</v>
      </c>
      <c r="B253" t="b">
        <v>1</v>
      </c>
      <c r="C253" t="b">
        <v>0</v>
      </c>
      <c r="D253" t="b">
        <v>1</v>
      </c>
      <c r="E253" t="s">
        <v>248</v>
      </c>
      <c r="F253" t="b">
        <v>0</v>
      </c>
      <c r="G253" t="b">
        <v>0</v>
      </c>
      <c r="H253" t="s">
        <v>1773</v>
      </c>
      <c r="I253" t="s">
        <v>1772</v>
      </c>
      <c r="J253" t="s">
        <v>1774</v>
      </c>
      <c r="K253" t="s">
        <v>1775</v>
      </c>
      <c r="N253" t="s">
        <v>1776</v>
      </c>
      <c r="O253" t="s">
        <v>252</v>
      </c>
      <c r="R253" s="1">
        <v>43819</v>
      </c>
      <c r="S253" s="1">
        <v>52946</v>
      </c>
      <c r="U253" t="s">
        <v>253</v>
      </c>
      <c r="V253" t="s">
        <v>267</v>
      </c>
      <c r="W253" t="s">
        <v>545</v>
      </c>
      <c r="X253" t="s">
        <v>256</v>
      </c>
      <c r="Y253" t="s">
        <v>257</v>
      </c>
      <c r="AA253" s="6" t="s">
        <v>673</v>
      </c>
      <c r="AB253" s="7" t="s">
        <v>674</v>
      </c>
      <c r="AC253" s="7"/>
      <c r="AD253" s="7"/>
      <c r="AE253" s="7"/>
      <c r="AF253" s="7"/>
      <c r="AG253" s="7"/>
      <c r="AH253" s="7"/>
      <c r="AI253" s="7"/>
      <c r="AJ253" s="7"/>
      <c r="AK253" t="s">
        <v>260</v>
      </c>
      <c r="AL253">
        <v>575000000</v>
      </c>
      <c r="AM253" s="3" t="s">
        <v>1777</v>
      </c>
    </row>
    <row r="254" spans="1:39" hidden="1" x14ac:dyDescent="0.2">
      <c r="A254" t="s">
        <v>1778</v>
      </c>
      <c r="B254" t="b">
        <v>0</v>
      </c>
      <c r="C254" t="b">
        <v>0</v>
      </c>
      <c r="D254" t="b">
        <v>0</v>
      </c>
      <c r="E254" t="b">
        <v>0</v>
      </c>
      <c r="F254" t="b">
        <v>0</v>
      </c>
      <c r="G254" t="b">
        <v>1</v>
      </c>
      <c r="H254" t="s">
        <v>1779</v>
      </c>
      <c r="I254" t="s">
        <v>1778</v>
      </c>
      <c r="J254" t="s">
        <v>96</v>
      </c>
      <c r="M254" t="s">
        <v>1780</v>
      </c>
      <c r="N254" t="s">
        <v>1781</v>
      </c>
      <c r="O254" t="s">
        <v>252</v>
      </c>
      <c r="R254" s="1">
        <v>44223</v>
      </c>
      <c r="S254" s="1">
        <v>44953</v>
      </c>
      <c r="T254" s="2">
        <v>45043.705501192133</v>
      </c>
      <c r="U254" t="s">
        <v>253</v>
      </c>
      <c r="V254" t="s">
        <v>295</v>
      </c>
      <c r="W254" t="s">
        <v>861</v>
      </c>
      <c r="X254" t="s">
        <v>278</v>
      </c>
      <c r="Y254" t="s">
        <v>351</v>
      </c>
      <c r="AA254" t="s">
        <v>862</v>
      </c>
      <c r="AB254" s="23">
        <f>AQ254</f>
        <v>0</v>
      </c>
      <c r="AC254" s="23"/>
      <c r="AD254" s="23"/>
      <c r="AE254" s="23"/>
      <c r="AF254" s="23"/>
      <c r="AG254" s="23"/>
      <c r="AH254" s="23"/>
      <c r="AI254" s="23"/>
      <c r="AJ254" s="23"/>
      <c r="AK254" t="s">
        <v>270</v>
      </c>
      <c r="AL254">
        <v>10000000</v>
      </c>
      <c r="AM254" s="3" t="s">
        <v>863</v>
      </c>
    </row>
    <row r="255" spans="1:39" hidden="1" x14ac:dyDescent="0.2">
      <c r="A255" t="s">
        <v>1782</v>
      </c>
      <c r="B255" t="b">
        <v>0</v>
      </c>
      <c r="C255" t="b">
        <v>0</v>
      </c>
      <c r="D255" t="b">
        <v>0</v>
      </c>
      <c r="E255" t="b">
        <v>0</v>
      </c>
      <c r="F255" t="b">
        <v>0</v>
      </c>
      <c r="G255" t="b">
        <v>1</v>
      </c>
      <c r="H255" t="s">
        <v>1783</v>
      </c>
      <c r="I255" t="s">
        <v>1782</v>
      </c>
      <c r="J255" t="s">
        <v>54</v>
      </c>
      <c r="K255" t="s">
        <v>1784</v>
      </c>
      <c r="N255" t="s">
        <v>1785</v>
      </c>
      <c r="O255" t="s">
        <v>252</v>
      </c>
      <c r="P255" t="s">
        <v>331</v>
      </c>
      <c r="Q255" t="s">
        <v>332</v>
      </c>
      <c r="R255" s="1">
        <v>44592</v>
      </c>
      <c r="S255" s="1">
        <v>48975</v>
      </c>
      <c r="T255" s="2">
        <v>44923.647841296297</v>
      </c>
      <c r="U255" t="s">
        <v>253</v>
      </c>
      <c r="V255" t="s">
        <v>295</v>
      </c>
      <c r="W255" t="s">
        <v>333</v>
      </c>
      <c r="X255" t="s">
        <v>334</v>
      </c>
      <c r="Y255" t="s">
        <v>287</v>
      </c>
      <c r="AA255" t="s">
        <v>335</v>
      </c>
      <c r="AB255" s="23">
        <f>AQ255</f>
        <v>0</v>
      </c>
      <c r="AC255" s="23"/>
      <c r="AD255" s="23"/>
      <c r="AE255" s="23"/>
      <c r="AF255" s="23"/>
      <c r="AG255" s="23"/>
      <c r="AH255" s="23"/>
      <c r="AI255" s="23"/>
      <c r="AJ255" s="23"/>
      <c r="AK255" t="s">
        <v>270</v>
      </c>
      <c r="AL255">
        <v>1500000000</v>
      </c>
      <c r="AM255" s="3" t="s">
        <v>336</v>
      </c>
    </row>
    <row r="256" spans="1:39" hidden="1" x14ac:dyDescent="0.2">
      <c r="A256" t="s">
        <v>1786</v>
      </c>
      <c r="B256" t="b">
        <v>0</v>
      </c>
      <c r="C256" t="b">
        <v>0</v>
      </c>
      <c r="D256" t="b">
        <v>1</v>
      </c>
      <c r="E256" t="b">
        <v>0</v>
      </c>
      <c r="F256" t="b">
        <v>1</v>
      </c>
      <c r="G256" t="b">
        <v>0</v>
      </c>
      <c r="H256" t="s">
        <v>1787</v>
      </c>
      <c r="I256" t="s">
        <v>1786</v>
      </c>
      <c r="J256" t="s">
        <v>65</v>
      </c>
      <c r="N256" t="s">
        <v>1788</v>
      </c>
      <c r="O256" t="s">
        <v>252</v>
      </c>
      <c r="P256" t="s">
        <v>1076</v>
      </c>
      <c r="Q256" t="s">
        <v>1077</v>
      </c>
      <c r="R256" s="1">
        <v>45476</v>
      </c>
      <c r="S256" s="1">
        <v>50954</v>
      </c>
      <c r="T256" s="2">
        <v>46153.778520717591</v>
      </c>
      <c r="U256" t="s">
        <v>253</v>
      </c>
      <c r="V256" t="s">
        <v>267</v>
      </c>
      <c r="W256" t="s">
        <v>645</v>
      </c>
      <c r="X256" t="s">
        <v>256</v>
      </c>
      <c r="Y256" t="s">
        <v>351</v>
      </c>
      <c r="Z256" s="32" t="s">
        <v>2752</v>
      </c>
      <c r="AA256" t="s">
        <v>646</v>
      </c>
      <c r="AB256" s="23">
        <f>AQ256</f>
        <v>0</v>
      </c>
      <c r="AC256" s="23"/>
      <c r="AD256" s="23"/>
      <c r="AE256" s="23"/>
      <c r="AF256" s="23"/>
      <c r="AG256" s="23"/>
      <c r="AH256" s="23"/>
      <c r="AI256" s="23"/>
      <c r="AJ256" s="23"/>
      <c r="AK256" t="s">
        <v>647</v>
      </c>
      <c r="AL256">
        <v>3375000000</v>
      </c>
      <c r="AM256" s="3" t="s">
        <v>1789</v>
      </c>
    </row>
    <row r="257" spans="1:39" hidden="1" x14ac:dyDescent="0.2">
      <c r="A257" s="4" t="s">
        <v>1790</v>
      </c>
      <c r="B257" t="b">
        <v>0</v>
      </c>
      <c r="C257" t="b">
        <v>0</v>
      </c>
      <c r="D257" t="b">
        <v>1</v>
      </c>
      <c r="E257" t="b">
        <v>0</v>
      </c>
      <c r="F257" t="b">
        <v>1</v>
      </c>
      <c r="G257" t="b">
        <v>0</v>
      </c>
      <c r="H257" t="s">
        <v>1791</v>
      </c>
      <c r="I257" s="4" t="s">
        <v>1790</v>
      </c>
      <c r="J257" t="s">
        <v>140</v>
      </c>
      <c r="K257" t="s">
        <v>1792</v>
      </c>
      <c r="N257" t="s">
        <v>1793</v>
      </c>
      <c r="O257" t="s">
        <v>252</v>
      </c>
      <c r="R257" s="1">
        <v>42956</v>
      </c>
      <c r="S257" s="1">
        <v>44782</v>
      </c>
      <c r="U257" t="s">
        <v>253</v>
      </c>
      <c r="V257" t="s">
        <v>267</v>
      </c>
      <c r="W257" t="s">
        <v>1794</v>
      </c>
      <c r="X257" t="s">
        <v>305</v>
      </c>
      <c r="Y257" t="s">
        <v>384</v>
      </c>
      <c r="Z257" s="32" t="s">
        <v>2735</v>
      </c>
      <c r="AA257" t="s">
        <v>1795</v>
      </c>
      <c r="AB257" s="23">
        <f>AQ257</f>
        <v>0</v>
      </c>
      <c r="AC257" s="23"/>
      <c r="AD257" s="23" t="s">
        <v>2873</v>
      </c>
      <c r="AE257" s="23" t="s">
        <v>2880</v>
      </c>
      <c r="AF257" s="23"/>
      <c r="AG257" s="23"/>
      <c r="AH257" s="23" t="s">
        <v>2852</v>
      </c>
      <c r="AI257" s="23"/>
      <c r="AJ257" s="23"/>
      <c r="AK257" t="s">
        <v>386</v>
      </c>
      <c r="AL257">
        <v>200000000000</v>
      </c>
      <c r="AM257" s="3" t="s">
        <v>1796</v>
      </c>
    </row>
    <row r="258" spans="1:39" hidden="1" x14ac:dyDescent="0.2">
      <c r="A258" s="14" t="s">
        <v>1797</v>
      </c>
      <c r="B258" s="14" t="b">
        <v>1</v>
      </c>
      <c r="C258" s="14" t="b">
        <v>0</v>
      </c>
      <c r="D258" s="14" t="b">
        <v>1</v>
      </c>
      <c r="E258" s="14" t="s">
        <v>522</v>
      </c>
      <c r="F258" s="14" t="b">
        <v>0</v>
      </c>
      <c r="G258" s="14" t="b">
        <v>0</v>
      </c>
      <c r="H258" s="14" t="s">
        <v>1798</v>
      </c>
      <c r="I258" s="14" t="s">
        <v>1797</v>
      </c>
      <c r="J258" s="19" t="s">
        <v>123</v>
      </c>
      <c r="K258" s="14" t="s">
        <v>1799</v>
      </c>
      <c r="L258" s="14"/>
      <c r="M258" s="14"/>
      <c r="N258" s="14" t="s">
        <v>1800</v>
      </c>
      <c r="O258" s="14" t="s">
        <v>252</v>
      </c>
      <c r="P258" s="14"/>
      <c r="Q258" s="14"/>
      <c r="R258" s="15">
        <v>43558</v>
      </c>
      <c r="S258" s="15">
        <v>54516</v>
      </c>
      <c r="T258" s="14"/>
      <c r="U258" s="14" t="s">
        <v>253</v>
      </c>
      <c r="V258" s="14" t="s">
        <v>254</v>
      </c>
      <c r="W258" s="14" t="s">
        <v>1190</v>
      </c>
      <c r="X258" s="14" t="s">
        <v>256</v>
      </c>
      <c r="Y258" s="14" t="s">
        <v>257</v>
      </c>
      <c r="Z258" s="35" t="s">
        <v>1191</v>
      </c>
      <c r="AA258" s="14" t="s">
        <v>1192</v>
      </c>
      <c r="AB258" s="23">
        <f>AQ258</f>
        <v>0</v>
      </c>
      <c r="AC258" s="23"/>
      <c r="AD258" s="23" t="s">
        <v>2897</v>
      </c>
      <c r="AE258" s="23" t="s">
        <v>2897</v>
      </c>
      <c r="AF258" s="23" t="s">
        <v>2897</v>
      </c>
      <c r="AG258" s="23" t="s">
        <v>2897</v>
      </c>
      <c r="AH258" s="23" t="s">
        <v>2897</v>
      </c>
      <c r="AI258" s="23"/>
      <c r="AJ258" s="23"/>
      <c r="AK258" s="14" t="s">
        <v>270</v>
      </c>
      <c r="AL258" s="14">
        <v>700000000</v>
      </c>
      <c r="AM258" s="16" t="s">
        <v>585</v>
      </c>
    </row>
    <row r="259" spans="1:39" hidden="1" x14ac:dyDescent="0.2">
      <c r="A259" t="s">
        <v>1801</v>
      </c>
      <c r="B259" t="b">
        <v>0</v>
      </c>
      <c r="C259" t="b">
        <v>0</v>
      </c>
      <c r="D259" t="b">
        <v>1</v>
      </c>
      <c r="E259" t="b">
        <v>0</v>
      </c>
      <c r="F259" t="b">
        <v>1</v>
      </c>
      <c r="G259" t="s">
        <v>361</v>
      </c>
      <c r="H259" t="s">
        <v>1802</v>
      </c>
      <c r="I259" t="s">
        <v>1801</v>
      </c>
      <c r="J259" t="s">
        <v>1803</v>
      </c>
      <c r="K259" t="s">
        <v>1804</v>
      </c>
      <c r="N259" t="s">
        <v>1805</v>
      </c>
      <c r="O259" t="s">
        <v>252</v>
      </c>
      <c r="P259" t="s">
        <v>824</v>
      </c>
      <c r="Q259" t="s">
        <v>825</v>
      </c>
      <c r="R259" s="1">
        <v>44666</v>
      </c>
      <c r="S259" s="1">
        <v>48319</v>
      </c>
      <c r="U259" t="s">
        <v>253</v>
      </c>
      <c r="V259" t="s">
        <v>267</v>
      </c>
      <c r="W259" t="s">
        <v>545</v>
      </c>
      <c r="X259" t="s">
        <v>256</v>
      </c>
      <c r="Y259" t="s">
        <v>257</v>
      </c>
      <c r="AK259" t="s">
        <v>260</v>
      </c>
      <c r="AL259">
        <v>300410000</v>
      </c>
      <c r="AM259" s="3" t="s">
        <v>1806</v>
      </c>
    </row>
    <row r="260" spans="1:39" hidden="1" x14ac:dyDescent="0.2">
      <c r="A260" t="s">
        <v>1807</v>
      </c>
      <c r="B260" t="b">
        <v>0</v>
      </c>
      <c r="C260" t="b">
        <v>0</v>
      </c>
      <c r="D260" t="b">
        <v>1</v>
      </c>
      <c r="E260" t="b">
        <v>0</v>
      </c>
      <c r="F260" t="b">
        <v>1</v>
      </c>
      <c r="G260" t="b">
        <v>0</v>
      </c>
      <c r="H260" t="s">
        <v>1808</v>
      </c>
      <c r="I260" t="s">
        <v>1807</v>
      </c>
      <c r="J260" t="s">
        <v>76</v>
      </c>
      <c r="N260" t="s">
        <v>1809</v>
      </c>
      <c r="O260" t="s">
        <v>252</v>
      </c>
      <c r="R260" s="1">
        <v>44518</v>
      </c>
      <c r="S260" s="1">
        <v>46343</v>
      </c>
      <c r="U260" t="s">
        <v>253</v>
      </c>
      <c r="V260" t="s">
        <v>254</v>
      </c>
      <c r="W260" t="s">
        <v>426</v>
      </c>
      <c r="X260" t="s">
        <v>256</v>
      </c>
      <c r="Y260" t="s">
        <v>257</v>
      </c>
      <c r="Z260" s="32" t="s">
        <v>2757</v>
      </c>
      <c r="AA260" t="s">
        <v>427</v>
      </c>
      <c r="AB260" s="23">
        <f>AQ260</f>
        <v>0</v>
      </c>
      <c r="AC260" s="23"/>
      <c r="AD260" s="23"/>
      <c r="AE260" s="23"/>
      <c r="AF260" s="23"/>
      <c r="AG260" s="23"/>
      <c r="AH260" s="23"/>
      <c r="AI260" s="23"/>
      <c r="AJ260" s="23"/>
      <c r="AK260" t="s">
        <v>260</v>
      </c>
      <c r="AL260">
        <v>64000000</v>
      </c>
      <c r="AM260" s="3" t="s">
        <v>1810</v>
      </c>
    </row>
    <row r="261" spans="1:39" hidden="1" x14ac:dyDescent="0.2">
      <c r="A261" t="s">
        <v>1811</v>
      </c>
      <c r="B261" t="b">
        <v>0</v>
      </c>
      <c r="C261" t="b">
        <v>0</v>
      </c>
      <c r="D261" t="b">
        <v>1</v>
      </c>
      <c r="E261" t="b">
        <v>0</v>
      </c>
      <c r="F261" t="b">
        <v>1</v>
      </c>
      <c r="G261" t="s">
        <v>361</v>
      </c>
      <c r="H261" t="s">
        <v>1812</v>
      </c>
      <c r="I261" t="s">
        <v>1811</v>
      </c>
      <c r="M261" t="s">
        <v>1813</v>
      </c>
      <c r="N261" t="s">
        <v>1814</v>
      </c>
      <c r="O261" t="s">
        <v>252</v>
      </c>
      <c r="R261" s="1">
        <v>42943</v>
      </c>
      <c r="S261" s="1">
        <v>49996</v>
      </c>
      <c r="T261" s="2">
        <v>44981.788966215281</v>
      </c>
      <c r="U261" t="s">
        <v>253</v>
      </c>
      <c r="V261" t="s">
        <v>267</v>
      </c>
      <c r="W261" t="s">
        <v>868</v>
      </c>
      <c r="X261" t="s">
        <v>256</v>
      </c>
      <c r="Y261" t="s">
        <v>869</v>
      </c>
      <c r="AK261" t="s">
        <v>270</v>
      </c>
      <c r="AL261">
        <v>135810000</v>
      </c>
      <c r="AM261" s="3" t="s">
        <v>1815</v>
      </c>
    </row>
    <row r="262" spans="1:39" hidden="1" x14ac:dyDescent="0.2">
      <c r="A262" t="s">
        <v>1816</v>
      </c>
      <c r="B262" t="b">
        <v>0</v>
      </c>
      <c r="C262" t="b">
        <v>0</v>
      </c>
      <c r="D262" t="b">
        <v>1</v>
      </c>
      <c r="E262" t="b">
        <v>0</v>
      </c>
      <c r="F262" t="b">
        <v>1</v>
      </c>
      <c r="G262" t="s">
        <v>361</v>
      </c>
      <c r="H262" t="s">
        <v>1817</v>
      </c>
      <c r="I262" t="s">
        <v>1816</v>
      </c>
      <c r="J262" t="s">
        <v>1818</v>
      </c>
      <c r="M262" t="s">
        <v>1819</v>
      </c>
      <c r="N262" t="s">
        <v>1820</v>
      </c>
      <c r="O262" t="s">
        <v>252</v>
      </c>
      <c r="R262" s="1">
        <v>44642</v>
      </c>
      <c r="S262" s="1">
        <v>48228</v>
      </c>
      <c r="U262" t="s">
        <v>253</v>
      </c>
      <c r="V262" t="s">
        <v>254</v>
      </c>
      <c r="W262" t="s">
        <v>666</v>
      </c>
      <c r="X262" t="s">
        <v>256</v>
      </c>
      <c r="Y262" t="s">
        <v>257</v>
      </c>
      <c r="AK262" t="s">
        <v>260</v>
      </c>
      <c r="AL262">
        <v>605202000</v>
      </c>
      <c r="AM262" s="3" t="s">
        <v>1821</v>
      </c>
    </row>
    <row r="263" spans="1:39" hidden="1" x14ac:dyDescent="0.2">
      <c r="A263" t="s">
        <v>1822</v>
      </c>
      <c r="B263" t="b">
        <v>0</v>
      </c>
      <c r="C263" t="b">
        <v>0</v>
      </c>
      <c r="D263" t="b">
        <v>1</v>
      </c>
      <c r="E263" t="b">
        <v>0</v>
      </c>
      <c r="F263" t="b">
        <v>1</v>
      </c>
      <c r="G263" t="b">
        <v>0</v>
      </c>
      <c r="H263" t="s">
        <v>1823</v>
      </c>
      <c r="I263" t="s">
        <v>1822</v>
      </c>
      <c r="J263" t="s">
        <v>6</v>
      </c>
      <c r="N263" t="s">
        <v>1824</v>
      </c>
      <c r="O263" t="s">
        <v>252</v>
      </c>
      <c r="P263" t="s">
        <v>275</v>
      </c>
      <c r="Q263" t="s">
        <v>276</v>
      </c>
      <c r="R263" s="1">
        <v>43815</v>
      </c>
      <c r="S263" s="1">
        <v>45644</v>
      </c>
      <c r="T263" s="2">
        <v>45960.689913726848</v>
      </c>
      <c r="U263" t="s">
        <v>253</v>
      </c>
      <c r="V263" t="s">
        <v>267</v>
      </c>
      <c r="W263" t="s">
        <v>277</v>
      </c>
      <c r="X263" t="s">
        <v>278</v>
      </c>
      <c r="Y263" t="s">
        <v>279</v>
      </c>
      <c r="Z263" s="32" t="s">
        <v>1072</v>
      </c>
      <c r="AA263" t="s">
        <v>280</v>
      </c>
      <c r="AB263" s="23">
        <f>AQ263</f>
        <v>0</v>
      </c>
      <c r="AC263" s="23"/>
      <c r="AD263" s="23"/>
      <c r="AE263" s="23"/>
      <c r="AF263" s="23"/>
      <c r="AG263" s="23"/>
      <c r="AH263" s="23"/>
      <c r="AI263" s="23"/>
      <c r="AJ263" s="23"/>
      <c r="AK263" t="s">
        <v>270</v>
      </c>
      <c r="AL263">
        <v>7000000</v>
      </c>
      <c r="AM263" s="3" t="s">
        <v>895</v>
      </c>
    </row>
    <row r="264" spans="1:39" hidden="1" x14ac:dyDescent="0.2">
      <c r="A264" t="s">
        <v>1825</v>
      </c>
      <c r="B264" t="b">
        <v>0</v>
      </c>
      <c r="C264" t="b">
        <v>0</v>
      </c>
      <c r="D264" t="b">
        <v>0</v>
      </c>
      <c r="E264" t="b">
        <v>0</v>
      </c>
      <c r="F264" t="b">
        <v>0</v>
      </c>
      <c r="G264" t="b">
        <v>1</v>
      </c>
      <c r="H264" t="s">
        <v>1826</v>
      </c>
      <c r="I264" t="s">
        <v>1825</v>
      </c>
      <c r="J264" t="s">
        <v>36</v>
      </c>
      <c r="N264" t="s">
        <v>1827</v>
      </c>
      <c r="O264" t="s">
        <v>252</v>
      </c>
      <c r="P264" t="s">
        <v>596</v>
      </c>
      <c r="Q264" t="s">
        <v>597</v>
      </c>
      <c r="R264" s="1">
        <v>44974</v>
      </c>
      <c r="S264" s="1">
        <v>47522</v>
      </c>
      <c r="T264" s="2">
        <v>44977.943542002315</v>
      </c>
      <c r="U264" t="s">
        <v>253</v>
      </c>
      <c r="V264" t="s">
        <v>295</v>
      </c>
      <c r="W264" t="s">
        <v>342</v>
      </c>
      <c r="X264" t="s">
        <v>305</v>
      </c>
      <c r="Y264" t="s">
        <v>343</v>
      </c>
      <c r="AA264" t="s">
        <v>344</v>
      </c>
      <c r="AB264" s="23">
        <f>AQ264</f>
        <v>0</v>
      </c>
      <c r="AC264" s="23"/>
      <c r="AD264" s="23"/>
      <c r="AE264" s="23"/>
      <c r="AF264" s="23"/>
      <c r="AG264" s="23"/>
      <c r="AH264" s="23"/>
      <c r="AI264" s="23"/>
      <c r="AJ264" s="23"/>
      <c r="AK264" t="s">
        <v>345</v>
      </c>
      <c r="AL264">
        <v>6000000000</v>
      </c>
      <c r="AM264" s="3" t="s">
        <v>1828</v>
      </c>
    </row>
    <row r="265" spans="1:39" hidden="1" x14ac:dyDescent="0.2">
      <c r="A265" t="s">
        <v>1829</v>
      </c>
      <c r="B265" t="b">
        <v>1</v>
      </c>
      <c r="C265" t="b">
        <v>0</v>
      </c>
      <c r="D265" t="b">
        <v>1</v>
      </c>
      <c r="E265" t="b">
        <v>0</v>
      </c>
      <c r="F265" t="b">
        <v>0</v>
      </c>
      <c r="G265" t="s">
        <v>361</v>
      </c>
      <c r="H265" t="s">
        <v>1830</v>
      </c>
      <c r="I265" t="s">
        <v>1829</v>
      </c>
      <c r="J265" t="s">
        <v>1831</v>
      </c>
      <c r="L265" t="s">
        <v>1832</v>
      </c>
      <c r="N265" t="s">
        <v>1833</v>
      </c>
      <c r="O265" t="s">
        <v>252</v>
      </c>
      <c r="R265" s="1">
        <v>42485</v>
      </c>
      <c r="S265" s="1">
        <v>44311</v>
      </c>
      <c r="T265" s="2">
        <v>46079.826696145836</v>
      </c>
      <c r="U265" t="s">
        <v>743</v>
      </c>
      <c r="V265" t="s">
        <v>267</v>
      </c>
      <c r="W265" t="s">
        <v>350</v>
      </c>
      <c r="X265" t="s">
        <v>305</v>
      </c>
      <c r="Y265" t="s">
        <v>351</v>
      </c>
      <c r="AK265" t="s">
        <v>270</v>
      </c>
      <c r="AL265">
        <v>500000000</v>
      </c>
      <c r="AM265" s="3" t="s">
        <v>922</v>
      </c>
    </row>
    <row r="266" spans="1:39" hidden="1" x14ac:dyDescent="0.2">
      <c r="A266" t="s">
        <v>1834</v>
      </c>
      <c r="B266" t="b">
        <v>0</v>
      </c>
      <c r="C266" t="b">
        <v>0</v>
      </c>
      <c r="D266" t="b">
        <v>1</v>
      </c>
      <c r="E266" t="b">
        <v>0</v>
      </c>
      <c r="F266" t="b">
        <v>1</v>
      </c>
      <c r="G266" t="s">
        <v>361</v>
      </c>
      <c r="H266" t="s">
        <v>1835</v>
      </c>
      <c r="I266" t="s">
        <v>1834</v>
      </c>
      <c r="J266" t="s">
        <v>190</v>
      </c>
      <c r="N266" t="s">
        <v>1836</v>
      </c>
      <c r="O266" t="s">
        <v>252</v>
      </c>
      <c r="R266" s="1">
        <v>44284</v>
      </c>
      <c r="S266" s="1">
        <v>46097</v>
      </c>
      <c r="U266" t="s">
        <v>253</v>
      </c>
      <c r="V266" t="s">
        <v>254</v>
      </c>
      <c r="W266" t="s">
        <v>1837</v>
      </c>
      <c r="X266" t="s">
        <v>256</v>
      </c>
      <c r="Y266" t="s">
        <v>257</v>
      </c>
      <c r="AA266" s="7" t="s">
        <v>1838</v>
      </c>
      <c r="AB266" s="23">
        <f>AQ266</f>
        <v>0</v>
      </c>
      <c r="AC266" s="23"/>
      <c r="AD266" s="23"/>
      <c r="AE266" s="23"/>
      <c r="AF266" s="23"/>
      <c r="AG266" s="23"/>
      <c r="AH266" s="23"/>
      <c r="AI266" s="23"/>
      <c r="AJ266" s="23"/>
      <c r="AK266" t="s">
        <v>260</v>
      </c>
      <c r="AL266">
        <v>347809000</v>
      </c>
      <c r="AM266" s="3" t="s">
        <v>1839</v>
      </c>
    </row>
    <row r="267" spans="1:39" hidden="1" x14ac:dyDescent="0.2">
      <c r="A267" t="s">
        <v>1840</v>
      </c>
      <c r="B267" t="b">
        <v>1</v>
      </c>
      <c r="C267" t="b">
        <v>0</v>
      </c>
      <c r="D267" t="b">
        <v>1</v>
      </c>
      <c r="E267" t="s">
        <v>522</v>
      </c>
      <c r="F267" t="b">
        <v>0</v>
      </c>
      <c r="G267" t="b">
        <v>0</v>
      </c>
      <c r="H267" t="s">
        <v>1841</v>
      </c>
      <c r="I267" t="s">
        <v>1840</v>
      </c>
      <c r="J267" s="20" t="s">
        <v>1842</v>
      </c>
      <c r="K267" t="s">
        <v>1843</v>
      </c>
      <c r="N267" t="s">
        <v>1844</v>
      </c>
      <c r="O267" t="s">
        <v>252</v>
      </c>
      <c r="R267" s="1">
        <v>42829</v>
      </c>
      <c r="S267" s="1">
        <v>46481</v>
      </c>
      <c r="T267" s="2">
        <v>45328.828041655092</v>
      </c>
      <c r="U267" t="s">
        <v>253</v>
      </c>
      <c r="V267" t="s">
        <v>267</v>
      </c>
      <c r="W267" t="s">
        <v>1845</v>
      </c>
      <c r="X267" t="s">
        <v>256</v>
      </c>
      <c r="Y267" t="s">
        <v>287</v>
      </c>
      <c r="Z267" s="35" t="s">
        <v>1846</v>
      </c>
      <c r="AA267" s="7" t="s">
        <v>1847</v>
      </c>
      <c r="AB267" s="7" t="s">
        <v>1848</v>
      </c>
      <c r="AC267" s="7" t="s">
        <v>2899</v>
      </c>
      <c r="AD267" s="7" t="s">
        <v>2878</v>
      </c>
      <c r="AE267" s="7" t="s">
        <v>2894</v>
      </c>
      <c r="AF267" s="7"/>
      <c r="AG267" s="7"/>
      <c r="AH267" s="7" t="s">
        <v>2851</v>
      </c>
      <c r="AI267" s="7"/>
      <c r="AJ267" s="7"/>
      <c r="AK267" t="s">
        <v>270</v>
      </c>
      <c r="AL267">
        <v>500000000</v>
      </c>
      <c r="AM267" s="3" t="s">
        <v>922</v>
      </c>
    </row>
    <row r="268" spans="1:39" x14ac:dyDescent="0.2">
      <c r="A268" s="14" t="s">
        <v>1849</v>
      </c>
      <c r="B268" s="14" t="b">
        <v>1</v>
      </c>
      <c r="C268" s="14" t="b">
        <v>0</v>
      </c>
      <c r="D268" s="14" t="b">
        <v>1</v>
      </c>
      <c r="E268" s="14" t="s">
        <v>522</v>
      </c>
      <c r="F268" s="14" t="b">
        <v>0</v>
      </c>
      <c r="G268" s="14" t="b">
        <v>0</v>
      </c>
      <c r="H268" s="14" t="s">
        <v>1850</v>
      </c>
      <c r="I268" s="14" t="s">
        <v>1849</v>
      </c>
      <c r="J268" s="19" t="s">
        <v>200</v>
      </c>
      <c r="K268" s="14" t="s">
        <v>1851</v>
      </c>
      <c r="L268" s="14"/>
      <c r="M268" s="14" t="s">
        <v>1852</v>
      </c>
      <c r="N268" s="14" t="s">
        <v>1853</v>
      </c>
      <c r="O268" s="14" t="s">
        <v>252</v>
      </c>
      <c r="P268" s="14"/>
      <c r="Q268" s="14"/>
      <c r="R268" s="15">
        <v>42914</v>
      </c>
      <c r="S268" s="15">
        <v>46566</v>
      </c>
      <c r="T268" s="14"/>
      <c r="U268" s="14" t="s">
        <v>253</v>
      </c>
      <c r="V268" s="14" t="s">
        <v>254</v>
      </c>
      <c r="W268" s="14" t="s">
        <v>1854</v>
      </c>
      <c r="X268" s="14" t="s">
        <v>256</v>
      </c>
      <c r="Y268" s="14" t="s">
        <v>343</v>
      </c>
      <c r="Z268" s="35" t="s">
        <v>1855</v>
      </c>
      <c r="AA268" s="34" t="s">
        <v>1856</v>
      </c>
      <c r="AB268" s="23">
        <f>AQ268</f>
        <v>0</v>
      </c>
      <c r="AC268" s="23" t="s">
        <v>252</v>
      </c>
      <c r="AD268" s="23" t="s">
        <v>2878</v>
      </c>
      <c r="AE268" s="23" t="s">
        <v>2891</v>
      </c>
      <c r="AF268" s="23" t="s">
        <v>2884</v>
      </c>
      <c r="AG268" s="23" t="s">
        <v>2884</v>
      </c>
      <c r="AH268" s="23" t="s">
        <v>2851</v>
      </c>
      <c r="AI268" s="23" t="s">
        <v>2912</v>
      </c>
      <c r="AJ268" s="77" t="s">
        <v>2917</v>
      </c>
      <c r="AK268" s="14" t="s">
        <v>345</v>
      </c>
      <c r="AL268" s="14">
        <v>4600000000</v>
      </c>
      <c r="AM268" s="16" t="s">
        <v>1857</v>
      </c>
    </row>
    <row r="269" spans="1:39" hidden="1" x14ac:dyDescent="0.2">
      <c r="A269" t="s">
        <v>1858</v>
      </c>
      <c r="B269" t="b">
        <v>0</v>
      </c>
      <c r="C269" t="b">
        <v>0</v>
      </c>
      <c r="D269" t="b">
        <v>1</v>
      </c>
      <c r="E269" t="b">
        <v>0</v>
      </c>
      <c r="F269" t="b">
        <v>1</v>
      </c>
      <c r="G269" t="s">
        <v>361</v>
      </c>
      <c r="H269" t="s">
        <v>1859</v>
      </c>
      <c r="I269" t="s">
        <v>1858</v>
      </c>
      <c r="J269" t="s">
        <v>1860</v>
      </c>
      <c r="M269" t="s">
        <v>1861</v>
      </c>
      <c r="N269" t="s">
        <v>1862</v>
      </c>
      <c r="O269" t="s">
        <v>252</v>
      </c>
      <c r="R269" s="1">
        <v>44579</v>
      </c>
      <c r="S269" s="1">
        <v>45125</v>
      </c>
      <c r="T269" s="2">
        <v>46128.878989803241</v>
      </c>
      <c r="U269" t="s">
        <v>253</v>
      </c>
      <c r="V269" t="s">
        <v>254</v>
      </c>
      <c r="W269" t="s">
        <v>749</v>
      </c>
      <c r="X269" t="s">
        <v>256</v>
      </c>
      <c r="Y269" t="s">
        <v>269</v>
      </c>
      <c r="AK269" t="s">
        <v>488</v>
      </c>
      <c r="AL269">
        <v>3107268000</v>
      </c>
      <c r="AM269" s="3" t="s">
        <v>602</v>
      </c>
    </row>
    <row r="270" spans="1:39" hidden="1" x14ac:dyDescent="0.2">
      <c r="A270" t="s">
        <v>1863</v>
      </c>
      <c r="B270" t="b">
        <v>0</v>
      </c>
      <c r="C270" t="b">
        <v>0</v>
      </c>
      <c r="D270" t="b">
        <v>0</v>
      </c>
      <c r="E270" t="b">
        <v>0</v>
      </c>
      <c r="F270" t="b">
        <v>0</v>
      </c>
      <c r="G270" t="b">
        <v>1</v>
      </c>
      <c r="H270" t="s">
        <v>1864</v>
      </c>
      <c r="I270" t="s">
        <v>1863</v>
      </c>
      <c r="J270" t="s">
        <v>31</v>
      </c>
      <c r="K270" t="s">
        <v>1865</v>
      </c>
      <c r="M270" t="s">
        <v>1866</v>
      </c>
      <c r="N270" t="s">
        <v>1867</v>
      </c>
      <c r="O270" t="s">
        <v>252</v>
      </c>
      <c r="P270" t="s">
        <v>696</v>
      </c>
      <c r="Q270" t="s">
        <v>697</v>
      </c>
      <c r="R270" s="1">
        <v>44495</v>
      </c>
      <c r="S270" s="1">
        <v>48138</v>
      </c>
      <c r="T270" s="2">
        <v>44937.850552476855</v>
      </c>
      <c r="U270" t="s">
        <v>253</v>
      </c>
      <c r="V270" t="s">
        <v>295</v>
      </c>
      <c r="W270" t="s">
        <v>342</v>
      </c>
      <c r="X270" t="s">
        <v>305</v>
      </c>
      <c r="Y270" t="s">
        <v>343</v>
      </c>
      <c r="AA270" t="s">
        <v>344</v>
      </c>
      <c r="AB270" s="23">
        <f>AQ270</f>
        <v>0</v>
      </c>
      <c r="AC270" s="23"/>
      <c r="AD270" s="23"/>
      <c r="AE270" s="23"/>
      <c r="AF270" s="23"/>
      <c r="AG270" s="23"/>
      <c r="AH270" s="23"/>
      <c r="AI270" s="23"/>
      <c r="AJ270" s="23"/>
      <c r="AK270" t="s">
        <v>345</v>
      </c>
      <c r="AL270">
        <v>6000000000</v>
      </c>
      <c r="AM270" s="3" t="s">
        <v>1868</v>
      </c>
    </row>
    <row r="271" spans="1:39" hidden="1" x14ac:dyDescent="0.2">
      <c r="A271" t="s">
        <v>1869</v>
      </c>
      <c r="B271" t="b">
        <v>1</v>
      </c>
      <c r="C271" t="b">
        <v>0</v>
      </c>
      <c r="D271" t="b">
        <v>1</v>
      </c>
      <c r="E271" t="s">
        <v>248</v>
      </c>
      <c r="F271" t="b">
        <v>0</v>
      </c>
      <c r="G271" t="b">
        <v>0</v>
      </c>
      <c r="H271" t="s">
        <v>1870</v>
      </c>
      <c r="I271" t="s">
        <v>1869</v>
      </c>
      <c r="J271" t="s">
        <v>1871</v>
      </c>
      <c r="K271" t="s">
        <v>1872</v>
      </c>
      <c r="N271" t="s">
        <v>1873</v>
      </c>
      <c r="O271" t="s">
        <v>252</v>
      </c>
      <c r="R271" s="1">
        <v>43609</v>
      </c>
      <c r="S271" s="1">
        <v>52732</v>
      </c>
      <c r="U271" t="s">
        <v>253</v>
      </c>
      <c r="V271" t="s">
        <v>267</v>
      </c>
      <c r="W271" t="s">
        <v>545</v>
      </c>
      <c r="X271" t="s">
        <v>256</v>
      </c>
      <c r="Y271" t="s">
        <v>257</v>
      </c>
      <c r="AA271" s="6" t="s">
        <v>673</v>
      </c>
      <c r="AB271" s="7" t="s">
        <v>674</v>
      </c>
      <c r="AC271" s="7"/>
      <c r="AD271" s="7"/>
      <c r="AE271" s="7"/>
      <c r="AF271" s="7"/>
      <c r="AG271" s="7"/>
      <c r="AH271" s="7"/>
      <c r="AI271" s="7"/>
      <c r="AJ271" s="7"/>
      <c r="AK271" t="s">
        <v>260</v>
      </c>
      <c r="AL271">
        <v>210000000</v>
      </c>
      <c r="AM271" s="3" t="s">
        <v>1874</v>
      </c>
    </row>
    <row r="272" spans="1:39" hidden="1" x14ac:dyDescent="0.2">
      <c r="A272" t="s">
        <v>1875</v>
      </c>
      <c r="B272" t="b">
        <v>0</v>
      </c>
      <c r="C272" t="b">
        <v>0</v>
      </c>
      <c r="D272" t="b">
        <v>1</v>
      </c>
      <c r="E272" t="b">
        <v>0</v>
      </c>
      <c r="F272" t="b">
        <v>1</v>
      </c>
      <c r="G272" t="b">
        <v>0</v>
      </c>
      <c r="H272" t="s">
        <v>1876</v>
      </c>
      <c r="I272" t="s">
        <v>1875</v>
      </c>
      <c r="J272" t="s">
        <v>204</v>
      </c>
      <c r="N272" t="s">
        <v>1877</v>
      </c>
      <c r="O272" t="s">
        <v>252</v>
      </c>
      <c r="R272" s="1">
        <v>44344</v>
      </c>
      <c r="S272" s="1">
        <v>46168</v>
      </c>
      <c r="T272" s="2">
        <v>45013.873542199071</v>
      </c>
      <c r="U272" t="s">
        <v>253</v>
      </c>
      <c r="V272" t="s">
        <v>267</v>
      </c>
      <c r="W272" t="s">
        <v>1878</v>
      </c>
      <c r="X272" t="s">
        <v>278</v>
      </c>
      <c r="Y272" t="s">
        <v>351</v>
      </c>
      <c r="Z272" s="32" t="s">
        <v>2734</v>
      </c>
      <c r="AA272" t="s">
        <v>1879</v>
      </c>
      <c r="AB272" s="23">
        <f>AQ272</f>
        <v>0</v>
      </c>
      <c r="AC272" s="23"/>
      <c r="AD272" s="23"/>
      <c r="AE272" s="23"/>
      <c r="AF272" s="23"/>
      <c r="AG272" s="23"/>
      <c r="AH272" s="23"/>
      <c r="AI272" s="23"/>
      <c r="AJ272" s="23"/>
      <c r="AK272" t="s">
        <v>647</v>
      </c>
      <c r="AL272">
        <v>50000000000</v>
      </c>
      <c r="AM272" s="3" t="s">
        <v>1880</v>
      </c>
    </row>
    <row r="273" spans="1:39" hidden="1" x14ac:dyDescent="0.2">
      <c r="A273" t="s">
        <v>1881</v>
      </c>
      <c r="B273" t="b">
        <v>0</v>
      </c>
      <c r="C273" t="b">
        <v>0</v>
      </c>
      <c r="D273" t="b">
        <v>0</v>
      </c>
      <c r="E273" t="b">
        <v>0</v>
      </c>
      <c r="F273" t="b">
        <v>0</v>
      </c>
      <c r="G273" t="b">
        <v>1</v>
      </c>
      <c r="H273" t="s">
        <v>1882</v>
      </c>
      <c r="I273" t="s">
        <v>1881</v>
      </c>
      <c r="J273" t="s">
        <v>188</v>
      </c>
      <c r="K273" t="s">
        <v>1883</v>
      </c>
      <c r="N273" t="s">
        <v>1884</v>
      </c>
      <c r="O273" t="s">
        <v>252</v>
      </c>
      <c r="R273" s="1">
        <v>43763</v>
      </c>
      <c r="S273" s="1">
        <v>44859</v>
      </c>
      <c r="T273" s="2">
        <v>45117.903506805553</v>
      </c>
      <c r="U273" t="s">
        <v>253</v>
      </c>
      <c r="V273" t="s">
        <v>295</v>
      </c>
      <c r="W273" t="s">
        <v>1517</v>
      </c>
      <c r="X273" t="s">
        <v>305</v>
      </c>
      <c r="Y273" t="s">
        <v>808</v>
      </c>
      <c r="AA273" t="s">
        <v>1885</v>
      </c>
      <c r="AB273" s="23">
        <f>AQ273</f>
        <v>0</v>
      </c>
      <c r="AC273" s="23"/>
      <c r="AD273" s="23"/>
      <c r="AE273" s="23"/>
      <c r="AF273" s="23"/>
      <c r="AG273" s="23"/>
      <c r="AH273" s="23"/>
      <c r="AI273" s="23"/>
      <c r="AJ273" s="23"/>
      <c r="AK273" t="s">
        <v>811</v>
      </c>
      <c r="AL273">
        <v>100000000</v>
      </c>
      <c r="AM273" s="3" t="s">
        <v>1886</v>
      </c>
    </row>
    <row r="274" spans="1:39" hidden="1" x14ac:dyDescent="0.2">
      <c r="A274" t="s">
        <v>1887</v>
      </c>
      <c r="B274" t="b">
        <v>1</v>
      </c>
      <c r="C274" t="b">
        <v>0</v>
      </c>
      <c r="D274" t="b">
        <v>1</v>
      </c>
      <c r="E274" t="s">
        <v>248</v>
      </c>
      <c r="F274" t="b">
        <v>0</v>
      </c>
      <c r="G274" t="b">
        <v>0</v>
      </c>
      <c r="H274" t="s">
        <v>1888</v>
      </c>
      <c r="I274" t="s">
        <v>1887</v>
      </c>
      <c r="J274" t="s">
        <v>1889</v>
      </c>
      <c r="L274" t="s">
        <v>1890</v>
      </c>
      <c r="N274" t="s">
        <v>1891</v>
      </c>
      <c r="O274" t="s">
        <v>252</v>
      </c>
      <c r="R274" s="1">
        <v>42565</v>
      </c>
      <c r="S274" s="1">
        <v>46217</v>
      </c>
      <c r="U274" t="s">
        <v>743</v>
      </c>
      <c r="V274" t="s">
        <v>254</v>
      </c>
      <c r="W274" t="s">
        <v>442</v>
      </c>
      <c r="X274" t="s">
        <v>256</v>
      </c>
      <c r="Y274" t="s">
        <v>257</v>
      </c>
      <c r="AA274" s="6" t="s">
        <v>415</v>
      </c>
      <c r="AB274" s="6"/>
      <c r="AC274" s="6"/>
      <c r="AD274" s="6"/>
      <c r="AE274" s="6"/>
      <c r="AF274" s="6"/>
      <c r="AG274" s="6"/>
      <c r="AH274" s="6"/>
      <c r="AI274" s="6"/>
      <c r="AJ274" s="6"/>
      <c r="AK274" t="s">
        <v>270</v>
      </c>
      <c r="AL274">
        <v>700000000</v>
      </c>
      <c r="AM274" s="3" t="s">
        <v>585</v>
      </c>
    </row>
    <row r="275" spans="1:39" hidden="1" x14ac:dyDescent="0.2">
      <c r="A275" t="s">
        <v>893</v>
      </c>
      <c r="B275" t="b">
        <v>0</v>
      </c>
      <c r="C275" t="b">
        <v>0</v>
      </c>
      <c r="D275" t="b">
        <v>1</v>
      </c>
      <c r="E275" t="b">
        <v>0</v>
      </c>
      <c r="F275" t="b">
        <v>1</v>
      </c>
      <c r="G275" t="s">
        <v>361</v>
      </c>
      <c r="H275" t="s">
        <v>894</v>
      </c>
      <c r="I275" t="s">
        <v>893</v>
      </c>
      <c r="M275" t="s">
        <v>1892</v>
      </c>
      <c r="N275" t="s">
        <v>1893</v>
      </c>
      <c r="O275" t="s">
        <v>382</v>
      </c>
      <c r="U275" t="s">
        <v>253</v>
      </c>
      <c r="V275" t="s">
        <v>254</v>
      </c>
      <c r="W275" t="s">
        <v>399</v>
      </c>
      <c r="X275" t="s">
        <v>256</v>
      </c>
      <c r="Y275" t="s">
        <v>400</v>
      </c>
      <c r="AK275" t="s">
        <v>401</v>
      </c>
    </row>
    <row r="276" spans="1:39" hidden="1" x14ac:dyDescent="0.2">
      <c r="A276" t="s">
        <v>1894</v>
      </c>
      <c r="B276" t="b">
        <v>0</v>
      </c>
      <c r="C276" t="b">
        <v>0</v>
      </c>
      <c r="D276" t="b">
        <v>1</v>
      </c>
      <c r="E276" t="b">
        <v>0</v>
      </c>
      <c r="F276" t="b">
        <v>1</v>
      </c>
      <c r="G276" t="b">
        <v>0</v>
      </c>
      <c r="H276" t="s">
        <v>1895</v>
      </c>
      <c r="I276" t="s">
        <v>1894</v>
      </c>
      <c r="M276" t="s">
        <v>1896</v>
      </c>
      <c r="N276" t="s">
        <v>1897</v>
      </c>
      <c r="O276" t="s">
        <v>252</v>
      </c>
      <c r="P276" t="s">
        <v>1277</v>
      </c>
      <c r="Q276" t="s">
        <v>1278</v>
      </c>
      <c r="R276" s="1">
        <v>45280</v>
      </c>
      <c r="S276" s="1">
        <v>48160</v>
      </c>
      <c r="T276" s="2">
        <v>45369.549320162034</v>
      </c>
      <c r="U276" t="s">
        <v>253</v>
      </c>
      <c r="V276" t="s">
        <v>267</v>
      </c>
      <c r="W276" t="s">
        <v>1279</v>
      </c>
      <c r="X276" t="s">
        <v>305</v>
      </c>
      <c r="Y276" t="s">
        <v>1280</v>
      </c>
      <c r="Z276" s="32" t="s">
        <v>2739</v>
      </c>
      <c r="AA276" t="s">
        <v>1281</v>
      </c>
      <c r="AB276" s="23">
        <f>AQ276</f>
        <v>0</v>
      </c>
      <c r="AC276" s="23"/>
      <c r="AD276" s="23"/>
      <c r="AE276" s="23"/>
      <c r="AF276" s="23"/>
      <c r="AG276" s="23"/>
      <c r="AH276" s="23"/>
      <c r="AI276" s="23"/>
      <c r="AJ276" s="23"/>
      <c r="AK276" t="s">
        <v>1282</v>
      </c>
      <c r="AL276">
        <v>46305000</v>
      </c>
      <c r="AM276" s="3" t="s">
        <v>1898</v>
      </c>
    </row>
    <row r="277" spans="1:39" hidden="1" x14ac:dyDescent="0.2">
      <c r="A277" t="s">
        <v>1899</v>
      </c>
      <c r="B277" t="b">
        <v>0</v>
      </c>
      <c r="C277" t="b">
        <v>0</v>
      </c>
      <c r="D277" t="b">
        <v>1</v>
      </c>
      <c r="E277" t="b">
        <v>0</v>
      </c>
      <c r="F277" t="b">
        <v>1</v>
      </c>
      <c r="G277" t="b">
        <v>0</v>
      </c>
      <c r="H277" t="s">
        <v>1900</v>
      </c>
      <c r="I277" t="s">
        <v>1899</v>
      </c>
      <c r="J277" t="s">
        <v>13</v>
      </c>
      <c r="N277" t="s">
        <v>1901</v>
      </c>
      <c r="O277" t="s">
        <v>252</v>
      </c>
      <c r="P277" t="s">
        <v>275</v>
      </c>
      <c r="Q277" t="s">
        <v>276</v>
      </c>
      <c r="R277" s="1">
        <v>44181</v>
      </c>
      <c r="S277" s="1">
        <v>44729</v>
      </c>
      <c r="T277" s="2">
        <v>45960.678883263892</v>
      </c>
      <c r="U277" t="s">
        <v>253</v>
      </c>
      <c r="V277" t="s">
        <v>267</v>
      </c>
      <c r="W277" t="s">
        <v>277</v>
      </c>
      <c r="X277" t="s">
        <v>278</v>
      </c>
      <c r="Y277" t="s">
        <v>279</v>
      </c>
      <c r="Z277" s="32" t="s">
        <v>1072</v>
      </c>
      <c r="AA277" t="s">
        <v>280</v>
      </c>
      <c r="AB277" s="23">
        <f>AQ277</f>
        <v>0</v>
      </c>
      <c r="AC277" s="23"/>
      <c r="AD277" s="23"/>
      <c r="AE277" s="23"/>
      <c r="AF277" s="23"/>
      <c r="AG277" s="23"/>
      <c r="AH277" s="23"/>
      <c r="AI277" s="23"/>
      <c r="AJ277" s="23"/>
      <c r="AK277" t="s">
        <v>270</v>
      </c>
      <c r="AL277">
        <v>1000000</v>
      </c>
      <c r="AM277" s="3" t="s">
        <v>765</v>
      </c>
    </row>
    <row r="278" spans="1:39" hidden="1" x14ac:dyDescent="0.2">
      <c r="A278" t="s">
        <v>340</v>
      </c>
      <c r="B278" t="b">
        <v>0</v>
      </c>
      <c r="C278" t="b">
        <v>0</v>
      </c>
      <c r="D278" t="b">
        <v>0</v>
      </c>
      <c r="E278" t="b">
        <v>0</v>
      </c>
      <c r="F278" t="b">
        <v>0</v>
      </c>
      <c r="G278" t="b">
        <v>1</v>
      </c>
      <c r="H278" t="s">
        <v>341</v>
      </c>
      <c r="I278" t="s">
        <v>340</v>
      </c>
      <c r="M278" t="s">
        <v>1902</v>
      </c>
      <c r="N278" t="s">
        <v>1903</v>
      </c>
      <c r="O278" t="s">
        <v>382</v>
      </c>
      <c r="T278" s="2">
        <v>45233.797115057867</v>
      </c>
      <c r="U278" t="s">
        <v>253</v>
      </c>
      <c r="V278" t="s">
        <v>295</v>
      </c>
      <c r="W278" t="s">
        <v>342</v>
      </c>
      <c r="X278" t="s">
        <v>305</v>
      </c>
      <c r="Y278" t="s">
        <v>343</v>
      </c>
      <c r="AA278" t="s">
        <v>344</v>
      </c>
      <c r="AB278" s="23">
        <f>AQ278</f>
        <v>0</v>
      </c>
      <c r="AC278" s="23"/>
      <c r="AD278" s="23"/>
      <c r="AE278" s="23"/>
      <c r="AF278" s="23"/>
      <c r="AG278" s="23"/>
      <c r="AH278" s="23"/>
      <c r="AI278" s="23"/>
      <c r="AJ278" s="23"/>
      <c r="AK278" t="s">
        <v>345</v>
      </c>
    </row>
    <row r="279" spans="1:39" hidden="1" x14ac:dyDescent="0.2">
      <c r="A279" t="s">
        <v>1904</v>
      </c>
      <c r="B279" t="b">
        <v>0</v>
      </c>
      <c r="C279" t="b">
        <v>0</v>
      </c>
      <c r="D279" t="b">
        <v>1</v>
      </c>
      <c r="E279" t="b">
        <v>0</v>
      </c>
      <c r="F279" t="b">
        <v>1</v>
      </c>
      <c r="G279" t="s">
        <v>361</v>
      </c>
      <c r="H279" t="s">
        <v>1905</v>
      </c>
      <c r="I279" t="s">
        <v>1904</v>
      </c>
      <c r="M279" t="s">
        <v>1906</v>
      </c>
      <c r="N279" t="s">
        <v>1907</v>
      </c>
      <c r="O279" t="s">
        <v>252</v>
      </c>
      <c r="R279" s="1">
        <v>44183</v>
      </c>
      <c r="S279" s="1">
        <v>46739</v>
      </c>
      <c r="U279" t="s">
        <v>253</v>
      </c>
      <c r="V279" t="s">
        <v>254</v>
      </c>
      <c r="W279" t="s">
        <v>1908</v>
      </c>
      <c r="X279" t="s">
        <v>305</v>
      </c>
      <c r="Y279" t="s">
        <v>257</v>
      </c>
      <c r="AK279" t="s">
        <v>270</v>
      </c>
      <c r="AL279">
        <v>50000000</v>
      </c>
      <c r="AM279" s="3" t="s">
        <v>353</v>
      </c>
    </row>
    <row r="280" spans="1:39" hidden="1" x14ac:dyDescent="0.2">
      <c r="A280" s="14" t="s">
        <v>1909</v>
      </c>
      <c r="B280" s="14" t="b">
        <v>1</v>
      </c>
      <c r="C280" s="14" t="b">
        <v>0</v>
      </c>
      <c r="D280" s="14" t="b">
        <v>1</v>
      </c>
      <c r="E280" s="14" t="s">
        <v>522</v>
      </c>
      <c r="F280" s="14" t="b">
        <v>0</v>
      </c>
      <c r="G280" s="14" t="b">
        <v>0</v>
      </c>
      <c r="H280" s="14" t="s">
        <v>1910</v>
      </c>
      <c r="I280" s="14" t="s">
        <v>1909</v>
      </c>
      <c r="J280" s="19" t="s">
        <v>102</v>
      </c>
      <c r="K280" s="14" t="s">
        <v>1911</v>
      </c>
      <c r="L280" s="14"/>
      <c r="M280" s="14"/>
      <c r="N280" s="14" t="s">
        <v>1912</v>
      </c>
      <c r="O280" s="14" t="s">
        <v>252</v>
      </c>
      <c r="P280" s="14"/>
      <c r="Q280" s="14"/>
      <c r="R280" s="15">
        <v>44484</v>
      </c>
      <c r="S280" s="15">
        <v>51058</v>
      </c>
      <c r="T280" s="14"/>
      <c r="U280" s="14" t="s">
        <v>253</v>
      </c>
      <c r="V280" s="14" t="s">
        <v>267</v>
      </c>
      <c r="W280" s="14" t="s">
        <v>1042</v>
      </c>
      <c r="X280" s="14" t="s">
        <v>256</v>
      </c>
      <c r="Y280" s="14" t="s">
        <v>257</v>
      </c>
      <c r="Z280" s="35" t="s">
        <v>1398</v>
      </c>
      <c r="AA280" s="34" t="s">
        <v>1399</v>
      </c>
      <c r="AB280" s="23">
        <f>AQ280</f>
        <v>0</v>
      </c>
      <c r="AC280" s="23"/>
      <c r="AD280" s="23" t="s">
        <v>2897</v>
      </c>
      <c r="AE280" s="23" t="s">
        <v>2897</v>
      </c>
      <c r="AF280" s="23" t="s">
        <v>2897</v>
      </c>
      <c r="AG280" s="23" t="s">
        <v>2897</v>
      </c>
      <c r="AH280" s="23" t="s">
        <v>2897</v>
      </c>
      <c r="AI280" s="23"/>
      <c r="AJ280" s="23"/>
      <c r="AK280" s="14" t="s">
        <v>260</v>
      </c>
      <c r="AL280" s="14">
        <v>950000000</v>
      </c>
      <c r="AM280" s="16" t="s">
        <v>1913</v>
      </c>
    </row>
    <row r="281" spans="1:39" hidden="1" x14ac:dyDescent="0.2">
      <c r="A281" t="s">
        <v>1914</v>
      </c>
      <c r="B281" t="b">
        <v>0</v>
      </c>
      <c r="C281" t="b">
        <v>0</v>
      </c>
      <c r="D281" t="b">
        <v>1</v>
      </c>
      <c r="E281" t="b">
        <v>0</v>
      </c>
      <c r="F281" t="b">
        <v>1</v>
      </c>
      <c r="G281" t="b">
        <v>0</v>
      </c>
      <c r="H281" t="s">
        <v>1915</v>
      </c>
      <c r="I281" t="s">
        <v>1914</v>
      </c>
      <c r="J281" t="s">
        <v>15</v>
      </c>
      <c r="K281" t="s">
        <v>1916</v>
      </c>
      <c r="N281" t="s">
        <v>1917</v>
      </c>
      <c r="O281" t="s">
        <v>252</v>
      </c>
      <c r="P281" t="s">
        <v>275</v>
      </c>
      <c r="Q281" t="s">
        <v>276</v>
      </c>
      <c r="R281" s="1">
        <v>44840</v>
      </c>
      <c r="S281" s="1">
        <v>45200</v>
      </c>
      <c r="T281" s="2">
        <v>45960.674062615741</v>
      </c>
      <c r="U281" t="s">
        <v>253</v>
      </c>
      <c r="V281" t="s">
        <v>267</v>
      </c>
      <c r="W281" t="s">
        <v>277</v>
      </c>
      <c r="X281" t="s">
        <v>278</v>
      </c>
      <c r="Y281" t="s">
        <v>279</v>
      </c>
      <c r="Z281" s="32" t="s">
        <v>1072</v>
      </c>
      <c r="AA281" t="s">
        <v>280</v>
      </c>
      <c r="AB281" s="23">
        <f>AQ281</f>
        <v>0</v>
      </c>
      <c r="AC281" s="23"/>
      <c r="AD281" s="23"/>
      <c r="AE281" s="23"/>
      <c r="AF281" s="23"/>
      <c r="AG281" s="23"/>
      <c r="AH281" s="23"/>
      <c r="AI281" s="23"/>
      <c r="AJ281" s="23"/>
      <c r="AK281" t="s">
        <v>270</v>
      </c>
      <c r="AL281">
        <v>3750000</v>
      </c>
      <c r="AM281" s="3" t="s">
        <v>1918</v>
      </c>
    </row>
    <row r="282" spans="1:39" hidden="1" x14ac:dyDescent="0.2">
      <c r="A282" t="s">
        <v>1919</v>
      </c>
      <c r="B282" t="b">
        <v>0</v>
      </c>
      <c r="C282" t="b">
        <v>0</v>
      </c>
      <c r="D282" t="b">
        <v>1</v>
      </c>
      <c r="E282" t="b">
        <v>0</v>
      </c>
      <c r="F282" t="b">
        <v>1</v>
      </c>
      <c r="G282" t="s">
        <v>361</v>
      </c>
      <c r="H282" t="s">
        <v>1920</v>
      </c>
      <c r="I282" t="s">
        <v>1919</v>
      </c>
      <c r="J282" t="s">
        <v>1921</v>
      </c>
      <c r="N282" t="s">
        <v>1922</v>
      </c>
      <c r="O282" t="s">
        <v>252</v>
      </c>
      <c r="P282" t="s">
        <v>896</v>
      </c>
      <c r="Q282" t="s">
        <v>897</v>
      </c>
      <c r="R282" s="1">
        <v>44298</v>
      </c>
      <c r="S282" s="1">
        <v>45986</v>
      </c>
      <c r="T282" s="2">
        <v>44946.546972326389</v>
      </c>
      <c r="U282" t="s">
        <v>253</v>
      </c>
      <c r="V282" t="s">
        <v>267</v>
      </c>
      <c r="W282" t="s">
        <v>900</v>
      </c>
      <c r="X282" t="s">
        <v>256</v>
      </c>
      <c r="Y282" t="s">
        <v>257</v>
      </c>
      <c r="AK282" t="s">
        <v>260</v>
      </c>
      <c r="AL282">
        <v>40000000</v>
      </c>
      <c r="AM282" s="3" t="s">
        <v>1923</v>
      </c>
    </row>
    <row r="283" spans="1:39" hidden="1" x14ac:dyDescent="0.2">
      <c r="A283" t="s">
        <v>1924</v>
      </c>
      <c r="B283" t="b">
        <v>0</v>
      </c>
      <c r="C283" t="b">
        <v>0</v>
      </c>
      <c r="D283" t="b">
        <v>1</v>
      </c>
      <c r="E283" t="b">
        <v>0</v>
      </c>
      <c r="F283" t="b">
        <v>1</v>
      </c>
      <c r="G283" t="s">
        <v>361</v>
      </c>
      <c r="H283" t="s">
        <v>1925</v>
      </c>
      <c r="I283" t="s">
        <v>1924</v>
      </c>
      <c r="J283" t="s">
        <v>1926</v>
      </c>
      <c r="N283" t="s">
        <v>1927</v>
      </c>
      <c r="O283" t="s">
        <v>252</v>
      </c>
      <c r="R283" s="1">
        <v>44305</v>
      </c>
      <c r="S283" s="1">
        <v>44305</v>
      </c>
      <c r="U283" t="s">
        <v>253</v>
      </c>
      <c r="V283" t="s">
        <v>267</v>
      </c>
      <c r="W283" t="s">
        <v>1102</v>
      </c>
      <c r="X283" t="s">
        <v>278</v>
      </c>
      <c r="Y283" t="s">
        <v>257</v>
      </c>
      <c r="AK283" t="s">
        <v>260</v>
      </c>
      <c r="AL283">
        <v>150000000</v>
      </c>
      <c r="AM283" s="3" t="s">
        <v>1928</v>
      </c>
    </row>
    <row r="284" spans="1:39" hidden="1" x14ac:dyDescent="0.2">
      <c r="A284" t="s">
        <v>1929</v>
      </c>
      <c r="B284" t="b">
        <v>0</v>
      </c>
      <c r="C284" t="b">
        <v>0</v>
      </c>
      <c r="D284" t="b">
        <v>1</v>
      </c>
      <c r="E284" t="b">
        <v>0</v>
      </c>
      <c r="F284" t="b">
        <v>1</v>
      </c>
      <c r="G284" t="b">
        <v>0</v>
      </c>
      <c r="H284" t="s">
        <v>1930</v>
      </c>
      <c r="I284" t="s">
        <v>1929</v>
      </c>
      <c r="J284" t="s">
        <v>23</v>
      </c>
      <c r="K284" t="s">
        <v>1931</v>
      </c>
      <c r="N284" t="s">
        <v>1932</v>
      </c>
      <c r="O284" t="s">
        <v>252</v>
      </c>
      <c r="P284" t="s">
        <v>275</v>
      </c>
      <c r="Q284" t="s">
        <v>276</v>
      </c>
      <c r="R284" s="1">
        <v>45678</v>
      </c>
      <c r="S284" s="1">
        <v>46773</v>
      </c>
      <c r="T284" s="2">
        <v>45960.675772499999</v>
      </c>
      <c r="U284" t="s">
        <v>253</v>
      </c>
      <c r="V284" t="s">
        <v>267</v>
      </c>
      <c r="W284" t="s">
        <v>277</v>
      </c>
      <c r="X284" t="s">
        <v>278</v>
      </c>
      <c r="Y284" t="s">
        <v>279</v>
      </c>
      <c r="Z284" s="32" t="s">
        <v>1072</v>
      </c>
      <c r="AA284" t="s">
        <v>280</v>
      </c>
      <c r="AB284" s="23">
        <f>AQ284</f>
        <v>0</v>
      </c>
      <c r="AC284" s="23"/>
      <c r="AD284" s="23"/>
      <c r="AE284" s="23"/>
      <c r="AF284" s="23"/>
      <c r="AG284" s="23"/>
      <c r="AH284" s="23"/>
      <c r="AI284" s="23"/>
      <c r="AJ284" s="23"/>
      <c r="AK284" t="s">
        <v>270</v>
      </c>
      <c r="AL284">
        <v>998000</v>
      </c>
      <c r="AM284" s="3" t="s">
        <v>1933</v>
      </c>
    </row>
    <row r="285" spans="1:39" hidden="1" x14ac:dyDescent="0.2">
      <c r="A285" t="s">
        <v>1934</v>
      </c>
      <c r="B285" t="b">
        <v>0</v>
      </c>
      <c r="C285" t="b">
        <v>0</v>
      </c>
      <c r="D285" t="b">
        <v>0</v>
      </c>
      <c r="E285" t="b">
        <v>0</v>
      </c>
      <c r="F285" t="b">
        <v>0</v>
      </c>
      <c r="G285" t="b">
        <v>1</v>
      </c>
      <c r="H285" t="s">
        <v>1935</v>
      </c>
      <c r="I285" t="s">
        <v>1934</v>
      </c>
      <c r="J285" t="s">
        <v>142</v>
      </c>
      <c r="N285" t="s">
        <v>1936</v>
      </c>
      <c r="O285" t="s">
        <v>252</v>
      </c>
      <c r="R285" s="1">
        <v>45009</v>
      </c>
      <c r="S285" s="1">
        <v>48662</v>
      </c>
      <c r="T285" s="2">
        <v>45112.67046429398</v>
      </c>
      <c r="U285" t="s">
        <v>253</v>
      </c>
      <c r="V285" t="s">
        <v>295</v>
      </c>
      <c r="W285" t="s">
        <v>1637</v>
      </c>
      <c r="X285" t="s">
        <v>278</v>
      </c>
      <c r="Y285" t="s">
        <v>384</v>
      </c>
      <c r="AA285" t="s">
        <v>1937</v>
      </c>
      <c r="AB285" s="23">
        <f>AQ285</f>
        <v>0</v>
      </c>
      <c r="AC285" s="23"/>
      <c r="AD285" s="23"/>
      <c r="AE285" s="23"/>
      <c r="AF285" s="23"/>
      <c r="AG285" s="23"/>
      <c r="AH285" s="23"/>
      <c r="AI285" s="23"/>
      <c r="AJ285" s="23"/>
      <c r="AK285" t="s">
        <v>270</v>
      </c>
      <c r="AL285">
        <v>230000000</v>
      </c>
      <c r="AM285" s="3" t="s">
        <v>1938</v>
      </c>
    </row>
    <row r="286" spans="1:39" hidden="1" x14ac:dyDescent="0.2">
      <c r="A286" t="s">
        <v>1939</v>
      </c>
      <c r="B286" t="b">
        <v>0</v>
      </c>
      <c r="C286" t="b">
        <v>0</v>
      </c>
      <c r="D286" t="b">
        <v>1</v>
      </c>
      <c r="E286" t="b">
        <v>0</v>
      </c>
      <c r="F286" t="b">
        <v>1</v>
      </c>
      <c r="G286" t="b">
        <v>0</v>
      </c>
      <c r="H286" t="s">
        <v>1940</v>
      </c>
      <c r="I286" t="s">
        <v>1939</v>
      </c>
      <c r="K286" t="s">
        <v>1941</v>
      </c>
      <c r="N286" t="s">
        <v>1942</v>
      </c>
      <c r="O286" t="s">
        <v>252</v>
      </c>
      <c r="R286" s="1">
        <v>44553</v>
      </c>
      <c r="S286" s="1">
        <v>48205</v>
      </c>
      <c r="T286" s="2">
        <v>45296.606720451389</v>
      </c>
      <c r="U286" t="s">
        <v>253</v>
      </c>
      <c r="V286" t="s">
        <v>267</v>
      </c>
      <c r="W286" t="s">
        <v>319</v>
      </c>
      <c r="X286" t="s">
        <v>256</v>
      </c>
      <c r="Y286" t="s">
        <v>269</v>
      </c>
      <c r="Z286" s="32" t="s">
        <v>2755</v>
      </c>
      <c r="AA286" t="s">
        <v>320</v>
      </c>
      <c r="AB286" s="23">
        <f>AQ286</f>
        <v>0</v>
      </c>
      <c r="AC286" s="23"/>
      <c r="AD286" s="23"/>
      <c r="AE286" s="23"/>
      <c r="AF286" s="23"/>
      <c r="AG286" s="23"/>
      <c r="AH286" s="23"/>
      <c r="AI286" s="23"/>
      <c r="AJ286" s="23"/>
      <c r="AK286" t="s">
        <v>270</v>
      </c>
      <c r="AL286">
        <v>50000000</v>
      </c>
      <c r="AM286" s="3" t="s">
        <v>353</v>
      </c>
    </row>
    <row r="287" spans="1:39" hidden="1" x14ac:dyDescent="0.2">
      <c r="A287" t="s">
        <v>1943</v>
      </c>
      <c r="B287" t="b">
        <v>0</v>
      </c>
      <c r="C287" t="b">
        <v>0</v>
      </c>
      <c r="D287" t="b">
        <v>0</v>
      </c>
      <c r="E287" t="b">
        <v>0</v>
      </c>
      <c r="F287" t="b">
        <v>0</v>
      </c>
      <c r="G287" t="b">
        <v>1</v>
      </c>
      <c r="H287" t="s">
        <v>1944</v>
      </c>
      <c r="I287" t="s">
        <v>1943</v>
      </c>
      <c r="J287" t="s">
        <v>148</v>
      </c>
      <c r="N287" t="s">
        <v>1945</v>
      </c>
      <c r="O287" t="s">
        <v>252</v>
      </c>
      <c r="R287" s="1">
        <v>44610</v>
      </c>
      <c r="S287" s="1">
        <v>48262</v>
      </c>
      <c r="T287" s="2">
        <v>46126.883220277778</v>
      </c>
      <c r="U287" t="s">
        <v>253</v>
      </c>
      <c r="V287" t="s">
        <v>1946</v>
      </c>
      <c r="W287" t="s">
        <v>350</v>
      </c>
      <c r="X287" t="s">
        <v>305</v>
      </c>
      <c r="Y287" t="s">
        <v>351</v>
      </c>
      <c r="AA287" t="s">
        <v>1947</v>
      </c>
      <c r="AB287" s="23">
        <f>AQ287</f>
        <v>0</v>
      </c>
      <c r="AC287" s="23"/>
      <c r="AD287" s="23"/>
      <c r="AE287" s="23"/>
      <c r="AF287" s="23"/>
      <c r="AG287" s="23"/>
      <c r="AH287" s="23"/>
      <c r="AI287" s="23"/>
      <c r="AJ287" s="23"/>
      <c r="AK287" t="s">
        <v>270</v>
      </c>
      <c r="AL287">
        <v>75000000</v>
      </c>
      <c r="AM287" s="3" t="s">
        <v>1948</v>
      </c>
    </row>
  </sheetData>
  <hyperlinks>
    <hyperlink ref="AA43" r:id="rId1" xr:uid="{D718A7DD-B289-4349-A763-1C9682C135D8}"/>
    <hyperlink ref="AA122" r:id="rId2" xr:uid="{4C855DC1-22C5-A84F-8E64-493756FD8064}"/>
    <hyperlink ref="AA242" r:id="rId3" xr:uid="{8D6E8BF9-59FA-B145-99B1-2944CCA81FB0}"/>
    <hyperlink ref="AA280" r:id="rId4" xr:uid="{FA72A2EF-7481-2843-B9D3-15F6F4686AFD}"/>
    <hyperlink ref="AA135" r:id="rId5" xr:uid="{2D91928A-1C93-F34A-A876-9D96E14828DE}"/>
    <hyperlink ref="AA79" r:id="rId6" xr:uid="{2160DF1F-55DB-D241-A8C0-7F92CC3C8753}"/>
    <hyperlink ref="AA80" r:id="rId7" xr:uid="{E9F4B55A-B285-A04E-9398-35E5A6607297}"/>
    <hyperlink ref="AA99" r:id="rId8" xr:uid="{B3BC8E17-2F37-EB4D-965C-FDDA45F6A93F}"/>
    <hyperlink ref="AA136" r:id="rId9" xr:uid="{9C0DDB65-1AD5-154B-8998-937AC6FC68A7}"/>
    <hyperlink ref="AA171" r:id="rId10" xr:uid="{855E92B9-DCEA-8E4F-8573-545F99C52E8F}"/>
    <hyperlink ref="AA178" r:id="rId11" xr:uid="{00FE8F7E-C73F-864B-AB06-A1820D0EDCA8}"/>
    <hyperlink ref="AA267" r:id="rId12" xr:uid="{234C8211-289B-4B45-9D85-D18FDE91561C}"/>
    <hyperlink ref="AA268" r:id="rId13" xr:uid="{65E0272C-D56F-4E4B-B1F9-863CBEB5D7CE}"/>
    <hyperlink ref="AA48" r:id="rId14" xr:uid="{51A5396C-3BF4-3C43-B7DB-6D4E5BAE8832}"/>
    <hyperlink ref="AA266" r:id="rId15" xr:uid="{5942D622-2D7E-6E4A-ACC1-3193D2EB6187}"/>
  </hyperlinks>
  <pageMargins left="0.7" right="0.7" top="0.75" bottom="0.75" header="0.3" footer="0.3"/>
  <legacyDrawing r:id="rId16"/>
  <tableParts count="1">
    <tablePart r:id="rId1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2D8AB-E202-5943-8008-C6B7BD18A568}">
  <dimension ref="C6:K34"/>
  <sheetViews>
    <sheetView topLeftCell="A5" workbookViewId="0">
      <selection activeCell="I11" sqref="I11"/>
    </sheetView>
  </sheetViews>
  <sheetFormatPr baseColWidth="10" defaultRowHeight="16" x14ac:dyDescent="0.2"/>
  <cols>
    <col min="4" max="4" width="22.5" customWidth="1"/>
  </cols>
  <sheetData>
    <row r="6" spans="3:11" x14ac:dyDescent="0.2">
      <c r="C6" s="28" t="s">
        <v>2660</v>
      </c>
      <c r="D6" s="28" t="s">
        <v>2661</v>
      </c>
      <c r="E6" s="28" t="s">
        <v>2662</v>
      </c>
      <c r="F6" s="28" t="s">
        <v>2663</v>
      </c>
      <c r="G6" s="28" t="s">
        <v>2664</v>
      </c>
      <c r="H6" s="28" t="s">
        <v>2665</v>
      </c>
      <c r="I6" s="28" t="s">
        <v>2666</v>
      </c>
      <c r="J6" s="28" t="s">
        <v>2697</v>
      </c>
      <c r="K6" s="28" t="s">
        <v>2698</v>
      </c>
    </row>
    <row r="7" spans="3:11" x14ac:dyDescent="0.2">
      <c r="C7" t="s">
        <v>2681</v>
      </c>
      <c r="D7" s="30" t="s">
        <v>2667</v>
      </c>
    </row>
    <row r="8" spans="3:11" x14ac:dyDescent="0.2">
      <c r="C8" t="s">
        <v>2682</v>
      </c>
      <c r="D8" t="s">
        <v>2668</v>
      </c>
      <c r="I8" t="s">
        <v>2669</v>
      </c>
      <c r="J8" t="s">
        <v>2670</v>
      </c>
    </row>
    <row r="9" spans="3:11" x14ac:dyDescent="0.2">
      <c r="C9" t="s">
        <v>2682</v>
      </c>
      <c r="D9" t="s">
        <v>2671</v>
      </c>
      <c r="J9" t="s">
        <v>2672</v>
      </c>
    </row>
    <row r="10" spans="3:11" x14ac:dyDescent="0.2">
      <c r="C10" t="s">
        <v>2682</v>
      </c>
      <c r="D10" t="s">
        <v>2673</v>
      </c>
      <c r="J10" t="s">
        <v>2674</v>
      </c>
    </row>
    <row r="11" spans="3:11" x14ac:dyDescent="0.2">
      <c r="C11" t="s">
        <v>2682</v>
      </c>
      <c r="D11" t="s">
        <v>2675</v>
      </c>
      <c r="E11" t="s">
        <v>2700</v>
      </c>
      <c r="F11" t="s">
        <v>2703</v>
      </c>
      <c r="I11" t="s">
        <v>2702</v>
      </c>
      <c r="J11" t="s">
        <v>2701</v>
      </c>
      <c r="K11" t="s">
        <v>2699</v>
      </c>
    </row>
    <row r="12" spans="3:11" x14ac:dyDescent="0.2">
      <c r="C12" t="s">
        <v>2682</v>
      </c>
      <c r="D12" s="30" t="s">
        <v>2676</v>
      </c>
    </row>
    <row r="13" spans="3:11" x14ac:dyDescent="0.2">
      <c r="C13" t="s">
        <v>2682</v>
      </c>
      <c r="D13" t="s">
        <v>2677</v>
      </c>
      <c r="E13" t="s">
        <v>2704</v>
      </c>
      <c r="F13" t="s">
        <v>2705</v>
      </c>
      <c r="G13" t="s">
        <v>2709</v>
      </c>
      <c r="J13" t="s">
        <v>2706</v>
      </c>
      <c r="K13" t="s">
        <v>2708</v>
      </c>
    </row>
    <row r="14" spans="3:11" x14ac:dyDescent="0.2">
      <c r="D14" s="29" t="s">
        <v>2678</v>
      </c>
      <c r="J14" t="s">
        <v>2707</v>
      </c>
    </row>
    <row r="15" spans="3:11" x14ac:dyDescent="0.2">
      <c r="D15" s="29" t="s">
        <v>2679</v>
      </c>
      <c r="J15" t="s">
        <v>2680</v>
      </c>
    </row>
    <row r="16" spans="3:11" x14ac:dyDescent="0.2">
      <c r="C16" t="s">
        <v>2686</v>
      </c>
      <c r="D16" t="s">
        <v>2683</v>
      </c>
      <c r="E16" t="s">
        <v>2710</v>
      </c>
      <c r="F16" t="s">
        <v>2712</v>
      </c>
      <c r="J16" t="s">
        <v>2711</v>
      </c>
    </row>
    <row r="17" spans="3:11" x14ac:dyDescent="0.2">
      <c r="C17" t="s">
        <v>2686</v>
      </c>
      <c r="D17" t="s">
        <v>2684</v>
      </c>
      <c r="J17" t="s">
        <v>2713</v>
      </c>
    </row>
    <row r="18" spans="3:11" x14ac:dyDescent="0.2">
      <c r="C18" s="31" t="s">
        <v>2686</v>
      </c>
      <c r="D18" s="31" t="s">
        <v>2685</v>
      </c>
      <c r="E18" s="31"/>
      <c r="F18" s="31"/>
      <c r="G18" s="31"/>
      <c r="H18" s="31"/>
      <c r="I18" s="31"/>
      <c r="J18" s="31" t="s">
        <v>2714</v>
      </c>
    </row>
    <row r="19" spans="3:11" x14ac:dyDescent="0.2">
      <c r="C19" t="s">
        <v>2687</v>
      </c>
      <c r="D19" t="s">
        <v>2720</v>
      </c>
      <c r="E19" t="s">
        <v>2715</v>
      </c>
      <c r="F19" t="s">
        <v>2716</v>
      </c>
      <c r="J19" t="s">
        <v>2717</v>
      </c>
      <c r="K19" t="s">
        <v>2719</v>
      </c>
    </row>
    <row r="20" spans="3:11" x14ac:dyDescent="0.2">
      <c r="D20" t="s">
        <v>2718</v>
      </c>
      <c r="K20" t="s">
        <v>2721</v>
      </c>
    </row>
    <row r="21" spans="3:11" x14ac:dyDescent="0.2">
      <c r="C21" t="s">
        <v>2687</v>
      </c>
      <c r="D21" t="s">
        <v>2688</v>
      </c>
      <c r="J21" t="s">
        <v>2722</v>
      </c>
    </row>
    <row r="22" spans="3:11" x14ac:dyDescent="0.2">
      <c r="C22" t="s">
        <v>2687</v>
      </c>
      <c r="D22" t="s">
        <v>2689</v>
      </c>
      <c r="G22" t="s">
        <v>2725</v>
      </c>
      <c r="J22" t="s">
        <v>2724</v>
      </c>
    </row>
    <row r="23" spans="3:11" x14ac:dyDescent="0.2">
      <c r="C23" t="s">
        <v>2687</v>
      </c>
      <c r="D23" t="s">
        <v>2690</v>
      </c>
      <c r="J23" t="s">
        <v>2723</v>
      </c>
    </row>
    <row r="24" spans="3:11" x14ac:dyDescent="0.2">
      <c r="C24" t="s">
        <v>2687</v>
      </c>
      <c r="D24" t="s">
        <v>2691</v>
      </c>
      <c r="J24" t="s">
        <v>2733</v>
      </c>
    </row>
    <row r="25" spans="3:11" x14ac:dyDescent="0.2">
      <c r="C25" t="s">
        <v>2687</v>
      </c>
      <c r="D25" t="s">
        <v>2692</v>
      </c>
      <c r="G25" t="s">
        <v>2726</v>
      </c>
      <c r="J25" t="s">
        <v>2729</v>
      </c>
    </row>
    <row r="26" spans="3:11" x14ac:dyDescent="0.2">
      <c r="C26" t="s">
        <v>2687</v>
      </c>
      <c r="D26" t="s">
        <v>2693</v>
      </c>
      <c r="G26" t="s">
        <v>2728</v>
      </c>
      <c r="J26" t="s">
        <v>2727</v>
      </c>
    </row>
    <row r="27" spans="3:11" x14ac:dyDescent="0.2">
      <c r="C27" t="s">
        <v>2687</v>
      </c>
      <c r="D27" t="s">
        <v>2694</v>
      </c>
      <c r="J27" t="s">
        <v>2722</v>
      </c>
    </row>
    <row r="28" spans="3:11" x14ac:dyDescent="0.2">
      <c r="C28" t="s">
        <v>2687</v>
      </c>
      <c r="D28" t="s">
        <v>2695</v>
      </c>
      <c r="J28" t="s">
        <v>2730</v>
      </c>
    </row>
    <row r="29" spans="3:11" x14ac:dyDescent="0.2">
      <c r="C29" t="s">
        <v>2687</v>
      </c>
      <c r="D29" t="s">
        <v>2696</v>
      </c>
      <c r="J29" t="s">
        <v>2731</v>
      </c>
      <c r="K29" t="s">
        <v>2732</v>
      </c>
    </row>
    <row r="30" spans="3:11" x14ac:dyDescent="0.2">
      <c r="J30" s="5"/>
    </row>
    <row r="31" spans="3:11" x14ac:dyDescent="0.2">
      <c r="J31" s="5"/>
    </row>
    <row r="32" spans="3:11" x14ac:dyDescent="0.2">
      <c r="J32" s="5"/>
    </row>
    <row r="33" spans="10:10" x14ac:dyDescent="0.2">
      <c r="J33" s="5"/>
    </row>
    <row r="34" spans="10:10" x14ac:dyDescent="0.2">
      <c r="J34" s="5"/>
    </row>
  </sheetData>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AEBC7-FF14-604C-82D9-7F74AA680890}">
  <dimension ref="A1:F35"/>
  <sheetViews>
    <sheetView workbookViewId="0">
      <selection activeCell="A35" sqref="A2:A35"/>
    </sheetView>
  </sheetViews>
  <sheetFormatPr baseColWidth="10" defaultRowHeight="16" x14ac:dyDescent="0.2"/>
  <cols>
    <col min="1" max="1" width="78.6640625" bestFit="1" customWidth="1"/>
    <col min="2" max="2" width="13.6640625" bestFit="1" customWidth="1"/>
    <col min="3" max="3" width="6" bestFit="1" customWidth="1"/>
    <col min="4" max="4" width="8" bestFit="1" customWidth="1"/>
    <col min="5" max="5" width="8.83203125" bestFit="1" customWidth="1"/>
    <col min="6" max="6" width="13.5" bestFit="1" customWidth="1"/>
  </cols>
  <sheetData>
    <row r="1" spans="1:6" x14ac:dyDescent="0.2">
      <c r="A1" s="28" t="s">
        <v>2773</v>
      </c>
      <c r="B1" s="28" t="s">
        <v>2774</v>
      </c>
      <c r="C1" s="28" t="s">
        <v>2769</v>
      </c>
      <c r="D1" s="28" t="s">
        <v>2770</v>
      </c>
      <c r="E1" s="28" t="s">
        <v>2771</v>
      </c>
      <c r="F1" s="28" t="s">
        <v>2772</v>
      </c>
    </row>
    <row r="2" spans="1:6" x14ac:dyDescent="0.2">
      <c r="A2" t="s">
        <v>1156</v>
      </c>
      <c r="B2" t="s">
        <v>2766</v>
      </c>
      <c r="C2">
        <v>0</v>
      </c>
      <c r="D2">
        <v>1</v>
      </c>
      <c r="E2">
        <v>0</v>
      </c>
      <c r="F2">
        <v>0</v>
      </c>
    </row>
    <row r="3" spans="1:6" x14ac:dyDescent="0.2">
      <c r="A3" t="s">
        <v>2746</v>
      </c>
      <c r="B3" t="s">
        <v>2767</v>
      </c>
      <c r="C3">
        <v>0</v>
      </c>
      <c r="D3">
        <v>0</v>
      </c>
      <c r="E3">
        <v>1</v>
      </c>
      <c r="F3">
        <v>6</v>
      </c>
    </row>
    <row r="4" spans="1:6" x14ac:dyDescent="0.2">
      <c r="A4" t="s">
        <v>1415</v>
      </c>
      <c r="B4" t="s">
        <v>2767</v>
      </c>
      <c r="C4">
        <v>0</v>
      </c>
      <c r="D4">
        <v>0</v>
      </c>
      <c r="E4">
        <v>1</v>
      </c>
      <c r="F4">
        <v>5</v>
      </c>
    </row>
    <row r="5" spans="1:6" x14ac:dyDescent="0.2">
      <c r="A5" t="s">
        <v>2754</v>
      </c>
      <c r="B5" t="s">
        <v>2767</v>
      </c>
      <c r="C5">
        <v>0</v>
      </c>
      <c r="D5">
        <v>0</v>
      </c>
      <c r="E5">
        <v>1</v>
      </c>
      <c r="F5">
        <v>8</v>
      </c>
    </row>
    <row r="6" spans="1:6" x14ac:dyDescent="0.2">
      <c r="A6" t="s">
        <v>2760</v>
      </c>
      <c r="B6" t="s">
        <v>2767</v>
      </c>
      <c r="C6">
        <v>0</v>
      </c>
      <c r="D6">
        <v>0</v>
      </c>
      <c r="E6">
        <v>1</v>
      </c>
      <c r="F6">
        <v>4</v>
      </c>
    </row>
    <row r="7" spans="1:6" x14ac:dyDescent="0.2">
      <c r="A7" t="s">
        <v>2748</v>
      </c>
      <c r="B7" t="s">
        <v>2767</v>
      </c>
      <c r="C7">
        <v>1</v>
      </c>
      <c r="D7">
        <v>0</v>
      </c>
      <c r="E7">
        <v>0</v>
      </c>
      <c r="F7">
        <v>0</v>
      </c>
    </row>
    <row r="8" spans="1:6" x14ac:dyDescent="0.2">
      <c r="A8" t="s">
        <v>2761</v>
      </c>
      <c r="B8" t="s">
        <v>2767</v>
      </c>
      <c r="C8">
        <v>0</v>
      </c>
      <c r="D8">
        <v>0</v>
      </c>
      <c r="E8">
        <v>1</v>
      </c>
      <c r="F8">
        <v>6</v>
      </c>
    </row>
    <row r="9" spans="1:6" x14ac:dyDescent="0.2">
      <c r="A9" t="s">
        <v>1072</v>
      </c>
      <c r="B9" t="s">
        <v>2767</v>
      </c>
      <c r="C9">
        <v>0</v>
      </c>
      <c r="D9">
        <v>0</v>
      </c>
      <c r="E9">
        <v>1</v>
      </c>
      <c r="F9">
        <v>3</v>
      </c>
    </row>
    <row r="10" spans="1:6" x14ac:dyDescent="0.2">
      <c r="A10" t="s">
        <v>2750</v>
      </c>
      <c r="B10" t="s">
        <v>2767</v>
      </c>
      <c r="C10">
        <v>0</v>
      </c>
      <c r="D10">
        <v>1</v>
      </c>
      <c r="E10">
        <v>0</v>
      </c>
      <c r="F10">
        <v>0</v>
      </c>
    </row>
    <row r="11" spans="1:6" x14ac:dyDescent="0.2">
      <c r="A11" t="s">
        <v>2757</v>
      </c>
      <c r="B11" t="s">
        <v>2767</v>
      </c>
      <c r="C11">
        <v>0</v>
      </c>
      <c r="D11">
        <v>0</v>
      </c>
      <c r="E11">
        <v>1</v>
      </c>
      <c r="F11">
        <v>2</v>
      </c>
    </row>
    <row r="12" spans="1:6" x14ac:dyDescent="0.2">
      <c r="A12" t="s">
        <v>2745</v>
      </c>
      <c r="B12" t="s">
        <v>2767</v>
      </c>
      <c r="C12">
        <v>0</v>
      </c>
      <c r="D12">
        <v>0</v>
      </c>
      <c r="E12">
        <v>1</v>
      </c>
      <c r="F12">
        <v>2</v>
      </c>
    </row>
    <row r="13" spans="1:6" x14ac:dyDescent="0.2">
      <c r="A13" t="s">
        <v>2755</v>
      </c>
      <c r="B13" t="s">
        <v>2767</v>
      </c>
      <c r="C13">
        <v>0</v>
      </c>
      <c r="D13">
        <v>1</v>
      </c>
      <c r="E13">
        <v>0</v>
      </c>
      <c r="F13">
        <v>0</v>
      </c>
    </row>
    <row r="14" spans="1:6" x14ac:dyDescent="0.2">
      <c r="A14" t="s">
        <v>2740</v>
      </c>
      <c r="B14" t="s">
        <v>2767</v>
      </c>
      <c r="C14">
        <v>1</v>
      </c>
      <c r="D14">
        <v>0</v>
      </c>
      <c r="E14">
        <v>0</v>
      </c>
      <c r="F14">
        <v>0</v>
      </c>
    </row>
    <row r="15" spans="1:6" x14ac:dyDescent="0.2">
      <c r="A15" t="s">
        <v>2738</v>
      </c>
      <c r="B15" t="s">
        <v>2767</v>
      </c>
      <c r="C15">
        <v>0</v>
      </c>
      <c r="D15">
        <v>0</v>
      </c>
      <c r="E15">
        <v>1</v>
      </c>
      <c r="F15">
        <v>4</v>
      </c>
    </row>
    <row r="16" spans="1:6" x14ac:dyDescent="0.2">
      <c r="A16" t="s">
        <v>2736</v>
      </c>
      <c r="B16" t="s">
        <v>2767</v>
      </c>
      <c r="C16">
        <v>0</v>
      </c>
      <c r="D16">
        <v>0</v>
      </c>
      <c r="E16">
        <v>1</v>
      </c>
      <c r="F16">
        <v>3</v>
      </c>
    </row>
    <row r="17" spans="1:6" x14ac:dyDescent="0.2">
      <c r="A17" t="s">
        <v>288</v>
      </c>
      <c r="B17" t="s">
        <v>2766</v>
      </c>
      <c r="C17">
        <v>0</v>
      </c>
      <c r="D17">
        <v>0</v>
      </c>
      <c r="E17">
        <v>1</v>
      </c>
      <c r="F17">
        <v>2</v>
      </c>
    </row>
    <row r="18" spans="1:6" x14ac:dyDescent="0.2">
      <c r="A18" t="s">
        <v>2751</v>
      </c>
      <c r="B18" t="s">
        <v>2767</v>
      </c>
      <c r="C18">
        <v>0</v>
      </c>
      <c r="D18">
        <v>1</v>
      </c>
      <c r="E18">
        <v>0</v>
      </c>
      <c r="F18">
        <v>0</v>
      </c>
    </row>
    <row r="19" spans="1:6" x14ac:dyDescent="0.2">
      <c r="A19" s="23" t="s">
        <v>2762</v>
      </c>
      <c r="B19" t="s">
        <v>2767</v>
      </c>
      <c r="C19">
        <v>0</v>
      </c>
      <c r="D19">
        <v>0</v>
      </c>
      <c r="E19">
        <v>1</v>
      </c>
      <c r="F19">
        <v>2</v>
      </c>
    </row>
    <row r="20" spans="1:6" x14ac:dyDescent="0.2">
      <c r="A20" t="s">
        <v>2737</v>
      </c>
      <c r="B20" t="s">
        <v>2767</v>
      </c>
      <c r="C20">
        <v>0</v>
      </c>
      <c r="D20">
        <v>0</v>
      </c>
      <c r="E20">
        <v>1</v>
      </c>
      <c r="F20">
        <v>8</v>
      </c>
    </row>
    <row r="21" spans="1:6" x14ac:dyDescent="0.2">
      <c r="A21" t="s">
        <v>2741</v>
      </c>
      <c r="B21" t="s">
        <v>2767</v>
      </c>
      <c r="C21">
        <v>0</v>
      </c>
      <c r="D21">
        <v>1</v>
      </c>
      <c r="E21">
        <v>0</v>
      </c>
      <c r="F21">
        <v>0</v>
      </c>
    </row>
    <row r="22" spans="1:6" x14ac:dyDescent="0.2">
      <c r="A22" t="s">
        <v>2744</v>
      </c>
      <c r="B22" t="s">
        <v>2767</v>
      </c>
      <c r="C22">
        <v>0</v>
      </c>
      <c r="D22">
        <v>0</v>
      </c>
      <c r="E22">
        <v>1</v>
      </c>
      <c r="F22">
        <v>2</v>
      </c>
    </row>
    <row r="23" spans="1:6" x14ac:dyDescent="0.2">
      <c r="A23" t="s">
        <v>1529</v>
      </c>
      <c r="B23" t="s">
        <v>2767</v>
      </c>
      <c r="C23">
        <v>0</v>
      </c>
      <c r="D23">
        <v>0</v>
      </c>
      <c r="E23">
        <v>1</v>
      </c>
      <c r="F23">
        <v>3</v>
      </c>
    </row>
    <row r="24" spans="1:6" x14ac:dyDescent="0.2">
      <c r="A24" t="s">
        <v>2759</v>
      </c>
      <c r="B24" t="s">
        <v>2767</v>
      </c>
      <c r="C24">
        <v>0</v>
      </c>
      <c r="D24">
        <v>0</v>
      </c>
      <c r="E24">
        <v>1</v>
      </c>
      <c r="F24" s="3">
        <v>6</v>
      </c>
    </row>
    <row r="25" spans="1:6" x14ac:dyDescent="0.2">
      <c r="A25" t="s">
        <v>2749</v>
      </c>
      <c r="B25" t="s">
        <v>2767</v>
      </c>
      <c r="C25">
        <v>0</v>
      </c>
      <c r="D25">
        <v>1</v>
      </c>
      <c r="E25">
        <v>0</v>
      </c>
      <c r="F25">
        <v>0</v>
      </c>
    </row>
    <row r="26" spans="1:6" x14ac:dyDescent="0.2">
      <c r="A26" t="s">
        <v>2758</v>
      </c>
      <c r="B26" t="s">
        <v>2767</v>
      </c>
      <c r="C26">
        <v>1</v>
      </c>
      <c r="D26">
        <v>0</v>
      </c>
      <c r="E26">
        <v>0</v>
      </c>
      <c r="F26">
        <v>0</v>
      </c>
    </row>
    <row r="27" spans="1:6" x14ac:dyDescent="0.2">
      <c r="A27" t="s">
        <v>2735</v>
      </c>
      <c r="B27" t="s">
        <v>2767</v>
      </c>
      <c r="C27">
        <v>0</v>
      </c>
      <c r="D27">
        <v>0</v>
      </c>
      <c r="E27">
        <v>1</v>
      </c>
      <c r="F27">
        <v>5</v>
      </c>
    </row>
    <row r="28" spans="1:6" x14ac:dyDescent="0.2">
      <c r="A28" t="s">
        <v>2756</v>
      </c>
      <c r="B28" t="s">
        <v>2767</v>
      </c>
      <c r="C28">
        <v>0</v>
      </c>
      <c r="D28">
        <v>0</v>
      </c>
      <c r="E28">
        <v>1</v>
      </c>
      <c r="F28">
        <v>8</v>
      </c>
    </row>
    <row r="29" spans="1:6" x14ac:dyDescent="0.2">
      <c r="A29" t="s">
        <v>2768</v>
      </c>
      <c r="B29" t="s">
        <v>2767</v>
      </c>
      <c r="C29">
        <v>0</v>
      </c>
      <c r="D29">
        <v>1</v>
      </c>
      <c r="E29">
        <v>0</v>
      </c>
      <c r="F29">
        <v>0</v>
      </c>
    </row>
    <row r="30" spans="1:6" x14ac:dyDescent="0.2">
      <c r="A30" t="s">
        <v>2752</v>
      </c>
      <c r="B30" t="s">
        <v>2767</v>
      </c>
      <c r="C30">
        <v>0</v>
      </c>
      <c r="D30">
        <v>1</v>
      </c>
      <c r="E30">
        <v>0</v>
      </c>
      <c r="F30">
        <v>0</v>
      </c>
    </row>
    <row r="31" spans="1:6" x14ac:dyDescent="0.2">
      <c r="A31" t="s">
        <v>2743</v>
      </c>
      <c r="B31" t="s">
        <v>2767</v>
      </c>
      <c r="C31">
        <v>0</v>
      </c>
      <c r="D31">
        <v>0</v>
      </c>
      <c r="E31">
        <v>1</v>
      </c>
      <c r="F31">
        <v>8</v>
      </c>
    </row>
    <row r="32" spans="1:6" x14ac:dyDescent="0.2">
      <c r="A32" t="s">
        <v>2742</v>
      </c>
      <c r="B32" t="s">
        <v>2767</v>
      </c>
      <c r="C32">
        <v>0</v>
      </c>
      <c r="D32">
        <v>1</v>
      </c>
      <c r="E32">
        <v>0</v>
      </c>
      <c r="F32">
        <v>0</v>
      </c>
    </row>
    <row r="33" spans="1:6" x14ac:dyDescent="0.2">
      <c r="A33" t="s">
        <v>2739</v>
      </c>
      <c r="B33" t="s">
        <v>2767</v>
      </c>
      <c r="C33">
        <v>0</v>
      </c>
      <c r="D33">
        <v>0</v>
      </c>
      <c r="E33">
        <v>1</v>
      </c>
      <c r="F33">
        <v>8</v>
      </c>
    </row>
    <row r="34" spans="1:6" x14ac:dyDescent="0.2">
      <c r="A34" t="s">
        <v>1191</v>
      </c>
      <c r="B34" t="s">
        <v>2767</v>
      </c>
      <c r="C34">
        <v>0</v>
      </c>
      <c r="D34">
        <v>1</v>
      </c>
      <c r="E34">
        <v>0</v>
      </c>
      <c r="F34">
        <v>0</v>
      </c>
    </row>
    <row r="35" spans="1:6" x14ac:dyDescent="0.2">
      <c r="A35" t="s">
        <v>1031</v>
      </c>
      <c r="B35" t="s">
        <v>2766</v>
      </c>
      <c r="C35">
        <v>0</v>
      </c>
      <c r="D35">
        <v>1</v>
      </c>
      <c r="E35">
        <v>0</v>
      </c>
      <c r="F35">
        <v>0</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C9DDE-869A-F94E-8192-2C7908C32B79}">
  <dimension ref="A1:H17"/>
  <sheetViews>
    <sheetView workbookViewId="0">
      <selection activeCell="A3" sqref="A3"/>
    </sheetView>
  </sheetViews>
  <sheetFormatPr baseColWidth="10" defaultRowHeight="16" x14ac:dyDescent="0.2"/>
  <cols>
    <col min="1" max="1" width="57.83203125" bestFit="1" customWidth="1"/>
    <col min="2" max="2" width="24" bestFit="1" customWidth="1"/>
    <col min="3" max="3" width="24" customWidth="1"/>
    <col min="4" max="4" width="27.1640625" customWidth="1"/>
    <col min="5" max="5" width="12.1640625" bestFit="1" customWidth="1"/>
    <col min="6" max="6" width="14.1640625" bestFit="1" customWidth="1"/>
    <col min="7" max="7" width="9.33203125" bestFit="1" customWidth="1"/>
    <col min="8" max="8" width="14.5" bestFit="1" customWidth="1"/>
  </cols>
  <sheetData>
    <row r="1" spans="1:8" x14ac:dyDescent="0.2">
      <c r="A1" s="28" t="s">
        <v>2773</v>
      </c>
      <c r="B1" s="28" t="s">
        <v>2774</v>
      </c>
      <c r="C1" s="28" t="s">
        <v>2842</v>
      </c>
      <c r="D1" s="28" t="s">
        <v>2775</v>
      </c>
      <c r="E1" s="28" t="s">
        <v>2769</v>
      </c>
      <c r="F1" s="28" t="s">
        <v>2770</v>
      </c>
      <c r="G1" s="28" t="s">
        <v>2771</v>
      </c>
      <c r="H1" s="28" t="s">
        <v>2772</v>
      </c>
    </row>
    <row r="2" spans="1:8" x14ac:dyDescent="0.2">
      <c r="A2" t="s">
        <v>1142</v>
      </c>
      <c r="B2" t="s">
        <v>2766</v>
      </c>
      <c r="C2" t="s">
        <v>2843</v>
      </c>
      <c r="D2" t="s">
        <v>382</v>
      </c>
      <c r="E2" s="62">
        <v>0</v>
      </c>
      <c r="F2" s="62">
        <v>1</v>
      </c>
      <c r="G2" s="62">
        <v>0</v>
      </c>
      <c r="H2" s="62">
        <v>1</v>
      </c>
    </row>
    <row r="3" spans="1:8" x14ac:dyDescent="0.2">
      <c r="A3" t="s">
        <v>577</v>
      </c>
      <c r="B3" t="s">
        <v>2766</v>
      </c>
      <c r="C3" t="s">
        <v>2843</v>
      </c>
      <c r="D3" t="s">
        <v>382</v>
      </c>
      <c r="E3" s="62">
        <v>0</v>
      </c>
      <c r="F3" s="62">
        <v>1</v>
      </c>
      <c r="G3" s="62">
        <v>0</v>
      </c>
      <c r="H3" s="62">
        <v>1</v>
      </c>
    </row>
    <row r="4" spans="1:8" x14ac:dyDescent="0.2">
      <c r="A4" t="s">
        <v>1556</v>
      </c>
      <c r="B4" t="s">
        <v>2766</v>
      </c>
      <c r="C4" t="s">
        <v>2843</v>
      </c>
      <c r="D4" t="s">
        <v>382</v>
      </c>
      <c r="E4" s="62">
        <v>0</v>
      </c>
      <c r="F4" s="62">
        <v>1</v>
      </c>
      <c r="G4" s="62">
        <v>0</v>
      </c>
      <c r="H4" s="62">
        <v>1</v>
      </c>
    </row>
    <row r="5" spans="1:8" x14ac:dyDescent="0.2">
      <c r="A5" t="s">
        <v>2855</v>
      </c>
      <c r="B5" t="s">
        <v>2766</v>
      </c>
      <c r="C5" t="s">
        <v>2847</v>
      </c>
      <c r="D5" t="s">
        <v>382</v>
      </c>
      <c r="E5" s="62">
        <v>1</v>
      </c>
      <c r="F5" s="62">
        <v>0</v>
      </c>
      <c r="G5" s="62">
        <v>0</v>
      </c>
      <c r="H5" s="62">
        <v>3</v>
      </c>
    </row>
    <row r="6" spans="1:8" x14ac:dyDescent="0.2">
      <c r="A6" t="s">
        <v>1191</v>
      </c>
      <c r="B6" t="s">
        <v>2766</v>
      </c>
      <c r="C6" t="s">
        <v>2848</v>
      </c>
      <c r="D6" t="s">
        <v>382</v>
      </c>
      <c r="E6" s="62">
        <v>0</v>
      </c>
      <c r="F6" s="62">
        <v>0</v>
      </c>
      <c r="G6" s="62">
        <v>1</v>
      </c>
      <c r="H6" s="62">
        <v>9</v>
      </c>
    </row>
    <row r="7" spans="1:8" x14ac:dyDescent="0.2">
      <c r="A7" t="s">
        <v>816</v>
      </c>
      <c r="B7" t="s">
        <v>2766</v>
      </c>
      <c r="C7" t="s">
        <v>2847</v>
      </c>
      <c r="D7" t="s">
        <v>382</v>
      </c>
      <c r="E7" s="62">
        <v>1</v>
      </c>
      <c r="F7" s="62">
        <v>0</v>
      </c>
      <c r="G7" s="62">
        <v>0</v>
      </c>
      <c r="H7" s="62">
        <v>2</v>
      </c>
    </row>
    <row r="8" spans="1:8" x14ac:dyDescent="0.2">
      <c r="A8" t="s">
        <v>933</v>
      </c>
      <c r="B8" t="s">
        <v>2766</v>
      </c>
      <c r="C8" t="s">
        <v>2847</v>
      </c>
      <c r="D8" t="s">
        <v>2850</v>
      </c>
      <c r="E8" s="62">
        <v>0</v>
      </c>
      <c r="F8" s="62">
        <v>0</v>
      </c>
      <c r="G8" s="62">
        <v>1</v>
      </c>
      <c r="H8" s="62">
        <v>4</v>
      </c>
    </row>
    <row r="9" spans="1:8" x14ac:dyDescent="0.2">
      <c r="A9" t="s">
        <v>1135</v>
      </c>
      <c r="B9" t="s">
        <v>2766</v>
      </c>
      <c r="C9" t="s">
        <v>2847</v>
      </c>
      <c r="D9" t="s">
        <v>382</v>
      </c>
      <c r="E9" s="62">
        <v>1</v>
      </c>
      <c r="F9" s="62">
        <v>0</v>
      </c>
      <c r="G9" s="62">
        <v>0</v>
      </c>
      <c r="H9" s="62">
        <v>2</v>
      </c>
    </row>
    <row r="10" spans="1:8" x14ac:dyDescent="0.2">
      <c r="A10" t="s">
        <v>1855</v>
      </c>
      <c r="B10" t="s">
        <v>2766</v>
      </c>
      <c r="C10" t="s">
        <v>2847</v>
      </c>
      <c r="D10" t="s">
        <v>382</v>
      </c>
      <c r="E10" s="62">
        <v>1</v>
      </c>
      <c r="F10" s="62">
        <v>0</v>
      </c>
      <c r="G10" s="62">
        <v>0</v>
      </c>
      <c r="H10" s="62">
        <v>4</v>
      </c>
    </row>
    <row r="11" spans="1:8" x14ac:dyDescent="0.2">
      <c r="A11" t="s">
        <v>1324</v>
      </c>
      <c r="B11" t="s">
        <v>2766</v>
      </c>
      <c r="C11" t="s">
        <v>2843</v>
      </c>
      <c r="D11" t="s">
        <v>382</v>
      </c>
      <c r="E11" s="62">
        <v>0</v>
      </c>
      <c r="F11" s="62">
        <v>1</v>
      </c>
      <c r="G11" s="62">
        <v>0</v>
      </c>
      <c r="H11" s="62">
        <v>1</v>
      </c>
    </row>
    <row r="12" spans="1:8" x14ac:dyDescent="0.2">
      <c r="A12" t="s">
        <v>1065</v>
      </c>
      <c r="B12" t="s">
        <v>2766</v>
      </c>
      <c r="C12" t="s">
        <v>2846</v>
      </c>
      <c r="D12" t="s">
        <v>382</v>
      </c>
      <c r="E12" s="62">
        <v>0</v>
      </c>
      <c r="F12" s="62">
        <v>0</v>
      </c>
      <c r="G12" s="62">
        <v>1</v>
      </c>
      <c r="H12" s="62">
        <v>4</v>
      </c>
    </row>
    <row r="13" spans="1:8" x14ac:dyDescent="0.2">
      <c r="A13" t="s">
        <v>905</v>
      </c>
      <c r="B13" t="s">
        <v>2766</v>
      </c>
      <c r="C13" t="s">
        <v>2844</v>
      </c>
      <c r="D13" t="s">
        <v>2854</v>
      </c>
      <c r="E13" s="62">
        <v>0</v>
      </c>
      <c r="F13" s="62">
        <v>0</v>
      </c>
      <c r="G13" s="62">
        <v>1</v>
      </c>
      <c r="H13" s="62">
        <v>4</v>
      </c>
    </row>
    <row r="14" spans="1:8" x14ac:dyDescent="0.2">
      <c r="A14" t="s">
        <v>529</v>
      </c>
      <c r="B14" t="s">
        <v>2766</v>
      </c>
      <c r="C14" t="s">
        <v>2847</v>
      </c>
      <c r="D14" t="s">
        <v>2850</v>
      </c>
      <c r="E14" s="62">
        <v>0</v>
      </c>
      <c r="F14" s="62">
        <v>0</v>
      </c>
      <c r="G14">
        <v>1</v>
      </c>
      <c r="H14" s="62">
        <v>7</v>
      </c>
    </row>
    <row r="15" spans="1:8" x14ac:dyDescent="0.2">
      <c r="A15" t="s">
        <v>2856</v>
      </c>
      <c r="B15" t="s">
        <v>2766</v>
      </c>
      <c r="C15" t="s">
        <v>2847</v>
      </c>
      <c r="D15" t="s">
        <v>2850</v>
      </c>
      <c r="E15" s="62">
        <v>0</v>
      </c>
      <c r="F15" s="62">
        <v>0</v>
      </c>
      <c r="G15" s="62">
        <v>1</v>
      </c>
      <c r="H15" s="62">
        <v>2</v>
      </c>
    </row>
    <row r="16" spans="1:8" x14ac:dyDescent="0.2">
      <c r="A16" t="s">
        <v>1518</v>
      </c>
      <c r="B16" t="s">
        <v>2766</v>
      </c>
      <c r="C16" t="s">
        <v>2843</v>
      </c>
      <c r="D16" t="s">
        <v>2850</v>
      </c>
      <c r="E16" s="62">
        <v>0</v>
      </c>
      <c r="F16" s="62">
        <v>0</v>
      </c>
      <c r="G16" s="62">
        <v>1</v>
      </c>
      <c r="H16" s="62">
        <v>7</v>
      </c>
    </row>
    <row r="17" spans="1:8" x14ac:dyDescent="0.2">
      <c r="A17" t="s">
        <v>1398</v>
      </c>
      <c r="B17" t="s">
        <v>2766</v>
      </c>
      <c r="C17" t="s">
        <v>2843</v>
      </c>
      <c r="D17" t="s">
        <v>382</v>
      </c>
      <c r="E17" s="62">
        <v>0</v>
      </c>
      <c r="F17" s="62">
        <v>1</v>
      </c>
      <c r="G17" s="62">
        <v>0</v>
      </c>
      <c r="H17" s="62">
        <v>1</v>
      </c>
    </row>
  </sheetData>
  <autoFilter ref="C1:H17" xr:uid="{E0EC9DDE-869A-F94E-8192-2C7908C32B79}"/>
  <sortState xmlns:xlrd2="http://schemas.microsoft.com/office/spreadsheetml/2017/richdata2" ref="A3:H17">
    <sortCondition ref="A3:A17"/>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7A9A-5D85-2744-856A-A43AF42981D3}">
  <dimension ref="A1:J18"/>
  <sheetViews>
    <sheetView workbookViewId="0">
      <selection activeCell="B8" sqref="B8:I8"/>
    </sheetView>
  </sheetViews>
  <sheetFormatPr baseColWidth="10" defaultRowHeight="16" x14ac:dyDescent="0.2"/>
  <cols>
    <col min="2" max="2" width="74.5" bestFit="1" customWidth="1"/>
    <col min="3" max="3" width="45.1640625" customWidth="1"/>
  </cols>
  <sheetData>
    <row r="1" spans="1:10" x14ac:dyDescent="0.2">
      <c r="B1" t="s">
        <v>1474</v>
      </c>
      <c r="C1" t="s">
        <v>2766</v>
      </c>
      <c r="D1">
        <v>0</v>
      </c>
      <c r="E1">
        <v>0</v>
      </c>
      <c r="F1">
        <v>1</v>
      </c>
      <c r="G1">
        <v>3</v>
      </c>
    </row>
    <row r="2" spans="1:10" x14ac:dyDescent="0.2">
      <c r="B2" t="s">
        <v>2734</v>
      </c>
      <c r="C2" t="s">
        <v>2767</v>
      </c>
      <c r="D2">
        <v>0</v>
      </c>
      <c r="E2">
        <v>0</v>
      </c>
      <c r="F2">
        <v>1</v>
      </c>
      <c r="G2">
        <v>8</v>
      </c>
    </row>
    <row r="3" spans="1:10" x14ac:dyDescent="0.2">
      <c r="B3" t="s">
        <v>2753</v>
      </c>
      <c r="C3" t="s">
        <v>2767</v>
      </c>
      <c r="D3">
        <v>1</v>
      </c>
      <c r="E3">
        <v>0</v>
      </c>
      <c r="F3">
        <v>0</v>
      </c>
      <c r="G3">
        <v>0</v>
      </c>
    </row>
    <row r="6" spans="1:10" x14ac:dyDescent="0.2">
      <c r="A6" t="s">
        <v>2852</v>
      </c>
      <c r="B6" t="s">
        <v>2812</v>
      </c>
      <c r="C6" t="s">
        <v>2766</v>
      </c>
      <c r="D6" t="s">
        <v>2849</v>
      </c>
      <c r="E6">
        <v>1</v>
      </c>
      <c r="F6" s="62"/>
      <c r="G6" s="62"/>
      <c r="H6">
        <v>1</v>
      </c>
      <c r="I6" s="62">
        <v>8</v>
      </c>
    </row>
    <row r="8" spans="1:10" x14ac:dyDescent="0.2">
      <c r="B8" t="s">
        <v>1846</v>
      </c>
      <c r="C8" t="s">
        <v>2766</v>
      </c>
      <c r="D8" t="s">
        <v>2847</v>
      </c>
      <c r="E8" t="s">
        <v>382</v>
      </c>
      <c r="F8" s="62">
        <v>1</v>
      </c>
      <c r="G8" s="62">
        <v>0</v>
      </c>
      <c r="H8" s="62">
        <v>0</v>
      </c>
      <c r="I8" s="62">
        <v>5</v>
      </c>
    </row>
    <row r="14" spans="1:10" x14ac:dyDescent="0.2">
      <c r="A14" s="75" t="s">
        <v>2853</v>
      </c>
      <c r="B14" s="75"/>
    </row>
    <row r="15" spans="1:10" x14ac:dyDescent="0.2">
      <c r="B15" t="s">
        <v>2851</v>
      </c>
      <c r="C15" s="68" t="s">
        <v>1415</v>
      </c>
      <c r="D15" t="s">
        <v>2766</v>
      </c>
      <c r="E15" t="s">
        <v>2844</v>
      </c>
      <c r="F15">
        <v>1</v>
      </c>
      <c r="G15" s="62"/>
      <c r="H15" s="62"/>
      <c r="I15" s="62">
        <v>1</v>
      </c>
      <c r="J15" s="62">
        <v>5</v>
      </c>
    </row>
    <row r="16" spans="1:10" x14ac:dyDescent="0.2">
      <c r="B16" t="s">
        <v>2851</v>
      </c>
      <c r="C16" s="68" t="s">
        <v>1316</v>
      </c>
      <c r="D16" t="s">
        <v>2766</v>
      </c>
      <c r="E16" t="s">
        <v>2844</v>
      </c>
      <c r="F16">
        <v>1</v>
      </c>
      <c r="G16" s="62"/>
      <c r="H16" s="62"/>
      <c r="I16" s="62">
        <v>1</v>
      </c>
      <c r="J16" s="62">
        <v>4</v>
      </c>
    </row>
    <row r="17" spans="2:10" x14ac:dyDescent="0.2">
      <c r="B17" t="s">
        <v>2851</v>
      </c>
      <c r="C17" s="68" t="s">
        <v>651</v>
      </c>
      <c r="D17" t="s">
        <v>2766</v>
      </c>
      <c r="E17" t="s">
        <v>2845</v>
      </c>
      <c r="F17">
        <v>1</v>
      </c>
      <c r="G17" s="62"/>
      <c r="H17" s="62"/>
      <c r="I17" s="62">
        <v>1</v>
      </c>
      <c r="J17" s="62">
        <v>6</v>
      </c>
    </row>
    <row r="18" spans="2:10" x14ac:dyDescent="0.2">
      <c r="B18" t="s">
        <v>2851</v>
      </c>
      <c r="C18" s="68" t="s">
        <v>1072</v>
      </c>
      <c r="D18" t="s">
        <v>2766</v>
      </c>
      <c r="E18" t="s">
        <v>2843</v>
      </c>
      <c r="F18" t="s">
        <v>2850</v>
      </c>
      <c r="G18" s="62"/>
      <c r="H18" s="62"/>
      <c r="I18" s="62">
        <v>1</v>
      </c>
      <c r="J18" s="62">
        <v>4</v>
      </c>
    </row>
  </sheetData>
  <mergeCells count="1">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results</vt:lpstr>
      <vt:lpstr>Category words</vt:lpstr>
      <vt:lpstr>start and stop times</vt:lpstr>
      <vt:lpstr>Sheet3</vt:lpstr>
      <vt:lpstr>bondsJune7</vt:lpstr>
      <vt:lpstr>expected results</vt:lpstr>
      <vt:lpstr>allocationsJune7</vt:lpstr>
      <vt:lpstr>Sheet2</vt:lpstr>
      <vt:lpstr>simScoreMap</vt:lpstr>
      <vt:lpstr>Sheet4</vt:lpstr>
      <vt:lpstr>Project timeline</vt:lpstr>
      <vt:lpstr>ground_truth_train</vt:lpstr>
      <vt:lpstr>manual_baseline</vt:lpstr>
      <vt:lpstr>rpts failing to execute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Elisabeth Watson</dc:creator>
  <cp:lastModifiedBy>Elisabeth Watson</cp:lastModifiedBy>
  <dcterms:created xsi:type="dcterms:W3CDTF">2026-06-07T18:25:22Z</dcterms:created>
  <dcterms:modified xsi:type="dcterms:W3CDTF">2026-08-16T12:33:54Z</dcterms:modified>
</cp:coreProperties>
</file>