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0F96F36B-DBB2-034C-8347-A3B14507D884}" xr6:coauthVersionLast="47" xr6:coauthVersionMax="47" xr10:uidLastSave="{00000000-0000-0000-0000-000000000000}"/>
  <bookViews>
    <workbookView xWindow="160" yWindow="660" windowWidth="20240" windowHeight="22220" firstSheet="8"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simScoreMap" sheetId="14" r:id="rId10"/>
    <sheet name="Sheet4" sheetId="15" r:id="rId11"/>
    <sheet name="Project timeline" sheetId="6" r:id="rId12"/>
    <sheet name="ground_truth_train" sheetId="7" r:id="rId13"/>
    <sheet name="manual_baseline" sheetId="9" r:id="rId14"/>
    <sheet name="rpts failing to execute" sheetId="8" r:id="rId15"/>
  </sheets>
  <definedNames>
    <definedName name="_xlnm._FilterDatabase" localSheetId="7" hidden="1">allocationsJune7!$A$2:$AC$2280</definedName>
    <definedName name="_xlnm._FilterDatabase" localSheetId="5" hidden="1">bondsJune7!$B$13:$AI$299</definedName>
    <definedName name="_xlnm._FilterDatabase" localSheetId="13" hidden="1">manual_baseline!$C$1:$H$17</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87" i="15" l="1"/>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<sst xmlns="http://schemas.openxmlformats.org/spreadsheetml/2006/main" count="25441" uniqueCount="2920">
  <si>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</si>
  <si>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</si>
  <si>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</si>
  <si>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</si>
  <si>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</si>
  <si>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</si>
  <si>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</si>
  <si>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</si>
  <si>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</si>
  <si>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</si>
  <si>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</si>
  <si>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</si>
  <si>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</si>
  <si>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</si>
  <si>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</si>
  <si>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</si>
  <si>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</si>
  <si>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</si>
  <si>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</si>
  <si>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</si>
  <si>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</si>
  <si>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</si>
  <si>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</si>
  <si>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</si>
  <si>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</si>
  <si>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</si>
  <si>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</si>
  <si>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</si>
  <si>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</si>
  <si>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</si>
  <si>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</si>
  <si>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</si>
  <si>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</si>
  <si>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</si>
  <si>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</si>
  <si>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</si>
  <si>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</si>
  <si>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</si>
  <si>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</si>
  <si>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</si>
  <si>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</si>
  <si>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</si>
  <si>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</si>
  <si>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</si>
  <si>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</si>
  <si>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</si>
  <si>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</si>
  <si>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</si>
  <si>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</si>
  <si>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</si>
  <si>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</si>
  <si>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</si>
  <si>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</si>
  <si>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</si>
  <si>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</si>
  <si>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</si>
  <si>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</si>
  <si>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</si>
  <si>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</si>
  <si>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</si>
  <si>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</si>
  <si>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</si>
  <si>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</si>
  <si>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</si>
  <si>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</si>
  <si>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</si>
  <si>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</si>
  <si>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</si>
  <si>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</si>
  <si>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</si>
  <si>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</si>
  <si>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</si>
  <si>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</si>
  <si>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</si>
  <si>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</si>
  <si>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</si>
  <si>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</si>
  <si>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</si>
  <si>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</si>
  <si>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</si>
  <si>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</si>
  <si>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</si>
  <si>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</si>
  <si>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</si>
  <si>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</si>
  <si>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</si>
  <si>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</si>
  <si>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</si>
  <si>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</si>
  <si>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</si>
  <si>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</si>
  <si>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</si>
  <si>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</si>
  <si>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</si>
  <si>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</si>
  <si>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</si>
  <si>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</si>
  <si>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</si>
  <si>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</si>
  <si>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</si>
  <si>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</si>
  <si>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</si>
  <si>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</si>
  <si>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</si>
  <si>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</si>
  <si>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</si>
  <si>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</si>
  <si>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</si>
  <si>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</si>
  <si>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</si>
  <si>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</si>
  <si>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</si>
  <si>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</si>
  <si>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</si>
  <si>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</si>
  <si>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</si>
  <si>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</si>
  <si>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</si>
  <si>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</si>
  <si>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</si>
  <si>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</si>
  <si>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</si>
  <si>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</si>
  <si>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</si>
  <si>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</si>
  <si>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</si>
  <si>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</si>
  <si>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</si>
  <si>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</si>
  <si>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</si>
  <si>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</si>
  <si>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</si>
  <si>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</si>
  <si>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</si>
  <si>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</si>
  <si>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</si>
  <si>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</si>
  <si>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</si>
  <si>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</si>
  <si>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</si>
  <si>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</si>
  <si>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</si>
  <si>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</si>
  <si>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</si>
  <si>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</si>
  <si>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</si>
  <si>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</si>
  <si>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</si>
  <si>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</si>
  <si>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</si>
  <si>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</si>
  <si>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</si>
  <si>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</si>
  <si>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</si>
  <si>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</si>
  <si>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</si>
  <si>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</si>
  <si>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</si>
  <si>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</si>
  <si>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</si>
  <si>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</si>
  <si>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</si>
  <si>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</si>
  <si>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</si>
  <si>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</si>
  <si>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</si>
  <si>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</si>
  <si>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</si>
  <si>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</si>
  <si>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</si>
  <si>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</si>
  <si>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</si>
  <si>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</si>
  <si>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</si>
  <si>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</si>
  <si>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</si>
  <si>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</si>
  <si>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</si>
  <si>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</si>
  <si>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</si>
  <si>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</si>
  <si>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</si>
  <si>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</si>
  <si>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</si>
  <si>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</si>
  <si>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</si>
  <si>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</si>
  <si>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</si>
  <si>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</si>
  <si>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</si>
  <si>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</si>
  <si>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</si>
  <si>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</si>
  <si>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</si>
  <si>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</si>
  <si>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</si>
  <si>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</si>
  <si>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</si>
  <si>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</si>
  <si>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</si>
  <si>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</si>
  <si>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</si>
  <si>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</si>
  <si>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</si>
  <si>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</si>
  <si>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</si>
  <si>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</si>
  <si>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</si>
  <si>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</si>
  <si>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</si>
  <si>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</si>
  <si>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</si>
  <si>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</si>
  <si>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</si>
  <si>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</si>
  <si>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</si>
  <si>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</si>
  <si>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</si>
  <si>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</si>
  <si>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</si>
  <si>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</si>
  <si>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</si>
  <si>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</si>
  <si>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</si>
  <si>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</si>
  <si>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</si>
  <si>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</si>
  <si>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</si>
  <si>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</si>
  <si>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</si>
  <si>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</si>
  <si>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</si>
  <si>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</si>
  <si>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</si>
  <si>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</si>
  <si>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</si>
  <si>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</si>
  <si>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</si>
  <si>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</si>
  <si>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</si>
  <si>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</si>
  <si>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</si>
  <si>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</si>
  <si>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</si>
  <si>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</si>
  <si>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</si>
  <si>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</si>
  <si>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</si>
  <si>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</si>
  <si>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</si>
  <si>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</si>
  <si>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</si>
  <si>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</si>
  <si>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</si>
  <si>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</si>
  <si>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</si>
  <si>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</si>
  <si>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</si>
  <si>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</si>
  <si>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</si>
  <si>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</si>
  <si>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</si>
  <si>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</si>
  <si>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</si>
  <si>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</si>
  <si>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</si>
  <si>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</si>
  <si>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</si>
  <si>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</si>
  <si>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</si>
  <si>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</si>
  <si>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</si>
  <si>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</si>
  <si>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</si>
  <si>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</si>
  <si>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</si>
  <si>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</si>
  <si>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</si>
  <si>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</si>
  <si>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</si>
  <si>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</si>
  <si>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</si>
  <si>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</si>
  <si>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</si>
  <si>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</si>
  <si>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</si>
  <si>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</si>
  <si>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</si>
  <si>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</si>
  <si>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</si>
  <si>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</si>
  <si>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</si>
  <si>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</si>
  <si>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</si>
  <si>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</si>
  <si>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</si>
  <si>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</si>
  <si>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</si>
  <si>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</si>
  <si>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</si>
  <si>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</si>
  <si>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</si>
  <si>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</si>
  <si>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</si>
  <si>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</si>
  <si>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</si>
  <si>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</si>
  <si>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</si>
  <si>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</si>
  <si>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</si>
  <si>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</si>
  <si>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</si>
  <si>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</si>
  <si>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</si>
  <si>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</si>
  <si>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</si>
  <si>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</si>
  <si>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</si>
  <si>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</si>
  <si>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</si>
  <si>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</si>
  <si>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</si>
  <si>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</si>
  <si>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</si>
  <si>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</si>
  <si>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</si>
  <si>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</si>
  <si>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</si>
  <si>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</si>
  <si>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</si>
  <si>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</si>
  <si>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</si>
  <si>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</si>
  <si>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</si>
  <si>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</si>
  <si>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</si>
  <si>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</si>
  <si>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</si>
  <si>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</si>
  <si>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</si>
  <si>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</si>
  <si>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</si>
  <si>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</si>
  <si>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</si>
  <si>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</si>
  <si>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</si>
  <si>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</si>
  <si>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</si>
  <si>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</si>
  <si>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</si>
  <si>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</si>
  <si>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</si>
  <si>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</si>
  <si>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</si>
  <si>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</si>
  <si>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</si>
  <si>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</si>
  <si>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</si>
  <si>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</si>
  <si>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</si>
  <si>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</si>
  <si>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</si>
  <si>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</si>
  <si>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</si>
  <si>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</si>
  <si>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</si>
  <si>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</si>
  <si>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</si>
  <si>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</si>
  <si>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</si>
  <si>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</si>
  <si>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</si>
  <si>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</si>
  <si>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</si>
  <si>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</si>
  <si>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</si>
  <si>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</si>
  <si>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</si>
  <si>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</si>
  <si>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</si>
  <si>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</si>
  <si>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</si>
  <si>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</si>
  <si>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</si>
  <si>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</si>
  <si>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</si>
  <si>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</si>
  <si>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</si>
  <si>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</si>
  <si>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</si>
  <si>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</si>
  <si>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</si>
  <si>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</si>
  <si>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</si>
  <si>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</si>
  <si>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</si>
  <si>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</si>
  <si>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</si>
  <si>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</si>
  <si>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</si>
  <si>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</si>
  <si>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</si>
  <si>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</si>
  <si>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</si>
  <si>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</si>
  <si>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</si>
  <si>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</si>
  <si>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</si>
  <si>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</si>
  <si>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</si>
  <si>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</si>
  <si>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</si>
  <si>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</si>
  <si>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</si>
  <si>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</si>
  <si>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</si>
  <si>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</si>
  <si>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</si>
  <si>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</si>
  <si>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</si>
  <si>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</si>
  <si>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</si>
  <si>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</si>
  <si>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</si>
  <si>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</si>
  <si>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</si>
  <si>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</si>
  <si>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</si>
  <si>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</si>
  <si>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</si>
  <si>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</si>
  <si>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</si>
  <si>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</si>
  <si>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</si>
  <si>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</si>
  <si>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</si>
  <si>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</si>
  <si>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</si>
  <si>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</si>
  <si>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</si>
  <si>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</si>
  <si>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</si>
  <si>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</si>
  <si>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</si>
  <si>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</si>
  <si>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</si>
  <si>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</si>
  <si>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</si>
  <si>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</si>
  <si>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</si>
  <si>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</si>
  <si>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</si>
  <si>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</si>
  <si>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</si>
  <si>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</si>
  <si>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</si>
  <si>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</si>
  <si>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</si>
  <si>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</si>
  <si>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</si>
  <si>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</si>
  <si>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</si>
  <si>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</si>
  <si>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</si>
  <si>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</si>
  <si>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</si>
  <si>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</si>
  <si>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</si>
  <si>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</si>
  <si>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</si>
  <si>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</si>
  <si>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</si>
  <si>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</si>
  <si>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</si>
  <si>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</si>
  <si>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</si>
  <si>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</si>
  <si>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</si>
  <si>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</si>
  <si>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</si>
  <si>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</si>
  <si>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</si>
  <si>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</si>
  <si>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</si>
  <si>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</si>
  <si>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</si>
  <si>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</si>
  <si>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</si>
  <si>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</si>
  <si>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</si>
  <si>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</si>
  <si>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</si>
  <si>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</si>
  <si>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</si>
  <si>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</si>
  <si>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</si>
  <si>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</si>
  <si>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</si>
  <si>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</si>
  <si>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</si>
  <si>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</si>
  <si>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</si>
  <si>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</si>
  <si>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</si>
  <si>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</si>
  <si>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</si>
  <si>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</si>
  <si>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</si>
  <si>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</si>
  <si>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</si>
  <si>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</si>
  <si>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</si>
  <si>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</si>
  <si>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</si>
  <si>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</si>
  <si>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</si>
  <si>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</si>
  <si>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</si>
  <si>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</si>
  <si>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</si>
  <si>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</si>
  <si>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</si>
  <si>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</si>
  <si>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</si>
  <si>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</si>
  <si>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</si>
  <si>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</si>
  <si>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</si>
  <si>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</si>
  <si>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</si>
  <si>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</si>
  <si>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</si>
  <si>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</si>
  <si>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</si>
  <si>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</si>
  <si>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</si>
  <si>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</si>
  <si>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</si>
  <si>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</si>
  <si>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</si>
  <si>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</si>
  <si>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</si>
  <si>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</si>
  <si>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</si>
  <si>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</si>
  <si>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</si>
  <si>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</si>
  <si>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</si>
  <si>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</si>
  <si>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</si>
  <si>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</si>
  <si>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</si>
  <si>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</si>
  <si>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</si>
  <si>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</si>
  <si>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</si>
  <si>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</si>
  <si>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</si>
  <si>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</si>
  <si>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</si>
  <si>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</si>
  <si>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</si>
  <si>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</si>
  <si>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</si>
  <si>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</si>
  <si>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</si>
  <si>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</si>
  <si>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</si>
  <si>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</si>
  <si>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</si>
  <si>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</si>
  <si>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</si>
  <si>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</si>
  <si>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</si>
  <si>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</si>
  <si>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</si>
  <si>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</si>
  <si>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</si>
  <si>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</si>
  <si>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</si>
  <si>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</si>
  <si>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</si>
  <si>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</si>
  <si>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</si>
  <si>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</si>
  <si>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</si>
  <si>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</si>
  <si>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</si>
  <si>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</si>
  <si>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</si>
  <si>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</si>
  <si>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</si>
  <si>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</si>
  <si>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</si>
  <si>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</si>
  <si>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</si>
  <si>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</si>
  <si>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</si>
  <si>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</si>
  <si>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</si>
  <si>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</si>
  <si>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</si>
  <si>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</si>
  <si>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</si>
  <si>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</si>
  <si>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</si>
  <si>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</si>
  <si>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</si>
  <si>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</si>
  <si>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</si>
  <si>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</si>
  <si>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</si>
  <si>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</si>
  <si>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</si>
  <si>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</si>
  <si>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</si>
  <si>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</si>
  <si>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</si>
  <si>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</si>
  <si>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</si>
  <si>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</si>
  <si>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</si>
  <si>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</si>
  <si>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</si>
  <si>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</si>
  <si>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</si>
  <si>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</si>
  <si>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</si>
  <si>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</si>
  <si>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</si>
  <si>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</si>
  <si>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</si>
  <si>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</si>
  <si>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</si>
  <si>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</si>
  <si>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</si>
  <si>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</si>
  <si>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</si>
  <si>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</si>
  <si>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</si>
  <si>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</si>
  <si>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</si>
  <si>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</si>
  <si>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</si>
  <si>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</si>
  <si>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</si>
  <si>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</si>
  <si>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</si>
  <si>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</si>
  <si>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</si>
  <si>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</si>
  <si>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</si>
  <si>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</si>
  <si>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</si>
  <si>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</si>
  <si>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</si>
  <si>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</si>
  <si>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</si>
  <si>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</si>
  <si>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</si>
  <si>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</si>
  <si>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</si>
  <si>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</si>
  <si>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</si>
  <si>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</si>
  <si>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</si>
  <si>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</si>
  <si>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</si>
  <si>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</si>
  <si>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</si>
  <si>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</si>
  <si>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</si>
  <si>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</si>
  <si>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</si>
  <si>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</si>
  <si>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</si>
  <si>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</si>
  <si>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</si>
  <si>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</si>
  <si>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</si>
  <si>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</si>
  <si>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</si>
  <si>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</si>
  <si>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</si>
  <si>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</si>
  <si>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</si>
  <si>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</si>
  <si>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</si>
  <si>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</si>
  <si>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</si>
  <si>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</si>
  <si>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</si>
  <si>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</si>
  <si>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</si>
  <si>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</si>
  <si>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</si>
  <si>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</si>
  <si>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</si>
  <si>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</si>
  <si>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</si>
  <si>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</si>
  <si>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</si>
  <si>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</si>
  <si>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</si>
  <si>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</si>
  <si>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</si>
  <si>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</si>
  <si>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</si>
  <si>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</si>
  <si>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</si>
  <si>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</si>
  <si>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</si>
  <si>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</si>
  <si>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</si>
  <si>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</si>
  <si>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</si>
  <si>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</si>
  <si>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</si>
  <si>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</si>
  <si>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</si>
  <si>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</si>
  <si>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</si>
  <si>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</si>
  <si>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</si>
  <si>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</si>
  <si>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</si>
  <si>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</si>
  <si>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</si>
  <si>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</si>
  <si>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</si>
  <si>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</si>
  <si>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</si>
  <si>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</si>
  <si>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</si>
  <si>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</si>
  <si>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</si>
  <si>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</si>
  <si>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</si>
  <si>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</si>
  <si>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</si>
  <si>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</si>
  <si>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</si>
  <si>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</si>
  <si>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</si>
  <si>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</si>
  <si>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</si>
  <si>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</si>
  <si>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</si>
  <si>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</si>
  <si>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</si>
  <si>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</si>
  <si>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</si>
  <si>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</si>
  <si>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</si>
  <si>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</si>
  <si>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</si>
  <si>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</si>
  <si>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</si>
  <si>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</si>
  <si>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</si>
  <si>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</si>
  <si>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</si>
  <si>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</si>
  <si>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</si>
  <si>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</si>
  <si>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</si>
  <si>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</si>
  <si>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</si>
  <si>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</si>
  <si>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</si>
  <si>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</si>
  <si>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</si>
  <si>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</si>
  <si>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</si>
  <si>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</si>
  <si>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</si>
  <si>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</si>
  <si>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</si>
  <si>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</si>
  <si>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</si>
  <si>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</si>
  <si>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</si>
  <si>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</si>
  <si>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</si>
  <si>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</si>
  <si>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</si>
  <si>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</si>
  <si>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</si>
  <si>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</si>
  <si>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</si>
  <si>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</si>
  <si>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</si>
  <si>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</si>
  <si>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</si>
  <si>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</si>
  <si>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</si>
  <si>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</si>
  <si>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</si>
  <si>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</si>
  <si>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</si>
  <si>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</si>
  <si>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</si>
  <si>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</si>
  <si>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</si>
  <si>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</si>
  <si>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</si>
  <si>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</si>
  <si>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</si>
  <si>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</si>
  <si>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</si>
  <si>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</si>
  <si>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</si>
  <si>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</si>
  <si>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</si>
  <si>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</si>
  <si>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</si>
  <si>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</si>
  <si>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</si>
  <si>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</si>
  <si>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</si>
  <si>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</si>
  <si>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</si>
  <si>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</si>
  <si>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</si>
  <si>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</si>
  <si>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</si>
  <si>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</si>
  <si>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</si>
  <si>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</si>
  <si>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</si>
  <si>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</si>
  <si>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</si>
  <si>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</si>
  <si>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</si>
  <si>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</si>
  <si>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</si>
  <si>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</si>
  <si>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</si>
  <si>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</si>
  <si>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</si>
  <si>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</si>
  <si>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</si>
  <si>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</si>
  <si>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</si>
  <si>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</si>
  <si>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</si>
  <si>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</si>
  <si>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</si>
  <si>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</si>
  <si>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</si>
  <si>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</si>
  <si>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</si>
  <si>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</si>
  <si>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</si>
  <si>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</si>
  <si>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</si>
  <si>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</si>
  <si>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</si>
  <si>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</si>
  <si>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</si>
  <si>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</si>
  <si>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</si>
  <si>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</si>
  <si>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</si>
  <si>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</si>
  <si>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</si>
  <si>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</si>
  <si>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</si>
  <si>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</si>
  <si>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</si>
  <si>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</si>
  <si>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</si>
  <si>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</si>
  <si>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</si>
  <si>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</si>
  <si>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</si>
  <si>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</si>
  <si>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</si>
  <si>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</si>
  <si>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</si>
  <si>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</si>
  <si>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</si>
  <si>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</si>
  <si>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</si>
  <si>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</si>
  <si>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</si>
  <si>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</si>
  <si>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</si>
  <si>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</si>
  <si>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</si>
  <si>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</si>
  <si>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</si>
  <si>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</si>
  <si>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</si>
  <si>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</si>
  <si>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</si>
  <si>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</si>
  <si>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</si>
  <si>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</si>
  <si>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</si>
  <si>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</si>
  <si>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</si>
  <si>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</si>
  <si>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</si>
  <si>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</si>
  <si>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</si>
  <si>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</si>
  <si>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</si>
  <si>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</si>
  <si>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</si>
  <si>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</si>
  <si>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</si>
  <si>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</si>
  <si>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</si>
  <si>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</si>
  <si>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</si>
  <si>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</si>
  <si>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</si>
  <si>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</si>
  <si>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</si>
  <si>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</si>
  <si>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</si>
  <si>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</si>
  <si>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</si>
  <si>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</si>
  <si>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</si>
  <si>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</si>
  <si>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</si>
  <si>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</si>
  <si>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</si>
  <si>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</si>
  <si>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</si>
  <si>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</si>
  <si>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</si>
  <si>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</si>
  <si>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</si>
  <si>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</si>
  <si>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</si>
  <si>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</si>
  <si>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</si>
  <si>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</si>
  <si>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</si>
  <si>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</si>
  <si>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</si>
  <si>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</si>
  <si>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</si>
  <si>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</si>
  <si>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</si>
  <si>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</si>
  <si>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</si>
  <si>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</si>
  <si>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</si>
  <si>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</si>
  <si>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</si>
  <si>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</si>
  <si>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</si>
  <si>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</si>
  <si>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</si>
  <si>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</si>
  <si>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</si>
  <si>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</si>
  <si>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</si>
  <si>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</si>
  <si>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</si>
  <si>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</si>
  <si>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</si>
  <si>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</si>
  <si>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</si>
  <si>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</si>
  <si>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</si>
  <si>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</si>
  <si>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</si>
  <si>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</si>
  <si>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</si>
  <si>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</si>
  <si>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</si>
  <si>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</si>
  <si>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</si>
  <si>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</si>
  <si>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</si>
  <si>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</si>
  <si>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</si>
  <si>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</si>
  <si>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</si>
  <si>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</si>
  <si>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</si>
  <si>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</si>
  <si>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</si>
  <si>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</si>
  <si>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</si>
  <si>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</si>
  <si>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</si>
  <si>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</si>
  <si>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</si>
  <si>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</si>
  <si>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</si>
  <si>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</si>
  <si>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</si>
  <si>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</si>
  <si>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</si>
  <si>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</si>
  <si>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</si>
  <si>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</si>
  <si>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</si>
  <si>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</si>
  <si>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</si>
  <si>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</si>
  <si>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</si>
  <si>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</si>
  <si>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</si>
  <si>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</si>
  <si>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</si>
  <si>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</si>
  <si>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</si>
  <si>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</si>
  <si>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</si>
  <si>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</si>
  <si>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</si>
  <si>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</si>
  <si>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</si>
  <si>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</si>
  <si>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</si>
  <si>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</si>
  <si>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</si>
  <si>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</si>
  <si>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</si>
  <si>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</si>
  <si>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</si>
  <si>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</si>
  <si>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</si>
  <si>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</si>
  <si>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</si>
  <si>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</si>
  <si>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</si>
  <si>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</si>
  <si>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</si>
  <si>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</si>
  <si>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</si>
  <si>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</si>
  <si>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</si>
  <si>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</si>
  <si>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</si>
  <si>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</si>
  <si>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</si>
  <si>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</si>
  <si>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</si>
  <si>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</si>
  <si>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</si>
  <si>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</si>
  <si>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</si>
  <si>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</si>
  <si>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</si>
  <si>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</si>
  <si>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</si>
  <si>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</si>
  <si>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</si>
  <si>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</si>
  <si>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</si>
  <si>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</si>
  <si>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</si>
  <si>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</si>
  <si>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</si>
  <si>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</si>
  <si>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</si>
  <si>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</si>
  <si>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</si>
  <si>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</si>
  <si>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</si>
  <si>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</si>
  <si>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</si>
  <si>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</si>
  <si>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</si>
  <si>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</si>
  <si>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</si>
  <si>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</si>
  <si>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</si>
  <si>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</si>
  <si>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</si>
  <si>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</si>
  <si>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</si>
  <si>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</si>
  <si>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</si>
  <si>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</si>
  <si>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</si>
  <si>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</si>
  <si>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</si>
  <si>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</si>
  <si>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</si>
  <si>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</si>
  <si>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</si>
  <si>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</si>
  <si>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</si>
  <si>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</si>
  <si>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</si>
  <si>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</si>
  <si>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</si>
  <si>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</si>
  <si>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</si>
  <si>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</si>
  <si>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</si>
  <si>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</si>
  <si>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</si>
  <si>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</si>
  <si>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</si>
  <si>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</si>
  <si>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</si>
  <si>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</si>
  <si>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</si>
  <si>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</si>
  <si>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</si>
  <si>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</si>
  <si>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</si>
  <si>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</si>
  <si>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</si>
  <si>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</si>
  <si>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</si>
  <si>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</si>
  <si>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</si>
  <si>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</si>
  <si>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</si>
  <si>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</si>
  <si>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</si>
  <si>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</si>
  <si>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</si>
  <si>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</si>
  <si>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</si>
  <si>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</si>
  <si>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</si>
  <si>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</si>
  <si>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</si>
  <si>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</si>
  <si>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</si>
  <si>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</si>
  <si>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</si>
  <si>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</si>
  <si>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</si>
  <si>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</si>
  <si>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</si>
  <si>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</si>
  <si>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</si>
  <si>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</si>
  <si>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</si>
  <si>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</si>
  <si>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</si>
  <si>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</si>
  <si>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</si>
  <si>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</si>
  <si>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</si>
  <si>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</si>
  <si>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</si>
  <si>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</si>
  <si>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</si>
  <si>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</si>
  <si>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</si>
  <si>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</si>
  <si>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</si>
  <si>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</si>
  <si>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</si>
  <si>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</si>
  <si>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</si>
  <si>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</si>
  <si>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</si>
  <si>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</si>
  <si>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</si>
  <si>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</si>
  <si>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</si>
  <si>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</si>
  <si>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</si>
  <si>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</si>
  <si>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</si>
  <si>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</si>
  <si>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</si>
  <si>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</si>
  <si>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</si>
  <si>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</si>
  <si>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</si>
  <si>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</si>
  <si>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</si>
  <si>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</si>
  <si>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</si>
  <si>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</si>
  <si>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</si>
  <si>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</si>
  <si>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</si>
  <si>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</si>
  <si>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</si>
  <si>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</si>
  <si>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</si>
  <si>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</si>
  <si>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</si>
  <si>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</si>
  <si>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</si>
  <si>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</si>
  <si>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</si>
  <si>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</si>
  <si>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</si>
  <si>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</si>
  <si>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</si>
  <si>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</si>
  <si>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</si>
  <si>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</si>
  <si>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</si>
  <si>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</si>
  <si>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</si>
  <si>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</si>
  <si>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</si>
  <si>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</si>
  <si>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</si>
  <si>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</si>
  <si>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</si>
  <si>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</si>
  <si>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</si>
  <si>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</si>
  <si>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</si>
  <si>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</si>
  <si>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</si>
  <si>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</si>
  <si>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</si>
  <si>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</si>
  <si>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</si>
  <si>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</si>
  <si>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</si>
  <si>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</si>
  <si>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</si>
  <si>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</si>
  <si>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</si>
  <si>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</si>
  <si>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</si>
  <si>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</si>
  <si>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</si>
  <si>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</si>
  <si>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</si>
  <si>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</si>
  <si>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</si>
  <si>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</si>
  <si>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</si>
  <si>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</si>
  <si>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</si>
  <si>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</si>
  <si>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</si>
  <si>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</si>
  <si>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</si>
  <si>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</si>
  <si>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</si>
  <si>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</si>
  <si>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</si>
  <si>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</si>
  <si>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</si>
  <si>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</si>
  <si>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</si>
  <si>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</si>
  <si>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</si>
  <si>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</si>
  <si>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</si>
  <si>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</si>
  <si>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</si>
  <si>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</si>
  <si>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</si>
  <si>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</si>
  <si>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</si>
  <si>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</si>
  <si>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</si>
  <si>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</si>
  <si>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</si>
  <si>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</si>
  <si>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</si>
  <si>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</si>
  <si>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</si>
  <si>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</si>
  <si>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</si>
  <si>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</si>
  <si>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</si>
  <si>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</si>
  <si>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</si>
  <si>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</si>
  <si>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</si>
  <si>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</si>
  <si>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</si>
  <si>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</si>
  <si>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</si>
  <si>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</si>
  <si>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</si>
  <si>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</si>
  <si>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</si>
  <si>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</si>
  <si>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</si>
  <si>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</si>
  <si>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</si>
  <si>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</si>
  <si>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</si>
  <si>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</si>
  <si>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</si>
  <si>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</si>
  <si>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</si>
  <si>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</si>
  <si>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</si>
  <si>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</si>
  <si>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</si>
  <si>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</si>
  <si>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</si>
  <si>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</si>
  <si>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</si>
  <si>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</si>
  <si>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</si>
  <si>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</si>
  <si>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</si>
  <si>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</si>
  <si>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</si>
  <si>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</si>
  <si>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</si>
  <si>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</si>
  <si>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</si>
  <si>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</si>
  <si>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</si>
  <si>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</si>
  <si>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</si>
  <si>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</si>
  <si>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</si>
  <si>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</si>
  <si>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</si>
  <si>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</si>
  <si>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</si>
  <si>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</si>
  <si>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</si>
  <si>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</si>
  <si>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</si>
  <si>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</si>
  <si>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</si>
  <si>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</si>
  <si>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</si>
  <si>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</si>
  <si>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</si>
  <si>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</si>
  <si>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</si>
  <si>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</si>
  <si>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</si>
  <si>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</si>
  <si>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</si>
  <si>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</si>
  <si>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</si>
  <si>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</si>
  <si>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</si>
  <si>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</si>
  <si>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</si>
  <si>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</si>
  <si>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</si>
  <si>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</si>
  <si>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</si>
  <si>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</si>
  <si>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</si>
  <si>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</si>
  <si>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</si>
  <si>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</si>
  <si>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</si>
  <si>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</si>
  <si>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</si>
  <si>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</si>
  <si>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</si>
  <si>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</si>
  <si>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</si>
  <si>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</si>
  <si>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</si>
  <si>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</si>
  <si>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</si>
  <si>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</si>
  <si>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</si>
  <si>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</si>
  <si>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</si>
  <si>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</si>
  <si>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</si>
  <si>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</si>
  <si>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</si>
  <si>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</si>
  <si>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</si>
  <si>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</si>
  <si>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</si>
  <si>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</si>
  <si>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</si>
  <si>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</si>
  <si>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</si>
  <si>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</si>
  <si>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</si>
  <si>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</si>
  <si>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</si>
  <si>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</si>
  <si>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</si>
  <si>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</si>
  <si>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</si>
  <si>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</si>
  <si>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</si>
  <si>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</si>
  <si>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</si>
  <si>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</si>
  <si>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</si>
  <si>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</si>
  <si>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</si>
  <si>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</si>
  <si>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</si>
  <si>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</si>
  <si>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</si>
  <si>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</si>
  <si>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</si>
  <si>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</si>
  <si>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</si>
  <si>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</si>
  <si>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</si>
  <si>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</si>
  <si>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</si>
  <si>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</si>
  <si>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</si>
  <si>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</si>
  <si>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</si>
  <si>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</si>
  <si>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</si>
  <si>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</si>
  <si>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</si>
  <si>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</si>
  <si>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</si>
  <si>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</si>
  <si>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</si>
  <si>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</si>
  <si>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</si>
  <si>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</si>
  <si>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</si>
  <si>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</si>
  <si>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</si>
  <si>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</si>
  <si>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</si>
  <si>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</si>
  <si>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</si>
  <si>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</si>
  <si>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</si>
  <si>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</si>
  <si>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</si>
  <si>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</si>
  <si>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</si>
  <si>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</si>
  <si>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</si>
  <si>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</si>
  <si>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</si>
  <si>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</si>
  <si>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</si>
  <si>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</si>
  <si>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</si>
  <si>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</si>
  <si>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</si>
  <si>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</si>
  <si>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</si>
  <si>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</si>
  <si>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</si>
  <si>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</si>
  <si>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</si>
  <si>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</si>
  <si>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</si>
  <si>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</si>
  <si>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</si>
  <si>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</si>
  <si>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</si>
  <si>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</si>
  <si>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</si>
  <si>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</si>
  <si>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</si>
  <si>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</si>
  <si>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</si>
  <si>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</si>
  <si>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</si>
  <si>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</si>
  <si>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</si>
  <si>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</si>
  <si>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</si>
  <si>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</si>
  <si>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</si>
  <si>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</si>
  <si>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</si>
  <si>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</si>
  <si>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</si>
  <si>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</si>
  <si>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</si>
  <si>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</si>
  <si>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</si>
  <si>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</si>
  <si>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</si>
  <si>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</si>
  <si>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</si>
  <si>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</si>
  <si>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</si>
  <si>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</si>
  <si>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</si>
  <si>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</si>
  <si>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</si>
  <si>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</si>
  <si>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</si>
  <si>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</si>
  <si>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</si>
  <si>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</si>
  <si>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</si>
  <si>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</si>
  <si>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</si>
  <si>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</si>
  <si>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</si>
  <si>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</si>
  <si>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</si>
  <si>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</si>
  <si>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</si>
  <si>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</si>
  <si>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</si>
  <si>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</si>
  <si>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</si>
  <si>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</si>
  <si>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</si>
  <si>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</si>
  <si>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</si>
  <si>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</si>
  <si>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</si>
  <si>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</si>
  <si>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</si>
  <si>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</si>
  <si>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</si>
  <si>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</si>
  <si>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</si>
  <si>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</si>
  <si>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</si>
  <si>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</si>
  <si>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</si>
  <si>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</si>
  <si>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</si>
  <si>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</si>
  <si>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</si>
  <si>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</si>
  <si>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</si>
  <si>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</si>
  <si>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</si>
  <si>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</si>
  <si>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</si>
  <si>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</si>
  <si>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</si>
  <si>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</si>
  <si>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</si>
  <si>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</si>
  <si>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</si>
  <si>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</si>
  <si>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</si>
  <si>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</si>
  <si>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</si>
  <si>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</si>
  <si>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</si>
  <si>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</si>
  <si>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</si>
  <si>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</si>
  <si>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</si>
  <si>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</si>
  <si>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</si>
  <si>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</si>
  <si>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</si>
  <si>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</si>
  <si>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</si>
  <si>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</si>
  <si>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</si>
  <si>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</si>
  <si>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</si>
  <si>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</si>
  <si>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</si>
  <si>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</si>
  <si>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</si>
  <si>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</si>
  <si>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</si>
  <si>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</si>
  <si>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</si>
  <si>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</si>
  <si>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</si>
  <si>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</si>
  <si>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</si>
  <si>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</si>
  <si>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</si>
  <si>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</si>
  <si>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</si>
  <si>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</si>
  <si>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</si>
  <si>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</si>
  <si>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</si>
  <si>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</si>
  <si>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</si>
  <si>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</si>
  <si>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</si>
  <si>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</si>
  <si>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</si>
  <si>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</si>
  <si>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</si>
  <si>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</si>
  <si>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</si>
  <si>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</si>
  <si>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</si>
  <si>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</si>
  <si>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</si>
  <si>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</si>
  <si>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</si>
  <si>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</si>
  <si>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</si>
  <si>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</si>
  <si>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</si>
  <si>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</si>
  <si>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</si>
  <si>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</si>
  <si>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</si>
  <si>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</si>
  <si>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</si>
  <si>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</si>
  <si>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</si>
  <si>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</si>
  <si>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</si>
  <si>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</si>
  <si>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</si>
  <si>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</si>
  <si>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</si>
  <si>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</si>
  <si>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</si>
  <si>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</si>
  <si>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</si>
  <si>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</si>
  <si>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</si>
  <si>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</si>
  <si>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</si>
  <si>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</si>
  <si>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</si>
  <si>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</si>
  <si>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</si>
  <si>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</si>
  <si>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</si>
  <si>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</si>
  <si>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</si>
  <si>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</si>
  <si>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</si>
  <si>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</si>
  <si>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</si>
  <si>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</si>
  <si>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</si>
  <si>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</si>
  <si>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</si>
  <si>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</si>
  <si>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</si>
  <si>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</si>
  <si>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</si>
  <si>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</si>
  <si>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</si>
  <si>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</si>
  <si>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</si>
  <si>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</si>
  <si>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</si>
  <si>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</si>
  <si>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</si>
  <si>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</si>
  <si>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</si>
  <si>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</si>
  <si>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</si>
  <si>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</si>
  <si>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</si>
  <si>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</si>
  <si>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</si>
  <si>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</si>
  <si>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</si>
  <si>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</si>
  <si>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</si>
  <si>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</si>
  <si>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</si>
  <si>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</si>
  <si>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</si>
  <si>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</si>
  <si>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</si>
  <si>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</si>
  <si>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</si>
  <si>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</si>
  <si>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</si>
  <si>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</si>
  <si>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</si>
  <si>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</si>
  <si>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</si>
  <si>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</si>
  <si>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</si>
  <si>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</si>
  <si>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</si>
  <si>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</si>
  <si>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</si>
  <si>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</si>
  <si>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</si>
  <si>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</si>
  <si>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</si>
  <si>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</si>
  <si>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</si>
  <si>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</si>
  <si>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</si>
  <si>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</si>
  <si>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</si>
  <si>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</si>
  <si>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</si>
  <si>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</si>
  <si>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</si>
  <si>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</si>
  <si>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</si>
  <si>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</si>
  <si>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</si>
  <si>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</si>
  <si>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</si>
  <si>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</si>
  <si>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</si>
  <si>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</si>
  <si>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</si>
  <si>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</si>
  <si>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</si>
  <si>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</si>
  <si>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</si>
  <si>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</si>
  <si>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</si>
  <si>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</si>
  <si>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</si>
  <si>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</si>
  <si>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</si>
  <si>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</si>
  <si>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</si>
  <si>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</si>
  <si>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</si>
  <si>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</si>
  <si>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</si>
  <si>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</si>
  <si>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</si>
  <si>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</si>
  <si>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</si>
  <si>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</si>
  <si>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</si>
  <si>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</si>
  <si>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</si>
  <si>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</si>
  <si>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</si>
  <si>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</si>
  <si>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</si>
  <si>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</si>
  <si>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</si>
  <si>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</si>
  <si>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</si>
  <si>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</si>
  <si>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</si>
  <si>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</si>
  <si>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</si>
  <si>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</si>
  <si>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</si>
  <si>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</si>
  <si>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</si>
  <si>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</si>
  <si>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</si>
  <si>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</si>
  <si>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</si>
  <si>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</si>
  <si>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</si>
  <si>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</si>
  <si>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</si>
  <si>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</si>
  <si>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</si>
  <si>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</si>
  <si>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</si>
  <si>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</si>
  <si>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</si>
  <si>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</si>
  <si>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</si>
  <si>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</si>
  <si>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</si>
  <si>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</si>
  <si>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</si>
  <si>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</si>
  <si>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</si>
  <si>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</si>
  <si>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</si>
  <si>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</si>
  <si>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</si>
  <si>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</si>
  <si>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</si>
  <si>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</si>
  <si>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</si>
  <si>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</si>
  <si>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</si>
  <si>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</si>
  <si>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</si>
  <si>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</si>
  <si>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</si>
  <si>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</si>
  <si>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</si>
  <si>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</si>
  <si>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</si>
  <si>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</si>
  <si>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</si>
  <si>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</si>
  <si>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</si>
  <si>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</si>
  <si>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</si>
  <si>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</si>
  <si>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</si>
  <si>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</si>
  <si>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</si>
  <si>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</si>
  <si>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</si>
  <si>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</si>
  <si>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</si>
  <si>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</si>
  <si>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</si>
  <si>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</si>
  <si>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</si>
  <si>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</si>
  <si>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</si>
  <si>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</si>
  <si>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</si>
  <si>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</si>
  <si>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</si>
  <si>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</si>
  <si>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</si>
  <si>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</si>
  <si>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</si>
  <si>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</si>
  <si>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</si>
  <si>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</si>
  <si>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</si>
  <si>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</si>
  <si>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</si>
  <si>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</si>
  <si>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</si>
  <si>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</si>
  <si>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</si>
  <si>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</si>
  <si>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</si>
  <si>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</si>
  <si>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</si>
  <si>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</si>
  <si>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</si>
  <si>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</si>
  <si>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</si>
  <si>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</si>
  <si>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</si>
  <si>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</si>
  <si>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</si>
  <si>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</si>
  <si>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</si>
  <si>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</si>
  <si>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</si>
  <si>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</si>
  <si>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</si>
  <si>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</si>
  <si>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</si>
  <si>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</si>
  <si>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</si>
  <si>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</si>
  <si>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</si>
  <si>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</si>
  <si>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</si>
  <si>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</si>
  <si>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</si>
  <si>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</si>
  <si>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</si>
  <si>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</si>
  <si>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</si>
  <si>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</si>
  <si>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</si>
  <si>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</si>
  <si>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</si>
  <si>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</si>
  <si>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</si>
  <si>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</si>
  <si>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</si>
  <si>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</si>
  <si>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</si>
  <si>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</si>
  <si>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</si>
  <si>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</si>
  <si>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</si>
  <si>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</si>
  <si>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</si>
  <si>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</si>
  <si>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</si>
  <si>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</si>
  <si>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</si>
  <si>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</si>
  <si>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</si>
  <si>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</si>
  <si>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</si>
  <si>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</si>
  <si>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</si>
  <si>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</si>
  <si>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</si>
  <si>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</si>
  <si>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</si>
  <si>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</si>
  <si>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</si>
  <si>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</si>
  <si>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</si>
  <si>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</si>
  <si>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</si>
  <si>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</si>
  <si>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</si>
  <si>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</si>
  <si>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</si>
  <si>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</si>
  <si>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</si>
  <si>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</si>
  <si>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</si>
  <si>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</si>
  <si>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</si>
  <si>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</si>
  <si>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</si>
  <si>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</si>
  <si>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</si>
  <si>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</si>
  <si>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</si>
  <si>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</si>
  <si>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</si>
  <si>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</si>
  <si>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</si>
  <si>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</si>
  <si>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</si>
  <si>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</si>
  <si>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</si>
  <si>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</si>
  <si>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</si>
  <si>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</si>
  <si>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</si>
  <si>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</si>
  <si>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</si>
  <si>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</si>
  <si>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</si>
  <si>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</si>
  <si>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</si>
  <si>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</si>
  <si>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</si>
  <si>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</si>
  <si>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</si>
  <si>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</si>
  <si>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</si>
  <si>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</si>
  <si>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</si>
  <si>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</si>
  <si>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</si>
  <si>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</si>
  <si>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</si>
  <si>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</si>
  <si>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</si>
  <si>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</si>
  <si>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</si>
  <si>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</si>
  <si>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</si>
  <si>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</si>
  <si>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</si>
  <si>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</si>
  <si>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</si>
  <si>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</si>
  <si>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</si>
  <si>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</si>
  <si>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</si>
  <si>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</si>
  <si>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</si>
  <si>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</si>
  <si>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</si>
  <si>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</si>
  <si>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</si>
  <si>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</si>
  <si>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</si>
  <si>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</si>
  <si>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</si>
  <si>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</si>
  <si>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</si>
  <si>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</si>
  <si>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</si>
  <si>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</si>
  <si>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</si>
  <si>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</si>
  <si>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</si>
  <si>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</si>
  <si>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</si>
  <si>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</si>
  <si>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</si>
  <si>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</si>
  <si>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</si>
  <si>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</si>
  <si>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</si>
  <si>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</si>
  <si>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</si>
  <si>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</si>
  <si>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</si>
  <si>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</si>
  <si>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</si>
  <si>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</si>
  <si>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</si>
  <si>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</si>
  <si>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</si>
  <si>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</si>
  <si>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</si>
  <si>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</si>
  <si>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</si>
  <si>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</si>
  <si>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</si>
  <si>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</si>
  <si>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</si>
  <si>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</si>
  <si>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</si>
  <si>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</si>
  <si>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</si>
  <si>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</si>
  <si>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</si>
  <si>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</si>
  <si>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</si>
  <si>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</si>
  <si>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</si>
  <si>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</si>
  <si>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</si>
  <si>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</si>
  <si>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</si>
  <si>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</si>
  <si>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</si>
  <si>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</si>
  <si>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</si>
  <si>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</si>
  <si>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</si>
  <si>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</si>
  <si>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</si>
  <si>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</si>
  <si>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</si>
  <si>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</si>
  <si>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</si>
  <si>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</si>
  <si>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</si>
  <si>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</si>
  <si>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</si>
  <si>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</si>
  <si>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</si>
  <si>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</si>
  <si>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</si>
  <si>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</si>
  <si>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</si>
  <si>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</si>
  <si>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</si>
  <si>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</si>
  <si>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</si>
  <si>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</si>
  <si>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</si>
  <si>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</si>
  <si>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</si>
  <si>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</si>
  <si>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</si>
  <si>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</si>
  <si>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</si>
  <si>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</si>
  <si>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</si>
  <si>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</si>
  <si>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</si>
  <si>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</si>
  <si>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</si>
  <si>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</si>
  <si>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</si>
  <si>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</si>
  <si>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</si>
  <si>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</si>
  <si>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</si>
  <si>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</si>
  <si>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</si>
  <si>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</si>
  <si>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</si>
  <si>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</si>
  <si>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</si>
  <si>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</si>
  <si>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</si>
  <si>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</si>
  <si>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</si>
  <si>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</si>
  <si>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</si>
  <si>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</si>
  <si>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</si>
  <si>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</si>
  <si>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</si>
  <si>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</si>
  <si>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</si>
  <si>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</si>
  <si>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</si>
  <si>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</si>
  <si>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</si>
  <si>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</si>
  <si>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</si>
  <si>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</si>
  <si>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</si>
  <si>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</si>
  <si>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</si>
  <si>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</si>
  <si>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</si>
  <si>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</si>
  <si>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</si>
  <si>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</si>
  <si>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</si>
  <si>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</si>
  <si>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</si>
  <si>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</si>
  <si>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</si>
  <si>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</si>
  <si>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</si>
  <si>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</si>
  <si>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</si>
  <si>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</si>
  <si>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</si>
  <si>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</si>
  <si>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</si>
  <si>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</si>
  <si>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</si>
  <si>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</si>
  <si>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</si>
  <si>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</si>
  <si>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</si>
  <si>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</si>
  <si>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</si>
  <si>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</si>
  <si>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</si>
  <si>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</si>
  <si>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</si>
  <si>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</si>
  <si>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</si>
  <si>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</si>
  <si>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</si>
  <si>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</si>
  <si>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</si>
  <si>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</si>
  <si>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</si>
  <si>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</si>
  <si>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</si>
  <si>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</si>
  <si>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</si>
  <si>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</si>
  <si>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</si>
  <si>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</si>
  <si>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</si>
  <si>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</si>
  <si>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</si>
  <si>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</si>
  <si>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</si>
  <si>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</si>
  <si>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</si>
  <si>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</si>
  <si>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</si>
  <si>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</si>
  <si>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</si>
  <si>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</si>
  <si>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</si>
  <si>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</si>
  <si>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</si>
  <si>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</si>
  <si>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</si>
  <si>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</si>
  <si>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</si>
  <si>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</si>
  <si>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</si>
  <si>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</si>
  <si>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</si>
  <si>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</si>
  <si>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</si>
  <si>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</si>
  <si>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</si>
  <si>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</si>
  <si>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</si>
  <si>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</si>
  <si>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</si>
  <si>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</si>
  <si>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</si>
  <si>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</si>
  <si>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</si>
  <si>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</si>
  <si>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</si>
  <si>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</si>
  <si>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</si>
  <si>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</si>
  <si>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</si>
  <si>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</si>
  <si>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</si>
  <si>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</si>
  <si>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</si>
  <si>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</si>
  <si>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</si>
  <si>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</si>
  <si>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</si>
  <si>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</si>
  <si>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</si>
  <si>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</si>
  <si>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</si>
  <si>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</si>
  <si>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</si>
  <si>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</si>
  <si>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</si>
  <si>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</si>
  <si>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</si>
  <si>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</si>
  <si>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</si>
  <si>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</si>
  <si>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</si>
  <si>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</si>
  <si>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</si>
  <si>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</si>
  <si>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</si>
  <si>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</si>
  <si>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</si>
  <si>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</si>
  <si>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</si>
  <si>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</si>
  <si>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</si>
  <si>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</si>
  <si>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</si>
  <si>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</si>
  <si>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</si>
  <si>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</si>
  <si>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</si>
  <si>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</si>
  <si>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</si>
  <si>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</si>
  <si>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</si>
  <si>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</si>
  <si>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</si>
  <si>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</si>
  <si>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</si>
  <si>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</si>
  <si>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</si>
  <si>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</si>
  <si>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</si>
  <si>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</si>
  <si>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</si>
  <si>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</si>
  <si>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</si>
  <si>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</si>
  <si>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</si>
  <si>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</si>
  <si>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</si>
  <si>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</si>
  <si>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</si>
  <si>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</si>
  <si>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</si>
  <si>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</si>
  <si>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</si>
  <si>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</si>
  <si>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</si>
  <si>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</si>
  <si>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</si>
  <si>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</si>
  <si>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</si>
  <si>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</si>
  <si>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</si>
  <si>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</si>
  <si>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</si>
  <si>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</si>
  <si>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</si>
  <si>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</si>
  <si>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</si>
  <si>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</si>
  <si>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</si>
  <si>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</si>
  <si>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</si>
  <si>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</si>
  <si>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</si>
  <si>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</si>
  <si>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</si>
  <si>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</si>
  <si>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</si>
  <si>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</si>
  <si>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</si>
  <si>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</si>
  <si>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</si>
  <si>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</si>
  <si>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</si>
  <si>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</si>
  <si>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</si>
  <si>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</si>
  <si>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</si>
  <si>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</si>
  <si>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</si>
  <si>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</si>
  <si>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</si>
  <si>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</si>
  <si>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</si>
  <si>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</si>
  <si>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</si>
  <si>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</si>
  <si>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</si>
  <si>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</si>
  <si>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</si>
  <si>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</si>
  <si>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</si>
  <si>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</si>
  <si>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</si>
  <si>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</si>
  <si>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</si>
  <si>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</si>
  <si>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</si>
  <si>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</si>
  <si>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</si>
  <si>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</si>
  <si>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</si>
  <si>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</si>
  <si>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</si>
  <si>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</si>
  <si>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</si>
  <si>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</si>
  <si>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</si>
  <si>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</si>
  <si>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</si>
  <si>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</si>
  <si>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</si>
  <si>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</si>
  <si>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</si>
  <si>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</si>
  <si>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</si>
  <si>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</si>
  <si>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</si>
  <si>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</si>
  <si>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</si>
  <si>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</si>
  <si>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</si>
  <si>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</si>
  <si>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</si>
  <si>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</si>
  <si>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</si>
  <si>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</si>
  <si>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</si>
  <si>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</si>
  <si>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</si>
  <si>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</si>
  <si>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</si>
  <si>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</si>
  <si>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</si>
  <si>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</si>
  <si>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</si>
  <si>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</si>
  <si>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</si>
  <si>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</si>
  <si>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</si>
  <si>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</si>
  <si>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</si>
  <si>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</si>
  <si>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</si>
  <si>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</si>
  <si>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</si>
  <si>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</si>
  <si>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</si>
  <si>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</si>
  <si>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</si>
  <si>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</si>
  <si>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</si>
  <si>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</si>
  <si>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</si>
  <si>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</si>
  <si>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</si>
  <si>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</si>
  <si>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</si>
  <si>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</si>
  <si>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</si>
  <si>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</si>
  <si>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</si>
  <si>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</si>
  <si>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</si>
  <si>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</si>
  <si>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</si>
  <si>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</si>
  <si>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</si>
  <si>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</si>
  <si>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</si>
  <si>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</si>
  <si>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</si>
  <si>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</si>
  <si>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</si>
  <si>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</si>
  <si>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</si>
  <si>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</si>
  <si>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</si>
  <si>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</si>
  <si>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</si>
  <si>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</si>
  <si>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</si>
  <si>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</si>
  <si>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</si>
  <si>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</si>
  <si>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</si>
  <si>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</si>
  <si>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</si>
  <si>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</si>
  <si>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</si>
  <si>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</si>
  <si>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</si>
  <si>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</si>
  <si>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</si>
  <si>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</si>
  <si>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</si>
  <si>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</si>
  <si>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</si>
  <si>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</si>
  <si>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</si>
  <si>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</si>
  <si>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</si>
  <si>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</si>
  <si>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</si>
  <si>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</si>
  <si>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</si>
  <si>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</si>
  <si>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</si>
  <si>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</si>
  <si>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</si>
  <si>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</si>
  <si>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</si>
  <si>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</si>
  <si>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</si>
  <si>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</si>
  <si>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</si>
  <si>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</si>
  <si>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</si>
  <si>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</si>
  <si>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</si>
  <si>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</si>
  <si>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</si>
  <si>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</si>
  <si>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</si>
  <si>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</si>
  <si>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</si>
  <si>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</si>
  <si>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</si>
  <si>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</si>
  <si>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</si>
  <si>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</si>
  <si>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</si>
  <si>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</si>
  <si>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</si>
  <si>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</si>
  <si>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</si>
  <si>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</si>
  <si>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</si>
  <si>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</si>
  <si>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</si>
  <si>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</si>
  <si>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</si>
  <si>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</si>
  <si>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</si>
  <si>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</si>
  <si>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</si>
  <si>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</si>
  <si>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</si>
  <si>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</si>
  <si>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</si>
  <si>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</si>
  <si>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</si>
  <si>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</si>
  <si>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</si>
  <si>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</si>
  <si>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</si>
  <si>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</si>
  <si>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</si>
  <si>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</si>
  <si>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</si>
  <si>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</si>
  <si>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</si>
  <si>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</si>
  <si>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</si>
  <si>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</si>
  <si>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</si>
  <si>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</si>
  <si>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</si>
  <si>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</si>
  <si>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</si>
  <si>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</si>
  <si>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</si>
  <si>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</si>
  <si>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</si>
  <si>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</si>
  <si>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</si>
  <si>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</si>
  <si>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</si>
  <si>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</si>
  <si>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</si>
  <si>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</si>
  <si>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</si>
  <si>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</si>
  <si>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</si>
  <si>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</si>
  <si>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</si>
  <si>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</si>
  <si>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</si>
  <si>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</si>
  <si>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</si>
  <si>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</si>
  <si>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</si>
  <si>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</si>
  <si>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</si>
  <si>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</si>
  <si>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</si>
  <si>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</si>
  <si>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</si>
  <si>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</si>
  <si>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</si>
  <si>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</si>
  <si>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</si>
  <si>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</si>
  <si>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</si>
  <si>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</si>
  <si>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</si>
  <si>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</si>
  <si>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</si>
  <si>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</si>
  <si>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</si>
  <si>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</si>
  <si>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</si>
  <si>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</si>
  <si>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</si>
  <si>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</si>
  <si>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</si>
  <si>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</si>
  <si>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</si>
  <si>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</si>
  <si>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</si>
  <si>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</si>
  <si>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</si>
  <si>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</si>
  <si>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</si>
  <si>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</si>
  <si>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</si>
  <si>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</si>
  <si>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</si>
  <si>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</si>
  <si>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</si>
  <si>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</si>
  <si>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</si>
  <si>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</si>
  <si>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</si>
  <si>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</si>
  <si>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</si>
  <si>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</si>
  <si>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</si>
  <si>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</si>
  <si>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</si>
  <si>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</si>
  <si>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</si>
  <si>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</si>
  <si>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</si>
  <si>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</si>
  <si>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</si>
  <si>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</si>
  <si>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</si>
  <si>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</si>
  <si>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</si>
  <si>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</si>
  <si>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</si>
  <si>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</si>
  <si>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</si>
  <si>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</si>
  <si>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</si>
  <si>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</si>
  <si>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</si>
  <si>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</si>
  <si>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</si>
  <si>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</si>
  <si>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</si>
  <si>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</si>
  <si>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</si>
  <si>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</si>
  <si>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</si>
  <si>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</si>
  <si>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</si>
  <si>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</si>
  <si>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</si>
  <si>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</si>
  <si>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</si>
  <si>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</si>
  <si>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</si>
  <si>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</si>
  <si>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</si>
  <si>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</si>
  <si>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</si>
  <si>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</si>
  <si>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</si>
  <si>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</si>
  <si>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</si>
  <si>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</si>
  <si>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</si>
  <si>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</si>
  <si>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</si>
  <si>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</si>
  <si>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</si>
  <si>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</si>
  <si>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</si>
  <si>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</si>
  <si>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</si>
  <si>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</si>
  <si>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</si>
  <si>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</si>
  <si>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</si>
  <si>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</si>
  <si>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</si>
  <si>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</si>
  <si>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</si>
  <si>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</si>
  <si>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</si>
  <si>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</si>
  <si>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</si>
  <si>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</si>
  <si>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</si>
  <si>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</si>
  <si>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</si>
  <si>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</si>
  <si>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</si>
  <si>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</si>
  <si>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</si>
  <si>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</si>
  <si>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</si>
  <si>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</si>
  <si>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</si>
  <si>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</si>
  <si>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</si>
  <si>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</si>
  <si>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</si>
  <si>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</si>
  <si>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</si>
  <si>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</si>
  <si>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</si>
  <si>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</si>
  <si>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</si>
  <si>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</si>
  <si>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</si>
  <si>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</si>
  <si>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</si>
  <si>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</si>
  <si>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</si>
  <si>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</si>
  <si>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</si>
  <si>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</si>
  <si>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</si>
  <si>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</si>
  <si>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</si>
  <si>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</si>
  <si>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</si>
  <si>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</si>
  <si>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</si>
  <si>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</si>
  <si>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</si>
  <si>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</si>
  <si>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</si>
  <si>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</si>
  <si>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</si>
  <si>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</si>
  <si>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</si>
  <si>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</si>
  <si>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</si>
  <si>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</si>
  <si>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</si>
  <si>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</si>
  <si>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</si>
  <si>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</si>
  <si>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</si>
  <si>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</si>
  <si>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</si>
  <si>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</si>
  <si>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</si>
  <si>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</si>
  <si>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</si>
  <si>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</si>
  <si>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</si>
  <si>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</si>
  <si>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</si>
  <si>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</si>
  <si>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</si>
  <si>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</si>
  <si>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</si>
  <si>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</si>
  <si>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</si>
  <si>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</si>
  <si>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</si>
  <si>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</si>
  <si>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</si>
  <si>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</si>
  <si>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</si>
  <si>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</si>
  <si>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</si>
  <si>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</si>
  <si>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</si>
  <si>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</si>
  <si>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</si>
  <si>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</si>
  <si>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</si>
  <si>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</si>
  <si>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</si>
  <si>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</si>
  <si>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</si>
  <si>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</si>
  <si>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</si>
  <si>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</si>
  <si>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</si>
  <si>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</si>
  <si>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</si>
  <si>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</si>
  <si>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</si>
  <si>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</si>
  <si>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</si>
  <si>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</si>
  <si>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</si>
  <si>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</si>
  <si>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</si>
  <si>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</si>
  <si>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</si>
  <si>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</si>
  <si>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</si>
  <si>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</si>
  <si>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</si>
  <si>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</si>
  <si>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</si>
  <si>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</si>
  <si>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</si>
  <si>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</si>
  <si>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</si>
  <si>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</si>
  <si>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</si>
  <si>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</si>
  <si>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</si>
  <si>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</si>
  <si>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</si>
  <si>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</si>
  <si>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</si>
  <si>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</si>
  <si>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</si>
  <si>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</si>
  <si>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</si>
  <si>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</si>
  <si>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</si>
  <si>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</si>
  <si>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</si>
  <si>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</si>
  <si>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</si>
  <si>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</si>
  <si>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</si>
  <si>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</si>
  <si>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</si>
  <si>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</si>
  <si>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</si>
  <si>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</si>
  <si>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</si>
  <si>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</si>
  <si>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</si>
  <si>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</si>
  <si>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</si>
  <si>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</si>
  <si>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</si>
  <si>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</si>
  <si>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</si>
  <si>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</si>
  <si>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</si>
  <si>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</si>
  <si>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</si>
  <si>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</si>
  <si>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</si>
  <si>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</si>
  <si>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</si>
  <si>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</si>
  <si>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</si>
  <si>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</si>
  <si>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</si>
  <si>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</si>
  <si>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</si>
  <si>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</si>
  <si>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</si>
  <si>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</si>
  <si>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</si>
  <si>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</si>
  <si>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</si>
  <si>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</si>
  <si>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</si>
  <si>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</si>
  <si>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</si>
  <si>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</si>
  <si>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</si>
  <si>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</si>
  <si>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</si>
  <si>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</si>
  <si>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</si>
  <si>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</si>
  <si>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</si>
  <si>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</si>
  <si>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</si>
  <si>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</si>
  <si>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</si>
  <si>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</si>
  <si>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</si>
  <si>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</si>
  <si>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</si>
  <si>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</si>
  <si>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</si>
  <si>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</si>
  <si>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</si>
  <si>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</si>
  <si>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</si>
  <si>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</si>
  <si>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</si>
  <si>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</si>
  <si>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</si>
  <si>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</si>
  <si>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</si>
  <si>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</si>
  <si>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</si>
  <si>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</si>
  <si>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</si>
  <si>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</si>
  <si>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</si>
  <si>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</si>
  <si>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</si>
  <si>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</si>
  <si>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</si>
  <si>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</si>
  <si>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</si>
  <si>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</si>
  <si>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</si>
  <si>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</si>
  <si>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</si>
  <si>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</si>
  <si>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</si>
  <si>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</si>
  <si>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</si>
  <si>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</si>
  <si>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</si>
  <si>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</si>
  <si>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</si>
  <si>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</si>
  <si>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</si>
  <si>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</si>
  <si>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</si>
  <si>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</si>
  <si>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</si>
  <si>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</si>
  <si>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</si>
  <si>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</si>
  <si>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</si>
  <si>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</si>
  <si>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</si>
  <si>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</si>
  <si>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</si>
  <si>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</si>
  <si>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</si>
  <si>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</si>
  <si>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</si>
  <si>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</si>
  <si>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</si>
  <si>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</si>
  <si>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</si>
  <si>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</si>
  <si>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</si>
  <si>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</si>
  <si>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</si>
  <si>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</si>
  <si>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</si>
  <si>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</si>
  <si>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</si>
  <si>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</si>
  <si>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</si>
  <si>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</si>
  <si>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</si>
  <si>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</si>
  <si>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</si>
  <si>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</si>
  <si>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</si>
  <si>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</si>
  <si>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</si>
  <si>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</si>
  <si>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</si>
  <si>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</si>
  <si>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</si>
  <si>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</si>
  <si>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</si>
  <si>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</si>
  <si>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</si>
  <si>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</si>
  <si>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</si>
  <si>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</si>
  <si>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</si>
  <si>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</si>
  <si>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</si>
  <si>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</si>
  <si>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</si>
  <si>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</si>
  <si>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</si>
  <si>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</si>
  <si>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</si>
  <si>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</si>
  <si>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</si>
  <si>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</si>
  <si>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</si>
  <si>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</si>
  <si>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</si>
  <si>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</si>
  <si>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</si>
  <si>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</si>
  <si>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</si>
  <si>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</si>
  <si>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</si>
  <si>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</si>
  <si>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</si>
  <si>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</si>
  <si>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</si>
  <si>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</si>
  <si>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</si>
  <si>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</si>
  <si>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</si>
  <si>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</si>
  <si>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</si>
  <si>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</si>
  <si>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</si>
  <si>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</si>
  <si>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</si>
  <si>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</si>
  <si>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20</t>
  </si>
  <si>
    <t>7</t>
  </si>
  <si>
    <t>rslt_class_lbl</t>
  </si>
  <si>
    <t>rslt_num_cat_diffs</t>
  </si>
  <si>
    <t>FALSE - tbl not detected</t>
  </si>
  <si>
    <t>-2 - context</t>
  </si>
  <si>
    <t>FALSE - ppl needs correcting to re-set ES tbl indicators between pdf runs</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</si>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</sst>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36"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8">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xf numFmtId="49" fontId="0" fillId="0" borderId="0" xfId="0" quotePrefix="1" applyNumberFormat="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s>
    </filterColumn>
    <filterColumn colId="29">
      <filters>
        <filter val="no"/>
        <filter val="yes"/>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non english"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68" t="s">
        <v>2857</v>
      </c>
      <c r="B1" s="68" t="s">
        <v>2863</v>
      </c>
      <c r="C1" s="68" t="s">
        <v>2862</v>
      </c>
      <c r="D1" s="68" t="s">
        <v>2858</v>
      </c>
      <c r="E1" s="68" t="s">
        <v>2859</v>
      </c>
      <c r="F1" s="68" t="s">
        <v>2860</v>
      </c>
      <c r="G1" s="68" t="s">
        <v>2861</v>
      </c>
      <c r="H1" s="68" t="s">
        <v>2869</v>
      </c>
      <c r="I1" s="68" t="s">
        <v>2870</v>
      </c>
      <c r="J1" s="68" t="s">
        <v>2871</v>
      </c>
      <c r="K1" s="68" t="s">
        <v>2872</v>
      </c>
    </row>
    <row r="2" spans="1:11" x14ac:dyDescent="0.2">
      <c r="A2" s="68" t="s">
        <v>2864</v>
      </c>
      <c r="B2" s="68">
        <v>0.73380000000000001</v>
      </c>
      <c r="C2" s="68">
        <v>38</v>
      </c>
      <c r="D2" s="68">
        <v>0.69640000000000002</v>
      </c>
      <c r="E2" s="68">
        <v>283</v>
      </c>
      <c r="F2" s="68">
        <v>0.67449999999999999</v>
      </c>
      <c r="G2" s="68">
        <v>23</v>
      </c>
      <c r="H2" s="68">
        <v>0.70730000000000004</v>
      </c>
      <c r="I2" s="68">
        <v>19</v>
      </c>
      <c r="J2" s="68">
        <v>0.72929999999999995</v>
      </c>
      <c r="K2" s="68">
        <v>66</v>
      </c>
    </row>
    <row r="3" spans="1:11" x14ac:dyDescent="0.2">
      <c r="A3" s="68" t="s">
        <v>2865</v>
      </c>
      <c r="B3" s="68">
        <v>0.73380000000000001</v>
      </c>
      <c r="C3" s="68">
        <v>38</v>
      </c>
      <c r="D3" s="68">
        <v>0.90069999999999995</v>
      </c>
      <c r="E3" s="68">
        <v>38</v>
      </c>
      <c r="F3" s="68">
        <v>0.91559999999999997</v>
      </c>
      <c r="G3" s="68">
        <v>2</v>
      </c>
      <c r="H3" s="68">
        <v>0.93049999999999999</v>
      </c>
      <c r="I3" s="68">
        <v>8</v>
      </c>
      <c r="J3" s="68">
        <v>0.87819999999999998</v>
      </c>
      <c r="K3" s="68">
        <v>24</v>
      </c>
    </row>
    <row r="4" spans="1:11" x14ac:dyDescent="0.2">
      <c r="A4" s="68" t="s">
        <v>2866</v>
      </c>
      <c r="B4" s="68">
        <v>0.79769999999999996</v>
      </c>
      <c r="C4" s="68">
        <v>28</v>
      </c>
      <c r="D4" s="76">
        <v>1</v>
      </c>
      <c r="E4" s="68">
        <v>25</v>
      </c>
      <c r="F4" s="76">
        <v>1</v>
      </c>
      <c r="G4" s="68">
        <v>1</v>
      </c>
      <c r="H4" s="76">
        <v>0.97619999999999996</v>
      </c>
      <c r="I4" s="68">
        <v>4</v>
      </c>
      <c r="J4" s="76">
        <v>1</v>
      </c>
      <c r="K4" s="68">
        <v>11</v>
      </c>
    </row>
    <row r="5" spans="1:11" x14ac:dyDescent="0.2">
      <c r="A5" s="68" t="s">
        <v>2867</v>
      </c>
      <c r="B5" s="68">
        <v>0.84689999999999999</v>
      </c>
      <c r="C5" s="68">
        <v>15</v>
      </c>
      <c r="D5" s="76">
        <v>1</v>
      </c>
      <c r="E5" s="68">
        <v>21</v>
      </c>
      <c r="F5" s="76">
        <v>1</v>
      </c>
      <c r="G5" s="68">
        <v>1</v>
      </c>
      <c r="H5" s="76">
        <v>1</v>
      </c>
      <c r="I5" s="68">
        <v>2</v>
      </c>
      <c r="J5" s="76">
        <v>1</v>
      </c>
      <c r="K5" s="68">
        <v>9</v>
      </c>
    </row>
    <row r="6" spans="1:11" x14ac:dyDescent="0.2">
      <c r="A6" s="68" t="s">
        <v>2868</v>
      </c>
      <c r="B6" s="68">
        <v>0.81430000000000002</v>
      </c>
      <c r="C6" s="68">
        <v>24</v>
      </c>
      <c r="D6" s="68">
        <v>0.97370000000000001</v>
      </c>
      <c r="E6" s="68">
        <v>26</v>
      </c>
      <c r="F6" s="76">
        <v>1</v>
      </c>
      <c r="G6" s="68">
        <v>1</v>
      </c>
      <c r="H6" s="68">
        <v>0.90849999999999997</v>
      </c>
      <c r="I6" s="68">
        <v>7</v>
      </c>
      <c r="J6" s="76">
        <v>1</v>
      </c>
      <c r="K6" s="68">
        <v>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abSelected="1" topLeftCell="Y1" workbookViewId="0">
      <selection activeCell="AJ268" sqref="AJ268"/>
    </sheetView>
  </sheetViews>
  <sheetFormatPr baseColWidth="10" defaultRowHeight="16" x14ac:dyDescent="0.2"/>
  <cols>
    <col min="26" max="26" width="46.1640625" customWidth="1"/>
  </cols>
  <sheetData>
    <row r="1" spans="1:39" x14ac:dyDescent="0.2">
      <c r="A1" t="s">
        <v>213</v>
      </c>
      <c r="B1" t="s">
        <v>214</v>
      </c>
      <c r="C1" t="s">
        <v>215</v>
      </c>
      <c r="D1" t="s">
        <v>216</v>
      </c>
      <c r="E1" t="s">
        <v>217</v>
      </c>
      <c r="F1" t="s">
        <v>218</v>
      </c>
      <c r="G1" t="s">
        <v>219</v>
      </c>
      <c r="H1" t="s">
        <v>220</v>
      </c>
      <c r="I1" t="s">
        <v>2765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2898</v>
      </c>
      <c r="AD1" t="s">
        <v>2876</v>
      </c>
      <c r="AE1" t="s">
        <v>2875</v>
      </c>
      <c r="AF1" t="s">
        <v>2882</v>
      </c>
      <c r="AG1" t="s">
        <v>2883</v>
      </c>
      <c r="AH1" t="s">
        <v>243</v>
      </c>
      <c r="AI1" t="s">
        <v>2907</v>
      </c>
      <c r="AJ1" t="s">
        <v>2908</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c r="AD5" s="23"/>
      <c r="AE5" s="23"/>
      <c r="AF5" s="23"/>
      <c r="AG5" s="23"/>
      <c r="AH5" s="23"/>
      <c r="AI5" s="23"/>
      <c r="AJ5" s="23"/>
      <c r="AK5" s="9" t="s">
        <v>290</v>
      </c>
      <c r="AL5" s="9">
        <v>2000000</v>
      </c>
      <c r="AM5" s="12" t="s">
        <v>291</v>
      </c>
    </row>
    <row r="6" spans="1:39"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2878</v>
      </c>
      <c r="AE7" s="23" t="s">
        <v>2906</v>
      </c>
      <c r="AF7" s="23"/>
      <c r="AG7" s="23"/>
      <c r="AH7" s="23" t="s">
        <v>2851</v>
      </c>
      <c r="AI7" s="23"/>
      <c r="AJ7" s="23"/>
      <c r="AK7" t="s">
        <v>308</v>
      </c>
      <c r="AL7">
        <v>155000000</v>
      </c>
      <c r="AM7" s="3" t="s">
        <v>309</v>
      </c>
    </row>
    <row r="8" spans="1:39"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2754</v>
      </c>
      <c r="AA8" s="7" t="s">
        <v>314</v>
      </c>
      <c r="AB8" s="23">
        <f t="shared" si="0"/>
        <v>0</v>
      </c>
      <c r="AC8" s="23" t="s">
        <v>2904</v>
      </c>
      <c r="AD8" s="23" t="s">
        <v>2878</v>
      </c>
      <c r="AE8" s="23" t="s">
        <v>2905</v>
      </c>
      <c r="AF8" s="23"/>
      <c r="AG8" s="23"/>
      <c r="AH8" s="23" t="s">
        <v>2851</v>
      </c>
      <c r="AI8" s="23"/>
      <c r="AJ8" s="23"/>
      <c r="AK8" t="s">
        <v>270</v>
      </c>
      <c r="AL8">
        <v>20000000</v>
      </c>
      <c r="AM8" s="3" t="s">
        <v>315</v>
      </c>
    </row>
    <row r="9" spans="1:39"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2755</v>
      </c>
      <c r="AA9" s="7" t="s">
        <v>320</v>
      </c>
      <c r="AB9" s="23">
        <f t="shared" si="0"/>
        <v>0</v>
      </c>
      <c r="AC9" s="23"/>
      <c r="AD9" s="23"/>
      <c r="AE9" s="23"/>
      <c r="AF9" s="23"/>
      <c r="AG9" s="23"/>
      <c r="AH9" s="23"/>
      <c r="AI9" s="23"/>
      <c r="AJ9" s="23"/>
      <c r="AK9" t="s">
        <v>270</v>
      </c>
      <c r="AL9">
        <v>10867627</v>
      </c>
      <c r="AM9" s="3" t="s">
        <v>321</v>
      </c>
    </row>
    <row r="10" spans="1:39"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2759</v>
      </c>
      <c r="AA11" s="7" t="s">
        <v>335</v>
      </c>
      <c r="AB11" s="23">
        <f>AQ11</f>
        <v>0</v>
      </c>
      <c r="AC11" s="23"/>
      <c r="AD11" s="23"/>
      <c r="AE11" s="23"/>
      <c r="AF11" s="23"/>
      <c r="AG11" s="23"/>
      <c r="AH11" s="23"/>
      <c r="AI11" s="23"/>
      <c r="AJ11" s="23"/>
      <c r="AK11" t="s">
        <v>270</v>
      </c>
      <c r="AL11">
        <v>1500000000</v>
      </c>
      <c r="AM11" s="3" t="s">
        <v>336</v>
      </c>
    </row>
    <row r="12" spans="1:39"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hidden="1"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2758</v>
      </c>
      <c r="AA13" s="7" t="s">
        <v>352</v>
      </c>
      <c r="AB13" s="23">
        <f>AQ13</f>
        <v>0</v>
      </c>
      <c r="AC13" s="23"/>
      <c r="AD13" s="23" t="s">
        <v>2873</v>
      </c>
      <c r="AE13" s="23" t="s">
        <v>2901</v>
      </c>
      <c r="AF13" s="23"/>
      <c r="AG13" s="23"/>
      <c r="AH13" s="23" t="s">
        <v>2852</v>
      </c>
      <c r="AI13" s="23"/>
      <c r="AJ13" s="23"/>
      <c r="AK13" t="s">
        <v>270</v>
      </c>
      <c r="AL13">
        <v>50000000</v>
      </c>
      <c r="AM13" s="3" t="s">
        <v>353</v>
      </c>
    </row>
    <row r="14" spans="1:39"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2756</v>
      </c>
      <c r="AA17" s="7" t="s">
        <v>385</v>
      </c>
      <c r="AB17" s="23">
        <f>AQ17</f>
        <v>0</v>
      </c>
      <c r="AC17" s="23"/>
      <c r="AD17" s="23"/>
      <c r="AE17" s="23"/>
      <c r="AF17" s="23"/>
      <c r="AG17" s="23"/>
      <c r="AH17" s="23"/>
      <c r="AI17" s="23"/>
      <c r="AJ17" s="23"/>
      <c r="AK17" t="s">
        <v>386</v>
      </c>
    </row>
    <row r="18" spans="1:39"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2755</v>
      </c>
      <c r="AA22" s="7" t="s">
        <v>320</v>
      </c>
      <c r="AB22" s="23">
        <f>AQ22</f>
        <v>0</v>
      </c>
      <c r="AC22" s="23"/>
      <c r="AD22" s="23"/>
      <c r="AE22" s="23"/>
      <c r="AF22" s="23"/>
      <c r="AG22" s="23"/>
      <c r="AH22" s="23"/>
      <c r="AI22" s="23"/>
      <c r="AJ22" s="23"/>
      <c r="AK22" t="s">
        <v>270</v>
      </c>
      <c r="AL22">
        <v>366118638</v>
      </c>
      <c r="AM22" s="3" t="s">
        <v>422</v>
      </c>
    </row>
    <row r="23" spans="1:39"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2757</v>
      </c>
      <c r="AA23" s="7" t="s">
        <v>427</v>
      </c>
      <c r="AB23" s="23">
        <f>AQ23</f>
        <v>0</v>
      </c>
      <c r="AC23" s="23"/>
      <c r="AD23" s="23"/>
      <c r="AE23" s="23"/>
      <c r="AF23" s="23"/>
      <c r="AG23" s="23"/>
      <c r="AH23" s="23"/>
      <c r="AI23" s="23"/>
      <c r="AJ23" s="23"/>
      <c r="AK23" t="s">
        <v>270</v>
      </c>
      <c r="AL23">
        <v>680000000</v>
      </c>
      <c r="AM23" s="3" t="s">
        <v>428</v>
      </c>
    </row>
    <row r="24" spans="1:39"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2756</v>
      </c>
      <c r="AA28" s="7" t="s">
        <v>385</v>
      </c>
      <c r="AB28" s="23">
        <f>AQ28</f>
        <v>0</v>
      </c>
      <c r="AC28" s="23"/>
      <c r="AD28" s="23"/>
      <c r="AE28" s="23"/>
      <c r="AF28" s="23"/>
      <c r="AG28" s="23"/>
      <c r="AH28" s="23"/>
      <c r="AI28" s="23"/>
      <c r="AJ28" s="23"/>
      <c r="AK28" t="s">
        <v>386</v>
      </c>
      <c r="AL28">
        <v>47121000000</v>
      </c>
      <c r="AM28" s="3" t="s">
        <v>460</v>
      </c>
    </row>
    <row r="29" spans="1:39"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c r="AD29" s="23"/>
      <c r="AE29" s="23"/>
      <c r="AF29" s="23"/>
      <c r="AG29" s="23"/>
      <c r="AH29" s="23"/>
      <c r="AI29" s="23"/>
      <c r="AJ29" s="23"/>
      <c r="AK29" t="s">
        <v>308</v>
      </c>
      <c r="AL29">
        <v>350000000</v>
      </c>
      <c r="AM29" s="3" t="s">
        <v>469</v>
      </c>
    </row>
    <row r="30" spans="1:39"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2753</v>
      </c>
      <c r="AA30" s="7" t="s">
        <v>480</v>
      </c>
      <c r="AB30" s="23">
        <f>AQ30</f>
        <v>0</v>
      </c>
      <c r="AC30" s="23"/>
      <c r="AD30" s="23"/>
      <c r="AE30" s="23"/>
      <c r="AF30" s="23"/>
      <c r="AG30" s="23"/>
      <c r="AH30" s="23"/>
      <c r="AI30" s="23"/>
      <c r="AJ30" s="23"/>
      <c r="AK30" t="s">
        <v>386</v>
      </c>
      <c r="AL30">
        <v>2130928000000</v>
      </c>
      <c r="AM30" s="3" t="s">
        <v>481</v>
      </c>
    </row>
    <row r="31" spans="1:39"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2878</v>
      </c>
      <c r="AE34" s="23" t="s">
        <v>2902</v>
      </c>
      <c r="AF34" s="23"/>
      <c r="AG34" s="23"/>
      <c r="AH34" s="23" t="s">
        <v>2851</v>
      </c>
      <c r="AI34" s="23"/>
      <c r="AJ34" s="23"/>
      <c r="AK34" t="s">
        <v>270</v>
      </c>
      <c r="AL34">
        <v>50000000</v>
      </c>
      <c r="AM34" s="3" t="s">
        <v>353</v>
      </c>
    </row>
    <row r="35" spans="1:39"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2873</v>
      </c>
      <c r="AE37" s="23" t="s">
        <v>2877</v>
      </c>
      <c r="AF37" s="23" t="s">
        <v>2884</v>
      </c>
      <c r="AG37" s="23" t="s">
        <v>2884</v>
      </c>
      <c r="AH37" s="23" t="s">
        <v>2852</v>
      </c>
      <c r="AI37" s="23" t="s">
        <v>2913</v>
      </c>
      <c r="AJ37" s="77" t="s">
        <v>2917</v>
      </c>
      <c r="AK37" t="s">
        <v>270</v>
      </c>
      <c r="AL37">
        <v>150000000</v>
      </c>
      <c r="AM37" s="3" t="s">
        <v>531</v>
      </c>
    </row>
    <row r="38" spans="1:39"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2873</v>
      </c>
      <c r="AE43" s="23" t="s">
        <v>2874</v>
      </c>
      <c r="AF43" s="23" t="s">
        <v>2884</v>
      </c>
      <c r="AG43" s="23" t="s">
        <v>2884</v>
      </c>
      <c r="AH43" s="23" t="s">
        <v>2851</v>
      </c>
      <c r="AI43" s="23" t="s">
        <v>2913</v>
      </c>
      <c r="AJ43" s="23" t="s">
        <v>2915</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2755</v>
      </c>
      <c r="AA47" s="7" t="s">
        <v>320</v>
      </c>
      <c r="AB47" s="23">
        <f>AQ47</f>
        <v>0</v>
      </c>
      <c r="AC47" s="23"/>
      <c r="AD47" s="23"/>
      <c r="AE47" s="23"/>
      <c r="AF47" s="23"/>
      <c r="AG47" s="23"/>
      <c r="AH47" s="23"/>
      <c r="AI47" s="23"/>
      <c r="AJ47" s="23"/>
      <c r="AK47" t="s">
        <v>270</v>
      </c>
      <c r="AL47">
        <v>30000000</v>
      </c>
      <c r="AM47" s="3" t="s">
        <v>602</v>
      </c>
    </row>
    <row r="48" spans="1:39"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2752</v>
      </c>
      <c r="AA54" s="7" t="s">
        <v>646</v>
      </c>
      <c r="AB54" s="23">
        <f>AQ54</f>
        <v>0</v>
      </c>
      <c r="AC54" s="23"/>
      <c r="AD54" s="23"/>
      <c r="AE54" s="23"/>
      <c r="AF54" s="23"/>
      <c r="AG54" s="23"/>
      <c r="AH54" s="23"/>
      <c r="AI54" s="23"/>
      <c r="AJ54" s="23"/>
      <c r="AK54" t="s">
        <v>647</v>
      </c>
      <c r="AL54">
        <v>4060000000</v>
      </c>
      <c r="AM54" s="3" t="s">
        <v>648</v>
      </c>
    </row>
    <row r="55" spans="1:39"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2895</v>
      </c>
      <c r="AE55" s="23" t="s">
        <v>2895</v>
      </c>
      <c r="AF55" s="23" t="s">
        <v>2895</v>
      </c>
      <c r="AG55" s="23" t="s">
        <v>2895</v>
      </c>
      <c r="AH55" s="23" t="s">
        <v>2895</v>
      </c>
      <c r="AI55" s="23"/>
      <c r="AJ55" s="23"/>
      <c r="AK55" t="s">
        <v>270</v>
      </c>
    </row>
    <row r="56" spans="1:39"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2751</v>
      </c>
      <c r="AA56" s="7" t="s">
        <v>659</v>
      </c>
      <c r="AB56" s="23">
        <f>AQ56</f>
        <v>0</v>
      </c>
      <c r="AC56" s="23"/>
      <c r="AD56" s="23"/>
      <c r="AE56" s="23"/>
      <c r="AF56" s="23"/>
      <c r="AG56" s="23"/>
      <c r="AH56" s="23"/>
      <c r="AI56" s="23"/>
      <c r="AJ56" s="23"/>
      <c r="AK56" t="s">
        <v>270</v>
      </c>
      <c r="AL56">
        <v>153670000</v>
      </c>
      <c r="AM56" s="3" t="s">
        <v>660</v>
      </c>
    </row>
    <row r="57" spans="1:39"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2750</v>
      </c>
      <c r="AA65" s="7" t="s">
        <v>725</v>
      </c>
      <c r="AB65" s="23">
        <f>AQ65</f>
        <v>0</v>
      </c>
      <c r="AC65" s="23"/>
      <c r="AD65" s="23"/>
      <c r="AE65" s="23"/>
      <c r="AF65" s="23"/>
      <c r="AG65" s="23"/>
      <c r="AH65" s="23"/>
      <c r="AI65" s="23"/>
      <c r="AJ65" s="23"/>
      <c r="AK65" t="s">
        <v>270</v>
      </c>
      <c r="AL65">
        <v>20000000</v>
      </c>
      <c r="AM65" s="3" t="s">
        <v>315</v>
      </c>
    </row>
    <row r="66" spans="1:39"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2759</v>
      </c>
      <c r="AA67" s="7" t="s">
        <v>335</v>
      </c>
      <c r="AB67" s="23">
        <f>AQ67</f>
        <v>0</v>
      </c>
      <c r="AC67" s="23"/>
      <c r="AD67" s="23"/>
      <c r="AE67" s="23"/>
      <c r="AF67" s="23"/>
      <c r="AG67" s="23"/>
      <c r="AH67" s="23"/>
      <c r="AI67" s="23"/>
      <c r="AJ67" s="23"/>
      <c r="AK67" t="s">
        <v>270</v>
      </c>
      <c r="AL67">
        <v>2318357000</v>
      </c>
      <c r="AM67" s="3" t="s">
        <v>738</v>
      </c>
    </row>
    <row r="68" spans="1:39"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2749</v>
      </c>
      <c r="AA70" s="7" t="s">
        <v>754</v>
      </c>
      <c r="AB70" s="23">
        <f>AQ70</f>
        <v>0</v>
      </c>
      <c r="AC70" s="23"/>
      <c r="AD70" s="23"/>
      <c r="AE70" s="23"/>
      <c r="AF70" s="23"/>
      <c r="AG70" s="23"/>
      <c r="AH70" s="23"/>
      <c r="AI70" s="23"/>
      <c r="AJ70" s="23"/>
      <c r="AK70" t="s">
        <v>270</v>
      </c>
      <c r="AL70">
        <v>27760264</v>
      </c>
      <c r="AM70" s="3" t="s">
        <v>755</v>
      </c>
    </row>
    <row r="71" spans="1:39"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2753</v>
      </c>
      <c r="AA73" s="7" t="s">
        <v>480</v>
      </c>
      <c r="AB73" s="23">
        <f>AQ73</f>
        <v>0</v>
      </c>
      <c r="AC73" s="23"/>
      <c r="AD73" s="23"/>
      <c r="AE73" s="23"/>
      <c r="AF73" s="23"/>
      <c r="AG73" s="23"/>
      <c r="AH73" s="23"/>
      <c r="AI73" s="23"/>
      <c r="AJ73" s="23"/>
      <c r="AK73" t="s">
        <v>386</v>
      </c>
      <c r="AL73">
        <v>175592000</v>
      </c>
      <c r="AM73" s="3" t="s">
        <v>772</v>
      </c>
    </row>
    <row r="74" spans="1:39"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2755</v>
      </c>
      <c r="AA75" s="7" t="s">
        <v>320</v>
      </c>
      <c r="AB75" s="23">
        <f>AQ75</f>
        <v>0</v>
      </c>
      <c r="AC75" s="23"/>
      <c r="AD75" s="23"/>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hidden="1"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2748</v>
      </c>
      <c r="AA77" s="7" t="s">
        <v>798</v>
      </c>
      <c r="AB77" s="23">
        <f>AQ77</f>
        <v>0</v>
      </c>
      <c r="AC77" s="23"/>
      <c r="AD77" s="23" t="s">
        <v>2873</v>
      </c>
      <c r="AE77" s="23" t="s">
        <v>2891</v>
      </c>
      <c r="AF77" s="23"/>
      <c r="AG77" s="23"/>
      <c r="AH77" s="23" t="s">
        <v>2851</v>
      </c>
      <c r="AI77" s="23"/>
      <c r="AJ77" s="23"/>
      <c r="AK77" t="s">
        <v>345</v>
      </c>
      <c r="AL77">
        <v>502100000</v>
      </c>
      <c r="AM77" s="3" t="s">
        <v>799</v>
      </c>
    </row>
    <row r="78" spans="1:39"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2878</v>
      </c>
      <c r="AE79" s="23" t="s">
        <v>2879</v>
      </c>
      <c r="AF79" s="23" t="s">
        <v>2884</v>
      </c>
      <c r="AG79" s="23" t="s">
        <v>2884</v>
      </c>
      <c r="AH79" s="23" t="s">
        <v>2851</v>
      </c>
      <c r="AI79" s="23" t="s">
        <v>2913</v>
      </c>
      <c r="AJ79" s="77" t="s">
        <v>2918</v>
      </c>
      <c r="AK79" s="14" t="s">
        <v>811</v>
      </c>
      <c r="AL79" s="14">
        <v>100000000</v>
      </c>
      <c r="AM79" s="16" t="s">
        <v>812</v>
      </c>
    </row>
    <row r="80" spans="1:39"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2878</v>
      </c>
      <c r="AE80" s="23" t="s">
        <v>2880</v>
      </c>
      <c r="AF80" s="23" t="s">
        <v>2884</v>
      </c>
      <c r="AG80" s="23" t="s">
        <v>2885</v>
      </c>
      <c r="AH80" s="23" t="s">
        <v>2851</v>
      </c>
      <c r="AI80" s="23" t="s">
        <v>2913</v>
      </c>
      <c r="AJ80" s="23" t="s">
        <v>2915</v>
      </c>
      <c r="AK80" s="14" t="s">
        <v>290</v>
      </c>
      <c r="AL80" s="14">
        <v>1500000</v>
      </c>
      <c r="AM80" s="16" t="s">
        <v>818</v>
      </c>
    </row>
    <row r="81" spans="1:39"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2903</v>
      </c>
      <c r="AD82" s="23"/>
      <c r="AE82" s="23"/>
      <c r="AF82" s="23"/>
      <c r="AG82" s="23"/>
      <c r="AH82" s="23"/>
      <c r="AI82" s="23"/>
      <c r="AJ82" s="23"/>
      <c r="AK82" t="s">
        <v>830</v>
      </c>
      <c r="AL82">
        <v>25000000</v>
      </c>
      <c r="AM82" s="3" t="s">
        <v>831</v>
      </c>
    </row>
    <row r="83" spans="1:39"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c r="AE83" s="23"/>
      <c r="AF83" s="23"/>
      <c r="AG83" s="23"/>
      <c r="AH83" s="23"/>
      <c r="AI83" s="23"/>
      <c r="AJ83" s="23"/>
      <c r="AK83" t="s">
        <v>308</v>
      </c>
      <c r="AL83">
        <v>350000000</v>
      </c>
      <c r="AM83" s="3" t="s">
        <v>837</v>
      </c>
    </row>
    <row r="84" spans="1:39"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hidden="1"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2746</v>
      </c>
      <c r="AA86" t="s">
        <v>854</v>
      </c>
      <c r="AB86" s="23">
        <f>AQ86</f>
        <v>0</v>
      </c>
      <c r="AC86" s="23"/>
      <c r="AD86" s="23" t="s">
        <v>252</v>
      </c>
      <c r="AE86" s="23" t="s">
        <v>2900</v>
      </c>
      <c r="AF86" s="23"/>
      <c r="AG86" s="23"/>
      <c r="AH86" s="23" t="s">
        <v>2851</v>
      </c>
      <c r="AI86" s="23"/>
      <c r="AJ86" s="23"/>
      <c r="AK86" t="s">
        <v>270</v>
      </c>
      <c r="AL86">
        <v>54000000</v>
      </c>
      <c r="AM86" s="3" t="s">
        <v>855</v>
      </c>
    </row>
    <row r="87" spans="1:39"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2745</v>
      </c>
      <c r="AA89" t="s">
        <v>874</v>
      </c>
      <c r="AB89" s="23">
        <f>AQ89</f>
        <v>0</v>
      </c>
      <c r="AC89" s="23"/>
      <c r="AD89" s="23"/>
      <c r="AE89" s="23"/>
      <c r="AF89" s="23"/>
      <c r="AG89" s="23"/>
      <c r="AH89" s="23"/>
      <c r="AI89" s="23"/>
      <c r="AJ89" s="23"/>
      <c r="AK89" t="s">
        <v>260</v>
      </c>
      <c r="AL89">
        <v>138507000</v>
      </c>
      <c r="AM89" s="3" t="s">
        <v>875</v>
      </c>
    </row>
    <row r="90" spans="1:39"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2878</v>
      </c>
      <c r="AE94" s="23" t="s">
        <v>2881</v>
      </c>
      <c r="AF94" s="23" t="s">
        <v>2884</v>
      </c>
      <c r="AG94" s="23" t="s">
        <v>2884</v>
      </c>
      <c r="AH94" s="23" t="s">
        <v>2851</v>
      </c>
      <c r="AI94" t="s">
        <v>2911</v>
      </c>
      <c r="AJ94">
        <v>1</v>
      </c>
      <c r="AK94" t="s">
        <v>345</v>
      </c>
      <c r="AL94">
        <v>2500000000</v>
      </c>
      <c r="AM94" s="3" t="s">
        <v>907</v>
      </c>
    </row>
    <row r="95" spans="1:39"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2746</v>
      </c>
      <c r="AA96" t="s">
        <v>854</v>
      </c>
      <c r="AB96" s="23">
        <f>AQ96</f>
        <v>0</v>
      </c>
      <c r="AC96" s="23"/>
      <c r="AD96" s="23" t="s">
        <v>2897</v>
      </c>
      <c r="AE96" s="23" t="s">
        <v>2897</v>
      </c>
      <c r="AF96" s="23"/>
      <c r="AG96" s="23"/>
      <c r="AH96" s="23"/>
      <c r="AI96" s="23"/>
      <c r="AK96" t="s">
        <v>591</v>
      </c>
      <c r="AL96">
        <v>5000000000</v>
      </c>
      <c r="AM96" s="3" t="s">
        <v>917</v>
      </c>
    </row>
    <row r="97" spans="1:39"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2903</v>
      </c>
      <c r="AD97" s="23"/>
      <c r="AE97" s="23"/>
      <c r="AF97" s="23"/>
      <c r="AG97" s="23"/>
      <c r="AH97" s="23"/>
      <c r="AI97" s="23"/>
      <c r="AK97" t="s">
        <v>270</v>
      </c>
      <c r="AL97">
        <v>500000000</v>
      </c>
      <c r="AM97" s="3" t="s">
        <v>922</v>
      </c>
    </row>
    <row r="98" spans="1:39"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2873</v>
      </c>
      <c r="AE99">
        <v>0</v>
      </c>
      <c r="AF99" t="s">
        <v>2884</v>
      </c>
      <c r="AG99" t="s">
        <v>2884</v>
      </c>
      <c r="AH99" t="s">
        <v>2851</v>
      </c>
      <c r="AI99" t="b">
        <v>1</v>
      </c>
      <c r="AJ99">
        <v>0</v>
      </c>
      <c r="AK99" t="s">
        <v>386</v>
      </c>
      <c r="AL99">
        <v>433000000000</v>
      </c>
      <c r="AM99" s="3" t="s">
        <v>531</v>
      </c>
    </row>
    <row r="100" spans="1:39"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2903</v>
      </c>
      <c r="AD105" s="23"/>
      <c r="AE105" s="23"/>
      <c r="AF105" s="23"/>
      <c r="AG105" s="23"/>
      <c r="AH105" s="23"/>
      <c r="AI105" s="23"/>
      <c r="AK105" t="s">
        <v>308</v>
      </c>
      <c r="AL105">
        <v>220000000</v>
      </c>
      <c r="AM105" s="3" t="s">
        <v>969</v>
      </c>
    </row>
    <row r="106" spans="1:39"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2744</v>
      </c>
      <c r="AA108" t="s">
        <v>986</v>
      </c>
      <c r="AB108" s="23">
        <f>AQ108</f>
        <v>0</v>
      </c>
      <c r="AC108" s="23"/>
      <c r="AD108" s="23"/>
      <c r="AE108" s="23"/>
      <c r="AF108" s="23"/>
      <c r="AG108" s="23"/>
      <c r="AH108" s="23"/>
      <c r="AI108" s="23"/>
      <c r="AK108" t="s">
        <v>270</v>
      </c>
      <c r="AL108">
        <v>100000000</v>
      </c>
      <c r="AM108" s="3" t="s">
        <v>987</v>
      </c>
    </row>
    <row r="109" spans="1:39"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2755</v>
      </c>
      <c r="AA114" t="s">
        <v>320</v>
      </c>
      <c r="AB114" s="23">
        <f>AQ114</f>
        <v>0</v>
      </c>
      <c r="AC114" s="23"/>
      <c r="AD114" s="23"/>
      <c r="AE114" s="23"/>
      <c r="AF114" s="23"/>
      <c r="AG114" s="23"/>
      <c r="AH114" s="23"/>
      <c r="AI114" s="23"/>
      <c r="AK114" t="s">
        <v>270</v>
      </c>
      <c r="AL114">
        <v>30000000</v>
      </c>
      <c r="AM114" s="3" t="s">
        <v>602</v>
      </c>
    </row>
    <row r="115" spans="1:39"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2743</v>
      </c>
      <c r="AA115" t="s">
        <v>1024</v>
      </c>
      <c r="AB115" s="23">
        <f>AQ115</f>
        <v>0</v>
      </c>
      <c r="AC115" s="23"/>
      <c r="AD115" s="23"/>
      <c r="AE115" s="23"/>
      <c r="AF115" s="23"/>
      <c r="AG115" s="23"/>
      <c r="AH115" s="23"/>
      <c r="AI115" s="23"/>
      <c r="AK115" t="s">
        <v>345</v>
      </c>
      <c r="AL115">
        <v>1100000000</v>
      </c>
      <c r="AM115" s="3" t="s">
        <v>1025</v>
      </c>
    </row>
    <row r="116" spans="1:39"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2755</v>
      </c>
      <c r="AA119" t="s">
        <v>320</v>
      </c>
      <c r="AB119" s="23">
        <f>AQ119</f>
        <v>0</v>
      </c>
      <c r="AC119" s="23"/>
      <c r="AD119" s="23"/>
      <c r="AE119" s="23"/>
      <c r="AF119" s="23"/>
      <c r="AG119" s="23"/>
      <c r="AH119" s="23"/>
      <c r="AI119" s="23"/>
      <c r="AK119" t="s">
        <v>270</v>
      </c>
      <c r="AL119">
        <v>15605522</v>
      </c>
      <c r="AM119" s="3" t="s">
        <v>1050</v>
      </c>
    </row>
    <row r="120" spans="1:39"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2757</v>
      </c>
      <c r="AA120" t="s">
        <v>427</v>
      </c>
      <c r="AB120" s="23">
        <f>AQ120</f>
        <v>0</v>
      </c>
      <c r="AC120" s="23"/>
      <c r="AD120" s="23"/>
      <c r="AE120" s="23"/>
      <c r="AF120" s="23"/>
      <c r="AG120" s="23"/>
      <c r="AH120" s="23"/>
      <c r="AI120" s="23"/>
      <c r="AK120" t="s">
        <v>260</v>
      </c>
      <c r="AL120">
        <v>16000000</v>
      </c>
      <c r="AM120" s="3" t="s">
        <v>1054</v>
      </c>
    </row>
    <row r="121" spans="1:39"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2751</v>
      </c>
      <c r="AA121" t="s">
        <v>659</v>
      </c>
      <c r="AB121" s="23">
        <f>AQ121</f>
        <v>0</v>
      </c>
      <c r="AC121" s="23"/>
      <c r="AD121" s="23"/>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2878</v>
      </c>
      <c r="AE122" s="23" t="s">
        <v>2881</v>
      </c>
      <c r="AF122" s="23" t="s">
        <v>2884</v>
      </c>
      <c r="AG122" s="23" t="s">
        <v>2884</v>
      </c>
      <c r="AH122" s="23" t="s">
        <v>2851</v>
      </c>
      <c r="AI122" t="s">
        <v>2911</v>
      </c>
      <c r="AJ122">
        <v>1</v>
      </c>
      <c r="AK122" t="s">
        <v>345</v>
      </c>
      <c r="AL122">
        <v>3000000000</v>
      </c>
      <c r="AM122" s="3" t="s">
        <v>1067</v>
      </c>
    </row>
    <row r="123" spans="1:39"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2895</v>
      </c>
      <c r="AE124" s="23" t="s">
        <v>2895</v>
      </c>
      <c r="AF124" s="23" t="s">
        <v>2895</v>
      </c>
      <c r="AG124" s="23" t="s">
        <v>2895</v>
      </c>
      <c r="AH124" s="23" t="s">
        <v>2895</v>
      </c>
      <c r="AI124" s="23"/>
      <c r="AK124" t="s">
        <v>270</v>
      </c>
    </row>
    <row r="125" spans="1:39"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2752</v>
      </c>
      <c r="AA125" t="s">
        <v>646</v>
      </c>
      <c r="AB125" s="23">
        <f>AQ125</f>
        <v>0</v>
      </c>
      <c r="AC125" s="23"/>
      <c r="AD125" s="23"/>
      <c r="AE125" s="23"/>
      <c r="AF125" s="23"/>
      <c r="AG125" s="23"/>
      <c r="AH125" s="23"/>
      <c r="AI125" s="23"/>
      <c r="AK125" t="s">
        <v>647</v>
      </c>
      <c r="AL125">
        <v>6700000000</v>
      </c>
      <c r="AM125" s="3" t="s">
        <v>1078</v>
      </c>
    </row>
    <row r="126" spans="1:39"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2756</v>
      </c>
      <c r="AA127" t="s">
        <v>385</v>
      </c>
      <c r="AB127" s="23">
        <f>AQ127</f>
        <v>0</v>
      </c>
      <c r="AC127" s="23"/>
      <c r="AD127" s="23"/>
      <c r="AE127" s="23"/>
      <c r="AF127" s="23"/>
      <c r="AG127" s="23"/>
      <c r="AH127" s="23"/>
      <c r="AI127" s="23"/>
      <c r="AK127" t="s">
        <v>386</v>
      </c>
      <c r="AL127">
        <v>80855000000</v>
      </c>
      <c r="AM127" s="3" t="s">
        <v>1089</v>
      </c>
    </row>
    <row r="128" spans="1:39"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2752</v>
      </c>
      <c r="AA133" t="s">
        <v>646</v>
      </c>
      <c r="AB133" s="23">
        <f t="shared" si="1"/>
        <v>0</v>
      </c>
      <c r="AC133" s="23"/>
      <c r="AD133" s="23"/>
      <c r="AE133" s="23"/>
      <c r="AF133" s="23"/>
      <c r="AG133" s="23"/>
      <c r="AH133" s="23"/>
      <c r="AI133" s="23"/>
      <c r="AK133" t="s">
        <v>647</v>
      </c>
      <c r="AL133">
        <v>3000000000</v>
      </c>
      <c r="AM133" s="3" t="s">
        <v>1126</v>
      </c>
    </row>
    <row r="134" spans="1:39"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2746</v>
      </c>
      <c r="AA134" t="s">
        <v>854</v>
      </c>
      <c r="AB134" s="23">
        <f t="shared" si="1"/>
        <v>0</v>
      </c>
      <c r="AC134" s="23"/>
      <c r="AD134" s="23" t="s">
        <v>2897</v>
      </c>
      <c r="AE134" s="23" t="s">
        <v>2897</v>
      </c>
      <c r="AF134" s="23"/>
      <c r="AG134" s="23"/>
      <c r="AH134" s="23"/>
      <c r="AI134" s="23"/>
      <c r="AK134" t="s">
        <v>270</v>
      </c>
    </row>
    <row r="135" spans="1:39"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2878</v>
      </c>
      <c r="AE135" s="23" t="s">
        <v>2886</v>
      </c>
      <c r="AF135" s="23" t="s">
        <v>2885</v>
      </c>
      <c r="AG135" s="23" t="s">
        <v>2885</v>
      </c>
      <c r="AH135" s="23" t="s">
        <v>2851</v>
      </c>
      <c r="AI135" s="23" t="s">
        <v>2913</v>
      </c>
      <c r="AJ135" s="3" t="s">
        <v>2919</v>
      </c>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2878</v>
      </c>
      <c r="AE136">
        <v>3</v>
      </c>
      <c r="AF136" t="s">
        <v>2885</v>
      </c>
      <c r="AG136" t="s">
        <v>2885</v>
      </c>
      <c r="AH136" t="s">
        <v>2851</v>
      </c>
      <c r="AI136" t="s">
        <v>2909</v>
      </c>
      <c r="AJ136" s="3" t="s">
        <v>2910</v>
      </c>
      <c r="AK136" t="s">
        <v>270</v>
      </c>
      <c r="AL136">
        <v>48450360</v>
      </c>
      <c r="AM136" s="3" t="s">
        <v>1144</v>
      </c>
    </row>
    <row r="137" spans="1:39"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2746</v>
      </c>
      <c r="AA141" t="s">
        <v>854</v>
      </c>
      <c r="AB141" s="23">
        <f>AQ141</f>
        <v>0</v>
      </c>
      <c r="AC141" s="23"/>
      <c r="AD141" s="23" t="s">
        <v>2897</v>
      </c>
      <c r="AE141" s="23" t="s">
        <v>2897</v>
      </c>
      <c r="AF141" s="23"/>
      <c r="AG141" s="23"/>
      <c r="AH141" s="23"/>
      <c r="AI141" s="23"/>
      <c r="AK141" t="s">
        <v>308</v>
      </c>
      <c r="AL141">
        <v>200000000</v>
      </c>
      <c r="AM141" s="3" t="s">
        <v>1168</v>
      </c>
    </row>
    <row r="142" spans="1:39"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2878</v>
      </c>
      <c r="AE145" s="23" t="s">
        <v>2887</v>
      </c>
      <c r="AF145" s="23" t="s">
        <v>2884</v>
      </c>
      <c r="AG145" s="23" t="s">
        <v>2884</v>
      </c>
      <c r="AH145" s="23" t="s">
        <v>2851</v>
      </c>
      <c r="AI145" s="23" t="s">
        <v>2913</v>
      </c>
      <c r="AJ145" t="s">
        <v>2914</v>
      </c>
      <c r="AK145" s="14" t="s">
        <v>270</v>
      </c>
      <c r="AL145" s="14">
        <v>500000000</v>
      </c>
      <c r="AM145" s="16" t="s">
        <v>922</v>
      </c>
    </row>
    <row r="146" spans="1:39"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2742</v>
      </c>
      <c r="AA151" t="s">
        <v>1221</v>
      </c>
      <c r="AB151" s="23">
        <f>AQ151</f>
        <v>0</v>
      </c>
      <c r="AC151" s="23"/>
      <c r="AD151" s="23"/>
      <c r="AE151" s="23"/>
      <c r="AF151" s="23"/>
      <c r="AG151" s="23"/>
      <c r="AH151" s="23"/>
      <c r="AI151" s="23"/>
      <c r="AK151" t="s">
        <v>345</v>
      </c>
      <c r="AL151">
        <v>2000000000</v>
      </c>
      <c r="AM151" s="3" t="s">
        <v>1222</v>
      </c>
    </row>
    <row r="152" spans="1:39"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2752</v>
      </c>
      <c r="AA153" t="s">
        <v>646</v>
      </c>
      <c r="AB153" s="23">
        <f>AQ153</f>
        <v>0</v>
      </c>
      <c r="AC153" s="23"/>
      <c r="AD153" s="23"/>
      <c r="AE153" s="23"/>
      <c r="AF153" s="23"/>
      <c r="AG153" s="23"/>
      <c r="AH153" s="23"/>
      <c r="AI153" s="23"/>
      <c r="AK153" t="s">
        <v>647</v>
      </c>
      <c r="AL153">
        <v>1500000000</v>
      </c>
      <c r="AM153" s="3" t="s">
        <v>1234</v>
      </c>
    </row>
    <row r="154" spans="1:39"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2741</v>
      </c>
      <c r="AA155" t="s">
        <v>1247</v>
      </c>
      <c r="AB155" s="23">
        <f t="shared" ref="AB155:AB162" si="2">AQ155</f>
        <v>0</v>
      </c>
      <c r="AC155" s="23"/>
      <c r="AD155" s="23"/>
      <c r="AE155" s="23"/>
      <c r="AF155" s="23"/>
      <c r="AG155" s="23"/>
      <c r="AH155" s="23"/>
      <c r="AI155" s="23"/>
      <c r="AK155" t="s">
        <v>270</v>
      </c>
      <c r="AL155">
        <v>500000000</v>
      </c>
      <c r="AM155" s="3" t="s">
        <v>922</v>
      </c>
    </row>
    <row r="156" spans="1:39"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2752</v>
      </c>
      <c r="AA156" t="s">
        <v>646</v>
      </c>
      <c r="AB156" s="23">
        <f t="shared" si="2"/>
        <v>0</v>
      </c>
      <c r="AC156" s="23"/>
      <c r="AD156" s="23"/>
      <c r="AE156" s="23"/>
      <c r="AF156" s="23"/>
      <c r="AG156" s="23"/>
      <c r="AH156" s="23"/>
      <c r="AI156" s="23"/>
      <c r="AK156" t="s">
        <v>647</v>
      </c>
    </row>
    <row r="157" spans="1:39"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2740</v>
      </c>
      <c r="AA158" t="s">
        <v>1258</v>
      </c>
      <c r="AB158" s="23">
        <f t="shared" si="2"/>
        <v>0</v>
      </c>
      <c r="AC158" s="23"/>
      <c r="AD158" s="23"/>
      <c r="AE158" s="23"/>
      <c r="AF158" s="23"/>
      <c r="AG158" s="23"/>
      <c r="AH158" s="23"/>
      <c r="AI158" s="23"/>
      <c r="AK158" t="s">
        <v>270</v>
      </c>
      <c r="AL158">
        <v>750000000</v>
      </c>
      <c r="AM158" s="3" t="s">
        <v>1259</v>
      </c>
    </row>
    <row r="159" spans="1:39"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2739</v>
      </c>
      <c r="AA162" t="s">
        <v>1281</v>
      </c>
      <c r="AB162" s="23">
        <f t="shared" si="2"/>
        <v>0</v>
      </c>
      <c r="AC162" s="23"/>
      <c r="AD162" s="23"/>
      <c r="AE162" s="23"/>
      <c r="AF162" s="23"/>
      <c r="AG162" s="23"/>
      <c r="AH162" s="23"/>
      <c r="AI162" s="23"/>
      <c r="AK162" t="s">
        <v>1282</v>
      </c>
      <c r="AL162">
        <v>25725000</v>
      </c>
      <c r="AM162" s="3" t="s">
        <v>1283</v>
      </c>
    </row>
    <row r="163" spans="1:39"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2738</v>
      </c>
      <c r="AA165" t="s">
        <v>1294</v>
      </c>
      <c r="AB165" s="23">
        <f>AQ165</f>
        <v>0</v>
      </c>
      <c r="AC165" s="23"/>
      <c r="AD165" s="23"/>
      <c r="AE165" s="23"/>
      <c r="AF165" s="23"/>
      <c r="AG165" s="23"/>
      <c r="AH165" s="23"/>
      <c r="AI165" s="23"/>
      <c r="AK165" t="s">
        <v>270</v>
      </c>
      <c r="AL165">
        <v>80000000</v>
      </c>
      <c r="AM165" s="3" t="s">
        <v>1295</v>
      </c>
    </row>
    <row r="166" spans="1:39"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2755</v>
      </c>
      <c r="AA166" t="s">
        <v>320</v>
      </c>
      <c r="AB166" s="23">
        <f>AQ166</f>
        <v>0</v>
      </c>
      <c r="AC166" s="23"/>
      <c r="AD166" s="23"/>
      <c r="AE166" s="23"/>
      <c r="AF166" s="23"/>
      <c r="AG166" s="23"/>
      <c r="AH166" s="23"/>
      <c r="AI166" s="23"/>
      <c r="AK166" t="s">
        <v>270</v>
      </c>
      <c r="AL166">
        <v>48971674</v>
      </c>
      <c r="AM166" s="3" t="s">
        <v>1300</v>
      </c>
    </row>
    <row r="167" spans="1:39"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2895</v>
      </c>
      <c r="AE169" s="23" t="s">
        <v>2895</v>
      </c>
      <c r="AF169" s="23" t="s">
        <v>2895</v>
      </c>
      <c r="AG169" s="23" t="s">
        <v>2895</v>
      </c>
      <c r="AH169" s="23" t="s">
        <v>2895</v>
      </c>
      <c r="AI169" s="23"/>
      <c r="AK169" t="s">
        <v>270</v>
      </c>
      <c r="AL169">
        <v>375000000</v>
      </c>
      <c r="AM169" s="3" t="s">
        <v>1317</v>
      </c>
    </row>
    <row r="170" spans="1:39"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2750</v>
      </c>
      <c r="AA170" t="s">
        <v>725</v>
      </c>
      <c r="AB170" s="23">
        <f>AQ170</f>
        <v>0</v>
      </c>
      <c r="AC170" s="23"/>
      <c r="AD170" s="23"/>
      <c r="AE170" s="23"/>
      <c r="AF170" s="23"/>
      <c r="AG170" s="23"/>
      <c r="AH170" s="23"/>
      <c r="AI170" s="23"/>
      <c r="AK170" t="s">
        <v>270</v>
      </c>
      <c r="AL170">
        <v>40000000</v>
      </c>
      <c r="AM170" s="3" t="s">
        <v>1321</v>
      </c>
    </row>
    <row r="171" spans="1:39"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2878</v>
      </c>
      <c r="AE171">
        <v>0</v>
      </c>
      <c r="AF171" t="s">
        <v>2884</v>
      </c>
      <c r="AG171" t="s">
        <v>2884</v>
      </c>
      <c r="AH171" t="s">
        <v>2851</v>
      </c>
      <c r="AI171" t="s">
        <v>2911</v>
      </c>
      <c r="AJ171">
        <v>0</v>
      </c>
      <c r="AK171" t="s">
        <v>401</v>
      </c>
    </row>
    <row r="172" spans="1:39"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2755</v>
      </c>
      <c r="AA174" t="s">
        <v>320</v>
      </c>
      <c r="AB174" s="23">
        <f>AQ174</f>
        <v>0</v>
      </c>
      <c r="AC174" s="23"/>
      <c r="AD174" s="23"/>
      <c r="AE174" s="23"/>
      <c r="AF174" s="23"/>
      <c r="AG174" s="23"/>
      <c r="AH174" s="23"/>
      <c r="AI174" s="23"/>
      <c r="AK174" t="s">
        <v>270</v>
      </c>
      <c r="AL174">
        <v>29917476</v>
      </c>
      <c r="AM174" s="3" t="s">
        <v>1343</v>
      </c>
    </row>
    <row r="175" spans="1:39"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2899</v>
      </c>
      <c r="AD178" s="23" t="s">
        <v>2878</v>
      </c>
      <c r="AE178" s="23" t="s">
        <v>2888</v>
      </c>
      <c r="AF178" s="23" t="s">
        <v>2884</v>
      </c>
      <c r="AG178" s="23" t="s">
        <v>2884</v>
      </c>
      <c r="AH178" s="23" t="s">
        <v>2852</v>
      </c>
      <c r="AI178" s="23" t="s">
        <v>2913</v>
      </c>
      <c r="AJ178" s="3" t="s">
        <v>2916</v>
      </c>
      <c r="AK178" t="s">
        <v>270</v>
      </c>
      <c r="AL178">
        <v>30000000</v>
      </c>
      <c r="AM178" s="3" t="s">
        <v>602</v>
      </c>
    </row>
    <row r="179" spans="1:39"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2755</v>
      </c>
      <c r="AA180" t="s">
        <v>320</v>
      </c>
      <c r="AB180" s="23">
        <f>AQ180</f>
        <v>0</v>
      </c>
      <c r="AC180" s="23"/>
      <c r="AD180" s="23"/>
      <c r="AE180" s="23"/>
      <c r="AF180" s="23"/>
      <c r="AG180" s="23"/>
      <c r="AH180" s="23"/>
      <c r="AI180" s="23"/>
      <c r="AK180" t="s">
        <v>270</v>
      </c>
      <c r="AL180">
        <v>20697951</v>
      </c>
      <c r="AM180" s="3" t="s">
        <v>1379</v>
      </c>
    </row>
    <row r="181" spans="1:39"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2873</v>
      </c>
      <c r="AE184" s="23" t="s">
        <v>2893</v>
      </c>
      <c r="AF184" s="23" t="s">
        <v>2884</v>
      </c>
      <c r="AG184" s="23" t="s">
        <v>2884</v>
      </c>
      <c r="AH184" s="23" t="s">
        <v>2892</v>
      </c>
      <c r="AI184" t="s">
        <v>2912</v>
      </c>
      <c r="AJ184" s="3" t="s">
        <v>2910</v>
      </c>
      <c r="AK184" s="14" t="s">
        <v>260</v>
      </c>
      <c r="AL184" s="14">
        <v>672500000</v>
      </c>
      <c r="AM184" s="16" t="s">
        <v>1400</v>
      </c>
    </row>
    <row r="185" spans="1:39"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2895</v>
      </c>
      <c r="AE187" s="23" t="s">
        <v>2895</v>
      </c>
      <c r="AF187" s="23" t="s">
        <v>2895</v>
      </c>
      <c r="AG187" s="23" t="s">
        <v>2895</v>
      </c>
      <c r="AH187" s="23" t="s">
        <v>2895</v>
      </c>
      <c r="AI187" s="23"/>
      <c r="AJ187" s="23"/>
      <c r="AK187" t="s">
        <v>270</v>
      </c>
    </row>
    <row r="188" spans="1:39"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2759</v>
      </c>
      <c r="AA193" t="s">
        <v>335</v>
      </c>
      <c r="AB193" s="23">
        <f t="shared" si="3"/>
        <v>0</v>
      </c>
      <c r="AC193" s="23"/>
      <c r="AD193" s="23"/>
      <c r="AE193" s="23"/>
      <c r="AF193" s="23"/>
      <c r="AG193" s="23"/>
      <c r="AH193" s="23"/>
      <c r="AI193" s="23"/>
      <c r="AJ193" s="23"/>
      <c r="AK193" t="s">
        <v>830</v>
      </c>
      <c r="AL193">
        <v>1269017000</v>
      </c>
      <c r="AM193" s="3" t="s">
        <v>1448</v>
      </c>
    </row>
    <row r="194" spans="1:39"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2739</v>
      </c>
      <c r="AA194" t="s">
        <v>1281</v>
      </c>
      <c r="AB194" s="23">
        <f t="shared" si="3"/>
        <v>0</v>
      </c>
      <c r="AC194" s="23"/>
      <c r="AD194" s="23"/>
      <c r="AE194" s="23"/>
      <c r="AF194" s="23"/>
      <c r="AG194" s="23"/>
      <c r="AH194" s="23"/>
      <c r="AI194" s="23"/>
      <c r="AJ194" s="23"/>
      <c r="AK194" t="s">
        <v>1282</v>
      </c>
    </row>
    <row r="195" spans="1:39"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2759</v>
      </c>
      <c r="AA195" t="s">
        <v>335</v>
      </c>
      <c r="AB195" s="23">
        <f t="shared" si="3"/>
        <v>0</v>
      </c>
      <c r="AC195" s="23"/>
      <c r="AD195" s="23"/>
      <c r="AE195" s="23"/>
      <c r="AF195" s="23"/>
      <c r="AG195" s="23"/>
      <c r="AH195" s="23"/>
      <c r="AI195" s="23"/>
      <c r="AJ195" s="23"/>
      <c r="AK195" t="s">
        <v>830</v>
      </c>
      <c r="AL195">
        <v>1954685000</v>
      </c>
      <c r="AM195" s="3" t="s">
        <v>1455</v>
      </c>
    </row>
    <row r="196" spans="1:39"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2755</v>
      </c>
      <c r="AA196" t="s">
        <v>320</v>
      </c>
      <c r="AB196" s="23">
        <f t="shared" si="3"/>
        <v>0</v>
      </c>
      <c r="AC196" s="23"/>
      <c r="AD196" s="23"/>
      <c r="AE196" s="23"/>
      <c r="AF196" s="23"/>
      <c r="AG196" s="23"/>
      <c r="AH196" s="23"/>
      <c r="AI196" s="23"/>
      <c r="AJ196" s="23"/>
      <c r="AK196" t="s">
        <v>270</v>
      </c>
      <c r="AL196">
        <v>12502792</v>
      </c>
      <c r="AM196" s="3" t="s">
        <v>1459</v>
      </c>
    </row>
    <row r="197" spans="1:39"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2737</v>
      </c>
      <c r="AA197" t="s">
        <v>1466</v>
      </c>
      <c r="AB197" s="23">
        <f t="shared" si="3"/>
        <v>0</v>
      </c>
      <c r="AC197" s="23"/>
      <c r="AD197" s="23"/>
      <c r="AE197" s="23"/>
      <c r="AF197" s="23"/>
      <c r="AG197" s="23"/>
      <c r="AH197" s="23"/>
      <c r="AI197" s="23"/>
      <c r="AJ197" s="23"/>
      <c r="AK197" t="s">
        <v>386</v>
      </c>
      <c r="AL197">
        <v>1985525463369</v>
      </c>
      <c r="AM197" s="3" t="s">
        <v>1467</v>
      </c>
    </row>
    <row r="198" spans="1:39"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2755</v>
      </c>
      <c r="AA199" t="s">
        <v>320</v>
      </c>
      <c r="AB199" s="23">
        <f t="shared" si="3"/>
        <v>0</v>
      </c>
      <c r="AC199" s="23"/>
      <c r="AD199" s="23"/>
      <c r="AE199" s="23"/>
      <c r="AF199" s="23"/>
      <c r="AG199" s="23"/>
      <c r="AH199" s="23"/>
      <c r="AI199" s="23"/>
      <c r="AJ199" s="23"/>
      <c r="AK199" t="s">
        <v>270</v>
      </c>
      <c r="AL199">
        <v>15196669</v>
      </c>
      <c r="AM199" s="3" t="s">
        <v>1480</v>
      </c>
    </row>
    <row r="200" spans="1:39"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c r="AE203" s="23"/>
      <c r="AF203" s="23"/>
      <c r="AG203" s="23"/>
      <c r="AH203" s="23"/>
      <c r="AI203" s="23"/>
      <c r="AJ203" s="23"/>
      <c r="AK203" t="s">
        <v>830</v>
      </c>
      <c r="AL203">
        <v>750000000</v>
      </c>
      <c r="AM203" s="3" t="s">
        <v>1506</v>
      </c>
    </row>
    <row r="204" spans="1:39"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2897</v>
      </c>
      <c r="AE204" s="23" t="s">
        <v>2897</v>
      </c>
      <c r="AF204" s="23" t="s">
        <v>2897</v>
      </c>
      <c r="AG204" s="23" t="s">
        <v>2897</v>
      </c>
      <c r="AH204" s="23" t="s">
        <v>2897</v>
      </c>
      <c r="AI204" s="23"/>
      <c r="AJ204" s="23"/>
      <c r="AK204" s="14" t="s">
        <v>260</v>
      </c>
      <c r="AL204" s="14">
        <v>800000000</v>
      </c>
      <c r="AM204" s="16" t="s">
        <v>1512</v>
      </c>
    </row>
    <row r="205" spans="1:39"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2899</v>
      </c>
      <c r="AD205" s="23" t="s">
        <v>2878</v>
      </c>
      <c r="AE205" s="23" t="s">
        <v>2889</v>
      </c>
      <c r="AF205" s="23" t="s">
        <v>2884</v>
      </c>
      <c r="AG205" s="23" t="s">
        <v>2885</v>
      </c>
      <c r="AH205" s="23" t="s">
        <v>2852</v>
      </c>
      <c r="AI205" s="23" t="s">
        <v>2913</v>
      </c>
      <c r="AJ205" s="23" t="s">
        <v>2915</v>
      </c>
      <c r="AK205" t="s">
        <v>811</v>
      </c>
      <c r="AL205">
        <v>100000000</v>
      </c>
      <c r="AM205" s="3" t="s">
        <v>1520</v>
      </c>
    </row>
    <row r="206" spans="1:39"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c r="AE207" s="23"/>
      <c r="AF207" s="23"/>
      <c r="AG207" s="23"/>
      <c r="AH207" s="23"/>
      <c r="AI207" s="23"/>
      <c r="AJ207" s="23"/>
      <c r="AK207" s="9" t="s">
        <v>290</v>
      </c>
      <c r="AL207" s="9">
        <v>1500000</v>
      </c>
      <c r="AM207" s="12" t="s">
        <v>1531</v>
      </c>
    </row>
    <row r="208" spans="1:39"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2739</v>
      </c>
      <c r="AA210" t="s">
        <v>1281</v>
      </c>
      <c r="AB210" s="23">
        <f t="shared" si="4"/>
        <v>0</v>
      </c>
      <c r="AC210" s="23"/>
      <c r="AD210" s="23"/>
      <c r="AE210" s="23"/>
      <c r="AF210" s="23"/>
      <c r="AG210" s="23"/>
      <c r="AH210" s="23"/>
      <c r="AI210" s="23"/>
      <c r="AJ210" s="23"/>
      <c r="AK210" t="s">
        <v>1282</v>
      </c>
      <c r="AL210">
        <v>30870000</v>
      </c>
      <c r="AM210" s="3" t="s">
        <v>1545</v>
      </c>
    </row>
    <row r="211" spans="1:39"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2747</v>
      </c>
      <c r="AA211" t="s">
        <v>1550</v>
      </c>
      <c r="AB211" s="23">
        <f t="shared" si="4"/>
        <v>0</v>
      </c>
      <c r="AC211" s="23"/>
      <c r="AD211" s="23"/>
      <c r="AE211" s="23"/>
      <c r="AF211" s="23"/>
      <c r="AG211" s="23"/>
      <c r="AH211" s="23"/>
      <c r="AI211" s="23"/>
      <c r="AJ211" s="23"/>
      <c r="AK211" t="s">
        <v>647</v>
      </c>
      <c r="AL211">
        <v>14443000000</v>
      </c>
      <c r="AM211" s="3" t="s">
        <v>1551</v>
      </c>
    </row>
    <row r="212" spans="1:39"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2873</v>
      </c>
      <c r="AE212" s="23" t="s">
        <v>2890</v>
      </c>
      <c r="AF212" s="23" t="s">
        <v>2884</v>
      </c>
      <c r="AG212" s="23" t="s">
        <v>2884</v>
      </c>
      <c r="AH212" s="23" t="s">
        <v>2851</v>
      </c>
      <c r="AI212" s="23" t="s">
        <v>2913</v>
      </c>
      <c r="AJ212" s="23" t="s">
        <v>2915</v>
      </c>
      <c r="AK212" s="14" t="s">
        <v>260</v>
      </c>
      <c r="AL212" s="14">
        <v>82850000</v>
      </c>
      <c r="AM212" s="16" t="s">
        <v>1558</v>
      </c>
    </row>
    <row r="213" spans="1:39"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2755</v>
      </c>
      <c r="AA219" t="s">
        <v>320</v>
      </c>
      <c r="AB219" s="23">
        <f>AQ219</f>
        <v>0</v>
      </c>
      <c r="AC219" s="23"/>
      <c r="AD219" s="23"/>
      <c r="AE219" s="23"/>
      <c r="AF219" s="23"/>
      <c r="AG219" s="23"/>
      <c r="AH219" s="23"/>
      <c r="AI219" s="23"/>
      <c r="AJ219" s="23"/>
      <c r="AK219" t="s">
        <v>270</v>
      </c>
      <c r="AL219">
        <v>73432000</v>
      </c>
      <c r="AM219" s="3" t="s">
        <v>1588</v>
      </c>
    </row>
    <row r="220" spans="1:39"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2753</v>
      </c>
      <c r="AA222" t="s">
        <v>480</v>
      </c>
      <c r="AB222" s="23">
        <f>AQ222</f>
        <v>0</v>
      </c>
      <c r="AC222" s="23"/>
      <c r="AD222" s="23"/>
      <c r="AE222" s="23"/>
      <c r="AF222" s="23"/>
      <c r="AG222" s="23"/>
      <c r="AH222" s="23"/>
      <c r="AI222" s="23"/>
      <c r="AJ222" s="23"/>
      <c r="AK222" t="s">
        <v>386</v>
      </c>
    </row>
    <row r="223" spans="1:39"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2896</v>
      </c>
      <c r="AE228" s="23" t="s">
        <v>2896</v>
      </c>
      <c r="AF228" s="23" t="s">
        <v>2896</v>
      </c>
      <c r="AG228" s="23" t="s">
        <v>2896</v>
      </c>
      <c r="AH228" s="23" t="s">
        <v>2896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2903</v>
      </c>
      <c r="AD230" s="23"/>
      <c r="AE230" s="23"/>
      <c r="AF230" s="23"/>
      <c r="AG230" s="23"/>
      <c r="AH230" s="23"/>
      <c r="AI230" s="23"/>
      <c r="AJ230" s="23"/>
      <c r="AK230" t="s">
        <v>308</v>
      </c>
      <c r="AL230">
        <v>110000000</v>
      </c>
      <c r="AM230" s="3" t="s">
        <v>1654</v>
      </c>
    </row>
    <row r="231" spans="1:39"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2736</v>
      </c>
      <c r="AA231" t="s">
        <v>1660</v>
      </c>
      <c r="AB231" s="23">
        <f>AQ231</f>
        <v>0</v>
      </c>
      <c r="AC231" s="23"/>
      <c r="AD231" s="23"/>
      <c r="AE231" s="23"/>
      <c r="AF231" s="23"/>
      <c r="AG231" s="23"/>
      <c r="AH231" s="23"/>
      <c r="AI231" s="23"/>
      <c r="AJ231" s="23"/>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2752</v>
      </c>
      <c r="AA235" t="s">
        <v>646</v>
      </c>
      <c r="AB235" s="23">
        <f>AQ235</f>
        <v>0</v>
      </c>
      <c r="AC235" s="23"/>
      <c r="AD235" s="23"/>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2755</v>
      </c>
      <c r="AA238" t="s">
        <v>320</v>
      </c>
      <c r="AB238" s="23">
        <f>AQ238</f>
        <v>0</v>
      </c>
      <c r="AC238" s="23"/>
      <c r="AD238" s="23"/>
      <c r="AE238" s="23"/>
      <c r="AF238" s="23"/>
      <c r="AG238" s="23"/>
      <c r="AH238" s="23"/>
      <c r="AI238" s="23"/>
      <c r="AJ238" s="23"/>
      <c r="AK238" t="s">
        <v>270</v>
      </c>
      <c r="AL238">
        <v>60000000</v>
      </c>
      <c r="AM238" s="3" t="s">
        <v>271</v>
      </c>
    </row>
    <row r="239" spans="1:39"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2740</v>
      </c>
      <c r="AA240" t="s">
        <v>1258</v>
      </c>
      <c r="AB240" s="23">
        <f>AQ240</f>
        <v>0</v>
      </c>
      <c r="AC240" s="23"/>
      <c r="AD240" s="23"/>
      <c r="AE240" s="23"/>
      <c r="AF240" s="23"/>
      <c r="AG240" s="23"/>
      <c r="AH240" s="23"/>
      <c r="AI240" s="23"/>
      <c r="AJ240" s="23"/>
      <c r="AK240" t="s">
        <v>270</v>
      </c>
      <c r="AL240">
        <v>700000000</v>
      </c>
      <c r="AM240" s="3" t="s">
        <v>585</v>
      </c>
    </row>
    <row r="241" spans="1:39"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2897</v>
      </c>
      <c r="AE242" s="23" t="s">
        <v>2897</v>
      </c>
      <c r="AF242" s="23" t="s">
        <v>2897</v>
      </c>
      <c r="AG242" s="23" t="s">
        <v>2897</v>
      </c>
      <c r="AH242" s="23" t="s">
        <v>2897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2749</v>
      </c>
      <c r="AA248" t="s">
        <v>754</v>
      </c>
      <c r="AB248" s="23">
        <f>AQ248</f>
        <v>0</v>
      </c>
      <c r="AC248" s="23"/>
      <c r="AD248" s="23"/>
      <c r="AE248" s="23"/>
      <c r="AF248" s="23"/>
      <c r="AG248" s="23"/>
      <c r="AH248" s="23"/>
      <c r="AI248" s="23"/>
      <c r="AJ248" s="23"/>
      <c r="AK248" t="s">
        <v>270</v>
      </c>
      <c r="AL248">
        <v>48300000</v>
      </c>
      <c r="AM248" s="3" t="s">
        <v>1754</v>
      </c>
    </row>
    <row r="249" spans="1:39"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2750</v>
      </c>
      <c r="AA249" t="s">
        <v>725</v>
      </c>
      <c r="AB249" s="23">
        <f>AQ249</f>
        <v>0</v>
      </c>
      <c r="AC249" s="23"/>
      <c r="AD249" s="23"/>
      <c r="AE249" s="23"/>
      <c r="AF249" s="23"/>
      <c r="AG249" s="23"/>
      <c r="AH249" s="23"/>
      <c r="AI249" s="23"/>
      <c r="AJ249" s="23"/>
      <c r="AK249" t="s">
        <v>270</v>
      </c>
    </row>
    <row r="250" spans="1:39"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2757</v>
      </c>
      <c r="AA251" t="s">
        <v>427</v>
      </c>
      <c r="AB251" s="23">
        <f>AQ251</f>
        <v>0</v>
      </c>
      <c r="AC251" s="23"/>
      <c r="AD251" s="23"/>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2752</v>
      </c>
      <c r="AA256" t="s">
        <v>646</v>
      </c>
      <c r="AB256" s="23">
        <f>AQ256</f>
        <v>0</v>
      </c>
      <c r="AC256" s="23"/>
      <c r="AD256" s="23"/>
      <c r="AE256" s="23"/>
      <c r="AF256" s="23"/>
      <c r="AG256" s="23"/>
      <c r="AH256" s="23"/>
      <c r="AI256" s="23"/>
      <c r="AJ256" s="23"/>
      <c r="AK256" t="s">
        <v>647</v>
      </c>
      <c r="AL256">
        <v>3375000000</v>
      </c>
      <c r="AM256" s="3" t="s">
        <v>1789</v>
      </c>
    </row>
    <row r="257" spans="1:39"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2735</v>
      </c>
      <c r="AA257" t="s">
        <v>1795</v>
      </c>
      <c r="AB257" s="23">
        <f>AQ257</f>
        <v>0</v>
      </c>
      <c r="AC257" s="23"/>
      <c r="AD257" s="23" t="s">
        <v>2873</v>
      </c>
      <c r="AE257" s="23" t="s">
        <v>2880</v>
      </c>
      <c r="AF257" s="23"/>
      <c r="AG257" s="23"/>
      <c r="AH257" s="23" t="s">
        <v>2852</v>
      </c>
      <c r="AI257" s="23"/>
      <c r="AJ257" s="23"/>
      <c r="AK257" t="s">
        <v>386</v>
      </c>
      <c r="AL257">
        <v>200000000000</v>
      </c>
      <c r="AM257" s="3" t="s">
        <v>1796</v>
      </c>
    </row>
    <row r="258" spans="1:39"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2897</v>
      </c>
      <c r="AE258" s="23" t="s">
        <v>2897</v>
      </c>
      <c r="AF258" s="23" t="s">
        <v>2897</v>
      </c>
      <c r="AG258" s="23" t="s">
        <v>2897</v>
      </c>
      <c r="AH258" s="23" t="s">
        <v>2897</v>
      </c>
      <c r="AI258" s="23"/>
      <c r="AJ258" s="23"/>
      <c r="AK258" s="14" t="s">
        <v>270</v>
      </c>
      <c r="AL258" s="14">
        <v>700000000</v>
      </c>
      <c r="AM258" s="16" t="s">
        <v>585</v>
      </c>
    </row>
    <row r="259" spans="1:39"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2757</v>
      </c>
      <c r="AA260" t="s">
        <v>427</v>
      </c>
      <c r="AB260" s="23">
        <f>AQ260</f>
        <v>0</v>
      </c>
      <c r="AC260" s="23"/>
      <c r="AD260" s="23"/>
      <c r="AE260" s="23"/>
      <c r="AF260" s="23"/>
      <c r="AG260" s="23"/>
      <c r="AH260" s="23"/>
      <c r="AI260" s="23"/>
      <c r="AJ260" s="23"/>
      <c r="AK260" t="s">
        <v>260</v>
      </c>
      <c r="AL260">
        <v>64000000</v>
      </c>
      <c r="AM260" s="3" t="s">
        <v>1810</v>
      </c>
    </row>
    <row r="261" spans="1:39"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2899</v>
      </c>
      <c r="AD267" s="7" t="s">
        <v>2878</v>
      </c>
      <c r="AE267" s="7" t="s">
        <v>2894</v>
      </c>
      <c r="AF267" s="7"/>
      <c r="AG267" s="7"/>
      <c r="AH267" s="7" t="s">
        <v>2851</v>
      </c>
      <c r="AI267" s="7"/>
      <c r="AJ267" s="7"/>
      <c r="AK267" t="s">
        <v>270</v>
      </c>
      <c r="AL267">
        <v>500000000</v>
      </c>
      <c r="AM267" s="3" t="s">
        <v>922</v>
      </c>
    </row>
    <row r="268" spans="1:39"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2878</v>
      </c>
      <c r="AE268" s="23" t="s">
        <v>2891</v>
      </c>
      <c r="AF268" s="23" t="s">
        <v>2884</v>
      </c>
      <c r="AG268" s="23" t="s">
        <v>2884</v>
      </c>
      <c r="AH268" s="23" t="s">
        <v>2851</v>
      </c>
      <c r="AI268" s="23" t="s">
        <v>2913</v>
      </c>
      <c r="AJ268" s="77" t="s">
        <v>2918</v>
      </c>
      <c r="AK268" s="14" t="s">
        <v>345</v>
      </c>
      <c r="AL268" s="14">
        <v>4600000000</v>
      </c>
      <c r="AM268" s="16" t="s">
        <v>1857</v>
      </c>
    </row>
    <row r="269" spans="1:39"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2734</v>
      </c>
      <c r="AA272" t="s">
        <v>1879</v>
      </c>
      <c r="AB272" s="23">
        <f>AQ272</f>
        <v>0</v>
      </c>
      <c r="AC272" s="23"/>
      <c r="AD272" s="23"/>
      <c r="AE272" s="23"/>
      <c r="AF272" s="23"/>
      <c r="AG272" s="23"/>
      <c r="AH272" s="23"/>
      <c r="AI272" s="23"/>
      <c r="AJ272" s="23"/>
      <c r="AK272" t="s">
        <v>647</v>
      </c>
      <c r="AL272">
        <v>50000000000</v>
      </c>
      <c r="AM272" s="3" t="s">
        <v>1880</v>
      </c>
    </row>
    <row r="273" spans="1:39"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2739</v>
      </c>
      <c r="AA276" t="s">
        <v>1281</v>
      </c>
      <c r="AB276" s="23">
        <f>AQ276</f>
        <v>0</v>
      </c>
      <c r="AC276" s="23"/>
      <c r="AD276" s="23"/>
      <c r="AE276" s="23"/>
      <c r="AF276" s="23"/>
      <c r="AG276" s="23"/>
      <c r="AH276" s="23"/>
      <c r="AI276" s="23"/>
      <c r="AJ276" s="23"/>
      <c r="AK276" t="s">
        <v>1282</v>
      </c>
      <c r="AL276">
        <v>46305000</v>
      </c>
      <c r="AM276" s="3" t="s">
        <v>1898</v>
      </c>
    </row>
    <row r="277" spans="1:39"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2897</v>
      </c>
      <c r="AE280" s="23" t="s">
        <v>2897</v>
      </c>
      <c r="AF280" s="23" t="s">
        <v>2897</v>
      </c>
      <c r="AG280" s="23" t="s">
        <v>2897</v>
      </c>
      <c r="AH280" s="23" t="s">
        <v>2897</v>
      </c>
      <c r="AI280" s="23"/>
      <c r="AJ280" s="23"/>
      <c r="AK280" s="14" t="s">
        <v>260</v>
      </c>
      <c r="AL280" s="14">
        <v>950000000</v>
      </c>
      <c r="AM280" s="16" t="s">
        <v>1913</v>
      </c>
    </row>
    <row r="281" spans="1:39"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2755</v>
      </c>
      <c r="AA286" t="s">
        <v>320</v>
      </c>
      <c r="AB286" s="23">
        <f>AQ286</f>
        <v>0</v>
      </c>
      <c r="AC286" s="23"/>
      <c r="AD286" s="23"/>
      <c r="AE286" s="23"/>
      <c r="AF286" s="23"/>
      <c r="AG286" s="23"/>
      <c r="AH286" s="23"/>
      <c r="AI286" s="23"/>
      <c r="AJ286" s="23"/>
      <c r="AK286" t="s">
        <v>270</v>
      </c>
      <c r="AL286">
        <v>50000000</v>
      </c>
      <c r="AM286" s="3" t="s">
        <v>353</v>
      </c>
    </row>
    <row r="287" spans="1:39"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5" sqref="A2:A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3" sqref="A3"/>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2855</v>
      </c>
      <c r="B5" t="s">
        <v>2766</v>
      </c>
      <c r="C5" t="s">
        <v>2847</v>
      </c>
      <c r="D5" t="s">
        <v>382</v>
      </c>
      <c r="E5" s="62">
        <v>1</v>
      </c>
      <c r="F5" s="62">
        <v>0</v>
      </c>
      <c r="G5" s="62">
        <v>0</v>
      </c>
      <c r="H5" s="62">
        <v>3</v>
      </c>
    </row>
    <row r="6" spans="1:8" x14ac:dyDescent="0.2">
      <c r="A6" t="s">
        <v>1191</v>
      </c>
      <c r="B6" t="s">
        <v>2766</v>
      </c>
      <c r="C6" t="s">
        <v>2848</v>
      </c>
      <c r="D6" t="s">
        <v>382</v>
      </c>
      <c r="E6" s="62">
        <v>0</v>
      </c>
      <c r="F6" s="62">
        <v>0</v>
      </c>
      <c r="G6" s="62">
        <v>1</v>
      </c>
      <c r="H6" s="62">
        <v>9</v>
      </c>
    </row>
    <row r="7" spans="1:8" x14ac:dyDescent="0.2">
      <c r="A7" t="s">
        <v>816</v>
      </c>
      <c r="B7" t="s">
        <v>2766</v>
      </c>
      <c r="C7" t="s">
        <v>2847</v>
      </c>
      <c r="D7" t="s">
        <v>382</v>
      </c>
      <c r="E7" s="62">
        <v>1</v>
      </c>
      <c r="F7" s="62">
        <v>0</v>
      </c>
      <c r="G7" s="62">
        <v>0</v>
      </c>
      <c r="H7" s="62">
        <v>2</v>
      </c>
    </row>
    <row r="8" spans="1:8" x14ac:dyDescent="0.2">
      <c r="A8" t="s">
        <v>933</v>
      </c>
      <c r="B8" t="s">
        <v>2766</v>
      </c>
      <c r="C8" t="s">
        <v>2847</v>
      </c>
      <c r="D8" t="s">
        <v>2850</v>
      </c>
      <c r="E8" s="62">
        <v>0</v>
      </c>
      <c r="F8" s="62">
        <v>0</v>
      </c>
      <c r="G8" s="62">
        <v>1</v>
      </c>
      <c r="H8" s="62">
        <v>4</v>
      </c>
    </row>
    <row r="9" spans="1:8" x14ac:dyDescent="0.2">
      <c r="A9" t="s">
        <v>1135</v>
      </c>
      <c r="B9" t="s">
        <v>2766</v>
      </c>
      <c r="C9" t="s">
        <v>2847</v>
      </c>
      <c r="D9" t="s">
        <v>382</v>
      </c>
      <c r="E9" s="62">
        <v>1</v>
      </c>
      <c r="F9" s="62">
        <v>0</v>
      </c>
      <c r="G9" s="62">
        <v>0</v>
      </c>
      <c r="H9" s="62">
        <v>2</v>
      </c>
    </row>
    <row r="10" spans="1:8" x14ac:dyDescent="0.2">
      <c r="A10" t="s">
        <v>1855</v>
      </c>
      <c r="B10" t="s">
        <v>2766</v>
      </c>
      <c r="C10" t="s">
        <v>2847</v>
      </c>
      <c r="D10" t="s">
        <v>382</v>
      </c>
      <c r="E10" s="62">
        <v>1</v>
      </c>
      <c r="F10" s="62">
        <v>0</v>
      </c>
      <c r="G10" s="62">
        <v>0</v>
      </c>
      <c r="H10" s="62">
        <v>4</v>
      </c>
    </row>
    <row r="11" spans="1:8" x14ac:dyDescent="0.2">
      <c r="A11" t="s">
        <v>1324</v>
      </c>
      <c r="B11" t="s">
        <v>2766</v>
      </c>
      <c r="C11" t="s">
        <v>2843</v>
      </c>
      <c r="D11" t="s">
        <v>382</v>
      </c>
      <c r="E11" s="62">
        <v>0</v>
      </c>
      <c r="F11" s="62">
        <v>1</v>
      </c>
      <c r="G11" s="62">
        <v>0</v>
      </c>
      <c r="H11" s="62">
        <v>1</v>
      </c>
    </row>
    <row r="12" spans="1:8" x14ac:dyDescent="0.2">
      <c r="A12" t="s">
        <v>1065</v>
      </c>
      <c r="B12" t="s">
        <v>2766</v>
      </c>
      <c r="C12" t="s">
        <v>2846</v>
      </c>
      <c r="D12" t="s">
        <v>382</v>
      </c>
      <c r="E12" s="62">
        <v>0</v>
      </c>
      <c r="F12" s="62">
        <v>0</v>
      </c>
      <c r="G12" s="62">
        <v>1</v>
      </c>
      <c r="H12" s="62">
        <v>4</v>
      </c>
    </row>
    <row r="13" spans="1:8" x14ac:dyDescent="0.2">
      <c r="A13" t="s">
        <v>905</v>
      </c>
      <c r="B13" t="s">
        <v>2766</v>
      </c>
      <c r="C13" t="s">
        <v>2844</v>
      </c>
      <c r="D13" t="s">
        <v>2854</v>
      </c>
      <c r="E13" s="62">
        <v>0</v>
      </c>
      <c r="F13" s="62">
        <v>0</v>
      </c>
      <c r="G13" s="62">
        <v>1</v>
      </c>
      <c r="H13" s="62">
        <v>4</v>
      </c>
    </row>
    <row r="14" spans="1:8" x14ac:dyDescent="0.2">
      <c r="A14" t="s">
        <v>529</v>
      </c>
      <c r="B14" t="s">
        <v>2766</v>
      </c>
      <c r="C14" t="s">
        <v>2847</v>
      </c>
      <c r="D14" t="s">
        <v>2850</v>
      </c>
      <c r="E14" s="62">
        <v>0</v>
      </c>
      <c r="F14" s="62">
        <v>0</v>
      </c>
      <c r="G14">
        <v>1</v>
      </c>
      <c r="H14" s="62">
        <v>7</v>
      </c>
    </row>
    <row r="15" spans="1:8" x14ac:dyDescent="0.2">
      <c r="A15" t="s">
        <v>2856</v>
      </c>
      <c r="B15" t="s">
        <v>2766</v>
      </c>
      <c r="C15" t="s">
        <v>2847</v>
      </c>
      <c r="D15" t="s">
        <v>2850</v>
      </c>
      <c r="E15" s="62">
        <v>0</v>
      </c>
      <c r="F15" s="62">
        <v>0</v>
      </c>
      <c r="G15" s="62">
        <v>1</v>
      </c>
      <c r="H15" s="62">
        <v>2</v>
      </c>
    </row>
    <row r="16" spans="1:8" x14ac:dyDescent="0.2">
      <c r="A16" t="s">
        <v>1518</v>
      </c>
      <c r="B16" t="s">
        <v>2766</v>
      </c>
      <c r="C16" t="s">
        <v>2843</v>
      </c>
      <c r="D16" t="s">
        <v>2850</v>
      </c>
      <c r="E16" s="62">
        <v>0</v>
      </c>
      <c r="F16" s="62">
        <v>0</v>
      </c>
      <c r="G16" s="62">
        <v>1</v>
      </c>
      <c r="H16" s="62">
        <v>7</v>
      </c>
    </row>
    <row r="17" spans="1:8" x14ac:dyDescent="0.2">
      <c r="A17" t="s">
        <v>1398</v>
      </c>
      <c r="B17" t="s">
        <v>2766</v>
      </c>
      <c r="C17" t="s">
        <v>2843</v>
      </c>
      <c r="D17" t="s">
        <v>382</v>
      </c>
      <c r="E17" s="62">
        <v>0</v>
      </c>
      <c r="F17" s="62">
        <v>1</v>
      </c>
      <c r="G17" s="62">
        <v>0</v>
      </c>
      <c r="H17" s="62">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8" sqref="B8:I8"/>
    </sheetView>
  </sheetViews>
  <sheetFormatPr baseColWidth="10" defaultRowHeight="16" x14ac:dyDescent="0.2"/>
  <cols>
    <col min="2" max="2" width="74.5" bestFit="1" customWidth="1"/>
    <col min="3" max="3" width="45.1640625"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8" spans="1:10" x14ac:dyDescent="0.2">
      <c r="B8" t="s">
        <v>1846</v>
      </c>
      <c r="C8" t="s">
        <v>2766</v>
      </c>
      <c r="D8" t="s">
        <v>2847</v>
      </c>
      <c r="E8" t="s">
        <v>382</v>
      </c>
      <c r="F8" s="62">
        <v>1</v>
      </c>
      <c r="G8" s="62">
        <v>0</v>
      </c>
      <c r="H8" s="62">
        <v>0</v>
      </c>
      <c r="I8" s="62">
        <v>5</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results</vt:lpstr>
      <vt:lpstr>Category words</vt:lpstr>
      <vt:lpstr>start and stop times</vt:lpstr>
      <vt:lpstr>Sheet3</vt:lpstr>
      <vt:lpstr>bondsJune7</vt:lpstr>
      <vt:lpstr>expected results</vt:lpstr>
      <vt:lpstr>allocationsJune7</vt:lpstr>
      <vt:lpstr>Sheet2</vt:lpstr>
      <vt:lpstr>simScoreMap</vt:lpstr>
      <vt:lpstr>Sheet4</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2026-08-16T11:23:19Z</dcterms:modified>
</cp:coreProperties>
</file>