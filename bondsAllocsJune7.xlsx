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734ADB60-8C3A-5B41-951B-C64733E604DE}" xr6:coauthVersionLast="47" xr6:coauthVersionMax="47" xr10:uidLastSave="{00000000-0000-0000-0000-000000000000}"/>
  <bookViews>
    <workbookView xWindow="20540" yWindow="660" windowWidth="20260" windowHeight="22220" firstSheet="1" activeTab="6" xr2:uid="{8E6727E0-A9FB-8C40-9512-4989402EF6F9}"/>
  </bookViews>
  <sheets>
    <sheet name="Sheet3" sheetId="1" r:id="rId1"/>
    <sheet name="bondsJune7" sheetId="2" r:id="rId2"/>
    <sheet name="expected results" sheetId="3" r:id="rId3"/>
    <sheet name="allocationsJune7" sheetId="4" r:id="rId4"/>
    <sheet name="Sheet2" sheetId="5" r:id="rId5"/>
    <sheet name="Project timeline" sheetId="6" r:id="rId6"/>
    <sheet name="ground_truth_train" sheetId="7" r:id="rId7"/>
    <sheet name="rpts failing to execute" sheetId="8" r:id="rId8"/>
  </sheets>
  <definedNames>
    <definedName name="_xlnm._FilterDatabase" localSheetId="3" hidden="1">allocationsJune7!$A$2:$AC$2280</definedName>
    <definedName name="_xlnm._FilterDatabase" localSheetId="1" hidden="1">bondsJune7!$B$13:$AI$299</definedName>
    <definedName name="Slicer_eval_pop">#N/A</definedName>
    <definedName name="Slicer_is_in_allocs">#N/A</definedName>
    <definedName name="Slicer_out_of_scope">#N/A</definedName>
    <definedName name="Slicer_PDF_name">#N/A</definedName>
  </definedNames>
  <calcPr calcId="191029"/>
  <pivotCaches>
    <pivotCache cacheId="11" r:id="rId9"/>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4:slicerCache r:id="rId12"/>
        <x14:slicerCache r:id="rId1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<sst xmlns="http://schemas.openxmlformats.org/spreadsheetml/2006/main" count="19824" uniqueCount="2775">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</sst>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9"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s>
  <fills count="31">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s>
  <borders count="19">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44">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cellStyleXfs>
  <cellXfs count="5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startItem="25"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1">
      <filters>
        <filter val="FALSE"/>
      </filters>
    </filterColumn>
    <filterColumn colId="4">
      <filters>
        <filter val="FALSE"/>
      </filters>
    </filterColumn>
    <filterColumn colId="6">
      <filters>
        <filter val="FALSE"/>
      </filters>
    </filterColumn>
    <filterColumn colId="25">
      <filters>
        <filter val="Marco_de_Uso_de_Fondo_para_la_Emision_de_Bonos_Verdes,_Sociales_o_Sostenibles_BDP_I"/>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7">
      <filters>
        <filter val="CL0002521988"/>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M13" sqref="M13"/>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B1" zoomScale="133" workbookViewId="0">
      <selection activeCell="N118" sqref="N118"/>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hidden="1"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hidden="1"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hidden="1"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hidden="1"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hidden="1"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hidden="1"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hidden="1"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hidden="1"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hidden="1"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hidden="1"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hidden="1"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hidden="1"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hidden="1"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hidden="1"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hidden="1"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hidden="1"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hidden="1"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hidden="1"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hidden="1"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hidden="1"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hidden="1"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hidden="1"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hidden="1"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hidden="1"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hidden="1"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hidden="1"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hidden="1"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hidden="1"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hidden="1"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hidden="1"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hidden="1"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hidden="1"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hidden="1"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hidden="1"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hidden="1"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hidden="1"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hidden="1"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hidden="1"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hidden="1"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hidden="1"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hidden="1"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hidden="1"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hidden="1"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hidden="1"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hidden="1"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hidden="1"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hidden="1"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hidden="1"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hidden="1"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hidden="1"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hidden="1"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hidden="1"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hidden="1"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hidden="1"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hidden="1"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hidden="1"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hidden="1"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hidden="1"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hidden="1"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hidden="1"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5:O57"/>
  <sheetViews>
    <sheetView topLeftCell="F8" workbookViewId="0">
      <selection activeCell="O53" sqref="O53"/>
    </sheetView>
  </sheetViews>
  <sheetFormatPr baseColWidth="10" defaultRowHeight="16" x14ac:dyDescent="0.2"/>
  <cols>
    <col min="6" max="6" width="111.1640625" customWidth="1"/>
  </cols>
  <sheetData>
    <row r="5" spans="6:15" x14ac:dyDescent="0.2">
      <c r="I5" s="35"/>
      <c r="N5" t="b">
        <f>I5=O5</f>
        <v>0</v>
      </c>
      <c r="O5" s="38" t="s">
        <v>1142</v>
      </c>
    </row>
    <row r="6" spans="6:15" x14ac:dyDescent="0.2">
      <c r="G6" s="36" t="s">
        <v>2746</v>
      </c>
      <c r="H6" t="b">
        <f>G6=I6</f>
        <v>1</v>
      </c>
      <c r="I6" s="33" t="s">
        <v>2746</v>
      </c>
      <c r="N6" t="b">
        <f t="shared" ref="N6:N56" si="0">I6=O6</f>
        <v>1</v>
      </c>
      <c r="O6" s="32" t="s">
        <v>2746</v>
      </c>
    </row>
    <row r="7" spans="6:15" x14ac:dyDescent="0.2">
      <c r="F7" s="7" t="s">
        <v>854</v>
      </c>
      <c r="H7" t="b">
        <f t="shared" ref="H7:H55" si="1">G7=I7</f>
        <v>0</v>
      </c>
      <c r="I7" s="35" t="s">
        <v>577</v>
      </c>
      <c r="N7" t="b">
        <f t="shared" si="0"/>
        <v>1</v>
      </c>
      <c r="O7" s="38" t="s">
        <v>577</v>
      </c>
    </row>
    <row r="8" spans="6:15" x14ac:dyDescent="0.2">
      <c r="F8" s="7" t="s">
        <v>874</v>
      </c>
      <c r="G8" s="36" t="s">
        <v>2758</v>
      </c>
      <c r="H8" t="b">
        <f t="shared" si="1"/>
        <v>1</v>
      </c>
      <c r="I8" s="33" t="s">
        <v>2758</v>
      </c>
      <c r="N8" t="b">
        <f t="shared" si="0"/>
        <v>1</v>
      </c>
      <c r="O8" s="32" t="s">
        <v>2758</v>
      </c>
    </row>
    <row r="9" spans="6:15" x14ac:dyDescent="0.2">
      <c r="F9" s="7" t="s">
        <v>280</v>
      </c>
      <c r="G9" s="36" t="s">
        <v>2735</v>
      </c>
      <c r="H9" t="b">
        <f t="shared" si="1"/>
        <v>1</v>
      </c>
      <c r="I9" s="33" t="s">
        <v>2735</v>
      </c>
      <c r="N9" t="b">
        <f t="shared" si="0"/>
        <v>1</v>
      </c>
      <c r="O9" s="32" t="s">
        <v>2735</v>
      </c>
    </row>
    <row r="10" spans="6:15" x14ac:dyDescent="0.2">
      <c r="F10" s="7" t="s">
        <v>507</v>
      </c>
      <c r="G10" s="36" t="s">
        <v>1415</v>
      </c>
      <c r="H10" t="b">
        <f t="shared" si="1"/>
        <v>1</v>
      </c>
      <c r="I10" s="33" t="s">
        <v>1415</v>
      </c>
      <c r="N10" t="b">
        <f t="shared" si="0"/>
        <v>1</v>
      </c>
      <c r="O10" s="33" t="s">
        <v>1415</v>
      </c>
    </row>
    <row r="11" spans="6:15" x14ac:dyDescent="0.2">
      <c r="F11" s="7" t="s">
        <v>307</v>
      </c>
      <c r="G11" s="36" t="s">
        <v>2754</v>
      </c>
      <c r="H11" t="b">
        <f t="shared" si="1"/>
        <v>1</v>
      </c>
      <c r="I11" s="33" t="s">
        <v>2754</v>
      </c>
      <c r="N11" t="b">
        <f t="shared" si="0"/>
        <v>1</v>
      </c>
      <c r="O11" s="32" t="s">
        <v>2754</v>
      </c>
    </row>
    <row r="12" spans="6:15" x14ac:dyDescent="0.2">
      <c r="F12" s="7" t="s">
        <v>986</v>
      </c>
      <c r="G12" s="36" t="s">
        <v>2760</v>
      </c>
      <c r="H12" t="b">
        <f t="shared" si="1"/>
        <v>1</v>
      </c>
      <c r="I12" s="33" t="s">
        <v>2760</v>
      </c>
      <c r="N12" t="b">
        <f t="shared" si="0"/>
        <v>0</v>
      </c>
      <c r="O12" s="32" t="s">
        <v>1316</v>
      </c>
    </row>
    <row r="13" spans="6:15" x14ac:dyDescent="0.2">
      <c r="F13" s="7" t="s">
        <v>320</v>
      </c>
      <c r="G13" s="36" t="s">
        <v>2748</v>
      </c>
      <c r="H13" t="b">
        <f t="shared" si="1"/>
        <v>1</v>
      </c>
      <c r="I13" s="33" t="s">
        <v>2748</v>
      </c>
      <c r="N13" t="b">
        <f t="shared" si="0"/>
        <v>1</v>
      </c>
      <c r="O13" s="32" t="s">
        <v>2748</v>
      </c>
    </row>
    <row r="14" spans="6:15" x14ac:dyDescent="0.2">
      <c r="F14" s="7" t="s">
        <v>1024</v>
      </c>
      <c r="G14" s="36" t="s">
        <v>2761</v>
      </c>
      <c r="H14" t="b">
        <f t="shared" si="1"/>
        <v>1</v>
      </c>
      <c r="I14" s="33" t="s">
        <v>2761</v>
      </c>
      <c r="N14" t="b">
        <f t="shared" si="0"/>
        <v>0</v>
      </c>
      <c r="O14" s="32" t="s">
        <v>651</v>
      </c>
    </row>
    <row r="15" spans="6:15" x14ac:dyDescent="0.2">
      <c r="F15" s="7" t="s">
        <v>427</v>
      </c>
      <c r="G15" s="36" t="s">
        <v>2756</v>
      </c>
      <c r="H15" t="b">
        <f t="shared" si="1"/>
        <v>1</v>
      </c>
      <c r="I15" s="33" t="s">
        <v>2756</v>
      </c>
      <c r="N15" t="b">
        <f t="shared" si="0"/>
        <v>1</v>
      </c>
      <c r="O15" s="32" t="s">
        <v>2756</v>
      </c>
    </row>
    <row r="16" spans="6:15" x14ac:dyDescent="0.2">
      <c r="F16" s="7" t="s">
        <v>659</v>
      </c>
      <c r="G16" s="36" t="s">
        <v>2759</v>
      </c>
      <c r="H16" t="b">
        <f t="shared" si="1"/>
        <v>1</v>
      </c>
      <c r="I16" s="33" t="s">
        <v>2759</v>
      </c>
      <c r="N16" t="b">
        <f t="shared" si="0"/>
        <v>1</v>
      </c>
      <c r="O16" s="32" t="s">
        <v>2759</v>
      </c>
    </row>
    <row r="17" spans="6:15" x14ac:dyDescent="0.2">
      <c r="F17" s="7" t="s">
        <v>646</v>
      </c>
      <c r="G17" s="36" t="s">
        <v>1072</v>
      </c>
      <c r="H17" t="b">
        <f t="shared" si="1"/>
        <v>1</v>
      </c>
      <c r="I17" s="33" t="s">
        <v>1072</v>
      </c>
      <c r="N17" t="b">
        <f t="shared" si="0"/>
        <v>1</v>
      </c>
      <c r="O17" s="32" t="s">
        <v>1072</v>
      </c>
    </row>
    <row r="18" spans="6:15" x14ac:dyDescent="0.2">
      <c r="F18" s="7" t="s">
        <v>385</v>
      </c>
      <c r="H18" t="b">
        <f t="shared" si="1"/>
        <v>0</v>
      </c>
      <c r="I18" s="35" t="s">
        <v>1556</v>
      </c>
      <c r="N18" t="b">
        <f t="shared" si="0"/>
        <v>1</v>
      </c>
      <c r="O18" s="38" t="s">
        <v>1556</v>
      </c>
    </row>
    <row r="19" spans="6:15" x14ac:dyDescent="0.2">
      <c r="F19" s="7" t="s">
        <v>1221</v>
      </c>
      <c r="G19" s="36" t="s">
        <v>1156</v>
      </c>
      <c r="H19" t="b">
        <f t="shared" si="1"/>
        <v>1</v>
      </c>
      <c r="I19" s="33" t="s">
        <v>1156</v>
      </c>
      <c r="N19" t="b">
        <f t="shared" si="0"/>
        <v>1</v>
      </c>
      <c r="O19" s="32" t="s">
        <v>1156</v>
      </c>
    </row>
    <row r="20" spans="6:15" x14ac:dyDescent="0.2">
      <c r="F20" s="7" t="s">
        <v>1247</v>
      </c>
      <c r="H20" t="b">
        <f t="shared" si="1"/>
        <v>0</v>
      </c>
      <c r="I20" s="37" t="s">
        <v>1474</v>
      </c>
      <c r="N20" t="b">
        <f t="shared" si="0"/>
        <v>1</v>
      </c>
      <c r="O20" s="32" t="s">
        <v>1474</v>
      </c>
    </row>
    <row r="21" spans="6:15" x14ac:dyDescent="0.2">
      <c r="F21" s="7" t="s">
        <v>1258</v>
      </c>
      <c r="G21" s="36" t="s">
        <v>2750</v>
      </c>
      <c r="H21" t="b">
        <f t="shared" si="1"/>
        <v>1</v>
      </c>
      <c r="I21" s="33" t="s">
        <v>2750</v>
      </c>
      <c r="N21" t="b">
        <f t="shared" si="0"/>
        <v>1</v>
      </c>
      <c r="O21" s="32" t="s">
        <v>2750</v>
      </c>
    </row>
    <row r="22" spans="6:15" x14ac:dyDescent="0.2">
      <c r="F22" s="7" t="s">
        <v>1281</v>
      </c>
      <c r="H22" t="b">
        <f t="shared" si="1"/>
        <v>0</v>
      </c>
      <c r="I22" s="35" t="s">
        <v>1065</v>
      </c>
      <c r="N22" t="b">
        <f t="shared" si="0"/>
        <v>1</v>
      </c>
      <c r="O22" s="38" t="s">
        <v>1065</v>
      </c>
    </row>
    <row r="23" spans="6:15" x14ac:dyDescent="0.2">
      <c r="F23" s="7" t="s">
        <v>1294</v>
      </c>
      <c r="H23" t="b">
        <f t="shared" si="1"/>
        <v>0</v>
      </c>
      <c r="I23" s="35" t="s">
        <v>905</v>
      </c>
      <c r="N23" t="b">
        <f t="shared" si="0"/>
        <v>1</v>
      </c>
      <c r="O23" s="38" t="s">
        <v>905</v>
      </c>
    </row>
    <row r="24" spans="6:15" x14ac:dyDescent="0.2">
      <c r="F24" s="7" t="s">
        <v>725</v>
      </c>
      <c r="H24" t="b">
        <f t="shared" si="1"/>
        <v>0</v>
      </c>
      <c r="I24" s="35" t="s">
        <v>1398</v>
      </c>
      <c r="N24" t="b">
        <f t="shared" si="0"/>
        <v>1</v>
      </c>
      <c r="O24" s="38" t="s">
        <v>1398</v>
      </c>
    </row>
    <row r="25" spans="6:15" x14ac:dyDescent="0.2">
      <c r="F25" s="7" t="s">
        <v>335</v>
      </c>
      <c r="H25" t="b">
        <f t="shared" si="1"/>
        <v>1</v>
      </c>
      <c r="I25" s="35"/>
      <c r="N25" t="b">
        <f t="shared" si="0"/>
        <v>0</v>
      </c>
      <c r="O25" s="38" t="s">
        <v>809</v>
      </c>
    </row>
    <row r="26" spans="6:15" x14ac:dyDescent="0.2">
      <c r="F26" s="7" t="s">
        <v>1466</v>
      </c>
      <c r="G26" s="36" t="s">
        <v>2757</v>
      </c>
      <c r="H26" t="b">
        <f t="shared" si="1"/>
        <v>1</v>
      </c>
      <c r="I26" s="33" t="s">
        <v>2757</v>
      </c>
      <c r="N26" t="b">
        <f t="shared" si="0"/>
        <v>1</v>
      </c>
      <c r="O26" s="32" t="s">
        <v>2757</v>
      </c>
    </row>
    <row r="27" spans="6:15" x14ac:dyDescent="0.2">
      <c r="F27" s="7" t="s">
        <v>468</v>
      </c>
      <c r="G27" s="36" t="s">
        <v>2745</v>
      </c>
      <c r="H27" t="b">
        <f t="shared" si="1"/>
        <v>1</v>
      </c>
      <c r="I27" s="33" t="s">
        <v>2745</v>
      </c>
      <c r="N27" t="b">
        <f t="shared" si="0"/>
        <v>1</v>
      </c>
      <c r="O27" s="32" t="s">
        <v>2745</v>
      </c>
    </row>
    <row r="28" spans="6:15" x14ac:dyDescent="0.2">
      <c r="F28" s="7" t="s">
        <v>1550</v>
      </c>
      <c r="G28" s="36" t="s">
        <v>2755</v>
      </c>
      <c r="H28" t="b">
        <f t="shared" si="1"/>
        <v>1</v>
      </c>
      <c r="I28" s="33" t="s">
        <v>2755</v>
      </c>
      <c r="N28" t="b">
        <f t="shared" si="0"/>
        <v>1</v>
      </c>
      <c r="O28" s="32" t="s">
        <v>2755</v>
      </c>
    </row>
    <row r="29" spans="6:15" x14ac:dyDescent="0.2">
      <c r="F29" s="7" t="s">
        <v>480</v>
      </c>
      <c r="G29" s="36" t="s">
        <v>2749</v>
      </c>
      <c r="H29" t="b">
        <f t="shared" si="1"/>
        <v>1</v>
      </c>
      <c r="I29" s="33" t="s">
        <v>2749</v>
      </c>
      <c r="N29" t="b">
        <f t="shared" si="0"/>
        <v>1</v>
      </c>
      <c r="O29" s="32" t="s">
        <v>2749</v>
      </c>
    </row>
    <row r="30" spans="6:15" x14ac:dyDescent="0.2">
      <c r="F30" s="7" t="s">
        <v>1660</v>
      </c>
      <c r="G30" s="36" t="s">
        <v>2740</v>
      </c>
      <c r="H30" t="b">
        <f t="shared" si="1"/>
        <v>1</v>
      </c>
      <c r="I30" s="33" t="s">
        <v>2740</v>
      </c>
      <c r="N30" t="b">
        <f t="shared" si="0"/>
        <v>1</v>
      </c>
      <c r="O30" s="32" t="s">
        <v>2740</v>
      </c>
    </row>
    <row r="31" spans="6:15" x14ac:dyDescent="0.2">
      <c r="F31" s="7" t="s">
        <v>754</v>
      </c>
      <c r="G31" s="36" t="s">
        <v>1191</v>
      </c>
      <c r="H31" t="b">
        <f t="shared" si="1"/>
        <v>1</v>
      </c>
      <c r="I31" s="33" t="s">
        <v>1191</v>
      </c>
      <c r="N31" t="b">
        <f t="shared" si="0"/>
        <v>1</v>
      </c>
      <c r="O31" s="32" t="s">
        <v>1191</v>
      </c>
    </row>
    <row r="32" spans="6:15" x14ac:dyDescent="0.2">
      <c r="F32" s="7" t="s">
        <v>1795</v>
      </c>
      <c r="G32" s="36" t="s">
        <v>2738</v>
      </c>
      <c r="H32" t="b">
        <f t="shared" si="1"/>
        <v>1</v>
      </c>
      <c r="I32" s="33" t="s">
        <v>2738</v>
      </c>
      <c r="N32" t="b">
        <f t="shared" si="0"/>
        <v>1</v>
      </c>
      <c r="O32" s="32" t="s">
        <v>2738</v>
      </c>
    </row>
    <row r="33" spans="6:15" x14ac:dyDescent="0.2">
      <c r="F33" s="7" t="s">
        <v>1838</v>
      </c>
      <c r="H33" t="b">
        <f>G31=I33</f>
        <v>0</v>
      </c>
      <c r="I33" s="35" t="s">
        <v>529</v>
      </c>
      <c r="N33" t="b">
        <f t="shared" si="0"/>
        <v>1</v>
      </c>
      <c r="O33" s="38" t="s">
        <v>529</v>
      </c>
    </row>
    <row r="34" spans="6:15" x14ac:dyDescent="0.2">
      <c r="F34" s="7" t="s">
        <v>1879</v>
      </c>
      <c r="G34" s="36" t="s">
        <v>1031</v>
      </c>
      <c r="H34" t="b">
        <f t="shared" si="1"/>
        <v>1</v>
      </c>
      <c r="I34" s="33" t="s">
        <v>1031</v>
      </c>
      <c r="N34" t="b">
        <f t="shared" si="0"/>
        <v>1</v>
      </c>
      <c r="O34" s="32" t="s">
        <v>1031</v>
      </c>
    </row>
    <row r="35" spans="6:15" x14ac:dyDescent="0.2">
      <c r="G35" s="36" t="s">
        <v>2736</v>
      </c>
      <c r="H35" t="b">
        <f t="shared" si="1"/>
        <v>1</v>
      </c>
      <c r="I35" s="33" t="s">
        <v>2736</v>
      </c>
      <c r="N35" t="b">
        <f t="shared" si="0"/>
        <v>1</v>
      </c>
      <c r="O35" s="32" t="s">
        <v>2736</v>
      </c>
    </row>
    <row r="36" spans="6:15" x14ac:dyDescent="0.2">
      <c r="H36" t="b">
        <f t="shared" si="1"/>
        <v>1</v>
      </c>
      <c r="I36" s="35"/>
      <c r="N36" t="b">
        <f t="shared" si="0"/>
        <v>0</v>
      </c>
      <c r="O36" s="38" t="s">
        <v>816</v>
      </c>
    </row>
    <row r="37" spans="6:15" x14ac:dyDescent="0.2">
      <c r="G37" s="36" t="s">
        <v>288</v>
      </c>
      <c r="H37" t="b">
        <f t="shared" si="1"/>
        <v>1</v>
      </c>
      <c r="I37" s="33" t="s">
        <v>288</v>
      </c>
      <c r="N37" t="b">
        <f t="shared" si="0"/>
        <v>1</v>
      </c>
      <c r="O37" s="32" t="s">
        <v>288</v>
      </c>
    </row>
    <row r="38" spans="6:15" x14ac:dyDescent="0.2">
      <c r="H38" t="b">
        <f t="shared" si="1"/>
        <v>1</v>
      </c>
      <c r="I38" s="35"/>
      <c r="N38" t="b">
        <f t="shared" si="0"/>
        <v>0</v>
      </c>
      <c r="O38" s="38" t="s">
        <v>933</v>
      </c>
    </row>
    <row r="39" spans="6:15" x14ac:dyDescent="0.2">
      <c r="G39" s="36" t="s">
        <v>2751</v>
      </c>
      <c r="H39" t="b">
        <f t="shared" si="1"/>
        <v>1</v>
      </c>
      <c r="I39" s="33" t="s">
        <v>2751</v>
      </c>
      <c r="N39" t="b">
        <f t="shared" si="0"/>
        <v>1</v>
      </c>
      <c r="O39" s="32" t="s">
        <v>2751</v>
      </c>
    </row>
    <row r="40" spans="6:15" x14ac:dyDescent="0.2">
      <c r="G40" s="36" t="s">
        <v>2762</v>
      </c>
      <c r="H40" t="b">
        <f t="shared" si="1"/>
        <v>0</v>
      </c>
      <c r="I40" s="35"/>
      <c r="N40" t="b">
        <f t="shared" si="0"/>
        <v>0</v>
      </c>
      <c r="O40" s="38" t="s">
        <v>1846</v>
      </c>
    </row>
    <row r="41" spans="6:15" x14ac:dyDescent="0.2">
      <c r="G41" s="36" t="s">
        <v>2763</v>
      </c>
      <c r="H41" t="b">
        <f t="shared" si="1"/>
        <v>0</v>
      </c>
      <c r="I41" s="33" t="s">
        <v>2747</v>
      </c>
      <c r="N41" t="b">
        <f t="shared" si="0"/>
        <v>1</v>
      </c>
      <c r="O41" s="32" t="s">
        <v>2747</v>
      </c>
    </row>
    <row r="42" spans="6:15" x14ac:dyDescent="0.2">
      <c r="H42" t="b">
        <f t="shared" si="1"/>
        <v>1</v>
      </c>
      <c r="I42" s="35"/>
      <c r="N42" t="b">
        <f t="shared" si="0"/>
        <v>0</v>
      </c>
      <c r="O42" s="38" t="s">
        <v>1369</v>
      </c>
    </row>
    <row r="43" spans="6:15" x14ac:dyDescent="0.2">
      <c r="H43" t="b">
        <f t="shared" si="1"/>
        <v>0</v>
      </c>
      <c r="I43" s="33" t="s">
        <v>2734</v>
      </c>
      <c r="N43" t="b">
        <f t="shared" si="0"/>
        <v>1</v>
      </c>
      <c r="O43" s="32" t="s">
        <v>2734</v>
      </c>
    </row>
    <row r="44" spans="6:15" x14ac:dyDescent="0.2">
      <c r="G44" s="36" t="s">
        <v>2752</v>
      </c>
      <c r="H44" t="b">
        <f t="shared" si="1"/>
        <v>1</v>
      </c>
      <c r="I44" s="33" t="s">
        <v>2752</v>
      </c>
      <c r="N44" t="b">
        <f t="shared" si="0"/>
        <v>1</v>
      </c>
      <c r="O44" s="32" t="s">
        <v>2752</v>
      </c>
    </row>
    <row r="45" spans="6:15" x14ac:dyDescent="0.2">
      <c r="H45" t="b">
        <f t="shared" si="1"/>
        <v>0</v>
      </c>
      <c r="I45" s="35" t="s">
        <v>1638</v>
      </c>
      <c r="N45" t="b">
        <f t="shared" si="0"/>
        <v>1</v>
      </c>
      <c r="O45" s="38" t="s">
        <v>1638</v>
      </c>
    </row>
    <row r="46" spans="6:15" x14ac:dyDescent="0.2">
      <c r="G46" s="36" t="s">
        <v>2737</v>
      </c>
      <c r="H46" t="b">
        <f t="shared" si="1"/>
        <v>1</v>
      </c>
      <c r="I46" s="33" t="s">
        <v>2737</v>
      </c>
      <c r="N46" t="b">
        <f t="shared" si="0"/>
        <v>1</v>
      </c>
      <c r="O46" s="32" t="s">
        <v>2737</v>
      </c>
    </row>
    <row r="47" spans="6:15" x14ac:dyDescent="0.2">
      <c r="G47" s="36" t="s">
        <v>2743</v>
      </c>
      <c r="H47" t="b">
        <f t="shared" si="1"/>
        <v>1</v>
      </c>
      <c r="I47" s="33" t="s">
        <v>2743</v>
      </c>
      <c r="N47" t="b">
        <f t="shared" si="0"/>
        <v>1</v>
      </c>
      <c r="O47" s="32" t="s">
        <v>2743</v>
      </c>
    </row>
    <row r="48" spans="6:15" x14ac:dyDescent="0.2">
      <c r="G48" s="36" t="s">
        <v>2739</v>
      </c>
      <c r="H48" t="b">
        <f t="shared" si="1"/>
        <v>1</v>
      </c>
      <c r="I48" s="33" t="s">
        <v>2739</v>
      </c>
      <c r="N48" t="b">
        <f t="shared" si="0"/>
        <v>1</v>
      </c>
      <c r="O48" s="32" t="s">
        <v>2739</v>
      </c>
    </row>
    <row r="49" spans="7:15" x14ac:dyDescent="0.2">
      <c r="H49" t="b">
        <f t="shared" si="1"/>
        <v>0</v>
      </c>
      <c r="I49" s="35" t="s">
        <v>1518</v>
      </c>
      <c r="N49" t="b">
        <f t="shared" si="0"/>
        <v>1</v>
      </c>
      <c r="O49" s="38" t="s">
        <v>1518</v>
      </c>
    </row>
    <row r="50" spans="7:15" x14ac:dyDescent="0.2">
      <c r="G50" s="36" t="s">
        <v>2742</v>
      </c>
      <c r="H50" t="b">
        <f t="shared" si="1"/>
        <v>1</v>
      </c>
      <c r="I50" s="33" t="s">
        <v>2742</v>
      </c>
      <c r="N50" t="b">
        <f t="shared" si="0"/>
        <v>1</v>
      </c>
      <c r="O50" s="32" t="s">
        <v>2742</v>
      </c>
    </row>
    <row r="51" spans="7:15" x14ac:dyDescent="0.2">
      <c r="G51" s="36" t="s">
        <v>2741</v>
      </c>
      <c r="H51" t="b">
        <f t="shared" si="1"/>
        <v>1</v>
      </c>
      <c r="I51" s="33" t="s">
        <v>2741</v>
      </c>
      <c r="N51" t="b">
        <f t="shared" si="0"/>
        <v>1</v>
      </c>
      <c r="O51" s="32" t="s">
        <v>2741</v>
      </c>
    </row>
    <row r="52" spans="7:15" x14ac:dyDescent="0.2">
      <c r="H52" t="b">
        <f t="shared" si="1"/>
        <v>0</v>
      </c>
      <c r="I52" s="37" t="s">
        <v>2753</v>
      </c>
      <c r="N52" t="b">
        <f t="shared" si="0"/>
        <v>1</v>
      </c>
      <c r="O52" s="32" t="s">
        <v>2753</v>
      </c>
    </row>
    <row r="53" spans="7:15" x14ac:dyDescent="0.2">
      <c r="H53" t="b">
        <f t="shared" si="1"/>
        <v>0</v>
      </c>
      <c r="I53" s="35" t="s">
        <v>1135</v>
      </c>
      <c r="N53" t="b">
        <f t="shared" si="0"/>
        <v>1</v>
      </c>
      <c r="O53" s="38" t="s">
        <v>1135</v>
      </c>
    </row>
    <row r="54" spans="7:15" x14ac:dyDescent="0.2">
      <c r="G54" s="36" t="s">
        <v>2744</v>
      </c>
      <c r="H54" t="b">
        <f t="shared" si="1"/>
        <v>1</v>
      </c>
      <c r="I54" s="33" t="s">
        <v>2744</v>
      </c>
      <c r="N54" t="b">
        <f t="shared" si="0"/>
        <v>1</v>
      </c>
      <c r="O54" s="32" t="s">
        <v>2744</v>
      </c>
    </row>
    <row r="55" spans="7:15" x14ac:dyDescent="0.2">
      <c r="G55" s="36" t="s">
        <v>1529</v>
      </c>
      <c r="H55" t="b">
        <f t="shared" si="1"/>
        <v>1</v>
      </c>
      <c r="I55" s="33" t="s">
        <v>1529</v>
      </c>
      <c r="N55" t="b">
        <f t="shared" si="0"/>
        <v>1</v>
      </c>
      <c r="O55" s="32" t="s">
        <v>1529</v>
      </c>
    </row>
    <row r="56" spans="7:15" x14ac:dyDescent="0.2">
      <c r="N56" t="b">
        <f t="shared" si="0"/>
        <v>0</v>
      </c>
      <c r="O56" s="38" t="s">
        <v>1855</v>
      </c>
    </row>
    <row r="57" spans="7:15" x14ac:dyDescent="0.2">
      <c r="N57" t="b">
        <f>I58=O57</f>
        <v>0</v>
      </c>
      <c r="O57" s="38" t="s">
        <v>1324</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G24" sqref="G24"/>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2766</v>
      </c>
      <c r="C23">
        <v>1</v>
      </c>
      <c r="D23">
        <v>0</v>
      </c>
      <c r="E23">
        <v>0</v>
      </c>
      <c r="F23">
        <v>0</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11</v>
      </c>
    </row>
    <row r="34" spans="1:6" x14ac:dyDescent="0.2">
      <c r="A34" t="s">
        <v>1191</v>
      </c>
      <c r="B34" t="s">
        <v>2767</v>
      </c>
      <c r="C34">
        <v>0</v>
      </c>
      <c r="D34">
        <v>1</v>
      </c>
      <c r="E34">
        <v>0</v>
      </c>
      <c r="F34">
        <v>0</v>
      </c>
    </row>
    <row r="35" spans="1:6" x14ac:dyDescent="0.2">
      <c r="A35" t="s">
        <v>1031</v>
      </c>
      <c r="B35" t="s">
        <v>2766</v>
      </c>
      <c r="C35">
        <v>0</v>
      </c>
      <c r="D35">
        <v>1</v>
      </c>
      <c r="E35">
        <v>0</v>
      </c>
      <c r="F35">
        <v>0</v>
      </c>
    </row>
  </sheetData>
  <sortState xmlns:xlrd2="http://schemas.microsoft.com/office/spreadsheetml/2017/richdata2" ref="A2:F35">
    <sortCondition ref="A2:A35"/>
  </sortState>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F3"/>
  <sheetViews>
    <sheetView workbookViewId="0">
      <selection activeCell="A3" sqref="A3:XFD3"/>
    </sheetView>
  </sheetViews>
  <sheetFormatPr baseColWidth="10" defaultRowHeight="16" x14ac:dyDescent="0.2"/>
  <sheetData>
    <row r="1" spans="1:6" x14ac:dyDescent="0.2">
      <c r="A1" t="s">
        <v>1474</v>
      </c>
      <c r="B1" t="s">
        <v>2766</v>
      </c>
      <c r="C1">
        <v>0</v>
      </c>
      <c r="D1">
        <v>0</v>
      </c>
      <c r="E1">
        <v>1</v>
      </c>
      <c r="F1">
        <v>3</v>
      </c>
    </row>
    <row r="2" spans="1:6" x14ac:dyDescent="0.2">
      <c r="A2" t="s">
        <v>2734</v>
      </c>
      <c r="B2" t="s">
        <v>2767</v>
      </c>
      <c r="C2">
        <v>0</v>
      </c>
      <c r="D2">
        <v>0</v>
      </c>
      <c r="E2">
        <v>1</v>
      </c>
      <c r="F2">
        <v>8</v>
      </c>
    </row>
    <row r="3" spans="1:6" x14ac:dyDescent="0.2">
      <c r="A3" t="s">
        <v>2753</v>
      </c>
      <c r="B3" t="s">
        <v>2767</v>
      </c>
      <c r="C3">
        <v>1</v>
      </c>
      <c r="D3">
        <v>0</v>
      </c>
      <c r="E3">
        <v>0</v>
      </c>
      <c r="F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Sheet3</vt:lpstr>
      <vt:lpstr>bondsJune7</vt:lpstr>
      <vt:lpstr>expected results</vt:lpstr>
      <vt:lpstr>allocationsJune7</vt:lpstr>
      <vt:lpstr>Sheet2</vt:lpstr>
      <vt:lpstr>Project timeline</vt:lpstr>
      <vt:lpstr>ground_truth_train</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2026-08-05T23:05:47Z</dcterms:modified>
</cp:coreProperties>
</file>