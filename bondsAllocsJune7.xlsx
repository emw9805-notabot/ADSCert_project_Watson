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DSCert_project_Watson/"/>
    </mc:Choice>
  </mc:AlternateContent>
  <xr:revisionPtr revIDLastSave="0" documentId="13_ncr:1_{72013F85-FB42-0F41-AD43-010CBDFC78E3}" xr6:coauthVersionLast="47" xr6:coauthVersionMax="47" xr10:uidLastSave="{00000000-0000-0000-0000-000000000000}"/>
  <bookViews>
    <workbookView xWindow="20560" yWindow="660" windowWidth="20240" windowHeight="22220" firstSheet="3" activeTab="9" xr2:uid="{8E6727E0-A9FB-8C40-9512-4989402EF6F9}"/>
  </bookViews>
  <sheets>
    <sheet name="README" sheetId="10" r:id="rId1"/>
    <sheet name="results" sheetId="11" r:id="rId2"/>
    <sheet name="Category words" sheetId="12" r:id="rId3"/>
    <sheet name="start and stop times" sheetId="13" r:id="rId4"/>
    <sheet name="Sheet3" sheetId="1" r:id="rId5"/>
    <sheet name="bondsJune7" sheetId="2" r:id="rId6"/>
    <sheet name="expected results" sheetId="3" r:id="rId7"/>
    <sheet name="allocationsJune7" sheetId="4" r:id="rId8"/>
    <sheet name="Sheet2" sheetId="5" r:id="rId9"/>
    <sheet name="simScoreMap" sheetId="14" r:id="rId10"/>
    <sheet name="Project timeline" sheetId="6" r:id="rId11"/>
    <sheet name="ground_truth_train" sheetId="7" r:id="rId12"/>
    <sheet name="manual_baseline" sheetId="9" r:id="rId13"/>
    <sheet name="rpts failing to execute" sheetId="8" r:id="rId14"/>
  </sheets>
  <definedNames>
    <definedName name="_xlnm._FilterDatabase" localSheetId="7" hidden="1">allocationsJune7!$A$2:$AC$2280</definedName>
    <definedName name="_xlnm._FilterDatabase" localSheetId="5" hidden="1">bondsJune7!$B$13:$AI$299</definedName>
    <definedName name="_xlnm._FilterDatabase" localSheetId="12" hidden="1">manual_baseline!$C$1:$H$18</definedName>
    <definedName name="_xlnm._FilterDatabase" localSheetId="1" hidden="1">results!$A$1:$T$27</definedName>
    <definedName name="Slicer_eval_pop">#N/A</definedName>
    <definedName name="Slicer_is_in_allocs">#N/A</definedName>
    <definedName name="Slicer_out_of_scope">#N/A</definedName>
    <definedName name="Slicer_PDF_name">#N/A</definedName>
  </definedNames>
  <calcPr calcId="191029"/>
  <pivotCaches>
    <pivotCache cacheId="21" r:id="rId15"/>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6"/>
        <x14:slicerCache r:id="rId17"/>
        <x14:slicerCache r:id="rId18"/>
        <x14:slicerCache r:id="rId19"/>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 i="5" l="1"/>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tc={0145379E-184F-554D-A39C-F5247F5B0D2C}</author>
    <author>tc={CC052EA0-85E3-EA44-8A2E-2E9C03C5920B}</author>
    <author>tc={BEAB167B-4359-4F49-BAC7-C89EDCABB3DA}</author>
    <author>tc={480743B7-2DA2-B74F-8A6E-7DE8D7FFED2F}</author>
    <author>tc={E889D926-5384-9D43-BE09-6F5D0768450B}</author>
    <author>tc={2C455E6B-A506-C448-95EC-A909314A37D7}</author>
    <author>tc={AB6472DE-4185-D249-812D-337D2F2D7122}</author>
    <author>tc={516055E0-2F26-8344-B136-645E27AF6E0D}</author>
    <author>tc={00ADAAFC-8ABD-BB4E-8D8C-3D02BF5C746E}</author>
    <author>tc={A93490A6-AAA4-2248-8BED-47FB1BB375A5}</author>
    <author>tc={4A625130-7E8A-9B4E-B9C8-2EBEBCF458D8}</author>
    <author>tc={BE14DC6E-2D58-874D-891B-3B7A5DB1C57D}</author>
    <author>tc={1AB3B3D0-CAD4-464D-A2CD-D92C433339AC}</author>
    <author>tc={F0ABFC7B-83A3-1D41-99F0-D34DC1FB0744}</author>
    <author>tc={EF865A72-07FA-7240-833D-312B9460C279}</author>
    <author>tc={25611C2E-F7FD-154F-942C-8824141B8674}</author>
    <author>tc={22434478-EA82-B046-BD99-4934ADD81F75}</author>
    <author>tc={F57FBFE0-A00B-5648-8EBB-118C9BFF2A0D}</author>
    <author>tc={57260984-3284-E849-9A4A-E4B836B6B78B}</author>
    <author>tc={4415F625-77FC-144D-A93C-074F686CF8B0}</author>
    <author>tc={714E5C75-A2DA-EA49-BD5A-18C7767233EE}</author>
    <author>tc={DCB81AFB-8E57-BB4C-A2B2-6B7B37E459E8}</author>
    <author>tc={9E3E33F2-02E2-3F45-BD75-1CB76D984853}</author>
    <author>tc={D0CB8269-2B33-8243-B878-0B2A1AD60526}</author>
    <author>tc={C0F716C7-B57D-FF4C-9342-24FB300846DC}</author>
  </authors>
  <commentList>
    <comment ref="R3" authorId="0" shapeId="0" xr:uid="{0145379E-184F-554D-A39C-F5247F5B0D2C}">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Water Efficiency &amp; Sustainable Buildings</t>
      </text>
    </comment>
    <comment ref="R4" authorId="1" shapeId="0" xr:uid="{CC052EA0-85E3-EA44-8A2E-2E9C03C5920B}">
      <text>
        <t>[Threaded comment]
Your version of Excel allows you to read this threaded comment; however, any edits to it will get removed if the file is opened in a newer version of Excel. Learn more: https://go.microsoft.com/fwlink/?linkid=870924
Comment:
    UOP include Renewable Energy &amp; Energy Efficiency</t>
      </text>
    </comment>
    <comment ref="R5" authorId="2" shapeId="0" xr:uid="{BEAB167B-4359-4F49-BAC7-C89EDCABB3DA}">
      <text>
        <t>[Threaded comment]
Your version of Excel allows you to read this threaded comment; however, any edits to it will get removed if the file is opened in a newer version of Excel. Learn more: https://go.microsoft.com/fwlink/?linkid=870924
Comment:
    UOP include Energy Efficiency, Sustainable Water &amp; Wastewater Management, Clean Transportation, Green Buildings &amp; renewable Energy</t>
      </text>
    </comment>
    <comment ref="R6" authorId="3" shapeId="0" xr:uid="{480743B7-2DA2-B74F-8A6E-7DE8D7FFED2F}">
      <text>
        <t>[Threaded comment]
Your version of Excel allows you to read this threaded comment; however, any edits to it will get removed if the file is opened in a newer version of Excel. Learn more: https://go.microsoft.com/fwlink/?linkid=870924
Comment:
    UOP include renewable Energy, Flood Defences, Agriculture &amp; Forestry</t>
      </text>
    </comment>
    <comment ref="R7" authorId="4" shapeId="0" xr:uid="{E889D926-5384-9D43-BE09-6F5D0768450B}">
      <text>
        <t>[Threaded comment]
Your version of Excel allows you to read this threaded comment; however, any edits to it will get removed if the file is opened in a newer version of Excel. Learn more: https://go.microsoft.com/fwlink/?linkid=870924
Comment:
    UOP include Renewable Energy, Clean Transportation, Sustainable Management, Waste management, Water Management &amp; Energy Efficiency</t>
      </text>
    </comment>
    <comment ref="R8" authorId="5" shapeId="0" xr:uid="{2C455E6B-A506-C448-95EC-A909314A37D7}">
      <text>
        <t>[Threaded comment]
Your version of Excel allows you to read this threaded comment; however, any edits to it will get removed if the file is opened in a newer version of Excel. Learn more: https://go.microsoft.com/fwlink/?linkid=870924
Comment:
    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
      </text>
    </comment>
    <comment ref="P9" authorId="6" shapeId="0" xr:uid="{AB6472DE-4185-D249-812D-337D2F2D7122}">
      <text>
        <t>[Threaded comment]
Your version of Excel allows you to read this threaded comment; however, any edits to it will get removed if the file is opened in a newer version of Excel. Learn more: https://go.microsoft.com/fwlink/?linkid=870924
Comment:
    UOP include Renewable Energy</t>
      </text>
    </comment>
    <comment ref="R10" authorId="7" shapeId="0" xr:uid="{516055E0-2F26-8344-B136-645E27AF6E0D}">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1" authorId="8" shapeId="0" xr:uid="{00ADAAFC-8ABD-BB4E-8D8C-3D02BF5C746E}">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2" authorId="9" shapeId="0" xr:uid="{A93490A6-AAA4-2248-8BED-47FB1BB375A5}">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P13" authorId="10" shapeId="0" xr:uid="{4A625130-7E8A-9B4E-B9C8-2EBEBCF458D8}">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4" authorId="11" shapeId="0" xr:uid="{BE14DC6E-2D58-874D-891B-3B7A5DB1C57D}">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5" authorId="12" shapeId="0" xr:uid="{1AB3B3D0-CAD4-464D-A2CD-D92C433339AC}">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R16" authorId="13" shapeId="0" xr:uid="{F0ABFC7B-83A3-1D41-99F0-D34DC1FB0744}">
      <text>
        <t xml:space="preserve">[Threaded comment]
Your version of Excel allows you to read this threaded comment; however, any edits to it will get removed if the file is opened in a newer version of Excel. Learn more: https://go.microsoft.com/fwlink/?linkid=870924
Comment:
    UOP include Energy Efficiency , Sustainable Water Management , Pollution Prevention and Control </t>
      </text>
    </comment>
    <comment ref="R17" authorId="14" shapeId="0" xr:uid="{EF865A72-07FA-7240-833D-312B9460C279}">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No changes required</t>
      </text>
    </comment>
    <comment ref="R18" authorId="15" shapeId="0" xr:uid="{25611C2E-F7FD-154F-942C-8824141B8674}">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Agree no changes required</t>
      </text>
    </comment>
    <comment ref="R19" authorId="16" shapeId="0" xr:uid="{22434478-EA82-B046-BD99-4934ADD81F75}">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cleaner production, agriculture, construction, transportation and waste management
Reply:
    Agree no change</t>
      </text>
    </comment>
    <comment ref="R20" authorId="17" shapeId="0" xr:uid="{F57FBFE0-A00B-5648-8EBB-118C9BFF2A0D}">
      <text>
        <t>[Threaded comment]
Your version of Excel allows you to read this threaded comment; however, any edits to it will get removed if the file is opened in a newer version of Excel. Learn more: https://go.microsoft.com/fwlink/?linkid=870924
Comment:
    UOP include Potable Water supply and Wastewater treatment
Reply:
    Agree no change</t>
      </text>
    </comment>
    <comment ref="R21" authorId="18" shapeId="0" xr:uid="{57260984-3284-E849-9A4A-E4B836B6B78B}">
      <text>
        <t>[Threaded comment]
Your version of Excel allows you to read this threaded comment; however, any edits to it will get removed if the file is opened in a newer version of Excel. Learn more: https://go.microsoft.com/fwlink/?linkid=870924
Comment:
    UoP include Sustainable forest management, Sustainable water resource management, Preservation of biodiversity and restoration of forest cover of high conservation value, Prevention and control, Energy efficiency
Reply:
    Agree no change required</t>
      </text>
    </comment>
    <comment ref="P22" authorId="19" shapeId="0" xr:uid="{4415F625-77FC-144D-A93C-074F686CF8B0}">
      <text>
        <t>[Threaded comment]
Your version of Excel allows you to read this threaded comment; however, any edits to it will get removed if the file is opened in a newer version of Excel. Learn more: https://go.microsoft.com/fwlink/?linkid=870924
Comment:
    allocated towards financing or refinancing new and existing renewable energy projects 
Reply:
    Agree, no change</t>
      </text>
    </comment>
    <comment ref="R23" authorId="20" shapeId="0" xr:uid="{714E5C75-A2DA-EA49-BD5A-18C7767233EE}">
      <text>
        <t xml:space="preserve">[Threaded comment]
Your version of Excel allows you to read this threaded comment; however, any edits to it will get removed if the file is opened in a newer version of Excel. Learn more: https://go.microsoft.com/fwlink/?linkid=870924
Comment:
    Renewable energy; Efficiency; waste treatment; sustainable agriculture 
Reply:
    I got 8 total categories from pages 10-13:
Renewable energy
Energy efficiency
Sustainable Transportation
Sustainable Infrastructure
Green Construction
Water
Handling of Waste
Use of Soil
</t>
      </text>
    </comment>
    <comment ref="R24" authorId="21" shapeId="0" xr:uid="{DCB81AFB-8E57-BB4C-A2B2-6B7B37E459E8}">
      <text>
        <t>[Threaded comment]
Your version of Excel allows you to read this threaded comment; however, any edits to it will get removed if the file is opened in a newer version of Excel. Learn more: https://go.microsoft.com/fwlink/?linkid=870924
Comment:
    Renewable energy; information &amp; communication technologies; sustainable aquacultural ; agriculture; forest mgmt.; clean transportation; waste water treatment plans
Reply:
    Agree, no change</t>
      </text>
    </comment>
    <comment ref="R25" authorId="22" shapeId="0" xr:uid="{9E3E33F2-02E2-3F45-BD75-1CB76D984853}">
      <text>
        <t>[Threaded comment]
Your version of Excel allows you to read this threaded comment; however, any edits to it will get removed if the file is opened in a newer version of Excel. Learn more: https://go.microsoft.com/fwlink/?linkid=870924
Comment:
    Clean transportation ; pollution prevention and control
Reply:
    Agree, no change</t>
      </text>
    </comment>
    <comment ref="R26" authorId="23" shapeId="0" xr:uid="{D0CB8269-2B33-8243-B878-0B2A1AD60526}">
      <text>
        <t>[Threaded comment]
Your version of Excel allows you to read this threaded comment; however, any edits to it will get removed if the file is opened in a newer version of Excel. Learn more: https://go.microsoft.com/fwlink/?linkid=870924
Comment:
    Drinking water solutions; water storage; sanitation and sewage treatment; water and waste water treatment
Reply:
    Agree, no change</t>
      </text>
    </comment>
    <comment ref="P27" authorId="24" shapeId="0" xr:uid="{C0F716C7-B57D-FF4C-9342-24FB300846DC}">
      <text>
        <t>[Threaded comment]
Your version of Excel allows you to read this threaded comment; however, any edits to it will get removed if the file is opened in a newer version of Excel. Learn more: https://go.microsoft.com/fwlink/?linkid=870924
Comment:
    Agree, no change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<sst xmlns="http://schemas.openxmlformats.org/spreadsheetml/2006/main" count="20632" uniqueCount="2873">
  <si>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</si>
  <si>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</si>
  <si>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</si>
  <si>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</si>
  <si>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</si>
  <si>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</si>
  <si>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</si>
  <si>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</si>
  <si>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</si>
  <si>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</si>
  <si>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</si>
  <si>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</si>
  <si>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</si>
  <si>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</si>
  <si>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</si>
  <si>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</si>
  <si>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</si>
  <si>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</si>
  <si>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</si>
  <si>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</si>
  <si>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</si>
  <si>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</si>
  <si>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</si>
  <si>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</si>
  <si>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</si>
  <si>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</si>
  <si>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</si>
  <si>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</si>
  <si>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</si>
  <si>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</si>
  <si>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</si>
  <si>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</si>
  <si>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</si>
  <si>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</si>
  <si>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</si>
  <si>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</si>
  <si>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</si>
  <si>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</si>
  <si>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</si>
  <si>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</si>
  <si>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</si>
  <si>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</si>
  <si>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</si>
  <si>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</si>
  <si>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</si>
  <si>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</si>
  <si>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</si>
  <si>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</si>
  <si>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</si>
  <si>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</si>
  <si>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</si>
  <si>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</si>
  <si>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</si>
  <si>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</si>
  <si>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</si>
  <si>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</si>
  <si>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</si>
  <si>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</si>
  <si>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</si>
  <si>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</si>
  <si>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</si>
  <si>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</si>
  <si>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</si>
  <si>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</si>
  <si>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</si>
  <si>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</si>
  <si>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</si>
  <si>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</si>
  <si>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</si>
  <si>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</si>
  <si>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</si>
  <si>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</si>
  <si>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</si>
  <si>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</si>
  <si>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</si>
  <si>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</si>
  <si>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</si>
  <si>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</si>
  <si>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</si>
  <si>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</si>
  <si>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</si>
  <si>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</si>
  <si>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</si>
  <si>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</si>
  <si>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</si>
  <si>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</si>
  <si>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</si>
  <si>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</si>
  <si>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</si>
  <si>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</si>
  <si>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</si>
  <si>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</si>
  <si>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</si>
  <si>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</si>
  <si>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</si>
  <si>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</si>
  <si>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</si>
  <si>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</si>
  <si>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</si>
  <si>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</si>
  <si>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</si>
  <si>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</si>
  <si>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</si>
  <si>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</si>
  <si>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</si>
  <si>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</si>
  <si>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</si>
  <si>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</si>
  <si>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</si>
  <si>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</si>
  <si>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</si>
  <si>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</si>
  <si>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</si>
  <si>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</si>
  <si>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</si>
  <si>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</si>
  <si>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</si>
  <si>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</si>
  <si>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</si>
  <si>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</si>
  <si>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</si>
  <si>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</si>
  <si>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</si>
  <si>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</si>
  <si>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</si>
  <si>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</si>
  <si>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</si>
  <si>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</si>
  <si>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</si>
  <si>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</si>
  <si>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</si>
  <si>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</si>
  <si>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</si>
  <si>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</si>
  <si>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</si>
  <si>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</si>
  <si>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</si>
  <si>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</si>
  <si>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</si>
  <si>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</si>
  <si>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</si>
  <si>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</si>
  <si>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</si>
  <si>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</si>
  <si>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</si>
  <si>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</si>
  <si>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</si>
  <si>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</si>
  <si>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</si>
  <si>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</si>
  <si>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</si>
  <si>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</si>
  <si>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</si>
  <si>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</si>
  <si>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</si>
  <si>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</si>
  <si>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</si>
  <si>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</si>
  <si>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</si>
  <si>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</si>
  <si>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</si>
  <si>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</si>
  <si>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</si>
  <si>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</si>
  <si>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</si>
  <si>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</si>
  <si>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</si>
  <si>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</si>
  <si>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</si>
  <si>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</si>
  <si>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</si>
  <si>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</si>
  <si>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</si>
  <si>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</si>
  <si>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</si>
  <si>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</si>
  <si>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</si>
  <si>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</si>
  <si>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</si>
  <si>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</si>
  <si>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</si>
  <si>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</si>
  <si>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</si>
  <si>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</si>
  <si>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</si>
  <si>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</si>
  <si>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</si>
  <si>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</si>
  <si>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</si>
  <si>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</si>
  <si>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</si>
  <si>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</si>
  <si>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</si>
  <si>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</si>
  <si>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</si>
  <si>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</si>
  <si>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</si>
  <si>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</si>
  <si>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</si>
  <si>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</si>
  <si>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</si>
  <si>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</si>
  <si>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</si>
  <si>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</si>
  <si>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</si>
  <si>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</si>
  <si>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</si>
  <si>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</si>
  <si>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</si>
  <si>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</si>
  <si>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</si>
  <si>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</si>
  <si>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</si>
  <si>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</si>
  <si>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</si>
  <si>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</si>
  <si>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</si>
  <si>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</si>
  <si>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</si>
  <si>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</si>
  <si>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</si>
  <si>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</si>
  <si>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</si>
  <si>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</si>
  <si>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</si>
  <si>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</si>
  <si>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</si>
  <si>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</si>
  <si>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</si>
  <si>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</si>
  <si>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</si>
  <si>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</si>
  <si>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</si>
  <si>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</si>
  <si>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</si>
  <si>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</si>
  <si>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</si>
  <si>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</si>
  <si>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</si>
  <si>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</si>
  <si>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</si>
  <si>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</si>
  <si>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</si>
  <si>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</si>
  <si>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</si>
  <si>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</si>
  <si>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</si>
  <si>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</si>
  <si>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</si>
  <si>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</si>
  <si>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</si>
  <si>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</si>
  <si>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</si>
  <si>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</si>
  <si>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</si>
  <si>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</si>
  <si>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</si>
  <si>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</si>
  <si>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</si>
  <si>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</si>
  <si>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</si>
  <si>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</si>
  <si>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</si>
  <si>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</si>
  <si>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</si>
  <si>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</si>
  <si>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</si>
  <si>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</si>
  <si>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</si>
  <si>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</si>
  <si>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</si>
  <si>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</si>
  <si>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</si>
  <si>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</si>
  <si>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</si>
  <si>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</si>
  <si>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</si>
  <si>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</si>
  <si>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</si>
  <si>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</si>
  <si>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</si>
  <si>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</si>
  <si>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</si>
  <si>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</si>
  <si>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</si>
  <si>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</si>
  <si>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</si>
  <si>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</si>
  <si>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</si>
  <si>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</si>
  <si>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</si>
  <si>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</si>
  <si>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</si>
  <si>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</si>
  <si>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</si>
  <si>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</si>
  <si>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</si>
  <si>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</si>
  <si>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</si>
  <si>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</si>
  <si>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</si>
  <si>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</si>
  <si>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</si>
  <si>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</si>
  <si>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</si>
  <si>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</si>
  <si>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</si>
  <si>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</si>
  <si>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</si>
  <si>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</si>
  <si>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</si>
  <si>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</si>
  <si>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</si>
  <si>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</si>
  <si>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</si>
  <si>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</si>
  <si>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</si>
  <si>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</si>
  <si>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</si>
  <si>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</si>
  <si>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</si>
  <si>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</si>
  <si>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</si>
  <si>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</si>
  <si>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</si>
  <si>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</si>
  <si>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</si>
  <si>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</si>
  <si>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</si>
  <si>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</si>
  <si>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</si>
  <si>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</si>
  <si>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</si>
  <si>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</si>
  <si>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</si>
  <si>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</si>
  <si>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</si>
  <si>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</si>
  <si>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</si>
  <si>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</si>
  <si>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</si>
  <si>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</si>
  <si>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</si>
  <si>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</si>
  <si>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</si>
  <si>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</si>
  <si>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</si>
  <si>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</si>
  <si>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</si>
  <si>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</si>
  <si>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</si>
  <si>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</si>
  <si>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</si>
  <si>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</si>
  <si>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</si>
  <si>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</si>
  <si>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</si>
  <si>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</si>
  <si>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</si>
  <si>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</si>
  <si>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</si>
  <si>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</si>
  <si>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</si>
  <si>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</si>
  <si>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</si>
  <si>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</si>
  <si>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</si>
  <si>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</si>
  <si>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</si>
  <si>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</si>
  <si>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</si>
  <si>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</si>
  <si>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</si>
  <si>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</si>
  <si>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</si>
  <si>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</si>
  <si>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</si>
  <si>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</si>
  <si>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</si>
  <si>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</si>
  <si>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</si>
  <si>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</si>
  <si>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</si>
  <si>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</si>
  <si>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</si>
  <si>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</si>
  <si>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</si>
  <si>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</si>
  <si>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</si>
  <si>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</si>
  <si>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</si>
  <si>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</si>
  <si>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</si>
  <si>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</si>
  <si>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</si>
  <si>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</si>
  <si>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</si>
  <si>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</si>
  <si>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</si>
  <si>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</si>
  <si>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</si>
  <si>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</si>
  <si>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</si>
  <si>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</si>
  <si>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</si>
  <si>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</si>
  <si>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</si>
  <si>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</si>
  <si>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</si>
  <si>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</si>
  <si>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</si>
  <si>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</si>
  <si>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</si>
  <si>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</si>
  <si>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</si>
  <si>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</si>
  <si>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</si>
  <si>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</si>
  <si>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</si>
  <si>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</si>
  <si>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</si>
  <si>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</si>
  <si>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</si>
  <si>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</si>
  <si>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</si>
  <si>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</si>
  <si>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</si>
  <si>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</si>
  <si>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</si>
  <si>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</si>
  <si>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</si>
  <si>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</si>
  <si>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</si>
  <si>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</si>
  <si>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</si>
  <si>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</si>
  <si>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</si>
  <si>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</si>
  <si>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</si>
  <si>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</si>
  <si>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</si>
  <si>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</si>
  <si>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</si>
  <si>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</si>
  <si>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</si>
  <si>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</si>
  <si>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</si>
  <si>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</si>
  <si>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</si>
  <si>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</si>
  <si>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</si>
  <si>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</si>
  <si>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</si>
  <si>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</si>
  <si>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</si>
  <si>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</si>
  <si>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</si>
  <si>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</si>
  <si>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</si>
  <si>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</si>
  <si>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</si>
  <si>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</si>
  <si>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</si>
  <si>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</si>
  <si>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</si>
  <si>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</si>
  <si>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</si>
  <si>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</si>
  <si>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</si>
  <si>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</si>
  <si>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</si>
  <si>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</si>
  <si>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</si>
  <si>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</si>
  <si>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</si>
  <si>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</si>
  <si>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</si>
  <si>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</si>
  <si>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</si>
  <si>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</si>
  <si>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</si>
  <si>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</si>
  <si>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</si>
  <si>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</si>
  <si>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</si>
  <si>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</si>
  <si>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</si>
  <si>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</si>
  <si>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</si>
  <si>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</si>
  <si>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</si>
  <si>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</si>
  <si>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</si>
  <si>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</si>
  <si>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</si>
  <si>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</si>
  <si>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</si>
  <si>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</si>
  <si>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</si>
  <si>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</si>
  <si>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</si>
  <si>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</si>
  <si>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</si>
  <si>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</si>
  <si>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</si>
  <si>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</si>
  <si>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</si>
  <si>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</si>
  <si>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</si>
  <si>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</si>
  <si>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</si>
  <si>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</si>
  <si>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</si>
  <si>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</si>
  <si>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</si>
  <si>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</si>
  <si>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</si>
  <si>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</si>
  <si>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</si>
  <si>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</si>
  <si>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</si>
  <si>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</si>
  <si>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</si>
  <si>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</si>
  <si>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</si>
  <si>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</si>
  <si>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</si>
  <si>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</si>
  <si>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</si>
  <si>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</si>
  <si>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</si>
  <si>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</si>
  <si>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</si>
  <si>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</si>
  <si>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</si>
  <si>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</si>
  <si>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</si>
  <si>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</si>
  <si>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</si>
  <si>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</si>
  <si>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</si>
  <si>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</si>
  <si>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</si>
  <si>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</si>
  <si>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</si>
  <si>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</si>
  <si>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</si>
  <si>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</si>
  <si>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</si>
  <si>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</si>
  <si>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</si>
  <si>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</si>
  <si>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</si>
  <si>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</si>
  <si>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</si>
  <si>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</si>
  <si>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</si>
  <si>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</si>
  <si>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</si>
  <si>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</si>
  <si>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</si>
  <si>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</si>
  <si>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</si>
  <si>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</si>
  <si>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</si>
  <si>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</si>
  <si>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</si>
  <si>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</si>
  <si>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</si>
  <si>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</si>
  <si>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</si>
  <si>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</si>
  <si>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</si>
  <si>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</si>
  <si>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</si>
  <si>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</si>
  <si>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</si>
  <si>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</si>
  <si>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</si>
  <si>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</si>
  <si>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</si>
  <si>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</si>
  <si>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</si>
  <si>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</si>
  <si>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</si>
  <si>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</si>
  <si>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</si>
  <si>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</si>
  <si>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</si>
  <si>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</si>
  <si>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</si>
  <si>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</si>
  <si>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</si>
  <si>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</si>
  <si>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</si>
  <si>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</si>
  <si>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</si>
  <si>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</si>
  <si>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</si>
  <si>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</si>
  <si>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</si>
  <si>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</si>
  <si>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</si>
  <si>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</si>
  <si>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</si>
  <si>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</si>
  <si>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</si>
  <si>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</si>
  <si>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</si>
  <si>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</si>
  <si>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</si>
  <si>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</si>
  <si>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</si>
  <si>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</si>
  <si>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</si>
  <si>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</si>
  <si>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</si>
  <si>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</si>
  <si>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</si>
  <si>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</si>
  <si>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</si>
  <si>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</si>
  <si>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</si>
  <si>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</si>
  <si>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</si>
  <si>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</si>
  <si>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</si>
  <si>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</si>
  <si>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</si>
  <si>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</si>
  <si>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</si>
  <si>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</si>
  <si>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</si>
  <si>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</si>
  <si>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</si>
  <si>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</si>
  <si>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</si>
  <si>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</si>
  <si>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</si>
  <si>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</si>
  <si>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</si>
  <si>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</si>
  <si>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</si>
  <si>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</si>
  <si>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</si>
  <si>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</si>
  <si>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</si>
  <si>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</si>
  <si>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</si>
  <si>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</si>
  <si>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</si>
  <si>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</si>
  <si>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</si>
  <si>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</si>
  <si>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</si>
  <si>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</si>
  <si>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</si>
  <si>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</si>
  <si>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</si>
  <si>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</si>
  <si>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</si>
  <si>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</si>
  <si>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</si>
  <si>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</si>
  <si>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</si>
  <si>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</si>
  <si>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</si>
  <si>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</si>
  <si>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</si>
  <si>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</si>
  <si>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</si>
  <si>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</si>
  <si>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</si>
  <si>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</si>
  <si>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</si>
  <si>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</si>
  <si>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</si>
  <si>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</si>
  <si>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</si>
  <si>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</si>
  <si>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</si>
  <si>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</si>
  <si>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</si>
  <si>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</si>
  <si>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</si>
  <si>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</si>
  <si>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</si>
  <si>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</si>
  <si>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</si>
  <si>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</si>
  <si>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</si>
  <si>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</si>
  <si>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</si>
  <si>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</si>
  <si>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</si>
  <si>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</si>
  <si>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</si>
  <si>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</si>
  <si>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</si>
  <si>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</si>
  <si>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</si>
  <si>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</si>
  <si>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</si>
  <si>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</si>
  <si>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</si>
  <si>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</si>
  <si>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</si>
  <si>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</si>
  <si>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</si>
  <si>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</si>
  <si>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</si>
  <si>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</si>
  <si>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</si>
  <si>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</si>
  <si>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</si>
  <si>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</si>
  <si>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</si>
  <si>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</si>
  <si>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</si>
  <si>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</si>
  <si>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</si>
  <si>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</si>
  <si>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</si>
  <si>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</si>
  <si>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</si>
  <si>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</si>
  <si>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</si>
  <si>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</si>
  <si>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</si>
  <si>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</si>
  <si>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</si>
  <si>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</si>
  <si>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</si>
  <si>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</si>
  <si>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</si>
  <si>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</si>
  <si>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</si>
  <si>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</si>
  <si>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</si>
  <si>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</si>
  <si>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</si>
  <si>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</si>
  <si>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</si>
  <si>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</si>
  <si>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</si>
  <si>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</si>
  <si>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</si>
  <si>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</si>
  <si>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</si>
  <si>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</si>
  <si>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</si>
  <si>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</si>
  <si>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</si>
  <si>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</si>
  <si>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</si>
  <si>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</si>
  <si>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</si>
  <si>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</si>
  <si>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</si>
  <si>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</si>
  <si>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</si>
  <si>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</si>
  <si>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</si>
  <si>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</si>
  <si>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</si>
  <si>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</si>
  <si>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</si>
  <si>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</si>
  <si>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</si>
  <si>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</si>
  <si>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</si>
  <si>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</si>
  <si>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</si>
  <si>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</si>
  <si>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</si>
  <si>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</si>
  <si>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</si>
  <si>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</si>
  <si>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</si>
  <si>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</si>
  <si>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</si>
  <si>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</si>
  <si>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</si>
  <si>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</si>
  <si>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</si>
  <si>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</si>
  <si>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</si>
  <si>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</si>
  <si>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</si>
  <si>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</si>
  <si>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</si>
  <si>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</si>
  <si>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</si>
  <si>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</si>
  <si>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</si>
  <si>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</si>
  <si>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</si>
  <si>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</si>
  <si>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</si>
  <si>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</si>
  <si>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</si>
  <si>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</si>
  <si>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</si>
  <si>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</si>
  <si>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</si>
  <si>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</si>
  <si>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</si>
  <si>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</si>
  <si>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</si>
  <si>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</si>
  <si>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</si>
  <si>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</si>
  <si>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</si>
  <si>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</si>
  <si>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</si>
  <si>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</si>
  <si>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</si>
  <si>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</si>
  <si>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</si>
  <si>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</si>
  <si>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</si>
  <si>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</si>
  <si>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</si>
  <si>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</si>
  <si>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</si>
  <si>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</si>
  <si>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</si>
  <si>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</si>
  <si>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</si>
  <si>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</si>
  <si>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</si>
  <si>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</si>
  <si>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</si>
  <si>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</si>
  <si>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</si>
  <si>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</si>
  <si>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</si>
  <si>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</si>
  <si>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</si>
  <si>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</si>
  <si>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</si>
  <si>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</si>
  <si>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</si>
  <si>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</si>
  <si>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</si>
  <si>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</si>
  <si>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</si>
  <si>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</si>
  <si>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</si>
  <si>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</si>
  <si>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</si>
  <si>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</si>
  <si>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</si>
  <si>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</si>
  <si>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</si>
  <si>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</si>
  <si>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</si>
  <si>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</si>
  <si>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</si>
  <si>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</si>
  <si>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</si>
  <si>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</si>
  <si>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</si>
  <si>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</si>
  <si>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</si>
  <si>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</si>
  <si>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</si>
  <si>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</si>
  <si>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</si>
  <si>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</si>
  <si>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</si>
  <si>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</si>
  <si>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</si>
  <si>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</si>
  <si>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</si>
  <si>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</si>
  <si>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</si>
  <si>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</si>
  <si>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</si>
  <si>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</si>
  <si>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</si>
  <si>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</si>
  <si>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</si>
  <si>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</si>
  <si>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</si>
  <si>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</si>
  <si>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</si>
  <si>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</si>
  <si>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</si>
  <si>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</si>
  <si>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</si>
  <si>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</si>
  <si>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</si>
  <si>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</si>
  <si>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</si>
  <si>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</si>
  <si>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</si>
  <si>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</si>
  <si>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</si>
  <si>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</si>
  <si>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</si>
  <si>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</si>
  <si>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</si>
  <si>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</si>
  <si>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</si>
  <si>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</si>
  <si>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</si>
  <si>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</si>
  <si>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</si>
  <si>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</si>
  <si>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</si>
  <si>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</si>
  <si>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</si>
  <si>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</si>
  <si>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</si>
  <si>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</si>
  <si>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</si>
  <si>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</si>
  <si>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</si>
  <si>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</si>
  <si>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</si>
  <si>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</si>
  <si>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</si>
  <si>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</si>
  <si>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</si>
  <si>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</si>
  <si>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</si>
  <si>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</si>
  <si>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</si>
  <si>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</si>
  <si>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</si>
  <si>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</si>
  <si>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</si>
  <si>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</si>
  <si>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</si>
  <si>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</si>
  <si>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</si>
  <si>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</si>
  <si>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</si>
  <si>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</si>
  <si>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</si>
  <si>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</si>
  <si>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</si>
  <si>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</si>
  <si>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</si>
  <si>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</si>
  <si>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</si>
  <si>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</si>
  <si>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</si>
  <si>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</si>
  <si>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</si>
  <si>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</si>
  <si>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</si>
  <si>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</si>
  <si>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</si>
  <si>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</si>
  <si>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</si>
  <si>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</si>
  <si>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</si>
  <si>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</si>
  <si>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</si>
  <si>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</si>
  <si>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</si>
  <si>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</si>
  <si>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</si>
  <si>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</si>
  <si>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</si>
  <si>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</si>
  <si>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</si>
  <si>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</si>
  <si>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</si>
  <si>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</si>
  <si>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</si>
  <si>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</si>
  <si>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</si>
  <si>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</si>
  <si>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</si>
  <si>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</si>
  <si>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</si>
  <si>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</si>
  <si>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</si>
  <si>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</si>
  <si>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</si>
  <si>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</si>
  <si>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</si>
  <si>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</si>
  <si>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</si>
  <si>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</si>
  <si>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</si>
  <si>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</si>
  <si>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</si>
  <si>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</si>
  <si>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</si>
  <si>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</si>
  <si>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</si>
  <si>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</si>
  <si>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</si>
  <si>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</si>
  <si>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</si>
  <si>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</si>
  <si>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</si>
  <si>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</si>
  <si>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</si>
  <si>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</si>
  <si>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</si>
  <si>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</si>
  <si>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</si>
  <si>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</si>
  <si>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</si>
  <si>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</si>
  <si>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</si>
  <si>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</si>
  <si>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</si>
  <si>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</si>
  <si>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</si>
  <si>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</si>
  <si>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</si>
  <si>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</si>
  <si>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</si>
  <si>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</si>
  <si>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</si>
  <si>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</si>
  <si>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</si>
  <si>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</si>
  <si>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</si>
  <si>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</si>
  <si>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</si>
  <si>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</si>
  <si>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</si>
  <si>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</si>
  <si>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</si>
  <si>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</si>
  <si>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</si>
  <si>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</si>
  <si>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</si>
  <si>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</si>
  <si>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</si>
  <si>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</si>
  <si>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</si>
  <si>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</si>
  <si>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</si>
  <si>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</si>
  <si>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</si>
  <si>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</si>
  <si>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</si>
  <si>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</si>
  <si>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</si>
  <si>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</si>
  <si>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</si>
  <si>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</si>
  <si>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</si>
  <si>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</si>
  <si>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</si>
  <si>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</si>
  <si>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</si>
  <si>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</si>
  <si>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</si>
  <si>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</si>
  <si>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</si>
  <si>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</si>
  <si>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</si>
  <si>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</si>
  <si>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</si>
  <si>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</si>
  <si>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</si>
  <si>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</si>
  <si>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</si>
  <si>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</si>
  <si>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</si>
  <si>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</si>
  <si>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</si>
  <si>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</si>
  <si>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</si>
  <si>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</si>
  <si>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</si>
  <si>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</si>
  <si>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</si>
  <si>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</si>
  <si>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</si>
  <si>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</si>
  <si>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</si>
  <si>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</si>
  <si>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</si>
  <si>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</si>
  <si>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</si>
  <si>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</si>
  <si>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</si>
  <si>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</si>
  <si>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</si>
  <si>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</si>
  <si>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</si>
  <si>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</si>
  <si>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</si>
  <si>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</si>
  <si>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</si>
  <si>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</si>
  <si>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</si>
  <si>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</si>
  <si>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</si>
  <si>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</si>
  <si>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</si>
  <si>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</si>
  <si>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</si>
  <si>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</si>
  <si>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</si>
  <si>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</si>
  <si>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</si>
  <si>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</si>
  <si>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</si>
  <si>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</si>
  <si>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</si>
  <si>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</si>
  <si>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</si>
  <si>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</si>
  <si>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</si>
  <si>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</si>
  <si>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</si>
  <si>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</si>
  <si>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</si>
  <si>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</si>
  <si>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</si>
  <si>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</si>
  <si>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</si>
  <si>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</si>
  <si>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</si>
  <si>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</si>
  <si>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</si>
  <si>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</si>
  <si>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</si>
  <si>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</si>
  <si>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</si>
  <si>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</si>
  <si>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</si>
  <si>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</si>
  <si>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</si>
  <si>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</si>
  <si>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</si>
  <si>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</si>
  <si>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</si>
  <si>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</si>
  <si>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</si>
  <si>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</si>
  <si>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</si>
  <si>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</si>
  <si>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</si>
  <si>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</si>
  <si>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</si>
  <si>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</si>
  <si>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</si>
  <si>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</si>
  <si>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</si>
  <si>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</si>
  <si>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</si>
  <si>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</si>
  <si>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</si>
  <si>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</si>
  <si>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</si>
  <si>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</si>
  <si>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</si>
  <si>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</si>
  <si>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</si>
  <si>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</si>
  <si>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</si>
  <si>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</si>
  <si>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</si>
  <si>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</si>
  <si>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</si>
  <si>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</si>
  <si>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</si>
  <si>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</si>
  <si>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</si>
  <si>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</si>
  <si>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</si>
  <si>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</si>
  <si>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</si>
  <si>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</si>
  <si>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</si>
  <si>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</si>
  <si>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</si>
  <si>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</si>
  <si>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</si>
  <si>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</si>
  <si>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</si>
  <si>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</si>
  <si>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</si>
  <si>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</si>
  <si>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</si>
  <si>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</si>
  <si>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</si>
  <si>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</si>
  <si>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</si>
  <si>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</si>
  <si>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</si>
  <si>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</si>
  <si>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</si>
  <si>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</si>
  <si>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</si>
  <si>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</si>
  <si>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</si>
  <si>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</si>
  <si>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</si>
  <si>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</si>
  <si>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</si>
  <si>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</si>
  <si>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</si>
  <si>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</si>
  <si>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</si>
  <si>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</si>
  <si>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</si>
  <si>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</si>
  <si>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</si>
  <si>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</si>
  <si>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</si>
  <si>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</si>
  <si>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</si>
  <si>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</si>
  <si>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</si>
  <si>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</si>
  <si>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</si>
  <si>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</si>
  <si>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</si>
  <si>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</si>
  <si>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</si>
  <si>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</si>
  <si>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</si>
  <si>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</si>
  <si>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</si>
  <si>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</si>
  <si>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</si>
  <si>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</si>
  <si>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</si>
  <si>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</si>
  <si>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</si>
  <si>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</si>
  <si>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</si>
  <si>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</si>
  <si>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</si>
  <si>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</si>
  <si>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</si>
  <si>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</si>
  <si>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</si>
  <si>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</si>
  <si>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</si>
  <si>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</si>
  <si>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</si>
  <si>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</si>
  <si>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</si>
  <si>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</si>
  <si>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</si>
  <si>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</si>
  <si>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</si>
  <si>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</si>
  <si>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</si>
  <si>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</si>
  <si>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</si>
  <si>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</si>
  <si>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</si>
  <si>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</si>
  <si>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</si>
  <si>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</si>
  <si>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</si>
  <si>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</si>
  <si>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</si>
  <si>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</si>
  <si>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</si>
  <si>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</si>
  <si>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</si>
  <si>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</si>
  <si>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</si>
  <si>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</si>
  <si>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</si>
  <si>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</si>
  <si>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</si>
  <si>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</si>
  <si>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</si>
  <si>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</si>
  <si>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</si>
  <si>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</si>
  <si>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</si>
  <si>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</si>
  <si>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</si>
  <si>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</si>
  <si>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</si>
  <si>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</si>
  <si>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</si>
  <si>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</si>
  <si>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</si>
  <si>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</si>
  <si>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</si>
  <si>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</si>
  <si>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</si>
  <si>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</si>
  <si>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</si>
  <si>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</si>
  <si>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</si>
  <si>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</si>
  <si>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</si>
  <si>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</si>
  <si>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</si>
  <si>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</si>
  <si>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</si>
  <si>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</si>
  <si>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</si>
  <si>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</si>
  <si>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</si>
  <si>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</si>
  <si>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</si>
  <si>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</si>
  <si>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</si>
  <si>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</si>
  <si>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</si>
  <si>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</si>
  <si>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</si>
  <si>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</si>
  <si>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</si>
  <si>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</si>
  <si>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</si>
  <si>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</si>
  <si>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</si>
  <si>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</si>
  <si>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</si>
  <si>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</si>
  <si>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</si>
  <si>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</si>
  <si>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</si>
  <si>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</si>
  <si>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</si>
  <si>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</si>
  <si>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</si>
  <si>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</si>
  <si>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</si>
  <si>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</si>
  <si>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</si>
  <si>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</si>
  <si>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</si>
  <si>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</si>
  <si>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</si>
  <si>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</si>
  <si>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</si>
  <si>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</si>
  <si>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</si>
  <si>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</si>
  <si>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</si>
  <si>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</si>
  <si>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</si>
  <si>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</si>
  <si>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</si>
  <si>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</si>
  <si>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</si>
  <si>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</si>
  <si>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</si>
  <si>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</si>
  <si>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</si>
  <si>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</si>
  <si>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</si>
  <si>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</si>
  <si>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</si>
  <si>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</si>
  <si>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</si>
  <si>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</si>
  <si>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</si>
  <si>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</si>
  <si>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</si>
  <si>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</si>
  <si>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</si>
  <si>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</si>
  <si>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</si>
  <si>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</si>
  <si>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</si>
  <si>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</si>
  <si>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</si>
  <si>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</si>
  <si>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</si>
  <si>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</si>
  <si>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</si>
  <si>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</si>
  <si>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</si>
  <si>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</si>
  <si>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</si>
  <si>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</si>
  <si>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</si>
  <si>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</si>
  <si>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</si>
  <si>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</si>
  <si>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</si>
  <si>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</si>
  <si>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</si>
  <si>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</si>
  <si>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</si>
  <si>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</si>
  <si>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</si>
  <si>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</si>
  <si>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</si>
  <si>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</si>
  <si>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</si>
  <si>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</si>
  <si>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</si>
  <si>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</si>
  <si>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</si>
  <si>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</si>
  <si>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</si>
  <si>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</si>
  <si>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</si>
  <si>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</si>
  <si>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</si>
  <si>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</si>
  <si>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</si>
  <si>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</si>
  <si>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</si>
  <si>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</si>
  <si>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</si>
  <si>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</si>
  <si>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</si>
  <si>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</si>
  <si>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</si>
  <si>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</si>
  <si>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</si>
  <si>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</si>
  <si>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</si>
  <si>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</si>
  <si>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</si>
  <si>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</si>
  <si>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</si>
  <si>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</si>
  <si>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</si>
  <si>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</si>
  <si>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</si>
  <si>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</si>
  <si>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</si>
  <si>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</si>
  <si>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</si>
  <si>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</si>
  <si>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</si>
  <si>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</si>
  <si>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</si>
  <si>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</si>
  <si>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</si>
  <si>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</si>
  <si>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</si>
  <si>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</si>
  <si>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</si>
  <si>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</si>
  <si>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</si>
  <si>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</si>
  <si>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</si>
  <si>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</si>
  <si>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</si>
  <si>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</si>
  <si>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</si>
  <si>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</si>
  <si>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</si>
  <si>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</si>
  <si>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</si>
  <si>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</si>
  <si>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</si>
  <si>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</si>
  <si>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</si>
  <si>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</si>
  <si>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</si>
  <si>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</si>
  <si>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</si>
  <si>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</si>
  <si>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</si>
  <si>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</si>
  <si>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</si>
  <si>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</si>
  <si>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</si>
  <si>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</si>
  <si>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</si>
  <si>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</si>
  <si>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</si>
  <si>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</si>
  <si>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</si>
  <si>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</si>
  <si>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</si>
  <si>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</si>
  <si>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</si>
  <si>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</si>
  <si>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</si>
  <si>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</si>
  <si>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</si>
  <si>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</si>
  <si>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</si>
  <si>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</si>
  <si>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</si>
  <si>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</si>
  <si>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</si>
  <si>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</si>
  <si>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</si>
  <si>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</si>
  <si>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</si>
  <si>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</si>
  <si>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</si>
  <si>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</si>
  <si>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</si>
  <si>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</si>
  <si>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</si>
  <si>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</si>
  <si>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</si>
  <si>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</si>
  <si>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</si>
  <si>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</si>
  <si>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</si>
  <si>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</si>
  <si>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</si>
  <si>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</si>
  <si>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</si>
  <si>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</si>
  <si>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</si>
  <si>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</si>
  <si>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</si>
  <si>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</si>
  <si>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</si>
  <si>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</si>
  <si>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</si>
  <si>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</si>
  <si>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</si>
  <si>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</si>
  <si>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</si>
  <si>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</si>
  <si>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</si>
  <si>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</si>
  <si>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</si>
  <si>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</si>
  <si>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</si>
  <si>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</si>
  <si>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</si>
  <si>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</si>
  <si>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</si>
  <si>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</si>
  <si>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</si>
  <si>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</si>
  <si>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</si>
  <si>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</si>
  <si>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</si>
  <si>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</si>
  <si>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</si>
  <si>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</si>
  <si>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</si>
  <si>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</si>
  <si>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</si>
  <si>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</si>
  <si>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</si>
  <si>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</si>
  <si>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</si>
  <si>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</si>
  <si>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</si>
  <si>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</si>
  <si>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</si>
  <si>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</si>
  <si>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</si>
  <si>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</si>
  <si>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</si>
  <si>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</si>
  <si>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</si>
  <si>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</si>
  <si>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</si>
  <si>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</si>
  <si>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</si>
  <si>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</si>
  <si>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</si>
  <si>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</si>
  <si>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</si>
  <si>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</si>
  <si>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</si>
  <si>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</si>
  <si>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</si>
  <si>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</si>
  <si>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</si>
  <si>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</si>
  <si>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</si>
  <si>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</si>
  <si>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</si>
  <si>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</si>
  <si>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</si>
  <si>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</si>
  <si>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</si>
  <si>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</si>
  <si>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</si>
  <si>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</si>
  <si>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</si>
  <si>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</si>
  <si>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</si>
  <si>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</si>
  <si>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</si>
  <si>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</si>
  <si>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</si>
  <si>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</si>
  <si>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</si>
  <si>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</si>
  <si>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</si>
  <si>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</si>
  <si>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</si>
  <si>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</si>
  <si>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</si>
  <si>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</si>
  <si>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</si>
  <si>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</si>
  <si>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</si>
  <si>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</si>
  <si>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</si>
  <si>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</si>
  <si>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</si>
  <si>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</si>
  <si>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</si>
  <si>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</si>
  <si>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</si>
  <si>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</si>
  <si>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</si>
  <si>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</si>
  <si>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</si>
  <si>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</si>
  <si>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</si>
  <si>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</si>
  <si>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</si>
  <si>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</si>
  <si>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</si>
  <si>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</si>
  <si>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</si>
  <si>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</si>
  <si>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</si>
  <si>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</si>
  <si>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</si>
  <si>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</si>
  <si>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</si>
  <si>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</si>
  <si>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</si>
  <si>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</si>
  <si>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</si>
  <si>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</si>
  <si>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</si>
  <si>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</si>
  <si>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</si>
  <si>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</si>
  <si>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</si>
  <si>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</si>
  <si>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</si>
  <si>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</si>
  <si>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</si>
  <si>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</si>
  <si>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</si>
  <si>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</si>
  <si>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</si>
  <si>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</si>
  <si>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</si>
  <si>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</si>
  <si>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</si>
  <si>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</si>
  <si>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</si>
  <si>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</si>
  <si>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</si>
  <si>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</si>
  <si>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</si>
  <si>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</si>
  <si>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</si>
  <si>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</si>
  <si>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</si>
  <si>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</si>
  <si>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</si>
  <si>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</si>
  <si>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</si>
  <si>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</si>
  <si>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</si>
  <si>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</si>
  <si>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</si>
  <si>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</si>
  <si>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</si>
  <si>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</si>
  <si>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</si>
  <si>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</si>
  <si>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</si>
  <si>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</si>
  <si>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</si>
  <si>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</si>
  <si>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</si>
  <si>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</si>
  <si>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</si>
  <si>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</si>
  <si>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</si>
  <si>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</si>
  <si>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</si>
  <si>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</si>
  <si>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</si>
  <si>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</si>
  <si>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</si>
  <si>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</si>
  <si>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</si>
  <si>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</si>
  <si>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</si>
  <si>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</si>
  <si>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</si>
  <si>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</si>
  <si>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</si>
  <si>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</si>
  <si>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</si>
  <si>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</si>
  <si>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</si>
  <si>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</si>
  <si>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</si>
  <si>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</si>
  <si>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</si>
  <si>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</si>
  <si>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</si>
  <si>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</si>
  <si>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</si>
  <si>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</si>
  <si>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</si>
  <si>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</si>
  <si>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</si>
  <si>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</si>
  <si>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</si>
  <si>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</si>
  <si>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</si>
  <si>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</si>
  <si>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</si>
  <si>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</si>
  <si>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</si>
  <si>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</si>
  <si>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</si>
  <si>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</si>
  <si>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</si>
  <si>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</si>
  <si>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</si>
  <si>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</si>
  <si>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</si>
  <si>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</si>
  <si>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</si>
  <si>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</si>
  <si>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</si>
  <si>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</si>
  <si>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</si>
  <si>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</si>
  <si>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</si>
  <si>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</si>
  <si>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</si>
  <si>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</si>
  <si>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</si>
  <si>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</si>
  <si>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</si>
  <si>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</si>
  <si>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</si>
  <si>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</si>
  <si>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</si>
  <si>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</si>
  <si>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</si>
  <si>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</si>
  <si>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</si>
  <si>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</si>
  <si>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</si>
  <si>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</si>
  <si>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</si>
  <si>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</si>
  <si>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</si>
  <si>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</si>
  <si>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</si>
  <si>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</si>
  <si>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</si>
  <si>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</si>
  <si>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</si>
  <si>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</si>
  <si>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</si>
  <si>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</si>
  <si>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</si>
  <si>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</si>
  <si>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</si>
  <si>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</si>
  <si>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</si>
  <si>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</si>
  <si>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</si>
  <si>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</si>
  <si>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</si>
  <si>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</si>
  <si>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</si>
  <si>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</si>
  <si>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</si>
  <si>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</si>
  <si>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</si>
  <si>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</si>
  <si>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</si>
  <si>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</si>
  <si>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</si>
  <si>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</si>
  <si>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</si>
  <si>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</si>
  <si>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</si>
  <si>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</si>
  <si>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</si>
  <si>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</si>
  <si>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</si>
  <si>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</si>
  <si>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</si>
  <si>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</si>
  <si>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</si>
  <si>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</si>
  <si>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</si>
  <si>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</si>
  <si>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</si>
  <si>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</si>
  <si>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</si>
  <si>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</si>
  <si>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</si>
  <si>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</si>
  <si>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</si>
  <si>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</si>
  <si>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</si>
  <si>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</si>
  <si>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</si>
  <si>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</si>
  <si>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</si>
  <si>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</si>
  <si>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</si>
  <si>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</si>
  <si>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</si>
  <si>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</si>
  <si>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</si>
  <si>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</si>
  <si>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</si>
  <si>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</si>
  <si>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</si>
  <si>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</si>
  <si>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</si>
  <si>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</si>
  <si>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</si>
  <si>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</si>
  <si>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</si>
  <si>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</si>
  <si>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</si>
  <si>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</si>
  <si>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</si>
  <si>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</si>
  <si>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</si>
  <si>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</si>
  <si>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</si>
  <si>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</si>
  <si>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</si>
  <si>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</si>
  <si>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</si>
  <si>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</si>
  <si>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</si>
  <si>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</si>
  <si>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</si>
  <si>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</si>
  <si>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</si>
  <si>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</si>
  <si>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</si>
  <si>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</si>
  <si>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</si>
  <si>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</si>
  <si>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</si>
  <si>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</si>
  <si>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</si>
  <si>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</si>
  <si>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</si>
  <si>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</si>
  <si>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</si>
  <si>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</si>
  <si>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</si>
  <si>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</si>
  <si>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</si>
  <si>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</si>
  <si>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</si>
  <si>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</si>
  <si>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</si>
  <si>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</si>
  <si>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</si>
  <si>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</si>
  <si>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</si>
  <si>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</si>
  <si>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</si>
  <si>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</si>
  <si>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</si>
  <si>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</si>
  <si>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</si>
  <si>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</si>
  <si>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</si>
  <si>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</si>
  <si>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</si>
  <si>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</si>
  <si>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</si>
  <si>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</si>
  <si>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</si>
  <si>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</si>
  <si>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</si>
  <si>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</si>
  <si>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</si>
  <si>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</si>
  <si>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</si>
  <si>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</si>
  <si>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</si>
  <si>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</si>
  <si>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</si>
  <si>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</si>
  <si>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</si>
  <si>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</si>
  <si>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</si>
  <si>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</si>
  <si>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</si>
  <si>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</si>
  <si>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</si>
  <si>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</si>
  <si>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</si>
  <si>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</si>
  <si>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</si>
  <si>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</si>
  <si>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</si>
  <si>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</si>
  <si>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</si>
  <si>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</si>
  <si>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</si>
  <si>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</si>
  <si>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</si>
  <si>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</si>
  <si>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</si>
  <si>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</si>
  <si>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</si>
  <si>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</si>
  <si>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</si>
  <si>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</si>
  <si>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</si>
  <si>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</si>
  <si>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</si>
  <si>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</si>
  <si>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</si>
  <si>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</si>
  <si>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</si>
  <si>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</si>
  <si>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</si>
  <si>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</si>
  <si>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</si>
  <si>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</si>
  <si>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</si>
  <si>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</si>
  <si>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</si>
  <si>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</si>
  <si>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</si>
  <si>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</si>
  <si>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</si>
  <si>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</si>
  <si>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</si>
  <si>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</si>
  <si>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</si>
  <si>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</si>
  <si>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</si>
  <si>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</si>
  <si>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</si>
  <si>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</si>
  <si>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</si>
  <si>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</si>
  <si>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</si>
  <si>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</si>
  <si>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</si>
  <si>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(All)</t>
  </si>
  <si>
    <t>Sum of disbursed_usd</t>
  </si>
  <si>
    <t>category</t>
  </si>
  <si>
    <t>Total</t>
  </si>
  <si>
    <t>Renewable energy</t>
  </si>
  <si>
    <t>Water and wastewater</t>
  </si>
  <si>
    <t>Clean transportation</t>
  </si>
  <si>
    <t>Green buildings</t>
  </si>
  <si>
    <t>Eco-efficient economy</t>
  </si>
  <si>
    <t>Energy efficiency</t>
  </si>
  <si>
    <t>Environmental management</t>
  </si>
  <si>
    <t>Pollution</t>
  </si>
  <si>
    <t>CH1191066278 CH1148308716 CH1231312682 XS2045838039 XS2553215521</t>
  </si>
  <si>
    <t>US168863DN50 US168863DL94</t>
  </si>
  <si>
    <t>Climate change adaptation</t>
  </si>
  <si>
    <t>AREMGA5600S5 USP46756BA25</t>
  </si>
  <si>
    <t>AREMGA5600R7 AREMGA5600T3</t>
  </si>
  <si>
    <t>Prog Finandina COB63CB00440 COB63CB00457</t>
  </si>
  <si>
    <t>CH0553331882</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</si>
  <si>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</si>
  <si>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</si>
  <si>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</si>
  <si>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</si>
  <si>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</si>
  <si>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</si>
  <si>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</si>
  <si>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</si>
  <si>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</si>
  <si>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</si>
  <si>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</si>
  <si>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</si>
  <si>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</si>
  <si>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</si>
  <si>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</si>
  <si>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</si>
  <si>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</si>
  <si>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</si>
  <si>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</si>
  <si>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</si>
  <si>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</si>
  <si>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</si>
  <si>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</si>
  <si>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</si>
  <si>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</si>
  <si>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</si>
  <si>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</si>
  <si>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</si>
  <si>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</si>
  <si>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</si>
  <si>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</si>
  <si>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</si>
  <si>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</si>
  <si>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</si>
  <si>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</si>
  <si>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</si>
  <si>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</si>
  <si>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</si>
  <si>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</si>
  <si>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</si>
  <si>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</si>
  <si>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</si>
  <si>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</si>
  <si>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</si>
  <si>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</si>
  <si>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</si>
  <si>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</si>
  <si>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</si>
  <si>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</si>
  <si>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</si>
  <si>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</si>
  <si>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</si>
  <si>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</si>
  <si>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</si>
  <si>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</si>
  <si>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</si>
  <si>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</si>
  <si>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</si>
  <si>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</si>
  <si>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</si>
  <si>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</si>
  <si>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</si>
  <si>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</si>
  <si>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</si>
  <si>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</si>
  <si>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</si>
  <si>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</si>
  <si>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</si>
  <si>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</si>
  <si>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</si>
  <si>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</si>
  <si>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</si>
  <si>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</si>
  <si>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</si>
  <si>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</si>
  <si>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</si>
  <si>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</si>
  <si>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</si>
  <si>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</si>
  <si>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</si>
  <si>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</si>
  <si>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</si>
  <si>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</si>
  <si>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</si>
  <si>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</si>
  <si>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</si>
  <si>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</si>
  <si>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</si>
  <si>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</si>
  <si>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</si>
  <si>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</si>
  <si>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</si>
  <si>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</si>
  <si>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</si>
  <si>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</si>
  <si>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</si>
  <si>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</si>
  <si>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</si>
  <si>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</si>
  <si>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</si>
  <si>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</si>
  <si>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</si>
  <si>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</si>
  <si>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</si>
  <si>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</si>
  <si>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</si>
  <si>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</si>
  <si>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</si>
  <si>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</si>
  <si>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</si>
  <si>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</si>
  <si>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</si>
  <si>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</si>
  <si>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</si>
  <si>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</si>
  <si>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</si>
  <si>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</si>
  <si>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</si>
  <si>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</si>
  <si>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</si>
  <si>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</si>
  <si>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</si>
  <si>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</si>
  <si>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</si>
  <si>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</si>
  <si>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</si>
  <si>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</si>
  <si>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</si>
  <si>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</si>
  <si>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</si>
  <si>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</si>
  <si>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</si>
  <si>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</si>
  <si>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</si>
  <si>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</si>
  <si>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</si>
  <si>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</si>
  <si>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</si>
  <si>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</si>
  <si>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</si>
  <si>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</si>
  <si>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</si>
  <si>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</si>
  <si>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</si>
  <si>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</si>
  <si>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</si>
  <si>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</si>
  <si>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</si>
  <si>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</si>
  <si>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</si>
  <si>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</si>
  <si>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</si>
  <si>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</si>
  <si>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</si>
  <si>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</si>
  <si>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</si>
  <si>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</si>
  <si>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</si>
  <si>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</si>
  <si>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</si>
  <si>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</si>
  <si>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</si>
  <si>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</si>
  <si>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</si>
  <si>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</si>
  <si>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</si>
  <si>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</si>
  <si>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</si>
  <si>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</si>
  <si>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</si>
  <si>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</si>
  <si>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</si>
  <si>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</si>
  <si>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</si>
  <si>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</si>
  <si>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</si>
  <si>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</si>
  <si>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</si>
  <si>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</si>
  <si>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</si>
  <si>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</si>
  <si>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</si>
  <si>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</si>
  <si>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</si>
  <si>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</si>
  <si>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</si>
  <si>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</si>
  <si>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</si>
  <si>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</si>
  <si>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</si>
  <si>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</si>
  <si>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</si>
  <si>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</si>
  <si>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</si>
  <si>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</si>
  <si>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</si>
  <si>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</si>
  <si>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</si>
  <si>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</si>
  <si>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</si>
  <si>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</si>
  <si>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</si>
  <si>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</si>
  <si>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</si>
  <si>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</si>
  <si>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</si>
  <si>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</si>
  <si>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</si>
  <si>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</si>
  <si>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</si>
  <si>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</si>
  <si>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</si>
  <si>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</si>
  <si>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</si>
  <si>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</si>
  <si>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</si>
  <si>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</si>
  <si>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</si>
  <si>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</si>
  <si>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</si>
  <si>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</si>
  <si>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</si>
  <si>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</si>
  <si>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</si>
  <si>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</si>
  <si>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</si>
  <si>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</si>
  <si>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</si>
  <si>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</si>
  <si>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</si>
  <si>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</si>
  <si>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</si>
  <si>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</si>
  <si>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</si>
  <si>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</si>
  <si>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</si>
  <si>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</si>
  <si>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</si>
  <si>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</si>
  <si>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</si>
  <si>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</si>
  <si>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</si>
  <si>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</si>
  <si>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</si>
  <si>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</si>
  <si>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</si>
  <si>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</si>
  <si>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</si>
  <si>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</si>
  <si>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</si>
  <si>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</si>
  <si>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</si>
  <si>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</si>
  <si>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</si>
  <si>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</si>
  <si>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</si>
  <si>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</si>
  <si>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</si>
  <si>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</si>
  <si>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</si>
  <si>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</si>
  <si>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</si>
  <si>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</si>
  <si>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</si>
  <si>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</si>
  <si>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</si>
  <si>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</si>
  <si>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</si>
  <si>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</si>
  <si>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</si>
  <si>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</si>
  <si>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</si>
  <si>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</si>
  <si>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</si>
  <si>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</si>
  <si>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</si>
  <si>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</si>
  <si>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</si>
  <si>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</si>
  <si>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</si>
  <si>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</si>
  <si>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</si>
  <si>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</si>
  <si>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</si>
  <si>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</si>
  <si>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</si>
  <si>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</si>
  <si>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</si>
  <si>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</si>
  <si>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</si>
  <si>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</si>
  <si>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</si>
  <si>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</si>
  <si>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</si>
  <si>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</si>
  <si>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</si>
  <si>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</si>
  <si>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</si>
  <si>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</si>
  <si>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</si>
  <si>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</si>
  <si>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</si>
  <si>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</si>
  <si>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</si>
  <si>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</si>
  <si>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</si>
  <si>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</si>
  <si>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</si>
  <si>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</si>
  <si>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</si>
  <si>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</si>
  <si>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</si>
  <si>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</si>
  <si>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</si>
  <si>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</si>
  <si>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</si>
  <si>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</si>
  <si>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</si>
  <si>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</si>
  <si>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</si>
  <si>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</si>
  <si>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</si>
  <si>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</si>
  <si>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</si>
  <si>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</si>
  <si>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</si>
  <si>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</si>
  <si>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</si>
  <si>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</si>
  <si>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</si>
  <si>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</si>
  <si>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</si>
  <si>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</si>
  <si>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</si>
  <si>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</si>
  <si>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</si>
  <si>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</si>
  <si>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</si>
  <si>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</si>
  <si>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</si>
  <si>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</si>
  <si>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</si>
  <si>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</si>
  <si>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</si>
  <si>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</si>
  <si>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</si>
  <si>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</si>
  <si>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</si>
  <si>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</si>
  <si>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</si>
  <si>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</si>
  <si>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</si>
  <si>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</si>
  <si>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</si>
  <si>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</si>
  <si>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</si>
  <si>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</si>
  <si>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</si>
  <si>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</si>
  <si>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</si>
  <si>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</si>
  <si>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</si>
  <si>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</si>
  <si>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</si>
  <si>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</si>
  <si>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</si>
  <si>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</si>
  <si>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</si>
  <si>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</si>
  <si>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</si>
  <si>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</si>
  <si>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</si>
  <si>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</si>
  <si>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</si>
  <si>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</si>
  <si>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</si>
  <si>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</si>
  <si>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</si>
  <si>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</si>
  <si>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</si>
  <si>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</si>
  <si>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</si>
  <si>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</si>
  <si>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</si>
  <si>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</si>
  <si>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</si>
  <si>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</si>
  <si>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</si>
  <si>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</si>
  <si>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</si>
  <si>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</si>
  <si>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</si>
  <si>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</si>
  <si>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</si>
  <si>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</si>
  <si>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</si>
  <si>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</si>
  <si>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</si>
  <si>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</si>
  <si>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</si>
  <si>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</si>
  <si>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</si>
  <si>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</si>
  <si>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</si>
  <si>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</si>
  <si>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</si>
  <si>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</si>
  <si>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</si>
  <si>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</si>
  <si>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</si>
  <si>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</si>
  <si>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</si>
  <si>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</si>
  <si>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</si>
  <si>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</si>
  <si>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</si>
  <si>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</si>
  <si>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</si>
  <si>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</si>
  <si>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</si>
  <si>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</si>
  <si>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</si>
  <si>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</si>
  <si>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</si>
  <si>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</si>
  <si>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</si>
  <si>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</si>
  <si>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</si>
  <si>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</si>
  <si>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</si>
  <si>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</si>
  <si>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</si>
  <si>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</si>
  <si>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</si>
  <si>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</si>
  <si>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</si>
  <si>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</si>
  <si>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</si>
  <si>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</si>
  <si>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</si>
  <si>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</si>
  <si>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</si>
  <si>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</si>
  <si>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</si>
  <si>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</si>
  <si>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</si>
  <si>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</si>
  <si>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</si>
  <si>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</si>
  <si>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</si>
  <si>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</si>
  <si>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</si>
  <si>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</si>
  <si>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</si>
  <si>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</si>
  <si>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</si>
  <si>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</si>
  <si>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</si>
  <si>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</si>
  <si>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</si>
  <si>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</si>
  <si>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</si>
  <si>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</si>
  <si>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</si>
  <si>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</si>
  <si>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</si>
  <si>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</si>
  <si>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</si>
  <si>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</si>
  <si>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</si>
  <si>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</si>
  <si>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</si>
  <si>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</si>
  <si>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</si>
  <si>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</si>
  <si>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</si>
  <si>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</si>
  <si>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</si>
  <si>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</si>
  <si>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</si>
  <si>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</si>
  <si>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</si>
  <si>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</si>
  <si>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</si>
  <si>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</si>
  <si>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</si>
  <si>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</si>
  <si>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</si>
  <si>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</si>
  <si>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</si>
  <si>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</si>
  <si>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</si>
  <si>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</si>
  <si>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</si>
  <si>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</si>
  <si>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</si>
  <si>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</si>
  <si>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</si>
  <si>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</si>
  <si>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</si>
  <si>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</si>
  <si>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</si>
  <si>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</si>
  <si>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</si>
  <si>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</si>
  <si>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</si>
  <si>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</si>
  <si>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</si>
  <si>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</si>
  <si>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</si>
  <si>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</si>
  <si>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</si>
  <si>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</si>
  <si>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</si>
  <si>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</si>
  <si>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</si>
  <si>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</si>
  <si>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</si>
  <si>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</si>
  <si>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</si>
  <si>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</si>
  <si>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</si>
  <si>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</si>
  <si>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</si>
  <si>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</si>
  <si>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</si>
  <si>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</si>
  <si>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</si>
  <si>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</si>
  <si>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</si>
  <si>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</si>
  <si>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</si>
  <si>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</si>
  <si>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</si>
  <si>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</si>
  <si>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</si>
  <si>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</si>
  <si>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</si>
  <si>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</si>
  <si>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</si>
  <si>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</si>
  <si>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</si>
  <si>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</si>
  <si>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</si>
  <si>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</si>
  <si>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</si>
  <si>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</si>
  <si>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</si>
  <si>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</si>
  <si>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</si>
  <si>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</si>
  <si>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</si>
  <si>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</si>
  <si>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</si>
  <si>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</si>
  <si>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</si>
  <si>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</si>
  <si>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</si>
  <si>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</si>
  <si>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</si>
  <si>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</si>
  <si>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</si>
  <si>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</si>
  <si>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</si>
  <si>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</si>
  <si>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</si>
  <si>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</si>
  <si>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</si>
  <si>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</si>
  <si>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</si>
  <si>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</si>
  <si>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</si>
  <si>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</si>
  <si>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</si>
  <si>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</si>
  <si>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</si>
  <si>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</si>
  <si>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</si>
  <si>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</si>
  <si>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</si>
  <si>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</si>
  <si>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</si>
  <si>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</si>
  <si>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</si>
  <si>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</si>
  <si>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</si>
  <si>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</si>
  <si>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</si>
  <si>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</si>
  <si>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</si>
  <si>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</si>
  <si>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</si>
  <si>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</si>
  <si>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</si>
  <si>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</si>
  <si>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</si>
  <si>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</si>
  <si>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</si>
  <si>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</si>
  <si>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</si>
  <si>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</si>
  <si>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</si>
  <si>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</si>
  <si>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</si>
  <si>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</si>
  <si>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</si>
  <si>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</si>
  <si>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</si>
  <si>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</si>
  <si>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</si>
  <si>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</si>
  <si>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</si>
  <si>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</si>
  <si>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</si>
  <si>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</si>
  <si>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</si>
  <si>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</si>
  <si>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</si>
  <si>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</si>
  <si>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</si>
  <si>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</si>
  <si>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</si>
  <si>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</si>
  <si>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</si>
  <si>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</si>
  <si>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</si>
  <si>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</si>
  <si>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</si>
  <si>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</si>
  <si>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</si>
  <si>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</si>
  <si>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</si>
  <si>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</si>
  <si>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</si>
  <si>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</si>
  <si>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</si>
  <si>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</si>
  <si>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</si>
  <si>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</si>
  <si>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</si>
  <si>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</si>
  <si>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</si>
  <si>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</si>
  <si>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</si>
  <si>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</si>
  <si>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</si>
  <si>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</si>
  <si>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</si>
  <si>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</si>
  <si>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</si>
  <si>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</si>
  <si>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</si>
  <si>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</si>
  <si>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</si>
  <si>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</si>
  <si>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</si>
  <si>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</si>
  <si>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</si>
  <si>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</si>
  <si>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</si>
  <si>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</si>
  <si>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</si>
  <si>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</si>
  <si>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</si>
  <si>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</si>
  <si>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</si>
  <si>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</si>
  <si>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</si>
  <si>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</si>
  <si>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</si>
  <si>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</si>
  <si>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</si>
  <si>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</si>
  <si>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</si>
  <si>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</si>
  <si>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</si>
  <si>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</si>
  <si>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</si>
  <si>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</si>
  <si>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</si>
  <si>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</si>
  <si>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</si>
  <si>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</si>
  <si>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</si>
  <si>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</si>
  <si>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</si>
  <si>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</si>
  <si>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</si>
  <si>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</si>
  <si>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</si>
  <si>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</si>
  <si>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</si>
  <si>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</si>
  <si>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</si>
  <si>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</si>
  <si>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</si>
  <si>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</si>
  <si>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</si>
  <si>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</si>
  <si>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</si>
  <si>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</si>
  <si>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</si>
  <si>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</si>
  <si>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</si>
  <si>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</si>
  <si>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</si>
  <si>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</si>
  <si>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</si>
  <si>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</si>
  <si>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</si>
  <si>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</si>
  <si>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</si>
  <si>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</si>
  <si>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</si>
  <si>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</si>
  <si>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</si>
  <si>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</si>
  <si>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</si>
  <si>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</si>
  <si>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</si>
  <si>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</si>
  <si>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</si>
  <si>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</si>
  <si>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</si>
  <si>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</si>
  <si>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</si>
  <si>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</si>
  <si>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</si>
  <si>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</si>
  <si>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</si>
  <si>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</si>
  <si>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</si>
  <si>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</si>
  <si>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</si>
  <si>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</si>
  <si>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</si>
  <si>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</si>
  <si>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</si>
  <si>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</si>
  <si>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</si>
  <si>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</si>
  <si>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</si>
  <si>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</si>
  <si>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</si>
  <si>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</si>
  <si>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</si>
  <si>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</si>
  <si>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</si>
  <si>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</si>
  <si>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</si>
  <si>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</si>
  <si>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</si>
  <si>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</si>
  <si>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</si>
  <si>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</si>
  <si>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</si>
  <si>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</si>
  <si>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</si>
  <si>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</si>
  <si>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</si>
  <si>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</si>
  <si>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</si>
  <si>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</si>
  <si>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</si>
  <si>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</si>
  <si>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</si>
  <si>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</si>
  <si>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</si>
  <si>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</si>
  <si>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</si>
  <si>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</si>
  <si>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</si>
  <si>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</si>
  <si>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</si>
  <si>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</si>
  <si>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</si>
  <si>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</si>
  <si>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</si>
  <si>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</si>
  <si>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</si>
  <si>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</si>
  <si>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</si>
  <si>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</si>
  <si>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</si>
  <si>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</si>
  <si>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</si>
  <si>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</si>
  <si>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</si>
  <si>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</si>
  <si>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</si>
  <si>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</si>
  <si>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</si>
  <si>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</si>
  <si>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</si>
  <si>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#N/A</t>
  </si>
  <si>
    <t>Handle2</t>
  </si>
  <si>
    <t>alloc data table</t>
  </si>
  <si>
    <t>manual</t>
  </si>
  <si>
    <t>Marco_de_Gestion_de_Bono_Verde</t>
  </si>
  <si>
    <t>ES_0_percent</t>
  </si>
  <si>
    <t>ES_100_percent</t>
  </si>
  <si>
    <t>ES_partial</t>
  </si>
  <si>
    <t>number_of_cats</t>
  </si>
  <si>
    <t>pdfname</t>
  </si>
  <si>
    <t>gt_source</t>
  </si>
  <si>
    <t>align with manual baseline?</t>
  </si>
  <si>
    <t>If you decided as a group to confer in the case of ambiguities, you may not have any such cases</t>
  </si>
  <si>
    <t>If you don't agree but it's a judgement call about how word align to categories, correct it directly in the grid, mark the font as amber and update the category assumptions in cols S &amp; T, colouring their original entry in red font and leaving yours in black</t>
  </si>
  <si>
    <t>If you have to correct an entry to a non entry, enter 'should be blank' in red font</t>
  </si>
  <si>
    <t>If you don't agree and you think it's an error, correct it directly in the grid and mark the font as red</t>
  </si>
  <si>
    <t>When you check someone else's group, if you agree with their result, leave in in the grid as is.</t>
  </si>
  <si>
    <t>dealing with errors when checking</t>
  </si>
  <si>
    <t>Try to do each task all in one sitting but if you have to stop and then return to it, start and stop a timer each time to work on the task</t>
  </si>
  <si>
    <t>Start a timer when you start and record the start and stop times and record these in 'start and stop times'</t>
  </si>
  <si>
    <t>It's fine to complete in less than 90 mins but it's important to stick to the time limit - if you don't complete, simply write 'ran out of time' in the relevant cell(s).</t>
  </si>
  <si>
    <t>The 90 mins is a time limit - don't work longer than this on either task.</t>
  </si>
  <si>
    <t>You don't all have to work at the same time</t>
  </si>
  <si>
    <t>Set aside a 90 min slot to fill in the grid for your report group and then another 90 minute slot to check someone else's group</t>
  </si>
  <si>
    <t>recording time</t>
  </si>
  <si>
    <r>
      <rPr>
        <b/>
        <sz val="12"/>
        <color theme="1"/>
        <rFont val="Aptos Narrow"/>
        <scheme val="minor"/>
      </rPr>
      <t>If that's happened, use Columns S &amp; T</t>
    </r>
    <r>
      <rPr>
        <sz val="12"/>
        <color theme="1"/>
        <rFont val="Aptos Narrow"/>
        <family val="2"/>
        <scheme val="minor"/>
      </rPr>
      <t xml:space="preserve"> to record the 'new' word(s) and how you aligned . You can enter more than one word in a cell if needs be</t>
    </r>
  </si>
  <si>
    <r>
      <t xml:space="preserve">If the report contains category words other than these, </t>
    </r>
    <r>
      <rPr>
        <b/>
        <sz val="12"/>
        <color theme="1"/>
        <rFont val="Aptos Narrow"/>
        <scheme val="minor"/>
      </rPr>
      <t>use your judgement</t>
    </r>
    <r>
      <rPr>
        <sz val="12"/>
        <color theme="1"/>
        <rFont val="Aptos Narrow"/>
        <family val="2"/>
        <scheme val="minor"/>
      </rPr>
      <t xml:space="preserve"> to assign to one of the existing categories </t>
    </r>
  </si>
  <si>
    <t>Each category is in blue and words in red can be assigned to that category</t>
  </si>
  <si>
    <r>
      <t xml:space="preserve">The </t>
    </r>
    <r>
      <rPr>
        <b/>
        <sz val="12"/>
        <color theme="1"/>
        <rFont val="Aptos Narrow"/>
        <scheme val="minor"/>
      </rPr>
      <t>category words</t>
    </r>
    <r>
      <rPr>
        <sz val="12"/>
        <color theme="1"/>
        <rFont val="Aptos Narrow"/>
        <family val="2"/>
        <scheme val="minor"/>
      </rPr>
      <t xml:space="preserve"> tab has a 'dictionary style' list of 10 categories</t>
    </r>
  </si>
  <si>
    <t>For the rows where Renewable Energy partial% = 1, enter the total unique number of categories</t>
  </si>
  <si>
    <t>Col 'Num Cats (perial % only)'</t>
  </si>
  <si>
    <t>Enter 1 if the renewable energy is one of a number of different categories or leave blank</t>
  </si>
  <si>
    <t>Col 'Renewble Energy partial%'</t>
  </si>
  <si>
    <t>Enter 1 if the renewable energy is  the only category or leave blank</t>
  </si>
  <si>
    <t>Col 'Renewble Energy 100%'</t>
  </si>
  <si>
    <t>Enter 1 if the renewable energy is not present in the categories or leave blank</t>
  </si>
  <si>
    <t>Col 'Renewble Energy 0%'</t>
  </si>
  <si>
    <t xml:space="preserve">The data to fill in is as follows: </t>
  </si>
  <si>
    <t>filling in the grid</t>
  </si>
  <si>
    <r>
      <t xml:space="preserve">Also </t>
    </r>
    <r>
      <rPr>
        <b/>
        <sz val="12"/>
        <color theme="1"/>
        <rFont val="Aptos Narrow"/>
        <scheme val="minor"/>
      </rPr>
      <t>decide</t>
    </r>
    <r>
      <rPr>
        <sz val="12"/>
        <color theme="1"/>
        <rFont val="Aptos Narrow"/>
        <family val="2"/>
        <scheme val="minor"/>
      </rPr>
      <t xml:space="preserve"> as a group before starting whether you'll work </t>
    </r>
    <r>
      <rPr>
        <b/>
        <sz val="12"/>
        <color theme="1"/>
        <rFont val="Aptos Narrow"/>
        <scheme val="minor"/>
      </rPr>
      <t>independently or confer in case of ambiguities</t>
    </r>
  </si>
  <si>
    <r>
      <rPr>
        <b/>
        <sz val="12"/>
        <color theme="1"/>
        <rFont val="Aptos Narrow"/>
        <scheme val="minor"/>
      </rPr>
      <t>Decide</t>
    </r>
    <r>
      <rPr>
        <sz val="12"/>
        <color theme="1"/>
        <rFont val="Aptos Narrow"/>
        <family val="2"/>
        <scheme val="minor"/>
      </rPr>
      <t xml:space="preserve"> as a group how you will handle non English pdfs </t>
    </r>
    <r>
      <rPr>
        <b/>
        <sz val="12"/>
        <color theme="1"/>
        <rFont val="Aptos Narrow"/>
        <scheme val="minor"/>
      </rPr>
      <t>before you start the exercise</t>
    </r>
  </si>
  <si>
    <r>
      <rPr>
        <b/>
        <sz val="12"/>
        <color theme="1"/>
        <rFont val="Aptos Narrow"/>
        <scheme val="minor"/>
      </rPr>
      <t>Some pdfs are not in English</t>
    </r>
    <r>
      <rPr>
        <sz val="12"/>
        <color theme="1"/>
        <rFont val="Aptos Narrow"/>
        <family val="2"/>
        <scheme val="minor"/>
      </rPr>
      <t>: 1 in groups 1 &amp; 2 and 2 in group 3 (so group 3 is a little smaller)</t>
    </r>
  </si>
  <si>
    <r>
      <rPr>
        <b/>
        <sz val="12"/>
        <color theme="1"/>
        <rFont val="Aptos Narrow"/>
        <scheme val="minor"/>
      </rPr>
      <t>Some pdfs cover more that one row</t>
    </r>
    <r>
      <rPr>
        <sz val="12"/>
        <color theme="1"/>
        <rFont val="Aptos Narrow"/>
        <family val="2"/>
        <scheme val="minor"/>
      </rPr>
      <t xml:space="preserve"> and these are all in group 2</t>
    </r>
  </si>
  <si>
    <t>In col L, the bonds are divided into 3 groups, take one group each to fill in</t>
  </si>
  <si>
    <r>
      <t xml:space="preserve">Please fill in the </t>
    </r>
    <r>
      <rPr>
        <b/>
        <sz val="12"/>
        <color theme="1"/>
        <rFont val="Aptos Narrow"/>
        <scheme val="minor"/>
      </rPr>
      <t xml:space="preserve">blue grid section </t>
    </r>
    <r>
      <rPr>
        <sz val="12"/>
        <color theme="1"/>
        <rFont val="Aptos Narrow"/>
        <family val="2"/>
        <scheme val="minor"/>
      </rPr>
      <t>of that tab</t>
    </r>
  </si>
  <si>
    <r>
      <t>The list of bond is in '</t>
    </r>
    <r>
      <rPr>
        <b/>
        <sz val="12"/>
        <color theme="1"/>
        <rFont val="Aptos Narrow"/>
        <scheme val="minor"/>
      </rPr>
      <t>results</t>
    </r>
    <r>
      <rPr>
        <sz val="12"/>
        <color theme="1"/>
        <rFont val="Aptos Narrow"/>
        <family val="2"/>
        <scheme val="minor"/>
      </rPr>
      <t xml:space="preserve">' </t>
    </r>
  </si>
  <si>
    <t>preparation</t>
  </si>
  <si>
    <t>READ FIRST</t>
  </si>
  <si>
    <t>Marco_de_Referencia_de_Bonos_Verdes_del_Banco_de_Bogotá</t>
  </si>
  <si>
    <t>Framework,_Green_Bond_Protisa_Perú</t>
  </si>
  <si>
    <t>Renewable energy
Renewable energy</t>
  </si>
  <si>
    <t>Biomass
Geothermal</t>
  </si>
  <si>
    <t>Marco_de_la_Primera_Emisión</t>
  </si>
  <si>
    <t>Alignment of new words to dictionary keys</t>
  </si>
  <si>
    <t>New category words</t>
  </si>
  <si>
    <t>Num Cats (perial % only)</t>
  </si>
  <si>
    <t>Renewable Energy partial %</t>
  </si>
  <si>
    <t>Renewable Energy 100%</t>
  </si>
  <si>
    <t>Renewable Energy 0%</t>
  </si>
  <si>
    <t>Group 1, 2, 3</t>
  </si>
  <si>
    <r>
      <t>green_buildings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'buildings'</t>
    </r>
    <r>
      <rPr>
        <sz val="12"/>
        <color rgb="FF3B3B3B"/>
        <rFont val="Menlo"/>
        <family val="2"/>
      </rPr>
      <t xml:space="preserve">, </t>
    </r>
    <r>
      <rPr>
        <sz val="12"/>
        <color rgb="FFA31515"/>
        <rFont val="Menlo"/>
        <family val="2"/>
      </rPr>
      <t>'appliances'</t>
    </r>
    <r>
      <rPr>
        <sz val="12"/>
        <color rgb="FF3B3B3B"/>
        <rFont val="Menlo"/>
        <family val="2"/>
      </rPr>
      <t>]</t>
    </r>
  </si>
  <si>
    <r>
      <t>circular_economy_and_or_ecoefficient_projects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'circular'</t>
    </r>
    <r>
      <rPr>
        <sz val="12"/>
        <color rgb="FF3B3B3B"/>
        <rFont val="Menlo"/>
        <family val="2"/>
      </rPr>
      <t xml:space="preserve">, </t>
    </r>
    <r>
      <rPr>
        <sz val="12"/>
        <color rgb="FFA31515"/>
        <rFont val="Menlo"/>
        <family val="2"/>
      </rPr>
      <t>'recycle'</t>
    </r>
    <r>
      <rPr>
        <sz val="12"/>
        <color rgb="FF3B3B3B"/>
        <rFont val="Menlo"/>
        <family val="2"/>
      </rPr>
      <t xml:space="preserve">, </t>
    </r>
    <r>
      <rPr>
        <sz val="12"/>
        <color rgb="FFA31515"/>
        <rFont val="Menlo"/>
        <family val="2"/>
      </rPr>
      <t>'reuse'</t>
    </r>
    <r>
      <rPr>
        <sz val="12"/>
        <color rgb="FF3B3B3B"/>
        <rFont val="Menlo"/>
        <family val="2"/>
      </rPr>
      <t>]</t>
    </r>
  </si>
  <si>
    <r>
      <t>climate_change_adaptation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'adaptation'</t>
    </r>
    <r>
      <rPr>
        <sz val="12"/>
        <color rgb="FF3B3B3B"/>
        <rFont val="Menlo"/>
        <family val="2"/>
      </rPr>
      <t xml:space="preserve">, </t>
    </r>
    <r>
      <rPr>
        <sz val="12"/>
        <color rgb="FFA31515"/>
        <rFont val="Menlo"/>
        <family val="2"/>
      </rPr>
      <t>'disaster'</t>
    </r>
    <r>
      <rPr>
        <sz val="12"/>
        <color rgb="FF3B3B3B"/>
        <rFont val="Menlo"/>
        <family val="2"/>
      </rPr>
      <t>]</t>
    </r>
  </si>
  <si>
    <r>
      <t>sustainable_water_and_wastewater_management</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'water'</t>
    </r>
    <r>
      <rPr>
        <sz val="12"/>
        <color rgb="FF3B3B3B"/>
        <rFont val="Menlo"/>
        <family val="2"/>
      </rPr>
      <t xml:space="preserve">, </t>
    </r>
    <r>
      <rPr>
        <sz val="12"/>
        <color rgb="FFA31515"/>
        <rFont val="Menlo"/>
        <family val="2"/>
      </rPr>
      <t>'potable'</t>
    </r>
    <r>
      <rPr>
        <sz val="12"/>
        <color rgb="FF3B3B3B"/>
        <rFont val="Menlo"/>
        <family val="2"/>
      </rPr>
      <t xml:space="preserve">, </t>
    </r>
    <r>
      <rPr>
        <sz val="12"/>
        <color rgb="FFA31515"/>
        <rFont val="Menlo"/>
        <family val="2"/>
      </rPr>
      <t>'wastewater'</t>
    </r>
    <r>
      <rPr>
        <sz val="12"/>
        <color rgb="FF3B3B3B"/>
        <rFont val="Menlo"/>
        <family val="2"/>
      </rPr>
      <t xml:space="preserve">, </t>
    </r>
    <r>
      <rPr>
        <sz val="12"/>
        <color rgb="FFA31515"/>
        <rFont val="Menlo"/>
        <family val="2"/>
      </rPr>
      <t>'sanitation'</t>
    </r>
    <r>
      <rPr>
        <sz val="12"/>
        <color rgb="FF3B3B3B"/>
        <rFont val="Menlo"/>
        <family val="2"/>
      </rPr>
      <t xml:space="preserve">, </t>
    </r>
    <r>
      <rPr>
        <sz val="12"/>
        <color rgb="FFA31515"/>
        <rFont val="Menlo"/>
        <family val="2"/>
      </rPr>
      <t>'treatment'</t>
    </r>
    <r>
      <rPr>
        <sz val="12"/>
        <color rgb="FF3B3B3B"/>
        <rFont val="Menlo"/>
        <family val="2"/>
      </rPr>
      <t>]</t>
    </r>
  </si>
  <si>
    <r>
      <t>clean_transportation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'transportation'</t>
    </r>
    <r>
      <rPr>
        <sz val="12"/>
        <color rgb="FF3B3B3B"/>
        <rFont val="Menlo"/>
        <family val="2"/>
      </rPr>
      <t xml:space="preserve">, </t>
    </r>
    <r>
      <rPr>
        <sz val="12"/>
        <color rgb="FFA31515"/>
        <rFont val="Menlo"/>
        <family val="2"/>
      </rPr>
      <t>'electric'</t>
    </r>
    <r>
      <rPr>
        <sz val="12"/>
        <color rgb="FF3B3B3B"/>
        <rFont val="Menlo"/>
        <family val="2"/>
      </rPr>
      <t xml:space="preserve">, </t>
    </r>
    <r>
      <rPr>
        <sz val="12"/>
        <color rgb="FFA31515"/>
        <rFont val="Menlo"/>
        <family val="2"/>
      </rPr>
      <t>'battery'</t>
    </r>
    <r>
      <rPr>
        <sz val="12"/>
        <color rgb="FF3B3B3B"/>
        <rFont val="Menlo"/>
        <family val="2"/>
      </rPr>
      <t xml:space="preserve">, </t>
    </r>
    <r>
      <rPr>
        <sz val="12"/>
        <color rgb="FFA31515"/>
        <rFont val="Menlo"/>
        <family val="2"/>
      </rPr>
      <t>'EV'</t>
    </r>
    <r>
      <rPr>
        <sz val="12"/>
        <color rgb="FF3B3B3B"/>
        <rFont val="Menlo"/>
        <family val="2"/>
      </rPr>
      <t xml:space="preserve">, </t>
    </r>
    <r>
      <rPr>
        <sz val="12"/>
        <color rgb="FFA31515"/>
        <rFont val="Menlo"/>
        <family val="2"/>
      </rPr>
      <t>'charger'</t>
    </r>
    <r>
      <rPr>
        <sz val="12"/>
        <color rgb="FF3B3B3B"/>
        <rFont val="Menlo"/>
        <family val="2"/>
      </rPr>
      <t xml:space="preserve">, </t>
    </r>
    <r>
      <rPr>
        <sz val="12"/>
        <color rgb="FFA31515"/>
        <rFont val="Menlo"/>
        <family val="2"/>
      </rPr>
      <t>'bus'</t>
    </r>
    <r>
      <rPr>
        <sz val="12"/>
        <color rgb="FF3B3B3B"/>
        <rFont val="Menlo"/>
        <family val="2"/>
      </rPr>
      <t xml:space="preserve">, </t>
    </r>
    <r>
      <rPr>
        <sz val="12"/>
        <color rgb="FFA31515"/>
        <rFont val="Menlo"/>
        <family val="2"/>
      </rPr>
      <t>'rail'</t>
    </r>
    <r>
      <rPr>
        <sz val="12"/>
        <color rgb="FF3B3B3B"/>
        <rFont val="Menlo"/>
        <family val="2"/>
      </rPr>
      <t xml:space="preserve">, </t>
    </r>
    <r>
      <rPr>
        <sz val="12"/>
        <color rgb="FFA31515"/>
        <rFont val="Menlo"/>
        <family val="2"/>
      </rPr>
      <t>'train'</t>
    </r>
    <r>
      <rPr>
        <sz val="12"/>
        <color rgb="FF3B3B3B"/>
        <rFont val="Menlo"/>
        <family val="2"/>
      </rPr>
      <t xml:space="preserve">, </t>
    </r>
    <r>
      <rPr>
        <sz val="12"/>
        <color rgb="FFA31515"/>
        <rFont val="Menlo"/>
        <family val="2"/>
      </rPr>
      <t>'car'</t>
    </r>
    <r>
      <rPr>
        <sz val="12"/>
        <color rgb="FF3B3B3B"/>
        <rFont val="Menlo"/>
        <family val="2"/>
      </rPr>
      <t xml:space="preserve">, </t>
    </r>
    <r>
      <rPr>
        <sz val="12"/>
        <color rgb="FFA31515"/>
        <rFont val="Menlo"/>
        <family val="2"/>
      </rPr>
      <t>'vehicle'</t>
    </r>
    <r>
      <rPr>
        <sz val="12"/>
        <color rgb="FF3B3B3B"/>
        <rFont val="Menlo"/>
        <family val="2"/>
      </rPr>
      <t xml:space="preserve">, </t>
    </r>
    <r>
      <rPr>
        <sz val="12"/>
        <color rgb="FFA31515"/>
        <rFont val="Menlo"/>
        <family val="2"/>
      </rPr>
      <t>'bicycle'</t>
    </r>
    <r>
      <rPr>
        <sz val="12"/>
        <color rgb="FF3B3B3B"/>
        <rFont val="Menlo"/>
        <family val="2"/>
      </rPr>
      <t xml:space="preserve">, </t>
    </r>
    <r>
      <rPr>
        <sz val="12"/>
        <color rgb="FFA31515"/>
        <rFont val="Menlo"/>
        <family val="2"/>
      </rPr>
      <t>'non-motorized'</t>
    </r>
    <r>
      <rPr>
        <sz val="12"/>
        <color rgb="FF3B3B3B"/>
        <rFont val="Menlo"/>
        <family val="2"/>
      </rPr>
      <t xml:space="preserve">, </t>
    </r>
    <r>
      <rPr>
        <sz val="12"/>
        <color rgb="FFA31515"/>
        <rFont val="Menlo"/>
        <family val="2"/>
      </rPr>
      <t>'aviation'</t>
    </r>
    <r>
      <rPr>
        <sz val="12"/>
        <color rgb="FF3B3B3B"/>
        <rFont val="Menlo"/>
        <family val="2"/>
      </rPr>
      <t>]</t>
    </r>
  </si>
  <si>
    <r>
      <t>terrestrial_and_aquatic_biodiversity_conservation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'terrestrial'</t>
    </r>
    <r>
      <rPr>
        <sz val="12"/>
        <color rgb="FF3B3B3B"/>
        <rFont val="Menlo"/>
        <family val="2"/>
      </rPr>
      <t xml:space="preserve">, </t>
    </r>
    <r>
      <rPr>
        <sz val="12"/>
        <color rgb="FFA31515"/>
        <rFont val="Menlo"/>
        <family val="2"/>
      </rPr>
      <t>'aquatic'</t>
    </r>
    <r>
      <rPr>
        <sz val="12"/>
        <color rgb="FF3B3B3B"/>
        <rFont val="Menlo"/>
        <family val="2"/>
      </rPr>
      <t xml:space="preserve">, </t>
    </r>
    <r>
      <rPr>
        <sz val="12"/>
        <color rgb="FFA31515"/>
        <rFont val="Menlo"/>
        <family val="2"/>
      </rPr>
      <t>'biodiversity'</t>
    </r>
    <r>
      <rPr>
        <sz val="12"/>
        <color rgb="FF3B3B3B"/>
        <rFont val="Menlo"/>
        <family val="2"/>
      </rPr>
      <t xml:space="preserve">, </t>
    </r>
    <r>
      <rPr>
        <sz val="12"/>
        <color rgb="FFA31515"/>
        <rFont val="Menlo"/>
        <family val="2"/>
      </rPr>
      <t>'conservation'</t>
    </r>
    <r>
      <rPr>
        <sz val="12"/>
        <color rgb="FF3B3B3B"/>
        <rFont val="Menlo"/>
        <family val="2"/>
      </rPr>
      <t>]</t>
    </r>
  </si>
  <si>
    <r>
      <t>environmentally_sustainable_management_of_living_natural_resources_and_land_use</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'land'</t>
    </r>
    <r>
      <rPr>
        <sz val="12"/>
        <color rgb="FF3B3B3B"/>
        <rFont val="Menlo"/>
        <family val="2"/>
      </rPr>
      <t xml:space="preserve">, </t>
    </r>
    <r>
      <rPr>
        <sz val="12"/>
        <color rgb="FFA31515"/>
        <rFont val="Menlo"/>
        <family val="2"/>
      </rPr>
      <t>'agriculture'</t>
    </r>
    <r>
      <rPr>
        <sz val="12"/>
        <color rgb="FF3B3B3B"/>
        <rFont val="Menlo"/>
        <family val="2"/>
      </rPr>
      <t xml:space="preserve">, </t>
    </r>
    <r>
      <rPr>
        <sz val="12"/>
        <color rgb="FFA31515"/>
        <rFont val="Menlo"/>
        <family val="2"/>
      </rPr>
      <t>'forestry'</t>
    </r>
    <r>
      <rPr>
        <sz val="12"/>
        <color rgb="FF3B3B3B"/>
        <rFont val="Menlo"/>
        <family val="2"/>
      </rPr>
      <t xml:space="preserve">, </t>
    </r>
    <r>
      <rPr>
        <sz val="12"/>
        <color rgb="FFA31515"/>
        <rFont val="Menlo"/>
        <family val="2"/>
      </rPr>
      <t>'fisheries'</t>
    </r>
    <r>
      <rPr>
        <sz val="12"/>
        <color rgb="FF3B3B3B"/>
        <rFont val="Menlo"/>
        <family val="2"/>
      </rPr>
      <t xml:space="preserve">, </t>
    </r>
    <r>
      <rPr>
        <sz val="12"/>
        <color rgb="FFA31515"/>
        <rFont val="Menlo"/>
        <family val="2"/>
      </rPr>
      <t>'food'</t>
    </r>
    <r>
      <rPr>
        <sz val="12"/>
        <color rgb="FF3B3B3B"/>
        <rFont val="Menlo"/>
        <family val="2"/>
      </rPr>
      <t>]</t>
    </r>
  </si>
  <si>
    <r>
      <t>pollution_prevention_and_control</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'pollution'</t>
    </r>
    <r>
      <rPr>
        <sz val="12"/>
        <color rgb="FF3B3B3B"/>
        <rFont val="Menlo"/>
        <family val="2"/>
      </rPr>
      <t xml:space="preserve">, </t>
    </r>
    <r>
      <rPr>
        <sz val="12"/>
        <color rgb="FFA31515"/>
        <rFont val="Menlo"/>
        <family val="2"/>
      </rPr>
      <t>'waste'</t>
    </r>
    <r>
      <rPr>
        <sz val="12"/>
        <color rgb="FF3B3B3B"/>
        <rFont val="Menlo"/>
        <family val="2"/>
      </rPr>
      <t>]</t>
    </r>
  </si>
  <si>
    <r>
      <t>energy_efficiency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'efficiency'</t>
    </r>
    <r>
      <rPr>
        <sz val="12"/>
        <color rgb="FF3B3B3B"/>
        <rFont val="Menlo"/>
        <family val="2"/>
      </rPr>
      <t xml:space="preserve">, </t>
    </r>
    <r>
      <rPr>
        <sz val="12"/>
        <color rgb="FFA31515"/>
        <rFont val="Menlo"/>
        <family val="2"/>
      </rPr>
      <t>'retrofit'</t>
    </r>
    <r>
      <rPr>
        <sz val="12"/>
        <color rgb="FF3B3B3B"/>
        <rFont val="Menlo"/>
        <family val="2"/>
      </rPr>
      <t>]</t>
    </r>
  </si>
  <si>
    <r>
      <t>renewable_energy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'renewable'</t>
    </r>
    <r>
      <rPr>
        <sz val="12"/>
        <color rgb="FF3B3B3B"/>
        <rFont val="Menlo"/>
        <family val="2"/>
      </rPr>
      <t xml:space="preserve">, </t>
    </r>
    <r>
      <rPr>
        <sz val="12"/>
        <color rgb="FFA31515"/>
        <rFont val="Menlo"/>
        <family val="2"/>
      </rPr>
      <t>'solar'</t>
    </r>
    <r>
      <rPr>
        <sz val="12"/>
        <color rgb="FF3B3B3B"/>
        <rFont val="Menlo"/>
        <family val="2"/>
      </rPr>
      <t xml:space="preserve">, </t>
    </r>
    <r>
      <rPr>
        <sz val="12"/>
        <color rgb="FFA31515"/>
        <rFont val="Menlo"/>
        <family val="2"/>
      </rPr>
      <t>'wind'</t>
    </r>
    <r>
      <rPr>
        <sz val="12"/>
        <color rgb="FF3B3B3B"/>
        <rFont val="Menlo"/>
        <family val="2"/>
      </rPr>
      <t xml:space="preserve">, </t>
    </r>
    <r>
      <rPr>
        <sz val="12"/>
        <color rgb="FFA31515"/>
        <rFont val="Menlo"/>
        <family val="2"/>
      </rPr>
      <t>'bioenergy'</t>
    </r>
    <r>
      <rPr>
        <sz val="12"/>
        <color rgb="FF3B3B3B"/>
        <rFont val="Menlo"/>
        <family val="2"/>
      </rPr>
      <t xml:space="preserve">, </t>
    </r>
    <r>
      <rPr>
        <sz val="12"/>
        <color rgb="FFA31515"/>
        <rFont val="Menlo"/>
        <family val="2"/>
      </rPr>
      <t>'biofuel'</t>
    </r>
    <r>
      <rPr>
        <sz val="12"/>
        <color rgb="FF3B3B3B"/>
        <rFont val="Menlo"/>
        <family val="2"/>
      </rPr>
      <t xml:space="preserve">, </t>
    </r>
    <r>
      <rPr>
        <sz val="12"/>
        <color rgb="FFA31515"/>
        <rFont val="Menlo"/>
        <family val="2"/>
      </rPr>
      <t>'biomass'</t>
    </r>
    <r>
      <rPr>
        <sz val="12"/>
        <color rgb="FF3B3B3B"/>
        <rFont val="Menlo"/>
        <family val="2"/>
      </rPr>
      <t xml:space="preserve">, </t>
    </r>
    <r>
      <rPr>
        <sz val="12"/>
        <color rgb="FFA31515"/>
        <rFont val="Menlo"/>
        <family val="2"/>
      </rPr>
      <t>'hydropower'</t>
    </r>
    <r>
      <rPr>
        <sz val="12"/>
        <color rgb="FF3B3B3B"/>
        <rFont val="Menlo"/>
        <family val="2"/>
      </rPr>
      <t xml:space="preserve">, </t>
    </r>
    <r>
      <rPr>
        <sz val="12"/>
        <color rgb="FFA31515"/>
        <rFont val="Menlo"/>
        <family val="2"/>
      </rPr>
      <t>'hydrogen'</t>
    </r>
    <r>
      <rPr>
        <sz val="12"/>
        <color rgb="FF3B3B3B"/>
        <rFont val="Menlo"/>
        <family val="2"/>
      </rPr>
      <t xml:space="preserve">, </t>
    </r>
    <r>
      <rPr>
        <sz val="12"/>
        <color rgb="FFA31515"/>
        <rFont val="Menlo"/>
        <family val="2"/>
      </rPr>
      <t>'power'</t>
    </r>
    <r>
      <rPr>
        <sz val="12"/>
        <color rgb="FF3B3B3B"/>
        <rFont val="Menlo"/>
        <family val="2"/>
      </rPr>
      <t xml:space="preserve">, </t>
    </r>
    <r>
      <rPr>
        <sz val="12"/>
        <color rgb="FFA31515"/>
        <rFont val="Menlo"/>
        <family val="2"/>
      </rPr>
      <t>'grid'</t>
    </r>
    <r>
      <rPr>
        <sz val="12"/>
        <color rgb="FF3B3B3B"/>
        <rFont val="Menlo"/>
        <family val="2"/>
      </rPr>
      <t xml:space="preserve">, </t>
    </r>
    <r>
      <rPr>
        <sz val="12"/>
        <color rgb="FFA31515"/>
        <rFont val="Menlo"/>
        <family val="2"/>
      </rPr>
      <t>'transmission'</t>
    </r>
    <r>
      <rPr>
        <sz val="12"/>
        <color rgb="FF3B3B3B"/>
        <rFont val="Menlo"/>
        <family val="2"/>
      </rPr>
      <t xml:space="preserve">, </t>
    </r>
    <r>
      <rPr>
        <sz val="12"/>
        <color rgb="FFA31515"/>
        <rFont val="Menlo"/>
        <family val="2"/>
      </rPr>
      <t>'generation', 'waste-to-energy', 'geothermal', 'storage'</t>
    </r>
    <r>
      <rPr>
        <sz val="12"/>
        <color rgb="FF3B3B3B"/>
        <rFont val="Menlo"/>
        <family val="2"/>
      </rPr>
      <t>]</t>
    </r>
  </si>
  <si>
    <t>stop time</t>
  </si>
  <si>
    <t>start time</t>
  </si>
  <si>
    <t>in case of more than one sitting</t>
  </si>
  <si>
    <t>check results</t>
  </si>
  <si>
    <t xml:space="preserve">fill in results </t>
  </si>
  <si>
    <t>Akshay</t>
  </si>
  <si>
    <t>Janvi</t>
  </si>
  <si>
    <t>Kat</t>
  </si>
  <si>
    <t>Alloc data table</t>
  </si>
  <si>
    <t>ES 100%</t>
  </si>
  <si>
    <t>ES partial - 2</t>
  </si>
  <si>
    <t>ES partial - 3</t>
  </si>
  <si>
    <t>ES partial - 4</t>
  </si>
  <si>
    <t>ES 0%</t>
  </si>
  <si>
    <t>ES partial - 9</t>
  </si>
  <si>
    <t>ES partial - 6</t>
  </si>
  <si>
    <t>manual baseline aligns with pdf</t>
  </si>
  <si>
    <t>EN</t>
  </si>
  <si>
    <t>ES</t>
  </si>
  <si>
    <t>were in train popn so removed from eval</t>
  </si>
  <si>
    <t>Class yes count no</t>
  </si>
  <si>
    <t>Framework,_Green_Bond_Protisa_Peru</t>
  </si>
  <si>
    <t>Marco_de_la_Primera_Emision</t>
  </si>
  <si>
    <t>Run</t>
  </si>
  <si>
    <t>RE UOP median</t>
  </si>
  <si>
    <t>RE UOP count</t>
  </si>
  <si>
    <t>EE UOP median</t>
  </si>
  <si>
    <t>EE UOP count</t>
  </si>
  <si>
    <t>all ex RE count</t>
  </si>
  <si>
    <t>all ex RE median</t>
  </si>
  <si>
    <t>R1</t>
  </si>
  <si>
    <t>R2</t>
  </si>
  <si>
    <t>R3</t>
  </si>
  <si>
    <t>R4</t>
  </si>
  <si>
    <t>R5</t>
  </si>
  <si>
    <t>RE tbl median</t>
  </si>
  <si>
    <t>RE tbl count</t>
  </si>
  <si>
    <t>CT UOP median</t>
  </si>
  <si>
    <t>CT UOP 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</si>
</sst>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7" formatCode="0.0000"/>
  </numFmts>
  <fonts count="35"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
      <sz val="12"/>
      <color theme="4" tint="-0.249977111117893"/>
      <name val="Aptos Narrow"/>
      <family val="2"/>
      <scheme val="minor"/>
    </font>
    <font>
      <sz val="12"/>
      <color rgb="FF001080"/>
      <name val="Menlo"/>
      <family val="2"/>
    </font>
    <font>
      <sz val="12"/>
      <color rgb="FF3B3B3B"/>
      <name val="Menlo"/>
      <family val="2"/>
    </font>
    <font>
      <sz val="12"/>
      <color rgb="FF000000"/>
      <name val="Menlo"/>
      <family val="2"/>
    </font>
    <font>
      <sz val="12"/>
      <color rgb="FFA31515"/>
      <name val="Menlo"/>
      <family val="2"/>
    </font>
    <font>
      <sz val="10"/>
      <color theme="1"/>
      <name val="Aptos Narrow"/>
      <family val="2"/>
      <scheme val="minor"/>
    </font>
  </fonts>
  <fills count="35">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2" tint="-9.9978637043366805E-2"/>
        <bgColor indexed="64"/>
      </patternFill>
    </fill>
    <fill>
      <patternFill patternType="solid">
        <fgColor theme="6" tint="0.79998168889431442"/>
        <bgColor indexed="64"/>
      </patternFill>
    </fill>
  </fills>
  <borders count="22">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rgb="FF999999"/>
      </left>
      <right/>
      <top style="thin">
        <color rgb="FF999999"/>
      </top>
      <bottom/>
      <diagonal/>
    </border>
    <border>
      <left style="thin">
        <color indexed="65"/>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9"/>
      </top>
      <bottom/>
      <diagonal/>
    </border>
    <border>
      <left style="thin">
        <color rgb="FF999999"/>
      </left>
      <right/>
      <top/>
      <bottom/>
      <diagonal/>
    </border>
    <border>
      <left style="thin">
        <color rgb="FF999999"/>
      </left>
      <right style="thin">
        <color rgb="FF999999"/>
      </right>
      <top/>
      <bottom/>
      <diagonal/>
    </border>
    <border>
      <left style="thin">
        <color rgb="FF999999"/>
      </left>
      <right/>
      <top style="thin">
        <color rgb="FF999999"/>
      </top>
      <bottom style="thin">
        <color rgb="FF999999"/>
      </bottom>
      <diagonal/>
    </border>
    <border>
      <left style="thin">
        <color indexed="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left>
      <right style="thin">
        <color theme="4"/>
      </right>
      <top style="thin">
        <color theme="4"/>
      </top>
      <bottom style="thin">
        <color theme="4"/>
      </bottom>
      <diagonal/>
    </border>
  </borders>
  <cellStyleXfs count="45">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xf numFmtId="43" fontId="12" fillId="0" borderId="0" applyFont="0" applyFill="0" applyBorder="0" applyAlignment="0" applyProtection="0"/>
  </cellStyleXfs>
  <cellXfs count="77">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0" fillId="0" borderId="10" xfId="0" pivotButton="1" applyBorder="1"/>
    <xf numFmtId="0" fontId="0" fillId="0" borderId="11" xfId="0" applyBorder="1"/>
    <xf numFmtId="0" fontId="0" fillId="0" borderId="12" xfId="0" applyBorder="1"/>
    <xf numFmtId="0" fontId="0" fillId="0" borderId="10" xfId="0" applyBorder="1"/>
    <xf numFmtId="3" fontId="0" fillId="0" borderId="12" xfId="0" applyNumberFormat="1" applyBorder="1"/>
    <xf numFmtId="0" fontId="0" fillId="0" borderId="13" xfId="0" applyBorder="1"/>
    <xf numFmtId="0" fontId="0" fillId="0" borderId="14" xfId="0" applyBorder="1"/>
    <xf numFmtId="3" fontId="0" fillId="0" borderId="15" xfId="0" applyNumberFormat="1" applyBorder="1"/>
    <xf numFmtId="0" fontId="0" fillId="0" borderId="16" xfId="0" applyBorder="1"/>
    <xf numFmtId="0" fontId="0" fillId="0" borderId="17" xfId="0" applyBorder="1"/>
    <xf numFmtId="3" fontId="0" fillId="0" borderId="18" xfId="0" applyNumberFormat="1" applyBorder="1"/>
    <xf numFmtId="0" fontId="0" fillId="0" borderId="18" xfId="0" pivotButton="1" applyBorder="1"/>
    <xf numFmtId="0" fontId="0" fillId="0" borderId="18" xfId="0" applyBorder="1"/>
    <xf numFmtId="0" fontId="16" fillId="31" borderId="19" xfId="0" applyFont="1" applyFill="1" applyBorder="1"/>
    <xf numFmtId="0" fontId="0" fillId="0" borderId="19" xfId="0" applyBorder="1"/>
    <xf numFmtId="0" fontId="0" fillId="32" borderId="19" xfId="0" applyFill="1" applyBorder="1"/>
    <xf numFmtId="0" fontId="16" fillId="31" borderId="20" xfId="0" applyFont="1" applyFill="1" applyBorder="1"/>
    <xf numFmtId="0" fontId="0" fillId="32" borderId="20" xfId="0" applyFill="1" applyBorder="1"/>
    <xf numFmtId="0" fontId="0" fillId="0" borderId="20" xfId="0" applyBorder="1"/>
    <xf numFmtId="0" fontId="0" fillId="0" borderId="0" xfId="0" applyAlignment="1">
      <alignment horizontal="center" vertical="center" wrapText="1"/>
    </xf>
    <xf numFmtId="0" fontId="28" fillId="0" borderId="0" xfId="0" applyFont="1"/>
    <xf numFmtId="0" fontId="29" fillId="0" borderId="0" xfId="0" applyFont="1"/>
    <xf numFmtId="0" fontId="29" fillId="0" borderId="0" xfId="0" applyFont="1" applyAlignment="1">
      <alignment horizontal="right"/>
    </xf>
    <xf numFmtId="0" fontId="0" fillId="0" borderId="21" xfId="0" applyBorder="1"/>
    <xf numFmtId="164" fontId="0" fillId="0" borderId="0" xfId="44" applyNumberFormat="1" applyFont="1" applyFill="1"/>
    <xf numFmtId="0" fontId="0" fillId="0" borderId="21" xfId="0" applyBorder="1" applyAlignment="1">
      <alignment wrapText="1"/>
    </xf>
    <xf numFmtId="0" fontId="25" fillId="0" borderId="0" xfId="0" applyFont="1" applyAlignment="1">
      <alignment wrapText="1"/>
    </xf>
    <xf numFmtId="0" fontId="30" fillId="0" borderId="0" xfId="0" applyFont="1"/>
    <xf numFmtId="20" fontId="0" fillId="0" borderId="21" xfId="0" applyNumberFormat="1" applyBorder="1"/>
    <xf numFmtId="0" fontId="0" fillId="34" borderId="0" xfId="0" applyFill="1"/>
    <xf numFmtId="0" fontId="0" fillId="13" borderId="19" xfId="0" applyFill="1" applyBorder="1"/>
    <xf numFmtId="0" fontId="0" fillId="14" borderId="19" xfId="0" applyFill="1" applyBorder="1"/>
    <xf numFmtId="0" fontId="0" fillId="28" borderId="19" xfId="0" applyFill="1" applyBorder="1"/>
    <xf numFmtId="0" fontId="0" fillId="29" borderId="19" xfId="0" applyFill="1" applyBorder="1"/>
    <xf numFmtId="0" fontId="0" fillId="33" borderId="0" xfId="0" applyFill="1" applyAlignment="1">
      <alignment horizontal="center" vertical="center" wrapText="1"/>
    </xf>
    <xf numFmtId="0" fontId="34" fillId="0" borderId="0" xfId="0" applyFont="1" applyAlignment="1">
      <alignment horizontal="center" vertical="center" wrapText="1"/>
    </xf>
    <xf numFmtId="0" fontId="0" fillId="0" borderId="0" xfId="0" applyAlignment="1">
      <alignment horizontal="center"/>
    </xf>
    <xf numFmtId="167" fontId="0" fillId="34" borderId="0" xfId="0" applyNumberFormat="1" applyFill="1"/>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2" xfId="44" xr:uid="{1E3C0328-344A-0943-B640-8D3FF590C796}"/>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8">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microsoft.com/office/2017/10/relationships/person" Target="persons/person.xml"/><Relationship Id="rId10" Type="http://schemas.openxmlformats.org/officeDocument/2006/relationships/worksheet" Target="worksheets/sheet10.xml"/><Relationship Id="rId19" Type="http://schemas.microsoft.com/office/2007/relationships/slicerCache" Target="slicerCaches/slicerCache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10</xdr:row>
      <xdr:rowOff>152400</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10</xdr:row>
      <xdr:rowOff>177800</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10</xdr:row>
      <xdr:rowOff>12700</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 displayName="Manek, Janvi (Corp FIN, IND)" id="{2B7FBC34-97F8-4740-9AF1-EAB30549931C}" userId="S::E955767@NAEAST.AD.JPMORGANCHASE.com::b1aa94d0-f8cf-43ef-88e3-b03f7e19352d" providerId="AD"/>
  <person displayName="Kam, Katherine" id="{3BB317D7-67EE-1549-9082-675539A31924}" userId="S::N804346@NAEAST.AD.JPMORGANCHASE.com::96524dce-956d-4f85-8f5d-b65859cc10ff" providerId="AD"/>
  <person displayName="Kamath, Akshay (Corp FIN, IND)" id="{CB5ACE96-A5B0-7D4D-970B-938D06F8D252}" userId="S::R658678@ASIAPAC.AD.JPMORGANCHASE.com::406e0fed-d342-4438-a46e-24ed4f0cf5f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sabeth Watson" refreshedDate="46230.783263773148" createdVersion="1" refreshedVersion="4" recordCount="2278" upgradeOnRefresh="1" xr:uid="{C70A677D-3A84-204E-A70A-96C05BB96194}">
  <cacheSource type="worksheet">
    <worksheetSource ref="A2:AC2280" sheet="allocationsJune7"/>
  </cacheSource>
  <cacheFields count="26">
    <cacheField name="is_in_allocs" numFmtId="0">
      <sharedItems/>
    </cacheField>
    <cacheField name="pipeline_devlt" numFmtId="0">
      <sharedItems count="3">
        <b v="0"/>
        <e v="#N/A"/>
        <b v="1"/>
      </sharedItems>
    </cacheField>
    <cacheField name="is_green" numFmtId="0">
      <sharedItems count="3">
        <b v="1"/>
        <e v="#N/A"/>
        <b v="0"/>
      </sharedItems>
    </cacheField>
    <cacheField name="eval_pop" numFmtId="0">
      <sharedItems count="4">
        <b v="0"/>
        <s v="TRUE - Wave 2"/>
        <s v="TRUE - Wave 1"/>
        <e v="#N/A"/>
      </sharedItems>
    </cacheField>
    <cacheField name="testing_refine_pop" numFmtId="0">
      <sharedItems count="2">
        <b v="0"/>
        <e v="#N/A"/>
      </sharedItems>
    </cacheField>
    <cacheField name="out_of_scope" numFmtId="0">
      <sharedItems count="4">
        <s v="TRUE - No Docs"/>
        <b v="0"/>
        <e v="#N/A"/>
        <b v="1"/>
      </sharedItems>
    </cacheField>
    <cacheField name="ISIN" numFmtId="0">
      <sharedItems containsMixedTypes="1" containsNumber="1" containsInteger="1" minValue="0" maxValue="0" count="62">
        <s v="COB07CB00587"/>
        <s v="MX90GC040000"/>
        <s v="BRNEOEDBS047"/>
        <s v="COB07CB00603"/>
        <s v="COB07CB00611"/>
        <s v="USP14486AM92"/>
        <s v="BRATAMDBS010"/>
        <s v="MX95FE040186"/>
        <s v="MX95FE0401J4"/>
        <s v="USP14623AC98"/>
        <e v="#N/A"/>
        <s v="PEP11100M336"/>
        <s v="XS2045838039"/>
        <s v="BRSAQIDBS008"/>
        <n v="0"/>
        <s v="USP58072AL66"/>
        <s v="PEP50420M017"/>
        <s v="BRNITADBS003"/>
        <s v="MX90GC040018"/>
        <s v="CL0002435833"/>
        <s v="US05674XAA90"/>
        <s v="BRTRPLDBS0D1"/>
        <s v="CL0002521988"/>
        <s v="BRTRPLDBS071"/>
        <s v="BRTRPLDBS089"/>
        <s v="BRECOACRA1I9"/>
        <s v="BRTRPLDBS0E9"/>
        <s v="31572UAF3"/>
        <s v="ARAESA560032"/>
        <s v="ARCPMA560017"/>
        <s v="ARCPMA560025"/>
        <s v="CL0002564384"/>
        <s v="BRGAFLCRA0Z3"/>
        <s v="BRIGSNDBS044"/>
        <s v="BRPASNDBS018"/>
        <s v="US90363PAA49"/>
        <s v="USL5828LAB55"/>
        <s v="USA35155AB50"/>
        <s v="BRAPCSCRI8Y6"/>
        <s v="BRHITCDBS001"/>
        <s v="BRSUCUDBS001"/>
        <s v="BRERENDBS073"/>
        <s v="BRITMGDBS028"/>
        <s v="BRCGEPDBS000"/>
        <s v="BRESVHDBS002"/>
        <s v="MX91AG050018"/>
        <s v="COB01CB00135"/>
        <s v="BR07S4CTF001"/>
        <s v="BRJTEEDBS010"/>
        <s v="BRTAEEDBS0G5"/>
        <s v="BRTAEEDBS0H3"/>
        <s v="BRTAEEDBS0I1"/>
        <s v="BRTAEEDBS0M3"/>
        <s v="ARPLAZ560060"/>
        <s v="BRGAFLCRI009"/>
        <s v="BRAPCSCRI606"/>
        <s v="BRTRPLDBS0G4"/>
        <s v="USL79090AC78"/>
        <s v="BRESB1DBS004"/>
        <s v="MX95FE0401P1"/>
        <s v="US00105DAG07"/>
        <s v="US191241AJ70"/>
      </sharedItems>
    </cacheField>
    <cacheField name="FIGI" numFmtId="0">
      <sharedItems containsMixedTypes="1" containsNumber="1" containsInteger="1" minValue="0" maxValue="0"/>
    </cacheField>
    <cacheField name="Ticker" numFmtId="0">
      <sharedItems containsMixedTypes="1" containsNumber="1" containsInteger="1" minValue="0" maxValue="0" count="31">
        <n v="0"/>
        <s v="90_GCDMXCB_16V"/>
        <e v="#N/A"/>
        <s v="PR_PL_MLP"/>
        <s v="PR_PL_BICE"/>
        <s v="90_GCDMXCB_17X"/>
        <s v="CTEE29"/>
        <s v="CIFI_GB"/>
        <s v="CTEE17"/>
        <s v="CTEE18"/>
        <s v="CTEEA0"/>
        <s v="OMC10"/>
        <s v="OMC20"/>
        <s v="CHPT11"/>
        <s v="CHSU11"/>
        <s v="CRI_ATHON1"/>
        <s v="PCD"/>
        <s v="PR_PL_ATHON"/>
        <s v="CAF GB Program"/>
        <s v="ITGE13"/>
        <s v="CGEP12"/>
        <s v="WREL#1"/>
        <s v="BTGP Green"/>
        <s v="AGUA 17-2X"/>
        <s v="CBI_Chile"/>
        <s v="PZC6O"/>
        <s v="RAILBZ 5 1/4"/>
        <s v="ISA GB2020"/>
        <s v="KOF"/>
        <s v="PR_PL_DAVIVIEND"/>
        <s v="PR_PL_ERGONPERU"/>
      </sharedItems>
    </cacheField>
    <cacheField name="bond_handle" numFmtId="0">
      <sharedItems/>
    </cacheField>
    <cacheField name="bond_name" numFmtId="0">
      <sharedItems/>
    </cacheField>
    <cacheField name="nomenclature" numFmtId="0">
      <sharedItems count="4">
        <s v="Climate Bonds Initiative Project Classification"/>
        <s v="ICMA Green Bonds Principles Project Categories"/>
        <s v="EU Taxonomy Green Bonds Standard"/>
        <s v="ISO"/>
      </sharedItems>
    </cacheField>
    <cacheField name="category" numFmtId="0">
      <sharedItems count="18">
        <s v="Energy"/>
        <s v="Renewable energy"/>
        <s v="Water"/>
        <s v="Water and wastewater"/>
        <s v="Energy efficiency"/>
        <s v="Transport"/>
        <s v="Clean transportation"/>
        <s v="Buildings"/>
        <s v="Green buildings"/>
        <s v="Other"/>
        <s v="Land-use"/>
        <s v="Environmental management"/>
        <s v="Pollution"/>
        <s v="ICT"/>
        <s v="Social"/>
        <s v="Waste"/>
        <s v="Eco-efficient economy"/>
        <s v="Climate change adaptation"/>
      </sharedItems>
    </cacheField>
    <cacheField name="subcategory" numFmtId="0">
      <sharedItems/>
    </cacheField>
    <cacheField name="project" numFmtId="0">
      <sharedItems/>
    </cacheField>
    <cacheField name="location" numFmtId="0">
      <sharedItems/>
    </cacheField>
    <cacheField name="date_allocation" numFmtId="0">
      <sharedItems containsSemiMixedTypes="0" containsNonDate="0" containsDate="1" containsString="0" minDate="2014-04-22T00:00:00" maxDate="2022-01-01T00:00:00"/>
    </cacheField>
    <cacheField name="date_disbursement" numFmtId="0">
      <sharedItems containsNonDate="0" containsDate="1" containsString="0" containsBlank="1" minDate="2015-09-01T00:00:00" maxDate="2022-01-01T00:00:00"/>
    </cacheField>
    <cacheField name="allocation_currency" numFmtId="0">
      <sharedItems/>
    </cacheField>
    <cacheField name="allocated_allocation_currency" numFmtId="0">
      <sharedItems containsSemiMixedTypes="0" containsString="0" containsNumber="1" minValue="-144000000000" maxValue="299997669786"/>
    </cacheField>
    <cacheField name="disbursed_allocation_currency" numFmtId="0">
      <sharedItems containsString="0" containsBlank="1" containsNumber="1" minValue="-144000000000" maxValue="299997669786"/>
    </cacheField>
    <cacheField name="bond_currency" numFmtId="0">
      <sharedItems/>
    </cacheField>
    <cacheField name="disbursed_bond_currency" numFmtId="0">
      <sharedItems containsString="0" containsBlank="1" containsNumber="1" minValue="-144000000000" maxValue="299997669786"/>
    </cacheField>
    <cacheField name="disbursed_usd" numFmtId="0">
      <sharedItems containsString="0" containsBlank="1" containsNumber="1" containsInteger="1" minValue="-50139624" maxValue="350000000"/>
    </cacheField>
    <cacheField name="refinancing" numFmtId="0">
      <sharedItems/>
    </cacheField>
    <cacheField name="cofinancing_percentage" numFmtId="0">
      <sharedItems containsString="0" containsBlank="1" containsNumber="1" minValue="0.0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b v="1"/>
    <x v="0"/>
    <x v="0"/>
    <x v="0"/>
    <x v="0"/>
    <x v="0"/>
    <x v="0"/>
    <n v="0"/>
    <x v="0"/>
    <s v="1fd5c178da6148569a42c52f45981714"/>
    <s v="Bancolombia Bono Verde 1"/>
    <x v="0"/>
    <x v="0"/>
    <s v="Hydro"/>
    <s v="GB 1 Proyecto 1"/>
    <s v="Colombia"/>
    <d v="2016-12-05T00:00:00"/>
    <d v="2016-12-05T00:00:00"/>
    <s v="COP"/>
    <n v="5271430000"/>
    <n v="5271430000"/>
    <s v="COP"/>
    <n v="5271430000"/>
    <n v="1722104"/>
    <b v="1"/>
    <n v="0.92"/>
  </r>
  <r>
    <b v="1"/>
    <x v="0"/>
    <x v="0"/>
    <x v="0"/>
    <x v="0"/>
    <x v="0"/>
    <x v="0"/>
    <n v="0"/>
    <x v="0"/>
    <s v="1fd5c178da6148569a42c52f45981714"/>
    <s v="Bancolombia Bono Verde 1"/>
    <x v="1"/>
    <x v="1"/>
    <s v="Generation"/>
    <s v="GB 1 Proyecto 1"/>
    <s v="Colombia"/>
    <d v="2016-12-05T00:00:00"/>
    <d v="2016-12-05T00:00:00"/>
    <s v="COP"/>
    <n v="5271430000"/>
    <n v="5271430000"/>
    <s v="COP"/>
    <n v="5271430000"/>
    <n v="1722104"/>
    <b v="1"/>
    <n v="0.92"/>
  </r>
  <r>
    <b v="1"/>
    <x v="0"/>
    <x v="0"/>
    <x v="0"/>
    <x v="0"/>
    <x v="0"/>
    <x v="0"/>
    <n v="0"/>
    <x v="0"/>
    <s v="1fd5c178da6148569a42c52f45981714"/>
    <s v="Bancolombia Bono Verde 1"/>
    <x v="0"/>
    <x v="0"/>
    <s v="Hydro"/>
    <s v="GB 1 Proyecto 2"/>
    <s v="Colombia"/>
    <d v="2016-12-05T00:00:00"/>
    <d v="2016-12-05T00:00:00"/>
    <s v="COP"/>
    <n v="2488157000"/>
    <n v="2488157000"/>
    <s v="COP"/>
    <n v="2488157000"/>
    <n v="812847"/>
    <b v="1"/>
    <n v="0.92"/>
  </r>
  <r>
    <b v="1"/>
    <x v="0"/>
    <x v="0"/>
    <x v="0"/>
    <x v="0"/>
    <x v="0"/>
    <x v="0"/>
    <n v="0"/>
    <x v="0"/>
    <s v="1fd5c178da6148569a42c52f45981714"/>
    <s v="Bancolombia Bono Verde 1"/>
    <x v="1"/>
    <x v="1"/>
    <s v="Generation"/>
    <s v="GB 1 Proyecto 2"/>
    <s v="Colombia"/>
    <d v="2016-12-05T00:00:00"/>
    <d v="2016-12-05T00:00:00"/>
    <s v="COP"/>
    <n v="2488157000"/>
    <n v="2488157000"/>
    <s v="COP"/>
    <n v="2488157000"/>
    <n v="812847"/>
    <b v="1"/>
    <n v="0.92"/>
  </r>
  <r>
    <b v="1"/>
    <x v="0"/>
    <x v="0"/>
    <x v="0"/>
    <x v="0"/>
    <x v="0"/>
    <x v="0"/>
    <n v="0"/>
    <x v="0"/>
    <s v="1fd5c178da6148569a42c52f45981714"/>
    <s v="Bancolombia Bono Verde 1"/>
    <x v="0"/>
    <x v="0"/>
    <s v="Hydro"/>
    <s v="GB 1 Proyecto 4"/>
    <s v="Colombia"/>
    <d v="2016-12-05T00:00:00"/>
    <d v="2016-12-05T00:00:00"/>
    <s v="COP"/>
    <n v="79175253000"/>
    <n v="79175253000"/>
    <s v="COP"/>
    <n v="79175253000"/>
    <n v="25865474"/>
    <b v="1"/>
    <n v="0.92"/>
  </r>
  <r>
    <b v="1"/>
    <x v="0"/>
    <x v="0"/>
    <x v="0"/>
    <x v="0"/>
    <x v="0"/>
    <x v="0"/>
    <n v="0"/>
    <x v="0"/>
    <s v="1fd5c178da6148569a42c52f45981714"/>
    <s v="Bancolombia Bono Verde 1"/>
    <x v="1"/>
    <x v="1"/>
    <s v="Generation"/>
    <s v="GB 1 Proyecto 4"/>
    <s v="Colombia"/>
    <d v="2016-12-05T00:00:00"/>
    <d v="2016-12-05T00:00:00"/>
    <s v="COP"/>
    <n v="79175253000"/>
    <n v="79175253000"/>
    <s v="COP"/>
    <n v="79175253000"/>
    <n v="25865474"/>
    <b v="1"/>
    <n v="0.92"/>
  </r>
  <r>
    <b v="1"/>
    <x v="0"/>
    <x v="0"/>
    <x v="0"/>
    <x v="0"/>
    <x v="0"/>
    <x v="0"/>
    <n v="0"/>
    <x v="0"/>
    <s v="1fd5c178da6148569a42c52f45981714"/>
    <s v="Bancolombia Bono Verde 1"/>
    <x v="0"/>
    <x v="0"/>
    <s v="Hydro"/>
    <s v="GB 1 Proyecto 7"/>
    <s v="Colombia"/>
    <d v="2016-12-05T00:00:00"/>
    <d v="2016-12-05T00:00:00"/>
    <s v="COP"/>
    <n v="85156698000"/>
    <n v="85156698000"/>
    <s v="COP"/>
    <n v="85156698000"/>
    <n v="27819531"/>
    <b v="1"/>
    <n v="0.92"/>
  </r>
  <r>
    <b v="1"/>
    <x v="0"/>
    <x v="0"/>
    <x v="0"/>
    <x v="0"/>
    <x v="0"/>
    <x v="0"/>
    <n v="0"/>
    <x v="0"/>
    <s v="1fd5c178da6148569a42c52f45981714"/>
    <s v="Bancolombia Bono Verde 1"/>
    <x v="1"/>
    <x v="1"/>
    <s v="Generation"/>
    <s v="GB 1 Proyecto 7"/>
    <s v="Colombia"/>
    <d v="2016-12-05T00:00:00"/>
    <d v="2016-12-05T00:00:00"/>
    <s v="COP"/>
    <n v="85156698000"/>
    <n v="85156698000"/>
    <s v="COP"/>
    <n v="85156698000"/>
    <n v="27819531"/>
    <b v="1"/>
    <n v="0.92"/>
  </r>
  <r>
    <b v="1"/>
    <x v="0"/>
    <x v="0"/>
    <x v="0"/>
    <x v="0"/>
    <x v="0"/>
    <x v="0"/>
    <n v="0"/>
    <x v="0"/>
    <s v="1fd5c178da6148569a42c52f45981714"/>
    <s v="Bancolombia Bono Verde 1"/>
    <x v="0"/>
    <x v="0"/>
    <s v="Hydro"/>
    <s v="GB 1 Proyecto 8"/>
    <s v="Colombia"/>
    <d v="2016-12-05T00:00:00"/>
    <d v="2016-12-05T00:00:00"/>
    <s v="COP"/>
    <n v="21379716000"/>
    <n v="21379716000"/>
    <s v="COP"/>
    <n v="21379716000"/>
    <n v="6984461"/>
    <b v="1"/>
    <n v="0.92"/>
  </r>
  <r>
    <b v="1"/>
    <x v="0"/>
    <x v="0"/>
    <x v="0"/>
    <x v="0"/>
    <x v="0"/>
    <x v="0"/>
    <n v="0"/>
    <x v="0"/>
    <s v="1fd5c178da6148569a42c52f45981714"/>
    <s v="Bancolombia Bono Verde 1"/>
    <x v="1"/>
    <x v="1"/>
    <s v="Generation"/>
    <s v="GB 1 Proyecto 8"/>
    <s v="Colombia"/>
    <d v="2016-12-05T00:00:00"/>
    <d v="2016-12-05T00:00:00"/>
    <s v="COP"/>
    <n v="21379716000"/>
    <n v="21379716000"/>
    <s v="COP"/>
    <n v="21379716000"/>
    <n v="6984461"/>
    <b v="1"/>
    <n v="0.92"/>
  </r>
  <r>
    <b v="1"/>
    <x v="0"/>
    <x v="0"/>
    <x v="0"/>
    <x v="0"/>
    <x v="0"/>
    <x v="1"/>
    <s v="BBG00FWZHJQ5"/>
    <x v="1"/>
    <s v="fe8a86a4318f49fb850f1dfa256f263b"/>
    <s v="GCDMXCB 16V"/>
    <x v="0"/>
    <x v="2"/>
    <s v="Flood defence"/>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1"/>
    <x v="3"/>
    <s v="Flooding mitigation"/>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0"/>
    <x v="2"/>
    <s v="Treatment"/>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1"/>
    <x v="3"/>
    <s v="Infrastructure"/>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0"/>
    <x v="2"/>
    <s v="Storag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1"/>
    <x v="3"/>
    <s v="Infrastructur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0"/>
    <x v="2"/>
    <s v="Distribution"/>
    <s v="Construcci√≥n del C√°rcamo de bombeo el Molino"/>
    <s v="Mexico"/>
    <d v="2016-12-31T00:00:00"/>
    <d v="2016-12-31T00:00:00"/>
    <s v="MXN"/>
    <n v="32068924"/>
    <n v="8818972"/>
    <s v="MXN"/>
    <n v="8818972"/>
    <n v="466277"/>
    <b v="0"/>
    <n v="0.42"/>
  </r>
  <r>
    <b v="1"/>
    <x v="0"/>
    <x v="0"/>
    <x v="0"/>
    <x v="0"/>
    <x v="0"/>
    <x v="1"/>
    <s v="BBG00FWZHJQ5"/>
    <x v="1"/>
    <s v="fe8a86a4318f49fb850f1dfa256f263b"/>
    <s v="GCDMXCB 16V"/>
    <x v="1"/>
    <x v="3"/>
    <s v="Urban drainage"/>
    <s v="Construcci√≥n del C√°rcamo de bombeo el Molino"/>
    <s v="Mexico"/>
    <d v="2016-12-31T00:00:00"/>
    <d v="2016-12-31T00:00:00"/>
    <s v="MXN"/>
    <n v="32068924"/>
    <n v="8818972"/>
    <s v="MXN"/>
    <n v="8818972"/>
    <n v="466277"/>
    <b v="0"/>
    <n v="0.42"/>
  </r>
  <r>
    <b v="1"/>
    <x v="0"/>
    <x v="0"/>
    <x v="0"/>
    <x v="0"/>
    <x v="0"/>
    <x v="1"/>
    <s v="BBG00FWZHJQ5"/>
    <x v="1"/>
    <s v="fe8a86a4318f49fb850f1dfa256f263b"/>
    <s v="GCDMXCB 16V"/>
    <x v="0"/>
    <x v="2"/>
    <s v="Treatment"/>
    <s v="Planta Potabilizadora Rio Hondo - 16"/>
    <s v="Mexico"/>
    <d v="2016-12-31T00:00:00"/>
    <d v="2016-12-31T00:00:00"/>
    <s v="MXN"/>
    <n v="30000000"/>
    <n v="28170777"/>
    <s v="MXN"/>
    <n v="28170777"/>
    <n v="1489446"/>
    <b v="0"/>
    <n v="0.35"/>
  </r>
  <r>
    <b v="1"/>
    <x v="0"/>
    <x v="0"/>
    <x v="0"/>
    <x v="0"/>
    <x v="0"/>
    <x v="1"/>
    <s v="BBG00FWZHJQ5"/>
    <x v="1"/>
    <s v="fe8a86a4318f49fb850f1dfa256f263b"/>
    <s v="GCDMXCB 16V"/>
    <x v="1"/>
    <x v="3"/>
    <s v="Infrastructure"/>
    <s v="Planta Potabilizadora Rio Hondo - 16"/>
    <s v="Mexico"/>
    <d v="2016-12-31T00:00:00"/>
    <d v="2016-12-31T00:00:00"/>
    <s v="MXN"/>
    <n v="30000000"/>
    <n v="28170777"/>
    <s v="MXN"/>
    <n v="28170777"/>
    <n v="1489446"/>
    <b v="0"/>
    <n v="0.35"/>
  </r>
  <r>
    <b v="1"/>
    <x v="0"/>
    <x v="0"/>
    <x v="0"/>
    <x v="0"/>
    <x v="0"/>
    <x v="1"/>
    <s v="BBG00FWZHJQ5"/>
    <x v="1"/>
    <s v="fe8a86a4318f49fb850f1dfa256f263b"/>
    <s v="GCDMXCB 16V"/>
    <x v="0"/>
    <x v="2"/>
    <s v="Flood defence"/>
    <s v="Colector de agua Azcapotzalco-La Villa"/>
    <s v="Mexico"/>
    <d v="2016-12-31T00:00:00"/>
    <d v="2016-12-31T00:00:00"/>
    <s v="MXN"/>
    <n v="21000000"/>
    <n v="610359"/>
    <s v="MXN"/>
    <n v="610359"/>
    <n v="32271"/>
    <b v="0"/>
    <n v="0.21"/>
  </r>
  <r>
    <b v="1"/>
    <x v="0"/>
    <x v="0"/>
    <x v="0"/>
    <x v="0"/>
    <x v="0"/>
    <x v="1"/>
    <s v="BBG00FWZHJQ5"/>
    <x v="1"/>
    <s v="fe8a86a4318f49fb850f1dfa256f263b"/>
    <s v="GCDMXCB 16V"/>
    <x v="1"/>
    <x v="3"/>
    <s v="Flooding mitigation"/>
    <s v="Colector de agua Azcapotzalco-La Villa"/>
    <s v="Mexico"/>
    <d v="2016-12-31T00:00:00"/>
    <d v="2016-12-31T00:00:00"/>
    <s v="MXN"/>
    <n v="21000000"/>
    <n v="610359"/>
    <s v="MXN"/>
    <n v="610359"/>
    <n v="32271"/>
    <b v="0"/>
    <n v="0.21"/>
  </r>
  <r>
    <b v="1"/>
    <x v="0"/>
    <x v="0"/>
    <x v="0"/>
    <x v="0"/>
    <x v="0"/>
    <x v="1"/>
    <s v="BBG00FWZHJQ5"/>
    <x v="1"/>
    <s v="fe8a86a4318f49fb850f1dfa256f263b"/>
    <s v="GCDMXCB 16V"/>
    <x v="0"/>
    <x v="2"/>
    <s v="Distribution"/>
    <s v="Planta de Bombeo Municipio Libre"/>
    <s v="Mexico"/>
    <d v="2016-12-31T00:00:00"/>
    <d v="2016-12-31T00:00:00"/>
    <s v="MXN"/>
    <n v="20000000"/>
    <n v="19965051"/>
    <s v="MXN"/>
    <n v="19965051"/>
    <n v="1055592"/>
    <b v="0"/>
    <n v="0.34"/>
  </r>
  <r>
    <b v="1"/>
    <x v="0"/>
    <x v="0"/>
    <x v="0"/>
    <x v="0"/>
    <x v="0"/>
    <x v="1"/>
    <s v="BBG00FWZHJQ5"/>
    <x v="1"/>
    <s v="fe8a86a4318f49fb850f1dfa256f263b"/>
    <s v="GCDMXCB 16V"/>
    <x v="1"/>
    <x v="3"/>
    <s v="Urban drainage"/>
    <s v="Planta de Bombeo Municipio Libre"/>
    <s v="Mexico"/>
    <d v="2016-12-31T00:00:00"/>
    <d v="2016-12-31T00:00:00"/>
    <s v="MXN"/>
    <n v="20000000"/>
    <n v="19965051"/>
    <s v="MXN"/>
    <n v="19965051"/>
    <n v="1055592"/>
    <b v="0"/>
    <n v="0.34"/>
  </r>
  <r>
    <b v="1"/>
    <x v="0"/>
    <x v="0"/>
    <x v="0"/>
    <x v="0"/>
    <x v="0"/>
    <x v="1"/>
    <s v="BBG00FWZHJQ5"/>
    <x v="1"/>
    <s v="fe8a86a4318f49fb850f1dfa256f263b"/>
    <s v="GCDMXCB 16V"/>
    <x v="0"/>
    <x v="2"/>
    <s v="Flood defence"/>
    <s v="Colector de agua Electricistas"/>
    <s v="Mexico"/>
    <d v="2016-12-31T00:00:00"/>
    <d v="2016-12-31T00:00:00"/>
    <s v="MXN"/>
    <n v="17971011"/>
    <n v="2791677"/>
    <s v="MXN"/>
    <n v="2791677"/>
    <n v="147602"/>
    <b v="0"/>
    <n v="0.44"/>
  </r>
  <r>
    <b v="1"/>
    <x v="0"/>
    <x v="0"/>
    <x v="0"/>
    <x v="0"/>
    <x v="0"/>
    <x v="1"/>
    <s v="BBG00FWZHJQ5"/>
    <x v="1"/>
    <s v="fe8a86a4318f49fb850f1dfa256f263b"/>
    <s v="GCDMXCB 16V"/>
    <x v="1"/>
    <x v="3"/>
    <s v="Flooding mitigation"/>
    <s v="Colector de agua Electricistas"/>
    <s v="Mexico"/>
    <d v="2016-12-31T00:00:00"/>
    <d v="2016-12-31T00:00:00"/>
    <s v="MXN"/>
    <n v="17971011"/>
    <n v="2791677"/>
    <s v="MXN"/>
    <n v="2791677"/>
    <n v="147602"/>
    <b v="0"/>
    <n v="0.44"/>
  </r>
  <r>
    <b v="1"/>
    <x v="0"/>
    <x v="0"/>
    <x v="0"/>
    <x v="0"/>
    <x v="0"/>
    <x v="1"/>
    <s v="BBG00FWZHJQ5"/>
    <x v="1"/>
    <s v="fe8a86a4318f49fb850f1dfa256f263b"/>
    <s v="GCDMXCB 16V"/>
    <x v="0"/>
    <x v="2"/>
    <s v="Flood defence"/>
    <s v="Colector de agua Poniente 112"/>
    <s v="Mexico"/>
    <d v="2016-12-31T00:00:00"/>
    <d v="2016-12-31T00:00:00"/>
    <s v="MXN"/>
    <n v="13500000"/>
    <n v="7487784"/>
    <s v="MXN"/>
    <n v="7487784"/>
    <n v="395894"/>
    <b v="0"/>
    <n v="0.13"/>
  </r>
  <r>
    <b v="1"/>
    <x v="0"/>
    <x v="0"/>
    <x v="0"/>
    <x v="0"/>
    <x v="0"/>
    <x v="1"/>
    <s v="BBG00FWZHJQ5"/>
    <x v="1"/>
    <s v="fe8a86a4318f49fb850f1dfa256f263b"/>
    <s v="GCDMXCB 16V"/>
    <x v="1"/>
    <x v="3"/>
    <s v="Flooding mitigation"/>
    <s v="Colector de agua Poniente 112"/>
    <s v="Mexico"/>
    <d v="2016-12-31T00:00:00"/>
    <d v="2016-12-31T00:00:00"/>
    <s v="MXN"/>
    <n v="13500000"/>
    <n v="7487784"/>
    <s v="MXN"/>
    <n v="7487784"/>
    <n v="395894"/>
    <b v="0"/>
    <n v="0.13"/>
  </r>
  <r>
    <b v="1"/>
    <x v="0"/>
    <x v="0"/>
    <x v="0"/>
    <x v="0"/>
    <x v="0"/>
    <x v="1"/>
    <s v="BBG00FWZHJQ5"/>
    <x v="1"/>
    <s v="fe8a86a4318f49fb850f1dfa256f263b"/>
    <s v="GCDMXCB 16V"/>
    <x v="0"/>
    <x v="2"/>
    <s v="Treatment"/>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1"/>
    <x v="3"/>
    <s v="Infrastructure"/>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0"/>
    <x v="2"/>
    <s v="Distribution"/>
    <s v="Drenaje Av. De la Industria"/>
    <s v="Mexico"/>
    <d v="2016-12-31T00:00:00"/>
    <d v="2016-12-31T00:00:00"/>
    <s v="MXN"/>
    <n v="5200000"/>
    <n v="5106348"/>
    <s v="MXN"/>
    <n v="5106348"/>
    <n v="269983"/>
    <b v="0"/>
    <n v="0.46"/>
  </r>
  <r>
    <b v="1"/>
    <x v="0"/>
    <x v="0"/>
    <x v="0"/>
    <x v="0"/>
    <x v="0"/>
    <x v="1"/>
    <s v="BBG00FWZHJQ5"/>
    <x v="1"/>
    <s v="fe8a86a4318f49fb850f1dfa256f263b"/>
    <s v="GCDMXCB 16V"/>
    <x v="1"/>
    <x v="3"/>
    <s v="Urban drainage"/>
    <s v="Drenaje Av. De la Industria"/>
    <s v="Mexico"/>
    <d v="2016-12-31T00:00:00"/>
    <d v="2016-12-31T00:00:00"/>
    <s v="MXN"/>
    <n v="5200000"/>
    <n v="5106348"/>
    <s v="MXN"/>
    <n v="5106348"/>
    <n v="269983"/>
    <b v="0"/>
    <n v="0.46"/>
  </r>
  <r>
    <b v="1"/>
    <x v="0"/>
    <x v="0"/>
    <x v="0"/>
    <x v="0"/>
    <x v="0"/>
    <x v="1"/>
    <s v="BBG00FWZHJQ5"/>
    <x v="1"/>
    <s v="fe8a86a4318f49fb850f1dfa256f263b"/>
    <s v="GCDMXCB 16V"/>
    <x v="0"/>
    <x v="2"/>
    <s v="Flood defence"/>
    <s v="Colector de agua Violeta"/>
    <s v="Mexico"/>
    <d v="2016-12-31T00:00:00"/>
    <d v="2016-12-31T00:00:00"/>
    <s v="MXN"/>
    <n v="4176119"/>
    <n v="4086116"/>
    <s v="MXN"/>
    <n v="4086116"/>
    <n v="216041"/>
    <b v="0"/>
    <n v="0.15"/>
  </r>
  <r>
    <b v="1"/>
    <x v="0"/>
    <x v="0"/>
    <x v="0"/>
    <x v="0"/>
    <x v="0"/>
    <x v="1"/>
    <s v="BBG00FWZHJQ5"/>
    <x v="1"/>
    <s v="fe8a86a4318f49fb850f1dfa256f263b"/>
    <s v="GCDMXCB 16V"/>
    <x v="1"/>
    <x v="3"/>
    <s v="Flooding mitigation"/>
    <s v="Colector de agua Violeta"/>
    <s v="Mexico"/>
    <d v="2016-12-31T00:00:00"/>
    <d v="2016-12-31T00:00:00"/>
    <s v="MXN"/>
    <n v="4176119"/>
    <n v="4086116"/>
    <s v="MXN"/>
    <n v="4086116"/>
    <n v="216041"/>
    <b v="0"/>
    <n v="0.15"/>
  </r>
  <r>
    <b v="1"/>
    <x v="0"/>
    <x v="0"/>
    <x v="0"/>
    <x v="0"/>
    <x v="0"/>
    <x v="1"/>
    <s v="BBG00FWZHJQ5"/>
    <x v="1"/>
    <s v="fe8a86a4318f49fb850f1dfa256f263b"/>
    <s v="GCDMXCB 16V"/>
    <x v="0"/>
    <x v="0"/>
    <s v="Grid"/>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1"/>
    <x v="4"/>
    <s v="Smart grids"/>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0"/>
    <x v="5"/>
    <s v="Rail"/>
    <s v="Mejora del STC - 16"/>
    <s v="Mexico"/>
    <d v="2016-12-31T00:00:00"/>
    <d v="2016-12-31T00:00:00"/>
    <s v="MXN"/>
    <n v="186825339"/>
    <n v="158786066"/>
    <s v="MXN"/>
    <n v="158786066"/>
    <n v="8395339"/>
    <b v="0"/>
    <n v="0.18"/>
  </r>
  <r>
    <b v="1"/>
    <x v="0"/>
    <x v="0"/>
    <x v="0"/>
    <x v="0"/>
    <x v="0"/>
    <x v="1"/>
    <s v="BBG00FWZHJQ5"/>
    <x v="1"/>
    <s v="fe8a86a4318f49fb850f1dfa256f263b"/>
    <s v="GCDMXCB 16V"/>
    <x v="1"/>
    <x v="6"/>
    <s v="Rail"/>
    <s v="Mejora del STC - 16"/>
    <s v="Mexico"/>
    <d v="2016-12-31T00:00:00"/>
    <d v="2016-12-31T00:00:00"/>
    <s v="MXN"/>
    <n v="186825339"/>
    <n v="158786066"/>
    <s v="MXN"/>
    <n v="158786066"/>
    <n v="8395339"/>
    <b v="0"/>
    <n v="0.18"/>
  </r>
  <r>
    <b v="1"/>
    <x v="0"/>
    <x v="0"/>
    <x v="0"/>
    <x v="0"/>
    <x v="0"/>
    <x v="1"/>
    <s v="BBG00FWZHJQ5"/>
    <x v="1"/>
    <s v="fe8a86a4318f49fb850f1dfa256f263b"/>
    <s v="GCDMXCB 16V"/>
    <x v="0"/>
    <x v="5"/>
    <s v="Low Carbon Buses"/>
    <s v="Metrob√∫s L√≠nea 5 - 16"/>
    <s v="Mexico"/>
    <d v="2016-12-31T00:00:00"/>
    <d v="2016-12-31T00:00:00"/>
    <s v="MXN"/>
    <n v="328125000"/>
    <n v="328125000"/>
    <s v="MXN"/>
    <n v="328125000"/>
    <n v="17348630"/>
    <b v="1"/>
    <m/>
  </r>
  <r>
    <b v="1"/>
    <x v="0"/>
    <x v="0"/>
    <x v="0"/>
    <x v="0"/>
    <x v="0"/>
    <x v="1"/>
    <s v="BBG00FWZHJQ5"/>
    <x v="1"/>
    <s v="fe8a86a4318f49fb850f1dfa256f263b"/>
    <s v="GCDMXCB 16V"/>
    <x v="1"/>
    <x v="6"/>
    <s v="Vehicle infrastructure"/>
    <s v="Metrob√∫s L√≠nea 5 - 16"/>
    <s v="Mexico"/>
    <d v="2016-12-31T00:00:00"/>
    <d v="2016-12-31T00:00:00"/>
    <s v="MXN"/>
    <n v="328125000"/>
    <n v="328125000"/>
    <s v="MXN"/>
    <n v="328125000"/>
    <n v="17348630"/>
    <b v="1"/>
    <m/>
  </r>
  <r>
    <b v="1"/>
    <x v="0"/>
    <x v="0"/>
    <x v="0"/>
    <x v="0"/>
    <x v="0"/>
    <x v="1"/>
    <s v="BBG00FWZHJQ5"/>
    <x v="1"/>
    <s v="fe8a86a4318f49fb850f1dfa256f263b"/>
    <s v="GCDMXCB 16V"/>
    <x v="0"/>
    <x v="5"/>
    <s v="Rail"/>
    <s v="Adquisici√≥n de 4 trenes Tren Ligero CDMX - 16"/>
    <s v="Mexico"/>
    <d v="2016-12-31T00:00:00"/>
    <d v="2016-12-31T00:00:00"/>
    <s v="MXN"/>
    <n v="113173653"/>
    <n v="92818127"/>
    <s v="MXN"/>
    <n v="92818127"/>
    <n v="4907481"/>
    <b v="1"/>
    <m/>
  </r>
  <r>
    <b v="1"/>
    <x v="0"/>
    <x v="0"/>
    <x v="0"/>
    <x v="0"/>
    <x v="0"/>
    <x v="1"/>
    <s v="BBG00FWZHJQ5"/>
    <x v="1"/>
    <s v="fe8a86a4318f49fb850f1dfa256f263b"/>
    <s v="GCDMXCB 16V"/>
    <x v="1"/>
    <x v="6"/>
    <s v="Rail"/>
    <s v="Adquisici√≥n de 4 trenes Tren Ligero CDMX - 16"/>
    <s v="Mexico"/>
    <d v="2016-12-31T00:00:00"/>
    <d v="2016-12-31T00:00:00"/>
    <s v="MXN"/>
    <n v="113173653"/>
    <n v="92818127"/>
    <s v="MXN"/>
    <n v="92818127"/>
    <n v="4907481"/>
    <b v="1"/>
    <m/>
  </r>
  <r>
    <b v="1"/>
    <x v="0"/>
    <x v="0"/>
    <x v="0"/>
    <x v="0"/>
    <x v="0"/>
    <x v="0"/>
    <n v="0"/>
    <x v="0"/>
    <s v="1fd5c178da6148569a42c52f45981714"/>
    <s v="Bancolombia Bono Verde 1"/>
    <x v="0"/>
    <x v="7"/>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1"/>
    <x v="8"/>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0"/>
    <x v="7"/>
    <s v="Commercial"/>
    <s v="GB 1 Proyecto 9"/>
    <s v="Colombia"/>
    <d v="2016-12-05T00:00:00"/>
    <d v="2016-12-05T00:00:00"/>
    <s v="COP"/>
    <n v="21195408000"/>
    <n v="21195408000"/>
    <s v="COP"/>
    <n v="21195408000"/>
    <n v="6924250"/>
    <b v="0"/>
    <n v="0.92"/>
  </r>
  <r>
    <b v="1"/>
    <x v="0"/>
    <x v="0"/>
    <x v="0"/>
    <x v="0"/>
    <x v="0"/>
    <x v="0"/>
    <n v="0"/>
    <x v="0"/>
    <s v="1fd5c178da6148569a42c52f45981714"/>
    <s v="Bancolombia Bono Verde 1"/>
    <x v="1"/>
    <x v="8"/>
    <s v="Commercial"/>
    <s v="GB 1 Proyecto 9"/>
    <s v="Colombia"/>
    <d v="2016-12-05T00:00:00"/>
    <d v="2016-12-05T00:00:00"/>
    <s v="COP"/>
    <n v="21195408000"/>
    <n v="21195408000"/>
    <s v="COP"/>
    <n v="21195408000"/>
    <n v="6924250"/>
    <b v="0"/>
    <n v="0.92"/>
  </r>
  <r>
    <b v="1"/>
    <x v="0"/>
    <x v="0"/>
    <x v="1"/>
    <x v="0"/>
    <x v="1"/>
    <x v="2"/>
    <s v="BBG00PQCN094"/>
    <x v="0"/>
    <s v="19a9b617aa704f8285094522d06a5367"/>
    <s v="Neoenergia - 6¬™ emiss√£o de deb√™ntures"/>
    <x v="0"/>
    <x v="0"/>
    <s v="Hydro"/>
    <s v="Baixo Igua√ßu"/>
    <s v="Brazil"/>
    <d v="2019-07-23T00:00:00"/>
    <d v="2020-03-30T00:00:00"/>
    <s v="BRL"/>
    <n v="400000000"/>
    <n v="400000000"/>
    <s v="BRL"/>
    <n v="400000000"/>
    <n v="77016385"/>
    <b v="1"/>
    <n v="0.17"/>
  </r>
  <r>
    <b v="1"/>
    <x v="0"/>
    <x v="0"/>
    <x v="1"/>
    <x v="0"/>
    <x v="1"/>
    <x v="2"/>
    <s v="BBG00PQCN094"/>
    <x v="0"/>
    <s v="19a9b617aa704f8285094522d06a5367"/>
    <s v="Neoenergia - 6¬™ emiss√£o de deb√™ntures"/>
    <x v="1"/>
    <x v="9"/>
    <s v="Unspecified"/>
    <s v="Baixo Igua√ßu"/>
    <s v="Brazil"/>
    <d v="2019-07-23T00:00:00"/>
    <d v="2020-03-30T00:00:00"/>
    <s v="BRL"/>
    <n v="400000000"/>
    <n v="400000000"/>
    <s v="BRL"/>
    <n v="400000000"/>
    <n v="77016385"/>
    <b v="1"/>
    <n v="0.17"/>
  </r>
  <r>
    <b v="1"/>
    <x v="0"/>
    <x v="0"/>
    <x v="0"/>
    <x v="0"/>
    <x v="0"/>
    <x v="0"/>
    <n v="0"/>
    <x v="0"/>
    <s v="1fd5c178da6148569a42c52f45981714"/>
    <s v="Bancolombia Bono Verde 1"/>
    <x v="0"/>
    <x v="7"/>
    <s v="Commercial"/>
    <s v="GB 1 Proyecto 11"/>
    <s v="Colombia"/>
    <d v="2016-12-05T00:00:00"/>
    <d v="2016-12-05T00:00:00"/>
    <s v="COP"/>
    <n v="31793112000"/>
    <n v="31793112000"/>
    <s v="COP"/>
    <n v="31793112000"/>
    <n v="10386376"/>
    <b v="0"/>
    <n v="0.92"/>
  </r>
  <r>
    <b v="1"/>
    <x v="0"/>
    <x v="0"/>
    <x v="0"/>
    <x v="0"/>
    <x v="0"/>
    <x v="0"/>
    <n v="0"/>
    <x v="0"/>
    <s v="1fd5c178da6148569a42c52f45981714"/>
    <s v="Bancolombia Bono Verde 1"/>
    <x v="1"/>
    <x v="8"/>
    <s v="Commercial"/>
    <s v="GB 1 Proyecto 11"/>
    <s v="Colombia"/>
    <d v="2016-12-05T00:00:00"/>
    <d v="2016-12-05T00:00:00"/>
    <s v="COP"/>
    <n v="31793112000"/>
    <n v="31793112000"/>
    <s v="COP"/>
    <n v="31793112000"/>
    <n v="10386376"/>
    <b v="0"/>
    <n v="0.92"/>
  </r>
  <r>
    <b v="1"/>
    <x v="0"/>
    <x v="0"/>
    <x v="1"/>
    <x v="0"/>
    <x v="1"/>
    <x v="2"/>
    <s v="BBG00PQCN094"/>
    <x v="0"/>
    <s v="19a9b617aa704f8285094522d06a5367"/>
    <s v="Neoenergia - 6¬™ emiss√£o de deb√™ntures"/>
    <x v="0"/>
    <x v="0"/>
    <s v="Wind"/>
    <s v="Chafariz 1"/>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1"/>
    <s v="Brazil"/>
    <d v="2019-07-23T00:00:00"/>
    <d v="2020-03-30T00:00:00"/>
    <s v="BRL"/>
    <n v="15500000"/>
    <n v="15500000"/>
    <s v="BRL"/>
    <n v="15500000"/>
    <n v="2984385"/>
    <b v="1"/>
    <n v="0.1"/>
  </r>
  <r>
    <b v="1"/>
    <x v="0"/>
    <x v="0"/>
    <x v="0"/>
    <x v="0"/>
    <x v="0"/>
    <x v="0"/>
    <n v="0"/>
    <x v="0"/>
    <s v="1fd5c178da6148569a42c52f45981714"/>
    <s v="Bancolombia Bono Verde 1"/>
    <x v="0"/>
    <x v="7"/>
    <s v="Commercial"/>
    <s v="GB 1 Proyecto 12"/>
    <s v="Colombia"/>
    <d v="2016-12-05T00:00:00"/>
    <d v="2016-12-05T00:00:00"/>
    <s v="COP"/>
    <n v="24829038000"/>
    <n v="24829038000"/>
    <s v="COP"/>
    <n v="24829038000"/>
    <n v="8111308"/>
    <b v="0"/>
    <n v="0.92"/>
  </r>
  <r>
    <b v="1"/>
    <x v="0"/>
    <x v="0"/>
    <x v="0"/>
    <x v="0"/>
    <x v="0"/>
    <x v="0"/>
    <n v="0"/>
    <x v="0"/>
    <s v="1fd5c178da6148569a42c52f45981714"/>
    <s v="Bancolombia Bono Verde 1"/>
    <x v="1"/>
    <x v="8"/>
    <s v="Commercial"/>
    <s v="GB 1 Proyecto 12"/>
    <s v="Colombia"/>
    <d v="2016-12-05T00:00:00"/>
    <d v="2016-12-05T00:00:00"/>
    <s v="COP"/>
    <n v="24829038000"/>
    <n v="24829038000"/>
    <s v="COP"/>
    <n v="24829038000"/>
    <n v="8111308"/>
    <b v="0"/>
    <n v="0.92"/>
  </r>
  <r>
    <b v="1"/>
    <x v="0"/>
    <x v="0"/>
    <x v="0"/>
    <x v="0"/>
    <x v="0"/>
    <x v="3"/>
    <n v="0"/>
    <x v="0"/>
    <s v="6f46459260bb4254a71f833639627109"/>
    <s v="Bancolombia Bono Verde 2"/>
    <x v="0"/>
    <x v="0"/>
    <s v="Hydro"/>
    <s v="GB 2 Proyecto 1"/>
    <s v="Colombia"/>
    <d v="2018-07-18T00:00:00"/>
    <d v="2018-07-18T00:00:00"/>
    <s v="COP"/>
    <n v="86848745982"/>
    <n v="86848745982"/>
    <s v="COP"/>
    <n v="86848745982"/>
    <n v="30173835"/>
    <b v="1"/>
    <n v="0.98"/>
  </r>
  <r>
    <b v="1"/>
    <x v="0"/>
    <x v="0"/>
    <x v="0"/>
    <x v="0"/>
    <x v="0"/>
    <x v="3"/>
    <n v="0"/>
    <x v="0"/>
    <s v="6f46459260bb4254a71f833639627109"/>
    <s v="Bancolombia Bono Verde 2"/>
    <x v="1"/>
    <x v="1"/>
    <s v="Generation"/>
    <s v="GB 2 Proyecto 1"/>
    <s v="Colombia"/>
    <d v="2018-07-18T00:00:00"/>
    <d v="2018-07-18T00:00:00"/>
    <s v="COP"/>
    <n v="86848745982"/>
    <n v="86848745982"/>
    <s v="COP"/>
    <n v="86848745982"/>
    <n v="30173835"/>
    <b v="1"/>
    <n v="0.98"/>
  </r>
  <r>
    <b v="1"/>
    <x v="0"/>
    <x v="0"/>
    <x v="0"/>
    <x v="0"/>
    <x v="0"/>
    <x v="3"/>
    <n v="0"/>
    <x v="0"/>
    <s v="6f46459260bb4254a71f833639627109"/>
    <s v="Bancolombia Bono Verde 2"/>
    <x v="0"/>
    <x v="0"/>
    <s v="Hydro"/>
    <s v="GB 2 Proyecto 2"/>
    <s v="Colombia"/>
    <d v="2018-07-18T00:00:00"/>
    <d v="2018-07-18T00:00:00"/>
    <s v="COP"/>
    <n v="86323785852"/>
    <n v="86323785852"/>
    <s v="COP"/>
    <n v="86323785852"/>
    <n v="29991448"/>
    <b v="1"/>
    <n v="0.98"/>
  </r>
  <r>
    <b v="1"/>
    <x v="0"/>
    <x v="0"/>
    <x v="0"/>
    <x v="0"/>
    <x v="0"/>
    <x v="3"/>
    <n v="0"/>
    <x v="0"/>
    <s v="6f46459260bb4254a71f833639627109"/>
    <s v="Bancolombia Bono Verde 2"/>
    <x v="1"/>
    <x v="1"/>
    <s v="Appliances"/>
    <s v="GB 2 Proyecto 2"/>
    <s v="Colombia"/>
    <d v="2018-07-18T00:00:00"/>
    <d v="2018-07-18T00:00:00"/>
    <s v="COP"/>
    <n v="86323785852"/>
    <n v="86323785852"/>
    <s v="COP"/>
    <n v="86323785852"/>
    <n v="29991448"/>
    <b v="1"/>
    <n v="0.98"/>
  </r>
  <r>
    <b v="1"/>
    <x v="0"/>
    <x v="0"/>
    <x v="0"/>
    <x v="0"/>
    <x v="0"/>
    <x v="3"/>
    <n v="0"/>
    <x v="0"/>
    <s v="6f46459260bb4254a71f833639627109"/>
    <s v="Bancolombia Bono Verde 2"/>
    <x v="0"/>
    <x v="0"/>
    <s v="Storage"/>
    <s v="GB 2 Proyecto 3"/>
    <s v="Colombia"/>
    <d v="2018-07-18T00:00:00"/>
    <d v="2018-07-18T00:00:00"/>
    <s v="COP"/>
    <n v="33178172623"/>
    <n v="33178172623"/>
    <s v="COP"/>
    <n v="33178172623"/>
    <n v="11527083"/>
    <b v="1"/>
    <n v="0.98"/>
  </r>
  <r>
    <b v="1"/>
    <x v="0"/>
    <x v="0"/>
    <x v="1"/>
    <x v="0"/>
    <x v="1"/>
    <x v="2"/>
    <s v="BBG00PQCN094"/>
    <x v="0"/>
    <s v="19a9b617aa704f8285094522d06a5367"/>
    <s v="Neoenergia - 6¬™ emiss√£o de deb√™ntures"/>
    <x v="0"/>
    <x v="0"/>
    <s v="Wind"/>
    <s v="Chafariz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2"/>
    <s v="Brazil"/>
    <d v="2019-07-23T00:00:00"/>
    <d v="2020-03-30T00:00:00"/>
    <s v="BRL"/>
    <n v="15500000"/>
    <n v="15500000"/>
    <s v="BRL"/>
    <n v="15500000"/>
    <n v="2984385"/>
    <b v="1"/>
    <n v="0.1"/>
  </r>
  <r>
    <b v="1"/>
    <x v="0"/>
    <x v="0"/>
    <x v="0"/>
    <x v="0"/>
    <x v="0"/>
    <x v="3"/>
    <n v="0"/>
    <x v="0"/>
    <s v="6f46459260bb4254a71f833639627109"/>
    <s v="Bancolombia Bono Verde 2"/>
    <x v="1"/>
    <x v="4"/>
    <s v="District heating"/>
    <s v="GB 2 Proyecto 3"/>
    <s v="Colombia"/>
    <d v="2018-07-18T00:00:00"/>
    <d v="2018-07-18T00:00:00"/>
    <s v="COP"/>
    <n v="33178172623"/>
    <n v="33178172623"/>
    <s v="COP"/>
    <n v="33178172623"/>
    <n v="11527083"/>
    <b v="1"/>
    <n v="0.98"/>
  </r>
  <r>
    <b v="1"/>
    <x v="0"/>
    <x v="0"/>
    <x v="0"/>
    <x v="0"/>
    <x v="0"/>
    <x v="3"/>
    <n v="0"/>
    <x v="0"/>
    <s v="6f46459260bb4254a71f833639627109"/>
    <s v="Bancolombia Bono Verde 2"/>
    <x v="0"/>
    <x v="0"/>
    <s v="Bioenergy"/>
    <s v="GB 2 Proyecto 4"/>
    <s v="Colombia"/>
    <d v="2018-07-18T00:00:00"/>
    <d v="2018-07-18T00:00:00"/>
    <s v="COP"/>
    <n v="3415400123"/>
    <n v="3415400123"/>
    <s v="COP"/>
    <n v="3415400123"/>
    <n v="1186611"/>
    <b v="1"/>
    <n v="0.98"/>
  </r>
  <r>
    <b v="1"/>
    <x v="0"/>
    <x v="0"/>
    <x v="0"/>
    <x v="0"/>
    <x v="0"/>
    <x v="3"/>
    <n v="0"/>
    <x v="0"/>
    <s v="6f46459260bb4254a71f833639627109"/>
    <s v="Bancolombia Bono Verde 2"/>
    <x v="1"/>
    <x v="1"/>
    <s v="Generation"/>
    <s v="GB 2 Proyecto 4"/>
    <s v="Colombia"/>
    <d v="2018-07-18T00:00:00"/>
    <d v="2018-07-18T00:00:00"/>
    <s v="COP"/>
    <n v="3415400123"/>
    <n v="3415400123"/>
    <s v="COP"/>
    <n v="3415400123"/>
    <n v="1186611"/>
    <b v="1"/>
    <n v="0.98"/>
  </r>
  <r>
    <b v="1"/>
    <x v="0"/>
    <x v="0"/>
    <x v="1"/>
    <x v="0"/>
    <x v="1"/>
    <x v="2"/>
    <s v="BBG00PQCN094"/>
    <x v="0"/>
    <s v="19a9b617aa704f8285094522d06a5367"/>
    <s v="Neoenergia - 6¬™ emiss√£o de deb√™ntures"/>
    <x v="0"/>
    <x v="0"/>
    <s v="Wind"/>
    <s v="Chafariz 3"/>
    <s v="Brazil"/>
    <d v="2019-07-23T00:00:00"/>
    <d v="2020-03-30T00:00:00"/>
    <s v="BRL"/>
    <n v="6200000"/>
    <n v="6200000"/>
    <s v="BRL"/>
    <n v="6200000"/>
    <n v="1193754"/>
    <b v="1"/>
    <n v="0.04"/>
  </r>
  <r>
    <b v="1"/>
    <x v="0"/>
    <x v="0"/>
    <x v="1"/>
    <x v="0"/>
    <x v="1"/>
    <x v="2"/>
    <s v="BBG00PQCN094"/>
    <x v="0"/>
    <s v="19a9b617aa704f8285094522d06a5367"/>
    <s v="Neoenergia - 6¬™ emiss√£o de deb√™ntures"/>
    <x v="1"/>
    <x v="1"/>
    <s v="Generation"/>
    <s v="Chafariz 3"/>
    <s v="Brazil"/>
    <d v="2019-07-23T00:00:00"/>
    <d v="2020-03-30T00:00:00"/>
    <s v="BRL"/>
    <n v="6200000"/>
    <n v="6200000"/>
    <s v="BRL"/>
    <n v="6200000"/>
    <n v="1193754"/>
    <b v="1"/>
    <n v="0.04"/>
  </r>
  <r>
    <b v="1"/>
    <x v="0"/>
    <x v="0"/>
    <x v="0"/>
    <x v="0"/>
    <x v="0"/>
    <x v="3"/>
    <n v="0"/>
    <x v="0"/>
    <s v="6f46459260bb4254a71f833639627109"/>
    <s v="Bancolombia Bono Verde 2"/>
    <x v="0"/>
    <x v="7"/>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1"/>
    <x v="8"/>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0"/>
    <x v="7"/>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1"/>
    <x v="8"/>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0"/>
    <x v="7"/>
    <s v="Residential"/>
    <s v="GB 2 Proyecto 16"/>
    <s v="Colombia"/>
    <d v="2018-07-18T00:00:00"/>
    <d v="2018-07-18T00:00:00"/>
    <s v="COP"/>
    <n v="29274858197"/>
    <n v="29274858197"/>
    <s v="COP"/>
    <n v="29274858197"/>
    <n v="10170956"/>
    <b v="1"/>
    <n v="0.98"/>
  </r>
  <r>
    <b v="1"/>
    <x v="0"/>
    <x v="0"/>
    <x v="0"/>
    <x v="0"/>
    <x v="0"/>
    <x v="3"/>
    <n v="0"/>
    <x v="0"/>
    <s v="6f46459260bb4254a71f833639627109"/>
    <s v="Bancolombia Bono Verde 2"/>
    <x v="1"/>
    <x v="8"/>
    <s v="Residential"/>
    <s v="GB 2 Proyecto 16"/>
    <s v="Colombia"/>
    <d v="2018-07-18T00:00:00"/>
    <d v="2018-07-18T00:00:00"/>
    <s v="COP"/>
    <n v="29274858197"/>
    <n v="29274858197"/>
    <s v="COP"/>
    <n v="29274858197"/>
    <n v="10170956"/>
    <b v="1"/>
    <n v="0.98"/>
  </r>
  <r>
    <b v="1"/>
    <x v="0"/>
    <x v="0"/>
    <x v="0"/>
    <x v="0"/>
    <x v="0"/>
    <x v="4"/>
    <n v="0"/>
    <x v="0"/>
    <s v="33ceef813ef14aac8ab44dc3a53606d8"/>
    <s v="Bancolombia Bono Sostenible"/>
    <x v="0"/>
    <x v="7"/>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1"/>
    <x v="8"/>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0"/>
    <x v="7"/>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1"/>
    <x v="8"/>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0"/>
    <x v="7"/>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1"/>
    <x v="8"/>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0"/>
    <x v="7"/>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1"/>
    <x v="8"/>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0"/>
    <x v="7"/>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1"/>
    <x v="8"/>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0"/>
    <x v="7"/>
    <s v="Commercial"/>
    <s v="SB Proyecto 29"/>
    <s v="Colombia"/>
    <d v="2019-07-19T00:00:00"/>
    <d v="2019-07-19T00:00:00"/>
    <s v="COP"/>
    <n v="20000000000"/>
    <n v="20000000000"/>
    <s v="COP"/>
    <n v="20000000000"/>
    <n v="6283361"/>
    <b v="0"/>
    <m/>
  </r>
  <r>
    <b v="1"/>
    <x v="0"/>
    <x v="0"/>
    <x v="0"/>
    <x v="0"/>
    <x v="0"/>
    <x v="4"/>
    <n v="0"/>
    <x v="0"/>
    <s v="33ceef813ef14aac8ab44dc3a53606d8"/>
    <s v="Bancolombia Bono Sostenible"/>
    <x v="1"/>
    <x v="8"/>
    <s v="Commercial"/>
    <s v="SB Proyecto 29"/>
    <s v="Colombia"/>
    <d v="2019-07-19T00:00:00"/>
    <d v="2019-07-19T00:00:00"/>
    <s v="COP"/>
    <n v="20000000000"/>
    <n v="20000000000"/>
    <s v="COP"/>
    <n v="20000000000"/>
    <n v="6283361"/>
    <b v="0"/>
    <m/>
  </r>
  <r>
    <b v="1"/>
    <x v="0"/>
    <x v="0"/>
    <x v="2"/>
    <x v="0"/>
    <x v="1"/>
    <x v="5"/>
    <s v="BBG00GM45ZM4"/>
    <x v="0"/>
    <s v="d926bd6190f14503bf5981ccf4d7c715"/>
    <s v="BNDES Green Bond 2017"/>
    <x v="0"/>
    <x v="0"/>
    <s v="Wind"/>
    <s v="UEE Atlantic 2"/>
    <s v="Brazil"/>
    <d v="2018-04-30T00:00:00"/>
    <d v="2017-05-10T00:00:00"/>
    <s v="BRL"/>
    <n v="487465891"/>
    <n v="487465891"/>
    <s v="USD"/>
    <n v="153016885"/>
    <n v="153016885"/>
    <b v="1"/>
    <n v="0.61"/>
  </r>
  <r>
    <b v="1"/>
    <x v="0"/>
    <x v="0"/>
    <x v="2"/>
    <x v="0"/>
    <x v="1"/>
    <x v="5"/>
    <s v="BBG00GM45ZM4"/>
    <x v="0"/>
    <s v="d926bd6190f14503bf5981ccf4d7c715"/>
    <s v="BNDES Green Bond 2017"/>
    <x v="1"/>
    <x v="1"/>
    <s v="Generation"/>
    <s v="UEE Atlantic 2"/>
    <s v="Brazil"/>
    <d v="2018-04-30T00:00:00"/>
    <d v="2017-05-10T00:00:00"/>
    <s v="BRL"/>
    <n v="487465891"/>
    <n v="487465891"/>
    <s v="USD"/>
    <n v="153016885"/>
    <n v="153016885"/>
    <b v="1"/>
    <n v="0.61"/>
  </r>
  <r>
    <b v="1"/>
    <x v="0"/>
    <x v="0"/>
    <x v="2"/>
    <x v="0"/>
    <x v="1"/>
    <x v="5"/>
    <s v="BBG00GM45ZM4"/>
    <x v="0"/>
    <s v="d926bd6190f14503bf5981ccf4d7c715"/>
    <s v="BNDES Green Bond 2017"/>
    <x v="2"/>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3"/>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0"/>
    <x v="0"/>
    <s v="Wind"/>
    <s v="UEE Calango 6"/>
    <s v="Brazil"/>
    <d v="2018-04-30T00:00:00"/>
    <d v="2017-05-09T00:00:00"/>
    <s v="BRL"/>
    <n v="256023174"/>
    <n v="256023174"/>
    <s v="USD"/>
    <n v="80366379"/>
    <n v="80366379"/>
    <b v="1"/>
    <n v="0.49"/>
  </r>
  <r>
    <b v="1"/>
    <x v="0"/>
    <x v="0"/>
    <x v="2"/>
    <x v="0"/>
    <x v="1"/>
    <x v="5"/>
    <s v="BBG00GM45ZM4"/>
    <x v="0"/>
    <s v="d926bd6190f14503bf5981ccf4d7c715"/>
    <s v="BNDES Green Bond 2017"/>
    <x v="1"/>
    <x v="1"/>
    <s v="Generation"/>
    <s v="UEE Calango 6"/>
    <s v="Brazil"/>
    <d v="2018-04-30T00:00:00"/>
    <d v="2017-05-09T00:00:00"/>
    <s v="BRL"/>
    <n v="256023174"/>
    <n v="256023174"/>
    <s v="USD"/>
    <n v="80366379"/>
    <n v="80366379"/>
    <b v="1"/>
    <n v="0.49"/>
  </r>
  <r>
    <b v="1"/>
    <x v="0"/>
    <x v="0"/>
    <x v="0"/>
    <x v="0"/>
    <x v="0"/>
    <x v="6"/>
    <s v="BBG00QJ63P18"/>
    <x v="0"/>
    <s v="19e36a4428614da782362502bd1291a3"/>
    <s v="Attend Ambiental 2026"/>
    <x v="0"/>
    <x v="2"/>
    <s v="Treatment"/>
    <s v="Linhas de tratamento Attend Ambiental"/>
    <s v="Brazil"/>
    <d v="2019-10-09T00:00:00"/>
    <d v="2019-10-09T00:00:00"/>
    <s v="BRL"/>
    <n v="55000000"/>
    <n v="55000000"/>
    <s v="BRL"/>
    <n v="55000000"/>
    <n v="13687380"/>
    <b v="1"/>
    <n v="0.8"/>
  </r>
  <r>
    <b v="1"/>
    <x v="0"/>
    <x v="0"/>
    <x v="0"/>
    <x v="0"/>
    <x v="0"/>
    <x v="6"/>
    <s v="BBG00QJ63P18"/>
    <x v="0"/>
    <s v="19e36a4428614da782362502bd1291a3"/>
    <s v="Attend Ambiental 2026"/>
    <x v="1"/>
    <x v="3"/>
    <s v="Wastewater treatment"/>
    <s v="Linhas de tratamento Attend Ambiental"/>
    <s v="Brazil"/>
    <d v="2019-10-09T00:00:00"/>
    <d v="2019-10-09T00:00:00"/>
    <s v="BRL"/>
    <n v="55000000"/>
    <n v="55000000"/>
    <s v="BRL"/>
    <n v="55000000"/>
    <n v="13687380"/>
    <b v="1"/>
    <n v="0.8"/>
  </r>
  <r>
    <b v="1"/>
    <x v="0"/>
    <x v="0"/>
    <x v="2"/>
    <x v="0"/>
    <x v="1"/>
    <x v="5"/>
    <s v="BBG00GM45ZM4"/>
    <x v="0"/>
    <s v="d926bd6190f14503bf5981ccf4d7c715"/>
    <s v="BNDES Green Bond 2017"/>
    <x v="2"/>
    <x v="9"/>
    <s v="Unspecified"/>
    <s v="UEE Calango 6"/>
    <s v="Brazil"/>
    <d v="2018-04-30T00:00:00"/>
    <d v="2017-05-09T00:00:00"/>
    <s v="BRL"/>
    <n v="256023174"/>
    <n v="256023174"/>
    <s v="USD"/>
    <n v="80366379"/>
    <n v="80366379"/>
    <b v="1"/>
    <n v="0.49"/>
  </r>
  <r>
    <b v="1"/>
    <x v="0"/>
    <x v="0"/>
    <x v="2"/>
    <x v="0"/>
    <x v="1"/>
    <x v="5"/>
    <s v="BBG00GM45ZM4"/>
    <x v="0"/>
    <s v="d926bd6190f14503bf5981ccf4d7c715"/>
    <s v="BNDES Green Bond 2017"/>
    <x v="3"/>
    <x v="9"/>
    <s v="Unspecified"/>
    <s v="UEE Calango 6"/>
    <s v="Brazil"/>
    <d v="2018-04-30T00:00:00"/>
    <d v="2017-05-09T00:00:00"/>
    <s v="BRL"/>
    <n v="256023174"/>
    <n v="256023174"/>
    <s v="USD"/>
    <n v="80366379"/>
    <n v="80366379"/>
    <b v="1"/>
    <n v="0.49"/>
  </r>
  <r>
    <b v="1"/>
    <x v="0"/>
    <x v="0"/>
    <x v="1"/>
    <x v="0"/>
    <x v="1"/>
    <x v="2"/>
    <s v="BBG00PQCN094"/>
    <x v="0"/>
    <s v="19a9b617aa704f8285094522d06a5367"/>
    <s v="Neoenergia - 6¬™ emiss√£o de deb√™ntures"/>
    <x v="0"/>
    <x v="0"/>
    <s v="Wind"/>
    <s v="Chafariz 4"/>
    <s v="Brazil"/>
    <d v="2019-07-23T00:00:00"/>
    <d v="2020-03-30T00:00:00"/>
    <s v="BRL"/>
    <n v="20700000"/>
    <n v="15400000"/>
    <s v="BRL"/>
    <n v="15400000"/>
    <n v="2965131"/>
    <b v="1"/>
    <n v="0.13"/>
  </r>
  <r>
    <b v="1"/>
    <x v="0"/>
    <x v="0"/>
    <x v="1"/>
    <x v="0"/>
    <x v="1"/>
    <x v="2"/>
    <s v="BBG00PQCN094"/>
    <x v="0"/>
    <s v="19a9b617aa704f8285094522d06a5367"/>
    <s v="Neoenergia - 6¬™ emiss√£o de deb√™ntures"/>
    <x v="1"/>
    <x v="1"/>
    <s v="Generation"/>
    <s v="Chafariz 4"/>
    <s v="Brazil"/>
    <d v="2019-07-23T00:00:00"/>
    <d v="2020-03-30T00:00:00"/>
    <s v="BRL"/>
    <n v="20700000"/>
    <n v="15400000"/>
    <s v="BRL"/>
    <n v="15400000"/>
    <n v="2965131"/>
    <b v="1"/>
    <n v="0.13"/>
  </r>
  <r>
    <b v="1"/>
    <x v="0"/>
    <x v="0"/>
    <x v="1"/>
    <x v="0"/>
    <x v="1"/>
    <x v="2"/>
    <s v="BBG00PQCN094"/>
    <x v="0"/>
    <s v="19a9b617aa704f8285094522d06a5367"/>
    <s v="Neoenergia - 6¬™ emiss√£o de deb√™ntures"/>
    <x v="0"/>
    <x v="0"/>
    <s v="Wind"/>
    <s v="Chafariz 5"/>
    <s v="Brazil"/>
    <d v="2019-07-23T00:00:00"/>
    <d v="2020-03-30T00:00:00"/>
    <s v="BRL"/>
    <n v="20700000"/>
    <n v="16600000"/>
    <s v="BRL"/>
    <n v="16600000"/>
    <n v="3196180"/>
    <b v="1"/>
    <n v="0.13"/>
  </r>
  <r>
    <b v="1"/>
    <x v="0"/>
    <x v="0"/>
    <x v="1"/>
    <x v="0"/>
    <x v="1"/>
    <x v="2"/>
    <s v="BBG00PQCN094"/>
    <x v="0"/>
    <s v="19a9b617aa704f8285094522d06a5367"/>
    <s v="Neoenergia - 6¬™ emiss√£o de deb√™ntures"/>
    <x v="1"/>
    <x v="1"/>
    <s v="Generation"/>
    <s v="Chafariz 5"/>
    <s v="Brazil"/>
    <d v="2019-07-23T00:00:00"/>
    <d v="2020-03-30T00:00:00"/>
    <s v="BRL"/>
    <n v="20700000"/>
    <n v="16600000"/>
    <s v="BRL"/>
    <n v="16600000"/>
    <n v="3196180"/>
    <b v="1"/>
    <n v="0.13"/>
  </r>
  <r>
    <b v="1"/>
    <x v="0"/>
    <x v="0"/>
    <x v="1"/>
    <x v="0"/>
    <x v="1"/>
    <x v="2"/>
    <s v="BBG00PQCN094"/>
    <x v="0"/>
    <s v="19a9b617aa704f8285094522d06a5367"/>
    <s v="Neoenergia - 6¬™ emiss√£o de deb√™ntures"/>
    <x v="0"/>
    <x v="0"/>
    <s v="Wind"/>
    <s v="Chafariz 6"/>
    <s v="Brazil"/>
    <d v="2019-07-23T00:00:00"/>
    <d v="2020-03-30T00:00:00"/>
    <s v="BRL"/>
    <n v="13000000"/>
    <n v="13000000"/>
    <s v="BRL"/>
    <n v="13000000"/>
    <n v="2503033"/>
    <b v="1"/>
    <n v="0.09"/>
  </r>
  <r>
    <b v="1"/>
    <x v="0"/>
    <x v="0"/>
    <x v="1"/>
    <x v="0"/>
    <x v="1"/>
    <x v="2"/>
    <s v="BBG00PQCN094"/>
    <x v="0"/>
    <s v="19a9b617aa704f8285094522d06a5367"/>
    <s v="Neoenergia - 6¬™ emiss√£o de deb√™ntures"/>
    <x v="1"/>
    <x v="1"/>
    <s v="Generation"/>
    <s v="Chafariz 6"/>
    <s v="Brazil"/>
    <d v="2019-07-23T00:00:00"/>
    <d v="2020-03-30T00:00:00"/>
    <s v="BRL"/>
    <n v="13000000"/>
    <n v="13000000"/>
    <s v="BRL"/>
    <n v="13000000"/>
    <n v="2503033"/>
    <b v="1"/>
    <n v="0.09"/>
  </r>
  <r>
    <b v="1"/>
    <x v="0"/>
    <x v="0"/>
    <x v="2"/>
    <x v="0"/>
    <x v="1"/>
    <x v="5"/>
    <s v="BBG00GM45ZM4"/>
    <x v="0"/>
    <s v="d926bd6190f14503bf5981ccf4d7c715"/>
    <s v="BNDES Green Bond 2017"/>
    <x v="0"/>
    <x v="0"/>
    <s v="Wind"/>
    <s v="UEE Brazil Energy"/>
    <s v="Brazil"/>
    <d v="2018-04-30T00:00:00"/>
    <d v="2017-05-11T00:00:00"/>
    <s v="BRL"/>
    <n v="391625072"/>
    <n v="391625072"/>
    <s v="USD"/>
    <n v="122932188"/>
    <n v="122932188"/>
    <b v="1"/>
    <n v="0.45"/>
  </r>
  <r>
    <b v="1"/>
    <x v="0"/>
    <x v="0"/>
    <x v="2"/>
    <x v="0"/>
    <x v="1"/>
    <x v="5"/>
    <s v="BBG00GM45ZM4"/>
    <x v="0"/>
    <s v="d926bd6190f14503bf5981ccf4d7c715"/>
    <s v="BNDES Green Bond 2017"/>
    <x v="1"/>
    <x v="1"/>
    <s v="Generation"/>
    <s v="UEE Brazil Energy"/>
    <s v="Brazil"/>
    <d v="2018-04-30T00:00:00"/>
    <d v="2017-05-11T00:00:00"/>
    <s v="BRL"/>
    <n v="391625072"/>
    <n v="391625072"/>
    <s v="USD"/>
    <n v="122932188"/>
    <n v="122932188"/>
    <b v="1"/>
    <n v="0.45"/>
  </r>
  <r>
    <b v="1"/>
    <x v="0"/>
    <x v="0"/>
    <x v="2"/>
    <x v="0"/>
    <x v="1"/>
    <x v="5"/>
    <s v="BBG00GM45ZM4"/>
    <x v="0"/>
    <s v="d926bd6190f14503bf5981ccf4d7c715"/>
    <s v="BNDES Green Bond 2017"/>
    <x v="2"/>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3"/>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0"/>
    <x v="0"/>
    <s v="Wind"/>
    <s v="UEE Contour Picos 2"/>
    <s v="Brazil"/>
    <d v="2018-04-30T00:00:00"/>
    <d v="2017-05-12T00:00:00"/>
    <s v="BRL"/>
    <n v="571079500"/>
    <n v="571079500"/>
    <s v="USD"/>
    <n v="179263427"/>
    <n v="179263427"/>
    <b v="1"/>
    <n v="0.62"/>
  </r>
  <r>
    <b v="1"/>
    <x v="0"/>
    <x v="0"/>
    <x v="2"/>
    <x v="0"/>
    <x v="1"/>
    <x v="5"/>
    <s v="BBG00GM45ZM4"/>
    <x v="0"/>
    <s v="d926bd6190f14503bf5981ccf4d7c715"/>
    <s v="BNDES Green Bond 2017"/>
    <x v="1"/>
    <x v="1"/>
    <s v="Generation"/>
    <s v="UEE Contour Picos 2"/>
    <s v="Brazil"/>
    <d v="2018-04-30T00:00:00"/>
    <d v="2017-05-12T00:00:00"/>
    <s v="BRL"/>
    <n v="571079500"/>
    <n v="571079500"/>
    <s v="USD"/>
    <n v="179263427"/>
    <n v="179263427"/>
    <b v="1"/>
    <n v="0.62"/>
  </r>
  <r>
    <b v="1"/>
    <x v="0"/>
    <x v="0"/>
    <x v="2"/>
    <x v="0"/>
    <x v="1"/>
    <x v="5"/>
    <s v="BBG00GM45ZM4"/>
    <x v="0"/>
    <s v="d926bd6190f14503bf5981ccf4d7c715"/>
    <s v="BNDES Green Bond 2017"/>
    <x v="2"/>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3"/>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0"/>
    <x v="0"/>
    <s v="Wind"/>
    <s v="UEE Rio Energy I"/>
    <s v="Brazil"/>
    <d v="2018-04-30T00:00:00"/>
    <d v="2017-05-13T00:00:00"/>
    <s v="BRL"/>
    <n v="650772000"/>
    <n v="650772000"/>
    <s v="USD"/>
    <n v="204279122"/>
    <n v="204279122"/>
    <b v="1"/>
    <n v="0.6"/>
  </r>
  <r>
    <b v="1"/>
    <x v="0"/>
    <x v="0"/>
    <x v="2"/>
    <x v="0"/>
    <x v="1"/>
    <x v="5"/>
    <s v="BBG00GM45ZM4"/>
    <x v="0"/>
    <s v="d926bd6190f14503bf5981ccf4d7c715"/>
    <s v="BNDES Green Bond 2017"/>
    <x v="1"/>
    <x v="1"/>
    <s v="Generation"/>
    <s v="UEE Rio Energy I"/>
    <s v="Brazil"/>
    <d v="2018-04-30T00:00:00"/>
    <d v="2017-05-13T00:00:00"/>
    <s v="BRL"/>
    <n v="650772000"/>
    <n v="650772000"/>
    <s v="USD"/>
    <n v="204279122"/>
    <n v="204279122"/>
    <b v="1"/>
    <n v="0.6"/>
  </r>
  <r>
    <b v="1"/>
    <x v="0"/>
    <x v="0"/>
    <x v="2"/>
    <x v="0"/>
    <x v="1"/>
    <x v="5"/>
    <s v="BBG00GM45ZM4"/>
    <x v="0"/>
    <s v="d926bd6190f14503bf5981ccf4d7c715"/>
    <s v="BNDES Green Bond 2017"/>
    <x v="2"/>
    <x v="9"/>
    <s v="Unspecified"/>
    <s v="UEE Rio Energy I"/>
    <s v="Brazil"/>
    <d v="2018-04-30T00:00:00"/>
    <d v="2017-05-13T00:00:00"/>
    <s v="BRL"/>
    <n v="650772000"/>
    <n v="650772000"/>
    <s v="USD"/>
    <n v="204279122"/>
    <n v="204279122"/>
    <b v="1"/>
    <n v="0.6"/>
  </r>
  <r>
    <b v="1"/>
    <x v="0"/>
    <x v="0"/>
    <x v="2"/>
    <x v="0"/>
    <x v="1"/>
    <x v="5"/>
    <s v="BBG00GM45ZM4"/>
    <x v="0"/>
    <s v="d926bd6190f14503bf5981ccf4d7c715"/>
    <s v="BNDES Green Bond 2017"/>
    <x v="3"/>
    <x v="9"/>
    <s v="Unspecified"/>
    <s v="UEE Rio Energy I"/>
    <s v="Brazil"/>
    <d v="2018-04-30T00:00:00"/>
    <d v="2017-05-13T00:00:00"/>
    <s v="BRL"/>
    <n v="650772000"/>
    <n v="650772000"/>
    <s v="USD"/>
    <n v="204279122"/>
    <n v="204279122"/>
    <b v="1"/>
    <n v="0.6"/>
  </r>
  <r>
    <b v="1"/>
    <x v="0"/>
    <x v="0"/>
    <x v="2"/>
    <x v="0"/>
    <x v="1"/>
    <x v="7"/>
    <n v="0"/>
    <x v="0"/>
    <s v="3138cc32cdef45918af3cade062653bd"/>
    <s v="FEFA 18V"/>
    <x v="0"/>
    <x v="10"/>
    <s v="Agriculture"/>
    <s v="Protected Agriculture"/>
    <s v="Mexico"/>
    <d v="2018-10-23T00:00:00"/>
    <d v="2019-01-31T00:00:00"/>
    <s v="MXN"/>
    <n v="1311000000"/>
    <n v="1311000000"/>
    <s v="MXN"/>
    <n v="1311000000"/>
    <n v="67507723"/>
    <b v="1"/>
    <n v="0.8"/>
  </r>
  <r>
    <b v="1"/>
    <x v="0"/>
    <x v="0"/>
    <x v="2"/>
    <x v="0"/>
    <x v="1"/>
    <x v="7"/>
    <n v="0"/>
    <x v="0"/>
    <s v="3138cc32cdef45918af3cade062653bd"/>
    <s v="FEFA 18V"/>
    <x v="1"/>
    <x v="11"/>
    <s v="Agriculture"/>
    <s v="Protected Agriculture"/>
    <s v="Mexico"/>
    <d v="2018-10-23T00:00:00"/>
    <d v="2019-01-31T00:00:00"/>
    <s v="MXN"/>
    <n v="1311000000"/>
    <n v="1311000000"/>
    <s v="MXN"/>
    <n v="1311000000"/>
    <n v="67507723"/>
    <b v="1"/>
    <n v="0.8"/>
  </r>
  <r>
    <b v="1"/>
    <x v="0"/>
    <x v="0"/>
    <x v="2"/>
    <x v="0"/>
    <x v="1"/>
    <x v="7"/>
    <n v="0"/>
    <x v="0"/>
    <s v="3138cc32cdef45918af3cade062653bd"/>
    <s v="FEFA 18V"/>
    <x v="0"/>
    <x v="10"/>
    <s v="Agriculture"/>
    <s v="Localized irrigation"/>
    <s v="Mexico"/>
    <d v="2018-10-23T00:00:00"/>
    <d v="2019-01-31T00:00:00"/>
    <s v="MXN"/>
    <n v="744000000"/>
    <n v="744000000"/>
    <s v="MXN"/>
    <n v="744000000"/>
    <n v="38311019"/>
    <b v="1"/>
    <n v="0.8"/>
  </r>
  <r>
    <b v="1"/>
    <x v="0"/>
    <x v="0"/>
    <x v="2"/>
    <x v="0"/>
    <x v="1"/>
    <x v="7"/>
    <n v="0"/>
    <x v="0"/>
    <s v="3138cc32cdef45918af3cade062653bd"/>
    <s v="FEFA 18V"/>
    <x v="1"/>
    <x v="11"/>
    <s v="Agriculture"/>
    <s v="Localized irrigation"/>
    <s v="Mexico"/>
    <d v="2018-10-23T00:00:00"/>
    <d v="2019-01-31T00:00:00"/>
    <s v="MXN"/>
    <n v="744000000"/>
    <n v="744000000"/>
    <s v="MXN"/>
    <n v="744000000"/>
    <n v="38311019"/>
    <b v="1"/>
    <n v="0.8"/>
  </r>
  <r>
    <b v="1"/>
    <x v="0"/>
    <x v="0"/>
    <x v="2"/>
    <x v="0"/>
    <x v="1"/>
    <x v="7"/>
    <n v="0"/>
    <x v="0"/>
    <s v="3138cc32cdef45918af3cade062653bd"/>
    <s v="FEFA 18V"/>
    <x v="0"/>
    <x v="10"/>
    <s v="Agriculture"/>
    <s v="Sprinkler irrigation"/>
    <s v="Mexico"/>
    <d v="2018-10-23T00:00:00"/>
    <d v="2019-01-31T00:00:00"/>
    <s v="MXN"/>
    <n v="448000000"/>
    <n v="448000000"/>
    <s v="MXN"/>
    <n v="448000000"/>
    <n v="23069001"/>
    <b v="1"/>
    <n v="0.8"/>
  </r>
  <r>
    <b v="1"/>
    <x v="0"/>
    <x v="0"/>
    <x v="2"/>
    <x v="0"/>
    <x v="1"/>
    <x v="7"/>
    <n v="0"/>
    <x v="0"/>
    <s v="3138cc32cdef45918af3cade062653bd"/>
    <s v="FEFA 18V"/>
    <x v="1"/>
    <x v="11"/>
    <s v="Agriculture"/>
    <s v="Sprinkler irrigation"/>
    <s v="Mexico"/>
    <d v="2018-10-23T00:00:00"/>
    <d v="2019-01-31T00:00:00"/>
    <s v="MXN"/>
    <n v="448000000"/>
    <n v="448000000"/>
    <s v="MXN"/>
    <n v="448000000"/>
    <n v="23069001"/>
    <b v="1"/>
    <n v="0.8"/>
  </r>
  <r>
    <b v="1"/>
    <x v="0"/>
    <x v="0"/>
    <x v="2"/>
    <x v="0"/>
    <x v="1"/>
    <x v="8"/>
    <n v="0"/>
    <x v="0"/>
    <s v="3b70961fc8884f169dc04b9d539085f2"/>
    <s v="FEFA 19V"/>
    <x v="0"/>
    <x v="10"/>
    <s v="Agriculture"/>
    <s v="Protected agriculture FEFA 19V"/>
    <s v="Mexico"/>
    <d v="2019-11-22T00:00:00"/>
    <d v="2020-11-22T00:00:00"/>
    <s v="MXN"/>
    <n v="529700000"/>
    <n v="529700000"/>
    <s v="MXN"/>
    <n v="529700000"/>
    <n v="27318205"/>
    <b v="1"/>
    <n v="0.8"/>
  </r>
  <r>
    <b v="1"/>
    <x v="0"/>
    <x v="0"/>
    <x v="2"/>
    <x v="0"/>
    <x v="1"/>
    <x v="8"/>
    <n v="0"/>
    <x v="0"/>
    <s v="3b70961fc8884f169dc04b9d539085f2"/>
    <s v="FEFA 19V"/>
    <x v="1"/>
    <x v="11"/>
    <s v="Agriculture"/>
    <s v="Protected agriculture FEFA 19V"/>
    <s v="Mexico"/>
    <d v="2019-11-22T00:00:00"/>
    <d v="2020-11-22T00:00:00"/>
    <s v="MXN"/>
    <n v="529700000"/>
    <n v="529700000"/>
    <s v="MXN"/>
    <n v="529700000"/>
    <n v="27318205"/>
    <b v="1"/>
    <n v="0.8"/>
  </r>
  <r>
    <b v="1"/>
    <x v="0"/>
    <x v="0"/>
    <x v="2"/>
    <x v="0"/>
    <x v="1"/>
    <x v="8"/>
    <n v="0"/>
    <x v="0"/>
    <s v="3b70961fc8884f169dc04b9d539085f2"/>
    <s v="FEFA 19V"/>
    <x v="0"/>
    <x v="10"/>
    <s v="Commercial Forestry"/>
    <s v="Forestry FEFA 19V"/>
    <s v="Mexico"/>
    <d v="2019-11-22T00:00:00"/>
    <d v="2020-11-22T00:00:00"/>
    <s v="MXN"/>
    <n v="242500000"/>
    <n v="242500000"/>
    <s v="MXN"/>
    <n v="242500000"/>
    <n v="12506446"/>
    <b v="1"/>
    <n v="0.8"/>
  </r>
  <r>
    <b v="1"/>
    <x v="0"/>
    <x v="0"/>
    <x v="2"/>
    <x v="0"/>
    <x v="1"/>
    <x v="8"/>
    <n v="0"/>
    <x v="0"/>
    <s v="3b70961fc8884f169dc04b9d539085f2"/>
    <s v="FEFA 19V"/>
    <x v="1"/>
    <x v="11"/>
    <s v="Forestry"/>
    <s v="Forestry FEFA 19V"/>
    <s v="Mexico"/>
    <d v="2019-11-22T00:00:00"/>
    <d v="2020-11-22T00:00:00"/>
    <s v="MXN"/>
    <n v="242500000"/>
    <n v="242500000"/>
    <s v="MXN"/>
    <n v="242500000"/>
    <n v="12506446"/>
    <b v="1"/>
    <n v="0.8"/>
  </r>
  <r>
    <b v="1"/>
    <x v="0"/>
    <x v="0"/>
    <x v="2"/>
    <x v="0"/>
    <x v="1"/>
    <x v="8"/>
    <n v="0"/>
    <x v="0"/>
    <s v="3b70961fc8884f169dc04b9d539085f2"/>
    <s v="FEFA 19V"/>
    <x v="0"/>
    <x v="10"/>
    <s v="Agriculture"/>
    <s v="Localized irrigation FEFA19V"/>
    <s v="Mexico"/>
    <d v="2019-11-22T00:00:00"/>
    <d v="2020-11-22T00:00:00"/>
    <s v="MXN"/>
    <n v="287000000"/>
    <n v="287000000"/>
    <s v="MXN"/>
    <n v="287000000"/>
    <n v="14801444"/>
    <b v="1"/>
    <n v="0.8"/>
  </r>
  <r>
    <b v="1"/>
    <x v="0"/>
    <x v="0"/>
    <x v="2"/>
    <x v="0"/>
    <x v="1"/>
    <x v="8"/>
    <n v="0"/>
    <x v="0"/>
    <s v="3b70961fc8884f169dc04b9d539085f2"/>
    <s v="FEFA 19V"/>
    <x v="1"/>
    <x v="11"/>
    <s v="Agriculture"/>
    <s v="Localized irrigation FEFA19V"/>
    <s v="Mexico"/>
    <d v="2019-11-22T00:00:00"/>
    <d v="2020-11-22T00:00:00"/>
    <s v="MXN"/>
    <n v="287000000"/>
    <n v="287000000"/>
    <s v="MXN"/>
    <n v="287000000"/>
    <n v="14801444"/>
    <b v="1"/>
    <n v="0.8"/>
  </r>
  <r>
    <b v="1"/>
    <x v="0"/>
    <x v="0"/>
    <x v="2"/>
    <x v="0"/>
    <x v="1"/>
    <x v="8"/>
    <n v="0"/>
    <x v="0"/>
    <s v="3b70961fc8884f169dc04b9d539085f2"/>
    <s v="FEFA 19V"/>
    <x v="0"/>
    <x v="10"/>
    <s v="Agriculture"/>
    <s v="Sprinkler irrigation FEFA 19V"/>
    <s v="Mexico"/>
    <d v="2019-11-22T00:00:00"/>
    <d v="2020-11-22T00:00:00"/>
    <s v="MXN"/>
    <n v="144400000"/>
    <n v="144400000"/>
    <s v="MXN"/>
    <n v="144400000"/>
    <n v="7447137"/>
    <b v="1"/>
    <n v="0.8"/>
  </r>
  <r>
    <b v="1"/>
    <x v="0"/>
    <x v="0"/>
    <x v="2"/>
    <x v="0"/>
    <x v="1"/>
    <x v="8"/>
    <n v="0"/>
    <x v="0"/>
    <s v="3b70961fc8884f169dc04b9d539085f2"/>
    <s v="FEFA 19V"/>
    <x v="1"/>
    <x v="11"/>
    <s v="Agriculture"/>
    <s v="Sprinkler irrigation FEFA 19V"/>
    <s v="Mexico"/>
    <d v="2019-11-22T00:00:00"/>
    <d v="2020-11-22T00:00:00"/>
    <s v="MXN"/>
    <n v="144400000"/>
    <n v="144400000"/>
    <s v="MXN"/>
    <n v="144400000"/>
    <n v="7447137"/>
    <b v="1"/>
    <n v="0.8"/>
  </r>
  <r>
    <b v="1"/>
    <x v="0"/>
    <x v="0"/>
    <x v="1"/>
    <x v="0"/>
    <x v="1"/>
    <x v="2"/>
    <s v="BBG00PQCN094"/>
    <x v="0"/>
    <s v="19a9b617aa704f8285094522d06a5367"/>
    <s v="Neoenergia - 6¬™ emiss√£o de deb√™ntures"/>
    <x v="0"/>
    <x v="0"/>
    <s v="Wind"/>
    <s v="Chafariz 7"/>
    <s v="Brazil"/>
    <d v="2019-07-23T00:00:00"/>
    <d v="2020-03-30T00:00:00"/>
    <s v="BRL"/>
    <n v="12600000"/>
    <n v="12600000"/>
    <s v="BRL"/>
    <n v="12600000"/>
    <n v="2426016"/>
    <b v="1"/>
    <n v="0.08"/>
  </r>
  <r>
    <b v="1"/>
    <x v="0"/>
    <x v="0"/>
    <x v="1"/>
    <x v="0"/>
    <x v="1"/>
    <x v="2"/>
    <s v="BBG00PQCN094"/>
    <x v="0"/>
    <s v="19a9b617aa704f8285094522d06a5367"/>
    <s v="Neoenergia - 6¬™ emiss√£o de deb√™ntures"/>
    <x v="1"/>
    <x v="1"/>
    <s v="Generation"/>
    <s v="Chafariz 7"/>
    <s v="Brazil"/>
    <d v="2019-07-23T00:00:00"/>
    <d v="2020-03-30T00:00:00"/>
    <s v="BRL"/>
    <n v="12600000"/>
    <n v="12600000"/>
    <s v="BRL"/>
    <n v="12600000"/>
    <n v="2426016"/>
    <b v="1"/>
    <n v="0.08"/>
  </r>
  <r>
    <b v="1"/>
    <x v="0"/>
    <x v="0"/>
    <x v="0"/>
    <x v="0"/>
    <x v="0"/>
    <x v="9"/>
    <n v="0"/>
    <x v="0"/>
    <s v="0f91b88562524743ad5ecf105cddab89"/>
    <s v="Banco Nacional de Costa Rica 2021"/>
    <x v="0"/>
    <x v="0"/>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1"/>
    <x v="1"/>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0"/>
    <x v="0"/>
    <s v="Hydro"/>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1"/>
    <x v="1"/>
    <s v="Generation"/>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0"/>
    <x v="0"/>
    <s v="Hydro"/>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1"/>
    <x v="1"/>
    <s v="Generation"/>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0"/>
    <x v="0"/>
    <s v="Hydro"/>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1"/>
    <x v="1"/>
    <s v="Generation"/>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0"/>
    <x v="0"/>
    <s v="Hydro"/>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1"/>
    <x v="1"/>
    <s v="Generation"/>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0"/>
    <x v="0"/>
    <s v="Hydro"/>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1"/>
    <x v="1"/>
    <s v="Generation"/>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0"/>
    <x v="0"/>
    <s v="Hydro"/>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1"/>
    <x v="1"/>
    <s v="Generation"/>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0"/>
    <x v="0"/>
    <s v="Hydro"/>
    <s v="Bijagua"/>
    <s v="Costa Rica"/>
    <d v="2019-12-30T00:00:00"/>
    <d v="2019-12-30T00:00:00"/>
    <s v="USD"/>
    <n v="24198616.57"/>
    <n v="24198616.57"/>
    <s v="USD"/>
    <n v="24198616.57"/>
    <n v="24198616"/>
    <b v="0"/>
    <n v="0.8"/>
  </r>
  <r>
    <b v="1"/>
    <x v="0"/>
    <x v="0"/>
    <x v="0"/>
    <x v="0"/>
    <x v="0"/>
    <x v="9"/>
    <n v="0"/>
    <x v="0"/>
    <s v="0f91b88562524743ad5ecf105cddab89"/>
    <s v="Banco Nacional de Costa Rica 2021"/>
    <x v="1"/>
    <x v="1"/>
    <s v="Generation"/>
    <s v="Bijagua"/>
    <s v="Costa Rica"/>
    <d v="2019-12-30T00:00:00"/>
    <d v="2019-12-30T00:00:00"/>
    <s v="USD"/>
    <n v="24198616.57"/>
    <n v="24198616.57"/>
    <s v="USD"/>
    <n v="24198616.57"/>
    <n v="24198616"/>
    <b v="0"/>
    <n v="0.8"/>
  </r>
  <r>
    <b v="1"/>
    <x v="0"/>
    <x v="0"/>
    <x v="0"/>
    <x v="0"/>
    <x v="0"/>
    <x v="9"/>
    <n v="0"/>
    <x v="0"/>
    <s v="0f91b88562524743ad5ecf105cddab89"/>
    <s v="Banco Nacional de Costa Rica 2021"/>
    <x v="0"/>
    <x v="0"/>
    <s v="Hydro"/>
    <s v="La Esperanza"/>
    <s v="Costa Rica"/>
    <d v="2019-12-30T00:00:00"/>
    <d v="2019-12-30T00:00:00"/>
    <s v="USD"/>
    <n v="12543058.08"/>
    <n v="12543058.08"/>
    <s v="USD"/>
    <n v="12543058.08"/>
    <n v="12543058"/>
    <b v="0"/>
    <n v="0.65"/>
  </r>
  <r>
    <b v="1"/>
    <x v="0"/>
    <x v="0"/>
    <x v="0"/>
    <x v="0"/>
    <x v="0"/>
    <x v="9"/>
    <n v="0"/>
    <x v="0"/>
    <s v="0f91b88562524743ad5ecf105cddab89"/>
    <s v="Banco Nacional de Costa Rica 2021"/>
    <x v="1"/>
    <x v="1"/>
    <s v="Generation"/>
    <s v="La Esperanza"/>
    <s v="Costa Rica"/>
    <d v="2019-12-30T00:00:00"/>
    <d v="2019-12-30T00:00:00"/>
    <s v="USD"/>
    <n v="12543058.08"/>
    <n v="12543058.08"/>
    <s v="USD"/>
    <n v="12543058.08"/>
    <n v="12543058"/>
    <b v="0"/>
    <n v="0.65"/>
  </r>
  <r>
    <b v="1"/>
    <x v="0"/>
    <x v="0"/>
    <x v="0"/>
    <x v="0"/>
    <x v="0"/>
    <x v="9"/>
    <n v="0"/>
    <x v="0"/>
    <s v="0f91b88562524743ad5ecf105cddab89"/>
    <s v="Banco Nacional de Costa Rica 2021"/>
    <x v="0"/>
    <x v="0"/>
    <s v="Hydro"/>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1"/>
    <x v="1"/>
    <s v="Generation"/>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0"/>
    <x v="0"/>
    <s v="Hydro"/>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1"/>
    <x v="1"/>
    <s v="Generation"/>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0"/>
    <x v="0"/>
    <s v="Hydro"/>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1"/>
    <x v="1"/>
    <s v="Generation"/>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0"/>
    <x v="0"/>
    <s v="Wind"/>
    <s v="Los Santos"/>
    <s v="Costa Rica"/>
    <d v="2019-12-30T00:00:00"/>
    <d v="2019-12-30T00:00:00"/>
    <s v="USD"/>
    <n v="5558893.71"/>
    <n v="5558893.71"/>
    <s v="USD"/>
    <n v="5558893.71"/>
    <n v="5558893"/>
    <b v="0"/>
    <n v="0.5"/>
  </r>
  <r>
    <b v="1"/>
    <x v="0"/>
    <x v="0"/>
    <x v="0"/>
    <x v="0"/>
    <x v="0"/>
    <x v="9"/>
    <n v="0"/>
    <x v="0"/>
    <s v="0f91b88562524743ad5ecf105cddab89"/>
    <s v="Banco Nacional de Costa Rica 2021"/>
    <x v="1"/>
    <x v="1"/>
    <s v="Generation"/>
    <s v="Los Santos"/>
    <s v="Costa Rica"/>
    <d v="2019-12-30T00:00:00"/>
    <d v="2019-12-30T00:00:00"/>
    <s v="USD"/>
    <n v="5558893.71"/>
    <n v="5558893.71"/>
    <s v="USD"/>
    <n v="5558893.71"/>
    <n v="5558893"/>
    <b v="0"/>
    <n v="0.5"/>
  </r>
  <r>
    <b v="1"/>
    <x v="0"/>
    <x v="0"/>
    <x v="0"/>
    <x v="0"/>
    <x v="0"/>
    <x v="9"/>
    <n v="0"/>
    <x v="0"/>
    <s v="0f91b88562524743ad5ecf105cddab89"/>
    <s v="Banco Nacional de Costa Rica 2021"/>
    <x v="0"/>
    <x v="0"/>
    <s v="Wind"/>
    <s v="Mogote"/>
    <s v="Costa Rica"/>
    <d v="2019-12-30T00:00:00"/>
    <d v="2019-12-30T00:00:00"/>
    <s v="USD"/>
    <n v="30625562.5"/>
    <n v="30625562.5"/>
    <s v="USD"/>
    <n v="30625562.5"/>
    <n v="30625562"/>
    <b v="0"/>
    <n v="0.8"/>
  </r>
  <r>
    <b v="1"/>
    <x v="0"/>
    <x v="0"/>
    <x v="0"/>
    <x v="0"/>
    <x v="0"/>
    <x v="9"/>
    <n v="0"/>
    <x v="0"/>
    <s v="0f91b88562524743ad5ecf105cddab89"/>
    <s v="Banco Nacional de Costa Rica 2021"/>
    <x v="1"/>
    <x v="1"/>
    <s v="Generation"/>
    <s v="Mogote"/>
    <s v="Costa Rica"/>
    <d v="2019-12-30T00:00:00"/>
    <d v="2019-12-30T00:00:00"/>
    <s v="USD"/>
    <n v="30625562.5"/>
    <n v="30625562.5"/>
    <s v="USD"/>
    <n v="30625562.5"/>
    <n v="30625562"/>
    <b v="0"/>
    <n v="0.8"/>
  </r>
  <r>
    <b v="1"/>
    <x v="0"/>
    <x v="0"/>
    <x v="2"/>
    <x v="0"/>
    <x v="1"/>
    <x v="5"/>
    <s v="BBG00GM45ZM4"/>
    <x v="0"/>
    <s v="d926bd6190f14503bf5981ccf4d7c715"/>
    <s v="BNDES Green Bond 2017"/>
    <x v="0"/>
    <x v="0"/>
    <s v="Win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1"/>
    <x v="1"/>
    <s v="Generation"/>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2"/>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3"/>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0"/>
    <x v="0"/>
    <s v="Wind"/>
    <s v="UEE Servtec 2"/>
    <s v="Brazil"/>
    <d v="2018-04-30T00:00:00"/>
    <d v="2017-05-16T00:00:00"/>
    <s v="BRL"/>
    <n v="95000000"/>
    <n v="95000000"/>
    <s v="USD"/>
    <n v="29820762"/>
    <n v="29820762"/>
    <b v="1"/>
    <n v="0.42"/>
  </r>
  <r>
    <b v="1"/>
    <x v="0"/>
    <x v="0"/>
    <x v="2"/>
    <x v="0"/>
    <x v="1"/>
    <x v="5"/>
    <s v="BBG00GM45ZM4"/>
    <x v="0"/>
    <s v="d926bd6190f14503bf5981ccf4d7c715"/>
    <s v="BNDES Green Bond 2017"/>
    <x v="1"/>
    <x v="1"/>
    <s v="Generation"/>
    <s v="UEE Servtec 2"/>
    <s v="Brazil"/>
    <d v="2018-04-30T00:00:00"/>
    <d v="2017-05-16T00:00:00"/>
    <s v="BRL"/>
    <n v="95000000"/>
    <n v="95000000"/>
    <s v="USD"/>
    <n v="29820762"/>
    <n v="29820762"/>
    <b v="1"/>
    <n v="0.42"/>
  </r>
  <r>
    <b v="1"/>
    <x v="0"/>
    <x v="0"/>
    <x v="2"/>
    <x v="0"/>
    <x v="1"/>
    <x v="5"/>
    <s v="BBG00GM45ZM4"/>
    <x v="0"/>
    <s v="d926bd6190f14503bf5981ccf4d7c715"/>
    <s v="BNDES Green Bond 2017"/>
    <x v="2"/>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3"/>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0"/>
    <x v="0"/>
    <s v="Win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1"/>
    <x v="1"/>
    <s v="Generation"/>
    <s v="UEE S√£o Clemente"/>
    <s v="Brazil"/>
    <d v="2018-04-30T00:00:00"/>
    <d v="2017-05-15T00:00:00"/>
    <s v="BRL"/>
    <n v="656046750"/>
    <n v="656046750"/>
    <s v="USD"/>
    <n v="205934881"/>
    <n v="205934881"/>
    <b v="1"/>
    <n v="0.55000000000000004"/>
  </r>
  <r>
    <b v="1"/>
    <x v="0"/>
    <x v="0"/>
    <x v="1"/>
    <x v="0"/>
    <x v="1"/>
    <x v="2"/>
    <s v="BBG00PQCN094"/>
    <x v="0"/>
    <s v="19a9b617aa704f8285094522d06a5367"/>
    <s v="Neoenergia - 6¬™ emiss√£o de deb√™ntures"/>
    <x v="0"/>
    <x v="0"/>
    <s v="Wind"/>
    <s v="Canoas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2"/>
    <s v="Brazil"/>
    <d v="2019-07-23T00:00:00"/>
    <d v="2020-03-30T00:00:00"/>
    <s v="BRL"/>
    <n v="15500000"/>
    <n v="15500000"/>
    <s v="BRL"/>
    <n v="15500000"/>
    <n v="2984385"/>
    <b v="1"/>
    <n v="0.1"/>
  </r>
  <r>
    <b v="1"/>
    <x v="0"/>
    <x v="0"/>
    <x v="1"/>
    <x v="0"/>
    <x v="1"/>
    <x v="2"/>
    <s v="BBG00PQCN094"/>
    <x v="0"/>
    <s v="19a9b617aa704f8285094522d06a5367"/>
    <s v="Neoenergia - 6¬™ emiss√£o de deb√™ntures"/>
    <x v="0"/>
    <x v="0"/>
    <s v="Wind"/>
    <s v="Canoas 3"/>
    <s v="Brazil"/>
    <d v="2019-07-23T00:00:00"/>
    <d v="2020-03-30T00:00:00"/>
    <s v="BRL"/>
    <n v="20700000"/>
    <n v="17000000"/>
    <s v="BRL"/>
    <n v="17000000"/>
    <n v="3273196"/>
    <b v="1"/>
    <n v="0.13"/>
  </r>
  <r>
    <b v="1"/>
    <x v="0"/>
    <x v="0"/>
    <x v="1"/>
    <x v="0"/>
    <x v="1"/>
    <x v="2"/>
    <s v="BBG00PQCN094"/>
    <x v="0"/>
    <s v="19a9b617aa704f8285094522d06a5367"/>
    <s v="Neoenergia - 6¬™ emiss√£o de deb√™ntures"/>
    <x v="1"/>
    <x v="1"/>
    <s v="Generation"/>
    <s v="Canoas 3"/>
    <s v="Brazil"/>
    <d v="2019-07-23T00:00:00"/>
    <d v="2020-03-30T00:00:00"/>
    <s v="BRL"/>
    <n v="20700000"/>
    <n v="17000000"/>
    <s v="BRL"/>
    <n v="17000000"/>
    <n v="3273196"/>
    <b v="1"/>
    <n v="0.13"/>
  </r>
  <r>
    <b v="1"/>
    <x v="0"/>
    <x v="0"/>
    <x v="0"/>
    <x v="0"/>
    <x v="0"/>
    <x v="9"/>
    <n v="0"/>
    <x v="0"/>
    <s v="0f91b88562524743ad5ecf105cddab89"/>
    <s v="Banco Nacional de Costa Rica 2021"/>
    <x v="0"/>
    <x v="0"/>
    <s v="Wind"/>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1"/>
    <x v="1"/>
    <s v="Generation"/>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0"/>
    <x v="0"/>
    <s v="Wind"/>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1"/>
    <x v="1"/>
    <s v="Generation"/>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0"/>
    <x v="0"/>
    <s v="Wind"/>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1"/>
    <x v="1"/>
    <s v="Generation"/>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0"/>
    <x v="0"/>
    <s v="Wind"/>
    <s v="Chiripa 2"/>
    <s v="Costa Rica"/>
    <d v="2019-12-30T00:00:00"/>
    <d v="2019-12-30T00:00:00"/>
    <s v="USD"/>
    <n v="81048214.200000003"/>
    <n v="81048214.200000003"/>
    <s v="USD"/>
    <n v="81048214.200000003"/>
    <n v="81048214"/>
    <b v="0"/>
    <n v="0.4"/>
  </r>
  <r>
    <b v="1"/>
    <x v="0"/>
    <x v="0"/>
    <x v="0"/>
    <x v="0"/>
    <x v="0"/>
    <x v="9"/>
    <n v="0"/>
    <x v="0"/>
    <s v="0f91b88562524743ad5ecf105cddab89"/>
    <s v="Banco Nacional de Costa Rica 2021"/>
    <x v="1"/>
    <x v="1"/>
    <s v="Generation"/>
    <s v="Chiripa 2"/>
    <s v="Costa Rica"/>
    <d v="2019-12-30T00:00:00"/>
    <d v="2019-12-30T00:00:00"/>
    <s v="USD"/>
    <n v="81048214.200000003"/>
    <n v="81048214.200000003"/>
    <s v="USD"/>
    <n v="81048214.200000003"/>
    <n v="81048214"/>
    <b v="0"/>
    <n v="0.4"/>
  </r>
  <r>
    <e v="#N/A"/>
    <x v="1"/>
    <x v="1"/>
    <x v="3"/>
    <x v="1"/>
    <x v="2"/>
    <x v="10"/>
    <e v="#N/A"/>
    <x v="2"/>
    <s v="a036428305c44970a478ea6648e9e9bb"/>
    <s v="CRA SOLINFTEC II"/>
    <x v="0"/>
    <x v="10"/>
    <s v="Agriculture"/>
    <s v="Solinfitec II"/>
    <s v="Brazil"/>
    <d v="2021-04-19T00:00:00"/>
    <d v="2021-04-19T00:00:00"/>
    <s v="BRL"/>
    <n v="150000000"/>
    <n v="150000000"/>
    <s v="BRL"/>
    <n v="150000000"/>
    <n v="27048129"/>
    <b v="0"/>
    <n v="1"/>
  </r>
  <r>
    <e v="#N/A"/>
    <x v="1"/>
    <x v="1"/>
    <x v="3"/>
    <x v="1"/>
    <x v="2"/>
    <x v="10"/>
    <e v="#N/A"/>
    <x v="2"/>
    <s v="a036428305c44970a478ea6648e9e9bb"/>
    <s v="CRA SOLINFTEC II"/>
    <x v="1"/>
    <x v="11"/>
    <s v="Agriculture"/>
    <s v="Solinfitec II"/>
    <s v="Brazil"/>
    <d v="2021-04-19T00:00:00"/>
    <d v="2021-04-19T00:00:00"/>
    <s v="BRL"/>
    <n v="150000000"/>
    <n v="150000000"/>
    <s v="BRL"/>
    <n v="150000000"/>
    <n v="27048129"/>
    <b v="0"/>
    <n v="1"/>
  </r>
  <r>
    <e v="#N/A"/>
    <x v="1"/>
    <x v="1"/>
    <x v="3"/>
    <x v="1"/>
    <x v="2"/>
    <x v="10"/>
    <e v="#N/A"/>
    <x v="2"/>
    <s v="1792bc496a08430098ec7886e2e7ea0f"/>
    <s v="FSBIOENERGIA"/>
    <x v="0"/>
    <x v="0"/>
    <s v="Bioenergy"/>
    <s v="FS BIOENERGIA"/>
    <s v="Brazil"/>
    <d v="2020-02-12T00:00:00"/>
    <d v="2020-02-12T00:00:00"/>
    <s v="BRL"/>
    <n v="210267000"/>
    <n v="210267000"/>
    <s v="BRL"/>
    <n v="210267000"/>
    <n v="39152293"/>
    <b v="0"/>
    <n v="1"/>
  </r>
  <r>
    <e v="#N/A"/>
    <x v="1"/>
    <x v="1"/>
    <x v="3"/>
    <x v="1"/>
    <x v="2"/>
    <x v="10"/>
    <e v="#N/A"/>
    <x v="2"/>
    <s v="1792bc496a08430098ec7886e2e7ea0f"/>
    <s v="FSBIOENERGIA"/>
    <x v="1"/>
    <x v="4"/>
    <s v="Products"/>
    <s v="FS BIOENERGIA"/>
    <s v="Brazil"/>
    <d v="2020-02-12T00:00:00"/>
    <d v="2020-02-12T00:00:00"/>
    <s v="BRL"/>
    <n v="210267000"/>
    <n v="210267000"/>
    <s v="BRL"/>
    <n v="210267000"/>
    <n v="39152293"/>
    <b v="0"/>
    <n v="1"/>
  </r>
  <r>
    <b v="1"/>
    <x v="0"/>
    <x v="0"/>
    <x v="2"/>
    <x v="0"/>
    <x v="1"/>
    <x v="11"/>
    <s v="BBG00P0Y6CR7"/>
    <x v="0"/>
    <s v="039a805a3e354fb9abc557d41eaf0c0a"/>
    <s v="Bono Verde COFIDE"/>
    <x v="0"/>
    <x v="0"/>
    <s v="Hydro"/>
    <s v="Central Hidroel√©ctrica RenovAndes H1"/>
    <s v="Peru"/>
    <d v="2017-03-30T00:00:00"/>
    <d v="2019-04-26T00:00:00"/>
    <s v="PEN"/>
    <n v="100000000"/>
    <n v="100000000"/>
    <s v="PEN"/>
    <n v="100000000"/>
    <n v="30000000"/>
    <b v="1"/>
    <n v="0.4"/>
  </r>
  <r>
    <b v="1"/>
    <x v="0"/>
    <x v="0"/>
    <x v="2"/>
    <x v="0"/>
    <x v="1"/>
    <x v="11"/>
    <s v="BBG00P0Y6CR7"/>
    <x v="0"/>
    <s v="039a805a3e354fb9abc557d41eaf0c0a"/>
    <s v="Bono Verde COFIDE"/>
    <x v="1"/>
    <x v="1"/>
    <s v="Generation"/>
    <s v="Central Hidroel√©ctrica RenovAndes H1"/>
    <s v="Peru"/>
    <d v="2017-03-30T00:00:00"/>
    <d v="2019-04-26T00:00:00"/>
    <s v="PEN"/>
    <n v="100000000"/>
    <n v="100000000"/>
    <s v="PEN"/>
    <n v="100000000"/>
    <n v="30000000"/>
    <b v="1"/>
    <n v="0.4"/>
  </r>
  <r>
    <b v="1"/>
    <x v="0"/>
    <x v="0"/>
    <x v="2"/>
    <x v="0"/>
    <x v="1"/>
    <x v="12"/>
    <s v="BBG00QQGQVT0"/>
    <x v="0"/>
    <s v="abe9dd05116c4c77b3bb4fae4ba7fa01"/>
    <s v="CABEI¬¥s 2019 Green Bond"/>
    <x v="0"/>
    <x v="0"/>
    <s v="Wind"/>
    <s v="E√≥lico Cerro de Hula"/>
    <s v="Honduras"/>
    <d v="2019-11-01T00:00:00"/>
    <d v="2020-06-01T00:00:00"/>
    <s v="USD"/>
    <n v="31351256"/>
    <n v="31351256"/>
    <s v="USD"/>
    <n v="31351256"/>
    <n v="31351256"/>
    <b v="1"/>
    <n v="0.52"/>
  </r>
  <r>
    <b v="1"/>
    <x v="0"/>
    <x v="0"/>
    <x v="2"/>
    <x v="0"/>
    <x v="1"/>
    <x v="12"/>
    <s v="BBG00QQGQVT0"/>
    <x v="0"/>
    <s v="abe9dd05116c4c77b3bb4fae4ba7fa01"/>
    <s v="CABEI¬¥s 2019 Green Bond"/>
    <x v="1"/>
    <x v="1"/>
    <s v="Generation"/>
    <s v="E√≥lico Cerro de Hula"/>
    <s v="Honduras"/>
    <d v="2019-11-01T00:00:00"/>
    <d v="2020-06-01T00:00:00"/>
    <s v="USD"/>
    <n v="31351256"/>
    <n v="31351256"/>
    <s v="USD"/>
    <n v="31351256"/>
    <n v="31351256"/>
    <b v="1"/>
    <n v="0.52"/>
  </r>
  <r>
    <b v="1"/>
    <x v="0"/>
    <x v="0"/>
    <x v="2"/>
    <x v="0"/>
    <x v="1"/>
    <x v="12"/>
    <s v="BBG00QQGQVT0"/>
    <x v="0"/>
    <s v="abe9dd05116c4c77b3bb4fae4ba7fa01"/>
    <s v="CABEI¬¥s 2019 Green Bond"/>
    <x v="0"/>
    <x v="0"/>
    <s v="Wind"/>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1"/>
    <x v="1"/>
    <s v="Generation"/>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0"/>
    <x v="0"/>
    <s v="Hydro"/>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1"/>
    <x v="1"/>
    <s v="Generation"/>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0"/>
    <x v="0"/>
    <s v="Wind"/>
    <s v="E√≥lico Amayo Fase I"/>
    <s v="Nicaragua"/>
    <d v="2019-11-04T00:00:00"/>
    <d v="2020-06-01T00:00:00"/>
    <s v="USD"/>
    <n v="25559634.34"/>
    <n v="25559634"/>
    <s v="USD"/>
    <n v="25559634"/>
    <n v="25559634"/>
    <b v="1"/>
    <n v="0.36"/>
  </r>
  <r>
    <b v="1"/>
    <x v="0"/>
    <x v="0"/>
    <x v="2"/>
    <x v="0"/>
    <x v="1"/>
    <x v="12"/>
    <s v="BBG00QQGQVT0"/>
    <x v="0"/>
    <s v="abe9dd05116c4c77b3bb4fae4ba7fa01"/>
    <s v="CABEI¬¥s 2019 Green Bond"/>
    <x v="1"/>
    <x v="1"/>
    <s v="Generation"/>
    <s v="E√≥lico Amayo Fase I"/>
    <s v="Nicaragua"/>
    <d v="2019-11-04T00:00:00"/>
    <d v="2020-06-01T00:00:00"/>
    <s v="USD"/>
    <n v="25559634.34"/>
    <n v="25559634"/>
    <s v="USD"/>
    <n v="25559634"/>
    <n v="25559634"/>
    <b v="1"/>
    <n v="0.36"/>
  </r>
  <r>
    <b v="1"/>
    <x v="0"/>
    <x v="0"/>
    <x v="2"/>
    <x v="0"/>
    <x v="1"/>
    <x v="12"/>
    <s v="BBG00QQGQVT0"/>
    <x v="0"/>
    <s v="abe9dd05116c4c77b3bb4fae4ba7fa01"/>
    <s v="CABEI¬¥s 2019 Green Bond"/>
    <x v="0"/>
    <x v="0"/>
    <s v="Hydro"/>
    <s v="Construcci√≥n de la Central Hidroel√©ctrica Larreynaga"/>
    <s v="Nicaragua"/>
    <d v="2019-11-05T00:00:00"/>
    <d v="2020-06-01T00:00:00"/>
    <s v="USD"/>
    <n v="30160104.18"/>
    <n v="30160104"/>
    <s v="USD"/>
    <n v="30160104"/>
    <n v="30160104"/>
    <b v="1"/>
    <n v="0.82"/>
  </r>
  <r>
    <b v="1"/>
    <x v="0"/>
    <x v="0"/>
    <x v="2"/>
    <x v="0"/>
    <x v="1"/>
    <x v="12"/>
    <s v="BBG00QQGQVT0"/>
    <x v="0"/>
    <s v="abe9dd05116c4c77b3bb4fae4ba7fa01"/>
    <s v="CABEI¬¥s 2019 Green Bond"/>
    <x v="1"/>
    <x v="1"/>
    <s v="Generation"/>
    <s v="Construcci√≥n de la Central Hidroel√©ctrica Larreynaga"/>
    <s v="Nicaragua"/>
    <d v="2019-11-05T00:00:00"/>
    <d v="2020-06-01T00:00:00"/>
    <s v="USD"/>
    <n v="30160104.18"/>
    <n v="30160104"/>
    <s v="USD"/>
    <n v="30160104"/>
    <n v="30160104"/>
    <b v="1"/>
    <n v="0.82"/>
  </r>
  <r>
    <b v="1"/>
    <x v="0"/>
    <x v="0"/>
    <x v="2"/>
    <x v="0"/>
    <x v="1"/>
    <x v="5"/>
    <s v="BBG00GM45ZM4"/>
    <x v="0"/>
    <s v="d926bd6190f14503bf5981ccf4d7c715"/>
    <s v="BNDES Green Bond 2017"/>
    <x v="2"/>
    <x v="9"/>
    <s v="Unspecifie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3"/>
    <x v="9"/>
    <s v="Unspecified"/>
    <s v="UEE S√£o Clemente"/>
    <s v="Brazil"/>
    <d v="2018-04-30T00:00:00"/>
    <d v="2017-05-15T00:00:00"/>
    <s v="BRL"/>
    <n v="656046750"/>
    <n v="656046750"/>
    <s v="USD"/>
    <n v="205934881"/>
    <n v="205934881"/>
    <b v="1"/>
    <n v="0.55000000000000004"/>
  </r>
  <r>
    <b v="1"/>
    <x v="0"/>
    <x v="0"/>
    <x v="1"/>
    <x v="0"/>
    <x v="1"/>
    <x v="13"/>
    <s v="BBG00Q6C9BH7"/>
    <x v="0"/>
    <s v="69a374327ec74ed980c676a9cc7a693a"/>
    <s v="Sabar√° Green Bond"/>
    <x v="0"/>
    <x v="2"/>
    <s v="Treatment"/>
    <s v="Factory Sodium Chloride"/>
    <s v="Brazil"/>
    <d v="2019-09-05T00:00:00"/>
    <d v="2019-08-31T00:00:00"/>
    <s v="BRL"/>
    <n v="20000000"/>
    <n v="20000000"/>
    <s v="BRL"/>
    <n v="20000000"/>
    <n v="4895000"/>
    <b v="1"/>
    <n v="0.92"/>
  </r>
  <r>
    <b v="1"/>
    <x v="0"/>
    <x v="0"/>
    <x v="1"/>
    <x v="0"/>
    <x v="1"/>
    <x v="13"/>
    <s v="BBG00Q6C9BH7"/>
    <x v="0"/>
    <s v="69a374327ec74ed980c676a9cc7a693a"/>
    <s v="Sabar√° Green Bond"/>
    <x v="1"/>
    <x v="12"/>
    <s v="Greenhouse gas control"/>
    <s v="Factory Sodium Chloride"/>
    <s v="Brazil"/>
    <d v="2019-09-05T00:00:00"/>
    <d v="2019-08-31T00:00:00"/>
    <s v="BRL"/>
    <n v="20000000"/>
    <n v="20000000"/>
    <s v="BRL"/>
    <n v="20000000"/>
    <n v="4895000"/>
    <b v="1"/>
    <n v="0.92"/>
  </r>
  <r>
    <b v="1"/>
    <x v="0"/>
    <x v="0"/>
    <x v="2"/>
    <x v="0"/>
    <x v="1"/>
    <x v="8"/>
    <n v="0"/>
    <x v="0"/>
    <s v="3b70961fc8884f169dc04b9d539085f2"/>
    <s v="FEFA 19V"/>
    <x v="0"/>
    <x v="0"/>
    <s v="Solar"/>
    <s v="Solar photovoltaic systems FEFA 19V"/>
    <s v="Mexico"/>
    <d v="2019-11-22T00:00:00"/>
    <d v="2020-11-22T00:00:00"/>
    <s v="MXN"/>
    <n v="334300000"/>
    <n v="334300000"/>
    <s v="MXN"/>
    <n v="334300000"/>
    <n v="17240845"/>
    <b v="1"/>
    <n v="0.8"/>
  </r>
  <r>
    <b v="1"/>
    <x v="0"/>
    <x v="0"/>
    <x v="2"/>
    <x v="0"/>
    <x v="1"/>
    <x v="8"/>
    <n v="0"/>
    <x v="0"/>
    <s v="3b70961fc8884f169dc04b9d539085f2"/>
    <s v="FEFA 19V"/>
    <x v="1"/>
    <x v="1"/>
    <s v="Generation"/>
    <s v="Solar photovoltaic systems FEFA 19V"/>
    <s v="Mexico"/>
    <d v="2019-11-22T00:00:00"/>
    <d v="2020-11-22T00:00:00"/>
    <s v="MXN"/>
    <n v="334300000"/>
    <n v="334300000"/>
    <s v="MXN"/>
    <n v="334300000"/>
    <n v="17240845"/>
    <b v="1"/>
    <n v="0.8"/>
  </r>
  <r>
    <b v="1"/>
    <x v="0"/>
    <x v="0"/>
    <x v="0"/>
    <x v="0"/>
    <x v="0"/>
    <x v="14"/>
    <n v="0"/>
    <x v="3"/>
    <s v="abd0c7b98f1b493c9940586652a55745"/>
    <s v="Mesa La Paz Green Bond"/>
    <x v="0"/>
    <x v="0"/>
    <s v="Wind"/>
    <s v="Mesa La Paz"/>
    <s v="Mexico"/>
    <d v="2019-05-31T00:00:00"/>
    <d v="2019-05-31T00:00:00"/>
    <s v="USD"/>
    <n v="8990334"/>
    <n v="8990334"/>
    <s v="USD"/>
    <n v="8990334"/>
    <n v="8990334"/>
    <b v="0"/>
    <n v="0.75"/>
  </r>
  <r>
    <b v="1"/>
    <x v="0"/>
    <x v="0"/>
    <x v="0"/>
    <x v="0"/>
    <x v="0"/>
    <x v="14"/>
    <n v="0"/>
    <x v="3"/>
    <s v="abd0c7b98f1b493c9940586652a55745"/>
    <s v="Mesa La Paz Green Bond"/>
    <x v="0"/>
    <x v="0"/>
    <s v="Wind"/>
    <s v="Mesa La Paz"/>
    <s v="Mexico"/>
    <d v="2019-02-28T00:00:00"/>
    <d v="2019-02-28T00:00:00"/>
    <s v="USD"/>
    <n v="56964986"/>
    <n v="56964986"/>
    <s v="USD"/>
    <n v="56964986"/>
    <n v="56964986"/>
    <b v="0"/>
    <n v="0.75"/>
  </r>
  <r>
    <b v="1"/>
    <x v="0"/>
    <x v="0"/>
    <x v="0"/>
    <x v="0"/>
    <x v="0"/>
    <x v="14"/>
    <n v="0"/>
    <x v="3"/>
    <s v="abd0c7b98f1b493c9940586652a55745"/>
    <s v="Mesa La Paz Green Bond"/>
    <x v="0"/>
    <x v="0"/>
    <s v="Wind"/>
    <s v="Mesa La Paz"/>
    <s v="Mexico"/>
    <d v="2018-11-30T00:00:00"/>
    <d v="2018-11-30T00:00:00"/>
    <s v="USD"/>
    <n v="89965788"/>
    <n v="89965788"/>
    <s v="USD"/>
    <n v="89965788"/>
    <n v="89965788"/>
    <b v="0"/>
    <n v="0.75"/>
  </r>
  <r>
    <b v="1"/>
    <x v="0"/>
    <x v="0"/>
    <x v="0"/>
    <x v="0"/>
    <x v="0"/>
    <x v="14"/>
    <n v="0"/>
    <x v="3"/>
    <s v="abd0c7b98f1b493c9940586652a55745"/>
    <s v="Mesa La Paz Green Bond"/>
    <x v="0"/>
    <x v="0"/>
    <s v="Wind"/>
    <s v="Mesa La Paz"/>
    <s v="Mexico"/>
    <d v="2018-08-31T00:00:00"/>
    <d v="2018-08-31T00:00:00"/>
    <s v="USD"/>
    <n v="86742146"/>
    <n v="86742146"/>
    <s v="USD"/>
    <n v="86742146"/>
    <n v="86742146"/>
    <b v="0"/>
    <n v="0.75"/>
  </r>
  <r>
    <b v="1"/>
    <x v="0"/>
    <x v="0"/>
    <x v="0"/>
    <x v="0"/>
    <x v="0"/>
    <x v="14"/>
    <n v="0"/>
    <x v="3"/>
    <s v="abd0c7b98f1b493c9940586652a55745"/>
    <s v="Mesa La Paz Green Bond"/>
    <x v="0"/>
    <x v="0"/>
    <s v="Wind"/>
    <s v="Mesa La Paz"/>
    <s v="Mexico"/>
    <d v="2018-05-21T00:00:00"/>
    <d v="2018-05-21T00:00:00"/>
    <s v="USD"/>
    <n v="61486747"/>
    <n v="61486747"/>
    <s v="USD"/>
    <n v="61486747"/>
    <n v="61486747"/>
    <b v="0"/>
    <n v="0.75"/>
  </r>
  <r>
    <b v="1"/>
    <x v="0"/>
    <x v="0"/>
    <x v="0"/>
    <x v="0"/>
    <x v="0"/>
    <x v="14"/>
    <n v="0"/>
    <x v="3"/>
    <s v="abd0c7b98f1b493c9940586652a55745"/>
    <s v="Mesa La Paz Green Bond"/>
    <x v="1"/>
    <x v="1"/>
    <s v="Generation"/>
    <s v="Mesa La Paz"/>
    <s v="Mexico"/>
    <d v="2019-05-31T00:00:00"/>
    <d v="2019-05-31T00:00:00"/>
    <s v="USD"/>
    <n v="8990334"/>
    <n v="8990334"/>
    <s v="USD"/>
    <n v="8990334"/>
    <n v="8990334"/>
    <b v="0"/>
    <n v="0.75"/>
  </r>
  <r>
    <b v="1"/>
    <x v="0"/>
    <x v="0"/>
    <x v="0"/>
    <x v="0"/>
    <x v="0"/>
    <x v="14"/>
    <n v="0"/>
    <x v="3"/>
    <s v="abd0c7b98f1b493c9940586652a55745"/>
    <s v="Mesa La Paz Green Bond"/>
    <x v="1"/>
    <x v="1"/>
    <s v="Generation"/>
    <s v="Mesa La Paz"/>
    <s v="Mexico"/>
    <d v="2019-02-28T00:00:00"/>
    <d v="2019-02-28T00:00:00"/>
    <s v="USD"/>
    <n v="56964986"/>
    <n v="56964986"/>
    <s v="USD"/>
    <n v="56964986"/>
    <n v="56964986"/>
    <b v="0"/>
    <n v="0.75"/>
  </r>
  <r>
    <b v="1"/>
    <x v="0"/>
    <x v="0"/>
    <x v="0"/>
    <x v="0"/>
    <x v="0"/>
    <x v="14"/>
    <n v="0"/>
    <x v="3"/>
    <s v="abd0c7b98f1b493c9940586652a55745"/>
    <s v="Mesa La Paz Green Bond"/>
    <x v="1"/>
    <x v="1"/>
    <s v="Generation"/>
    <s v="Mesa La Paz"/>
    <s v="Mexico"/>
    <d v="2018-11-30T00:00:00"/>
    <d v="2018-11-30T00:00:00"/>
    <s v="USD"/>
    <n v="89965788"/>
    <n v="89965788"/>
    <s v="USD"/>
    <n v="89965788"/>
    <n v="89965788"/>
    <b v="0"/>
    <n v="0.75"/>
  </r>
  <r>
    <b v="1"/>
    <x v="0"/>
    <x v="0"/>
    <x v="0"/>
    <x v="0"/>
    <x v="0"/>
    <x v="14"/>
    <n v="0"/>
    <x v="3"/>
    <s v="abd0c7b98f1b493c9940586652a55745"/>
    <s v="Mesa La Paz Green Bond"/>
    <x v="1"/>
    <x v="1"/>
    <s v="Generation"/>
    <s v="Mesa La Paz"/>
    <s v="Mexico"/>
    <d v="2018-08-31T00:00:00"/>
    <d v="2018-08-31T00:00:00"/>
    <s v="USD"/>
    <n v="86742146"/>
    <n v="86742146"/>
    <s v="USD"/>
    <n v="86742146"/>
    <n v="86742146"/>
    <b v="0"/>
    <n v="0.75"/>
  </r>
  <r>
    <b v="1"/>
    <x v="0"/>
    <x v="0"/>
    <x v="0"/>
    <x v="0"/>
    <x v="0"/>
    <x v="14"/>
    <n v="0"/>
    <x v="3"/>
    <s v="abd0c7b98f1b493c9940586652a55745"/>
    <s v="Mesa La Paz Green Bond"/>
    <x v="1"/>
    <x v="1"/>
    <s v="Generation"/>
    <s v="Mesa La Paz"/>
    <s v="Mexico"/>
    <d v="2018-05-21T00:00:00"/>
    <d v="2018-05-21T00:00:00"/>
    <s v="USD"/>
    <n v="61486747"/>
    <n v="61486747"/>
    <s v="USD"/>
    <n v="61486747"/>
    <n v="61486747"/>
    <b v="0"/>
    <n v="0.75"/>
  </r>
  <r>
    <b v="1"/>
    <x v="0"/>
    <x v="0"/>
    <x v="0"/>
    <x v="0"/>
    <x v="0"/>
    <x v="14"/>
    <n v="0"/>
    <x v="3"/>
    <s v="abd0c7b98f1b493c9940586652a55745"/>
    <s v="Mesa La Paz Green Bond"/>
    <x v="2"/>
    <x v="9"/>
    <s v="Unspecified"/>
    <s v="Mesa La Paz"/>
    <s v="Mexico"/>
    <d v="2019-05-31T00:00:00"/>
    <d v="2019-05-31T00:00:00"/>
    <s v="USD"/>
    <n v="8990334"/>
    <n v="8990334"/>
    <s v="USD"/>
    <n v="8990334"/>
    <n v="8990334"/>
    <b v="0"/>
    <n v="0.75"/>
  </r>
  <r>
    <b v="1"/>
    <x v="0"/>
    <x v="0"/>
    <x v="0"/>
    <x v="0"/>
    <x v="0"/>
    <x v="14"/>
    <n v="0"/>
    <x v="3"/>
    <s v="abd0c7b98f1b493c9940586652a55745"/>
    <s v="Mesa La Paz Green Bond"/>
    <x v="2"/>
    <x v="9"/>
    <s v="Unspecified"/>
    <s v="Mesa La Paz"/>
    <s v="Mexico"/>
    <d v="2019-02-28T00:00:00"/>
    <d v="2019-02-28T00:00:00"/>
    <s v="USD"/>
    <n v="56964986"/>
    <n v="56964986"/>
    <s v="USD"/>
    <n v="56964986"/>
    <n v="56964986"/>
    <b v="0"/>
    <n v="0.75"/>
  </r>
  <r>
    <b v="1"/>
    <x v="0"/>
    <x v="0"/>
    <x v="0"/>
    <x v="0"/>
    <x v="0"/>
    <x v="14"/>
    <n v="0"/>
    <x v="3"/>
    <s v="abd0c7b98f1b493c9940586652a55745"/>
    <s v="Mesa La Paz Green Bond"/>
    <x v="2"/>
    <x v="9"/>
    <s v="Unspecified"/>
    <s v="Mesa La Paz"/>
    <s v="Mexico"/>
    <d v="2018-11-30T00:00:00"/>
    <d v="2018-11-30T00:00:00"/>
    <s v="USD"/>
    <n v="89965788"/>
    <n v="89965788"/>
    <s v="USD"/>
    <n v="89965788"/>
    <n v="89965788"/>
    <b v="0"/>
    <n v="0.75"/>
  </r>
  <r>
    <b v="1"/>
    <x v="0"/>
    <x v="0"/>
    <x v="0"/>
    <x v="0"/>
    <x v="0"/>
    <x v="14"/>
    <n v="0"/>
    <x v="3"/>
    <s v="abd0c7b98f1b493c9940586652a55745"/>
    <s v="Mesa La Paz Green Bond"/>
    <x v="2"/>
    <x v="9"/>
    <s v="Unspecified"/>
    <s v="Mesa La Paz"/>
    <s v="Mexico"/>
    <d v="2018-08-31T00:00:00"/>
    <d v="2018-08-31T00:00:00"/>
    <s v="USD"/>
    <n v="86742146"/>
    <n v="86742146"/>
    <s v="USD"/>
    <n v="86742146"/>
    <n v="86742146"/>
    <b v="0"/>
    <n v="0.75"/>
  </r>
  <r>
    <b v="1"/>
    <x v="0"/>
    <x v="0"/>
    <x v="0"/>
    <x v="0"/>
    <x v="0"/>
    <x v="14"/>
    <n v="0"/>
    <x v="3"/>
    <s v="abd0c7b98f1b493c9940586652a55745"/>
    <s v="Mesa La Paz Green Bond"/>
    <x v="2"/>
    <x v="9"/>
    <s v="Unspecified"/>
    <s v="Mesa La Paz"/>
    <s v="Mexico"/>
    <d v="2018-05-21T00:00:00"/>
    <d v="2018-05-21T00:00:00"/>
    <s v="USD"/>
    <n v="61486747"/>
    <n v="61486747"/>
    <s v="USD"/>
    <n v="61486747"/>
    <n v="61486747"/>
    <b v="0"/>
    <n v="0.75"/>
  </r>
  <r>
    <b v="1"/>
    <x v="0"/>
    <x v="0"/>
    <x v="0"/>
    <x v="0"/>
    <x v="0"/>
    <x v="14"/>
    <n v="0"/>
    <x v="3"/>
    <s v="abd0c7b98f1b493c9940586652a55745"/>
    <s v="Mesa La Paz Green Bond"/>
    <x v="3"/>
    <x v="9"/>
    <s v="Unspecified"/>
    <s v="Mesa La Paz"/>
    <s v="Mexico"/>
    <d v="2019-05-31T00:00:00"/>
    <d v="2019-05-31T00:00:00"/>
    <s v="USD"/>
    <n v="8990334"/>
    <n v="8990334"/>
    <s v="USD"/>
    <n v="8990334"/>
    <n v="8990334"/>
    <b v="0"/>
    <n v="0.75"/>
  </r>
  <r>
    <b v="1"/>
    <x v="0"/>
    <x v="0"/>
    <x v="0"/>
    <x v="0"/>
    <x v="0"/>
    <x v="14"/>
    <n v="0"/>
    <x v="3"/>
    <s v="abd0c7b98f1b493c9940586652a55745"/>
    <s v="Mesa La Paz Green Bond"/>
    <x v="3"/>
    <x v="9"/>
    <s v="Unspecified"/>
    <s v="Mesa La Paz"/>
    <s v="Mexico"/>
    <d v="2019-02-28T00:00:00"/>
    <d v="2019-02-28T00:00:00"/>
    <s v="USD"/>
    <n v="56964986"/>
    <n v="56964986"/>
    <s v="USD"/>
    <n v="56964986"/>
    <n v="56964986"/>
    <b v="0"/>
    <n v="0.75"/>
  </r>
  <r>
    <b v="1"/>
    <x v="0"/>
    <x v="0"/>
    <x v="0"/>
    <x v="0"/>
    <x v="0"/>
    <x v="14"/>
    <n v="0"/>
    <x v="3"/>
    <s v="abd0c7b98f1b493c9940586652a55745"/>
    <s v="Mesa La Paz Green Bond"/>
    <x v="3"/>
    <x v="9"/>
    <s v="Unspecified"/>
    <s v="Mesa La Paz"/>
    <s v="Mexico"/>
    <d v="2018-11-30T00:00:00"/>
    <d v="2018-11-30T00:00:00"/>
    <s v="USD"/>
    <n v="89965788"/>
    <n v="89965788"/>
    <s v="USD"/>
    <n v="89965788"/>
    <n v="89965788"/>
    <b v="0"/>
    <n v="0.75"/>
  </r>
  <r>
    <b v="1"/>
    <x v="0"/>
    <x v="0"/>
    <x v="0"/>
    <x v="0"/>
    <x v="0"/>
    <x v="14"/>
    <n v="0"/>
    <x v="3"/>
    <s v="abd0c7b98f1b493c9940586652a55745"/>
    <s v="Mesa La Paz Green Bond"/>
    <x v="3"/>
    <x v="9"/>
    <s v="Unspecified"/>
    <s v="Mesa La Paz"/>
    <s v="Mexico"/>
    <d v="2018-08-31T00:00:00"/>
    <d v="2018-08-31T00:00:00"/>
    <s v="USD"/>
    <n v="86742146"/>
    <n v="86742146"/>
    <s v="USD"/>
    <n v="86742146"/>
    <n v="86742146"/>
    <b v="0"/>
    <n v="0.75"/>
  </r>
  <r>
    <b v="1"/>
    <x v="0"/>
    <x v="0"/>
    <x v="0"/>
    <x v="0"/>
    <x v="0"/>
    <x v="14"/>
    <n v="0"/>
    <x v="3"/>
    <s v="abd0c7b98f1b493c9940586652a55745"/>
    <s v="Mesa La Paz Green Bond"/>
    <x v="3"/>
    <x v="9"/>
    <s v="Unspecified"/>
    <s v="Mesa La Paz"/>
    <s v="Mexico"/>
    <d v="2018-05-21T00:00:00"/>
    <d v="2018-05-21T00:00:00"/>
    <s v="USD"/>
    <n v="61486747"/>
    <n v="61486747"/>
    <s v="USD"/>
    <n v="61486747"/>
    <n v="61486747"/>
    <b v="0"/>
    <n v="0.75"/>
  </r>
  <r>
    <b v="1"/>
    <x v="0"/>
    <x v="0"/>
    <x v="1"/>
    <x v="0"/>
    <x v="1"/>
    <x v="2"/>
    <s v="BBG00PQCN094"/>
    <x v="0"/>
    <s v="19a9b617aa704f8285094522d06a5367"/>
    <s v="Neoenergia - 6¬™ emiss√£o de deb√™ntures"/>
    <x v="0"/>
    <x v="0"/>
    <s v="Wind"/>
    <s v="Canoas 4"/>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4"/>
    <s v="Brazil"/>
    <d v="2019-07-23T00:00:00"/>
    <d v="2020-03-30T00:00:00"/>
    <s v="BRL"/>
    <n v="15500000"/>
    <n v="15500000"/>
    <s v="BRL"/>
    <n v="15500000"/>
    <n v="2984385"/>
    <b v="1"/>
    <n v="0.1"/>
  </r>
  <r>
    <b v="1"/>
    <x v="0"/>
    <x v="0"/>
    <x v="1"/>
    <x v="0"/>
    <x v="1"/>
    <x v="2"/>
    <s v="BBG00PQCN094"/>
    <x v="0"/>
    <s v="19a9b617aa704f8285094522d06a5367"/>
    <s v="Neoenergia - 6¬™ emiss√£o de deb√™ntures"/>
    <x v="0"/>
    <x v="0"/>
    <s v="Wind"/>
    <s v="Lagoa 3"/>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Lagoa 3"/>
    <s v="Brazil"/>
    <d v="2019-07-23T00:00:00"/>
    <d v="2020-03-30T00:00:00"/>
    <s v="BRL"/>
    <n v="15500000"/>
    <n v="15500000"/>
    <s v="BRL"/>
    <n v="15500000"/>
    <n v="2984385"/>
    <b v="1"/>
    <n v="0.1"/>
  </r>
  <r>
    <b v="1"/>
    <x v="0"/>
    <x v="0"/>
    <x v="0"/>
    <x v="0"/>
    <x v="0"/>
    <x v="4"/>
    <n v="0"/>
    <x v="0"/>
    <s v="33ceef813ef14aac8ab44dc3a53606d8"/>
    <s v="Bancolombia Bono Sostenible"/>
    <x v="0"/>
    <x v="7"/>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1"/>
    <x v="8"/>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0"/>
    <x v="9"/>
    <s v="Unspecified"/>
    <s v="SB Proyecto 16"/>
    <s v="Colombia"/>
    <d v="2019-07-19T00:00:00"/>
    <d v="2019-07-19T00:00:00"/>
    <s v="COP"/>
    <n v="14000000000"/>
    <n v="14000000000"/>
    <s v="COP"/>
    <n v="14000000000"/>
    <n v="4398353"/>
    <b v="1"/>
    <n v="0.97"/>
  </r>
  <r>
    <b v="1"/>
    <x v="0"/>
    <x v="0"/>
    <x v="0"/>
    <x v="0"/>
    <x v="0"/>
    <x v="4"/>
    <n v="0"/>
    <x v="0"/>
    <s v="33ceef813ef14aac8ab44dc3a53606d8"/>
    <s v="Bancolombia Bono Sostenible"/>
    <x v="1"/>
    <x v="4"/>
    <s v="Appliances"/>
    <s v="SB Proyecto 16"/>
    <s v="Colombia"/>
    <d v="2019-07-19T00:00:00"/>
    <d v="2019-07-19T00:00:00"/>
    <s v="COP"/>
    <n v="14000000000"/>
    <n v="14000000000"/>
    <s v="COP"/>
    <n v="14000000000"/>
    <n v="4398353"/>
    <b v="1"/>
    <n v="0.97"/>
  </r>
  <r>
    <b v="1"/>
    <x v="0"/>
    <x v="0"/>
    <x v="1"/>
    <x v="0"/>
    <x v="1"/>
    <x v="2"/>
    <s v="BBG00PQCN094"/>
    <x v="0"/>
    <s v="19a9b617aa704f8285094522d06a5367"/>
    <s v="Neoenergia - 6¬™ emiss√£o de deb√™ntures"/>
    <x v="0"/>
    <x v="0"/>
    <s v="Wind"/>
    <s v="Lagoa 4"/>
    <s v="Brazil"/>
    <d v="2019-07-23T00:00:00"/>
    <d v="2020-03-30T00:00:00"/>
    <s v="BRL"/>
    <n v="8300000"/>
    <n v="8300000"/>
    <s v="BRL"/>
    <n v="8300000"/>
    <n v="1598090"/>
    <b v="1"/>
    <n v="0.09"/>
  </r>
  <r>
    <b v="1"/>
    <x v="0"/>
    <x v="0"/>
    <x v="1"/>
    <x v="0"/>
    <x v="1"/>
    <x v="2"/>
    <s v="BBG00PQCN094"/>
    <x v="0"/>
    <s v="19a9b617aa704f8285094522d06a5367"/>
    <s v="Neoenergia - 6¬™ emiss√£o de deb√™ntures"/>
    <x v="1"/>
    <x v="1"/>
    <s v="Generation"/>
    <s v="Lagoa 4"/>
    <s v="Brazil"/>
    <d v="2019-07-23T00:00:00"/>
    <d v="2020-03-30T00:00:00"/>
    <s v="BRL"/>
    <n v="8300000"/>
    <n v="8300000"/>
    <s v="BRL"/>
    <n v="8300000"/>
    <n v="1598090"/>
    <b v="1"/>
    <n v="0.09"/>
  </r>
  <r>
    <b v="1"/>
    <x v="0"/>
    <x v="0"/>
    <x v="1"/>
    <x v="0"/>
    <x v="1"/>
    <x v="2"/>
    <s v="BBG00PQCN094"/>
    <x v="0"/>
    <s v="19a9b617aa704f8285094522d06a5367"/>
    <s v="Neoenergia - 6¬™ emiss√£o de deb√™ntures"/>
    <x v="0"/>
    <x v="0"/>
    <s v="Wind"/>
    <s v="Ventos do Arapu√° 1"/>
    <s v="Brazil"/>
    <d v="2019-07-23T00:00:00"/>
    <d v="2020-03-30T00:00:00"/>
    <s v="BRL"/>
    <n v="14500000"/>
    <n v="14500000"/>
    <s v="BRL"/>
    <n v="14500000"/>
    <n v="2791844"/>
    <b v="1"/>
    <n v="0.13"/>
  </r>
  <r>
    <b v="1"/>
    <x v="0"/>
    <x v="0"/>
    <x v="1"/>
    <x v="0"/>
    <x v="1"/>
    <x v="2"/>
    <s v="BBG00PQCN094"/>
    <x v="0"/>
    <s v="19a9b617aa704f8285094522d06a5367"/>
    <s v="Neoenergia - 6¬™ emiss√£o de deb√™ntures"/>
    <x v="1"/>
    <x v="1"/>
    <s v="Generation"/>
    <s v="Ventos do Arapu√° 1"/>
    <s v="Brazil"/>
    <d v="2019-07-23T00:00:00"/>
    <d v="2020-03-30T00:00:00"/>
    <s v="BRL"/>
    <n v="14500000"/>
    <n v="14500000"/>
    <s v="BRL"/>
    <n v="14500000"/>
    <n v="2791844"/>
    <b v="1"/>
    <n v="0.13"/>
  </r>
  <r>
    <b v="1"/>
    <x v="0"/>
    <x v="0"/>
    <x v="0"/>
    <x v="0"/>
    <x v="0"/>
    <x v="4"/>
    <n v="0"/>
    <x v="0"/>
    <s v="33ceef813ef14aac8ab44dc3a53606d8"/>
    <s v="Bancolombia Bono Sostenible"/>
    <x v="0"/>
    <x v="9"/>
    <s v="Unspecified"/>
    <s v="SB Proyecto 17"/>
    <s v="Colombia"/>
    <d v="2019-07-19T00:00:00"/>
    <d v="2019-07-19T00:00:00"/>
    <s v="COP"/>
    <n v="10000000000"/>
    <n v="10000000000"/>
    <s v="COP"/>
    <n v="10000000000"/>
    <n v="3141680"/>
    <b v="1"/>
    <n v="0.97"/>
  </r>
  <r>
    <b v="1"/>
    <x v="0"/>
    <x v="0"/>
    <x v="0"/>
    <x v="0"/>
    <x v="0"/>
    <x v="4"/>
    <n v="0"/>
    <x v="0"/>
    <s v="33ceef813ef14aac8ab44dc3a53606d8"/>
    <s v="Bancolombia Bono Sostenible"/>
    <x v="1"/>
    <x v="4"/>
    <s v="Appliances"/>
    <s v="SB Proyecto 17"/>
    <s v="Colombia"/>
    <d v="2019-07-19T00:00:00"/>
    <d v="2019-07-19T00:00:00"/>
    <s v="COP"/>
    <n v="10000000000"/>
    <n v="10000000000"/>
    <s v="COP"/>
    <n v="10000000000"/>
    <n v="3141680"/>
    <b v="1"/>
    <n v="0.97"/>
  </r>
  <r>
    <b v="1"/>
    <x v="0"/>
    <x v="0"/>
    <x v="0"/>
    <x v="0"/>
    <x v="0"/>
    <x v="4"/>
    <n v="0"/>
    <x v="0"/>
    <s v="33ceef813ef14aac8ab44dc3a53606d8"/>
    <s v="Bancolombia Bono Sostenible"/>
    <x v="2"/>
    <x v="9"/>
    <s v="Unspecified"/>
    <s v="SB Proyecto 31"/>
    <s v="Colombia"/>
    <d v="2019-07-19T00:00:00"/>
    <d v="2019-07-19T00:00:00"/>
    <s v="COP"/>
    <n v="173096000000"/>
    <n v="173096000000"/>
    <s v="COP"/>
    <n v="173096000000"/>
    <n v="54381230"/>
    <b v="0"/>
    <n v="0.97"/>
  </r>
  <r>
    <b v="1"/>
    <x v="0"/>
    <x v="0"/>
    <x v="0"/>
    <x v="0"/>
    <x v="0"/>
    <x v="4"/>
    <n v="0"/>
    <x v="0"/>
    <s v="33ceef813ef14aac8ab44dc3a53606d8"/>
    <s v="Bancolombia Bono Sostenible"/>
    <x v="3"/>
    <x v="9"/>
    <s v="Unspecified"/>
    <s v="SB Proyecto 31"/>
    <s v="Colombia"/>
    <d v="2019-07-19T00:00:00"/>
    <d v="2019-07-19T00:00:00"/>
    <s v="COP"/>
    <n v="173096000000"/>
    <n v="173096000000"/>
    <s v="COP"/>
    <n v="173096000000"/>
    <n v="54381230"/>
    <b v="0"/>
    <n v="0.97"/>
  </r>
  <r>
    <b v="1"/>
    <x v="0"/>
    <x v="0"/>
    <x v="1"/>
    <x v="0"/>
    <x v="1"/>
    <x v="2"/>
    <s v="BBG00PQCN094"/>
    <x v="0"/>
    <s v="19a9b617aa704f8285094522d06a5367"/>
    <s v="Neoenergia - 6¬™ emiss√£o de deb√™ntures"/>
    <x v="0"/>
    <x v="0"/>
    <s v="Wind"/>
    <s v="Ventos do Arapu√° 2"/>
    <s v="Brazil"/>
    <d v="2019-07-23T00:00:00"/>
    <d v="2020-03-30T00:00:00"/>
    <s v="BRL"/>
    <n v="20700000"/>
    <n v="16200000"/>
    <s v="BRL"/>
    <n v="16200000"/>
    <n v="3119164"/>
    <b v="1"/>
    <n v="0.13"/>
  </r>
  <r>
    <b v="1"/>
    <x v="0"/>
    <x v="0"/>
    <x v="1"/>
    <x v="0"/>
    <x v="1"/>
    <x v="2"/>
    <s v="BBG00PQCN094"/>
    <x v="0"/>
    <s v="19a9b617aa704f8285094522d06a5367"/>
    <s v="Neoenergia - 6¬™ emiss√£o de deb√™ntures"/>
    <x v="1"/>
    <x v="1"/>
    <s v="Generation"/>
    <s v="Ventos do Arapu√° 2"/>
    <s v="Brazil"/>
    <d v="2019-07-23T00:00:00"/>
    <d v="2020-03-30T00:00:00"/>
    <s v="BRL"/>
    <n v="20700000"/>
    <n v="16200000"/>
    <s v="BRL"/>
    <n v="16200000"/>
    <n v="3119164"/>
    <b v="1"/>
    <n v="0.13"/>
  </r>
  <r>
    <e v="#N/A"/>
    <x v="1"/>
    <x v="1"/>
    <x v="3"/>
    <x v="1"/>
    <x v="2"/>
    <x v="10"/>
    <e v="#N/A"/>
    <x v="2"/>
    <s v="e13fb411d38e445aa8115a546717c6ce"/>
    <s v="Green Bond CMPC 2019"/>
    <x v="0"/>
    <x v="7"/>
    <s v="Products &amp; Systems for Efficiency"/>
    <s v="Corporate Building"/>
    <s v="Chile"/>
    <d v="2019-05-17T00:00:00"/>
    <d v="2018-12-31T00:00:00"/>
    <s v="USD"/>
    <n v="11397764"/>
    <n v="11397764"/>
    <s v="CLF"/>
    <n v="411"/>
    <n v="11397764"/>
    <b v="0"/>
    <n v="1"/>
  </r>
  <r>
    <e v="#N/A"/>
    <x v="1"/>
    <x v="1"/>
    <x v="3"/>
    <x v="1"/>
    <x v="2"/>
    <x v="10"/>
    <e v="#N/A"/>
    <x v="2"/>
    <s v="e13fb411d38e445aa8115a546717c6ce"/>
    <s v="Green Bond CMPC 2019"/>
    <x v="0"/>
    <x v="7"/>
    <s v="Products &amp; Systems for Efficiency"/>
    <s v="Corporate Building"/>
    <s v="Chile"/>
    <d v="2019-05-17T00:00:00"/>
    <d v="2019-12-31T00:00:00"/>
    <s v="USD"/>
    <n v="843200"/>
    <n v="843200"/>
    <s v="CLF"/>
    <n v="30"/>
    <n v="843200"/>
    <b v="0"/>
    <n v="1"/>
  </r>
  <r>
    <e v="#N/A"/>
    <x v="1"/>
    <x v="1"/>
    <x v="3"/>
    <x v="1"/>
    <x v="2"/>
    <x v="10"/>
    <e v="#N/A"/>
    <x v="2"/>
    <s v="e13fb411d38e445aa8115a546717c6ce"/>
    <s v="Green Bond CMPC 2019"/>
    <x v="1"/>
    <x v="8"/>
    <s v="Commercial"/>
    <s v="Corporate Building"/>
    <s v="Chile"/>
    <d v="2019-05-17T00:00:00"/>
    <d v="2018-12-31T00:00:00"/>
    <s v="USD"/>
    <n v="11397764"/>
    <n v="11397764"/>
    <s v="CLF"/>
    <n v="411"/>
    <n v="11397764"/>
    <b v="0"/>
    <n v="1"/>
  </r>
  <r>
    <e v="#N/A"/>
    <x v="1"/>
    <x v="1"/>
    <x v="3"/>
    <x v="1"/>
    <x v="2"/>
    <x v="10"/>
    <e v="#N/A"/>
    <x v="2"/>
    <s v="e13fb411d38e445aa8115a546717c6ce"/>
    <s v="Green Bond CMPC 2019"/>
    <x v="1"/>
    <x v="8"/>
    <s v="Commercial"/>
    <s v="Corporate Building"/>
    <s v="Chile"/>
    <d v="2019-05-17T00:00:00"/>
    <d v="2019-12-31T00:00:00"/>
    <s v="USD"/>
    <n v="843200"/>
    <n v="843200"/>
    <s v="CLF"/>
    <n v="30"/>
    <n v="843200"/>
    <b v="0"/>
    <n v="1"/>
  </r>
  <r>
    <e v="#N/A"/>
    <x v="1"/>
    <x v="1"/>
    <x v="3"/>
    <x v="1"/>
    <x v="2"/>
    <x v="10"/>
    <e v="#N/A"/>
    <x v="2"/>
    <s v="e13fb411d38e445aa8115a546717c6ce"/>
    <s v="Green Bond CMPC 2019"/>
    <x v="2"/>
    <x v="9"/>
    <s v="Unspecified"/>
    <s v="Corporate Building"/>
    <s v="Chile"/>
    <d v="2019-05-17T00:00:00"/>
    <d v="2018-12-31T00:00:00"/>
    <s v="USD"/>
    <n v="11397764"/>
    <n v="11397764"/>
    <s v="CLF"/>
    <n v="411"/>
    <n v="11397764"/>
    <b v="0"/>
    <n v="1"/>
  </r>
  <r>
    <e v="#N/A"/>
    <x v="1"/>
    <x v="1"/>
    <x v="3"/>
    <x v="1"/>
    <x v="2"/>
    <x v="10"/>
    <e v="#N/A"/>
    <x v="2"/>
    <s v="e13fb411d38e445aa8115a546717c6ce"/>
    <s v="Green Bond CMPC 2019"/>
    <x v="2"/>
    <x v="9"/>
    <s v="Unspecified"/>
    <s v="Corporate Building"/>
    <s v="Chile"/>
    <d v="2019-05-17T00:00:00"/>
    <d v="2019-12-31T00:00:00"/>
    <s v="USD"/>
    <n v="843200"/>
    <n v="843200"/>
    <s v="CLF"/>
    <n v="30"/>
    <n v="843200"/>
    <b v="0"/>
    <n v="1"/>
  </r>
  <r>
    <e v="#N/A"/>
    <x v="1"/>
    <x v="1"/>
    <x v="3"/>
    <x v="1"/>
    <x v="2"/>
    <x v="10"/>
    <e v="#N/A"/>
    <x v="2"/>
    <s v="e13fb411d38e445aa8115a546717c6ce"/>
    <s v="Green Bond CMPC 2019"/>
    <x v="3"/>
    <x v="9"/>
    <s v="Unspecified"/>
    <s v="Corporate Building"/>
    <s v="Chile"/>
    <d v="2019-05-17T00:00:00"/>
    <d v="2018-12-31T00:00:00"/>
    <s v="USD"/>
    <n v="11397764"/>
    <n v="11397764"/>
    <s v="CLF"/>
    <n v="411"/>
    <n v="11397764"/>
    <b v="0"/>
    <n v="1"/>
  </r>
  <r>
    <e v="#N/A"/>
    <x v="1"/>
    <x v="1"/>
    <x v="3"/>
    <x v="1"/>
    <x v="2"/>
    <x v="10"/>
    <e v="#N/A"/>
    <x v="2"/>
    <s v="e13fb411d38e445aa8115a546717c6ce"/>
    <s v="Green Bond CMPC 2019"/>
    <x v="3"/>
    <x v="9"/>
    <s v="Unspecified"/>
    <s v="Corporate Building"/>
    <s v="Chile"/>
    <d v="2019-05-17T00:00:00"/>
    <d v="2019-12-31T00:00:00"/>
    <s v="USD"/>
    <n v="843200"/>
    <n v="843200"/>
    <s v="CLF"/>
    <n v="30"/>
    <n v="843200"/>
    <b v="0"/>
    <n v="1"/>
  </r>
  <r>
    <b v="1"/>
    <x v="0"/>
    <x v="0"/>
    <x v="2"/>
    <x v="0"/>
    <x v="1"/>
    <x v="15"/>
    <s v="BBG00GCM8LR8"/>
    <x v="0"/>
    <s v="9e3d5a4bf8ef4c9bb3306040e0cd6790"/>
    <s v="Green Bond CMPC 2017"/>
    <x v="1"/>
    <x v="4"/>
    <s v="Products"/>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2"/>
    <x v="9"/>
    <s v="Unspecified"/>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3"/>
    <x v="9"/>
    <s v="Unspecified"/>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0"/>
    <x v="2"/>
    <s v="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1"/>
    <x v="3"/>
    <s v="Wastewater 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2"/>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3"/>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0"/>
    <x v="13"/>
    <s v="Power Management"/>
    <s v="Ca√±ete Paper Machine"/>
    <s v="Peru"/>
    <d v="2018-10-01T00:00:00"/>
    <d v="2016-12-31T00:00:00"/>
    <s v="USD"/>
    <n v="26361196"/>
    <n v="26361196"/>
    <s v="PEN"/>
    <n v="85937498"/>
    <n v="26361196"/>
    <b v="1"/>
    <n v="1"/>
  </r>
  <r>
    <b v="1"/>
    <x v="0"/>
    <x v="0"/>
    <x v="2"/>
    <x v="0"/>
    <x v="1"/>
    <x v="16"/>
    <s v="BBG00MCDMXF6"/>
    <x v="0"/>
    <s v="19c1f11e1a3f444cae63d334393894ed"/>
    <s v="Green Bond Protisa Per√∫, CMPC"/>
    <x v="1"/>
    <x v="4"/>
    <s v="Appliances"/>
    <s v="Ca√±ete Paper Machine"/>
    <s v="Peru"/>
    <d v="2018-10-01T00:00:00"/>
    <d v="2016-12-31T00:00:00"/>
    <s v="USD"/>
    <n v="26361196"/>
    <n v="26361196"/>
    <s v="PEN"/>
    <n v="85937498"/>
    <n v="26361196"/>
    <b v="1"/>
    <n v="1"/>
  </r>
  <r>
    <b v="1"/>
    <x v="0"/>
    <x v="0"/>
    <x v="2"/>
    <x v="0"/>
    <x v="1"/>
    <x v="16"/>
    <s v="BBG00MCDMXF6"/>
    <x v="0"/>
    <s v="19c1f11e1a3f444cae63d334393894ed"/>
    <s v="Green Bond Protisa Per√∫, CMPC"/>
    <x v="2"/>
    <x v="9"/>
    <s v="Unspecified"/>
    <s v="Ca√±ete Paper Machine"/>
    <s v="Peru"/>
    <d v="2018-10-01T00:00:00"/>
    <d v="2016-12-31T00:00:00"/>
    <s v="USD"/>
    <n v="26361196"/>
    <n v="26361196"/>
    <s v="PEN"/>
    <n v="85937498"/>
    <n v="26361196"/>
    <b v="1"/>
    <n v="1"/>
  </r>
  <r>
    <b v="1"/>
    <x v="0"/>
    <x v="0"/>
    <x v="1"/>
    <x v="0"/>
    <x v="1"/>
    <x v="2"/>
    <s v="BBG00PQCN094"/>
    <x v="0"/>
    <s v="19a9b617aa704f8285094522d06a5367"/>
    <s v="Neoenergia - 6¬™ emiss√£o de deb√™ntures"/>
    <x v="0"/>
    <x v="0"/>
    <s v="Wind"/>
    <s v="Ventos do Arapu√° 3"/>
    <s v="Brazil"/>
    <d v="2019-07-23T00:00:00"/>
    <d v="2020-03-30T00:00:00"/>
    <s v="BRL"/>
    <n v="6200000"/>
    <n v="5700000"/>
    <s v="BRL"/>
    <n v="5700000"/>
    <n v="1097483"/>
    <b v="1"/>
    <n v="0.1"/>
  </r>
  <r>
    <b v="1"/>
    <x v="0"/>
    <x v="0"/>
    <x v="1"/>
    <x v="0"/>
    <x v="1"/>
    <x v="2"/>
    <s v="BBG00PQCN094"/>
    <x v="0"/>
    <s v="19a9b617aa704f8285094522d06a5367"/>
    <s v="Neoenergia - 6¬™ emiss√£o de deb√™ntures"/>
    <x v="1"/>
    <x v="1"/>
    <s v="Generation"/>
    <s v="Ventos do Arapu√° 3"/>
    <s v="Brazil"/>
    <d v="2019-07-23T00:00:00"/>
    <d v="2020-03-30T00:00:00"/>
    <s v="BRL"/>
    <n v="6200000"/>
    <n v="5700000"/>
    <s v="BRL"/>
    <n v="5700000"/>
    <n v="1097483"/>
    <b v="1"/>
    <n v="0.1"/>
  </r>
  <r>
    <b v="1"/>
    <x v="0"/>
    <x v="0"/>
    <x v="1"/>
    <x v="0"/>
    <x v="1"/>
    <x v="2"/>
    <s v="BBG00PQCN094"/>
    <x v="0"/>
    <s v="19a9b617aa704f8285094522d06a5367"/>
    <s v="Neoenergia - 6¬™ emiss√£o de deb√™ntures"/>
    <x v="0"/>
    <x v="0"/>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1"/>
    <x v="1"/>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0"/>
    <x v="0"/>
    <s v="Transmission"/>
    <s v="EKTT 2"/>
    <s v="Brazil"/>
    <d v="2019-07-23T00:00:00"/>
    <d v="2020-03-30T00:00:00"/>
    <s v="BRL"/>
    <n v="36200000"/>
    <n v="36200000"/>
    <s v="BRL"/>
    <n v="36200000"/>
    <n v="6969983"/>
    <b v="1"/>
    <n v="7.0000000000000007E-2"/>
  </r>
  <r>
    <b v="1"/>
    <x v="0"/>
    <x v="0"/>
    <x v="1"/>
    <x v="0"/>
    <x v="1"/>
    <x v="2"/>
    <s v="BBG00PQCN094"/>
    <x v="0"/>
    <s v="19a9b617aa704f8285094522d06a5367"/>
    <s v="Neoenergia - 6¬™ emiss√£o de deb√™ntures"/>
    <x v="1"/>
    <x v="1"/>
    <s v="Transmission"/>
    <s v="EKTT 2"/>
    <s v="Brazil"/>
    <d v="2019-07-23T00:00:00"/>
    <d v="2020-03-30T00:00:00"/>
    <s v="BRL"/>
    <n v="36200000"/>
    <n v="36200000"/>
    <s v="BRL"/>
    <n v="36200000"/>
    <n v="6969983"/>
    <b v="1"/>
    <n v="7.0000000000000007E-2"/>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6-12-31T00:00:00"/>
    <s v="USD"/>
    <n v="3955503"/>
    <n v="3955503"/>
    <s v="USD"/>
    <n v="3955503"/>
    <n v="3955503"/>
    <b v="0"/>
    <n v="1"/>
  </r>
  <r>
    <e v="#N/A"/>
    <x v="1"/>
    <x v="1"/>
    <x v="3"/>
    <x v="1"/>
    <x v="2"/>
    <x v="10"/>
    <e v="#N/A"/>
    <x v="2"/>
    <s v="e13fb411d38e445aa8115a546717c6ce"/>
    <s v="Green Bond CMPC 2019"/>
    <x v="0"/>
    <x v="13"/>
    <s v="Power Management"/>
    <s v="Modernization of Steam System"/>
    <s v="Chile"/>
    <d v="2019-05-17T00:00:00"/>
    <d v="2018-12-31T00:00:00"/>
    <s v="USD"/>
    <n v="4052828"/>
    <n v="4052828"/>
    <s v="CLF"/>
    <n v="146"/>
    <n v="4052828"/>
    <b v="0"/>
    <n v="1"/>
  </r>
  <r>
    <e v="#N/A"/>
    <x v="1"/>
    <x v="1"/>
    <x v="3"/>
    <x v="1"/>
    <x v="2"/>
    <x v="10"/>
    <e v="#N/A"/>
    <x v="2"/>
    <s v="e13fb411d38e445aa8115a546717c6ce"/>
    <s v="Green Bond CMPC 2019"/>
    <x v="0"/>
    <x v="13"/>
    <s v="Power Management"/>
    <s v="Modernization of Steam System"/>
    <s v="Chile"/>
    <d v="2019-05-17T00:00:00"/>
    <d v="2019-12-31T00:00:00"/>
    <s v="USD"/>
    <n v="1362421"/>
    <n v="1362421"/>
    <s v="CLF"/>
    <n v="49"/>
    <n v="1362421"/>
    <b v="0"/>
    <n v="1"/>
  </r>
  <r>
    <e v="#N/A"/>
    <x v="1"/>
    <x v="1"/>
    <x v="3"/>
    <x v="1"/>
    <x v="2"/>
    <x v="10"/>
    <e v="#N/A"/>
    <x v="2"/>
    <s v="e13fb411d38e445aa8115a546717c6ce"/>
    <s v="Green Bond CMPC 2019"/>
    <x v="1"/>
    <x v="12"/>
    <s v="Greenhouse gas control"/>
    <s v="Modernization of Steam System"/>
    <s v="Chile"/>
    <d v="2019-05-17T00:00:00"/>
    <d v="2018-12-31T00:00:00"/>
    <s v="USD"/>
    <n v="4052828"/>
    <n v="4052828"/>
    <s v="CLF"/>
    <n v="146"/>
    <n v="4052828"/>
    <b v="0"/>
    <n v="1"/>
  </r>
  <r>
    <e v="#N/A"/>
    <x v="1"/>
    <x v="1"/>
    <x v="3"/>
    <x v="1"/>
    <x v="2"/>
    <x v="10"/>
    <e v="#N/A"/>
    <x v="2"/>
    <s v="e13fb411d38e445aa8115a546717c6ce"/>
    <s v="Green Bond CMPC 2019"/>
    <x v="1"/>
    <x v="12"/>
    <s v="Greenhouse gas control"/>
    <s v="Modernization of Steam System"/>
    <s v="Chile"/>
    <d v="2019-05-17T00:00:00"/>
    <d v="2019-12-31T00:00:00"/>
    <s v="USD"/>
    <n v="1362421"/>
    <n v="1362421"/>
    <s v="CLF"/>
    <n v="49"/>
    <n v="1362421"/>
    <b v="0"/>
    <n v="1"/>
  </r>
  <r>
    <b v="1"/>
    <x v="0"/>
    <x v="0"/>
    <x v="1"/>
    <x v="0"/>
    <x v="1"/>
    <x v="2"/>
    <s v="BBG00PQCN094"/>
    <x v="0"/>
    <s v="19a9b617aa704f8285094522d06a5367"/>
    <s v="Neoenergia - 6¬™ emiss√£o de deb√™ntures"/>
    <x v="0"/>
    <x v="0"/>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1"/>
    <x v="1"/>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0"/>
    <x v="0"/>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1"/>
    <x v="1"/>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0"/>
    <x v="0"/>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1"/>
    <x v="1"/>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0"/>
    <x v="0"/>
    <s v="Transmission"/>
    <s v="EKTT 11"/>
    <s v="Brazil"/>
    <d v="2019-07-23T00:00:00"/>
    <d v="2020-03-30T00:00:00"/>
    <s v="BRL"/>
    <n v="113900000"/>
    <n v="76600000"/>
    <s v="BRL"/>
    <n v="76600000"/>
    <n v="14748638"/>
    <b v="1"/>
    <n v="0.06"/>
  </r>
  <r>
    <b v="1"/>
    <x v="0"/>
    <x v="0"/>
    <x v="1"/>
    <x v="0"/>
    <x v="1"/>
    <x v="2"/>
    <s v="BBG00PQCN094"/>
    <x v="0"/>
    <s v="19a9b617aa704f8285094522d06a5367"/>
    <s v="Neoenergia - 6¬™ emiss√£o de deb√™ntures"/>
    <x v="1"/>
    <x v="1"/>
    <s v="Transmission"/>
    <s v="EKTT 11"/>
    <s v="Brazil"/>
    <d v="2019-07-23T00:00:00"/>
    <d v="2020-03-30T00:00:00"/>
    <s v="BRL"/>
    <n v="113900000"/>
    <n v="76600000"/>
    <s v="BRL"/>
    <n v="76600000"/>
    <n v="14748638"/>
    <b v="1"/>
    <n v="0.06"/>
  </r>
  <r>
    <b v="1"/>
    <x v="0"/>
    <x v="0"/>
    <x v="2"/>
    <x v="0"/>
    <x v="1"/>
    <x v="12"/>
    <s v="BBG00QQGQVT0"/>
    <x v="0"/>
    <s v="abe9dd05116c4c77b3bb4fae4ba7fa01"/>
    <s v="CABEI¬¥s 2019 Green Bond"/>
    <x v="0"/>
    <x v="0"/>
    <s v="Wind"/>
    <s v="E√≥lico Penonom√© II"/>
    <s v="Panama"/>
    <d v="2019-11-06T00:00:00"/>
    <d v="2020-06-01T00:00:00"/>
    <s v="USD"/>
    <n v="24363000"/>
    <n v="24363000"/>
    <s v="USD"/>
    <n v="24363000"/>
    <n v="24363000"/>
    <b v="1"/>
    <n v="0.81"/>
  </r>
  <r>
    <b v="1"/>
    <x v="0"/>
    <x v="0"/>
    <x v="2"/>
    <x v="0"/>
    <x v="1"/>
    <x v="12"/>
    <s v="BBG00QQGQVT0"/>
    <x v="0"/>
    <s v="abe9dd05116c4c77b3bb4fae4ba7fa01"/>
    <s v="CABEI¬¥s 2019 Green Bond"/>
    <x v="1"/>
    <x v="1"/>
    <s v="Generation"/>
    <s v="E√≥lico Penonom√© II"/>
    <s v="Panama"/>
    <d v="2019-11-06T00:00:00"/>
    <d v="2020-06-01T00:00:00"/>
    <s v="USD"/>
    <n v="24363000"/>
    <n v="24363000"/>
    <s v="USD"/>
    <n v="24363000"/>
    <n v="24363000"/>
    <b v="1"/>
    <n v="0.81"/>
  </r>
  <r>
    <b v="1"/>
    <x v="0"/>
    <x v="0"/>
    <x v="2"/>
    <x v="0"/>
    <x v="1"/>
    <x v="12"/>
    <s v="BBG00QQGQVT0"/>
    <x v="0"/>
    <s v="abe9dd05116c4c77b3bb4fae4ba7fa01"/>
    <s v="CABEI¬¥s 2019 Green Bond"/>
    <x v="0"/>
    <x v="2"/>
    <s v="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1"/>
    <x v="3"/>
    <s v="Wastewater 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0"/>
    <x v="2"/>
    <s v="Distribution"/>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1"/>
    <x v="3"/>
    <s v="Infrastructure"/>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0"/>
    <x v="2"/>
    <s v="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1"/>
    <x v="3"/>
    <s v="Wastewater 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0"/>
    <x v="2"/>
    <s v="Treatment"/>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1"/>
    <x v="3"/>
    <s v="Infrastructure"/>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0"/>
    <x v="2"/>
    <s v="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1"/>
    <x v="3"/>
    <s v="Wastewater 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0"/>
    <x v="2"/>
    <s v="Treatment"/>
    <s v="Programa Sectorial de Agua y Saneamiento"/>
    <s v="Honduras"/>
    <d v="2019-11-15T00:00:00"/>
    <d v="2020-06-01T00:00:00"/>
    <s v="USD"/>
    <n v="1581994.59"/>
    <n v="1581994"/>
    <s v="USD"/>
    <n v="1581994"/>
    <n v="1581994"/>
    <b v="1"/>
    <n v="0.03"/>
  </r>
  <r>
    <b v="1"/>
    <x v="0"/>
    <x v="0"/>
    <x v="2"/>
    <x v="0"/>
    <x v="1"/>
    <x v="12"/>
    <s v="BBG00QQGQVT0"/>
    <x v="0"/>
    <s v="abe9dd05116c4c77b3bb4fae4ba7fa01"/>
    <s v="CABEI¬¥s 2019 Green Bond"/>
    <x v="1"/>
    <x v="3"/>
    <s v="Wastewater treatment"/>
    <s v="Programa Sectorial de Agua y Saneamiento"/>
    <s v="Honduras"/>
    <d v="2019-11-15T00:00:00"/>
    <d v="2020-06-01T00:00:00"/>
    <s v="USD"/>
    <n v="1581994.59"/>
    <n v="1581994"/>
    <s v="USD"/>
    <n v="1581994"/>
    <n v="1581994"/>
    <b v="1"/>
    <n v="0.03"/>
  </r>
  <r>
    <b v="1"/>
    <x v="0"/>
    <x v="0"/>
    <x v="2"/>
    <x v="0"/>
    <x v="1"/>
    <x v="14"/>
    <n v="0"/>
    <x v="4"/>
    <s v="bfc6f6927d0842d4b44fe9c260c3a4fa"/>
    <s v="Bono sostenible BICE"/>
    <x v="0"/>
    <x v="14"/>
    <s v="General"/>
    <s v="Social projects"/>
    <s v="Argentina"/>
    <d v="2020-07-30T00:00:00"/>
    <d v="2019-12-31T00:00:00"/>
    <s v="USD"/>
    <n v="23078012"/>
    <n v="23078012"/>
    <s v="USD"/>
    <n v="23078012"/>
    <n v="23078012"/>
    <b v="1"/>
    <n v="1"/>
  </r>
  <r>
    <b v="1"/>
    <x v="0"/>
    <x v="0"/>
    <x v="2"/>
    <x v="0"/>
    <x v="1"/>
    <x v="14"/>
    <n v="0"/>
    <x v="4"/>
    <s v="bfc6f6927d0842d4b44fe9c260c3a4fa"/>
    <s v="Bono sostenible BICE"/>
    <x v="1"/>
    <x v="14"/>
    <s v="General"/>
    <s v="Social projects"/>
    <s v="Argentina"/>
    <d v="2020-07-30T00:00:00"/>
    <d v="2019-12-31T00:00:00"/>
    <s v="USD"/>
    <n v="23078012"/>
    <n v="23078012"/>
    <s v="USD"/>
    <n v="23078012"/>
    <n v="23078012"/>
    <b v="1"/>
    <n v="1"/>
  </r>
  <r>
    <b v="1"/>
    <x v="0"/>
    <x v="0"/>
    <x v="1"/>
    <x v="0"/>
    <x v="1"/>
    <x v="2"/>
    <s v="BBG00PQCN094"/>
    <x v="0"/>
    <s v="19a9b617aa704f8285094522d06a5367"/>
    <s v="Neoenergia - 6¬™ emiss√£o de deb√™ntures"/>
    <x v="0"/>
    <x v="0"/>
    <s v="Transmission"/>
    <s v="EKTT 12-A"/>
    <s v="Brazil"/>
    <d v="2019-07-23T00:00:00"/>
    <d v="2020-03-30T00:00:00"/>
    <s v="BRL"/>
    <n v="106700000"/>
    <n v="106600000"/>
    <s v="BRL"/>
    <n v="106600000"/>
    <n v="20524867"/>
    <b v="1"/>
    <n v="0.19"/>
  </r>
  <r>
    <b v="1"/>
    <x v="0"/>
    <x v="0"/>
    <x v="1"/>
    <x v="0"/>
    <x v="1"/>
    <x v="2"/>
    <s v="BBG00PQCN094"/>
    <x v="0"/>
    <s v="19a9b617aa704f8285094522d06a5367"/>
    <s v="Neoenergia - 6¬™ emiss√£o de deb√™ntures"/>
    <x v="1"/>
    <x v="1"/>
    <s v="Transmission"/>
    <s v="EKTT 12-A"/>
    <s v="Brazil"/>
    <d v="2019-07-23T00:00:00"/>
    <d v="2020-03-30T00:00:00"/>
    <s v="BRL"/>
    <n v="106700000"/>
    <n v="106600000"/>
    <s v="BRL"/>
    <n v="106600000"/>
    <n v="20524867"/>
    <b v="1"/>
    <n v="0.19"/>
  </r>
  <r>
    <e v="#N/A"/>
    <x v="1"/>
    <x v="1"/>
    <x v="3"/>
    <x v="1"/>
    <x v="2"/>
    <x v="10"/>
    <e v="#N/A"/>
    <x v="2"/>
    <s v="e13fb411d38e445aa8115a546717c6ce"/>
    <s v="Green Bond CMPC 2019"/>
    <x v="2"/>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2"/>
    <x v="9"/>
    <s v="Unspecified"/>
    <s v="Modernization of Steam System"/>
    <s v="Chile"/>
    <d v="2019-05-17T00:00:00"/>
    <d v="2019-12-31T00:00:00"/>
    <s v="USD"/>
    <n v="1362421"/>
    <n v="1362421"/>
    <s v="CLF"/>
    <n v="49"/>
    <n v="1362421"/>
    <b v="0"/>
    <n v="1"/>
  </r>
  <r>
    <e v="#N/A"/>
    <x v="1"/>
    <x v="1"/>
    <x v="3"/>
    <x v="1"/>
    <x v="2"/>
    <x v="10"/>
    <e v="#N/A"/>
    <x v="2"/>
    <s v="e13fb411d38e445aa8115a546717c6ce"/>
    <s v="Green Bond CMPC 2019"/>
    <x v="3"/>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3"/>
    <x v="9"/>
    <s v="Unspecified"/>
    <s v="Modernization of Steam System"/>
    <s v="Chile"/>
    <d v="2019-05-17T00:00:00"/>
    <d v="2019-12-31T00:00:00"/>
    <s v="USD"/>
    <n v="1362421"/>
    <n v="1362421"/>
    <s v="CLF"/>
    <n v="49"/>
    <n v="1362421"/>
    <b v="0"/>
    <n v="1"/>
  </r>
  <r>
    <b v="1"/>
    <x v="0"/>
    <x v="0"/>
    <x v="2"/>
    <x v="0"/>
    <x v="1"/>
    <x v="15"/>
    <s v="BBG00GCM8LR8"/>
    <x v="0"/>
    <s v="9e3d5a4bf8ef4c9bb3306040e0cd6790"/>
    <s v="Green Bond CMPC 2017"/>
    <x v="0"/>
    <x v="10"/>
    <s v="Commercial Forestry"/>
    <s v="Sustainable Forestry"/>
    <s v="Chile"/>
    <d v="2017-04-04T00:00:00"/>
    <d v="2018-12-31T00:00:00"/>
    <s v="USD"/>
    <n v="71602906"/>
    <n v="71602906"/>
    <s v="USD"/>
    <n v="71602906"/>
    <n v="71602906"/>
    <b v="0"/>
    <n v="1"/>
  </r>
  <r>
    <b v="1"/>
    <x v="0"/>
    <x v="0"/>
    <x v="2"/>
    <x v="0"/>
    <x v="1"/>
    <x v="15"/>
    <s v="BBG00GCM8LR8"/>
    <x v="0"/>
    <s v="9e3d5a4bf8ef4c9bb3306040e0cd6790"/>
    <s v="Green Bond CMPC 2017"/>
    <x v="0"/>
    <x v="10"/>
    <s v="Commercial Forestry"/>
    <s v="Sustainable Forestry"/>
    <s v="Chile"/>
    <d v="2017-04-04T00:00:00"/>
    <d v="2016-12-31T00:00:00"/>
    <s v="USD"/>
    <n v="185459222"/>
    <n v="185459222"/>
    <s v="USD"/>
    <n v="185459222"/>
    <n v="185459222"/>
    <b v="0"/>
    <n v="1"/>
  </r>
  <r>
    <b v="1"/>
    <x v="0"/>
    <x v="0"/>
    <x v="2"/>
    <x v="0"/>
    <x v="1"/>
    <x v="15"/>
    <s v="BBG00GCM8LR8"/>
    <x v="0"/>
    <s v="9e3d5a4bf8ef4c9bb3306040e0cd6790"/>
    <s v="Green Bond CMPC 2017"/>
    <x v="1"/>
    <x v="11"/>
    <s v="Reforestation"/>
    <s v="Sustainable Forestry"/>
    <s v="Chile"/>
    <d v="2017-04-04T00:00:00"/>
    <d v="2018-12-31T00:00:00"/>
    <s v="USD"/>
    <n v="71602906"/>
    <n v="71602906"/>
    <s v="USD"/>
    <n v="71602906"/>
    <n v="71602906"/>
    <b v="0"/>
    <n v="1"/>
  </r>
  <r>
    <b v="1"/>
    <x v="0"/>
    <x v="0"/>
    <x v="2"/>
    <x v="0"/>
    <x v="1"/>
    <x v="15"/>
    <s v="BBG00GCM8LR8"/>
    <x v="0"/>
    <s v="9e3d5a4bf8ef4c9bb3306040e0cd6790"/>
    <s v="Green Bond CMPC 2017"/>
    <x v="1"/>
    <x v="11"/>
    <s v="Reforestation"/>
    <s v="Sustainable Forestry"/>
    <s v="Chile"/>
    <d v="2017-04-04T00:00:00"/>
    <d v="2016-12-31T00:00:00"/>
    <s v="USD"/>
    <n v="185459222"/>
    <n v="185459222"/>
    <s v="USD"/>
    <n v="185459222"/>
    <n v="185459222"/>
    <b v="0"/>
    <n v="1"/>
  </r>
  <r>
    <b v="1"/>
    <x v="0"/>
    <x v="0"/>
    <x v="2"/>
    <x v="0"/>
    <x v="1"/>
    <x v="15"/>
    <s v="BBG00GCM8LR8"/>
    <x v="0"/>
    <s v="9e3d5a4bf8ef4c9bb3306040e0cd6790"/>
    <s v="Green Bond CMPC 2017"/>
    <x v="2"/>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2"/>
    <x v="9"/>
    <s v="Unspecified"/>
    <s v="Sustainable Forestry"/>
    <s v="Chile"/>
    <d v="2017-04-04T00:00:00"/>
    <d v="2016-12-31T00:00:00"/>
    <s v="USD"/>
    <n v="185459222"/>
    <n v="185459222"/>
    <s v="USD"/>
    <n v="185459222"/>
    <n v="185459222"/>
    <b v="0"/>
    <n v="1"/>
  </r>
  <r>
    <b v="1"/>
    <x v="0"/>
    <x v="0"/>
    <x v="2"/>
    <x v="0"/>
    <x v="1"/>
    <x v="15"/>
    <s v="BBG00GCM8LR8"/>
    <x v="0"/>
    <s v="9e3d5a4bf8ef4c9bb3306040e0cd6790"/>
    <s v="Green Bond CMPC 2017"/>
    <x v="3"/>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3"/>
    <x v="9"/>
    <s v="Unspecified"/>
    <s v="Sustainable Forestry"/>
    <s v="Chile"/>
    <d v="2017-04-04T00:00:00"/>
    <d v="2016-12-31T00:00:00"/>
    <s v="USD"/>
    <n v="185459222"/>
    <n v="185459222"/>
    <s v="USD"/>
    <n v="185459222"/>
    <n v="185459222"/>
    <b v="0"/>
    <n v="1"/>
  </r>
  <r>
    <e v="#N/A"/>
    <x v="1"/>
    <x v="1"/>
    <x v="3"/>
    <x v="1"/>
    <x v="2"/>
    <x v="10"/>
    <e v="#N/A"/>
    <x v="2"/>
    <s v="e13fb411d38e445aa8115a546717c6ce"/>
    <s v="Green Bond CMPC 2019"/>
    <x v="0"/>
    <x v="15"/>
    <s v="Reuse"/>
    <s v="Retail Paper Bags Project"/>
    <s v="Chile"/>
    <d v="2019-05-17T00:00:00"/>
    <d v="2018-12-31T00:00:00"/>
    <s v="USD"/>
    <n v="167523"/>
    <n v="167523"/>
    <s v="CLF"/>
    <n v="6"/>
    <n v="167523"/>
    <b v="0"/>
    <n v="1"/>
  </r>
  <r>
    <e v="#N/A"/>
    <x v="1"/>
    <x v="1"/>
    <x v="3"/>
    <x v="1"/>
    <x v="2"/>
    <x v="10"/>
    <e v="#N/A"/>
    <x v="2"/>
    <s v="e13fb411d38e445aa8115a546717c6ce"/>
    <s v="Green Bond CMPC 2019"/>
    <x v="0"/>
    <x v="15"/>
    <s v="Reuse"/>
    <s v="Retail Paper Bags Project"/>
    <s v="Chile"/>
    <d v="2019-05-17T00:00:00"/>
    <d v="2019-12-31T00:00:00"/>
    <s v="USD"/>
    <n v="1030267"/>
    <n v="1030267"/>
    <s v="CLF"/>
    <n v="37"/>
    <n v="1030267"/>
    <b v="0"/>
    <n v="1"/>
  </r>
  <r>
    <e v="#N/A"/>
    <x v="1"/>
    <x v="1"/>
    <x v="3"/>
    <x v="1"/>
    <x v="2"/>
    <x v="10"/>
    <e v="#N/A"/>
    <x v="2"/>
    <s v="e13fb411d38e445aa8115a546717c6ce"/>
    <s v="Green Bond CMPC 2019"/>
    <x v="0"/>
    <x v="15"/>
    <s v="Reuse"/>
    <s v="Retail Paper Bags Project"/>
    <s v="Chile"/>
    <d v="2019-05-17T00:00:00"/>
    <d v="2020-12-31T00:00:00"/>
    <s v="USD"/>
    <n v="108255"/>
    <n v="108255"/>
    <s v="CLF"/>
    <n v="4"/>
    <n v="108255"/>
    <b v="0"/>
    <n v="1"/>
  </r>
  <r>
    <e v="#N/A"/>
    <x v="1"/>
    <x v="1"/>
    <x v="3"/>
    <x v="1"/>
    <x v="2"/>
    <x v="10"/>
    <e v="#N/A"/>
    <x v="2"/>
    <s v="e13fb411d38e445aa8115a546717c6ce"/>
    <s v="Green Bond CMPC 2019"/>
    <x v="1"/>
    <x v="12"/>
    <s v="Waste recycling"/>
    <s v="Retail Paper Bags Project"/>
    <s v="Chile"/>
    <d v="2019-05-17T00:00:00"/>
    <d v="2018-12-31T00:00:00"/>
    <s v="USD"/>
    <n v="167523"/>
    <n v="167523"/>
    <s v="CLF"/>
    <n v="6"/>
    <n v="167523"/>
    <b v="0"/>
    <n v="1"/>
  </r>
  <r>
    <e v="#N/A"/>
    <x v="1"/>
    <x v="1"/>
    <x v="3"/>
    <x v="1"/>
    <x v="2"/>
    <x v="10"/>
    <e v="#N/A"/>
    <x v="2"/>
    <s v="e13fb411d38e445aa8115a546717c6ce"/>
    <s v="Green Bond CMPC 2019"/>
    <x v="1"/>
    <x v="12"/>
    <s v="Waste recycling"/>
    <s v="Retail Paper Bags Project"/>
    <s v="Chile"/>
    <d v="2019-05-17T00:00:00"/>
    <d v="2019-12-31T00:00:00"/>
    <s v="USD"/>
    <n v="1030267"/>
    <n v="1030267"/>
    <s v="CLF"/>
    <n v="37"/>
    <n v="1030267"/>
    <b v="0"/>
    <n v="1"/>
  </r>
  <r>
    <e v="#N/A"/>
    <x v="1"/>
    <x v="1"/>
    <x v="3"/>
    <x v="1"/>
    <x v="2"/>
    <x v="10"/>
    <e v="#N/A"/>
    <x v="2"/>
    <s v="e13fb411d38e445aa8115a546717c6ce"/>
    <s v="Green Bond CMPC 2019"/>
    <x v="1"/>
    <x v="12"/>
    <s v="Waste recycling"/>
    <s v="Retail Paper Bags Project"/>
    <s v="Chile"/>
    <d v="2019-05-17T00:00:00"/>
    <d v="2020-12-31T00:00:00"/>
    <s v="USD"/>
    <n v="108255"/>
    <n v="108255"/>
    <s v="CLF"/>
    <n v="4"/>
    <n v="108255"/>
    <b v="0"/>
    <n v="1"/>
  </r>
  <r>
    <e v="#N/A"/>
    <x v="1"/>
    <x v="1"/>
    <x v="3"/>
    <x v="1"/>
    <x v="2"/>
    <x v="10"/>
    <e v="#N/A"/>
    <x v="2"/>
    <s v="e13fb411d38e445aa8115a546717c6ce"/>
    <s v="Green Bond CMPC 2019"/>
    <x v="2"/>
    <x v="9"/>
    <s v="Unspecified"/>
    <s v="Retail Paper Bags Project"/>
    <s v="Chile"/>
    <d v="2019-05-17T00:00:00"/>
    <d v="2018-12-31T00:00:00"/>
    <s v="USD"/>
    <n v="167523"/>
    <n v="167523"/>
    <s v="CLF"/>
    <n v="6"/>
    <n v="167523"/>
    <b v="0"/>
    <n v="1"/>
  </r>
  <r>
    <e v="#N/A"/>
    <x v="1"/>
    <x v="1"/>
    <x v="3"/>
    <x v="1"/>
    <x v="2"/>
    <x v="10"/>
    <e v="#N/A"/>
    <x v="2"/>
    <s v="e13fb411d38e445aa8115a546717c6ce"/>
    <s v="Green Bond CMPC 2019"/>
    <x v="2"/>
    <x v="9"/>
    <s v="Unspecified"/>
    <s v="Retail Paper Bags Project"/>
    <s v="Chile"/>
    <d v="2019-05-17T00:00:00"/>
    <d v="2019-12-31T00:00:00"/>
    <s v="USD"/>
    <n v="1030267"/>
    <n v="1030267"/>
    <s v="CLF"/>
    <n v="37"/>
    <n v="1030267"/>
    <b v="0"/>
    <n v="1"/>
  </r>
  <r>
    <e v="#N/A"/>
    <x v="1"/>
    <x v="1"/>
    <x v="3"/>
    <x v="1"/>
    <x v="2"/>
    <x v="10"/>
    <e v="#N/A"/>
    <x v="2"/>
    <s v="e13fb411d38e445aa8115a546717c6ce"/>
    <s v="Green Bond CMPC 2019"/>
    <x v="2"/>
    <x v="9"/>
    <s v="Unspecified"/>
    <s v="Retail Paper Bags Project"/>
    <s v="Chile"/>
    <d v="2019-05-17T00:00:00"/>
    <d v="2020-12-31T00:00:00"/>
    <s v="USD"/>
    <n v="108255"/>
    <n v="108255"/>
    <s v="CLF"/>
    <n v="4"/>
    <n v="108255"/>
    <b v="0"/>
    <n v="1"/>
  </r>
  <r>
    <e v="#N/A"/>
    <x v="1"/>
    <x v="1"/>
    <x v="3"/>
    <x v="1"/>
    <x v="2"/>
    <x v="10"/>
    <e v="#N/A"/>
    <x v="2"/>
    <s v="e13fb411d38e445aa8115a546717c6ce"/>
    <s v="Green Bond CMPC 2019"/>
    <x v="3"/>
    <x v="9"/>
    <s v="Unspecified"/>
    <s v="Retail Paper Bags Project"/>
    <s v="Chile"/>
    <d v="2019-05-17T00:00:00"/>
    <d v="2018-12-31T00:00:00"/>
    <s v="USD"/>
    <n v="167523"/>
    <n v="167523"/>
    <s v="CLF"/>
    <n v="6"/>
    <n v="167523"/>
    <b v="0"/>
    <n v="1"/>
  </r>
  <r>
    <e v="#N/A"/>
    <x v="1"/>
    <x v="1"/>
    <x v="3"/>
    <x v="1"/>
    <x v="2"/>
    <x v="10"/>
    <e v="#N/A"/>
    <x v="2"/>
    <s v="e13fb411d38e445aa8115a546717c6ce"/>
    <s v="Green Bond CMPC 2019"/>
    <x v="3"/>
    <x v="9"/>
    <s v="Unspecified"/>
    <s v="Retail Paper Bags Project"/>
    <s v="Chile"/>
    <d v="2019-05-17T00:00:00"/>
    <d v="2019-12-31T00:00:00"/>
    <s v="USD"/>
    <n v="1030267"/>
    <n v="1030267"/>
    <s v="CLF"/>
    <n v="37"/>
    <n v="1030267"/>
    <b v="0"/>
    <n v="1"/>
  </r>
  <r>
    <e v="#N/A"/>
    <x v="1"/>
    <x v="1"/>
    <x v="3"/>
    <x v="1"/>
    <x v="2"/>
    <x v="10"/>
    <e v="#N/A"/>
    <x v="2"/>
    <s v="e13fb411d38e445aa8115a546717c6ce"/>
    <s v="Green Bond CMPC 2019"/>
    <x v="3"/>
    <x v="9"/>
    <s v="Unspecified"/>
    <s v="Retail Paper Bags Project"/>
    <s v="Chile"/>
    <d v="2019-05-17T00:00:00"/>
    <d v="2020-12-31T00:00:00"/>
    <s v="USD"/>
    <n v="108255"/>
    <n v="108255"/>
    <s v="CLF"/>
    <n v="4"/>
    <n v="108255"/>
    <b v="0"/>
    <n v="1"/>
  </r>
  <r>
    <b v="1"/>
    <x v="0"/>
    <x v="0"/>
    <x v="2"/>
    <x v="0"/>
    <x v="1"/>
    <x v="15"/>
    <s v="BBG00GCM8LR8"/>
    <x v="0"/>
    <s v="9e3d5a4bf8ef4c9bb3306040e0cd6790"/>
    <s v="Green Bond CMPC 2017"/>
    <x v="0"/>
    <x v="10"/>
    <s v="Commercial Forestry"/>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0"/>
    <x v="10"/>
    <s v="Commercial Forestry"/>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1"/>
    <x v="11"/>
    <s v="Reforestation"/>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1"/>
    <x v="11"/>
    <s v="Reforestation"/>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2"/>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2"/>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3"/>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3"/>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0"/>
    <x v="5"/>
    <s v="Water-borne"/>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3"/>
    <x v="9"/>
    <s v="Unspecified"/>
    <s v="Ca√±ete Paper Machine"/>
    <s v="Peru"/>
    <d v="2018-10-01T00:00:00"/>
    <d v="2016-12-31T00:00:00"/>
    <s v="USD"/>
    <n v="26361196"/>
    <n v="26361196"/>
    <s v="PEN"/>
    <n v="85937498"/>
    <n v="26361196"/>
    <b v="1"/>
    <n v="1"/>
  </r>
  <r>
    <b v="1"/>
    <x v="0"/>
    <x v="0"/>
    <x v="2"/>
    <x v="0"/>
    <x v="1"/>
    <x v="16"/>
    <s v="BBG00MCDMXF6"/>
    <x v="0"/>
    <s v="19c1f11e1a3f444cae63d334393894ed"/>
    <s v="Green Bond Protisa Per√∫, CMPC"/>
    <x v="0"/>
    <x v="2"/>
    <s v="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1"/>
    <x v="3"/>
    <s v="Wastewater 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2"/>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3"/>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0"/>
    <x v="2"/>
    <s v="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1"/>
    <x v="3"/>
    <s v="Wastewater 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2"/>
    <x v="9"/>
    <s v="Unspecified"/>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3"/>
    <x v="9"/>
    <s v="Unspecified"/>
    <s v="Santa Anita PP2 Water Treatment System"/>
    <s v="Peru"/>
    <d v="2018-10-01T00:00:00"/>
    <d v="2016-12-31T00:00:00"/>
    <s v="USD"/>
    <n v="1597648"/>
    <n v="1597648"/>
    <s v="PEN"/>
    <n v="5208332"/>
    <n v="1597648"/>
    <b v="1"/>
    <n v="1"/>
  </r>
  <r>
    <b v="1"/>
    <x v="0"/>
    <x v="0"/>
    <x v="1"/>
    <x v="0"/>
    <x v="1"/>
    <x v="2"/>
    <s v="BBG00PQCN094"/>
    <x v="0"/>
    <s v="19a9b617aa704f8285094522d06a5367"/>
    <s v="Neoenergia - 6¬™ emiss√£o de deb√™ntures"/>
    <x v="0"/>
    <x v="0"/>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1"/>
    <x v="1"/>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0"/>
    <x v="0"/>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1"/>
    <x v="1"/>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0"/>
    <x v="0"/>
    <s v="Transmission"/>
    <s v="EKTT 15-A"/>
    <s v="Brazil"/>
    <d v="2019-07-23T00:00:00"/>
    <d v="2020-03-30T00:00:00"/>
    <s v="BRL"/>
    <n v="26900000"/>
    <n v="26900000"/>
    <s v="BRL"/>
    <n v="26900000"/>
    <n v="5179352"/>
    <b v="1"/>
    <n v="0.33"/>
  </r>
  <r>
    <b v="1"/>
    <x v="0"/>
    <x v="0"/>
    <x v="1"/>
    <x v="0"/>
    <x v="1"/>
    <x v="2"/>
    <s v="BBG00PQCN094"/>
    <x v="0"/>
    <s v="19a9b617aa704f8285094522d06a5367"/>
    <s v="Neoenergia - 6¬™ emiss√£o de deb√™ntures"/>
    <x v="1"/>
    <x v="1"/>
    <s v="Transmission"/>
    <s v="EKTT 15-A"/>
    <s v="Brazil"/>
    <d v="2019-07-23T00:00:00"/>
    <d v="2020-03-30T00:00:00"/>
    <s v="BRL"/>
    <n v="26900000"/>
    <n v="26900000"/>
    <s v="BRL"/>
    <n v="26900000"/>
    <n v="5179352"/>
    <b v="1"/>
    <n v="0.33"/>
  </r>
  <r>
    <b v="1"/>
    <x v="0"/>
    <x v="0"/>
    <x v="1"/>
    <x v="0"/>
    <x v="1"/>
    <x v="17"/>
    <s v="BBG00SJ4XZ50"/>
    <x v="0"/>
    <s v="8b6c8d33bb7747b3b7811d6ebf1edd18"/>
    <s v="Neoenergia Itabapoana - 1¬™ Emiss√£o de Deb√™ntures"/>
    <x v="0"/>
    <x v="0"/>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0"/>
    <x v="0"/>
    <s v="Transmission"/>
    <s v="EKTT 4 (Itabapoana)"/>
    <s v="Brazil"/>
    <d v="2020-02-14T00:00:00"/>
    <d v="2020-02-14T00:00:00"/>
    <s v="BRL"/>
    <n v="16000000"/>
    <n v="16000000"/>
    <s v="BRL"/>
    <n v="16000000"/>
    <n v="3643200"/>
    <b v="1"/>
    <n v="0.48"/>
  </r>
  <r>
    <b v="1"/>
    <x v="0"/>
    <x v="0"/>
    <x v="1"/>
    <x v="0"/>
    <x v="1"/>
    <x v="17"/>
    <s v="BBG00SJ4XZ50"/>
    <x v="0"/>
    <s v="8b6c8d33bb7747b3b7811d6ebf1edd18"/>
    <s v="Neoenergia Itabapoana - 1¬™ Emiss√£o de Deb√™ntures"/>
    <x v="1"/>
    <x v="1"/>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1"/>
    <x v="1"/>
    <s v="Transmission"/>
    <s v="EKTT 4 (Itabapoana)"/>
    <s v="Brazil"/>
    <d v="2020-02-14T00:00:00"/>
    <d v="2020-02-14T00:00:00"/>
    <s v="BRL"/>
    <n v="16000000"/>
    <n v="16000000"/>
    <s v="BRL"/>
    <n v="16000000"/>
    <n v="3643200"/>
    <b v="1"/>
    <n v="0.48"/>
  </r>
  <r>
    <b v="1"/>
    <x v="0"/>
    <x v="2"/>
    <x v="0"/>
    <x v="0"/>
    <x v="3"/>
    <x v="18"/>
    <s v="BBG00HSGX4Z3"/>
    <x v="5"/>
    <s v="cffe109b8d59400dbf3b62d9e36c0d76"/>
    <s v="GCDMXCB 17X"/>
    <x v="0"/>
    <x v="2"/>
    <s v="Flood defence"/>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1"/>
    <x v="3"/>
    <s v="Flooding mitigation"/>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0"/>
    <x v="2"/>
    <s v="Flood defence"/>
    <s v="Colector de alivio, Pueblo de Santiago Zapotitl√°n, en la Delegaci√≥n Tl√°huac"/>
    <s v="Mexico"/>
    <d v="2017-12-31T00:00:00"/>
    <d v="2017-12-31T00:00:00"/>
    <s v="MXN"/>
    <n v="3000000"/>
    <n v="2645243"/>
    <s v="MXN"/>
    <n v="2645243"/>
    <n v="137420"/>
    <b v="0"/>
    <n v="0.59"/>
  </r>
  <r>
    <b v="1"/>
    <x v="0"/>
    <x v="2"/>
    <x v="0"/>
    <x v="0"/>
    <x v="3"/>
    <x v="18"/>
    <s v="BBG00HSGX4Z3"/>
    <x v="5"/>
    <s v="cffe109b8d59400dbf3b62d9e36c0d76"/>
    <s v="GCDMXCB 17X"/>
    <x v="1"/>
    <x v="3"/>
    <s v="Flooding mitigation"/>
    <s v="Colector de alivio, Pueblo de Santiago Zapotitl√°n, en la Delegaci√≥n Tl√°huac"/>
    <s v="Mexico"/>
    <d v="2017-12-31T00:00:00"/>
    <d v="2017-12-31T00:00:00"/>
    <s v="MXN"/>
    <n v="3000000"/>
    <n v="2645243"/>
    <s v="MXN"/>
    <n v="2645243"/>
    <n v="137420"/>
    <b v="0"/>
    <n v="0.59"/>
  </r>
  <r>
    <b v="1"/>
    <x v="0"/>
    <x v="0"/>
    <x v="2"/>
    <x v="0"/>
    <x v="1"/>
    <x v="19"/>
    <n v="0"/>
    <x v="0"/>
    <s v="4e17f0d80ab34899bc0d289e2bbfe144"/>
    <s v="BAGUA-AC"/>
    <x v="0"/>
    <x v="2"/>
    <s v="Treatment"/>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1"/>
    <x v="3"/>
    <s v="Infrastructure"/>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0"/>
    <x v="2"/>
    <s v="Storage"/>
    <s v="Obras Emergencia Eventos De Turbiedad - 2018"/>
    <s v="Chile"/>
    <d v="2018-12-31T00:00:00"/>
    <d v="2018-12-31T00:00:00"/>
    <s v="CLP"/>
    <n v="10311559976"/>
    <n v="10311559976"/>
    <s v="CLF"/>
    <n v="374071"/>
    <n v="14822062"/>
    <b v="1"/>
    <n v="0.91"/>
  </r>
  <r>
    <b v="1"/>
    <x v="0"/>
    <x v="0"/>
    <x v="2"/>
    <x v="0"/>
    <x v="1"/>
    <x v="19"/>
    <n v="0"/>
    <x v="0"/>
    <s v="4e17f0d80ab34899bc0d289e2bbfe144"/>
    <s v="BAGUA-AC"/>
    <x v="1"/>
    <x v="3"/>
    <s v="Infrastructure"/>
    <s v="Obras Emergencia Eventos De Turbiedad - 2018"/>
    <s v="Chile"/>
    <d v="2018-12-31T00:00:00"/>
    <d v="2018-12-31T00:00:00"/>
    <s v="CLP"/>
    <n v="10311559976"/>
    <n v="10311559976"/>
    <s v="CLF"/>
    <n v="374071"/>
    <n v="14822062"/>
    <b v="1"/>
    <n v="0.91"/>
  </r>
  <r>
    <b v="1"/>
    <x v="0"/>
    <x v="0"/>
    <x v="2"/>
    <x v="0"/>
    <x v="1"/>
    <x v="19"/>
    <n v="0"/>
    <x v="0"/>
    <s v="4e17f0d80ab34899bc0d289e2bbfe144"/>
    <s v="BAGUA-AC"/>
    <x v="0"/>
    <x v="2"/>
    <s v="Storage"/>
    <s v="Estanque Pirque - 2018"/>
    <s v="Chile"/>
    <d v="2018-12-31T00:00:00"/>
    <d v="2018-12-31T00:00:00"/>
    <s v="CLP"/>
    <n v="10244333941"/>
    <n v="10244333941"/>
    <s v="CLF"/>
    <n v="371632"/>
    <n v="14725429"/>
    <b v="1"/>
    <n v="0.13"/>
  </r>
  <r>
    <b v="1"/>
    <x v="0"/>
    <x v="0"/>
    <x v="2"/>
    <x v="0"/>
    <x v="1"/>
    <x v="19"/>
    <n v="0"/>
    <x v="0"/>
    <s v="4e17f0d80ab34899bc0d289e2bbfe144"/>
    <s v="BAGUA-AC"/>
    <x v="1"/>
    <x v="3"/>
    <s v="Infrastructure"/>
    <s v="Estanque Pirque - 2018"/>
    <s v="Chile"/>
    <d v="2018-12-31T00:00:00"/>
    <d v="2018-12-31T00:00:00"/>
    <s v="CLP"/>
    <n v="10244333941"/>
    <n v="10244333941"/>
    <s v="CLF"/>
    <n v="371632"/>
    <n v="14725429"/>
    <b v="1"/>
    <n v="0.13"/>
  </r>
  <r>
    <b v="1"/>
    <x v="0"/>
    <x v="0"/>
    <x v="2"/>
    <x v="0"/>
    <x v="1"/>
    <x v="19"/>
    <n v="0"/>
    <x v="0"/>
    <s v="4e17f0d80ab34899bc0d289e2bbfe144"/>
    <s v="BAGUA-AC"/>
    <x v="0"/>
    <x v="2"/>
    <s v="Treatment"/>
    <s v="Ampliaci√≥n Planta De Tratamiento Aguas Servidas Curacavi"/>
    <s v="Chile"/>
    <d v="2018-12-31T00:00:00"/>
    <d v="2018-12-31T00:00:00"/>
    <s v="CLP"/>
    <n v="1981245132"/>
    <n v="1981245132"/>
    <s v="CLF"/>
    <n v="71873"/>
    <n v="2847885"/>
    <b v="1"/>
    <n v="0.89"/>
  </r>
  <r>
    <b v="1"/>
    <x v="0"/>
    <x v="0"/>
    <x v="2"/>
    <x v="0"/>
    <x v="1"/>
    <x v="19"/>
    <n v="0"/>
    <x v="0"/>
    <s v="4e17f0d80ab34899bc0d289e2bbfe144"/>
    <s v="BAGUA-AC"/>
    <x v="1"/>
    <x v="3"/>
    <s v="Wastewater treatment"/>
    <s v="Ampliaci√≥n Planta De Tratamiento Aguas Servidas Curacavi"/>
    <s v="Chile"/>
    <d v="2018-12-31T00:00:00"/>
    <d v="2018-12-31T00:00:00"/>
    <s v="CLP"/>
    <n v="1981245132"/>
    <n v="1981245132"/>
    <s v="CLF"/>
    <n v="71873"/>
    <n v="2847885"/>
    <b v="1"/>
    <n v="0.89"/>
  </r>
  <r>
    <b v="1"/>
    <x v="0"/>
    <x v="2"/>
    <x v="0"/>
    <x v="0"/>
    <x v="3"/>
    <x v="18"/>
    <s v="BBG00HSGX4Z3"/>
    <x v="5"/>
    <s v="cffe109b8d59400dbf3b62d9e36c0d76"/>
    <s v="GCDMXCB 17X"/>
    <x v="0"/>
    <x v="2"/>
    <s v="Treatment"/>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1"/>
    <x v="3"/>
    <s v="Urban drainage"/>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0"/>
    <x v="2"/>
    <s v="Flood defence"/>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1"/>
    <x v="3"/>
    <s v="Flooding mitigation"/>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0"/>
    <x v="2"/>
    <s v="Flood defence"/>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1"/>
    <x v="3"/>
    <s v="Flooding mitigation"/>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0"/>
    <x v="2"/>
    <s v="Treatment"/>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1"/>
    <x v="3"/>
    <s v="Urban drainage"/>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0"/>
    <x v="2"/>
    <s v="Flood defence"/>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1"/>
    <x v="3"/>
    <s v="Flooding mitigation"/>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0"/>
    <x v="2"/>
    <s v="Flood defence"/>
    <s v="Pozos en la Delegaci√≥n Iztapalapa"/>
    <s v="Mexico"/>
    <d v="2017-12-31T00:00:00"/>
    <d v="2017-12-31T00:00:00"/>
    <s v="MXN"/>
    <n v="44000000"/>
    <n v="15287212"/>
    <s v="MXN"/>
    <n v="15287212"/>
    <n v="794171"/>
    <b v="0"/>
    <n v="0.12"/>
  </r>
  <r>
    <b v="1"/>
    <x v="0"/>
    <x v="2"/>
    <x v="0"/>
    <x v="0"/>
    <x v="3"/>
    <x v="18"/>
    <s v="BBG00HSGX4Z3"/>
    <x v="5"/>
    <s v="cffe109b8d59400dbf3b62d9e36c0d76"/>
    <s v="GCDMXCB 17X"/>
    <x v="1"/>
    <x v="3"/>
    <s v="Flooding mitigation"/>
    <s v="Pozos en la Delegaci√≥n Iztapalapa"/>
    <s v="Mexico"/>
    <d v="2017-12-31T00:00:00"/>
    <d v="2017-12-31T00:00:00"/>
    <s v="MXN"/>
    <n v="44000000"/>
    <n v="15287212"/>
    <s v="MXN"/>
    <n v="15287212"/>
    <n v="794171"/>
    <b v="0"/>
    <n v="0.12"/>
  </r>
  <r>
    <b v="1"/>
    <x v="0"/>
    <x v="2"/>
    <x v="0"/>
    <x v="0"/>
    <x v="3"/>
    <x v="18"/>
    <s v="BBG00HSGX4Z3"/>
    <x v="5"/>
    <s v="cffe109b8d59400dbf3b62d9e36c0d76"/>
    <s v="GCDMXCB 17X"/>
    <x v="0"/>
    <x v="5"/>
    <s v="Low Carbon Buses"/>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1"/>
    <x v="6"/>
    <s v="Vehicle infrastructure"/>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0"/>
    <x v="2"/>
    <s v="Treatment"/>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1"/>
    <x v="3"/>
    <s v="Urban drainage"/>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0"/>
    <x v="2"/>
    <s v="Flood defence"/>
    <s v="Reposici√≥n del pozo Iztapalapa No. 6"/>
    <s v="Mexico"/>
    <d v="2017-12-31T00:00:00"/>
    <d v="2017-12-31T00:00:00"/>
    <s v="MXN"/>
    <n v="9350772"/>
    <n v="9012781"/>
    <s v="MXN"/>
    <n v="9012781"/>
    <n v="468214"/>
    <b v="0"/>
    <n v="0.23"/>
  </r>
  <r>
    <b v="1"/>
    <x v="0"/>
    <x v="2"/>
    <x v="0"/>
    <x v="0"/>
    <x v="3"/>
    <x v="18"/>
    <s v="BBG00HSGX4Z3"/>
    <x v="5"/>
    <s v="cffe109b8d59400dbf3b62d9e36c0d76"/>
    <s v="GCDMXCB 17X"/>
    <x v="1"/>
    <x v="3"/>
    <s v="Flooding mitigation"/>
    <s v="Reposici√≥n del pozo Iztapalapa No. 6"/>
    <s v="Mexico"/>
    <d v="2017-12-31T00:00:00"/>
    <d v="2017-12-31T00:00:00"/>
    <s v="MXN"/>
    <n v="9350772"/>
    <n v="9012781"/>
    <s v="MXN"/>
    <n v="9012781"/>
    <n v="468214"/>
    <b v="0"/>
    <n v="0.23"/>
  </r>
  <r>
    <b v="1"/>
    <x v="0"/>
    <x v="2"/>
    <x v="0"/>
    <x v="0"/>
    <x v="3"/>
    <x v="18"/>
    <s v="BBG00HSGX4Z3"/>
    <x v="5"/>
    <s v="cffe109b8d59400dbf3b62d9e36c0d76"/>
    <s v="GCDMXCB 17X"/>
    <x v="0"/>
    <x v="2"/>
    <s v="Treatment"/>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1"/>
    <x v="3"/>
    <s v="Urban drainage"/>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0"/>
    <x v="2"/>
    <s v="Treatment"/>
    <s v="Planta potabilizadora La Libertad"/>
    <s v="Mexico"/>
    <d v="2017-12-31T00:00:00"/>
    <d v="2017-12-31T00:00:00"/>
    <s v="MXN"/>
    <n v="17834454"/>
    <n v="17834454"/>
    <s v="MXN"/>
    <n v="17834454"/>
    <n v="926500"/>
    <b v="0"/>
    <n v="0.22"/>
  </r>
  <r>
    <b v="1"/>
    <x v="0"/>
    <x v="2"/>
    <x v="0"/>
    <x v="0"/>
    <x v="3"/>
    <x v="18"/>
    <s v="BBG00HSGX4Z3"/>
    <x v="5"/>
    <s v="cffe109b8d59400dbf3b62d9e36c0d76"/>
    <s v="GCDMXCB 17X"/>
    <x v="1"/>
    <x v="3"/>
    <s v="Urban drainage"/>
    <s v="Planta potabilizadora La Libertad"/>
    <s v="Mexico"/>
    <d v="2017-12-31T00:00:00"/>
    <d v="2017-12-31T00:00:00"/>
    <s v="MXN"/>
    <n v="17834454"/>
    <n v="17834454"/>
    <s v="MXN"/>
    <n v="17834454"/>
    <n v="926500"/>
    <b v="0"/>
    <n v="0.22"/>
  </r>
  <r>
    <b v="1"/>
    <x v="0"/>
    <x v="2"/>
    <x v="0"/>
    <x v="0"/>
    <x v="3"/>
    <x v="18"/>
    <s v="BBG00HSGX4Z3"/>
    <x v="5"/>
    <s v="cffe109b8d59400dbf3b62d9e36c0d76"/>
    <s v="GCDMXCB 17X"/>
    <x v="0"/>
    <x v="2"/>
    <s v="Treatment"/>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1"/>
    <x v="3"/>
    <s v="Urban drainage"/>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0"/>
    <x v="2"/>
    <s v="Flood defence"/>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1"/>
    <x v="3"/>
    <s v="Flooding mitigation"/>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0"/>
    <x v="5"/>
    <s v="Low Carbon Buses"/>
    <s v="Metrob√∫s L√≠nea 5 - 17"/>
    <s v="Mexico"/>
    <d v="2017-12-31T00:00:00"/>
    <d v="2017-12-31T00:00:00"/>
    <s v="MXN"/>
    <n v="255174744"/>
    <n v="389279998"/>
    <s v="MXN"/>
    <n v="389279998"/>
    <n v="20223096"/>
    <b v="1"/>
    <n v="0.24"/>
  </r>
  <r>
    <b v="1"/>
    <x v="0"/>
    <x v="2"/>
    <x v="0"/>
    <x v="0"/>
    <x v="3"/>
    <x v="18"/>
    <s v="BBG00HSGX4Z3"/>
    <x v="5"/>
    <s v="cffe109b8d59400dbf3b62d9e36c0d76"/>
    <s v="GCDMXCB 17X"/>
    <x v="1"/>
    <x v="6"/>
    <s v="Vehicle infrastructure"/>
    <s v="Metrob√∫s L√≠nea 5 - 17"/>
    <s v="Mexico"/>
    <d v="2017-12-31T00:00:00"/>
    <d v="2017-12-31T00:00:00"/>
    <s v="MXN"/>
    <n v="255174744"/>
    <n v="389279998"/>
    <s v="MXN"/>
    <n v="389279998"/>
    <n v="20223096"/>
    <b v="1"/>
    <n v="0.24"/>
  </r>
  <r>
    <b v="1"/>
    <x v="0"/>
    <x v="2"/>
    <x v="0"/>
    <x v="0"/>
    <x v="3"/>
    <x v="18"/>
    <s v="BBG00HSGX4Z3"/>
    <x v="5"/>
    <s v="cffe109b8d59400dbf3b62d9e36c0d76"/>
    <s v="GCDMXCB 17X"/>
    <x v="0"/>
    <x v="5"/>
    <s v="Low Carbon Buses"/>
    <s v="L√≠nea 6 del Metrob√∫s"/>
    <s v="Mexico"/>
    <d v="2017-12-31T00:00:00"/>
    <d v="2017-12-31T00:00:00"/>
    <s v="MXN"/>
    <n v="197397542"/>
    <n v="92454000"/>
    <s v="MXN"/>
    <n v="92454000"/>
    <n v="4802985"/>
    <b v="1"/>
    <n v="0.03"/>
  </r>
  <r>
    <b v="1"/>
    <x v="0"/>
    <x v="2"/>
    <x v="0"/>
    <x v="0"/>
    <x v="3"/>
    <x v="18"/>
    <s v="BBG00HSGX4Z3"/>
    <x v="5"/>
    <s v="cffe109b8d59400dbf3b62d9e36c0d76"/>
    <s v="GCDMXCB 17X"/>
    <x v="1"/>
    <x v="6"/>
    <s v="Vehicle infrastructure"/>
    <s v="L√≠nea 6 del Metrob√∫s"/>
    <s v="Mexico"/>
    <d v="2017-12-31T00:00:00"/>
    <d v="2017-12-31T00:00:00"/>
    <s v="MXN"/>
    <n v="197397542"/>
    <n v="92454000"/>
    <s v="MXN"/>
    <n v="92454000"/>
    <n v="4802985"/>
    <b v="1"/>
    <n v="0.03"/>
  </r>
  <r>
    <b v="1"/>
    <x v="0"/>
    <x v="0"/>
    <x v="1"/>
    <x v="0"/>
    <x v="1"/>
    <x v="20"/>
    <n v="0"/>
    <x v="0"/>
    <s v="ee7a68239dbe4664adad596c19403c93"/>
    <s v="Suzano Papel e Celulose Green Bond 2026"/>
    <x v="0"/>
    <x v="7"/>
    <s v="Products &amp; Systems for Efficiency"/>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0"/>
    <x v="7"/>
    <s v="Products &amp; Systems for Efficiency"/>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0"/>
    <x v="7"/>
    <s v="Products &amp; Systems for Efficiency"/>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1"/>
    <x v="16"/>
    <s v="Products"/>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1"/>
    <x v="16"/>
    <s v="Products"/>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1"/>
    <x v="16"/>
    <s v="Products"/>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0"/>
    <x v="2"/>
    <s v="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0"/>
    <x v="2"/>
    <s v="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1"/>
    <x v="3"/>
    <s v="Wastewater 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1"/>
    <x v="3"/>
    <s v="Wastewater 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0"/>
    <x v="2"/>
    <s v="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0"/>
    <x v="2"/>
    <s v="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0"/>
    <x v="2"/>
    <s v="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0"/>
    <x v="2"/>
    <s v="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1"/>
    <x v="3"/>
    <s v="Wastewater 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1"/>
    <x v="3"/>
    <s v="Wastewater 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1"/>
    <x v="3"/>
    <s v="Wastewater 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1"/>
    <x v="3"/>
    <s v="Wastewater 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0"/>
    <x v="2"/>
    <s v="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0"/>
    <x v="2"/>
    <s v="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1"/>
    <x v="3"/>
    <s v="Wastewater 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1"/>
    <x v="3"/>
    <s v="Wastewater 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0"/>
    <x v="10"/>
    <s v="Ecosystem Conservation &amp; Restoration"/>
    <s v="Forest recovery"/>
    <s v="Brazil"/>
    <d v="2017-12-01T00:00:00"/>
    <d v="2017-12-01T00:00:00"/>
    <s v="BRL"/>
    <n v="4356311"/>
    <n v="4356311"/>
    <s v="USD"/>
    <n v="1348243.94"/>
    <n v="1348243"/>
    <b v="0"/>
    <n v="1"/>
  </r>
  <r>
    <b v="1"/>
    <x v="0"/>
    <x v="0"/>
    <x v="1"/>
    <x v="0"/>
    <x v="1"/>
    <x v="20"/>
    <n v="0"/>
    <x v="0"/>
    <s v="ee7a68239dbe4664adad596c19403c93"/>
    <s v="Suzano Papel e Celulose Green Bond 2026"/>
    <x v="0"/>
    <x v="10"/>
    <s v="Ecosystem Conservation &amp; Restoration"/>
    <s v="Forest recovery"/>
    <s v="Brazil"/>
    <d v="2016-12-01T00:00:00"/>
    <d v="2016-12-01T00:00:00"/>
    <s v="BRL"/>
    <n v="2660000"/>
    <n v="2660000"/>
    <s v="USD"/>
    <n v="823249.05"/>
    <n v="823249"/>
    <b v="0"/>
    <n v="1"/>
  </r>
  <r>
    <b v="1"/>
    <x v="0"/>
    <x v="0"/>
    <x v="1"/>
    <x v="0"/>
    <x v="1"/>
    <x v="20"/>
    <n v="0"/>
    <x v="0"/>
    <s v="ee7a68239dbe4664adad596c19403c93"/>
    <s v="Suzano Papel e Celulose Green Bond 2026"/>
    <x v="0"/>
    <x v="10"/>
    <s v="Ecosystem Conservation &amp; Restoration"/>
    <s v="Forest recovery"/>
    <s v="Brazil"/>
    <d v="2015-12-01T00:00:00"/>
    <d v="2015-12-01T00:00:00"/>
    <s v="BRL"/>
    <n v="883000"/>
    <n v="883000"/>
    <s v="USD"/>
    <n v="273281.53999999998"/>
    <n v="273281"/>
    <b v="0"/>
    <n v="1"/>
  </r>
  <r>
    <b v="1"/>
    <x v="0"/>
    <x v="0"/>
    <x v="1"/>
    <x v="0"/>
    <x v="1"/>
    <x v="20"/>
    <n v="0"/>
    <x v="0"/>
    <s v="ee7a68239dbe4664adad596c19403c93"/>
    <s v="Suzano Papel e Celulose Green Bond 2026"/>
    <x v="1"/>
    <x v="11"/>
    <s v="Natural landscapes"/>
    <s v="Forest recovery"/>
    <s v="Brazil"/>
    <d v="2017-12-01T00:00:00"/>
    <d v="2017-12-01T00:00:00"/>
    <s v="BRL"/>
    <n v="4356311"/>
    <n v="4356311"/>
    <s v="USD"/>
    <n v="1348243.94"/>
    <n v="1348243"/>
    <b v="0"/>
    <n v="1"/>
  </r>
  <r>
    <b v="1"/>
    <x v="0"/>
    <x v="0"/>
    <x v="1"/>
    <x v="0"/>
    <x v="1"/>
    <x v="20"/>
    <n v="0"/>
    <x v="0"/>
    <s v="ee7a68239dbe4664adad596c19403c93"/>
    <s v="Suzano Papel e Celulose Green Bond 2026"/>
    <x v="1"/>
    <x v="11"/>
    <s v="Natural landscapes"/>
    <s v="Forest recovery"/>
    <s v="Brazil"/>
    <d v="2016-12-01T00:00:00"/>
    <d v="2016-12-01T00:00:00"/>
    <s v="BRL"/>
    <n v="2660000"/>
    <n v="2660000"/>
    <s v="USD"/>
    <n v="823249.05"/>
    <n v="823249"/>
    <b v="0"/>
    <n v="1"/>
  </r>
  <r>
    <b v="1"/>
    <x v="0"/>
    <x v="0"/>
    <x v="1"/>
    <x v="0"/>
    <x v="1"/>
    <x v="20"/>
    <n v="0"/>
    <x v="0"/>
    <s v="ee7a68239dbe4664adad596c19403c93"/>
    <s v="Suzano Papel e Celulose Green Bond 2026"/>
    <x v="1"/>
    <x v="11"/>
    <s v="Natural landscapes"/>
    <s v="Forest recovery"/>
    <s v="Brazil"/>
    <d v="2015-12-01T00:00:00"/>
    <d v="2015-12-01T00:00:00"/>
    <s v="BRL"/>
    <n v="883000"/>
    <n v="883000"/>
    <s v="USD"/>
    <n v="273281.53999999998"/>
    <n v="273281"/>
    <b v="0"/>
    <n v="1"/>
  </r>
  <r>
    <b v="1"/>
    <x v="0"/>
    <x v="0"/>
    <x v="1"/>
    <x v="0"/>
    <x v="1"/>
    <x v="20"/>
    <n v="0"/>
    <x v="0"/>
    <s v="ee7a68239dbe4664adad596c19403c93"/>
    <s v="Suzano Papel e Celulose Green Bond 2026"/>
    <x v="0"/>
    <x v="10"/>
    <s v="Ecosystem Conservation &amp; Restoration"/>
    <s v="Preserving biodiversity"/>
    <s v="Brazil"/>
    <d v="2017-12-01T00:00:00"/>
    <d v="2017-12-01T00:00:00"/>
    <s v="BRL"/>
    <n v="2473285"/>
    <n v="2473285"/>
    <s v="USD"/>
    <n v="765462.23"/>
    <n v="765462"/>
    <b v="0"/>
    <n v="1"/>
  </r>
  <r>
    <b v="1"/>
    <x v="0"/>
    <x v="0"/>
    <x v="1"/>
    <x v="0"/>
    <x v="1"/>
    <x v="20"/>
    <n v="0"/>
    <x v="0"/>
    <s v="ee7a68239dbe4664adad596c19403c93"/>
    <s v="Suzano Papel e Celulose Green Bond 2026"/>
    <x v="0"/>
    <x v="10"/>
    <s v="Ecosystem Conservation &amp; Restoration"/>
    <s v="Preserving biodiversity"/>
    <s v="Brazil"/>
    <d v="2016-12-01T00:00:00"/>
    <d v="2016-12-01T00:00:00"/>
    <s v="BRL"/>
    <n v="4790000"/>
    <n v="4790000"/>
    <s v="USD"/>
    <n v="1482467.27"/>
    <n v="1482467"/>
    <b v="0"/>
    <n v="1"/>
  </r>
  <r>
    <b v="1"/>
    <x v="0"/>
    <x v="0"/>
    <x v="1"/>
    <x v="0"/>
    <x v="1"/>
    <x v="20"/>
    <n v="0"/>
    <x v="0"/>
    <s v="ee7a68239dbe4664adad596c19403c93"/>
    <s v="Suzano Papel e Celulose Green Bond 2026"/>
    <x v="0"/>
    <x v="10"/>
    <s v="Ecosystem Conservation &amp; Restoration"/>
    <s v="Preserving biodiversity"/>
    <s v="Brazil"/>
    <d v="2015-12-01T00:00:00"/>
    <d v="2015-12-01T00:00:00"/>
    <s v="BRL"/>
    <n v="5321000"/>
    <n v="5321000"/>
    <s v="USD"/>
    <n v="1646807.59"/>
    <n v="1646807"/>
    <b v="0"/>
    <n v="1"/>
  </r>
  <r>
    <b v="1"/>
    <x v="0"/>
    <x v="0"/>
    <x v="1"/>
    <x v="0"/>
    <x v="1"/>
    <x v="20"/>
    <n v="0"/>
    <x v="0"/>
    <s v="ee7a68239dbe4664adad596c19403c93"/>
    <s v="Suzano Papel e Celulose Green Bond 2026"/>
    <x v="1"/>
    <x v="11"/>
    <s v="Natural landscapes"/>
    <s v="Preserving biodiversity"/>
    <s v="Brazil"/>
    <d v="2017-12-01T00:00:00"/>
    <d v="2017-12-01T00:00:00"/>
    <s v="BRL"/>
    <n v="2473285"/>
    <n v="2473285"/>
    <s v="USD"/>
    <n v="765462.23"/>
    <n v="765462"/>
    <b v="0"/>
    <n v="1"/>
  </r>
  <r>
    <b v="1"/>
    <x v="0"/>
    <x v="0"/>
    <x v="1"/>
    <x v="0"/>
    <x v="1"/>
    <x v="20"/>
    <n v="0"/>
    <x v="0"/>
    <s v="ee7a68239dbe4664adad596c19403c93"/>
    <s v="Suzano Papel e Celulose Green Bond 2026"/>
    <x v="1"/>
    <x v="11"/>
    <s v="Natural landscapes"/>
    <s v="Preserving biodiversity"/>
    <s v="Brazil"/>
    <d v="2016-12-01T00:00:00"/>
    <d v="2016-12-01T00:00:00"/>
    <s v="BRL"/>
    <n v="4790000"/>
    <n v="4790000"/>
    <s v="USD"/>
    <n v="1482467.27"/>
    <n v="1482467"/>
    <b v="0"/>
    <n v="1"/>
  </r>
  <r>
    <b v="1"/>
    <x v="0"/>
    <x v="0"/>
    <x v="1"/>
    <x v="0"/>
    <x v="1"/>
    <x v="20"/>
    <n v="0"/>
    <x v="0"/>
    <s v="ee7a68239dbe4664adad596c19403c93"/>
    <s v="Suzano Papel e Celulose Green Bond 2026"/>
    <x v="1"/>
    <x v="11"/>
    <s v="Natural landscapes"/>
    <s v="Preserving biodiversity"/>
    <s v="Brazil"/>
    <d v="2015-12-01T00:00:00"/>
    <d v="2015-12-01T00:00:00"/>
    <s v="BRL"/>
    <n v="5321000"/>
    <n v="5321000"/>
    <s v="USD"/>
    <n v="1646807.59"/>
    <n v="1646807"/>
    <b v="0"/>
    <n v="1"/>
  </r>
  <r>
    <b v="1"/>
    <x v="0"/>
    <x v="0"/>
    <x v="1"/>
    <x v="0"/>
    <x v="1"/>
    <x v="20"/>
    <n v="0"/>
    <x v="0"/>
    <s v="ee7a68239dbe4664adad596c19403c93"/>
    <s v="Suzano Papel e Celulose Green Bond 2026"/>
    <x v="0"/>
    <x v="10"/>
    <s v="Commercial 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0"/>
    <x v="10"/>
    <s v="Commercial 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0"/>
    <x v="10"/>
    <s v="Commercial 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0"/>
    <x v="10"/>
    <s v="Commercial 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0"/>
    <x v="10"/>
    <s v="Commercial 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1"/>
    <x v="11"/>
    <s v="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1"/>
    <x v="11"/>
    <s v="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1"/>
    <x v="11"/>
    <s v="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1"/>
    <x v="11"/>
    <s v="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1"/>
    <x v="11"/>
    <s v="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0"/>
    <x v="10"/>
    <s v="Commercial 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1"/>
    <x v="11"/>
    <s v="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0"/>
    <x v="10"/>
    <s v="Ecosystem Conservation &amp; Restoration"/>
    <s v="Mucuri river spring conservation"/>
    <s v="Brazil"/>
    <d v="2017-12-01T00:00:00"/>
    <d v="2017-12-01T00:00:00"/>
    <s v="BRL"/>
    <n v="488334"/>
    <n v="488334"/>
    <s v="USD"/>
    <n v="151135.53"/>
    <n v="151135"/>
    <b v="0"/>
    <n v="1"/>
  </r>
  <r>
    <b v="1"/>
    <x v="0"/>
    <x v="0"/>
    <x v="1"/>
    <x v="0"/>
    <x v="1"/>
    <x v="20"/>
    <n v="0"/>
    <x v="0"/>
    <s v="ee7a68239dbe4664adad596c19403c93"/>
    <s v="Suzano Papel e Celulose Green Bond 2026"/>
    <x v="1"/>
    <x v="11"/>
    <s v="Natural landscapes"/>
    <s v="Mucuri river spring conservation"/>
    <s v="Brazil"/>
    <d v="2017-12-01T00:00:00"/>
    <d v="2017-12-01T00:00:00"/>
    <s v="BRL"/>
    <n v="488334"/>
    <n v="488334"/>
    <s v="USD"/>
    <n v="151135.53"/>
    <n v="151135"/>
    <b v="0"/>
    <n v="1"/>
  </r>
  <r>
    <b v="1"/>
    <x v="0"/>
    <x v="0"/>
    <x v="2"/>
    <x v="0"/>
    <x v="1"/>
    <x v="19"/>
    <n v="0"/>
    <x v="0"/>
    <s v="4e17f0d80ab34899bc0d289e2bbfe144"/>
    <s v="BAGUA-AC"/>
    <x v="0"/>
    <x v="2"/>
    <s v="Treatment"/>
    <s v="Ampliaci√≥n Planta Tratamiento Aguas Servidas Talagante II - 2018"/>
    <s v="Chile"/>
    <d v="2018-12-31T00:00:00"/>
    <d v="2018-12-31T00:00:00"/>
    <s v="CLP"/>
    <n v="3480517319"/>
    <n v="3480517319"/>
    <s v="CLF"/>
    <n v="126262"/>
    <n v="5002972"/>
    <b v="1"/>
    <n v="0.52"/>
  </r>
  <r>
    <b v="1"/>
    <x v="0"/>
    <x v="2"/>
    <x v="0"/>
    <x v="0"/>
    <x v="3"/>
    <x v="18"/>
    <s v="BBG00HSGX4Z3"/>
    <x v="5"/>
    <s v="cffe109b8d59400dbf3b62d9e36c0d76"/>
    <s v="GCDMXCB 17X"/>
    <x v="0"/>
    <x v="5"/>
    <s v="Rail"/>
    <s v="Mejora del STC - 17"/>
    <s v="Mexico"/>
    <d v="2017-12-31T00:00:00"/>
    <d v="2017-12-31T00:00:00"/>
    <s v="MXN"/>
    <n v="481403932"/>
    <n v="194639999"/>
    <s v="MXN"/>
    <n v="194639999"/>
    <n v="10111548"/>
    <b v="1"/>
    <n v="0.19"/>
  </r>
  <r>
    <b v="1"/>
    <x v="0"/>
    <x v="2"/>
    <x v="0"/>
    <x v="0"/>
    <x v="3"/>
    <x v="18"/>
    <s v="BBG00HSGX4Z3"/>
    <x v="5"/>
    <s v="cffe109b8d59400dbf3b62d9e36c0d76"/>
    <s v="GCDMXCB 17X"/>
    <x v="1"/>
    <x v="6"/>
    <s v="Rail"/>
    <s v="Mejora del STC - 17"/>
    <s v="Mexico"/>
    <d v="2017-12-31T00:00:00"/>
    <d v="2017-12-31T00:00:00"/>
    <s v="MXN"/>
    <n v="481403932"/>
    <n v="194639999"/>
    <s v="MXN"/>
    <n v="194639999"/>
    <n v="10111548"/>
    <b v="1"/>
    <n v="0.19"/>
  </r>
  <r>
    <b v="1"/>
    <x v="0"/>
    <x v="2"/>
    <x v="0"/>
    <x v="0"/>
    <x v="3"/>
    <x v="18"/>
    <s v="BBG00HSGX4Z3"/>
    <x v="5"/>
    <s v="cffe109b8d59400dbf3b62d9e36c0d76"/>
    <s v="GCDMXCB 17X"/>
    <x v="0"/>
    <x v="2"/>
    <s v="Treatment"/>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1"/>
    <x v="3"/>
    <s v="Urban drainage"/>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0"/>
    <x v="2"/>
    <s v="Flood defence"/>
    <s v="Medidores en el DF"/>
    <s v="Mexico"/>
    <d v="2017-12-31T00:00:00"/>
    <d v="2017-12-31T00:00:00"/>
    <s v="MXN"/>
    <n v="36495000"/>
    <n v="36495000"/>
    <s v="MXN"/>
    <n v="36495000"/>
    <n v="1895915"/>
    <b v="1"/>
    <n v="0.13"/>
  </r>
  <r>
    <b v="1"/>
    <x v="0"/>
    <x v="2"/>
    <x v="0"/>
    <x v="0"/>
    <x v="3"/>
    <x v="18"/>
    <s v="BBG00HSGX4Z3"/>
    <x v="5"/>
    <s v="cffe109b8d59400dbf3b62d9e36c0d76"/>
    <s v="GCDMXCB 17X"/>
    <x v="1"/>
    <x v="3"/>
    <s v="Flooding mitigation"/>
    <s v="Medidores en el DF"/>
    <s v="Mexico"/>
    <d v="2017-12-31T00:00:00"/>
    <d v="2017-12-31T00:00:00"/>
    <s v="MXN"/>
    <n v="36495000"/>
    <n v="36495000"/>
    <s v="MXN"/>
    <n v="36495000"/>
    <n v="1895915"/>
    <b v="1"/>
    <n v="0.13"/>
  </r>
  <r>
    <b v="1"/>
    <x v="0"/>
    <x v="2"/>
    <x v="0"/>
    <x v="0"/>
    <x v="3"/>
    <x v="18"/>
    <s v="BBG00HSGX4Z3"/>
    <x v="5"/>
    <s v="cffe109b8d59400dbf3b62d9e36c0d76"/>
    <s v="GCDMXCB 17X"/>
    <x v="0"/>
    <x v="2"/>
    <s v="Flood defence"/>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1"/>
    <x v="3"/>
    <s v="Flooding mitigation"/>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0"/>
    <x v="2"/>
    <s v="Flood defence"/>
    <s v="Colector Ameca  en el Pueblo de Tulyehualco"/>
    <s v="Mexico"/>
    <d v="2017-12-31T00:00:00"/>
    <d v="2017-12-31T00:00:00"/>
    <s v="MXN"/>
    <n v="8515500"/>
    <n v="8515500"/>
    <s v="MXN"/>
    <n v="8515500"/>
    <n v="442380"/>
    <b v="1"/>
    <n v="0.24"/>
  </r>
  <r>
    <b v="1"/>
    <x v="0"/>
    <x v="2"/>
    <x v="0"/>
    <x v="0"/>
    <x v="3"/>
    <x v="18"/>
    <s v="BBG00HSGX4Z3"/>
    <x v="5"/>
    <s v="cffe109b8d59400dbf3b62d9e36c0d76"/>
    <s v="GCDMXCB 17X"/>
    <x v="1"/>
    <x v="3"/>
    <s v="Flooding mitigation"/>
    <s v="Colector Ameca  en el Pueblo de Tulyehualco"/>
    <s v="Mexico"/>
    <d v="2017-12-31T00:00:00"/>
    <d v="2017-12-31T00:00:00"/>
    <s v="MXN"/>
    <n v="8515500"/>
    <n v="8515500"/>
    <s v="MXN"/>
    <n v="8515500"/>
    <n v="442380"/>
    <b v="1"/>
    <n v="0.24"/>
  </r>
  <r>
    <b v="1"/>
    <x v="0"/>
    <x v="2"/>
    <x v="0"/>
    <x v="0"/>
    <x v="3"/>
    <x v="18"/>
    <s v="BBG00HSGX4Z3"/>
    <x v="5"/>
    <s v="cffe109b8d59400dbf3b62d9e36c0d76"/>
    <s v="GCDMXCB 17X"/>
    <x v="0"/>
    <x v="2"/>
    <s v="Distribution"/>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1"/>
    <x v="3"/>
    <s v="Infrastructure"/>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0"/>
    <x v="2"/>
    <s v="Treatment"/>
    <s v="Rehabilitaci√≥n de tanques de agua potable"/>
    <s v="Mexico"/>
    <d v="2017-12-31T00:00:00"/>
    <d v="2017-12-31T00:00:00"/>
    <s v="MXN"/>
    <n v="2433000"/>
    <n v="2433000"/>
    <s v="MXN"/>
    <n v="2433000"/>
    <n v="126394"/>
    <b v="1"/>
    <n v="0.22"/>
  </r>
  <r>
    <b v="1"/>
    <x v="0"/>
    <x v="2"/>
    <x v="0"/>
    <x v="0"/>
    <x v="3"/>
    <x v="18"/>
    <s v="BBG00HSGX4Z3"/>
    <x v="5"/>
    <s v="cffe109b8d59400dbf3b62d9e36c0d76"/>
    <s v="GCDMXCB 17X"/>
    <x v="1"/>
    <x v="3"/>
    <s v="Urban drainage"/>
    <s v="Rehabilitaci√≥n de tanques de agua potable"/>
    <s v="Mexico"/>
    <d v="2017-12-31T00:00:00"/>
    <d v="2017-12-31T00:00:00"/>
    <s v="MXN"/>
    <n v="2433000"/>
    <n v="2433000"/>
    <s v="MXN"/>
    <n v="2433000"/>
    <n v="126394"/>
    <b v="1"/>
    <n v="0.22"/>
  </r>
  <r>
    <b v="1"/>
    <x v="0"/>
    <x v="0"/>
    <x v="2"/>
    <x v="0"/>
    <x v="1"/>
    <x v="19"/>
    <n v="0"/>
    <x v="0"/>
    <s v="4e17f0d80ab34899bc0d289e2bbfe144"/>
    <s v="BAGUA-AC"/>
    <x v="1"/>
    <x v="3"/>
    <s v="Wastewater treatment"/>
    <s v="Ampliaci√≥n Planta Tratamiento Aguas Servidas Talagante II - 2018"/>
    <s v="Chile"/>
    <d v="2018-12-31T00:00:00"/>
    <d v="2018-12-31T00:00:00"/>
    <s v="CLP"/>
    <n v="3480517319"/>
    <n v="3480517319"/>
    <s v="CLF"/>
    <n v="126262"/>
    <n v="5002972"/>
    <b v="1"/>
    <n v="0.52"/>
  </r>
  <r>
    <b v="1"/>
    <x v="0"/>
    <x v="0"/>
    <x v="2"/>
    <x v="0"/>
    <x v="1"/>
    <x v="19"/>
    <n v="0"/>
    <x v="0"/>
    <s v="4e17f0d80ab34899bc0d289e2bbfe144"/>
    <s v="BAGUA-AC"/>
    <x v="0"/>
    <x v="2"/>
    <s v="Treatment"/>
    <s v="Ampliaci√≥n Tercera Planta De Tratamiento Aguas Servidas - 2018"/>
    <s v="Chile"/>
    <d v="2018-12-31T00:00:00"/>
    <d v="2018-12-31T00:00:00"/>
    <s v="CLP"/>
    <n v="5031390055"/>
    <n v="5031390055"/>
    <s v="CLF"/>
    <n v="182523"/>
    <n v="7232230"/>
    <b v="1"/>
    <n v="0.66"/>
  </r>
  <r>
    <b v="1"/>
    <x v="0"/>
    <x v="2"/>
    <x v="0"/>
    <x v="0"/>
    <x v="3"/>
    <x v="18"/>
    <s v="BBG00HSGX4Z3"/>
    <x v="5"/>
    <s v="cffe109b8d59400dbf3b62d9e36c0d76"/>
    <s v="GCDMXCB 17X"/>
    <x v="0"/>
    <x v="2"/>
    <s v="Flood defence"/>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1"/>
    <x v="3"/>
    <s v="Flooding mitigation"/>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0"/>
    <x v="2"/>
    <s v="Flood defence"/>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1"/>
    <x v="3"/>
    <s v="Flooding mitigation"/>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0"/>
    <x v="2"/>
    <s v="Flood defence"/>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1"/>
    <x v="3"/>
    <s v="Flooding mitigation"/>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0"/>
    <x v="2"/>
    <s v="Treatment"/>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1"/>
    <x v="3"/>
    <s v="Infrastructure"/>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0"/>
    <x v="2"/>
    <s v="Storage"/>
    <s v="Reposici√≥n de 8 Pozos de Agua Potable - 17"/>
    <s v="Mexico"/>
    <d v="2017-12-31T00:00:00"/>
    <d v="2017-12-31T00:00:00"/>
    <s v="MXN"/>
    <n v="6082500"/>
    <n v="6082500"/>
    <s v="MXN"/>
    <n v="6082500"/>
    <n v="315986"/>
    <b v="1"/>
    <n v="0.02"/>
  </r>
  <r>
    <b v="1"/>
    <x v="0"/>
    <x v="2"/>
    <x v="0"/>
    <x v="0"/>
    <x v="3"/>
    <x v="18"/>
    <s v="BBG00HSGX4Z3"/>
    <x v="5"/>
    <s v="cffe109b8d59400dbf3b62d9e36c0d76"/>
    <s v="GCDMXCB 17X"/>
    <x v="1"/>
    <x v="3"/>
    <s v="Infrastructure"/>
    <s v="Reposici√≥n de 8 Pozos de Agua Potable - 17"/>
    <s v="Mexico"/>
    <d v="2017-12-31T00:00:00"/>
    <d v="2017-12-31T00:00:00"/>
    <s v="MXN"/>
    <n v="6082500"/>
    <n v="6082500"/>
    <s v="MXN"/>
    <n v="6082500"/>
    <n v="315986"/>
    <b v="1"/>
    <n v="0.02"/>
  </r>
  <r>
    <b v="1"/>
    <x v="0"/>
    <x v="2"/>
    <x v="0"/>
    <x v="0"/>
    <x v="3"/>
    <x v="18"/>
    <s v="BBG00HSGX4Z3"/>
    <x v="5"/>
    <s v="cffe109b8d59400dbf3b62d9e36c0d76"/>
    <s v="GCDMXCB 17X"/>
    <x v="0"/>
    <x v="2"/>
    <s v="Treatment"/>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1"/>
    <x v="3"/>
    <s v="Infrastructure"/>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0"/>
    <x v="5"/>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1"/>
    <x v="6"/>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0"/>
    <x v="5"/>
    <s v="Rail"/>
    <s v="Mantenimiento a Trenes del STC Metro"/>
    <s v="Mexico"/>
    <d v="2017-12-31T00:00:00"/>
    <d v="2017-12-31T00:00:00"/>
    <s v="MXN"/>
    <n v="145979999"/>
    <n v="145979999"/>
    <s v="MXN"/>
    <n v="145979999"/>
    <n v="7583661"/>
    <b v="1"/>
    <n v="0.81"/>
  </r>
  <r>
    <b v="1"/>
    <x v="0"/>
    <x v="2"/>
    <x v="0"/>
    <x v="0"/>
    <x v="3"/>
    <x v="18"/>
    <s v="BBG00HSGX4Z3"/>
    <x v="5"/>
    <s v="cffe109b8d59400dbf3b62d9e36c0d76"/>
    <s v="GCDMXCB 17X"/>
    <x v="1"/>
    <x v="6"/>
    <s v="Rail"/>
    <s v="Mantenimiento a Trenes del STC Metro"/>
    <s v="Mexico"/>
    <d v="2017-12-31T00:00:00"/>
    <d v="2017-12-31T00:00:00"/>
    <s v="MXN"/>
    <n v="145979999"/>
    <n v="145979999"/>
    <s v="MXN"/>
    <n v="145979999"/>
    <n v="7583661"/>
    <b v="1"/>
    <n v="0.81"/>
  </r>
  <r>
    <b v="1"/>
    <x v="0"/>
    <x v="0"/>
    <x v="2"/>
    <x v="0"/>
    <x v="1"/>
    <x v="19"/>
    <n v="0"/>
    <x v="0"/>
    <s v="4e17f0d80ab34899bc0d289e2bbfe144"/>
    <s v="BAGUA-AC"/>
    <x v="1"/>
    <x v="3"/>
    <s v="Wastewater treatment"/>
    <s v="Ampliaci√≥n Tercera Planta De Tratamiento Aguas Servidas - 2018"/>
    <s v="Chile"/>
    <d v="2018-12-31T00:00:00"/>
    <d v="2018-12-31T00:00:00"/>
    <s v="CLP"/>
    <n v="5031390055"/>
    <n v="5031390055"/>
    <s v="CLF"/>
    <n v="182523"/>
    <n v="7232230"/>
    <b v="1"/>
    <n v="0.66"/>
  </r>
  <r>
    <e v="#N/A"/>
    <x v="1"/>
    <x v="1"/>
    <x v="3"/>
    <x v="1"/>
    <x v="2"/>
    <x v="10"/>
    <e v="#N/A"/>
    <x v="2"/>
    <s v="b1ee5ee2b303417fb77c0c62bf84343a"/>
    <s v="Green Bond ON C1"/>
    <x v="0"/>
    <x v="7"/>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1"/>
    <x v="8"/>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2"/>
    <x v="9"/>
    <s v="Unspecified"/>
    <s v="Green Bond ON C1 Plaza Mercado W1"/>
    <s v="Argentina"/>
    <d v="2019-12-11T00:00:00"/>
    <d v="2017-12-13T00:00:00"/>
    <s v="USD"/>
    <n v="3858055"/>
    <n v="3858055"/>
    <s v="USD"/>
    <n v="3858055"/>
    <n v="3858055"/>
    <b v="0"/>
    <n v="0.21"/>
  </r>
  <r>
    <e v="#N/A"/>
    <x v="1"/>
    <x v="1"/>
    <x v="3"/>
    <x v="1"/>
    <x v="2"/>
    <x v="10"/>
    <e v="#N/A"/>
    <x v="2"/>
    <s v="b1ee5ee2b303417fb77c0c62bf84343a"/>
    <s v="Green Bond ON C1"/>
    <x v="3"/>
    <x v="9"/>
    <s v="Unspecified"/>
    <s v="Green Bond ON C1 Plaza Mercado W1"/>
    <s v="Argentina"/>
    <d v="2019-12-11T00:00:00"/>
    <d v="2017-12-13T00:00:00"/>
    <s v="USD"/>
    <n v="3858055"/>
    <n v="3858055"/>
    <s v="USD"/>
    <n v="3858055"/>
    <n v="3858055"/>
    <b v="0"/>
    <n v="0.21"/>
  </r>
  <r>
    <b v="1"/>
    <x v="0"/>
    <x v="0"/>
    <x v="0"/>
    <x v="0"/>
    <x v="0"/>
    <x v="4"/>
    <n v="0"/>
    <x v="0"/>
    <s v="33ceef813ef14aac8ab44dc3a53606d8"/>
    <s v="Bancolombia Bono Sostenible"/>
    <x v="0"/>
    <x v="14"/>
    <s v="General"/>
    <s v="SB Proyecto 31"/>
    <s v="Colombia"/>
    <d v="2019-07-19T00:00:00"/>
    <d v="2019-07-19T00:00:00"/>
    <s v="COP"/>
    <n v="173096000000"/>
    <n v="173096000000"/>
    <s v="COP"/>
    <n v="173096000000"/>
    <n v="54381230"/>
    <b v="0"/>
    <n v="0.97"/>
  </r>
  <r>
    <b v="1"/>
    <x v="0"/>
    <x v="0"/>
    <x v="0"/>
    <x v="0"/>
    <x v="0"/>
    <x v="4"/>
    <n v="0"/>
    <x v="0"/>
    <s v="33ceef813ef14aac8ab44dc3a53606d8"/>
    <s v="Bancolombia Bono Sostenible"/>
    <x v="1"/>
    <x v="14"/>
    <s v="General"/>
    <s v="SB Proyecto 31"/>
    <s v="Colombia"/>
    <d v="2019-07-19T00:00:00"/>
    <d v="2019-07-19T00:00:00"/>
    <s v="COP"/>
    <n v="173096000000"/>
    <n v="173096000000"/>
    <s v="COP"/>
    <n v="173096000000"/>
    <n v="54381230"/>
    <b v="0"/>
    <n v="0.97"/>
  </r>
  <r>
    <b v="1"/>
    <x v="0"/>
    <x v="0"/>
    <x v="2"/>
    <x v="0"/>
    <x v="1"/>
    <x v="14"/>
    <n v="0"/>
    <x v="4"/>
    <s v="bfc6f6927d0842d4b44fe9c260c3a4fa"/>
    <s v="Bono sostenible BICE"/>
    <x v="0"/>
    <x v="7"/>
    <s v="Products &amp; Systems for Efficiency"/>
    <s v="Eficiencia Energ√©tica"/>
    <s v="Argentina"/>
    <d v="2020-07-30T00:00:00"/>
    <d v="2019-12-31T00:00:00"/>
    <s v="USD"/>
    <n v="321988"/>
    <n v="321988"/>
    <s v="USD"/>
    <n v="321988"/>
    <n v="321988"/>
    <b v="1"/>
    <n v="1"/>
  </r>
  <r>
    <b v="1"/>
    <x v="0"/>
    <x v="0"/>
    <x v="2"/>
    <x v="0"/>
    <x v="1"/>
    <x v="14"/>
    <n v="0"/>
    <x v="4"/>
    <s v="bfc6f6927d0842d4b44fe9c260c3a4fa"/>
    <s v="Bono sostenible BICE"/>
    <x v="1"/>
    <x v="4"/>
    <s v="Smart grids"/>
    <s v="Eficiencia Energ√©tica"/>
    <s v="Argentina"/>
    <d v="2020-07-30T00:00:00"/>
    <d v="2019-12-31T00:00:00"/>
    <s v="USD"/>
    <n v="321988"/>
    <n v="321988"/>
    <s v="USD"/>
    <n v="321988"/>
    <n v="321988"/>
    <b v="1"/>
    <n v="1"/>
  </r>
  <r>
    <b v="1"/>
    <x v="0"/>
    <x v="0"/>
    <x v="2"/>
    <x v="0"/>
    <x v="1"/>
    <x v="14"/>
    <n v="0"/>
    <x v="4"/>
    <s v="bfc6f6927d0842d4b44fe9c260c3a4fa"/>
    <s v="Bono sostenible BICE"/>
    <x v="0"/>
    <x v="0"/>
    <s v="Wind"/>
    <s v="Energ√≠a Renovable"/>
    <s v="Argentina"/>
    <d v="2020-07-30T00:00:00"/>
    <d v="2020-01-16T00:00:00"/>
    <s v="USD"/>
    <n v="6600000"/>
    <n v="6600000"/>
    <s v="USD"/>
    <n v="6600000"/>
    <n v="6600000"/>
    <b v="1"/>
    <n v="1"/>
  </r>
  <r>
    <b v="1"/>
    <x v="0"/>
    <x v="0"/>
    <x v="2"/>
    <x v="0"/>
    <x v="1"/>
    <x v="14"/>
    <n v="0"/>
    <x v="4"/>
    <s v="bfc6f6927d0842d4b44fe9c260c3a4fa"/>
    <s v="Bono sostenible BICE"/>
    <x v="1"/>
    <x v="1"/>
    <s v="Generation"/>
    <s v="Energ√≠a Renovable"/>
    <s v="Argentina"/>
    <d v="2020-07-30T00:00:00"/>
    <d v="2020-01-16T00:00:00"/>
    <s v="USD"/>
    <n v="6600000"/>
    <n v="6600000"/>
    <s v="USD"/>
    <n v="6600000"/>
    <n v="6600000"/>
    <b v="1"/>
    <n v="1"/>
  </r>
  <r>
    <b v="1"/>
    <x v="0"/>
    <x v="0"/>
    <x v="2"/>
    <x v="0"/>
    <x v="1"/>
    <x v="14"/>
    <n v="0"/>
    <x v="4"/>
    <s v="bfc6f6927d0842d4b44fe9c260c3a4fa"/>
    <s v="Bono sostenible BICE"/>
    <x v="2"/>
    <x v="9"/>
    <s v="Unspecified"/>
    <s v="Energ√≠a Renovable"/>
    <s v="Argentina"/>
    <d v="2020-07-30T00:00:00"/>
    <d v="2020-01-16T00:00:00"/>
    <s v="USD"/>
    <n v="6600000"/>
    <n v="6600000"/>
    <s v="USD"/>
    <n v="6600000"/>
    <n v="6600000"/>
    <b v="1"/>
    <n v="1"/>
  </r>
  <r>
    <b v="1"/>
    <x v="0"/>
    <x v="0"/>
    <x v="2"/>
    <x v="0"/>
    <x v="1"/>
    <x v="14"/>
    <n v="0"/>
    <x v="4"/>
    <s v="bfc6f6927d0842d4b44fe9c260c3a4fa"/>
    <s v="Bono sostenible BICE"/>
    <x v="3"/>
    <x v="9"/>
    <s v="Unspecified"/>
    <s v="Energ√≠a Renovable"/>
    <s v="Argentina"/>
    <d v="2020-07-30T00:00:00"/>
    <d v="2020-01-16T00:00:00"/>
    <s v="USD"/>
    <n v="6600000"/>
    <n v="6600000"/>
    <s v="USD"/>
    <n v="6600000"/>
    <n v="6600000"/>
    <b v="1"/>
    <n v="1"/>
  </r>
  <r>
    <b v="1"/>
    <x v="0"/>
    <x v="0"/>
    <x v="2"/>
    <x v="0"/>
    <x v="1"/>
    <x v="21"/>
    <s v="BBG00YG422X6"/>
    <x v="6"/>
    <s v="5b9bc195be534adaa28f29ea980225c8"/>
    <s v="ISA CTEEP - 9¬™ Emiss√£o (2¬™ Serie)"/>
    <x v="0"/>
    <x v="0"/>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1"/>
    <x v="1"/>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0"/>
    <x v="0"/>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1"/>
    <x v="1"/>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0"/>
    <x v="0"/>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1"/>
    <x v="1"/>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0"/>
    <x v="0"/>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1"/>
    <x v="1"/>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0"/>
    <x v="0"/>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1"/>
    <x v="1"/>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0"/>
    <x v="0"/>
    <s v="Transmission"/>
    <s v="Interliga√ß√£o El√©trica Aimor√©s S.A. - 9¬∞"/>
    <s v="Brazil"/>
    <d v="2020-12-07T00:00:00"/>
    <d v="2021-12-31T00:00:00"/>
    <s v="BRL"/>
    <n v="18916826"/>
    <n v="18916826"/>
    <s v="BRL"/>
    <n v="18916826"/>
    <n v="3708309"/>
    <b v="0"/>
    <n v="0.06"/>
  </r>
  <r>
    <b v="1"/>
    <x v="0"/>
    <x v="0"/>
    <x v="2"/>
    <x v="0"/>
    <x v="1"/>
    <x v="21"/>
    <s v="BBG00YG422X6"/>
    <x v="6"/>
    <s v="5b9bc195be534adaa28f29ea980225c8"/>
    <s v="ISA CTEEP - 9¬™ Emiss√£o (2¬™ Serie)"/>
    <x v="1"/>
    <x v="1"/>
    <s v="Transmission"/>
    <s v="Interliga√ß√£o El√©trica Aimor√©s S.A. - 9¬∞"/>
    <s v="Brazil"/>
    <d v="2020-12-07T00:00:00"/>
    <d v="2021-12-31T00:00:00"/>
    <s v="BRL"/>
    <n v="18916826"/>
    <n v="18916826"/>
    <s v="BRL"/>
    <n v="18916826"/>
    <n v="3708309"/>
    <b v="0"/>
    <n v="0.06"/>
  </r>
  <r>
    <b v="1"/>
    <x v="0"/>
    <x v="0"/>
    <x v="2"/>
    <x v="0"/>
    <x v="1"/>
    <x v="19"/>
    <n v="0"/>
    <x v="0"/>
    <s v="4e17f0d80ab34899bc0d289e2bbfe144"/>
    <s v="BAGUA-AC"/>
    <x v="0"/>
    <x v="2"/>
    <s v="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1"/>
    <x v="3"/>
    <s v="Wastewater 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0"/>
    <x v="2"/>
    <s v="Treatment"/>
    <s v="Ampliaci√≥n Planta De Tratamiento De Aguas Servidas El Monte 2018 - 2018"/>
    <s v="Chile"/>
    <d v="2018-12-31T00:00:00"/>
    <d v="2018-12-31T00:00:00"/>
    <s v="CLP"/>
    <n v="405589296"/>
    <n v="405589296"/>
    <s v="CLF"/>
    <n v="14714"/>
    <n v="583003"/>
    <b v="1"/>
    <n v="0.11"/>
  </r>
  <r>
    <b v="1"/>
    <x v="0"/>
    <x v="0"/>
    <x v="2"/>
    <x v="0"/>
    <x v="1"/>
    <x v="19"/>
    <n v="0"/>
    <x v="0"/>
    <s v="4e17f0d80ab34899bc0d289e2bbfe144"/>
    <s v="BAGUA-AC"/>
    <x v="1"/>
    <x v="3"/>
    <s v="Wastewater treatment"/>
    <s v="Ampliaci√≥n Planta De Tratamiento De Aguas Servidas El Monte 2018 - 2018"/>
    <s v="Chile"/>
    <d v="2018-12-31T00:00:00"/>
    <d v="2018-12-31T00:00:00"/>
    <s v="CLP"/>
    <n v="405589296"/>
    <n v="405589296"/>
    <s v="CLF"/>
    <n v="14714"/>
    <n v="583003"/>
    <b v="1"/>
    <n v="0.11"/>
  </r>
  <r>
    <b v="1"/>
    <x v="2"/>
    <x v="0"/>
    <x v="0"/>
    <x v="0"/>
    <x v="1"/>
    <x v="22"/>
    <n v="0"/>
    <x v="0"/>
    <s v="3e001fbc60b6457dbbb4e67ee69152c0"/>
    <s v="BAGUA-AE"/>
    <x v="0"/>
    <x v="2"/>
    <s v="Treatment"/>
    <s v="Planta Tratamiento Agua Potable Chamisero (Canal Batuco) - 2019"/>
    <s v="Chile"/>
    <d v="2019-12-31T00:00:00"/>
    <d v="2019-12-31T00:00:00"/>
    <s v="CLP"/>
    <n v="1538934285"/>
    <n v="1538934285"/>
    <s v="CLF"/>
    <n v="54360"/>
    <n v="2066738"/>
    <b v="0"/>
    <n v="0.09"/>
  </r>
  <r>
    <b v="1"/>
    <x v="0"/>
    <x v="0"/>
    <x v="2"/>
    <x v="0"/>
    <x v="1"/>
    <x v="14"/>
    <n v="0"/>
    <x v="7"/>
    <s v="c8db70a600e4496aa0bdff98338e72ee"/>
    <s v="CIFI Green Bond Program"/>
    <x v="0"/>
    <x v="0"/>
    <s v="Hydro"/>
    <s v="Mezapa"/>
    <s v="Honduras"/>
    <d v="2019-09-26T00:00:00"/>
    <d v="2017-09-29T00:00:00"/>
    <s v="USD"/>
    <n v="13000000"/>
    <n v="13000000"/>
    <s v="USD"/>
    <n v="13000000"/>
    <n v="13000000"/>
    <b v="1"/>
    <n v="0.6"/>
  </r>
  <r>
    <b v="1"/>
    <x v="0"/>
    <x v="0"/>
    <x v="2"/>
    <x v="0"/>
    <x v="1"/>
    <x v="14"/>
    <n v="0"/>
    <x v="7"/>
    <s v="c8db70a600e4496aa0bdff98338e72ee"/>
    <s v="CIFI Green Bond Program"/>
    <x v="1"/>
    <x v="1"/>
    <s v="Products"/>
    <s v="Mezapa"/>
    <s v="Honduras"/>
    <d v="2019-09-26T00:00:00"/>
    <d v="2017-09-29T00:00:00"/>
    <s v="USD"/>
    <n v="13000000"/>
    <n v="13000000"/>
    <s v="USD"/>
    <n v="13000000"/>
    <n v="13000000"/>
    <b v="1"/>
    <n v="0.6"/>
  </r>
  <r>
    <b v="1"/>
    <x v="0"/>
    <x v="0"/>
    <x v="2"/>
    <x v="0"/>
    <x v="1"/>
    <x v="14"/>
    <n v="0"/>
    <x v="7"/>
    <s v="c8db70a600e4496aa0bdff98338e72ee"/>
    <s v="CIFI Green Bond Program"/>
    <x v="0"/>
    <x v="0"/>
    <s v="Solar"/>
    <s v="San Juan"/>
    <s v="Argentina"/>
    <d v="2019-09-26T00:00:00"/>
    <d v="2018-07-10T00:00:00"/>
    <s v="USD"/>
    <n v="6782527"/>
    <n v="6782527"/>
    <s v="USD"/>
    <n v="6782527"/>
    <n v="6782527"/>
    <b v="1"/>
    <n v="0.27"/>
  </r>
  <r>
    <b v="1"/>
    <x v="0"/>
    <x v="0"/>
    <x v="2"/>
    <x v="0"/>
    <x v="1"/>
    <x v="14"/>
    <n v="0"/>
    <x v="7"/>
    <s v="c8db70a600e4496aa0bdff98338e72ee"/>
    <s v="CIFI Green Bond Program"/>
    <x v="0"/>
    <x v="0"/>
    <s v="Solar"/>
    <s v="San Juan"/>
    <s v="Argentina"/>
    <d v="2019-09-26T00:00:00"/>
    <d v="2019-04-12T00:00:00"/>
    <s v="USD"/>
    <n v="1120661"/>
    <n v="1120661"/>
    <s v="USD"/>
    <n v="1120661"/>
    <n v="1120661"/>
    <b v="1"/>
    <n v="0.27"/>
  </r>
  <r>
    <b v="1"/>
    <x v="0"/>
    <x v="0"/>
    <x v="2"/>
    <x v="0"/>
    <x v="1"/>
    <x v="14"/>
    <n v="0"/>
    <x v="7"/>
    <s v="c8db70a600e4496aa0bdff98338e72ee"/>
    <s v="CIFI Green Bond Program"/>
    <x v="0"/>
    <x v="0"/>
    <s v="Solar"/>
    <s v="San Juan"/>
    <s v="Argentina"/>
    <d v="2019-09-26T00:00:00"/>
    <d v="2018-10-12T00:00:00"/>
    <s v="USD"/>
    <n v="4240259"/>
    <n v="4240259"/>
    <s v="USD"/>
    <n v="4240259"/>
    <n v="4240259"/>
    <b v="1"/>
    <n v="0.27"/>
  </r>
  <r>
    <b v="1"/>
    <x v="0"/>
    <x v="0"/>
    <x v="2"/>
    <x v="0"/>
    <x v="1"/>
    <x v="14"/>
    <n v="0"/>
    <x v="7"/>
    <s v="c8db70a600e4496aa0bdff98338e72ee"/>
    <s v="CIFI Green Bond Program"/>
    <x v="0"/>
    <x v="0"/>
    <s v="Solar"/>
    <s v="San Juan"/>
    <s v="Argentina"/>
    <d v="2019-09-26T00:00:00"/>
    <d v="2018-07-10T00:00:00"/>
    <s v="USD"/>
    <n v="1439570"/>
    <n v="1439570"/>
    <s v="USD"/>
    <n v="1439570"/>
    <n v="1439570"/>
    <b v="1"/>
    <n v="0.27"/>
  </r>
  <r>
    <b v="1"/>
    <x v="0"/>
    <x v="0"/>
    <x v="2"/>
    <x v="0"/>
    <x v="1"/>
    <x v="14"/>
    <n v="0"/>
    <x v="7"/>
    <s v="c8db70a600e4496aa0bdff98338e72ee"/>
    <s v="CIFI Green Bond Program"/>
    <x v="1"/>
    <x v="1"/>
    <s v="Products"/>
    <s v="San Juan"/>
    <s v="Argentina"/>
    <d v="2019-09-26T00:00:00"/>
    <d v="2018-07-10T00:00:00"/>
    <s v="USD"/>
    <n v="6782527"/>
    <n v="6782527"/>
    <s v="USD"/>
    <n v="6782527"/>
    <n v="6782527"/>
    <b v="1"/>
    <n v="0.27"/>
  </r>
  <r>
    <b v="1"/>
    <x v="0"/>
    <x v="0"/>
    <x v="2"/>
    <x v="0"/>
    <x v="1"/>
    <x v="14"/>
    <n v="0"/>
    <x v="7"/>
    <s v="c8db70a600e4496aa0bdff98338e72ee"/>
    <s v="CIFI Green Bond Program"/>
    <x v="1"/>
    <x v="1"/>
    <s v="Products"/>
    <s v="San Juan"/>
    <s v="Argentina"/>
    <d v="2019-09-26T00:00:00"/>
    <d v="2019-04-12T00:00:00"/>
    <s v="USD"/>
    <n v="1120661"/>
    <n v="1120661"/>
    <s v="USD"/>
    <n v="1120661"/>
    <n v="1120661"/>
    <b v="1"/>
    <n v="0.27"/>
  </r>
  <r>
    <b v="1"/>
    <x v="0"/>
    <x v="0"/>
    <x v="2"/>
    <x v="0"/>
    <x v="1"/>
    <x v="14"/>
    <n v="0"/>
    <x v="7"/>
    <s v="c8db70a600e4496aa0bdff98338e72ee"/>
    <s v="CIFI Green Bond Program"/>
    <x v="1"/>
    <x v="1"/>
    <s v="Products"/>
    <s v="San Juan"/>
    <s v="Argentina"/>
    <d v="2019-09-26T00:00:00"/>
    <d v="2018-10-12T00:00:00"/>
    <s v="USD"/>
    <n v="4240259"/>
    <n v="4240259"/>
    <s v="USD"/>
    <n v="4240259"/>
    <n v="4240259"/>
    <b v="1"/>
    <n v="0.27"/>
  </r>
  <r>
    <b v="1"/>
    <x v="0"/>
    <x v="0"/>
    <x v="2"/>
    <x v="0"/>
    <x v="1"/>
    <x v="14"/>
    <n v="0"/>
    <x v="7"/>
    <s v="c8db70a600e4496aa0bdff98338e72ee"/>
    <s v="CIFI Green Bond Program"/>
    <x v="1"/>
    <x v="1"/>
    <s v="Products"/>
    <s v="San Juan"/>
    <s v="Argentina"/>
    <d v="2019-09-26T00:00:00"/>
    <d v="2018-07-10T00:00:00"/>
    <s v="USD"/>
    <n v="1439570"/>
    <n v="1439570"/>
    <s v="USD"/>
    <n v="1439570"/>
    <n v="1439570"/>
    <b v="1"/>
    <n v="0.27"/>
  </r>
  <r>
    <b v="1"/>
    <x v="2"/>
    <x v="0"/>
    <x v="0"/>
    <x v="0"/>
    <x v="1"/>
    <x v="22"/>
    <n v="0"/>
    <x v="0"/>
    <s v="3e001fbc60b6457dbbb4e67ee69152c0"/>
    <s v="BAGUA-AE"/>
    <x v="1"/>
    <x v="3"/>
    <s v="Infrastructure"/>
    <s v="Planta Tratamiento Agua Potable Chamisero (Canal Batuco) - 2019"/>
    <s v="Chile"/>
    <d v="2019-12-31T00:00:00"/>
    <d v="2019-12-31T00:00:00"/>
    <s v="CLP"/>
    <n v="1538934285"/>
    <n v="1538934285"/>
    <s v="CLF"/>
    <n v="54360"/>
    <n v="2066738"/>
    <b v="0"/>
    <n v="0.09"/>
  </r>
  <r>
    <b v="1"/>
    <x v="2"/>
    <x v="0"/>
    <x v="0"/>
    <x v="0"/>
    <x v="1"/>
    <x v="22"/>
    <n v="0"/>
    <x v="0"/>
    <s v="3e001fbc60b6457dbbb4e67ee69152c0"/>
    <s v="BAGUA-AE"/>
    <x v="0"/>
    <x v="2"/>
    <s v="Storage"/>
    <s v="Obras Emergencia Eventos De Turbiedad - 2019"/>
    <s v="Chile"/>
    <d v="2019-12-31T00:00:00"/>
    <d v="2019-12-31T00:00:00"/>
    <s v="CLP"/>
    <n v="180764729"/>
    <n v="180764729"/>
    <s v="CLF"/>
    <n v="6385"/>
    <n v="242761"/>
    <b v="1"/>
    <n v="0.02"/>
  </r>
  <r>
    <b v="1"/>
    <x v="2"/>
    <x v="0"/>
    <x v="0"/>
    <x v="0"/>
    <x v="1"/>
    <x v="22"/>
    <n v="0"/>
    <x v="0"/>
    <s v="3e001fbc60b6457dbbb4e67ee69152c0"/>
    <s v="BAGUA-AE"/>
    <x v="1"/>
    <x v="3"/>
    <s v="Infrastructure"/>
    <s v="Obras Emergencia Eventos De Turbiedad - 2019"/>
    <s v="Chile"/>
    <d v="2019-12-31T00:00:00"/>
    <d v="2019-12-31T00:00:00"/>
    <s v="CLP"/>
    <n v="180764729"/>
    <n v="180764729"/>
    <s v="CLF"/>
    <n v="6385"/>
    <n v="242761"/>
    <b v="1"/>
    <n v="0.02"/>
  </r>
  <r>
    <b v="1"/>
    <x v="2"/>
    <x v="0"/>
    <x v="0"/>
    <x v="0"/>
    <x v="1"/>
    <x v="22"/>
    <n v="0"/>
    <x v="0"/>
    <s v="3e001fbc60b6457dbbb4e67ee69152c0"/>
    <s v="BAGUA-AE"/>
    <x v="0"/>
    <x v="2"/>
    <s v="Storage"/>
    <s v="Estanque Pirque - 2019"/>
    <s v="Chile"/>
    <d v="2019-12-31T00:00:00"/>
    <d v="2019-12-31T00:00:00"/>
    <s v="CLP"/>
    <n v="42141136459"/>
    <n v="42141136459"/>
    <s v="CLF"/>
    <n v="1488563"/>
    <n v="56594151"/>
    <b v="1"/>
    <n v="0.51"/>
  </r>
  <r>
    <b v="1"/>
    <x v="0"/>
    <x v="2"/>
    <x v="0"/>
    <x v="0"/>
    <x v="3"/>
    <x v="18"/>
    <s v="BBG00HSGX4Z3"/>
    <x v="5"/>
    <s v="cffe109b8d59400dbf3b62d9e36c0d76"/>
    <s v="GCDMXCB 17X"/>
    <x v="0"/>
    <x v="0"/>
    <s v="Gri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1"/>
    <x v="4"/>
    <s v="Smart grids"/>
    <s v="Mejora y mantenimiento del alumbrado p√∫blico - 17"/>
    <s v="Mexico"/>
    <d v="2017-12-31T00:00:00"/>
    <d v="2017-12-31T00:00:00"/>
    <s v="MXN"/>
    <n v="80000000"/>
    <n v="288021499"/>
    <s v="MXN"/>
    <n v="288021499"/>
    <n v="14962717"/>
    <b v="1"/>
    <n v="0.12"/>
  </r>
  <r>
    <b v="1"/>
    <x v="2"/>
    <x v="0"/>
    <x v="0"/>
    <x v="0"/>
    <x v="1"/>
    <x v="22"/>
    <n v="0"/>
    <x v="0"/>
    <s v="3e001fbc60b6457dbbb4e67ee69152c0"/>
    <s v="BAGUA-AE"/>
    <x v="1"/>
    <x v="3"/>
    <s v="Infrastructure"/>
    <s v="Estanque Pirque - 2019"/>
    <s v="Chile"/>
    <d v="2019-12-31T00:00:00"/>
    <d v="2019-12-31T00:00:00"/>
    <s v="CLP"/>
    <n v="42141136459"/>
    <n v="42141136459"/>
    <s v="CLF"/>
    <n v="1488563"/>
    <n v="56594151"/>
    <b v="1"/>
    <n v="0.51"/>
  </r>
  <r>
    <b v="1"/>
    <x v="2"/>
    <x v="0"/>
    <x v="0"/>
    <x v="0"/>
    <x v="1"/>
    <x v="22"/>
    <n v="0"/>
    <x v="0"/>
    <s v="3e001fbc60b6457dbbb4e67ee69152c0"/>
    <s v="BAGUA-AE"/>
    <x v="0"/>
    <x v="2"/>
    <s v="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1"/>
    <x v="3"/>
    <s v="Wastewater 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0"/>
    <x v="2"/>
    <s v="Treatment"/>
    <s v="Ampliaci√≥n Tercera Planta De Tratamiento Aguas Servidas - 2019"/>
    <s v="Chile"/>
    <d v="2019-12-31T00:00:00"/>
    <d v="2019-12-31T00:00:00"/>
    <s v="CLP"/>
    <n v="1230293413"/>
    <n v="1230293413"/>
    <s v="CLF"/>
    <n v="43458"/>
    <n v="1652243"/>
    <b v="1"/>
    <n v="0.16"/>
  </r>
  <r>
    <b v="1"/>
    <x v="0"/>
    <x v="2"/>
    <x v="0"/>
    <x v="0"/>
    <x v="3"/>
    <x v="18"/>
    <s v="BBG00HSGX4Z3"/>
    <x v="5"/>
    <s v="cffe109b8d59400dbf3b62d9e36c0d76"/>
    <s v="GCDMXCB 17X"/>
    <x v="2"/>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3"/>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2"/>
    <x v="9"/>
    <s v="Unspecified"/>
    <s v="Proyectos sociales"/>
    <s v="Mexico"/>
    <d v="2017-12-31T00:00:00"/>
    <d v="2017-12-31T00:00:00"/>
    <s v="MXN"/>
    <n v="73100308"/>
    <n v="73100308"/>
    <s v="MXN"/>
    <n v="73100308"/>
    <n v="3797561"/>
    <b v="0"/>
    <n v="1"/>
  </r>
  <r>
    <b v="1"/>
    <x v="0"/>
    <x v="2"/>
    <x v="0"/>
    <x v="0"/>
    <x v="3"/>
    <x v="18"/>
    <s v="BBG00HSGX4Z3"/>
    <x v="5"/>
    <s v="cffe109b8d59400dbf3b62d9e36c0d76"/>
    <s v="GCDMXCB 17X"/>
    <x v="3"/>
    <x v="9"/>
    <s v="Unspecified"/>
    <s v="Proyectos sociales"/>
    <s v="Mexico"/>
    <d v="2017-12-31T00:00:00"/>
    <d v="2017-12-31T00:00:00"/>
    <s v="MXN"/>
    <n v="73100308"/>
    <n v="73100308"/>
    <s v="MXN"/>
    <n v="73100308"/>
    <n v="3797561"/>
    <b v="0"/>
    <n v="1"/>
  </r>
  <r>
    <b v="1"/>
    <x v="0"/>
    <x v="2"/>
    <x v="0"/>
    <x v="0"/>
    <x v="3"/>
    <x v="18"/>
    <s v="BBG00HSGX4Z3"/>
    <x v="5"/>
    <s v="cffe109b8d59400dbf3b62d9e36c0d76"/>
    <s v="GCDMXCB 17X"/>
    <x v="0"/>
    <x v="14"/>
    <s v="General"/>
    <s v="Proyectos sociales"/>
    <s v="Mexico"/>
    <d v="2017-12-31T00:00:00"/>
    <d v="2017-12-31T00:00:00"/>
    <s v="MXN"/>
    <n v="73100308"/>
    <n v="73100308"/>
    <s v="MXN"/>
    <n v="73100308"/>
    <n v="3797561"/>
    <b v="0"/>
    <n v="1"/>
  </r>
  <r>
    <b v="1"/>
    <x v="0"/>
    <x v="2"/>
    <x v="0"/>
    <x v="0"/>
    <x v="3"/>
    <x v="18"/>
    <s v="BBG00HSGX4Z3"/>
    <x v="5"/>
    <s v="cffe109b8d59400dbf3b62d9e36c0d76"/>
    <s v="GCDMXCB 17X"/>
    <x v="1"/>
    <x v="14"/>
    <s v="General"/>
    <s v="Proyectos sociales"/>
    <s v="Mexico"/>
    <d v="2017-12-31T00:00:00"/>
    <d v="2017-12-31T00:00:00"/>
    <s v="MXN"/>
    <n v="73100308"/>
    <n v="73100308"/>
    <s v="MXN"/>
    <n v="73100308"/>
    <n v="3797561"/>
    <b v="0"/>
    <n v="1"/>
  </r>
  <r>
    <e v="#N/A"/>
    <x v="1"/>
    <x v="1"/>
    <x v="3"/>
    <x v="1"/>
    <x v="2"/>
    <x v="10"/>
    <e v="#N/A"/>
    <x v="2"/>
    <s v="b1ee5ee2b303417fb77c0c62bf84343a"/>
    <s v="Green Bond ON C1"/>
    <x v="0"/>
    <x v="7"/>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1"/>
    <x v="8"/>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2"/>
    <x v="9"/>
    <s v="Unspecified"/>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3"/>
    <x v="9"/>
    <s v="Unspecified"/>
    <s v="Green Bond ON C1 Plaza Ciudad (CTC)"/>
    <s v="Argentina"/>
    <d v="2019-12-11T00:00:00"/>
    <d v="2017-12-13T00:00:00"/>
    <s v="USD"/>
    <n v="1247825"/>
    <n v="1247825"/>
    <s v="USD"/>
    <n v="1247825"/>
    <n v="1247825"/>
    <b v="0"/>
    <n v="7.0000000000000007E-2"/>
  </r>
  <r>
    <b v="1"/>
    <x v="0"/>
    <x v="0"/>
    <x v="1"/>
    <x v="0"/>
    <x v="1"/>
    <x v="23"/>
    <s v="BBG00KVC0Y18"/>
    <x v="8"/>
    <s v="2713ee8efde4440b875f3a181f33a9f4"/>
    <s v="ISA CTEEP - 7¬™ Emiss√£o"/>
    <x v="0"/>
    <x v="0"/>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1"/>
    <x v="1"/>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0"/>
    <x v="0"/>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1"/>
    <x v="1"/>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0"/>
    <x v="0"/>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1"/>
    <x v="1"/>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0"/>
    <x v="0"/>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1"/>
    <x v="1"/>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0"/>
    <x v="0"/>
    <s v="Transmission"/>
    <s v="Interliga√ß√£o El√©trica Aguape√≠ S.A. - 7¬∞"/>
    <s v="Brazil"/>
    <d v="2018-04-15T00:00:00"/>
    <d v="2020-12-31T00:00:00"/>
    <s v="BRL"/>
    <n v="125995175"/>
    <n v="125995175"/>
    <s v="BRL"/>
    <n v="125995175"/>
    <n v="24248027"/>
    <b v="0"/>
    <n v="0.21"/>
  </r>
  <r>
    <e v="#N/A"/>
    <x v="1"/>
    <x v="1"/>
    <x v="3"/>
    <x v="1"/>
    <x v="2"/>
    <x v="10"/>
    <e v="#N/A"/>
    <x v="2"/>
    <s v="b1ee5ee2b303417fb77c0c62bf84343a"/>
    <s v="Green Bond ON C1"/>
    <x v="0"/>
    <x v="7"/>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1"/>
    <x v="8"/>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2"/>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3"/>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0"/>
    <x v="7"/>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1"/>
    <x v="8"/>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2"/>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3"/>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0"/>
    <x v="7"/>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1"/>
    <x v="8"/>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2"/>
    <x v="9"/>
    <s v="Unspecified"/>
    <s v="Green Bond ON C1 Plaza Tortugas W2"/>
    <s v="Argentina"/>
    <d v="2019-12-11T00:00:00"/>
    <d v="2017-12-13T00:00:00"/>
    <s v="USD"/>
    <n v="1214296"/>
    <n v="1214296"/>
    <s v="USD"/>
    <n v="1214296"/>
    <n v="1214296"/>
    <b v="0"/>
    <n v="0.05"/>
  </r>
  <r>
    <e v="#N/A"/>
    <x v="1"/>
    <x v="1"/>
    <x v="3"/>
    <x v="1"/>
    <x v="2"/>
    <x v="10"/>
    <e v="#N/A"/>
    <x v="2"/>
    <s v="b1ee5ee2b303417fb77c0c62bf84343a"/>
    <s v="Green Bond ON C1"/>
    <x v="3"/>
    <x v="9"/>
    <s v="Unspecified"/>
    <s v="Green Bond ON C1 Plaza Tortugas W2"/>
    <s v="Argentina"/>
    <d v="2019-12-11T00:00:00"/>
    <d v="2017-12-13T00:00:00"/>
    <s v="USD"/>
    <n v="1214296"/>
    <n v="1214296"/>
    <s v="USD"/>
    <n v="1214296"/>
    <n v="1214296"/>
    <b v="0"/>
    <n v="0.05"/>
  </r>
  <r>
    <b v="1"/>
    <x v="0"/>
    <x v="0"/>
    <x v="1"/>
    <x v="0"/>
    <x v="1"/>
    <x v="23"/>
    <s v="BBG00KVC0Y18"/>
    <x v="8"/>
    <s v="2713ee8efde4440b875f3a181f33a9f4"/>
    <s v="ISA CTEEP - 7¬™ Emiss√£o"/>
    <x v="1"/>
    <x v="1"/>
    <s v="Transmission"/>
    <s v="Interliga√ß√£o El√©trica Aguape√≠ S.A. - 7¬∞"/>
    <s v="Brazil"/>
    <d v="2018-04-15T00:00:00"/>
    <d v="2020-12-31T00:00:00"/>
    <s v="BRL"/>
    <n v="125995175"/>
    <n v="125995175"/>
    <s v="BRL"/>
    <n v="125995175"/>
    <n v="24248027"/>
    <b v="0"/>
    <n v="0.21"/>
  </r>
  <r>
    <b v="1"/>
    <x v="0"/>
    <x v="0"/>
    <x v="1"/>
    <x v="0"/>
    <x v="1"/>
    <x v="23"/>
    <s v="BBG00KVC0Y18"/>
    <x v="8"/>
    <s v="2713ee8efde4440b875f3a181f33a9f4"/>
    <s v="ISA CTEEP - 7¬™ Emiss√£o"/>
    <x v="0"/>
    <x v="0"/>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1"/>
    <x v="1"/>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0"/>
    <x v="0"/>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1"/>
    <x v="1"/>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0"/>
    <x v="0"/>
    <s v="Transmission"/>
    <s v="Interliga√ß√£o El√©trica Paragua√ßu S.A. - 7¬∞"/>
    <s v="Brazil"/>
    <d v="2018-04-15T00:00:00"/>
    <d v="2020-12-31T00:00:00"/>
    <s v="BRL"/>
    <n v="103849342"/>
    <n v="103849342"/>
    <s v="BRL"/>
    <n v="103849342"/>
    <n v="19986017"/>
    <b v="0"/>
    <n v="0.2"/>
  </r>
  <r>
    <b v="1"/>
    <x v="0"/>
    <x v="0"/>
    <x v="1"/>
    <x v="0"/>
    <x v="1"/>
    <x v="23"/>
    <s v="BBG00KVC0Y18"/>
    <x v="8"/>
    <s v="2713ee8efde4440b875f3a181f33a9f4"/>
    <s v="ISA CTEEP - 7¬™ Emiss√£o"/>
    <x v="1"/>
    <x v="1"/>
    <s v="Transmission"/>
    <s v="Interliga√ß√£o El√©trica Paragua√ßu S.A. - 7¬∞"/>
    <s v="Brazil"/>
    <d v="2018-04-15T00:00:00"/>
    <d v="2020-12-31T00:00:00"/>
    <s v="BRL"/>
    <n v="103849342"/>
    <n v="103849342"/>
    <s v="BRL"/>
    <n v="103849342"/>
    <n v="19986017"/>
    <b v="0"/>
    <n v="0.2"/>
  </r>
  <r>
    <b v="1"/>
    <x v="2"/>
    <x v="0"/>
    <x v="0"/>
    <x v="0"/>
    <x v="1"/>
    <x v="22"/>
    <n v="0"/>
    <x v="0"/>
    <s v="3e001fbc60b6457dbbb4e67ee69152c0"/>
    <s v="BAGUA-AE"/>
    <x v="1"/>
    <x v="3"/>
    <s v="Wastewater treatment"/>
    <s v="Ampliaci√≥n Tercera Planta De Tratamiento Aguas Servidas - 2019"/>
    <s v="Chile"/>
    <d v="2019-12-31T00:00:00"/>
    <d v="2019-12-31T00:00:00"/>
    <s v="CLP"/>
    <n v="1230293413"/>
    <n v="1230293413"/>
    <s v="CLF"/>
    <n v="43458"/>
    <n v="1652243"/>
    <b v="1"/>
    <n v="0.16"/>
  </r>
  <r>
    <b v="1"/>
    <x v="2"/>
    <x v="0"/>
    <x v="0"/>
    <x v="0"/>
    <x v="1"/>
    <x v="22"/>
    <n v="0"/>
    <x v="0"/>
    <s v="3e001fbc60b6457dbbb4e67ee69152c0"/>
    <s v="BAGUA-AE"/>
    <x v="0"/>
    <x v="2"/>
    <s v="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1"/>
    <x v="3"/>
    <s v="Wastewater 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0"/>
    <x v="2"/>
    <s v="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1"/>
    <x v="3"/>
    <s v="Wastewater 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0"/>
    <x v="2"/>
    <s v="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1"/>
    <x v="3"/>
    <s v="Wastewater 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0"/>
    <x v="0"/>
    <s v="Bioenergy"/>
    <s v="Cogeneraci√≥n Biofactor√≠a Mapocho-Trebal"/>
    <s v="Chile"/>
    <d v="2019-12-31T00:00:00"/>
    <d v="2019-12-31T00:00:00"/>
    <s v="CLP"/>
    <n v="5235535493"/>
    <n v="5235535493"/>
    <s v="CLF"/>
    <n v="184936"/>
    <n v="7031151"/>
    <b v="0"/>
    <n v="0.81"/>
  </r>
  <r>
    <b v="1"/>
    <x v="2"/>
    <x v="0"/>
    <x v="0"/>
    <x v="0"/>
    <x v="1"/>
    <x v="22"/>
    <n v="0"/>
    <x v="0"/>
    <s v="3e001fbc60b6457dbbb4e67ee69152c0"/>
    <s v="BAGUA-AE"/>
    <x v="1"/>
    <x v="1"/>
    <s v="Generation"/>
    <s v="Cogeneraci√≥n Biofactor√≠a Mapocho-Trebal"/>
    <s v="Chile"/>
    <d v="2019-12-31T00:00:00"/>
    <d v="2019-12-31T00:00:00"/>
    <s v="CLP"/>
    <n v="5235535493"/>
    <n v="5235535493"/>
    <s v="CLF"/>
    <n v="184936"/>
    <n v="7031151"/>
    <b v="0"/>
    <n v="0.81"/>
  </r>
  <r>
    <b v="1"/>
    <x v="0"/>
    <x v="0"/>
    <x v="1"/>
    <x v="0"/>
    <x v="1"/>
    <x v="24"/>
    <s v="BBG00R4VZ614"/>
    <x v="9"/>
    <s v="7764daf78634437c8d58059674d26e96"/>
    <s v="ISA CTEEP - 8¬™ Emiss√£o"/>
    <x v="0"/>
    <x v="0"/>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1"/>
    <x v="1"/>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0"/>
    <x v="0"/>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1"/>
    <x v="1"/>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0"/>
    <x v="0"/>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1"/>
    <x v="1"/>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0"/>
    <x v="0"/>
    <s v="Transmission"/>
    <s v="Interliga√ß√£o El√©trica Itapura S.A. (Lote 10) - 8¬∞"/>
    <s v="Brazil"/>
    <d v="2018-12-15T00:00:00"/>
    <d v="2020-12-31T00:00:00"/>
    <s v="BRL"/>
    <n v="39244210.649999999"/>
    <n v="39244210"/>
    <s v="BRL"/>
    <n v="39244210"/>
    <n v="7552628"/>
    <b v="0"/>
    <n v="0.17"/>
  </r>
  <r>
    <b v="1"/>
    <x v="0"/>
    <x v="0"/>
    <x v="1"/>
    <x v="0"/>
    <x v="1"/>
    <x v="24"/>
    <s v="BBG00R4VZ614"/>
    <x v="9"/>
    <s v="7764daf78634437c8d58059674d26e96"/>
    <s v="ISA CTEEP - 8¬™ Emiss√£o"/>
    <x v="1"/>
    <x v="1"/>
    <s v="Transmission"/>
    <s v="Interliga√ß√£o El√©trica Itapura S.A. (Lote 10) - 8¬∞"/>
    <s v="Brazil"/>
    <d v="2018-12-15T00:00:00"/>
    <d v="2020-12-31T00:00:00"/>
    <s v="BRL"/>
    <n v="39244210.649999999"/>
    <n v="39244210"/>
    <s v="BRL"/>
    <n v="39244210"/>
    <n v="7552628"/>
    <b v="0"/>
    <n v="0.17"/>
  </r>
  <r>
    <b v="1"/>
    <x v="0"/>
    <x v="0"/>
    <x v="1"/>
    <x v="0"/>
    <x v="1"/>
    <x v="25"/>
    <n v="0"/>
    <x v="0"/>
    <s v="2d02a140e1674840929801f32b91dbf3"/>
    <s v="Suzano CRA Verde 2016"/>
    <x v="0"/>
    <x v="10"/>
    <s v="Commercial 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0"/>
    <x v="10"/>
    <s v="Commercial 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0"/>
    <x v="10"/>
    <s v="Commercial Forestry"/>
    <s v="Sustainable forestry (Social and environmental)"/>
    <s v="Brazil"/>
    <d v="2015-12-01T00:00:00"/>
    <d v="2015-12-01T00:00:00"/>
    <s v="BRL"/>
    <n v="356583000"/>
    <n v="356583000"/>
    <s v="BRL"/>
    <n v="356583000"/>
    <n v="108661455"/>
    <b v="1"/>
    <n v="1"/>
  </r>
  <r>
    <b v="1"/>
    <x v="0"/>
    <x v="0"/>
    <x v="1"/>
    <x v="0"/>
    <x v="1"/>
    <x v="25"/>
    <n v="0"/>
    <x v="0"/>
    <s v="2d02a140e1674840929801f32b91dbf3"/>
    <s v="Suzano CRA Verde 2016"/>
    <x v="1"/>
    <x v="11"/>
    <s v="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1"/>
    <x v="11"/>
    <s v="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1"/>
    <x v="11"/>
    <s v="Forestry"/>
    <s v="Sustainable forestry (Social and environmental)"/>
    <s v="Brazil"/>
    <d v="2015-12-01T00:00:00"/>
    <d v="2015-12-01T00:00:00"/>
    <s v="BRL"/>
    <n v="356583000"/>
    <n v="356583000"/>
    <s v="BRL"/>
    <n v="356583000"/>
    <n v="108661455"/>
    <b v="1"/>
    <n v="1"/>
  </r>
  <r>
    <b v="1"/>
    <x v="0"/>
    <x v="0"/>
    <x v="1"/>
    <x v="0"/>
    <x v="1"/>
    <x v="24"/>
    <s v="BBG00R4VZ614"/>
    <x v="9"/>
    <s v="7764daf78634437c8d58059674d26e96"/>
    <s v="ISA CTEEP - 8¬™ Emiss√£o"/>
    <x v="0"/>
    <x v="0"/>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1"/>
    <x v="1"/>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0"/>
    <x v="0"/>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1"/>
    <x v="1"/>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0"/>
    <x v="0"/>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1"/>
    <x v="1"/>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0"/>
    <x v="0"/>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1"/>
    <x v="1"/>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0"/>
    <x v="0"/>
    <s v="Transmission"/>
    <s v="Interliga√ß√£o El√©trica Bigua√ßu S.A. - 8¬∞"/>
    <s v="Brazil"/>
    <d v="2018-12-15T00:00:00"/>
    <d v="2020-12-31T00:00:00"/>
    <s v="BRL"/>
    <n v="33356821"/>
    <n v="33356821"/>
    <s v="BRL"/>
    <n v="33356821"/>
    <n v="6419588"/>
    <b v="0"/>
    <n v="0.05"/>
  </r>
  <r>
    <b v="1"/>
    <x v="0"/>
    <x v="0"/>
    <x v="1"/>
    <x v="0"/>
    <x v="1"/>
    <x v="24"/>
    <s v="BBG00R4VZ614"/>
    <x v="9"/>
    <s v="7764daf78634437c8d58059674d26e96"/>
    <s v="ISA CTEEP - 8¬™ Emiss√£o"/>
    <x v="1"/>
    <x v="1"/>
    <s v="Transmission"/>
    <s v="Interliga√ß√£o El√©trica Bigua√ßu S.A. - 8¬∞"/>
    <s v="Brazil"/>
    <d v="2018-12-15T00:00:00"/>
    <d v="2020-12-31T00:00:00"/>
    <s v="BRL"/>
    <n v="33356821"/>
    <n v="33356821"/>
    <s v="BRL"/>
    <n v="33356821"/>
    <n v="6419588"/>
    <b v="0"/>
    <n v="0.05"/>
  </r>
  <r>
    <b v="1"/>
    <x v="0"/>
    <x v="0"/>
    <x v="2"/>
    <x v="0"/>
    <x v="1"/>
    <x v="21"/>
    <s v="BBG00YG422X6"/>
    <x v="6"/>
    <s v="5b9bc195be534adaa28f29ea980225c8"/>
    <s v="ISA CTEEP - 9¬™ Emiss√£o (2¬™ Serie)"/>
    <x v="0"/>
    <x v="0"/>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1"/>
    <x v="1"/>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0"/>
    <x v="0"/>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1"/>
    <x v="1"/>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0"/>
    <x v="0"/>
    <s v="Transmission"/>
    <s v="Projetos de Refor√ßos - 9¬∞"/>
    <s v="Brazil"/>
    <d v="2020-12-07T00:00:00"/>
    <d v="2021-12-31T00:00:00"/>
    <s v="BRL"/>
    <n v="27800000"/>
    <n v="27800000"/>
    <s v="BRL"/>
    <n v="27800000"/>
    <n v="5449698"/>
    <b v="0"/>
    <n v="0.16"/>
  </r>
  <r>
    <b v="1"/>
    <x v="0"/>
    <x v="0"/>
    <x v="2"/>
    <x v="0"/>
    <x v="1"/>
    <x v="21"/>
    <s v="BBG00YG422X6"/>
    <x v="6"/>
    <s v="5b9bc195be534adaa28f29ea980225c8"/>
    <s v="ISA CTEEP - 9¬™ Emiss√£o (2¬™ Serie)"/>
    <x v="1"/>
    <x v="1"/>
    <s v="Transmission"/>
    <s v="Projetos de Refor√ßos - 9¬∞"/>
    <s v="Brazil"/>
    <d v="2020-12-07T00:00:00"/>
    <d v="2021-12-31T00:00:00"/>
    <s v="BRL"/>
    <n v="27800000"/>
    <n v="27800000"/>
    <s v="BRL"/>
    <n v="27800000"/>
    <n v="5449698"/>
    <b v="0"/>
    <n v="0.16"/>
  </r>
  <r>
    <b v="1"/>
    <x v="0"/>
    <x v="0"/>
    <x v="2"/>
    <x v="0"/>
    <x v="1"/>
    <x v="26"/>
    <s v="BBG00Z71T3Y7"/>
    <x v="10"/>
    <s v="675b2c75c3cf4ef5be3d6cf3421d4300"/>
    <s v="ISA CTEEP - 10¬™ Emiss√£o"/>
    <x v="0"/>
    <x v="0"/>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1"/>
    <x v="1"/>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0"/>
    <x v="0"/>
    <s v="Transmission"/>
    <s v="Interliga√ß√£o El√©trica Evrecy S.A. (Minuano) - 10¬∞"/>
    <s v="Brazil"/>
    <d v="2021-02-10T00:00:00"/>
    <d v="2021-12-31T00:00:00"/>
    <s v="BRL"/>
    <n v="325364312"/>
    <n v="35790074"/>
    <s v="BRL"/>
    <n v="35790074"/>
    <n v="6625583"/>
    <b v="0"/>
    <n v="0.48"/>
  </r>
  <r>
    <b v="1"/>
    <x v="0"/>
    <x v="0"/>
    <x v="2"/>
    <x v="0"/>
    <x v="1"/>
    <x v="26"/>
    <s v="BBG00Z71T3Y7"/>
    <x v="10"/>
    <s v="675b2c75c3cf4ef5be3d6cf3421d4300"/>
    <s v="ISA CTEEP - 10¬™ Emiss√£o"/>
    <x v="1"/>
    <x v="1"/>
    <s v="Transmission"/>
    <s v="Interliga√ß√£o El√©trica Evrecy S.A. (Minuano) - 10¬∞"/>
    <s v="Brazil"/>
    <d v="2021-02-10T00:00:00"/>
    <d v="2021-12-31T00:00:00"/>
    <s v="BRL"/>
    <n v="325364312"/>
    <n v="35790074"/>
    <s v="BRL"/>
    <n v="35790074"/>
    <n v="6625583"/>
    <b v="0"/>
    <n v="0.48"/>
  </r>
  <r>
    <b v="1"/>
    <x v="0"/>
    <x v="0"/>
    <x v="1"/>
    <x v="0"/>
    <x v="1"/>
    <x v="27"/>
    <n v="0"/>
    <x v="0"/>
    <s v="44e27f4e41cc40a693f0cb8b082426ca"/>
    <s v="Fibria Green Bond 2027"/>
    <x v="0"/>
    <x v="10"/>
    <s v="Commercial Forestry"/>
    <s v="Forest Maintenance"/>
    <s v="Brazil"/>
    <d v="2019-12-01T00:00:00"/>
    <d v="2019-12-01T00:00:00"/>
    <s v="BRL"/>
    <n v="41100000"/>
    <n v="41100000"/>
    <s v="USD"/>
    <n v="10400000"/>
    <n v="10400000"/>
    <b v="0"/>
    <n v="1"/>
  </r>
  <r>
    <b v="1"/>
    <x v="0"/>
    <x v="0"/>
    <x v="1"/>
    <x v="0"/>
    <x v="1"/>
    <x v="27"/>
    <n v="0"/>
    <x v="0"/>
    <s v="44e27f4e41cc40a693f0cb8b082426ca"/>
    <s v="Fibria Green Bond 2027"/>
    <x v="0"/>
    <x v="10"/>
    <s v="Commercial Forestry"/>
    <s v="Forest Maintenance"/>
    <s v="Brazil"/>
    <d v="2018-12-01T00:00:00"/>
    <d v="2018-12-01T00:00:00"/>
    <s v="BRL"/>
    <n v="60400000"/>
    <n v="60400000"/>
    <s v="USD"/>
    <n v="16500000"/>
    <n v="16500000"/>
    <b v="0"/>
    <n v="1"/>
  </r>
  <r>
    <b v="1"/>
    <x v="0"/>
    <x v="0"/>
    <x v="1"/>
    <x v="0"/>
    <x v="1"/>
    <x v="27"/>
    <n v="0"/>
    <x v="0"/>
    <s v="44e27f4e41cc40a693f0cb8b082426ca"/>
    <s v="Fibria Green Bond 2027"/>
    <x v="0"/>
    <x v="10"/>
    <s v="Commercial Forestry"/>
    <s v="Forest Maintenance"/>
    <s v="Brazil"/>
    <d v="2017-12-01T00:00:00"/>
    <d v="2017-12-01T00:00:00"/>
    <s v="BRL"/>
    <n v="66700000"/>
    <n v="66700000"/>
    <s v="USD"/>
    <n v="21100000"/>
    <n v="21100000"/>
    <b v="0"/>
    <n v="1"/>
  </r>
  <r>
    <b v="1"/>
    <x v="0"/>
    <x v="0"/>
    <x v="1"/>
    <x v="0"/>
    <x v="1"/>
    <x v="27"/>
    <n v="0"/>
    <x v="0"/>
    <s v="44e27f4e41cc40a693f0cb8b082426ca"/>
    <s v="Fibria Green Bond 2027"/>
    <x v="0"/>
    <x v="10"/>
    <s v="Commercial Forestry"/>
    <s v="Forest Maintenance"/>
    <s v="Brazil"/>
    <d v="2016-12-01T00:00:00"/>
    <d v="2016-12-01T00:00:00"/>
    <s v="BRL"/>
    <n v="66300000"/>
    <n v="66300000"/>
    <s v="USD"/>
    <n v="19000000"/>
    <n v="19000000"/>
    <b v="0"/>
    <n v="1"/>
  </r>
  <r>
    <b v="1"/>
    <x v="0"/>
    <x v="0"/>
    <x v="1"/>
    <x v="0"/>
    <x v="1"/>
    <x v="27"/>
    <n v="0"/>
    <x v="0"/>
    <s v="44e27f4e41cc40a693f0cb8b082426ca"/>
    <s v="Fibria Green Bond 2027"/>
    <x v="0"/>
    <x v="10"/>
    <s v="Commercial Forestry"/>
    <s v="Forest Maintenance"/>
    <s v="Brazil"/>
    <d v="2015-12-01T00:00:00"/>
    <d v="2015-12-01T00:00:00"/>
    <s v="BRL"/>
    <n v="35300000"/>
    <n v="35300000"/>
    <s v="USD"/>
    <n v="10600000"/>
    <n v="10600000"/>
    <b v="0"/>
    <n v="1"/>
  </r>
  <r>
    <b v="1"/>
    <x v="0"/>
    <x v="0"/>
    <x v="1"/>
    <x v="0"/>
    <x v="1"/>
    <x v="27"/>
    <n v="0"/>
    <x v="0"/>
    <s v="44e27f4e41cc40a693f0cb8b082426ca"/>
    <s v="Fibria Green Bond 2027"/>
    <x v="1"/>
    <x v="11"/>
    <s v="Forestry"/>
    <s v="Forest Maintenance"/>
    <s v="Brazil"/>
    <d v="2019-12-01T00:00:00"/>
    <d v="2019-12-01T00:00:00"/>
    <s v="BRL"/>
    <n v="41100000"/>
    <n v="41100000"/>
    <s v="USD"/>
    <n v="10400000"/>
    <n v="10400000"/>
    <b v="0"/>
    <n v="1"/>
  </r>
  <r>
    <b v="1"/>
    <x v="0"/>
    <x v="0"/>
    <x v="1"/>
    <x v="0"/>
    <x v="1"/>
    <x v="27"/>
    <n v="0"/>
    <x v="0"/>
    <s v="44e27f4e41cc40a693f0cb8b082426ca"/>
    <s v="Fibria Green Bond 2027"/>
    <x v="1"/>
    <x v="11"/>
    <s v="Forestry"/>
    <s v="Forest Maintenance"/>
    <s v="Brazil"/>
    <d v="2018-12-01T00:00:00"/>
    <d v="2018-12-01T00:00:00"/>
    <s v="BRL"/>
    <n v="60400000"/>
    <n v="60400000"/>
    <s v="USD"/>
    <n v="16500000"/>
    <n v="16500000"/>
    <b v="0"/>
    <n v="1"/>
  </r>
  <r>
    <b v="1"/>
    <x v="0"/>
    <x v="0"/>
    <x v="1"/>
    <x v="0"/>
    <x v="1"/>
    <x v="27"/>
    <n v="0"/>
    <x v="0"/>
    <s v="44e27f4e41cc40a693f0cb8b082426ca"/>
    <s v="Fibria Green Bond 2027"/>
    <x v="1"/>
    <x v="11"/>
    <s v="Forestry"/>
    <s v="Forest Maintenance"/>
    <s v="Brazil"/>
    <d v="2017-12-01T00:00:00"/>
    <d v="2017-12-01T00:00:00"/>
    <s v="BRL"/>
    <n v="66700000"/>
    <n v="66700000"/>
    <s v="USD"/>
    <n v="21100000"/>
    <n v="21100000"/>
    <b v="0"/>
    <n v="1"/>
  </r>
  <r>
    <b v="1"/>
    <x v="0"/>
    <x v="0"/>
    <x v="1"/>
    <x v="0"/>
    <x v="1"/>
    <x v="27"/>
    <n v="0"/>
    <x v="0"/>
    <s v="44e27f4e41cc40a693f0cb8b082426ca"/>
    <s v="Fibria Green Bond 2027"/>
    <x v="1"/>
    <x v="11"/>
    <s v="Forestry"/>
    <s v="Forest Maintenance"/>
    <s v="Brazil"/>
    <d v="2016-12-01T00:00:00"/>
    <d v="2016-12-01T00:00:00"/>
    <s v="BRL"/>
    <n v="66300000"/>
    <n v="66300000"/>
    <s v="USD"/>
    <n v="19000000"/>
    <n v="19000000"/>
    <b v="0"/>
    <n v="1"/>
  </r>
  <r>
    <b v="1"/>
    <x v="0"/>
    <x v="0"/>
    <x v="1"/>
    <x v="0"/>
    <x v="1"/>
    <x v="27"/>
    <n v="0"/>
    <x v="0"/>
    <s v="44e27f4e41cc40a693f0cb8b082426ca"/>
    <s v="Fibria Green Bond 2027"/>
    <x v="1"/>
    <x v="11"/>
    <s v="Forestry"/>
    <s v="Forest Maintenance"/>
    <s v="Brazil"/>
    <d v="2015-12-01T00:00:00"/>
    <d v="2015-12-01T00:00:00"/>
    <s v="BRL"/>
    <n v="35300000"/>
    <n v="35300000"/>
    <s v="USD"/>
    <n v="10600000"/>
    <n v="10600000"/>
    <b v="0"/>
    <n v="1"/>
  </r>
  <r>
    <b v="1"/>
    <x v="0"/>
    <x v="0"/>
    <x v="1"/>
    <x v="0"/>
    <x v="1"/>
    <x v="27"/>
    <n v="0"/>
    <x v="0"/>
    <s v="44e27f4e41cc40a693f0cb8b082426ca"/>
    <s v="Fibria Green Bond 2027"/>
    <x v="0"/>
    <x v="10"/>
    <s v="Commercial 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0"/>
    <x v="10"/>
    <s v="Commercial 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0"/>
    <x v="10"/>
    <s v="Commercial 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0"/>
    <x v="10"/>
    <s v="Commercial 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0"/>
    <x v="10"/>
    <s v="Commercial 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1"/>
    <x v="11"/>
    <s v="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1"/>
    <x v="11"/>
    <s v="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1"/>
    <x v="11"/>
    <s v="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1"/>
    <x v="11"/>
    <s v="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1"/>
    <x v="11"/>
    <s v="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0"/>
    <x v="10"/>
    <s v="Commercial Forestry"/>
    <s v="Certified Wood Purchase"/>
    <s v="Brazil"/>
    <d v="2019-12-01T00:00:00"/>
    <d v="2019-12-01T00:00:00"/>
    <s v="BRL"/>
    <n v="185600000"/>
    <n v="185600000"/>
    <s v="USD"/>
    <n v="47000000"/>
    <n v="47000000"/>
    <b v="1"/>
    <n v="1"/>
  </r>
  <r>
    <b v="1"/>
    <x v="0"/>
    <x v="0"/>
    <x v="1"/>
    <x v="0"/>
    <x v="1"/>
    <x v="27"/>
    <n v="0"/>
    <x v="0"/>
    <s v="44e27f4e41cc40a693f0cb8b082426ca"/>
    <s v="Fibria Green Bond 2027"/>
    <x v="0"/>
    <x v="10"/>
    <s v="Commercial Forestry"/>
    <s v="Certified Wood Purchase"/>
    <s v="Brazil"/>
    <d v="2018-12-01T00:00:00"/>
    <d v="2018-12-01T00:00:00"/>
    <s v="BRL"/>
    <n v="199600000"/>
    <n v="199600000"/>
    <s v="USD"/>
    <n v="54600000"/>
    <n v="54600000"/>
    <b v="1"/>
    <n v="1"/>
  </r>
  <r>
    <b v="1"/>
    <x v="0"/>
    <x v="0"/>
    <x v="1"/>
    <x v="0"/>
    <x v="1"/>
    <x v="27"/>
    <n v="0"/>
    <x v="0"/>
    <s v="44e27f4e41cc40a693f0cb8b082426ca"/>
    <s v="Fibria Green Bond 2027"/>
    <x v="0"/>
    <x v="10"/>
    <s v="Commercial Forestry"/>
    <s v="Certified Wood Purchase"/>
    <s v="Brazil"/>
    <d v="2017-12-01T00:00:00"/>
    <d v="2017-12-01T00:00:00"/>
    <s v="BRL"/>
    <n v="100800000"/>
    <n v="100800000"/>
    <s v="USD"/>
    <n v="31600000"/>
    <n v="31600000"/>
    <b v="1"/>
    <n v="1"/>
  </r>
  <r>
    <b v="1"/>
    <x v="0"/>
    <x v="0"/>
    <x v="1"/>
    <x v="0"/>
    <x v="1"/>
    <x v="27"/>
    <n v="0"/>
    <x v="0"/>
    <s v="44e27f4e41cc40a693f0cb8b082426ca"/>
    <s v="Fibria Green Bond 2027"/>
    <x v="0"/>
    <x v="10"/>
    <s v="Commercial Forestry"/>
    <s v="Certified Wood Purchase"/>
    <s v="Brazil"/>
    <d v="2016-12-01T00:00:00"/>
    <d v="2016-12-01T00:00:00"/>
    <s v="BRL"/>
    <n v="288500000"/>
    <n v="288500000"/>
    <s v="USD"/>
    <n v="82800000"/>
    <n v="82800000"/>
    <b v="1"/>
    <n v="1"/>
  </r>
  <r>
    <b v="1"/>
    <x v="0"/>
    <x v="0"/>
    <x v="1"/>
    <x v="0"/>
    <x v="1"/>
    <x v="27"/>
    <n v="0"/>
    <x v="0"/>
    <s v="44e27f4e41cc40a693f0cb8b082426ca"/>
    <s v="Fibria Green Bond 2027"/>
    <x v="0"/>
    <x v="10"/>
    <s v="Commercial Forestry"/>
    <s v="Certified Wood Purchase"/>
    <s v="Brazil"/>
    <d v="2015-12-01T00:00:00"/>
    <d v="2015-12-01T00:00:00"/>
    <s v="BRL"/>
    <n v="235300000"/>
    <n v="235300000"/>
    <s v="USD"/>
    <n v="70500000"/>
    <n v="70500000"/>
    <b v="1"/>
    <n v="1"/>
  </r>
  <r>
    <b v="1"/>
    <x v="0"/>
    <x v="0"/>
    <x v="1"/>
    <x v="0"/>
    <x v="1"/>
    <x v="27"/>
    <n v="0"/>
    <x v="0"/>
    <s v="44e27f4e41cc40a693f0cb8b082426ca"/>
    <s v="Fibria Green Bond 2027"/>
    <x v="1"/>
    <x v="11"/>
    <s v="Forestry"/>
    <s v="Certified Wood Purchase"/>
    <s v="Brazil"/>
    <d v="2019-12-01T00:00:00"/>
    <d v="2019-12-01T00:00:00"/>
    <s v="BRL"/>
    <n v="185600000"/>
    <n v="185600000"/>
    <s v="USD"/>
    <n v="47000000"/>
    <n v="47000000"/>
    <b v="1"/>
    <n v="1"/>
  </r>
  <r>
    <b v="1"/>
    <x v="0"/>
    <x v="0"/>
    <x v="1"/>
    <x v="0"/>
    <x v="1"/>
    <x v="27"/>
    <n v="0"/>
    <x v="0"/>
    <s v="44e27f4e41cc40a693f0cb8b082426ca"/>
    <s v="Fibria Green Bond 2027"/>
    <x v="1"/>
    <x v="11"/>
    <s v="Forestry"/>
    <s v="Certified Wood Purchase"/>
    <s v="Brazil"/>
    <d v="2018-12-01T00:00:00"/>
    <d v="2018-12-01T00:00:00"/>
    <s v="BRL"/>
    <n v="199600000"/>
    <n v="199600000"/>
    <s v="USD"/>
    <n v="54600000"/>
    <n v="54600000"/>
    <b v="1"/>
    <n v="1"/>
  </r>
  <r>
    <b v="1"/>
    <x v="0"/>
    <x v="0"/>
    <x v="1"/>
    <x v="0"/>
    <x v="1"/>
    <x v="27"/>
    <n v="0"/>
    <x v="0"/>
    <s v="44e27f4e41cc40a693f0cb8b082426ca"/>
    <s v="Fibria Green Bond 2027"/>
    <x v="1"/>
    <x v="11"/>
    <s v="Forestry"/>
    <s v="Certified Wood Purchase"/>
    <s v="Brazil"/>
    <d v="2017-12-01T00:00:00"/>
    <d v="2017-12-01T00:00:00"/>
    <s v="BRL"/>
    <n v="100800000"/>
    <n v="100800000"/>
    <s v="USD"/>
    <n v="31600000"/>
    <n v="31600000"/>
    <b v="1"/>
    <n v="1"/>
  </r>
  <r>
    <b v="1"/>
    <x v="0"/>
    <x v="0"/>
    <x v="1"/>
    <x v="0"/>
    <x v="1"/>
    <x v="27"/>
    <n v="0"/>
    <x v="0"/>
    <s v="44e27f4e41cc40a693f0cb8b082426ca"/>
    <s v="Fibria Green Bond 2027"/>
    <x v="1"/>
    <x v="11"/>
    <s v="Forestry"/>
    <s v="Certified Wood Purchase"/>
    <s v="Brazil"/>
    <d v="2016-12-01T00:00:00"/>
    <d v="2016-12-01T00:00:00"/>
    <s v="BRL"/>
    <n v="288500000"/>
    <n v="288500000"/>
    <s v="USD"/>
    <n v="82800000"/>
    <n v="82800000"/>
    <b v="1"/>
    <n v="1"/>
  </r>
  <r>
    <b v="1"/>
    <x v="0"/>
    <x v="0"/>
    <x v="1"/>
    <x v="0"/>
    <x v="1"/>
    <x v="27"/>
    <n v="0"/>
    <x v="0"/>
    <s v="44e27f4e41cc40a693f0cb8b082426ca"/>
    <s v="Fibria Green Bond 2027"/>
    <x v="1"/>
    <x v="11"/>
    <s v="Forestry"/>
    <s v="Certified Wood Purchase"/>
    <s v="Brazil"/>
    <d v="2015-12-01T00:00:00"/>
    <d v="2015-12-01T00:00:00"/>
    <s v="BRL"/>
    <n v="235300000"/>
    <n v="235300000"/>
    <s v="USD"/>
    <n v="70500000"/>
    <n v="70500000"/>
    <b v="1"/>
    <n v="1"/>
  </r>
  <r>
    <b v="1"/>
    <x v="0"/>
    <x v="0"/>
    <x v="1"/>
    <x v="0"/>
    <x v="1"/>
    <x v="27"/>
    <n v="0"/>
    <x v="0"/>
    <s v="44e27f4e41cc40a693f0cb8b082426ca"/>
    <s v="Fibria Green Bond 2027"/>
    <x v="0"/>
    <x v="10"/>
    <s v="Ecosystem Conservation &amp; Restoration"/>
    <s v="Restoration"/>
    <s v="Brazil"/>
    <d v="2019-12-01T00:00:00"/>
    <d v="2019-12-01T00:00:00"/>
    <s v="BRL"/>
    <n v="800000"/>
    <n v="800000"/>
    <s v="USD"/>
    <n v="200000"/>
    <n v="200000"/>
    <b v="1"/>
    <n v="1"/>
  </r>
  <r>
    <b v="1"/>
    <x v="0"/>
    <x v="0"/>
    <x v="1"/>
    <x v="0"/>
    <x v="1"/>
    <x v="27"/>
    <n v="0"/>
    <x v="0"/>
    <s v="44e27f4e41cc40a693f0cb8b082426ca"/>
    <s v="Fibria Green Bond 2027"/>
    <x v="0"/>
    <x v="10"/>
    <s v="Ecosystem Conservation &amp; Restoration"/>
    <s v="Restoration"/>
    <s v="Brazil"/>
    <d v="2018-12-01T00:00:00"/>
    <d v="2018-12-01T00:00:00"/>
    <s v="BRL"/>
    <n v="2400000"/>
    <n v="2400000"/>
    <s v="USD"/>
    <n v="700000"/>
    <n v="700000"/>
    <b v="1"/>
    <n v="1"/>
  </r>
  <r>
    <b v="1"/>
    <x v="0"/>
    <x v="0"/>
    <x v="1"/>
    <x v="0"/>
    <x v="1"/>
    <x v="27"/>
    <n v="0"/>
    <x v="0"/>
    <s v="44e27f4e41cc40a693f0cb8b082426ca"/>
    <s v="Fibria Green Bond 2027"/>
    <x v="0"/>
    <x v="10"/>
    <s v="Ecosystem Conservation &amp; Restoration"/>
    <s v="Restoration"/>
    <s v="Brazil"/>
    <d v="2017-12-01T00:00:00"/>
    <d v="2017-12-01T00:00:00"/>
    <s v="BRL"/>
    <n v="3000000"/>
    <n v="3000000"/>
    <s v="USD"/>
    <n v="900000"/>
    <n v="900000"/>
    <b v="1"/>
    <n v="1"/>
  </r>
  <r>
    <b v="1"/>
    <x v="0"/>
    <x v="0"/>
    <x v="1"/>
    <x v="0"/>
    <x v="1"/>
    <x v="27"/>
    <n v="0"/>
    <x v="0"/>
    <s v="44e27f4e41cc40a693f0cb8b082426ca"/>
    <s v="Fibria Green Bond 2027"/>
    <x v="0"/>
    <x v="10"/>
    <s v="Ecosystem Conservation &amp; Restoration"/>
    <s v="Restoration"/>
    <s v="Brazil"/>
    <d v="2016-12-01T00:00:00"/>
    <d v="2016-12-01T00:00:00"/>
    <s v="BRL"/>
    <n v="4400000"/>
    <n v="4400000"/>
    <s v="USD"/>
    <n v="1300000"/>
    <n v="1300000"/>
    <b v="1"/>
    <n v="1"/>
  </r>
  <r>
    <b v="1"/>
    <x v="0"/>
    <x v="0"/>
    <x v="1"/>
    <x v="0"/>
    <x v="1"/>
    <x v="27"/>
    <n v="0"/>
    <x v="0"/>
    <s v="44e27f4e41cc40a693f0cb8b082426ca"/>
    <s v="Fibria Green Bond 2027"/>
    <x v="0"/>
    <x v="10"/>
    <s v="Ecosystem Conservation &amp; Restoration"/>
    <s v="Restoration"/>
    <s v="Brazil"/>
    <d v="2015-12-01T00:00:00"/>
    <d v="2015-12-01T00:00:00"/>
    <s v="BRL"/>
    <n v="4000000"/>
    <n v="4000000"/>
    <s v="USD"/>
    <n v="1200000"/>
    <n v="1200000"/>
    <b v="1"/>
    <n v="1"/>
  </r>
  <r>
    <b v="1"/>
    <x v="0"/>
    <x v="0"/>
    <x v="1"/>
    <x v="0"/>
    <x v="1"/>
    <x v="27"/>
    <n v="0"/>
    <x v="0"/>
    <s v="44e27f4e41cc40a693f0cb8b082426ca"/>
    <s v="Fibria Green Bond 2027"/>
    <x v="1"/>
    <x v="11"/>
    <s v="Natural landscapes"/>
    <s v="Restoration"/>
    <s v="Brazil"/>
    <d v="2019-12-01T00:00:00"/>
    <d v="2019-12-01T00:00:00"/>
    <s v="BRL"/>
    <n v="800000"/>
    <n v="800000"/>
    <s v="USD"/>
    <n v="200000"/>
    <n v="200000"/>
    <b v="1"/>
    <n v="1"/>
  </r>
  <r>
    <b v="1"/>
    <x v="0"/>
    <x v="0"/>
    <x v="1"/>
    <x v="0"/>
    <x v="1"/>
    <x v="27"/>
    <n v="0"/>
    <x v="0"/>
    <s v="44e27f4e41cc40a693f0cb8b082426ca"/>
    <s v="Fibria Green Bond 2027"/>
    <x v="1"/>
    <x v="11"/>
    <s v="Natural landscapes"/>
    <s v="Restoration"/>
    <s v="Brazil"/>
    <d v="2018-12-01T00:00:00"/>
    <d v="2018-12-01T00:00:00"/>
    <s v="BRL"/>
    <n v="2400000"/>
    <n v="2400000"/>
    <s v="USD"/>
    <n v="700000"/>
    <n v="700000"/>
    <b v="1"/>
    <n v="1"/>
  </r>
  <r>
    <b v="1"/>
    <x v="0"/>
    <x v="0"/>
    <x v="1"/>
    <x v="0"/>
    <x v="1"/>
    <x v="27"/>
    <n v="0"/>
    <x v="0"/>
    <s v="44e27f4e41cc40a693f0cb8b082426ca"/>
    <s v="Fibria Green Bond 2027"/>
    <x v="1"/>
    <x v="11"/>
    <s v="Natural landscapes"/>
    <s v="Restoration"/>
    <s v="Brazil"/>
    <d v="2017-12-01T00:00:00"/>
    <d v="2017-12-01T00:00:00"/>
    <s v="BRL"/>
    <n v="3000000"/>
    <n v="3000000"/>
    <s v="USD"/>
    <n v="900000"/>
    <n v="900000"/>
    <b v="1"/>
    <n v="1"/>
  </r>
  <r>
    <b v="1"/>
    <x v="0"/>
    <x v="0"/>
    <x v="1"/>
    <x v="0"/>
    <x v="1"/>
    <x v="27"/>
    <n v="0"/>
    <x v="0"/>
    <s v="44e27f4e41cc40a693f0cb8b082426ca"/>
    <s v="Fibria Green Bond 2027"/>
    <x v="1"/>
    <x v="11"/>
    <s v="Natural landscapes"/>
    <s v="Restoration"/>
    <s v="Brazil"/>
    <d v="2016-12-01T00:00:00"/>
    <d v="2016-12-01T00:00:00"/>
    <s v="BRL"/>
    <n v="4400000"/>
    <n v="4400000"/>
    <s v="USD"/>
    <n v="1300000"/>
    <n v="1300000"/>
    <b v="1"/>
    <n v="1"/>
  </r>
  <r>
    <b v="1"/>
    <x v="0"/>
    <x v="0"/>
    <x v="1"/>
    <x v="0"/>
    <x v="1"/>
    <x v="27"/>
    <n v="0"/>
    <x v="0"/>
    <s v="44e27f4e41cc40a693f0cb8b082426ca"/>
    <s v="Fibria Green Bond 2027"/>
    <x v="1"/>
    <x v="11"/>
    <s v="Natural landscapes"/>
    <s v="Restoration"/>
    <s v="Brazil"/>
    <d v="2015-12-01T00:00:00"/>
    <d v="2015-12-01T00:00:00"/>
    <s v="BRL"/>
    <n v="4000000"/>
    <n v="4000000"/>
    <s v="USD"/>
    <n v="1200000"/>
    <n v="1200000"/>
    <b v="1"/>
    <n v="1"/>
  </r>
  <r>
    <b v="1"/>
    <x v="0"/>
    <x v="0"/>
    <x v="1"/>
    <x v="0"/>
    <x v="1"/>
    <x v="27"/>
    <n v="0"/>
    <x v="0"/>
    <s v="44e27f4e41cc40a693f0cb8b082426ca"/>
    <s v="Fibria Green Bond 2027"/>
    <x v="0"/>
    <x v="10"/>
    <s v="Ecosystem Conservation &amp; Restoration"/>
    <s v="Conservation of Biodiversity"/>
    <s v="Brazil"/>
    <d v="2019-12-01T00:00:00"/>
    <d v="2019-12-01T00:00:00"/>
    <s v="BRL"/>
    <n v="2200000"/>
    <n v="2200000"/>
    <s v="USD"/>
    <n v="600000"/>
    <n v="600000"/>
    <b v="1"/>
    <n v="1"/>
  </r>
  <r>
    <b v="1"/>
    <x v="0"/>
    <x v="0"/>
    <x v="1"/>
    <x v="0"/>
    <x v="1"/>
    <x v="27"/>
    <n v="0"/>
    <x v="0"/>
    <s v="44e27f4e41cc40a693f0cb8b082426ca"/>
    <s v="Fibria Green Bond 2027"/>
    <x v="0"/>
    <x v="10"/>
    <s v="Ecosystem Conservation &amp; Restoration"/>
    <s v="Conservation of Biodiversity"/>
    <s v="Brazil"/>
    <d v="2018-12-01T00:00:00"/>
    <d v="2018-12-01T00:00:00"/>
    <s v="BRL"/>
    <n v="900000"/>
    <n v="900000"/>
    <s v="USD"/>
    <n v="200000"/>
    <n v="200000"/>
    <b v="1"/>
    <n v="1"/>
  </r>
  <r>
    <b v="1"/>
    <x v="0"/>
    <x v="0"/>
    <x v="1"/>
    <x v="0"/>
    <x v="1"/>
    <x v="27"/>
    <n v="0"/>
    <x v="0"/>
    <s v="44e27f4e41cc40a693f0cb8b082426ca"/>
    <s v="Fibria Green Bond 2027"/>
    <x v="0"/>
    <x v="10"/>
    <s v="Ecosystem Conservation &amp; Restoration"/>
    <s v="Conservation of Biodiversity"/>
    <s v="Brazil"/>
    <d v="2017-12-01T00:00:00"/>
    <d v="2017-12-01T00:00:00"/>
    <s v="BRL"/>
    <n v="1200000"/>
    <n v="1200000"/>
    <s v="USD"/>
    <n v="400000"/>
    <n v="400000"/>
    <b v="1"/>
    <n v="1"/>
  </r>
  <r>
    <b v="1"/>
    <x v="0"/>
    <x v="0"/>
    <x v="1"/>
    <x v="0"/>
    <x v="1"/>
    <x v="27"/>
    <n v="0"/>
    <x v="0"/>
    <s v="44e27f4e41cc40a693f0cb8b082426ca"/>
    <s v="Fibria Green Bond 2027"/>
    <x v="0"/>
    <x v="10"/>
    <s v="Ecosystem Conservation &amp; Restoration"/>
    <s v="Conservation of Biodiversity"/>
    <s v="Brazil"/>
    <d v="2016-12-01T00:00:00"/>
    <d v="2016-12-01T00:00:00"/>
    <s v="BRL"/>
    <n v="700000"/>
    <n v="700000"/>
    <s v="USD"/>
    <n v="200000"/>
    <n v="200000"/>
    <b v="1"/>
    <n v="1"/>
  </r>
  <r>
    <b v="1"/>
    <x v="0"/>
    <x v="0"/>
    <x v="1"/>
    <x v="0"/>
    <x v="1"/>
    <x v="27"/>
    <n v="0"/>
    <x v="0"/>
    <s v="44e27f4e41cc40a693f0cb8b082426ca"/>
    <s v="Fibria Green Bond 2027"/>
    <x v="0"/>
    <x v="10"/>
    <s v="Ecosystem Conservation &amp; Restoration"/>
    <s v="Conservation of Biodiversity"/>
    <s v="Brazil"/>
    <d v="2015-12-01T00:00:00"/>
    <d v="2015-12-01T00:00:00"/>
    <s v="BRL"/>
    <n v="300000"/>
    <n v="300000"/>
    <s v="USD"/>
    <n v="100000"/>
    <n v="100000"/>
    <b v="1"/>
    <n v="1"/>
  </r>
  <r>
    <b v="1"/>
    <x v="0"/>
    <x v="0"/>
    <x v="1"/>
    <x v="0"/>
    <x v="1"/>
    <x v="27"/>
    <n v="0"/>
    <x v="0"/>
    <s v="44e27f4e41cc40a693f0cb8b082426ca"/>
    <s v="Fibria Green Bond 2027"/>
    <x v="1"/>
    <x v="11"/>
    <s v="Natural landscapes"/>
    <s v="Conservation of Biodiversity"/>
    <s v="Brazil"/>
    <d v="2019-12-01T00:00:00"/>
    <d v="2019-12-01T00:00:00"/>
    <s v="BRL"/>
    <n v="2200000"/>
    <n v="2200000"/>
    <s v="USD"/>
    <n v="600000"/>
    <n v="600000"/>
    <b v="1"/>
    <n v="1"/>
  </r>
  <r>
    <b v="1"/>
    <x v="0"/>
    <x v="0"/>
    <x v="1"/>
    <x v="0"/>
    <x v="1"/>
    <x v="27"/>
    <n v="0"/>
    <x v="0"/>
    <s v="44e27f4e41cc40a693f0cb8b082426ca"/>
    <s v="Fibria Green Bond 2027"/>
    <x v="1"/>
    <x v="11"/>
    <s v="Natural landscapes"/>
    <s v="Conservation of Biodiversity"/>
    <s v="Brazil"/>
    <d v="2018-12-01T00:00:00"/>
    <d v="2018-12-01T00:00:00"/>
    <s v="BRL"/>
    <n v="900000"/>
    <n v="900000"/>
    <s v="USD"/>
    <n v="200000"/>
    <n v="200000"/>
    <b v="1"/>
    <n v="1"/>
  </r>
  <r>
    <b v="1"/>
    <x v="0"/>
    <x v="0"/>
    <x v="1"/>
    <x v="0"/>
    <x v="1"/>
    <x v="27"/>
    <n v="0"/>
    <x v="0"/>
    <s v="44e27f4e41cc40a693f0cb8b082426ca"/>
    <s v="Fibria Green Bond 2027"/>
    <x v="1"/>
    <x v="11"/>
    <s v="Natural landscapes"/>
    <s v="Conservation of Biodiversity"/>
    <s v="Brazil"/>
    <d v="2017-12-01T00:00:00"/>
    <d v="2017-12-01T00:00:00"/>
    <s v="BRL"/>
    <n v="1200000"/>
    <n v="1200000"/>
    <s v="USD"/>
    <n v="400000"/>
    <n v="400000"/>
    <b v="1"/>
    <n v="1"/>
  </r>
  <r>
    <b v="1"/>
    <x v="0"/>
    <x v="0"/>
    <x v="1"/>
    <x v="0"/>
    <x v="1"/>
    <x v="27"/>
    <n v="0"/>
    <x v="0"/>
    <s v="44e27f4e41cc40a693f0cb8b082426ca"/>
    <s v="Fibria Green Bond 2027"/>
    <x v="1"/>
    <x v="11"/>
    <s v="Natural landscapes"/>
    <s v="Conservation of Biodiversity"/>
    <s v="Brazil"/>
    <d v="2016-12-01T00:00:00"/>
    <d v="2016-12-01T00:00:00"/>
    <s v="BRL"/>
    <n v="700000"/>
    <n v="700000"/>
    <s v="USD"/>
    <n v="200000"/>
    <n v="200000"/>
    <b v="1"/>
    <n v="1"/>
  </r>
  <r>
    <b v="1"/>
    <x v="0"/>
    <x v="0"/>
    <x v="1"/>
    <x v="0"/>
    <x v="1"/>
    <x v="27"/>
    <n v="0"/>
    <x v="0"/>
    <s v="44e27f4e41cc40a693f0cb8b082426ca"/>
    <s v="Fibria Green Bond 2027"/>
    <x v="1"/>
    <x v="11"/>
    <s v="Natural landscapes"/>
    <s v="Conservation of Biodiversity"/>
    <s v="Brazil"/>
    <d v="2015-12-01T00:00:00"/>
    <d v="2015-12-01T00:00:00"/>
    <s v="BRL"/>
    <n v="300000"/>
    <n v="300000"/>
    <s v="USD"/>
    <n v="100000"/>
    <n v="100000"/>
    <b v="1"/>
    <n v="1"/>
  </r>
  <r>
    <b v="1"/>
    <x v="0"/>
    <x v="0"/>
    <x v="1"/>
    <x v="0"/>
    <x v="1"/>
    <x v="27"/>
    <n v="0"/>
    <x v="0"/>
    <s v="44e27f4e41cc40a693f0cb8b082426ca"/>
    <s v="Fibria Green Bond 2027"/>
    <x v="0"/>
    <x v="15"/>
    <s v="Recycling"/>
    <s v="Waste Management"/>
    <s v="Brazil"/>
    <d v="2019-12-01T00:00:00"/>
    <d v="2019-12-01T00:00:00"/>
    <s v="BRL"/>
    <n v="16900000"/>
    <n v="16900000"/>
    <s v="USD"/>
    <n v="4300000"/>
    <n v="4300000"/>
    <b v="1"/>
    <n v="1"/>
  </r>
  <r>
    <b v="1"/>
    <x v="0"/>
    <x v="0"/>
    <x v="1"/>
    <x v="0"/>
    <x v="1"/>
    <x v="27"/>
    <n v="0"/>
    <x v="0"/>
    <s v="44e27f4e41cc40a693f0cb8b082426ca"/>
    <s v="Fibria Green Bond 2027"/>
    <x v="0"/>
    <x v="15"/>
    <s v="Recycling"/>
    <s v="Waste Management"/>
    <s v="Brazil"/>
    <d v="2018-12-01T00:00:00"/>
    <d v="2018-12-01T00:00:00"/>
    <s v="BRL"/>
    <n v="2900000"/>
    <n v="2900000"/>
    <s v="USD"/>
    <n v="800000"/>
    <n v="800000"/>
    <b v="1"/>
    <n v="1"/>
  </r>
  <r>
    <b v="1"/>
    <x v="0"/>
    <x v="0"/>
    <x v="1"/>
    <x v="0"/>
    <x v="1"/>
    <x v="27"/>
    <n v="0"/>
    <x v="0"/>
    <s v="44e27f4e41cc40a693f0cb8b082426ca"/>
    <s v="Fibria Green Bond 2027"/>
    <x v="0"/>
    <x v="15"/>
    <s v="Recycling"/>
    <s v="Waste Management"/>
    <s v="Brazil"/>
    <d v="2017-12-01T00:00:00"/>
    <d v="2017-12-01T00:00:00"/>
    <s v="BRL"/>
    <n v="46600000"/>
    <n v="46600000"/>
    <s v="USD"/>
    <n v="14600000"/>
    <n v="14600000"/>
    <b v="1"/>
    <n v="1"/>
  </r>
  <r>
    <b v="1"/>
    <x v="0"/>
    <x v="0"/>
    <x v="1"/>
    <x v="0"/>
    <x v="1"/>
    <x v="27"/>
    <n v="0"/>
    <x v="0"/>
    <s v="44e27f4e41cc40a693f0cb8b082426ca"/>
    <s v="Fibria Green Bond 2027"/>
    <x v="0"/>
    <x v="15"/>
    <s v="Recycling"/>
    <s v="Waste Management"/>
    <s v="Brazil"/>
    <d v="2016-12-01T00:00:00"/>
    <d v="2016-12-01T00:00:00"/>
    <s v="BRL"/>
    <n v="4900000"/>
    <n v="4900000"/>
    <s v="USD"/>
    <n v="1400000"/>
    <n v="1400000"/>
    <b v="1"/>
    <n v="1"/>
  </r>
  <r>
    <b v="1"/>
    <x v="0"/>
    <x v="0"/>
    <x v="1"/>
    <x v="0"/>
    <x v="1"/>
    <x v="27"/>
    <n v="0"/>
    <x v="0"/>
    <s v="44e27f4e41cc40a693f0cb8b082426ca"/>
    <s v="Fibria Green Bond 2027"/>
    <x v="1"/>
    <x v="12"/>
    <s v="Waste reduction"/>
    <s v="Waste Management"/>
    <s v="Brazil"/>
    <d v="2019-12-01T00:00:00"/>
    <d v="2019-12-01T00:00:00"/>
    <s v="BRL"/>
    <n v="16900000"/>
    <n v="16900000"/>
    <s v="USD"/>
    <n v="4300000"/>
    <n v="4300000"/>
    <b v="1"/>
    <n v="1"/>
  </r>
  <r>
    <b v="1"/>
    <x v="0"/>
    <x v="0"/>
    <x v="1"/>
    <x v="0"/>
    <x v="1"/>
    <x v="27"/>
    <n v="0"/>
    <x v="0"/>
    <s v="44e27f4e41cc40a693f0cb8b082426ca"/>
    <s v="Fibria Green Bond 2027"/>
    <x v="1"/>
    <x v="12"/>
    <s v="Waste reduction"/>
    <s v="Waste Management"/>
    <s v="Brazil"/>
    <d v="2018-12-01T00:00:00"/>
    <d v="2018-12-01T00:00:00"/>
    <s v="BRL"/>
    <n v="2900000"/>
    <n v="2900000"/>
    <s v="USD"/>
    <n v="800000"/>
    <n v="800000"/>
    <b v="1"/>
    <n v="1"/>
  </r>
  <r>
    <b v="1"/>
    <x v="0"/>
    <x v="0"/>
    <x v="1"/>
    <x v="0"/>
    <x v="1"/>
    <x v="27"/>
    <n v="0"/>
    <x v="0"/>
    <s v="44e27f4e41cc40a693f0cb8b082426ca"/>
    <s v="Fibria Green Bond 2027"/>
    <x v="1"/>
    <x v="12"/>
    <s v="Waste reduction"/>
    <s v="Waste Management"/>
    <s v="Brazil"/>
    <d v="2017-12-01T00:00:00"/>
    <d v="2017-12-01T00:00:00"/>
    <s v="BRL"/>
    <n v="46600000"/>
    <n v="46600000"/>
    <s v="USD"/>
    <n v="14600000"/>
    <n v="14600000"/>
    <b v="1"/>
    <n v="1"/>
  </r>
  <r>
    <b v="1"/>
    <x v="0"/>
    <x v="0"/>
    <x v="1"/>
    <x v="0"/>
    <x v="1"/>
    <x v="27"/>
    <n v="0"/>
    <x v="0"/>
    <s v="44e27f4e41cc40a693f0cb8b082426ca"/>
    <s v="Fibria Green Bond 2027"/>
    <x v="1"/>
    <x v="12"/>
    <s v="Waste reduction"/>
    <s v="Waste Management"/>
    <s v="Brazil"/>
    <d v="2016-12-01T00:00:00"/>
    <d v="2016-12-01T00:00:00"/>
    <s v="BRL"/>
    <n v="4900000"/>
    <n v="4900000"/>
    <s v="USD"/>
    <n v="1400000"/>
    <n v="1400000"/>
    <b v="1"/>
    <n v="1"/>
  </r>
  <r>
    <b v="1"/>
    <x v="0"/>
    <x v="0"/>
    <x v="1"/>
    <x v="0"/>
    <x v="1"/>
    <x v="27"/>
    <n v="0"/>
    <x v="0"/>
    <s v="44e27f4e41cc40a693f0cb8b082426ca"/>
    <s v="Fibria Green Bond 2027"/>
    <x v="0"/>
    <x v="7"/>
    <s v="Products &amp; Systems for Efficiency"/>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0"/>
    <x v="7"/>
    <s v="Products &amp; Systems for Efficiency"/>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0"/>
    <x v="7"/>
    <s v="Products &amp; Systems for Efficiency"/>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0"/>
    <x v="7"/>
    <s v="Products &amp; Systems for Efficiency"/>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1"/>
    <x v="4"/>
    <s v="Appliances"/>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1"/>
    <x v="4"/>
    <s v="Appliances"/>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0"/>
    <x v="0"/>
    <s v="Bioenergy"/>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0"/>
    <x v="0"/>
    <s v="Bioenergy"/>
    <s v="Renewable Energy ‚Äì Generation of Energy from Renewable Sources"/>
    <s v="Brazil"/>
    <d v="2016-12-01T00:00:00"/>
    <d v="2016-12-01T00:00:00"/>
    <s v="BRL"/>
    <n v="700000"/>
    <n v="700000"/>
    <s v="USD"/>
    <n v="200000"/>
    <n v="200000"/>
    <b v="1"/>
    <n v="1"/>
  </r>
  <r>
    <b v="1"/>
    <x v="0"/>
    <x v="0"/>
    <x v="1"/>
    <x v="0"/>
    <x v="1"/>
    <x v="27"/>
    <n v="0"/>
    <x v="0"/>
    <s v="44e27f4e41cc40a693f0cb8b082426ca"/>
    <s v="Fibria Green Bond 2027"/>
    <x v="1"/>
    <x v="1"/>
    <s v="Generation"/>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1"/>
    <x v="1"/>
    <s v="Generation"/>
    <s v="Renewable Energy ‚Äì Generation of Energy from Renewable Sources"/>
    <s v="Brazil"/>
    <d v="2016-12-01T00:00:00"/>
    <d v="2016-12-01T00:00:00"/>
    <s v="BRL"/>
    <n v="700000"/>
    <n v="700000"/>
    <s v="USD"/>
    <n v="200000"/>
    <n v="200000"/>
    <b v="1"/>
    <n v="1"/>
  </r>
  <r>
    <b v="1"/>
    <x v="0"/>
    <x v="0"/>
    <x v="2"/>
    <x v="0"/>
    <x v="1"/>
    <x v="28"/>
    <n v="0"/>
    <x v="0"/>
    <s v="65809b95fbf34e898b30b546b2d2a6a8"/>
    <s v="AES Argentina Green Bond"/>
    <x v="0"/>
    <x v="0"/>
    <s v="Wind"/>
    <s v="Vientos Neuquinos"/>
    <s v="Argentina"/>
    <d v="2020-03-31T00:00:00"/>
    <d v="2020-03-31T00:00:00"/>
    <s v="USD"/>
    <n v="48000000"/>
    <n v="48000000"/>
    <s v="USD"/>
    <n v="48000000"/>
    <n v="48000000"/>
    <b v="0"/>
    <n v="0.35"/>
  </r>
  <r>
    <b v="1"/>
    <x v="0"/>
    <x v="0"/>
    <x v="2"/>
    <x v="0"/>
    <x v="1"/>
    <x v="28"/>
    <n v="0"/>
    <x v="0"/>
    <s v="65809b95fbf34e898b30b546b2d2a6a8"/>
    <s v="AES Argentina Green Bond"/>
    <x v="1"/>
    <x v="1"/>
    <s v="Generation"/>
    <s v="Vientos Neuquinos"/>
    <s v="Argentina"/>
    <d v="2020-03-31T00:00:00"/>
    <d v="2020-03-31T00:00:00"/>
    <s v="USD"/>
    <n v="48000000"/>
    <n v="48000000"/>
    <s v="USD"/>
    <n v="48000000"/>
    <n v="48000000"/>
    <b v="0"/>
    <n v="0.35"/>
  </r>
  <r>
    <b v="1"/>
    <x v="0"/>
    <x v="0"/>
    <x v="2"/>
    <x v="0"/>
    <x v="1"/>
    <x v="28"/>
    <n v="0"/>
    <x v="0"/>
    <s v="65809b95fbf34e898b30b546b2d2a6a8"/>
    <s v="AES Argentina Green Bond"/>
    <x v="2"/>
    <x v="9"/>
    <s v="Unspecified"/>
    <s v="Vientos Neuquinos"/>
    <s v="Argentina"/>
    <d v="2020-03-31T00:00:00"/>
    <d v="2020-03-31T00:00:00"/>
    <s v="USD"/>
    <n v="48000000"/>
    <n v="48000000"/>
    <s v="USD"/>
    <n v="48000000"/>
    <n v="48000000"/>
    <b v="0"/>
    <n v="0.35"/>
  </r>
  <r>
    <b v="1"/>
    <x v="0"/>
    <x v="0"/>
    <x v="2"/>
    <x v="0"/>
    <x v="1"/>
    <x v="28"/>
    <n v="0"/>
    <x v="0"/>
    <s v="65809b95fbf34e898b30b546b2d2a6a8"/>
    <s v="AES Argentina Green Bond"/>
    <x v="3"/>
    <x v="9"/>
    <s v="Unspecified"/>
    <s v="Vientos Neuquinos"/>
    <s v="Argentina"/>
    <d v="2020-03-31T00:00:00"/>
    <d v="2020-03-31T00:00:00"/>
    <s v="USD"/>
    <n v="48000000"/>
    <n v="48000000"/>
    <s v="USD"/>
    <n v="48000000"/>
    <n v="48000000"/>
    <b v="0"/>
    <n v="0.35"/>
  </r>
  <r>
    <b v="1"/>
    <x v="0"/>
    <x v="0"/>
    <x v="1"/>
    <x v="0"/>
    <x v="1"/>
    <x v="29"/>
    <n v="0"/>
    <x v="11"/>
    <s v="0a375fceacec416eab4e7bd776b260c3"/>
    <s v="Clase I"/>
    <x v="0"/>
    <x v="0"/>
    <s v="Wind"/>
    <s v="Manque 1"/>
    <s v="Argentina"/>
    <d v="2020-09-11T00:00:00"/>
    <d v="2020-09-02T00:00:00"/>
    <s v="ARS"/>
    <n v="1504346043"/>
    <n v="1504346043"/>
    <s v="USD"/>
    <n v="20330374"/>
    <n v="20330374"/>
    <b v="1"/>
    <n v="0.28999999999999998"/>
  </r>
  <r>
    <b v="1"/>
    <x v="0"/>
    <x v="0"/>
    <x v="1"/>
    <x v="0"/>
    <x v="1"/>
    <x v="29"/>
    <n v="0"/>
    <x v="11"/>
    <s v="0a375fceacec416eab4e7bd776b260c3"/>
    <s v="Clase I"/>
    <x v="1"/>
    <x v="1"/>
    <s v="Generation"/>
    <s v="Manque 1"/>
    <s v="Argentina"/>
    <d v="2020-09-11T00:00:00"/>
    <d v="2020-09-02T00:00:00"/>
    <s v="ARS"/>
    <n v="1504346043"/>
    <n v="1504346043"/>
    <s v="USD"/>
    <n v="20330374"/>
    <n v="20330374"/>
    <b v="1"/>
    <n v="0.28999999999999998"/>
  </r>
  <r>
    <b v="1"/>
    <x v="0"/>
    <x v="0"/>
    <x v="1"/>
    <x v="0"/>
    <x v="1"/>
    <x v="29"/>
    <n v="0"/>
    <x v="11"/>
    <s v="0a375fceacec416eab4e7bd776b260c3"/>
    <s v="Clase I"/>
    <x v="0"/>
    <x v="0"/>
    <s v="Wind"/>
    <s v="Los Olivos 1"/>
    <s v="Argentina"/>
    <d v="2020-09-24T00:00:00"/>
    <d v="2020-09-02T00:00:00"/>
    <s v="ARS"/>
    <n v="1075832969"/>
    <n v="1075832969"/>
    <s v="USD"/>
    <n v="14359266"/>
    <n v="14359266"/>
    <b v="1"/>
    <n v="0.5"/>
  </r>
  <r>
    <b v="1"/>
    <x v="0"/>
    <x v="0"/>
    <x v="1"/>
    <x v="0"/>
    <x v="1"/>
    <x v="29"/>
    <n v="0"/>
    <x v="11"/>
    <s v="0a375fceacec416eab4e7bd776b260c3"/>
    <s v="Clase I"/>
    <x v="1"/>
    <x v="1"/>
    <s v="Generation"/>
    <s v="Los Olivos 1"/>
    <s v="Argentina"/>
    <d v="2020-09-24T00:00:00"/>
    <d v="2020-09-02T00:00:00"/>
    <s v="ARS"/>
    <n v="1075832969"/>
    <n v="1075832969"/>
    <s v="USD"/>
    <n v="14359266"/>
    <n v="14359266"/>
    <b v="1"/>
    <n v="0.5"/>
  </r>
  <r>
    <b v="1"/>
    <x v="0"/>
    <x v="0"/>
    <x v="1"/>
    <x v="0"/>
    <x v="1"/>
    <x v="30"/>
    <n v="0"/>
    <x v="12"/>
    <s v="591bdf3d52c84e4b9abd76b03591ae92"/>
    <s v="Clase II"/>
    <x v="0"/>
    <x v="0"/>
    <s v="Wind"/>
    <s v="Manque 2"/>
    <s v="Argentina"/>
    <d v="2020-09-11T00:00:00"/>
    <d v="2020-09-02T00:00:00"/>
    <s v="ARS"/>
    <n v="641785861"/>
    <n v="641785861"/>
    <s v="ARS"/>
    <n v="641785861"/>
    <n v="8673368"/>
    <b v="1"/>
    <n v="0.12"/>
  </r>
  <r>
    <b v="1"/>
    <x v="0"/>
    <x v="0"/>
    <x v="1"/>
    <x v="0"/>
    <x v="1"/>
    <x v="30"/>
    <n v="0"/>
    <x v="12"/>
    <s v="591bdf3d52c84e4b9abd76b03591ae92"/>
    <s v="Clase II"/>
    <x v="1"/>
    <x v="1"/>
    <s v="Generation"/>
    <s v="Manque 2"/>
    <s v="Argentina"/>
    <d v="2020-09-11T00:00:00"/>
    <d v="2020-09-02T00:00:00"/>
    <s v="ARS"/>
    <n v="641785861"/>
    <n v="641785861"/>
    <s v="ARS"/>
    <n v="641785861"/>
    <n v="8673368"/>
    <b v="1"/>
    <n v="0.12"/>
  </r>
  <r>
    <b v="1"/>
    <x v="0"/>
    <x v="0"/>
    <x v="1"/>
    <x v="0"/>
    <x v="1"/>
    <x v="30"/>
    <n v="0"/>
    <x v="12"/>
    <s v="591bdf3d52c84e4b9abd76b03591ae92"/>
    <s v="Clase II"/>
    <x v="0"/>
    <x v="0"/>
    <s v="Wind"/>
    <s v="Los Olivos 2"/>
    <s v="Argentina"/>
    <d v="2020-09-24T00:00:00"/>
    <d v="2020-09-02T00:00:00"/>
    <s v="ARS"/>
    <n v="458973114"/>
    <n v="458973114"/>
    <s v="ARS"/>
    <n v="458973114"/>
    <n v="6202758"/>
    <b v="1"/>
    <n v="0.21"/>
  </r>
  <r>
    <b v="1"/>
    <x v="0"/>
    <x v="0"/>
    <x v="1"/>
    <x v="0"/>
    <x v="1"/>
    <x v="30"/>
    <n v="0"/>
    <x v="12"/>
    <s v="591bdf3d52c84e4b9abd76b03591ae92"/>
    <s v="Clase II"/>
    <x v="1"/>
    <x v="1"/>
    <s v="Generation"/>
    <s v="Los Olivos 2"/>
    <s v="Argentina"/>
    <d v="2020-09-24T00:00:00"/>
    <d v="2020-09-02T00:00:00"/>
    <s v="ARS"/>
    <n v="458973114"/>
    <n v="458973114"/>
    <s v="ARS"/>
    <n v="458973114"/>
    <n v="6202758"/>
    <b v="1"/>
    <n v="0.21"/>
  </r>
  <r>
    <b v="1"/>
    <x v="2"/>
    <x v="0"/>
    <x v="0"/>
    <x v="0"/>
    <x v="1"/>
    <x v="31"/>
    <n v="0"/>
    <x v="0"/>
    <s v="b39685efcca04b61bebbca809d22fe37"/>
    <s v="BSOND-J"/>
    <x v="0"/>
    <x v="13"/>
    <s v="Data hubs"/>
    <s v="Data Center Tier IV KUDOS"/>
    <s v="Chile"/>
    <d v="2019-12-31T00:00:00"/>
    <d v="2019-12-31T00:00:00"/>
    <s v="CLP"/>
    <n v="18899062000"/>
    <n v="18899062000"/>
    <s v="CLF"/>
    <n v="672329"/>
    <n v="25241154"/>
    <b v="1"/>
    <n v="1"/>
  </r>
  <r>
    <b v="1"/>
    <x v="2"/>
    <x v="0"/>
    <x v="0"/>
    <x v="0"/>
    <x v="1"/>
    <x v="31"/>
    <n v="0"/>
    <x v="0"/>
    <s v="b39685efcca04b61bebbca809d22fe37"/>
    <s v="BSOND-J"/>
    <x v="1"/>
    <x v="8"/>
    <s v="Commercial"/>
    <s v="Data Center Tier IV KUDOS"/>
    <s v="Chile"/>
    <d v="2019-12-31T00:00:00"/>
    <d v="2019-12-31T00:00:00"/>
    <s v="CLP"/>
    <n v="18899062000"/>
    <n v="18899062000"/>
    <s v="CLF"/>
    <n v="672329"/>
    <n v="25241154"/>
    <b v="1"/>
    <n v="1"/>
  </r>
  <r>
    <b v="1"/>
    <x v="2"/>
    <x v="0"/>
    <x v="0"/>
    <x v="0"/>
    <x v="1"/>
    <x v="31"/>
    <n v="0"/>
    <x v="0"/>
    <s v="b39685efcca04b61bebbca809d22fe37"/>
    <s v="BSOND-J"/>
    <x v="2"/>
    <x v="9"/>
    <s v="Unspecified"/>
    <s v="Data Center Tier IV KUDOS"/>
    <s v="Chile"/>
    <d v="2019-12-31T00:00:00"/>
    <d v="2019-12-31T00:00:00"/>
    <s v="CLP"/>
    <n v="18899062000"/>
    <n v="18899062000"/>
    <s v="CLF"/>
    <n v="672329"/>
    <n v="25241154"/>
    <b v="1"/>
    <n v="1"/>
  </r>
  <r>
    <b v="1"/>
    <x v="2"/>
    <x v="0"/>
    <x v="0"/>
    <x v="0"/>
    <x v="1"/>
    <x v="31"/>
    <n v="0"/>
    <x v="0"/>
    <s v="b39685efcca04b61bebbca809d22fe37"/>
    <s v="BSOND-J"/>
    <x v="3"/>
    <x v="9"/>
    <s v="Unspecified"/>
    <s v="Data Center Tier IV KUDOS"/>
    <s v="Chile"/>
    <d v="2019-12-31T00:00:00"/>
    <d v="2019-12-31T00:00:00"/>
    <s v="CLP"/>
    <n v="18899062000"/>
    <n v="18899062000"/>
    <s v="CLF"/>
    <n v="672329"/>
    <n v="25241154"/>
    <b v="1"/>
    <n v="1"/>
  </r>
  <r>
    <b v="1"/>
    <x v="0"/>
    <x v="0"/>
    <x v="0"/>
    <x v="0"/>
    <x v="0"/>
    <x v="32"/>
    <n v="0"/>
    <x v="0"/>
    <s v="75ebf4bea1c94bb19c2ffc24f937cac8"/>
    <s v="CRA Tab√¥a Fortalecimento"/>
    <x v="0"/>
    <x v="10"/>
    <s v="Agriculture"/>
    <s v="Assentamento Ibirapitanga"/>
    <s v="Brazil"/>
    <d v="2020-12-10T00:00:00"/>
    <d v="2020-12-10T00:00:00"/>
    <s v="BRL"/>
    <n v="424993"/>
    <n v="424993"/>
    <s v="BRL"/>
    <n v="424993"/>
    <n v="84357"/>
    <b v="1"/>
    <n v="1"/>
  </r>
  <r>
    <b v="1"/>
    <x v="0"/>
    <x v="0"/>
    <x v="0"/>
    <x v="0"/>
    <x v="0"/>
    <x v="32"/>
    <n v="0"/>
    <x v="0"/>
    <s v="75ebf4bea1c94bb19c2ffc24f937cac8"/>
    <s v="CRA Tab√¥a Fortalecimento"/>
    <x v="1"/>
    <x v="11"/>
    <s v="Forestry"/>
    <s v="Assentamento Ibirapitanga"/>
    <s v="Brazil"/>
    <d v="2020-12-10T00:00:00"/>
    <d v="2020-12-10T00:00:00"/>
    <s v="BRL"/>
    <n v="424993"/>
    <n v="424993"/>
    <s v="BRL"/>
    <n v="424993"/>
    <n v="84357"/>
    <b v="1"/>
    <n v="1"/>
  </r>
  <r>
    <b v="1"/>
    <x v="0"/>
    <x v="0"/>
    <x v="0"/>
    <x v="0"/>
    <x v="0"/>
    <x v="32"/>
    <n v="0"/>
    <x v="0"/>
    <s v="75ebf4bea1c94bb19c2ffc24f937cac8"/>
    <s v="CRA Tab√¥a Fortalecimento"/>
    <x v="0"/>
    <x v="10"/>
    <s v="Agriculture"/>
    <s v="Aurelino Leal"/>
    <s v="Brazil"/>
    <d v="2020-12-10T00:00:00"/>
    <d v="2020-12-10T00:00:00"/>
    <s v="BRL"/>
    <n v="72592"/>
    <n v="72592"/>
    <s v="BRL"/>
    <n v="72592"/>
    <n v="14409"/>
    <b v="1"/>
    <n v="1"/>
  </r>
  <r>
    <b v="1"/>
    <x v="0"/>
    <x v="0"/>
    <x v="0"/>
    <x v="0"/>
    <x v="0"/>
    <x v="32"/>
    <n v="0"/>
    <x v="0"/>
    <s v="75ebf4bea1c94bb19c2ffc24f937cac8"/>
    <s v="CRA Tab√¥a Fortalecimento"/>
    <x v="1"/>
    <x v="11"/>
    <s v="Forestry"/>
    <s v="Aurelino Leal"/>
    <s v="Brazil"/>
    <d v="2020-12-10T00:00:00"/>
    <d v="2020-12-10T00:00:00"/>
    <s v="BRL"/>
    <n v="72592"/>
    <n v="72592"/>
    <s v="BRL"/>
    <n v="72592"/>
    <n v="14409"/>
    <b v="1"/>
    <n v="1"/>
  </r>
  <r>
    <b v="1"/>
    <x v="0"/>
    <x v="0"/>
    <x v="0"/>
    <x v="0"/>
    <x v="0"/>
    <x v="32"/>
    <n v="0"/>
    <x v="0"/>
    <s v="75ebf4bea1c94bb19c2ffc24f937cac8"/>
    <s v="CRA Tab√¥a Fortalecimento"/>
    <x v="0"/>
    <x v="10"/>
    <s v="Agriculture"/>
    <s v="Camac√£"/>
    <s v="Brazil"/>
    <d v="2020-12-10T00:00:00"/>
    <d v="2020-12-10T00:00:00"/>
    <s v="BRL"/>
    <n v="101591"/>
    <n v="101591"/>
    <s v="BRL"/>
    <n v="101591"/>
    <n v="20165"/>
    <b v="1"/>
    <n v="1"/>
  </r>
  <r>
    <b v="1"/>
    <x v="0"/>
    <x v="0"/>
    <x v="0"/>
    <x v="0"/>
    <x v="0"/>
    <x v="32"/>
    <n v="0"/>
    <x v="0"/>
    <s v="75ebf4bea1c94bb19c2ffc24f937cac8"/>
    <s v="CRA Tab√¥a Fortalecimento"/>
    <x v="1"/>
    <x v="11"/>
    <s v="Forestry"/>
    <s v="Camac√£"/>
    <s v="Brazil"/>
    <d v="2020-12-10T00:00:00"/>
    <d v="2020-12-10T00:00:00"/>
    <s v="BRL"/>
    <n v="101591"/>
    <n v="101591"/>
    <s v="BRL"/>
    <n v="101591"/>
    <n v="20165"/>
    <b v="1"/>
    <n v="1"/>
  </r>
  <r>
    <b v="1"/>
    <x v="0"/>
    <x v="0"/>
    <x v="0"/>
    <x v="0"/>
    <x v="0"/>
    <x v="32"/>
    <n v="0"/>
    <x v="0"/>
    <s v="75ebf4bea1c94bb19c2ffc24f937cac8"/>
    <s v="CRA Tab√¥a Fortalecimento"/>
    <x v="0"/>
    <x v="10"/>
    <s v="Agriculture"/>
    <s v="Ilheus"/>
    <s v="Brazil"/>
    <d v="2020-12-10T00:00:00"/>
    <d v="2020-12-10T00:00:00"/>
    <s v="BRL"/>
    <n v="204897"/>
    <n v="204897"/>
    <s v="BRL"/>
    <n v="204897"/>
    <n v="40670"/>
    <b v="1"/>
    <n v="1"/>
  </r>
  <r>
    <b v="1"/>
    <x v="0"/>
    <x v="0"/>
    <x v="0"/>
    <x v="0"/>
    <x v="0"/>
    <x v="32"/>
    <n v="0"/>
    <x v="0"/>
    <s v="75ebf4bea1c94bb19c2ffc24f937cac8"/>
    <s v="CRA Tab√¥a Fortalecimento"/>
    <x v="1"/>
    <x v="11"/>
    <s v="Forestry"/>
    <s v="Ilheus"/>
    <s v="Brazil"/>
    <d v="2020-12-10T00:00:00"/>
    <d v="2020-12-10T00:00:00"/>
    <s v="BRL"/>
    <n v="204897"/>
    <n v="204897"/>
    <s v="BRL"/>
    <n v="204897"/>
    <n v="40670"/>
    <b v="1"/>
    <n v="1"/>
  </r>
  <r>
    <b v="1"/>
    <x v="0"/>
    <x v="0"/>
    <x v="0"/>
    <x v="0"/>
    <x v="0"/>
    <x v="32"/>
    <n v="0"/>
    <x v="0"/>
    <s v="75ebf4bea1c94bb19c2ffc24f937cac8"/>
    <s v="CRA Tab√¥a Fortalecimento"/>
    <x v="0"/>
    <x v="10"/>
    <s v="Agriculture"/>
    <s v="Uru√ßuca"/>
    <s v="Brazil"/>
    <d v="2020-12-10T00:00:00"/>
    <d v="2020-12-10T00:00:00"/>
    <s v="BRL"/>
    <n v="110482"/>
    <n v="110482"/>
    <s v="BRL"/>
    <n v="110482"/>
    <n v="21930"/>
    <b v="1"/>
    <n v="1"/>
  </r>
  <r>
    <b v="1"/>
    <x v="0"/>
    <x v="0"/>
    <x v="0"/>
    <x v="0"/>
    <x v="0"/>
    <x v="32"/>
    <n v="0"/>
    <x v="0"/>
    <s v="75ebf4bea1c94bb19c2ffc24f937cac8"/>
    <s v="CRA Tab√¥a Fortalecimento"/>
    <x v="1"/>
    <x v="11"/>
    <s v="Forestry"/>
    <s v="Uru√ßuca"/>
    <s v="Brazil"/>
    <d v="2020-12-10T00:00:00"/>
    <d v="2020-12-10T00:00:00"/>
    <s v="BRL"/>
    <n v="110482"/>
    <n v="110482"/>
    <s v="BRL"/>
    <n v="110482"/>
    <n v="21930"/>
    <b v="1"/>
    <n v="1"/>
  </r>
  <r>
    <b v="1"/>
    <x v="0"/>
    <x v="0"/>
    <x v="0"/>
    <x v="0"/>
    <x v="0"/>
    <x v="32"/>
    <n v="0"/>
    <x v="0"/>
    <s v="75ebf4bea1c94bb19c2ffc24f937cac8"/>
    <s v="CRA Tab√¥a Fortalecimento"/>
    <x v="0"/>
    <x v="10"/>
    <s v="Agriculture"/>
    <s v="Itacar√©"/>
    <s v="Brazil"/>
    <d v="2020-12-10T00:00:00"/>
    <d v="2020-12-10T00:00:00"/>
    <s v="BRL"/>
    <n v="135445"/>
    <n v="135445"/>
    <s v="BRL"/>
    <n v="135445"/>
    <n v="26885"/>
    <b v="1"/>
    <n v="1"/>
  </r>
  <r>
    <b v="1"/>
    <x v="0"/>
    <x v="0"/>
    <x v="0"/>
    <x v="0"/>
    <x v="0"/>
    <x v="32"/>
    <n v="0"/>
    <x v="0"/>
    <s v="75ebf4bea1c94bb19c2ffc24f937cac8"/>
    <s v="CRA Tab√¥a Fortalecimento"/>
    <x v="1"/>
    <x v="11"/>
    <s v="Forestry"/>
    <s v="Itacar√©"/>
    <s v="Brazil"/>
    <d v="2020-12-10T00:00:00"/>
    <d v="2020-12-10T00:00:00"/>
    <s v="BRL"/>
    <n v="135445"/>
    <n v="135445"/>
    <s v="BRL"/>
    <n v="135445"/>
    <n v="26885"/>
    <b v="1"/>
    <n v="1"/>
  </r>
  <r>
    <b v="1"/>
    <x v="0"/>
    <x v="0"/>
    <x v="2"/>
    <x v="0"/>
    <x v="1"/>
    <x v="14"/>
    <n v="0"/>
    <x v="7"/>
    <s v="c8db70a600e4496aa0bdff98338e72ee"/>
    <s v="CIFI Green Bond Program"/>
    <x v="0"/>
    <x v="0"/>
    <s v="Solar"/>
    <s v="Chimbarongo"/>
    <s v="Chile"/>
    <d v="2019-11-27T00:00:00"/>
    <d v="2018-03-23T00:00:00"/>
    <s v="USD"/>
    <n v="1010643"/>
    <n v="1010643"/>
    <s v="USD"/>
    <n v="1010643"/>
    <n v="1010643"/>
    <b v="1"/>
    <n v="0.56999999999999995"/>
  </r>
  <r>
    <b v="1"/>
    <x v="0"/>
    <x v="0"/>
    <x v="2"/>
    <x v="0"/>
    <x v="1"/>
    <x v="14"/>
    <n v="0"/>
    <x v="7"/>
    <s v="c8db70a600e4496aa0bdff98338e72ee"/>
    <s v="CIFI Green Bond Program"/>
    <x v="1"/>
    <x v="1"/>
    <s v="Products"/>
    <s v="Chimbarongo"/>
    <s v="Chile"/>
    <d v="2019-11-27T00:00:00"/>
    <d v="2018-03-23T00:00:00"/>
    <s v="USD"/>
    <n v="1010643"/>
    <n v="1010643"/>
    <s v="USD"/>
    <n v="1010643"/>
    <n v="1010643"/>
    <b v="1"/>
    <n v="0.56999999999999995"/>
  </r>
  <r>
    <b v="1"/>
    <x v="0"/>
    <x v="0"/>
    <x v="2"/>
    <x v="0"/>
    <x v="1"/>
    <x v="14"/>
    <n v="0"/>
    <x v="7"/>
    <s v="c8db70a600e4496aa0bdff98338e72ee"/>
    <s v="CIFI Green Bond Program"/>
    <x v="0"/>
    <x v="0"/>
    <s v="Solar"/>
    <s v="Panquehue"/>
    <s v="Chile"/>
    <d v="2020-02-28T00:00:00"/>
    <d v="2017-10-20T00:00:00"/>
    <s v="USD"/>
    <n v="1320816"/>
    <n v="1320816"/>
    <s v="USD"/>
    <n v="1320816"/>
    <n v="1320816"/>
    <b v="1"/>
    <n v="0.24"/>
  </r>
  <r>
    <b v="1"/>
    <x v="0"/>
    <x v="0"/>
    <x v="2"/>
    <x v="0"/>
    <x v="1"/>
    <x v="14"/>
    <n v="0"/>
    <x v="7"/>
    <s v="c8db70a600e4496aa0bdff98338e72ee"/>
    <s v="CIFI Green Bond Program"/>
    <x v="1"/>
    <x v="1"/>
    <s v="Products"/>
    <s v="Panquehue"/>
    <s v="Chile"/>
    <d v="2020-02-28T00:00:00"/>
    <d v="2017-10-20T00:00:00"/>
    <s v="USD"/>
    <n v="1320816"/>
    <n v="1320816"/>
    <s v="USD"/>
    <n v="1320816"/>
    <n v="1320816"/>
    <b v="1"/>
    <n v="0.24"/>
  </r>
  <r>
    <b v="1"/>
    <x v="0"/>
    <x v="0"/>
    <x v="2"/>
    <x v="0"/>
    <x v="1"/>
    <x v="14"/>
    <n v="0"/>
    <x v="7"/>
    <s v="c8db70a600e4496aa0bdff98338e72ee"/>
    <s v="CIFI Green Bond Program"/>
    <x v="0"/>
    <x v="0"/>
    <s v="Solar"/>
    <s v="El Espinal"/>
    <s v="Panama"/>
    <d v="2019-12-18T00:00:00"/>
    <d v="2018-05-30T00:00:00"/>
    <s v="USD"/>
    <n v="1062286"/>
    <n v="1062286"/>
    <s v="USD"/>
    <n v="1062286"/>
    <n v="1062286"/>
    <b v="1"/>
    <n v="0.26"/>
  </r>
  <r>
    <b v="1"/>
    <x v="0"/>
    <x v="0"/>
    <x v="2"/>
    <x v="0"/>
    <x v="1"/>
    <x v="14"/>
    <n v="0"/>
    <x v="7"/>
    <s v="c8db70a600e4496aa0bdff98338e72ee"/>
    <s v="CIFI Green Bond Program"/>
    <x v="0"/>
    <x v="0"/>
    <s v="Solar"/>
    <s v="El Espinal"/>
    <s v="Panama"/>
    <d v="2019-12-18T00:00:00"/>
    <d v="2018-03-28T00:00:00"/>
    <s v="USD"/>
    <n v="3001894"/>
    <n v="3001894"/>
    <s v="USD"/>
    <n v="3001894"/>
    <n v="3001894"/>
    <b v="1"/>
    <n v="0.26"/>
  </r>
  <r>
    <b v="1"/>
    <x v="0"/>
    <x v="0"/>
    <x v="2"/>
    <x v="0"/>
    <x v="1"/>
    <x v="14"/>
    <n v="0"/>
    <x v="7"/>
    <s v="c8db70a600e4496aa0bdff98338e72ee"/>
    <s v="CIFI Green Bond Program"/>
    <x v="1"/>
    <x v="1"/>
    <s v="Products"/>
    <s v="El Espinal"/>
    <s v="Panama"/>
    <d v="2019-12-18T00:00:00"/>
    <d v="2018-05-30T00:00:00"/>
    <s v="USD"/>
    <n v="1062286"/>
    <n v="1062286"/>
    <s v="USD"/>
    <n v="1062286"/>
    <n v="1062286"/>
    <b v="1"/>
    <n v="0.26"/>
  </r>
  <r>
    <b v="1"/>
    <x v="0"/>
    <x v="0"/>
    <x v="2"/>
    <x v="0"/>
    <x v="1"/>
    <x v="14"/>
    <n v="0"/>
    <x v="7"/>
    <s v="c8db70a600e4496aa0bdff98338e72ee"/>
    <s v="CIFI Green Bond Program"/>
    <x v="1"/>
    <x v="1"/>
    <s v="Products"/>
    <s v="El Espinal"/>
    <s v="Panama"/>
    <d v="2019-12-18T00:00:00"/>
    <d v="2018-03-28T00:00:00"/>
    <s v="USD"/>
    <n v="3001894"/>
    <n v="3001894"/>
    <s v="USD"/>
    <n v="3001894"/>
    <n v="3001894"/>
    <b v="1"/>
    <n v="0.26"/>
  </r>
  <r>
    <b v="1"/>
    <x v="0"/>
    <x v="0"/>
    <x v="2"/>
    <x v="0"/>
    <x v="1"/>
    <x v="14"/>
    <n v="0"/>
    <x v="7"/>
    <s v="c8db70a600e4496aa0bdff98338e72ee"/>
    <s v="CIFI Green Bond Program"/>
    <x v="0"/>
    <x v="0"/>
    <s v="Solar"/>
    <s v="Bosforo"/>
    <s v="El Salvador"/>
    <d v="2020-10-06T00:00:00"/>
    <d v="2019-09-16T00:00:00"/>
    <s v="USD"/>
    <n v="2237288"/>
    <n v="2237288"/>
    <s v="USD"/>
    <n v="2237288"/>
    <n v="2237288"/>
    <b v="1"/>
    <n v="0.09"/>
  </r>
  <r>
    <b v="1"/>
    <x v="0"/>
    <x v="0"/>
    <x v="2"/>
    <x v="0"/>
    <x v="1"/>
    <x v="14"/>
    <n v="0"/>
    <x v="7"/>
    <s v="c8db70a600e4496aa0bdff98338e72ee"/>
    <s v="CIFI Green Bond Program"/>
    <x v="0"/>
    <x v="0"/>
    <s v="Solar"/>
    <s v="Bosforo"/>
    <s v="El Salvador"/>
    <d v="2020-08-26T00:00:00"/>
    <d v="2019-12-09T00:00:00"/>
    <s v="USD"/>
    <n v="1118644"/>
    <n v="1118644"/>
    <s v="USD"/>
    <n v="1118644"/>
    <n v="1118644"/>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9-03-25T00:00:00"/>
    <s v="USD"/>
    <n v="1016949"/>
    <n v="1016949"/>
    <s v="USD"/>
    <n v="1016949"/>
    <n v="1016949"/>
    <b v="1"/>
    <n v="0.09"/>
  </r>
  <r>
    <b v="1"/>
    <x v="0"/>
    <x v="0"/>
    <x v="2"/>
    <x v="0"/>
    <x v="1"/>
    <x v="14"/>
    <n v="0"/>
    <x v="7"/>
    <s v="c8db70a600e4496aa0bdff98338e72ee"/>
    <s v="CIFI Green Bond Program"/>
    <x v="0"/>
    <x v="0"/>
    <s v="Solar"/>
    <s v="Bosforo"/>
    <s v="El Salvador"/>
    <d v="2019-12-18T00:00:00"/>
    <d v="2018-12-03T00:00:00"/>
    <s v="USD"/>
    <n v="3115561"/>
    <n v="3115561"/>
    <s v="USD"/>
    <n v="3115561"/>
    <n v="3115561"/>
    <b v="1"/>
    <n v="0.09"/>
  </r>
  <r>
    <b v="1"/>
    <x v="0"/>
    <x v="0"/>
    <x v="2"/>
    <x v="0"/>
    <x v="1"/>
    <x v="14"/>
    <n v="0"/>
    <x v="7"/>
    <s v="c8db70a600e4496aa0bdff98338e72ee"/>
    <s v="CIFI Green Bond Program"/>
    <x v="0"/>
    <x v="0"/>
    <s v="Solar"/>
    <s v="Bosforo"/>
    <s v="El Salvador"/>
    <d v="2019-12-18T00:00:00"/>
    <d v="2018-05-14T00:00:00"/>
    <s v="USD"/>
    <n v="2511558"/>
    <n v="2511558"/>
    <s v="USD"/>
    <n v="2511558"/>
    <n v="2511558"/>
    <b v="1"/>
    <n v="0.09"/>
  </r>
  <r>
    <b v="1"/>
    <x v="0"/>
    <x v="0"/>
    <x v="2"/>
    <x v="0"/>
    <x v="1"/>
    <x v="14"/>
    <n v="0"/>
    <x v="7"/>
    <s v="c8db70a600e4496aa0bdff98338e72ee"/>
    <s v="CIFI Green Bond Program"/>
    <x v="1"/>
    <x v="1"/>
    <s v="Products"/>
    <s v="Bosforo"/>
    <s v="El Salvador"/>
    <d v="2020-10-06T00:00:00"/>
    <d v="2019-09-16T00:00:00"/>
    <s v="USD"/>
    <n v="2237288"/>
    <n v="2237288"/>
    <s v="USD"/>
    <n v="2237288"/>
    <n v="2237288"/>
    <b v="1"/>
    <n v="0.09"/>
  </r>
  <r>
    <b v="1"/>
    <x v="0"/>
    <x v="0"/>
    <x v="2"/>
    <x v="0"/>
    <x v="1"/>
    <x v="14"/>
    <n v="0"/>
    <x v="7"/>
    <s v="c8db70a600e4496aa0bdff98338e72ee"/>
    <s v="CIFI Green Bond Program"/>
    <x v="1"/>
    <x v="1"/>
    <s v="Products"/>
    <s v="Bosforo"/>
    <s v="El Salvador"/>
    <d v="2020-08-26T00:00:00"/>
    <d v="2019-12-09T00:00:00"/>
    <s v="USD"/>
    <n v="1118644"/>
    <n v="1118644"/>
    <s v="USD"/>
    <n v="1118644"/>
    <n v="1118644"/>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9-03-25T00:00:00"/>
    <s v="USD"/>
    <n v="1016949"/>
    <n v="1016949"/>
    <s v="USD"/>
    <n v="1016949"/>
    <n v="1016949"/>
    <b v="1"/>
    <n v="0.09"/>
  </r>
  <r>
    <b v="1"/>
    <x v="0"/>
    <x v="0"/>
    <x v="2"/>
    <x v="0"/>
    <x v="1"/>
    <x v="14"/>
    <n v="0"/>
    <x v="7"/>
    <s v="c8db70a600e4496aa0bdff98338e72ee"/>
    <s v="CIFI Green Bond Program"/>
    <x v="1"/>
    <x v="1"/>
    <s v="Products"/>
    <s v="Bosforo"/>
    <s v="El Salvador"/>
    <d v="2019-12-18T00:00:00"/>
    <d v="2018-12-03T00:00:00"/>
    <s v="USD"/>
    <n v="3115561"/>
    <n v="3115561"/>
    <s v="USD"/>
    <n v="3115561"/>
    <n v="3115561"/>
    <b v="1"/>
    <n v="0.09"/>
  </r>
  <r>
    <b v="1"/>
    <x v="0"/>
    <x v="0"/>
    <x v="2"/>
    <x v="0"/>
    <x v="1"/>
    <x v="14"/>
    <n v="0"/>
    <x v="7"/>
    <s v="c8db70a600e4496aa0bdff98338e72ee"/>
    <s v="CIFI Green Bond Program"/>
    <x v="1"/>
    <x v="1"/>
    <s v="Products"/>
    <s v="Bosforo"/>
    <s v="El Salvador"/>
    <d v="2019-12-18T00:00:00"/>
    <d v="2018-05-14T00:00:00"/>
    <s v="USD"/>
    <n v="2511558"/>
    <n v="2511558"/>
    <s v="USD"/>
    <n v="2511558"/>
    <n v="2511558"/>
    <b v="1"/>
    <n v="0.09"/>
  </r>
  <r>
    <b v="1"/>
    <x v="0"/>
    <x v="0"/>
    <x v="2"/>
    <x v="0"/>
    <x v="1"/>
    <x v="14"/>
    <n v="0"/>
    <x v="7"/>
    <s v="c8db70a600e4496aa0bdff98338e72ee"/>
    <s v="CIFI Green Bond Program"/>
    <x v="0"/>
    <x v="0"/>
    <s v="Solar"/>
    <s v="Panasolar"/>
    <s v="Panama"/>
    <d v="2020-10-28T00:00:00"/>
    <d v="2020-09-02T00:00:00"/>
    <s v="USD"/>
    <n v="6607713"/>
    <n v="6607713"/>
    <s v="USD"/>
    <n v="6607713"/>
    <n v="6607713"/>
    <b v="1"/>
    <n v="0.47"/>
  </r>
  <r>
    <b v="1"/>
    <x v="0"/>
    <x v="0"/>
    <x v="2"/>
    <x v="0"/>
    <x v="1"/>
    <x v="14"/>
    <n v="0"/>
    <x v="7"/>
    <s v="c8db70a600e4496aa0bdff98338e72ee"/>
    <s v="CIFI Green Bond Program"/>
    <x v="1"/>
    <x v="1"/>
    <s v="Products"/>
    <s v="Panasolar"/>
    <s v="Panama"/>
    <d v="2020-10-28T00:00:00"/>
    <d v="2020-09-02T00:00:00"/>
    <s v="USD"/>
    <n v="6607713"/>
    <n v="6607713"/>
    <s v="USD"/>
    <n v="6607713"/>
    <n v="6607713"/>
    <b v="1"/>
    <n v="0.47"/>
  </r>
  <r>
    <b v="1"/>
    <x v="0"/>
    <x v="0"/>
    <x v="0"/>
    <x v="0"/>
    <x v="0"/>
    <x v="33"/>
    <s v="BBG00WFC29W9"/>
    <x v="0"/>
    <s v="69021b69981246b2b037aa13c8fabc98"/>
    <s v="T√≠tulo Sustent√°vel Cuiab√°"/>
    <x v="0"/>
    <x v="2"/>
    <s v="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1"/>
    <x v="3"/>
    <s v="Wastewater 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2"/>
    <x v="9"/>
    <s v="Unspecified"/>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3"/>
    <x v="9"/>
    <s v="Unspecified"/>
    <s v="Sistema de Abastecimento de √°gua e Esgotamento Sanit√°rio Cuiab√°"/>
    <s v="Brazil"/>
    <d v="2020-07-15T00:00:00"/>
    <d v="2020-07-31T00:00:00"/>
    <s v="BRL"/>
    <n v="620486000"/>
    <n v="620486000"/>
    <s v="BRL"/>
    <n v="620486000"/>
    <n v="119262306"/>
    <b v="0"/>
    <n v="1"/>
  </r>
  <r>
    <b v="1"/>
    <x v="0"/>
    <x v="0"/>
    <x v="0"/>
    <x v="0"/>
    <x v="0"/>
    <x v="34"/>
    <s v="BBG00WGHMDH3"/>
    <x v="0"/>
    <s v="4de81a22550d465b9b985c699f30e69b"/>
    <s v="T√≠tulo Sustent√°vel Paranagu√°"/>
    <x v="0"/>
    <x v="2"/>
    <s v="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1"/>
    <x v="3"/>
    <s v="Wastewater 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2"/>
    <x v="9"/>
    <s v="Unspecified"/>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3"/>
    <x v="9"/>
    <s v="Unspecified"/>
    <s v="Sistema de Abastecimento de √°gua e Esgotamento Sanit√°rio Paranagu√°"/>
    <s v="Brazil"/>
    <d v="2020-07-15T00:00:00"/>
    <d v="2020-07-31T00:00:00"/>
    <s v="BRL"/>
    <n v="259804000"/>
    <n v="259804000"/>
    <s v="BRL"/>
    <n v="259804000"/>
    <n v="49936379"/>
    <b v="0"/>
    <n v="1"/>
  </r>
  <r>
    <b v="1"/>
    <x v="0"/>
    <x v="0"/>
    <x v="1"/>
    <x v="0"/>
    <x v="1"/>
    <x v="35"/>
    <s v="BBG00YGNGLS3"/>
    <x v="0"/>
    <s v="63eb049b54cf46b8871604a7b6c595b4"/>
    <s v="UEP Penonome II"/>
    <x v="0"/>
    <x v="0"/>
    <s v="Wind"/>
    <s v="UEP Penonom√© II"/>
    <s v="Panama"/>
    <d v="2020-12-18T00:00:00"/>
    <d v="2020-12-18T00:00:00"/>
    <s v="USD"/>
    <n v="262664000"/>
    <n v="262664000"/>
    <s v="USD"/>
    <n v="262664000"/>
    <n v="262664000"/>
    <b v="1"/>
    <n v="1"/>
  </r>
  <r>
    <b v="1"/>
    <x v="0"/>
    <x v="0"/>
    <x v="1"/>
    <x v="0"/>
    <x v="1"/>
    <x v="35"/>
    <s v="BBG00YGNGLS3"/>
    <x v="0"/>
    <s v="63eb049b54cf46b8871604a7b6c595b4"/>
    <s v="UEP Penonome II"/>
    <x v="1"/>
    <x v="1"/>
    <s v="Generation"/>
    <s v="UEP Penonom√© II"/>
    <s v="Panama"/>
    <d v="2020-12-18T00:00:00"/>
    <d v="2020-12-18T00:00:00"/>
    <s v="USD"/>
    <n v="262664000"/>
    <n v="262664000"/>
    <s v="USD"/>
    <n v="262664000"/>
    <n v="262664000"/>
    <b v="1"/>
    <n v="1"/>
  </r>
  <r>
    <b v="1"/>
    <x v="0"/>
    <x v="0"/>
    <x v="2"/>
    <x v="0"/>
    <x v="1"/>
    <x v="36"/>
    <s v="BBG00HPK5N13"/>
    <x v="0"/>
    <s v="7d27df26e2924c4d9fcf8ba0c0d9d684"/>
    <s v="Klabin 2027"/>
    <x v="0"/>
    <x v="10"/>
    <s v="Ecosystem Conservation &amp; Restoration"/>
    <s v="Control of exotic species (PR)"/>
    <s v="Brazil"/>
    <d v="2021-01-01T00:00:00"/>
    <d v="2021-01-01T00:00:00"/>
    <s v="BRL"/>
    <n v="663000"/>
    <n v="663000"/>
    <s v="USD"/>
    <n v="123000"/>
    <n v="123000"/>
    <b v="0"/>
    <n v="1"/>
  </r>
  <r>
    <b v="1"/>
    <x v="0"/>
    <x v="0"/>
    <x v="2"/>
    <x v="0"/>
    <x v="1"/>
    <x v="36"/>
    <s v="BBG00HPK5N13"/>
    <x v="0"/>
    <s v="7d27df26e2924c4d9fcf8ba0c0d9d684"/>
    <s v="Klabin 2027"/>
    <x v="0"/>
    <x v="10"/>
    <s v="Ecosystem Conservation &amp; Restoration"/>
    <s v="Control of exotic species (PR)"/>
    <s v="Brazil"/>
    <d v="2020-07-01T00:00:00"/>
    <d v="2020-07-01T00:00:00"/>
    <s v="BRL"/>
    <n v="631000"/>
    <n v="631000"/>
    <s v="USD"/>
    <n v="116000"/>
    <n v="116000"/>
    <b v="0"/>
    <n v="1"/>
  </r>
  <r>
    <b v="1"/>
    <x v="0"/>
    <x v="0"/>
    <x v="2"/>
    <x v="0"/>
    <x v="1"/>
    <x v="36"/>
    <s v="BBG00HPK5N13"/>
    <x v="0"/>
    <s v="7d27df26e2924c4d9fcf8ba0c0d9d684"/>
    <s v="Klabin 2027"/>
    <x v="0"/>
    <x v="10"/>
    <s v="Ecosystem Conservation &amp; Restoration"/>
    <s v="Control of exotic species (PR)"/>
    <s v="Brazil"/>
    <d v="2020-01-01T00:00:00"/>
    <d v="2020-01-01T00:00:00"/>
    <s v="BRL"/>
    <n v="380000"/>
    <n v="380000"/>
    <s v="USD"/>
    <n v="77000"/>
    <n v="77000"/>
    <b v="0"/>
    <n v="1"/>
  </r>
  <r>
    <b v="1"/>
    <x v="0"/>
    <x v="0"/>
    <x v="2"/>
    <x v="0"/>
    <x v="1"/>
    <x v="36"/>
    <s v="BBG00HPK5N13"/>
    <x v="0"/>
    <s v="7d27df26e2924c4d9fcf8ba0c0d9d684"/>
    <s v="Klabin 2027"/>
    <x v="0"/>
    <x v="10"/>
    <s v="Ecosystem Conservation &amp; Restoration"/>
    <s v="Control of exotic species (PR)"/>
    <s v="Brazil"/>
    <d v="2019-07-01T00:00:00"/>
    <d v="2019-07-01T00:00:00"/>
    <s v="BRL"/>
    <n v="697000"/>
    <n v="697000"/>
    <s v="USD"/>
    <n v="172000"/>
    <n v="172000"/>
    <b v="0"/>
    <n v="1"/>
  </r>
  <r>
    <b v="1"/>
    <x v="0"/>
    <x v="0"/>
    <x v="2"/>
    <x v="0"/>
    <x v="1"/>
    <x v="36"/>
    <s v="BBG00HPK5N13"/>
    <x v="0"/>
    <s v="7d27df26e2924c4d9fcf8ba0c0d9d684"/>
    <s v="Klabin 2027"/>
    <x v="0"/>
    <x v="10"/>
    <s v="Ecosystem Conservation &amp; Restoration"/>
    <s v="Control of exotic species (PR)"/>
    <s v="Brazil"/>
    <d v="2019-01-01T00:00:00"/>
    <d v="2019-01-01T00:00:00"/>
    <s v="BRL"/>
    <n v="455540"/>
    <n v="455540"/>
    <s v="USD"/>
    <n v="118450"/>
    <n v="118450"/>
    <b v="0"/>
    <n v="1"/>
  </r>
  <r>
    <b v="1"/>
    <x v="0"/>
    <x v="0"/>
    <x v="2"/>
    <x v="0"/>
    <x v="1"/>
    <x v="36"/>
    <s v="BBG00HPK5N13"/>
    <x v="0"/>
    <s v="7d27df26e2924c4d9fcf8ba0c0d9d684"/>
    <s v="Klabin 2027"/>
    <x v="0"/>
    <x v="10"/>
    <s v="Ecosystem Conservation &amp; Restoration"/>
    <s v="Control of exotic species (PR)"/>
    <s v="Brazil"/>
    <d v="2018-07-01T00:00:00"/>
    <d v="2018-07-01T00:00:00"/>
    <s v="BRL"/>
    <n v="406600"/>
    <n v="406600"/>
    <s v="USD"/>
    <n v="104780"/>
    <n v="104780"/>
    <b v="0"/>
    <n v="1"/>
  </r>
  <r>
    <b v="1"/>
    <x v="0"/>
    <x v="0"/>
    <x v="2"/>
    <x v="0"/>
    <x v="1"/>
    <x v="36"/>
    <s v="BBG00HPK5N13"/>
    <x v="0"/>
    <s v="7d27df26e2924c4d9fcf8ba0c0d9d684"/>
    <s v="Klabin 2027"/>
    <x v="1"/>
    <x v="11"/>
    <s v="Natural landscapes"/>
    <s v="Control of exotic species (PR)"/>
    <s v="Brazil"/>
    <d v="2021-01-01T00:00:00"/>
    <d v="2021-01-01T00:00:00"/>
    <s v="BRL"/>
    <n v="663000"/>
    <n v="663000"/>
    <s v="USD"/>
    <n v="123000"/>
    <n v="123000"/>
    <b v="0"/>
    <n v="1"/>
  </r>
  <r>
    <b v="1"/>
    <x v="0"/>
    <x v="0"/>
    <x v="2"/>
    <x v="0"/>
    <x v="1"/>
    <x v="36"/>
    <s v="BBG00HPK5N13"/>
    <x v="0"/>
    <s v="7d27df26e2924c4d9fcf8ba0c0d9d684"/>
    <s v="Klabin 2027"/>
    <x v="1"/>
    <x v="11"/>
    <s v="Natural landscapes"/>
    <s v="Control of exotic species (PR)"/>
    <s v="Brazil"/>
    <d v="2020-07-01T00:00:00"/>
    <d v="2020-07-01T00:00:00"/>
    <s v="BRL"/>
    <n v="631000"/>
    <n v="631000"/>
    <s v="USD"/>
    <n v="116000"/>
    <n v="116000"/>
    <b v="0"/>
    <n v="1"/>
  </r>
  <r>
    <b v="1"/>
    <x v="0"/>
    <x v="0"/>
    <x v="2"/>
    <x v="0"/>
    <x v="1"/>
    <x v="36"/>
    <s v="BBG00HPK5N13"/>
    <x v="0"/>
    <s v="7d27df26e2924c4d9fcf8ba0c0d9d684"/>
    <s v="Klabin 2027"/>
    <x v="1"/>
    <x v="11"/>
    <s v="Natural landscapes"/>
    <s v="Control of exotic species (PR)"/>
    <s v="Brazil"/>
    <d v="2020-01-01T00:00:00"/>
    <d v="2020-01-01T00:00:00"/>
    <s v="BRL"/>
    <n v="380000"/>
    <n v="380000"/>
    <s v="USD"/>
    <n v="77000"/>
    <n v="77000"/>
    <b v="0"/>
    <n v="1"/>
  </r>
  <r>
    <b v="1"/>
    <x v="0"/>
    <x v="0"/>
    <x v="2"/>
    <x v="0"/>
    <x v="1"/>
    <x v="36"/>
    <s v="BBG00HPK5N13"/>
    <x v="0"/>
    <s v="7d27df26e2924c4d9fcf8ba0c0d9d684"/>
    <s v="Klabin 2027"/>
    <x v="1"/>
    <x v="11"/>
    <s v="Natural landscapes"/>
    <s v="Control of exotic species (PR)"/>
    <s v="Brazil"/>
    <d v="2019-07-01T00:00:00"/>
    <d v="2019-07-01T00:00:00"/>
    <s v="BRL"/>
    <n v="697000"/>
    <n v="697000"/>
    <s v="USD"/>
    <n v="172000"/>
    <n v="172000"/>
    <b v="0"/>
    <n v="1"/>
  </r>
  <r>
    <b v="1"/>
    <x v="0"/>
    <x v="0"/>
    <x v="2"/>
    <x v="0"/>
    <x v="1"/>
    <x v="36"/>
    <s v="BBG00HPK5N13"/>
    <x v="0"/>
    <s v="7d27df26e2924c4d9fcf8ba0c0d9d684"/>
    <s v="Klabin 2027"/>
    <x v="1"/>
    <x v="11"/>
    <s v="Natural landscapes"/>
    <s v="Control of exotic species (PR)"/>
    <s v="Brazil"/>
    <d v="2019-01-01T00:00:00"/>
    <d v="2019-01-01T00:00:00"/>
    <s v="BRL"/>
    <n v="455540"/>
    <n v="455540"/>
    <s v="USD"/>
    <n v="118450"/>
    <n v="118450"/>
    <b v="0"/>
    <n v="1"/>
  </r>
  <r>
    <b v="1"/>
    <x v="0"/>
    <x v="0"/>
    <x v="2"/>
    <x v="0"/>
    <x v="1"/>
    <x v="36"/>
    <s v="BBG00HPK5N13"/>
    <x v="0"/>
    <s v="7d27df26e2924c4d9fcf8ba0c0d9d684"/>
    <s v="Klabin 2027"/>
    <x v="1"/>
    <x v="11"/>
    <s v="Natural landscapes"/>
    <s v="Control of exotic species (PR)"/>
    <s v="Brazil"/>
    <d v="2018-07-01T00:00:00"/>
    <d v="2018-07-01T00:00:00"/>
    <s v="BRL"/>
    <n v="406600"/>
    <n v="406600"/>
    <s v="USD"/>
    <n v="104780"/>
    <n v="104780"/>
    <b v="0"/>
    <n v="1"/>
  </r>
  <r>
    <b v="1"/>
    <x v="0"/>
    <x v="0"/>
    <x v="2"/>
    <x v="0"/>
    <x v="1"/>
    <x v="36"/>
    <s v="BBG00HPK5N13"/>
    <x v="0"/>
    <s v="7d27df26e2924c4d9fcf8ba0c0d9d684"/>
    <s v="Klabin 2027"/>
    <x v="0"/>
    <x v="10"/>
    <s v="Ecosystem Conservation &amp; Restoration"/>
    <s v="Control of exotic species (SC)"/>
    <s v="Brazil"/>
    <d v="2021-01-01T00:00:00"/>
    <d v="2021-01-01T00:00:00"/>
    <s v="BRL"/>
    <n v="465000"/>
    <n v="465000"/>
    <s v="USD"/>
    <n v="86000"/>
    <n v="86000"/>
    <b v="0"/>
    <n v="1"/>
  </r>
  <r>
    <b v="1"/>
    <x v="0"/>
    <x v="0"/>
    <x v="2"/>
    <x v="0"/>
    <x v="1"/>
    <x v="36"/>
    <s v="BBG00HPK5N13"/>
    <x v="0"/>
    <s v="7d27df26e2924c4d9fcf8ba0c0d9d684"/>
    <s v="Klabin 2027"/>
    <x v="0"/>
    <x v="10"/>
    <s v="Ecosystem Conservation &amp; Restoration"/>
    <s v="Control of exotic species (SC)"/>
    <s v="Brazil"/>
    <d v="2020-07-01T00:00:00"/>
    <d v="2020-07-01T00:00:00"/>
    <s v="BRL"/>
    <n v="448000"/>
    <n v="448000"/>
    <s v="USD"/>
    <n v="82000"/>
    <n v="82000"/>
    <b v="0"/>
    <n v="1"/>
  </r>
  <r>
    <b v="1"/>
    <x v="0"/>
    <x v="0"/>
    <x v="2"/>
    <x v="0"/>
    <x v="1"/>
    <x v="36"/>
    <s v="BBG00HPK5N13"/>
    <x v="0"/>
    <s v="7d27df26e2924c4d9fcf8ba0c0d9d684"/>
    <s v="Klabin 2027"/>
    <x v="0"/>
    <x v="10"/>
    <s v="Ecosystem Conservation &amp; Restoration"/>
    <s v="Control of exotic species (SC)"/>
    <s v="Brazil"/>
    <d v="2019-01-01T00:00:00"/>
    <d v="2019-01-01T00:00:00"/>
    <s v="BRL"/>
    <n v="335630"/>
    <n v="335630"/>
    <s v="USD"/>
    <n v="87270"/>
    <n v="87270"/>
    <b v="0"/>
    <n v="1"/>
  </r>
  <r>
    <b v="1"/>
    <x v="0"/>
    <x v="0"/>
    <x v="2"/>
    <x v="0"/>
    <x v="1"/>
    <x v="36"/>
    <s v="BBG00HPK5N13"/>
    <x v="0"/>
    <s v="7d27df26e2924c4d9fcf8ba0c0d9d684"/>
    <s v="Klabin 2027"/>
    <x v="0"/>
    <x v="10"/>
    <s v="Ecosystem Conservation &amp; Restoration"/>
    <s v="Control of exotic species (SC)"/>
    <s v="Brazil"/>
    <d v="2018-07-01T00:00:00"/>
    <d v="2018-07-01T00:00:00"/>
    <s v="BRL"/>
    <n v="373740"/>
    <n v="373740"/>
    <s v="USD"/>
    <n v="96310"/>
    <n v="96310"/>
    <b v="0"/>
    <n v="1"/>
  </r>
  <r>
    <b v="1"/>
    <x v="0"/>
    <x v="0"/>
    <x v="2"/>
    <x v="0"/>
    <x v="1"/>
    <x v="36"/>
    <s v="BBG00HPK5N13"/>
    <x v="0"/>
    <s v="7d27df26e2924c4d9fcf8ba0c0d9d684"/>
    <s v="Klabin 2027"/>
    <x v="1"/>
    <x v="11"/>
    <s v="Natural landscapes"/>
    <s v="Control of exotic species (SC)"/>
    <s v="Brazil"/>
    <d v="2021-01-01T00:00:00"/>
    <d v="2021-01-01T00:00:00"/>
    <s v="BRL"/>
    <n v="465000"/>
    <n v="465000"/>
    <s v="USD"/>
    <n v="86000"/>
    <n v="86000"/>
    <b v="0"/>
    <n v="1"/>
  </r>
  <r>
    <b v="1"/>
    <x v="0"/>
    <x v="0"/>
    <x v="2"/>
    <x v="0"/>
    <x v="1"/>
    <x v="36"/>
    <s v="BBG00HPK5N13"/>
    <x v="0"/>
    <s v="7d27df26e2924c4d9fcf8ba0c0d9d684"/>
    <s v="Klabin 2027"/>
    <x v="1"/>
    <x v="11"/>
    <s v="Natural landscapes"/>
    <s v="Control of exotic species (SC)"/>
    <s v="Brazil"/>
    <d v="2020-07-01T00:00:00"/>
    <d v="2020-07-01T00:00:00"/>
    <s v="BRL"/>
    <n v="448000"/>
    <n v="448000"/>
    <s v="USD"/>
    <n v="82000"/>
    <n v="82000"/>
    <b v="0"/>
    <n v="1"/>
  </r>
  <r>
    <b v="1"/>
    <x v="0"/>
    <x v="0"/>
    <x v="2"/>
    <x v="0"/>
    <x v="1"/>
    <x v="36"/>
    <s v="BBG00HPK5N13"/>
    <x v="0"/>
    <s v="7d27df26e2924c4d9fcf8ba0c0d9d684"/>
    <s v="Klabin 2027"/>
    <x v="1"/>
    <x v="11"/>
    <s v="Natural landscapes"/>
    <s v="Control of exotic species (SC)"/>
    <s v="Brazil"/>
    <d v="2019-01-01T00:00:00"/>
    <d v="2019-01-01T00:00:00"/>
    <s v="BRL"/>
    <n v="335630"/>
    <n v="335630"/>
    <s v="USD"/>
    <n v="87270"/>
    <n v="87270"/>
    <b v="0"/>
    <n v="1"/>
  </r>
  <r>
    <b v="1"/>
    <x v="0"/>
    <x v="0"/>
    <x v="2"/>
    <x v="0"/>
    <x v="1"/>
    <x v="36"/>
    <s v="BBG00HPK5N13"/>
    <x v="0"/>
    <s v="7d27df26e2924c4d9fcf8ba0c0d9d684"/>
    <s v="Klabin 2027"/>
    <x v="1"/>
    <x v="11"/>
    <s v="Natural landscapes"/>
    <s v="Control of exotic species (SC)"/>
    <s v="Brazil"/>
    <d v="2018-07-01T00:00:00"/>
    <d v="2018-07-01T00:00:00"/>
    <s v="BRL"/>
    <n v="373740"/>
    <n v="373740"/>
    <s v="USD"/>
    <n v="96310"/>
    <n v="96310"/>
    <b v="0"/>
    <n v="1"/>
  </r>
  <r>
    <b v="1"/>
    <x v="0"/>
    <x v="0"/>
    <x v="2"/>
    <x v="0"/>
    <x v="1"/>
    <x v="36"/>
    <s v="BBG00HPK5N13"/>
    <x v="0"/>
    <s v="7d27df26e2924c4d9fcf8ba0c0d9d684"/>
    <s v="Klabin 2027"/>
    <x v="0"/>
    <x v="10"/>
    <s v="Ecosystem Conservation &amp; Restoration"/>
    <s v="Crescer Project"/>
    <s v="Brazil"/>
    <d v="2021-01-01T00:00:00"/>
    <d v="2021-01-01T00:00:00"/>
    <s v="BRL"/>
    <n v="102000"/>
    <n v="102000"/>
    <s v="USD"/>
    <n v="19000"/>
    <n v="19000"/>
    <b v="0"/>
    <n v="1"/>
  </r>
  <r>
    <b v="1"/>
    <x v="0"/>
    <x v="0"/>
    <x v="2"/>
    <x v="0"/>
    <x v="1"/>
    <x v="36"/>
    <s v="BBG00HPK5N13"/>
    <x v="0"/>
    <s v="7d27df26e2924c4d9fcf8ba0c0d9d684"/>
    <s v="Klabin 2027"/>
    <x v="0"/>
    <x v="10"/>
    <s v="Ecosystem Conservation &amp; Restoration"/>
    <s v="Crescer Project"/>
    <s v="Brazil"/>
    <d v="2020-07-01T00:00:00"/>
    <d v="2020-07-01T00:00:00"/>
    <s v="BRL"/>
    <n v="102000"/>
    <n v="102000"/>
    <s v="USD"/>
    <n v="19000"/>
    <n v="19000"/>
    <b v="0"/>
    <n v="1"/>
  </r>
  <r>
    <b v="1"/>
    <x v="0"/>
    <x v="0"/>
    <x v="2"/>
    <x v="0"/>
    <x v="1"/>
    <x v="36"/>
    <s v="BBG00HPK5N13"/>
    <x v="0"/>
    <s v="7d27df26e2924c4d9fcf8ba0c0d9d684"/>
    <s v="Klabin 2027"/>
    <x v="0"/>
    <x v="10"/>
    <s v="Ecosystem Conservation &amp; Restoration"/>
    <s v="Crescer Project"/>
    <s v="Brazil"/>
    <d v="2020-01-01T00:00:00"/>
    <d v="2020-01-01T00:00:00"/>
    <s v="BRL"/>
    <n v="93000"/>
    <n v="93000"/>
    <s v="USD"/>
    <n v="19000"/>
    <n v="19000"/>
    <b v="0"/>
    <n v="1"/>
  </r>
  <r>
    <b v="1"/>
    <x v="0"/>
    <x v="0"/>
    <x v="2"/>
    <x v="0"/>
    <x v="1"/>
    <x v="36"/>
    <s v="BBG00HPK5N13"/>
    <x v="0"/>
    <s v="7d27df26e2924c4d9fcf8ba0c0d9d684"/>
    <s v="Klabin 2027"/>
    <x v="0"/>
    <x v="10"/>
    <s v="Ecosystem Conservation &amp; Restoration"/>
    <s v="Crescer Project"/>
    <s v="Brazil"/>
    <d v="2019-07-01T00:00:00"/>
    <d v="2019-07-01T00:00:00"/>
    <s v="BRL"/>
    <n v="84000"/>
    <n v="84000"/>
    <s v="USD"/>
    <n v="20000"/>
    <n v="20000"/>
    <b v="0"/>
    <n v="1"/>
  </r>
  <r>
    <b v="1"/>
    <x v="0"/>
    <x v="0"/>
    <x v="2"/>
    <x v="0"/>
    <x v="1"/>
    <x v="36"/>
    <s v="BBG00HPK5N13"/>
    <x v="0"/>
    <s v="7d27df26e2924c4d9fcf8ba0c0d9d684"/>
    <s v="Klabin 2027"/>
    <x v="0"/>
    <x v="10"/>
    <s v="Ecosystem Conservation &amp; Restoration"/>
    <s v="Crescer Project"/>
    <s v="Brazil"/>
    <d v="2019-01-01T00:00:00"/>
    <d v="2019-01-01T00:00:00"/>
    <s v="BRL"/>
    <n v="36840"/>
    <n v="36840"/>
    <s v="USD"/>
    <n v="9580"/>
    <n v="9580"/>
    <b v="0"/>
    <n v="1"/>
  </r>
  <r>
    <b v="1"/>
    <x v="0"/>
    <x v="0"/>
    <x v="2"/>
    <x v="0"/>
    <x v="1"/>
    <x v="36"/>
    <s v="BBG00HPK5N13"/>
    <x v="0"/>
    <s v="7d27df26e2924c4d9fcf8ba0c0d9d684"/>
    <s v="Klabin 2027"/>
    <x v="0"/>
    <x v="10"/>
    <s v="Ecosystem Conservation &amp; Restoration"/>
    <s v="Crescer Project"/>
    <s v="Brazil"/>
    <d v="2018-07-01T00:00:00"/>
    <d v="2018-07-01T00:00:00"/>
    <s v="BRL"/>
    <n v="36840"/>
    <n v="36840"/>
    <s v="USD"/>
    <n v="9490"/>
    <n v="9490"/>
    <b v="0"/>
    <n v="1"/>
  </r>
  <r>
    <b v="1"/>
    <x v="0"/>
    <x v="0"/>
    <x v="2"/>
    <x v="0"/>
    <x v="1"/>
    <x v="36"/>
    <s v="BBG00HPK5N13"/>
    <x v="0"/>
    <s v="7d27df26e2924c4d9fcf8ba0c0d9d684"/>
    <s v="Klabin 2027"/>
    <x v="1"/>
    <x v="11"/>
    <s v="Natural landscapes"/>
    <s v="Crescer Project"/>
    <s v="Brazil"/>
    <d v="2021-01-01T00:00:00"/>
    <d v="2021-01-01T00:00:00"/>
    <s v="BRL"/>
    <n v="102000"/>
    <n v="102000"/>
    <s v="USD"/>
    <n v="19000"/>
    <n v="19000"/>
    <b v="0"/>
    <n v="1"/>
  </r>
  <r>
    <b v="1"/>
    <x v="0"/>
    <x v="0"/>
    <x v="2"/>
    <x v="0"/>
    <x v="1"/>
    <x v="36"/>
    <s v="BBG00HPK5N13"/>
    <x v="0"/>
    <s v="7d27df26e2924c4d9fcf8ba0c0d9d684"/>
    <s v="Klabin 2027"/>
    <x v="1"/>
    <x v="11"/>
    <s v="Natural landscapes"/>
    <s v="Crescer Project"/>
    <s v="Brazil"/>
    <d v="2020-07-01T00:00:00"/>
    <d v="2020-07-01T00:00:00"/>
    <s v="BRL"/>
    <n v="102000"/>
    <n v="102000"/>
    <s v="USD"/>
    <n v="19000"/>
    <n v="19000"/>
    <b v="0"/>
    <n v="1"/>
  </r>
  <r>
    <b v="1"/>
    <x v="0"/>
    <x v="0"/>
    <x v="2"/>
    <x v="0"/>
    <x v="1"/>
    <x v="36"/>
    <s v="BBG00HPK5N13"/>
    <x v="0"/>
    <s v="7d27df26e2924c4d9fcf8ba0c0d9d684"/>
    <s v="Klabin 2027"/>
    <x v="1"/>
    <x v="11"/>
    <s v="Natural landscapes"/>
    <s v="Crescer Project"/>
    <s v="Brazil"/>
    <d v="2020-01-01T00:00:00"/>
    <d v="2020-01-01T00:00:00"/>
    <s v="BRL"/>
    <n v="93000"/>
    <n v="93000"/>
    <s v="USD"/>
    <n v="19000"/>
    <n v="19000"/>
    <b v="0"/>
    <n v="1"/>
  </r>
  <r>
    <b v="1"/>
    <x v="0"/>
    <x v="0"/>
    <x v="2"/>
    <x v="0"/>
    <x v="1"/>
    <x v="36"/>
    <s v="BBG00HPK5N13"/>
    <x v="0"/>
    <s v="7d27df26e2924c4d9fcf8ba0c0d9d684"/>
    <s v="Klabin 2027"/>
    <x v="1"/>
    <x v="11"/>
    <s v="Natural landscapes"/>
    <s v="Crescer Project"/>
    <s v="Brazil"/>
    <d v="2019-07-01T00:00:00"/>
    <d v="2019-07-01T00:00:00"/>
    <s v="BRL"/>
    <n v="84000"/>
    <n v="84000"/>
    <s v="USD"/>
    <n v="20000"/>
    <n v="20000"/>
    <b v="0"/>
    <n v="1"/>
  </r>
  <r>
    <b v="1"/>
    <x v="0"/>
    <x v="0"/>
    <x v="2"/>
    <x v="0"/>
    <x v="1"/>
    <x v="36"/>
    <s v="BBG00HPK5N13"/>
    <x v="0"/>
    <s v="7d27df26e2924c4d9fcf8ba0c0d9d684"/>
    <s v="Klabin 2027"/>
    <x v="1"/>
    <x v="11"/>
    <s v="Natural landscapes"/>
    <s v="Crescer Project"/>
    <s v="Brazil"/>
    <d v="2019-01-01T00:00:00"/>
    <d v="2019-01-01T00:00:00"/>
    <s v="BRL"/>
    <n v="36840"/>
    <n v="36840"/>
    <s v="USD"/>
    <n v="9580"/>
    <n v="9580"/>
    <b v="0"/>
    <n v="1"/>
  </r>
  <r>
    <b v="1"/>
    <x v="0"/>
    <x v="0"/>
    <x v="2"/>
    <x v="0"/>
    <x v="1"/>
    <x v="36"/>
    <s v="BBG00HPK5N13"/>
    <x v="0"/>
    <s v="7d27df26e2924c4d9fcf8ba0c0d9d684"/>
    <s v="Klabin 2027"/>
    <x v="1"/>
    <x v="11"/>
    <s v="Natural landscapes"/>
    <s v="Crescer Project"/>
    <s v="Brazil"/>
    <d v="2018-07-01T00:00:00"/>
    <d v="2018-07-01T00:00:00"/>
    <s v="BRL"/>
    <n v="36840"/>
    <n v="36840"/>
    <s v="USD"/>
    <n v="9490"/>
    <n v="9490"/>
    <b v="0"/>
    <n v="1"/>
  </r>
  <r>
    <b v="1"/>
    <x v="0"/>
    <x v="0"/>
    <x v="2"/>
    <x v="0"/>
    <x v="1"/>
    <x v="37"/>
    <s v="BBG00NQJNB18"/>
    <x v="0"/>
    <s v="72b244fd46b444aba44095c0ca650e2f"/>
    <s v="Klabin 2049"/>
    <x v="0"/>
    <x v="2"/>
    <s v="Treatment"/>
    <s v="Deployment of new ETAC"/>
    <s v="Brazil"/>
    <d v="2020-01-01T00:00:00"/>
    <d v="2020-01-01T00:00:00"/>
    <s v="BRL"/>
    <n v="18173000"/>
    <n v="18173000"/>
    <s v="USD"/>
    <n v="3691000"/>
    <n v="3691000"/>
    <b v="0"/>
    <n v="1"/>
  </r>
  <r>
    <b v="1"/>
    <x v="0"/>
    <x v="0"/>
    <x v="2"/>
    <x v="0"/>
    <x v="1"/>
    <x v="37"/>
    <s v="BBG00NQJNB18"/>
    <x v="0"/>
    <s v="72b244fd46b444aba44095c0ca650e2f"/>
    <s v="Klabin 2049"/>
    <x v="0"/>
    <x v="2"/>
    <s v="Treatment"/>
    <s v="Deployment of new ETAC"/>
    <s v="Brazil"/>
    <d v="2019-07-01T00:00:00"/>
    <d v="2019-07-01T00:00:00"/>
    <s v="BRL"/>
    <n v="4450000"/>
    <n v="4450000"/>
    <s v="USD"/>
    <n v="1098000"/>
    <n v="1098000"/>
    <b v="0"/>
    <n v="1"/>
  </r>
  <r>
    <b v="1"/>
    <x v="0"/>
    <x v="0"/>
    <x v="2"/>
    <x v="0"/>
    <x v="1"/>
    <x v="37"/>
    <s v="BBG00NQJNB18"/>
    <x v="0"/>
    <s v="72b244fd46b444aba44095c0ca650e2f"/>
    <s v="Klabin 2049"/>
    <x v="1"/>
    <x v="3"/>
    <s v="Wastewater treatment"/>
    <s v="Deployment of new ETAC"/>
    <s v="Brazil"/>
    <d v="2020-01-01T00:00:00"/>
    <d v="2020-01-01T00:00:00"/>
    <s v="BRL"/>
    <n v="18173000"/>
    <n v="18173000"/>
    <s v="USD"/>
    <n v="3691000"/>
    <n v="3691000"/>
    <b v="0"/>
    <n v="1"/>
  </r>
  <r>
    <b v="1"/>
    <x v="0"/>
    <x v="0"/>
    <x v="2"/>
    <x v="0"/>
    <x v="1"/>
    <x v="37"/>
    <s v="BBG00NQJNB18"/>
    <x v="0"/>
    <s v="72b244fd46b444aba44095c0ca650e2f"/>
    <s v="Klabin 2049"/>
    <x v="1"/>
    <x v="3"/>
    <s v="Wastewater treatment"/>
    <s v="Deployment of new ETAC"/>
    <s v="Brazil"/>
    <d v="2019-07-01T00:00:00"/>
    <d v="2019-07-01T00:00:00"/>
    <s v="BRL"/>
    <n v="4450000"/>
    <n v="4450000"/>
    <s v="USD"/>
    <n v="1098000"/>
    <n v="1098000"/>
    <b v="0"/>
    <n v="1"/>
  </r>
  <r>
    <b v="1"/>
    <x v="0"/>
    <x v="0"/>
    <x v="2"/>
    <x v="0"/>
    <x v="1"/>
    <x v="36"/>
    <s v="BBG00HPK5N13"/>
    <x v="0"/>
    <s v="7d27df26e2924c4d9fcf8ba0c0d9d684"/>
    <s v="Klabin 2027"/>
    <x v="0"/>
    <x v="9"/>
    <s v="Unspecified"/>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0"/>
    <x v="9"/>
    <s v="Unspecified"/>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0"/>
    <x v="9"/>
    <s v="Unspecified"/>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0"/>
    <x v="9"/>
    <s v="Unspecified"/>
    <s v="Design of products adapted to the circular economy"/>
    <s v="Brazil"/>
    <d v="2020-07-01T00:00:00"/>
    <d v="2020-07-01T00:00:00"/>
    <s v="BRL"/>
    <n v="750000"/>
    <n v="750000"/>
    <s v="USD"/>
    <n v="138000"/>
    <n v="138000"/>
    <b v="0"/>
    <n v="1"/>
  </r>
  <r>
    <b v="1"/>
    <x v="0"/>
    <x v="0"/>
    <x v="1"/>
    <x v="0"/>
    <x v="1"/>
    <x v="38"/>
    <n v="0"/>
    <x v="0"/>
    <s v="5350c0b9a9a4490689021b2d8added30"/>
    <s v="Green CRI √ìrigo"/>
    <x v="0"/>
    <x v="0"/>
    <s v="Solar"/>
    <s v="Usina fotovoltaica Jo√£o Pinheiro"/>
    <s v="Brazil"/>
    <d v="2021-02-01T00:00:00"/>
    <d v="2021-02-01T00:00:00"/>
    <s v="BRL"/>
    <n v="4856000"/>
    <n v="4856000"/>
    <s v="BRL"/>
    <n v="4856000"/>
    <n v="890029"/>
    <b v="1"/>
    <n v="1"/>
  </r>
  <r>
    <b v="1"/>
    <x v="0"/>
    <x v="0"/>
    <x v="1"/>
    <x v="0"/>
    <x v="1"/>
    <x v="38"/>
    <n v="0"/>
    <x v="0"/>
    <s v="5350c0b9a9a4490689021b2d8added30"/>
    <s v="Green CRI √ìrigo"/>
    <x v="1"/>
    <x v="1"/>
    <s v="Generation"/>
    <s v="Usina fotovoltaica Jo√£o Pinheiro"/>
    <s v="Brazil"/>
    <d v="2021-02-01T00:00:00"/>
    <d v="2021-02-01T00:00:00"/>
    <s v="BRL"/>
    <n v="4856000"/>
    <n v="4856000"/>
    <s v="BRL"/>
    <n v="4856000"/>
    <n v="890029"/>
    <b v="1"/>
    <n v="1"/>
  </r>
  <r>
    <b v="1"/>
    <x v="0"/>
    <x v="0"/>
    <x v="1"/>
    <x v="0"/>
    <x v="1"/>
    <x v="38"/>
    <n v="0"/>
    <x v="0"/>
    <s v="5350c0b9a9a4490689021b2d8added30"/>
    <s v="Green CRI √ìrigo"/>
    <x v="0"/>
    <x v="0"/>
    <s v="Solar"/>
    <s v="Usina fotovoltaica Arcos 25"/>
    <s v="Brazil"/>
    <d v="2021-02-01T00:00:00"/>
    <d v="2021-02-01T00:00:00"/>
    <s v="BRL"/>
    <n v="14230000"/>
    <n v="14230000"/>
    <s v="BRL"/>
    <n v="14230000"/>
    <n v="2608137"/>
    <b v="0"/>
    <n v="0.9"/>
  </r>
  <r>
    <b v="1"/>
    <x v="0"/>
    <x v="0"/>
    <x v="1"/>
    <x v="0"/>
    <x v="1"/>
    <x v="38"/>
    <n v="0"/>
    <x v="0"/>
    <s v="5350c0b9a9a4490689021b2d8added30"/>
    <s v="Green CRI √ìrigo"/>
    <x v="1"/>
    <x v="1"/>
    <s v="Generation"/>
    <s v="Usina fotovoltaica Arcos 25"/>
    <s v="Brazil"/>
    <d v="2021-02-01T00:00:00"/>
    <d v="2021-02-01T00:00:00"/>
    <s v="BRL"/>
    <n v="14230000"/>
    <n v="14230000"/>
    <s v="BRL"/>
    <n v="14230000"/>
    <n v="2608137"/>
    <b v="0"/>
    <n v="0.9"/>
  </r>
  <r>
    <b v="1"/>
    <x v="0"/>
    <x v="0"/>
    <x v="0"/>
    <x v="0"/>
    <x v="0"/>
    <x v="39"/>
    <n v="0"/>
    <x v="13"/>
    <s v="2d8de8f14b6641838c8358b9eeb40c28"/>
    <s v="Deb√™ntures 12.431 - Central Hidrel√©trica Palmeiras do Tocantins"/>
    <x v="0"/>
    <x v="0"/>
    <s v="Hydro"/>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1"/>
    <x v="1"/>
    <s v="Products"/>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2"/>
    <x v="9"/>
    <s v="Unspecified"/>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3"/>
    <x v="9"/>
    <s v="Unspecified"/>
    <s v="CGH Palmeiras do Tocantins"/>
    <s v="Brazil"/>
    <d v="2018-06-05T00:00:00"/>
    <d v="2018-07-05T00:00:00"/>
    <s v="BRL"/>
    <n v="16000000"/>
    <n v="16000000"/>
    <s v="BRL"/>
    <n v="16000000"/>
    <n v="4266666"/>
    <b v="0"/>
    <n v="0.7"/>
  </r>
  <r>
    <b v="1"/>
    <x v="0"/>
    <x v="0"/>
    <x v="0"/>
    <x v="0"/>
    <x v="0"/>
    <x v="40"/>
    <n v="0"/>
    <x v="14"/>
    <s v="9b5072c9c8a74de999ff58ac7a32f456"/>
    <s v="Deb√™ntures 12.431 - Central Hidrel√©trica Sucuri"/>
    <x v="0"/>
    <x v="0"/>
    <s v="Hydro"/>
    <s v="CGH Sucuri"/>
    <s v="Brazil"/>
    <d v="2018-06-05T00:00:00"/>
    <d v="2018-07-05T00:00:00"/>
    <s v="BRL"/>
    <n v="14000000"/>
    <n v="14000000"/>
    <s v="BRL"/>
    <n v="14000000"/>
    <n v="3733333"/>
    <b v="0"/>
    <n v="0.7"/>
  </r>
  <r>
    <b v="1"/>
    <x v="0"/>
    <x v="0"/>
    <x v="0"/>
    <x v="0"/>
    <x v="0"/>
    <x v="40"/>
    <n v="0"/>
    <x v="14"/>
    <s v="9b5072c9c8a74de999ff58ac7a32f456"/>
    <s v="Deb√™ntures 12.431 - Central Hidrel√©trica Sucuri"/>
    <x v="1"/>
    <x v="1"/>
    <s v="Products"/>
    <s v="CGH Sucuri"/>
    <s v="Brazil"/>
    <d v="2018-06-05T00:00:00"/>
    <d v="2018-07-05T00:00:00"/>
    <s v="BRL"/>
    <n v="14000000"/>
    <n v="14000000"/>
    <s v="BRL"/>
    <n v="14000000"/>
    <n v="3733333"/>
    <b v="0"/>
    <n v="0.7"/>
  </r>
  <r>
    <b v="1"/>
    <x v="0"/>
    <x v="0"/>
    <x v="0"/>
    <x v="0"/>
    <x v="0"/>
    <x v="40"/>
    <n v="0"/>
    <x v="14"/>
    <s v="9b5072c9c8a74de999ff58ac7a32f456"/>
    <s v="Deb√™ntures 12.431 - Central Hidrel√©trica Sucuri"/>
    <x v="2"/>
    <x v="9"/>
    <s v="Unspecified"/>
    <s v="CGH Sucuri"/>
    <s v="Brazil"/>
    <d v="2018-06-05T00:00:00"/>
    <d v="2018-07-05T00:00:00"/>
    <s v="BRL"/>
    <n v="14000000"/>
    <n v="14000000"/>
    <s v="BRL"/>
    <n v="14000000"/>
    <n v="3733333"/>
    <b v="0"/>
    <n v="0.7"/>
  </r>
  <r>
    <b v="1"/>
    <x v="0"/>
    <x v="0"/>
    <x v="0"/>
    <x v="0"/>
    <x v="0"/>
    <x v="40"/>
    <n v="0"/>
    <x v="14"/>
    <s v="9b5072c9c8a74de999ff58ac7a32f456"/>
    <s v="Deb√™ntures 12.431 - Central Hidrel√©trica Sucuri"/>
    <x v="3"/>
    <x v="9"/>
    <s v="Unspecified"/>
    <s v="CGH Sucuri"/>
    <s v="Brazil"/>
    <d v="2018-06-05T00:00:00"/>
    <d v="2018-07-05T00:00:00"/>
    <s v="BRL"/>
    <n v="14000000"/>
    <n v="14000000"/>
    <s v="BRL"/>
    <n v="14000000"/>
    <n v="3733333"/>
    <b v="0"/>
    <n v="0.7"/>
  </r>
  <r>
    <b v="1"/>
    <x v="0"/>
    <x v="0"/>
    <x v="1"/>
    <x v="0"/>
    <x v="1"/>
    <x v="38"/>
    <n v="0"/>
    <x v="0"/>
    <s v="5350c0b9a9a4490689021b2d8added30"/>
    <s v="Green CRI √ìrigo"/>
    <x v="0"/>
    <x v="0"/>
    <s v="Solar"/>
    <s v="Usina fotovoltaica Frutal"/>
    <s v="Brazil"/>
    <d v="2021-02-01T00:00:00"/>
    <d v="2021-02-01T00:00:00"/>
    <s v="BRL"/>
    <n v="14659000"/>
    <n v="14659000"/>
    <s v="BRL"/>
    <n v="14659000"/>
    <n v="2686767"/>
    <b v="0"/>
    <n v="0.9"/>
  </r>
  <r>
    <b v="1"/>
    <x v="0"/>
    <x v="0"/>
    <x v="1"/>
    <x v="0"/>
    <x v="1"/>
    <x v="38"/>
    <n v="0"/>
    <x v="0"/>
    <s v="5350c0b9a9a4490689021b2d8added30"/>
    <s v="Green CRI √ìrigo"/>
    <x v="1"/>
    <x v="1"/>
    <s v="Generation"/>
    <s v="Usina fotovoltaica Frutal"/>
    <s v="Brazil"/>
    <d v="2021-02-01T00:00:00"/>
    <d v="2021-02-01T00:00:00"/>
    <s v="BRL"/>
    <n v="14659000"/>
    <n v="14659000"/>
    <s v="BRL"/>
    <n v="14659000"/>
    <n v="2686767"/>
    <b v="0"/>
    <n v="0.9"/>
  </r>
  <r>
    <b v="1"/>
    <x v="0"/>
    <x v="0"/>
    <x v="1"/>
    <x v="0"/>
    <x v="1"/>
    <x v="38"/>
    <n v="0"/>
    <x v="0"/>
    <s v="5350c0b9a9a4490689021b2d8added30"/>
    <s v="Green CRI √ìrigo"/>
    <x v="0"/>
    <x v="0"/>
    <s v="Solar"/>
    <s v="Usina fotovoltaica Monte Carmelo I"/>
    <s v="Brazil"/>
    <d v="2021-02-01T00:00:00"/>
    <d v="2021-02-01T00:00:00"/>
    <s v="BRL"/>
    <n v="15132000"/>
    <n v="15132000"/>
    <s v="BRL"/>
    <n v="15132000"/>
    <n v="2775460"/>
    <b v="0"/>
    <n v="0.9"/>
  </r>
  <r>
    <b v="1"/>
    <x v="0"/>
    <x v="0"/>
    <x v="1"/>
    <x v="0"/>
    <x v="1"/>
    <x v="38"/>
    <n v="0"/>
    <x v="0"/>
    <s v="5350c0b9a9a4490689021b2d8added30"/>
    <s v="Green CRI √ìrigo"/>
    <x v="1"/>
    <x v="1"/>
    <s v="Generation"/>
    <s v="Usina fotovoltaica Monte Carmelo I"/>
    <s v="Brazil"/>
    <d v="2021-02-01T00:00:00"/>
    <d v="2021-02-01T00:00:00"/>
    <s v="BRL"/>
    <n v="15132000"/>
    <n v="15132000"/>
    <s v="BRL"/>
    <n v="15132000"/>
    <n v="2775460"/>
    <b v="0"/>
    <n v="0.9"/>
  </r>
  <r>
    <b v="1"/>
    <x v="0"/>
    <x v="0"/>
    <x v="1"/>
    <x v="0"/>
    <x v="1"/>
    <x v="38"/>
    <n v="0"/>
    <x v="0"/>
    <s v="5350c0b9a9a4490689021b2d8added30"/>
    <s v="Green CRI √ìrigo"/>
    <x v="0"/>
    <x v="0"/>
    <s v="Solar"/>
    <s v="Usina fotovoltaica Monte Carmelo II"/>
    <s v="Brazil"/>
    <d v="2021-02-01T00:00:00"/>
    <d v="2021-02-01T00:00:00"/>
    <s v="BRL"/>
    <n v="15187000"/>
    <n v="15187000"/>
    <s v="BRL"/>
    <n v="15187000"/>
    <n v="2783541"/>
    <b v="0"/>
    <n v="0.9"/>
  </r>
  <r>
    <b v="1"/>
    <x v="0"/>
    <x v="0"/>
    <x v="1"/>
    <x v="0"/>
    <x v="1"/>
    <x v="38"/>
    <n v="0"/>
    <x v="0"/>
    <s v="5350c0b9a9a4490689021b2d8added30"/>
    <s v="Green CRI √ìrigo"/>
    <x v="1"/>
    <x v="1"/>
    <s v="Generation"/>
    <s v="Usina fotovoltaica Monte Carmelo II"/>
    <s v="Brazil"/>
    <d v="2021-02-01T00:00:00"/>
    <d v="2021-02-01T00:00:00"/>
    <s v="BRL"/>
    <n v="15187000"/>
    <n v="15187000"/>
    <s v="BRL"/>
    <n v="15187000"/>
    <n v="2783541"/>
    <b v="0"/>
    <n v="0.9"/>
  </r>
  <r>
    <b v="1"/>
    <x v="0"/>
    <x v="0"/>
    <x v="2"/>
    <x v="0"/>
    <x v="1"/>
    <x v="14"/>
    <n v="0"/>
    <x v="15"/>
    <s v="f495dc7708c7482192c314338682e805"/>
    <s v="CRI Athon ESG I"/>
    <x v="0"/>
    <x v="0"/>
    <s v="Solar"/>
    <s v="Campos 100"/>
    <s v="Brazil"/>
    <d v="2021-08-04T00:00:00"/>
    <d v="2021-08-13T00:00:00"/>
    <s v="BRL"/>
    <n v="4910763"/>
    <n v="4587582"/>
    <s v="BRL"/>
    <n v="4587582"/>
    <n v="880787"/>
    <b v="0"/>
    <n v="0.06"/>
  </r>
  <r>
    <b v="1"/>
    <x v="0"/>
    <x v="0"/>
    <x v="2"/>
    <x v="0"/>
    <x v="1"/>
    <x v="14"/>
    <n v="0"/>
    <x v="15"/>
    <s v="f495dc7708c7482192c314338682e805"/>
    <s v="CRI Athon ESG I"/>
    <x v="1"/>
    <x v="1"/>
    <s v="Generation"/>
    <s v="Campos 100"/>
    <s v="Brazil"/>
    <d v="2021-08-04T00:00:00"/>
    <d v="2021-08-13T00:00:00"/>
    <s v="BRL"/>
    <n v="4910763"/>
    <n v="4587582"/>
    <s v="BRL"/>
    <n v="4587582"/>
    <n v="880787"/>
    <b v="0"/>
    <n v="0.06"/>
  </r>
  <r>
    <b v="1"/>
    <x v="0"/>
    <x v="0"/>
    <x v="2"/>
    <x v="0"/>
    <x v="1"/>
    <x v="14"/>
    <n v="0"/>
    <x v="15"/>
    <s v="f495dc7708c7482192c314338682e805"/>
    <s v="CRI Athon ESG I"/>
    <x v="0"/>
    <x v="0"/>
    <s v="Solar"/>
    <s v="Campos 200"/>
    <s v="Brazil"/>
    <d v="2021-08-04T00:00:00"/>
    <d v="2021-08-13T00:00:00"/>
    <s v="BRL"/>
    <n v="4910763"/>
    <n v="4587582"/>
    <s v="BRL"/>
    <n v="4587582"/>
    <n v="880787"/>
    <b v="0"/>
    <n v="0.06"/>
  </r>
  <r>
    <b v="1"/>
    <x v="0"/>
    <x v="0"/>
    <x v="2"/>
    <x v="0"/>
    <x v="1"/>
    <x v="14"/>
    <n v="0"/>
    <x v="15"/>
    <s v="f495dc7708c7482192c314338682e805"/>
    <s v="CRI Athon ESG I"/>
    <x v="1"/>
    <x v="1"/>
    <s v="Generation"/>
    <s v="Campos 200"/>
    <s v="Brazil"/>
    <d v="2021-08-04T00:00:00"/>
    <d v="2021-08-13T00:00:00"/>
    <s v="BRL"/>
    <n v="4910763"/>
    <n v="4587582"/>
    <s v="BRL"/>
    <n v="4587582"/>
    <n v="880787"/>
    <b v="0"/>
    <n v="0.06"/>
  </r>
  <r>
    <b v="1"/>
    <x v="0"/>
    <x v="0"/>
    <x v="2"/>
    <x v="0"/>
    <x v="1"/>
    <x v="14"/>
    <n v="0"/>
    <x v="15"/>
    <s v="f495dc7708c7482192c314338682e805"/>
    <s v="CRI Athon ESG I"/>
    <x v="0"/>
    <x v="0"/>
    <s v="Solar"/>
    <s v="Campos 300"/>
    <s v="Brazil"/>
    <d v="2021-08-04T00:00:00"/>
    <d v="2021-08-13T00:00:00"/>
    <s v="BRL"/>
    <n v="1528475"/>
    <n v="1427885"/>
    <s v="BRL"/>
    <n v="1427885"/>
    <n v="274145"/>
    <b v="0"/>
    <n v="0.02"/>
  </r>
  <r>
    <b v="1"/>
    <x v="0"/>
    <x v="0"/>
    <x v="2"/>
    <x v="0"/>
    <x v="1"/>
    <x v="14"/>
    <n v="0"/>
    <x v="15"/>
    <s v="f495dc7708c7482192c314338682e805"/>
    <s v="CRI Athon ESG I"/>
    <x v="1"/>
    <x v="1"/>
    <s v="Generation"/>
    <s v="Campos 300"/>
    <s v="Brazil"/>
    <d v="2021-08-04T00:00:00"/>
    <d v="2021-08-13T00:00:00"/>
    <s v="BRL"/>
    <n v="1528475"/>
    <n v="1427885"/>
    <s v="BRL"/>
    <n v="1427885"/>
    <n v="274145"/>
    <b v="0"/>
    <n v="0.02"/>
  </r>
  <r>
    <b v="1"/>
    <x v="0"/>
    <x v="0"/>
    <x v="2"/>
    <x v="0"/>
    <x v="1"/>
    <x v="14"/>
    <n v="0"/>
    <x v="15"/>
    <s v="f495dc7708c7482192c314338682e805"/>
    <s v="CRI Athon ESG I"/>
    <x v="0"/>
    <x v="0"/>
    <s v="Solar"/>
    <s v="Quissam√£ 100"/>
    <s v="Brazil"/>
    <d v="2021-08-04T00:00:00"/>
    <d v="2021-08-13T00:00:00"/>
    <s v="BRL"/>
    <n v="3833333"/>
    <n v="3666389"/>
    <s v="BRL"/>
    <n v="3666389"/>
    <n v="703924"/>
    <b v="0"/>
    <n v="0.05"/>
  </r>
  <r>
    <b v="1"/>
    <x v="0"/>
    <x v="0"/>
    <x v="2"/>
    <x v="0"/>
    <x v="1"/>
    <x v="14"/>
    <n v="0"/>
    <x v="15"/>
    <s v="f495dc7708c7482192c314338682e805"/>
    <s v="CRI Athon ESG I"/>
    <x v="1"/>
    <x v="1"/>
    <s v="Generation"/>
    <s v="Quissam√£ 100"/>
    <s v="Brazil"/>
    <d v="2021-08-04T00:00:00"/>
    <d v="2021-08-13T00:00:00"/>
    <s v="BRL"/>
    <n v="3833333"/>
    <n v="3666389"/>
    <s v="BRL"/>
    <n v="3666389"/>
    <n v="703924"/>
    <b v="0"/>
    <n v="0.05"/>
  </r>
  <r>
    <b v="1"/>
    <x v="0"/>
    <x v="0"/>
    <x v="2"/>
    <x v="0"/>
    <x v="1"/>
    <x v="14"/>
    <n v="0"/>
    <x v="15"/>
    <s v="f495dc7708c7482192c314338682e805"/>
    <s v="CRI Athon ESG I"/>
    <x v="0"/>
    <x v="0"/>
    <s v="Solar"/>
    <s v="Quissam√£ 200"/>
    <s v="Brazil"/>
    <d v="2021-08-04T00:00:00"/>
    <d v="2021-08-13T00:00:00"/>
    <s v="BRL"/>
    <n v="7666667"/>
    <n v="7332779"/>
    <s v="BRL"/>
    <n v="7332779"/>
    <n v="1407848"/>
    <b v="0"/>
    <n v="0.09"/>
  </r>
  <r>
    <b v="1"/>
    <x v="0"/>
    <x v="0"/>
    <x v="2"/>
    <x v="0"/>
    <x v="1"/>
    <x v="14"/>
    <n v="0"/>
    <x v="15"/>
    <s v="f495dc7708c7482192c314338682e805"/>
    <s v="CRI Athon ESG I"/>
    <x v="1"/>
    <x v="1"/>
    <s v="Generation"/>
    <s v="Quissam√£ 200"/>
    <s v="Brazil"/>
    <d v="2021-08-04T00:00:00"/>
    <d v="2021-08-13T00:00:00"/>
    <s v="BRL"/>
    <n v="7666667"/>
    <n v="7332779"/>
    <s v="BRL"/>
    <n v="7332779"/>
    <n v="1407848"/>
    <b v="0"/>
    <n v="0.09"/>
  </r>
  <r>
    <b v="1"/>
    <x v="0"/>
    <x v="0"/>
    <x v="2"/>
    <x v="0"/>
    <x v="1"/>
    <x v="14"/>
    <n v="0"/>
    <x v="15"/>
    <s v="f495dc7708c7482192c314338682e805"/>
    <s v="CRI Athon ESG I"/>
    <x v="0"/>
    <x v="0"/>
    <s v="Solar"/>
    <s v="Marab√° 200"/>
    <s v="Brazil"/>
    <d v="2021-08-04T00:00:00"/>
    <d v="2021-08-13T00:00:00"/>
    <s v="BRL"/>
    <n v="24500000"/>
    <n v="17294855"/>
    <s v="BRL"/>
    <n v="17294855"/>
    <n v="3320505"/>
    <b v="0"/>
    <n v="0.22"/>
  </r>
  <r>
    <b v="1"/>
    <x v="0"/>
    <x v="0"/>
    <x v="2"/>
    <x v="0"/>
    <x v="1"/>
    <x v="14"/>
    <n v="0"/>
    <x v="15"/>
    <s v="f495dc7708c7482192c314338682e805"/>
    <s v="CRI Athon ESG I"/>
    <x v="1"/>
    <x v="1"/>
    <s v="Generation"/>
    <s v="Marab√° 200"/>
    <s v="Brazil"/>
    <d v="2021-08-04T00:00:00"/>
    <d v="2021-08-13T00:00:00"/>
    <s v="BRL"/>
    <n v="24500000"/>
    <n v="17294855"/>
    <s v="BRL"/>
    <n v="17294855"/>
    <n v="3320505"/>
    <b v="0"/>
    <n v="0.22"/>
  </r>
  <r>
    <b v="1"/>
    <x v="0"/>
    <x v="0"/>
    <x v="2"/>
    <x v="0"/>
    <x v="1"/>
    <x v="14"/>
    <n v="0"/>
    <x v="15"/>
    <s v="f495dc7708c7482192c314338682e805"/>
    <s v="CRI Athon ESG I"/>
    <x v="0"/>
    <x v="0"/>
    <s v="Solar"/>
    <s v="M√£e do Rio 100"/>
    <s v="Brazil"/>
    <d v="2021-08-04T00:00:00"/>
    <d v="2021-08-13T00:00:00"/>
    <s v="BRL"/>
    <n v="17150000"/>
    <n v="16403107"/>
    <s v="BRL"/>
    <n v="16403107"/>
    <n v="3149295"/>
    <b v="0"/>
    <n v="0.21"/>
  </r>
  <r>
    <b v="1"/>
    <x v="0"/>
    <x v="0"/>
    <x v="2"/>
    <x v="0"/>
    <x v="1"/>
    <x v="14"/>
    <n v="0"/>
    <x v="15"/>
    <s v="f495dc7708c7482192c314338682e805"/>
    <s v="CRI Athon ESG I"/>
    <x v="1"/>
    <x v="1"/>
    <s v="Generation"/>
    <s v="M√£e do Rio 100"/>
    <s v="Brazil"/>
    <d v="2021-08-04T00:00:00"/>
    <d v="2021-08-13T00:00:00"/>
    <s v="BRL"/>
    <n v="17150000"/>
    <n v="16403107"/>
    <s v="BRL"/>
    <n v="16403107"/>
    <n v="3149295"/>
    <b v="0"/>
    <n v="0.21"/>
  </r>
  <r>
    <b v="1"/>
    <x v="0"/>
    <x v="0"/>
    <x v="2"/>
    <x v="0"/>
    <x v="1"/>
    <x v="14"/>
    <n v="0"/>
    <x v="15"/>
    <s v="f495dc7708c7482192c314338682e805"/>
    <s v="CRI Athon ESG I"/>
    <x v="0"/>
    <x v="0"/>
    <s v="Solar"/>
    <s v="Mat√µes 100"/>
    <s v="Brazil"/>
    <d v="2021-08-04T00:00:00"/>
    <d v="2021-08-13T00:00:00"/>
    <s v="BRL"/>
    <n v="18350000"/>
    <n v="23369608"/>
    <s v="BRL"/>
    <n v="23369608"/>
    <n v="4486821"/>
    <b v="0"/>
    <n v="0.28999999999999998"/>
  </r>
  <r>
    <b v="1"/>
    <x v="0"/>
    <x v="0"/>
    <x v="2"/>
    <x v="0"/>
    <x v="1"/>
    <x v="14"/>
    <n v="0"/>
    <x v="15"/>
    <s v="f495dc7708c7482192c314338682e805"/>
    <s v="CRI Athon ESG I"/>
    <x v="1"/>
    <x v="1"/>
    <s v="Generation"/>
    <s v="Mat√µes 100"/>
    <s v="Brazil"/>
    <d v="2021-08-04T00:00:00"/>
    <d v="2021-08-13T00:00:00"/>
    <s v="BRL"/>
    <n v="18350000"/>
    <n v="23369608"/>
    <s v="BRL"/>
    <n v="23369608"/>
    <n v="4486821"/>
    <b v="0"/>
    <n v="0.28999999999999998"/>
  </r>
  <r>
    <e v="#N/A"/>
    <x v="1"/>
    <x v="1"/>
    <x v="3"/>
    <x v="1"/>
    <x v="2"/>
    <x v="10"/>
    <e v="#N/A"/>
    <x v="2"/>
    <s v="ca95780fd934421fa99ce5cb0b1f71d2"/>
    <s v="ISA CTM"/>
    <x v="0"/>
    <x v="0"/>
    <s v="Transmission"/>
    <s v="Trujillo - Cliclayo Transmission Line"/>
    <s v="Peru"/>
    <d v="2019-04-16T00:00:00"/>
    <d v="2019-04-16T00:00:00"/>
    <s v="USD"/>
    <n v="85007236"/>
    <n v="85007236"/>
    <s v="USD"/>
    <n v="85007236"/>
    <n v="85007236"/>
    <b v="1"/>
    <n v="0.69"/>
  </r>
  <r>
    <e v="#N/A"/>
    <x v="1"/>
    <x v="1"/>
    <x v="3"/>
    <x v="1"/>
    <x v="2"/>
    <x v="10"/>
    <e v="#N/A"/>
    <x v="2"/>
    <s v="ca95780fd934421fa99ce5cb0b1f71d2"/>
    <s v="ISA CTM"/>
    <x v="1"/>
    <x v="1"/>
    <s v="Transmission"/>
    <s v="Trujillo - Cliclayo Transmission Line"/>
    <s v="Peru"/>
    <d v="2019-04-16T00:00:00"/>
    <d v="2019-04-16T00:00:00"/>
    <s v="USD"/>
    <n v="85007236"/>
    <n v="85007236"/>
    <s v="USD"/>
    <n v="85007236"/>
    <n v="85007236"/>
    <b v="1"/>
    <n v="0.69"/>
  </r>
  <r>
    <e v="#N/A"/>
    <x v="1"/>
    <x v="1"/>
    <x v="3"/>
    <x v="1"/>
    <x v="2"/>
    <x v="10"/>
    <e v="#N/A"/>
    <x v="2"/>
    <s v="ca95780fd934421fa99ce5cb0b1f71d2"/>
    <s v="ISA CTM"/>
    <x v="0"/>
    <x v="0"/>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1"/>
    <x v="1"/>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0"/>
    <x v="0"/>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1"/>
    <x v="1"/>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0"/>
    <x v="0"/>
    <s v="Transmission"/>
    <s v="Friaspata-Mollepata Transmission Line"/>
    <s v="Peru"/>
    <d v="2019-04-16T00:00:00"/>
    <d v="2019-04-16T00:00:00"/>
    <s v="USD"/>
    <n v="13177725"/>
    <n v="13177725"/>
    <s v="USD"/>
    <n v="13177725"/>
    <n v="13177725"/>
    <b v="1"/>
    <n v="0.36"/>
  </r>
  <r>
    <e v="#N/A"/>
    <x v="1"/>
    <x v="1"/>
    <x v="3"/>
    <x v="1"/>
    <x v="2"/>
    <x v="10"/>
    <e v="#N/A"/>
    <x v="2"/>
    <s v="ca95780fd934421fa99ce5cb0b1f71d2"/>
    <s v="ISA CTM"/>
    <x v="1"/>
    <x v="1"/>
    <s v="Transmission"/>
    <s v="Friaspata-Mollepata Transmission Line"/>
    <s v="Peru"/>
    <d v="2019-04-16T00:00:00"/>
    <d v="2019-04-16T00:00:00"/>
    <s v="USD"/>
    <n v="13177725"/>
    <n v="13177725"/>
    <s v="USD"/>
    <n v="13177725"/>
    <n v="13177725"/>
    <b v="1"/>
    <n v="0.36"/>
  </r>
  <r>
    <e v="#N/A"/>
    <x v="1"/>
    <x v="1"/>
    <x v="3"/>
    <x v="1"/>
    <x v="2"/>
    <x v="10"/>
    <e v="#N/A"/>
    <x v="2"/>
    <s v="ca95780fd934421fa99ce5cb0b1f71d2"/>
    <s v="ISA CTM"/>
    <x v="0"/>
    <x v="0"/>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0"/>
    <x v="0"/>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1"/>
    <x v="1"/>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1"/>
    <x v="1"/>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0"/>
    <x v="0"/>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0"/>
    <x v="0"/>
    <s v="Transmission"/>
    <s v="Mantaro-Nueva Yanango-Carapongo Interconnection"/>
    <s v="Peru"/>
    <d v="2020-03-10T00:00:00"/>
    <d v="2020-03-10T00:00:00"/>
    <s v="USD"/>
    <n v="47538772"/>
    <n v="47538772"/>
    <s v="USD"/>
    <n v="47538772"/>
    <n v="47538772"/>
    <b v="0"/>
    <n v="0.57999999999999996"/>
  </r>
  <r>
    <e v="#N/A"/>
    <x v="1"/>
    <x v="1"/>
    <x v="3"/>
    <x v="1"/>
    <x v="2"/>
    <x v="10"/>
    <e v="#N/A"/>
    <x v="2"/>
    <s v="ca95780fd934421fa99ce5cb0b1f71d2"/>
    <s v="ISA CTM"/>
    <x v="1"/>
    <x v="1"/>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1"/>
    <x v="1"/>
    <s v="Transmission"/>
    <s v="Mantaro-Nueva Yanango-Carapongo Interconnection"/>
    <s v="Peru"/>
    <d v="2020-03-10T00:00:00"/>
    <d v="2020-03-10T00:00:00"/>
    <s v="USD"/>
    <n v="47538772"/>
    <n v="47538772"/>
    <s v="USD"/>
    <n v="47538772"/>
    <n v="47538772"/>
    <b v="0"/>
    <n v="0.57999999999999996"/>
  </r>
  <r>
    <b v="1"/>
    <x v="0"/>
    <x v="0"/>
    <x v="2"/>
    <x v="0"/>
    <x v="1"/>
    <x v="14"/>
    <s v="BBG000GZL6P0"/>
    <x v="16"/>
    <s v="5606e307519f4f58abc9d45cb7e36d03"/>
    <s v="Banco Pichincha Green Bond -Issue 1"/>
    <x v="0"/>
    <x v="7"/>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1"/>
    <x v="8"/>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0"/>
    <x v="9"/>
    <s v="Unspecified"/>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1"/>
    <x v="4"/>
    <s v="Appliances"/>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0"/>
    <x v="10"/>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1"/>
    <x v="11"/>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0"/>
    <x v="9"/>
    <s v="Unspecifie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1"/>
    <x v="6"/>
    <s v="Hybri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0"/>
    <x v="15"/>
    <s v="Recycling"/>
    <s v="Gesti√≥n de residuos"/>
    <s v="Ecuador"/>
    <d v="2020-02-17T00:00:00"/>
    <d v="2020-02-17T00:00:00"/>
    <s v="USD"/>
    <n v="100000"/>
    <n v="100000"/>
    <s v="USD"/>
    <n v="100000"/>
    <n v="100000"/>
    <b v="1"/>
    <m/>
  </r>
  <r>
    <b v="1"/>
    <x v="0"/>
    <x v="0"/>
    <x v="2"/>
    <x v="0"/>
    <x v="1"/>
    <x v="14"/>
    <s v="BBG000GZL6P0"/>
    <x v="16"/>
    <s v="5606e307519f4f58abc9d45cb7e36d03"/>
    <s v="Banco Pichincha Green Bond -Issue 1"/>
    <x v="1"/>
    <x v="12"/>
    <s v="Waste reduction"/>
    <s v="Gesti√≥n de residuos"/>
    <s v="Ecuador"/>
    <d v="2020-02-17T00:00:00"/>
    <d v="2020-02-17T00:00:00"/>
    <s v="USD"/>
    <n v="100000"/>
    <n v="100000"/>
    <s v="USD"/>
    <n v="100000"/>
    <n v="100000"/>
    <b v="1"/>
    <m/>
  </r>
  <r>
    <b v="1"/>
    <x v="2"/>
    <x v="0"/>
    <x v="0"/>
    <x v="0"/>
    <x v="1"/>
    <x v="14"/>
    <n v="0"/>
    <x v="17"/>
    <s v="22fbd3d08bab4319a6ba0483c84d2380"/>
    <s v="Athon Gera√ß√£o Distribu√≠da Green Bond"/>
    <x v="0"/>
    <x v="0"/>
    <s v="Solar"/>
    <s v="Marab√° 100"/>
    <s v="Brazil"/>
    <d v="2019-07-19T00:00:00"/>
    <d v="2019-07-19T00:00:00"/>
    <s v="BRL"/>
    <n v="11650000"/>
    <n v="11650000"/>
    <s v="BRL"/>
    <n v="11650000"/>
    <n v="2185741"/>
    <b v="0"/>
    <n v="0.28999999999999998"/>
  </r>
  <r>
    <b v="1"/>
    <x v="2"/>
    <x v="0"/>
    <x v="0"/>
    <x v="0"/>
    <x v="1"/>
    <x v="14"/>
    <n v="0"/>
    <x v="17"/>
    <s v="22fbd3d08bab4319a6ba0483c84d2380"/>
    <s v="Athon Gera√ß√£o Distribu√≠da Green Bond"/>
    <x v="1"/>
    <x v="1"/>
    <s v="Generation"/>
    <s v="Marab√° 100"/>
    <s v="Brazil"/>
    <d v="2019-07-19T00:00:00"/>
    <d v="2019-07-19T00:00:00"/>
    <s v="BRL"/>
    <n v="11650000"/>
    <n v="11650000"/>
    <s v="BRL"/>
    <n v="11650000"/>
    <n v="2185741"/>
    <b v="0"/>
    <n v="0.28999999999999998"/>
  </r>
  <r>
    <b v="1"/>
    <x v="2"/>
    <x v="0"/>
    <x v="0"/>
    <x v="0"/>
    <x v="1"/>
    <x v="14"/>
    <n v="0"/>
    <x v="17"/>
    <s v="22fbd3d08bab4319a6ba0483c84d2380"/>
    <s v="Athon Gera√ß√£o Distribu√≠da Green Bond"/>
    <x v="0"/>
    <x v="0"/>
    <s v="Solar"/>
    <s v="Timon 100"/>
    <s v="Brazil"/>
    <d v="2019-07-19T00:00:00"/>
    <d v="2019-07-19T00:00:00"/>
    <s v="BRL"/>
    <n v="6390000"/>
    <n v="6390000"/>
    <s v="BRL"/>
    <n v="6390000"/>
    <n v="1198874"/>
    <b v="0"/>
    <n v="0.16"/>
  </r>
  <r>
    <b v="1"/>
    <x v="2"/>
    <x v="0"/>
    <x v="0"/>
    <x v="0"/>
    <x v="1"/>
    <x v="14"/>
    <n v="0"/>
    <x v="17"/>
    <s v="22fbd3d08bab4319a6ba0483c84d2380"/>
    <s v="Athon Gera√ß√£o Distribu√≠da Green Bond"/>
    <x v="1"/>
    <x v="1"/>
    <s v="Generation"/>
    <s v="Timon 100"/>
    <s v="Brazil"/>
    <d v="2019-07-19T00:00:00"/>
    <d v="2019-07-19T00:00:00"/>
    <s v="BRL"/>
    <n v="6390000"/>
    <n v="6390000"/>
    <s v="BRL"/>
    <n v="6390000"/>
    <n v="1198874"/>
    <b v="0"/>
    <n v="0.16"/>
  </r>
  <r>
    <b v="1"/>
    <x v="2"/>
    <x v="0"/>
    <x v="0"/>
    <x v="0"/>
    <x v="1"/>
    <x v="14"/>
    <n v="0"/>
    <x v="17"/>
    <s v="22fbd3d08bab4319a6ba0483c84d2380"/>
    <s v="Athon Gera√ß√£o Distribu√≠da Green Bond"/>
    <x v="0"/>
    <x v="0"/>
    <s v="Solar"/>
    <s v="Tr√™s Lagoas 100"/>
    <s v="Brazil"/>
    <d v="2019-07-19T00:00:00"/>
    <d v="2019-07-19T00:00:00"/>
    <s v="BRL"/>
    <n v="4270000"/>
    <n v="4270000"/>
    <s v="BRL"/>
    <n v="4270000"/>
    <n v="801125"/>
    <b v="0"/>
    <n v="0.11"/>
  </r>
  <r>
    <b v="1"/>
    <x v="2"/>
    <x v="0"/>
    <x v="0"/>
    <x v="0"/>
    <x v="1"/>
    <x v="14"/>
    <n v="0"/>
    <x v="17"/>
    <s v="22fbd3d08bab4319a6ba0483c84d2380"/>
    <s v="Athon Gera√ß√£o Distribu√≠da Green Bond"/>
    <x v="1"/>
    <x v="1"/>
    <s v="Generation"/>
    <s v="Tr√™s Lagoas 100"/>
    <s v="Brazil"/>
    <d v="2019-07-19T00:00:00"/>
    <d v="2019-07-19T00:00:00"/>
    <s v="BRL"/>
    <n v="4270000"/>
    <n v="4270000"/>
    <s v="BRL"/>
    <n v="4270000"/>
    <n v="801125"/>
    <b v="0"/>
    <n v="0.11"/>
  </r>
  <r>
    <b v="1"/>
    <x v="2"/>
    <x v="0"/>
    <x v="0"/>
    <x v="0"/>
    <x v="1"/>
    <x v="14"/>
    <n v="0"/>
    <x v="17"/>
    <s v="22fbd3d08bab4319a6ba0483c84d2380"/>
    <s v="Athon Gera√ß√£o Distribu√≠da Green Bond"/>
    <x v="0"/>
    <x v="0"/>
    <s v="Solar"/>
    <s v="Pirapora 100"/>
    <s v="Brazil"/>
    <d v="2019-07-19T00:00:00"/>
    <d v="2019-07-19T00:00:00"/>
    <s v="BRL"/>
    <n v="600000"/>
    <n v="600000"/>
    <s v="BRL"/>
    <n v="600000"/>
    <n v="112570"/>
    <b v="0"/>
    <n v="0.01"/>
  </r>
  <r>
    <b v="1"/>
    <x v="2"/>
    <x v="0"/>
    <x v="0"/>
    <x v="0"/>
    <x v="1"/>
    <x v="14"/>
    <n v="0"/>
    <x v="17"/>
    <s v="22fbd3d08bab4319a6ba0483c84d2380"/>
    <s v="Athon Gera√ß√£o Distribu√≠da Green Bond"/>
    <x v="1"/>
    <x v="1"/>
    <s v="Generation"/>
    <s v="Pirapora 100"/>
    <s v="Brazil"/>
    <d v="2019-07-19T00:00:00"/>
    <d v="2019-07-19T00:00:00"/>
    <s v="BRL"/>
    <n v="600000"/>
    <n v="600000"/>
    <s v="BRL"/>
    <n v="600000"/>
    <n v="112570"/>
    <b v="0"/>
    <n v="0.01"/>
  </r>
  <r>
    <b v="1"/>
    <x v="2"/>
    <x v="0"/>
    <x v="0"/>
    <x v="0"/>
    <x v="1"/>
    <x v="14"/>
    <n v="0"/>
    <x v="17"/>
    <s v="22fbd3d08bab4319a6ba0483c84d2380"/>
    <s v="Athon Gera√ß√£o Distribu√≠da Green Bond"/>
    <x v="0"/>
    <x v="0"/>
    <s v="Solar"/>
    <s v="Bela Vista 100"/>
    <s v="Brazil"/>
    <d v="2019-07-19T00:00:00"/>
    <d v="2019-07-19T00:00:00"/>
    <s v="BRL"/>
    <n v="13070000"/>
    <n v="13070000"/>
    <s v="BRL"/>
    <n v="13070000"/>
    <n v="2452157"/>
    <b v="0"/>
    <n v="0.33"/>
  </r>
  <r>
    <b v="1"/>
    <x v="2"/>
    <x v="0"/>
    <x v="0"/>
    <x v="0"/>
    <x v="1"/>
    <x v="14"/>
    <n v="0"/>
    <x v="17"/>
    <s v="22fbd3d08bab4319a6ba0483c84d2380"/>
    <s v="Athon Gera√ß√£o Distribu√≠da Green Bond"/>
    <x v="1"/>
    <x v="1"/>
    <s v="Generation"/>
    <s v="Bela Vista 100"/>
    <s v="Brazil"/>
    <d v="2019-07-19T00:00:00"/>
    <d v="2019-07-19T00:00:00"/>
    <s v="BRL"/>
    <n v="13070000"/>
    <n v="13070000"/>
    <s v="BRL"/>
    <n v="13070000"/>
    <n v="2452157"/>
    <b v="0"/>
    <n v="0.33"/>
  </r>
  <r>
    <b v="1"/>
    <x v="2"/>
    <x v="0"/>
    <x v="0"/>
    <x v="0"/>
    <x v="1"/>
    <x v="14"/>
    <n v="0"/>
    <x v="17"/>
    <s v="22fbd3d08bab4319a6ba0483c84d2380"/>
    <s v="Athon Gera√ß√£o Distribu√≠da Green Bond"/>
    <x v="0"/>
    <x v="0"/>
    <s v="Solar"/>
    <s v="Buritizeiro 100"/>
    <s v="Brazil"/>
    <d v="2019-07-19T00:00:00"/>
    <d v="2019-07-19T00:00:00"/>
    <s v="BRL"/>
    <n v="4170000"/>
    <n v="4170000"/>
    <s v="BRL"/>
    <n v="4170000"/>
    <n v="782363"/>
    <b v="0"/>
    <n v="0.1"/>
  </r>
  <r>
    <b v="1"/>
    <x v="2"/>
    <x v="0"/>
    <x v="0"/>
    <x v="0"/>
    <x v="1"/>
    <x v="14"/>
    <n v="0"/>
    <x v="17"/>
    <s v="22fbd3d08bab4319a6ba0483c84d2380"/>
    <s v="Athon Gera√ß√£o Distribu√≠da Green Bond"/>
    <x v="1"/>
    <x v="1"/>
    <s v="Generation"/>
    <s v="Buritizeiro 100"/>
    <s v="Brazil"/>
    <d v="2019-07-19T00:00:00"/>
    <d v="2019-07-19T00:00:00"/>
    <s v="BRL"/>
    <n v="4170000"/>
    <n v="4170000"/>
    <s v="BRL"/>
    <n v="4170000"/>
    <n v="782363"/>
    <b v="0"/>
    <n v="0.1"/>
  </r>
  <r>
    <b v="1"/>
    <x v="0"/>
    <x v="0"/>
    <x v="1"/>
    <x v="0"/>
    <x v="1"/>
    <x v="41"/>
    <n v="0"/>
    <x v="0"/>
    <s v="9bd98e9cc0fd42a69775ddbd0c63147a"/>
    <s v="Terceira Emiss√£o De Deb√™ntures Simples Da Eren Dracena Participa√ß√µes S.A."/>
    <x v="0"/>
    <x v="0"/>
    <s v="Solar"/>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0"/>
    <x v="0"/>
    <s v="Solar"/>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65000000"/>
    <n v="65000000"/>
    <s v="BRL"/>
    <n v="65000000"/>
    <n v="15124720"/>
    <b v="0"/>
    <m/>
  </r>
  <r>
    <b v="1"/>
    <x v="0"/>
    <x v="0"/>
    <x v="2"/>
    <x v="0"/>
    <x v="1"/>
    <x v="14"/>
    <n v="0"/>
    <x v="18"/>
    <s v="91d5f951533040578939c60b74089a81"/>
    <s v="Green Bond Program"/>
    <x v="0"/>
    <x v="0"/>
    <s v="Wind"/>
    <s v="Wind Farm Park Artilleros"/>
    <s v="Uruguay"/>
    <d v="2020-12-31T00:00:00"/>
    <d v="2020-12-31T00:00:00"/>
    <s v="USD"/>
    <n v="18600000"/>
    <n v="18600000"/>
    <s v="USD"/>
    <n v="18600000"/>
    <n v="18600000"/>
    <b v="0"/>
    <n v="1"/>
  </r>
  <r>
    <b v="1"/>
    <x v="0"/>
    <x v="0"/>
    <x v="2"/>
    <x v="0"/>
    <x v="1"/>
    <x v="14"/>
    <n v="0"/>
    <x v="18"/>
    <s v="91d5f951533040578939c60b74089a81"/>
    <s v="Green Bond Program"/>
    <x v="1"/>
    <x v="1"/>
    <s v="Generation"/>
    <s v="Wind Farm Park Artilleros"/>
    <s v="Uruguay"/>
    <d v="2020-12-31T00:00:00"/>
    <d v="2020-12-31T00:00:00"/>
    <s v="USD"/>
    <n v="18600000"/>
    <n v="18600000"/>
    <s v="USD"/>
    <n v="18600000"/>
    <n v="18600000"/>
    <b v="0"/>
    <n v="1"/>
  </r>
  <r>
    <b v="1"/>
    <x v="0"/>
    <x v="0"/>
    <x v="2"/>
    <x v="0"/>
    <x v="1"/>
    <x v="14"/>
    <n v="0"/>
    <x v="18"/>
    <s v="91d5f951533040578939c60b74089a81"/>
    <s v="Green Bond Program"/>
    <x v="0"/>
    <x v="0"/>
    <s v="Hydro"/>
    <s v="Small hydro-plants Angel"/>
    <s v="Peru"/>
    <d v="2020-12-31T00:00:00"/>
    <d v="2020-12-31T00:00:00"/>
    <s v="USD"/>
    <n v="25700000"/>
    <n v="25700000"/>
    <s v="USD"/>
    <n v="25700000"/>
    <n v="25700000"/>
    <b v="1"/>
    <n v="1"/>
  </r>
  <r>
    <b v="1"/>
    <x v="0"/>
    <x v="0"/>
    <x v="2"/>
    <x v="0"/>
    <x v="1"/>
    <x v="14"/>
    <n v="0"/>
    <x v="18"/>
    <s v="91d5f951533040578939c60b74089a81"/>
    <s v="Green Bond Program"/>
    <x v="1"/>
    <x v="1"/>
    <s v="Generation"/>
    <s v="Small hydro-plants Angel"/>
    <s v="Peru"/>
    <d v="2020-12-31T00:00:00"/>
    <d v="2020-12-31T00:00:00"/>
    <s v="USD"/>
    <n v="25700000"/>
    <n v="25700000"/>
    <s v="USD"/>
    <n v="25700000"/>
    <n v="25700000"/>
    <b v="1"/>
    <n v="1"/>
  </r>
  <r>
    <b v="1"/>
    <x v="0"/>
    <x v="0"/>
    <x v="2"/>
    <x v="0"/>
    <x v="1"/>
    <x v="14"/>
    <n v="0"/>
    <x v="18"/>
    <s v="91d5f951533040578939c60b74089a81"/>
    <s v="Green Bond Program"/>
    <x v="0"/>
    <x v="0"/>
    <s v="Hydro"/>
    <s v="Hydro-plant Langui"/>
    <s v="Peru"/>
    <d v="2020-12-31T00:00:00"/>
    <d v="2020-12-31T00:00:00"/>
    <s v="USD"/>
    <n v="2200000"/>
    <n v="2200000"/>
    <s v="USD"/>
    <n v="2200000"/>
    <n v="2200000"/>
    <b v="1"/>
    <n v="1"/>
  </r>
  <r>
    <b v="1"/>
    <x v="0"/>
    <x v="0"/>
    <x v="2"/>
    <x v="0"/>
    <x v="1"/>
    <x v="14"/>
    <n v="0"/>
    <x v="18"/>
    <s v="91d5f951533040578939c60b74089a81"/>
    <s v="Green Bond Program"/>
    <x v="1"/>
    <x v="1"/>
    <s v="Generation"/>
    <s v="Hydro-plant Langui"/>
    <s v="Peru"/>
    <d v="2020-12-31T00:00:00"/>
    <d v="2020-12-31T00:00:00"/>
    <s v="USD"/>
    <n v="2200000"/>
    <n v="2200000"/>
    <s v="USD"/>
    <n v="2200000"/>
    <n v="2200000"/>
    <b v="1"/>
    <n v="1"/>
  </r>
  <r>
    <b v="1"/>
    <x v="0"/>
    <x v="0"/>
    <x v="2"/>
    <x v="0"/>
    <x v="1"/>
    <x v="14"/>
    <n v="0"/>
    <x v="18"/>
    <s v="91d5f951533040578939c60b74089a81"/>
    <s v="Green Bond Program"/>
    <x v="0"/>
    <x v="0"/>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1"/>
    <x v="1"/>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0"/>
    <x v="5"/>
    <s v="Rail"/>
    <s v="Quito Metro Line One"/>
    <s v="Ecuador"/>
    <d v="2020-12-31T00:00:00"/>
    <d v="2020-12-31T00:00:00"/>
    <s v="USD"/>
    <n v="126000000"/>
    <n v="126000000"/>
    <s v="USD"/>
    <n v="126000000"/>
    <n v="126000000"/>
    <b v="1"/>
    <n v="1"/>
  </r>
  <r>
    <b v="1"/>
    <x v="0"/>
    <x v="0"/>
    <x v="1"/>
    <x v="0"/>
    <x v="1"/>
    <x v="42"/>
    <s v="BBG00GY1HY29"/>
    <x v="19"/>
    <s v="1ea3f91d3e7047c6af38408cf446eaae"/>
    <s v="Green Bond Rio Energy Itarema Wind Complex"/>
    <x v="0"/>
    <x v="0"/>
    <s v="Win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1"/>
    <x v="1"/>
    <s v="Generation"/>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2"/>
    <x v="9"/>
    <s v="Unspecifie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3"/>
    <x v="9"/>
    <s v="Unspecified"/>
    <s v="Complexo E√≥lico Itarema"/>
    <s v="Brazil"/>
    <d v="2017-05-02T00:00:00"/>
    <d v="2017-06-16T00:00:00"/>
    <s v="BRL"/>
    <n v="111760000"/>
    <n v="111760000"/>
    <s v="BRL"/>
    <n v="111760000"/>
    <n v="35235513"/>
    <b v="0"/>
    <n v="0.1"/>
  </r>
  <r>
    <b v="1"/>
    <x v="0"/>
    <x v="0"/>
    <x v="2"/>
    <x v="0"/>
    <x v="1"/>
    <x v="14"/>
    <n v="0"/>
    <x v="18"/>
    <s v="91d5f951533040578939c60b74089a81"/>
    <s v="Green Bond Program"/>
    <x v="1"/>
    <x v="6"/>
    <s v="Rail"/>
    <s v="Quito Metro Line One"/>
    <s v="Ecuador"/>
    <d v="2020-12-31T00:00:00"/>
    <d v="2020-12-31T00:00:00"/>
    <s v="USD"/>
    <n v="126000000"/>
    <n v="126000000"/>
    <s v="USD"/>
    <n v="126000000"/>
    <n v="126000000"/>
    <b v="1"/>
    <n v="1"/>
  </r>
  <r>
    <b v="1"/>
    <x v="0"/>
    <x v="0"/>
    <x v="2"/>
    <x v="0"/>
    <x v="1"/>
    <x v="14"/>
    <n v="0"/>
    <x v="18"/>
    <s v="91d5f951533040578939c60b74089a81"/>
    <s v="Green Bond Program"/>
    <x v="0"/>
    <x v="5"/>
    <s v="Rail"/>
    <s v="Lima Metro Line 2"/>
    <s v="Peru"/>
    <d v="2020-12-31T00:00:00"/>
    <d v="2020-12-31T00:00:00"/>
    <s v="USD"/>
    <n v="68000000"/>
    <n v="68000000"/>
    <s v="USD"/>
    <n v="68000000"/>
    <n v="68000000"/>
    <b v="1"/>
    <n v="1"/>
  </r>
  <r>
    <b v="1"/>
    <x v="0"/>
    <x v="0"/>
    <x v="2"/>
    <x v="0"/>
    <x v="1"/>
    <x v="14"/>
    <n v="0"/>
    <x v="18"/>
    <s v="91d5f951533040578939c60b74089a81"/>
    <s v="Green Bond Program"/>
    <x v="1"/>
    <x v="6"/>
    <s v="Rail"/>
    <s v="Lima Metro Line 2"/>
    <s v="Peru"/>
    <d v="2020-12-31T00:00:00"/>
    <d v="2020-12-31T00:00:00"/>
    <s v="USD"/>
    <n v="68000000"/>
    <n v="68000000"/>
    <s v="USD"/>
    <n v="68000000"/>
    <n v="68000000"/>
    <b v="1"/>
    <n v="1"/>
  </r>
  <r>
    <b v="1"/>
    <x v="0"/>
    <x v="0"/>
    <x v="2"/>
    <x v="0"/>
    <x v="1"/>
    <x v="14"/>
    <n v="0"/>
    <x v="18"/>
    <s v="91d5f951533040578939c60b74089a81"/>
    <s v="Green Bond Program"/>
    <x v="0"/>
    <x v="5"/>
    <s v="Rail"/>
    <s v="Sao Paulo Metro Line 17"/>
    <s v="Brazil"/>
    <d v="2020-12-31T00:00:00"/>
    <d v="2020-12-31T00:00:00"/>
    <s v="USD"/>
    <n v="196000000"/>
    <n v="196000000"/>
    <s v="USD"/>
    <n v="196000000"/>
    <n v="196000000"/>
    <b v="0"/>
    <n v="1"/>
  </r>
  <r>
    <b v="1"/>
    <x v="0"/>
    <x v="0"/>
    <x v="1"/>
    <x v="0"/>
    <x v="1"/>
    <x v="43"/>
    <s v="BBG00LZCH1F1"/>
    <x v="20"/>
    <s v="a31693d3e7bf4b0490bc87250076b904"/>
    <s v="Green Bond Rio Energy Serra da Babilonia Wind Complex"/>
    <x v="0"/>
    <x v="0"/>
    <s v="Win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1"/>
    <x v="1"/>
    <s v="Generation"/>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2"/>
    <x v="9"/>
    <s v="Unspecifie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3"/>
    <x v="9"/>
    <s v="Unspecified"/>
    <s v="Complexo E√≥lico Serra da Babil√¥nia"/>
    <s v="Brazil"/>
    <d v="2018-08-15T00:00:00"/>
    <d v="2018-08-15T00:00:00"/>
    <s v="BRL"/>
    <n v="127780000"/>
    <n v="127780000"/>
    <s v="BRL"/>
    <n v="127780000"/>
    <n v="32656921"/>
    <b v="0"/>
    <n v="0.09"/>
  </r>
  <r>
    <b v="1"/>
    <x v="0"/>
    <x v="0"/>
    <x v="2"/>
    <x v="0"/>
    <x v="1"/>
    <x v="14"/>
    <n v="0"/>
    <x v="18"/>
    <s v="91d5f951533040578939c60b74089a81"/>
    <s v="Green Bond Program"/>
    <x v="1"/>
    <x v="6"/>
    <s v="Rail"/>
    <s v="Sao Paulo Metro Line 17"/>
    <s v="Brazil"/>
    <d v="2020-12-31T00:00:00"/>
    <d v="2020-12-31T00:00:00"/>
    <s v="USD"/>
    <n v="196000000"/>
    <n v="196000000"/>
    <s v="USD"/>
    <n v="196000000"/>
    <n v="196000000"/>
    <b v="0"/>
    <n v="1"/>
  </r>
  <r>
    <b v="1"/>
    <x v="0"/>
    <x v="0"/>
    <x v="2"/>
    <x v="0"/>
    <x v="1"/>
    <x v="14"/>
    <n v="0"/>
    <x v="18"/>
    <s v="91d5f951533040578939c60b74089a81"/>
    <s v="Green Bond Program"/>
    <x v="0"/>
    <x v="5"/>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1"/>
    <x v="6"/>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0"/>
    <x v="2"/>
    <s v="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1"/>
    <x v="3"/>
    <s v="Wastewater 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0"/>
    <x v="2"/>
    <s v="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1"/>
    <x v="3"/>
    <s v="Wastewater 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0"/>
    <x v="2"/>
    <s v="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1"/>
    <x v="3"/>
    <s v="Wastewater 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0"/>
    <x v="2"/>
    <s v="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1"/>
    <x v="3"/>
    <s v="Wastewater 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0"/>
    <x v="2"/>
    <s v="Treatment"/>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1"/>
    <x v="3"/>
    <s v="Infrastructure"/>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0"/>
    <x v="2"/>
    <s v="Treatment"/>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1"/>
    <x v="3"/>
    <s v="Infrastructure"/>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0"/>
    <x v="2"/>
    <s v="Treatment"/>
    <s v="Desenvolvimento Socioambiental de Sobral Program - PRODESOL"/>
    <s v="Brazil"/>
    <d v="2020-12-31T00:00:00"/>
    <d v="2020-12-31T00:00:00"/>
    <s v="USD"/>
    <n v="39000000"/>
    <n v="39000000"/>
    <s v="USD"/>
    <n v="39000000"/>
    <n v="39000000"/>
    <b v="0"/>
    <n v="1"/>
  </r>
  <r>
    <b v="1"/>
    <x v="0"/>
    <x v="0"/>
    <x v="2"/>
    <x v="0"/>
    <x v="1"/>
    <x v="14"/>
    <n v="0"/>
    <x v="18"/>
    <s v="91d5f951533040578939c60b74089a81"/>
    <s v="Green Bond Program"/>
    <x v="1"/>
    <x v="3"/>
    <s v="Infrastructure"/>
    <s v="Desenvolvimento Socioambiental de Sobral Program - PRODESOL"/>
    <s v="Brazil"/>
    <d v="2020-12-31T00:00:00"/>
    <d v="2020-12-31T00:00:00"/>
    <s v="USD"/>
    <n v="39000000"/>
    <n v="39000000"/>
    <s v="USD"/>
    <n v="39000000"/>
    <n v="39000000"/>
    <b v="0"/>
    <n v="1"/>
  </r>
  <r>
    <b v="1"/>
    <x v="0"/>
    <x v="0"/>
    <x v="2"/>
    <x v="0"/>
    <x v="1"/>
    <x v="36"/>
    <s v="BBG00HPK5N13"/>
    <x v="0"/>
    <s v="7d27df26e2924c4d9fcf8ba0c0d9d684"/>
    <s v="Klabin 2027"/>
    <x v="1"/>
    <x v="16"/>
    <s v="Packaging"/>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1"/>
    <x v="16"/>
    <s v="Packaging"/>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1"/>
    <x v="16"/>
    <s v="Packaging"/>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1"/>
    <x v="16"/>
    <s v="Packaging"/>
    <s v="Design of products adapted to the circular economy"/>
    <s v="Brazil"/>
    <d v="2020-07-01T00:00:00"/>
    <d v="2020-07-01T00:00:00"/>
    <s v="BRL"/>
    <n v="750000"/>
    <n v="750000"/>
    <s v="USD"/>
    <n v="138000"/>
    <n v="13800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1"/>
    <x v="12"/>
    <s v="Reduction of local emissions"/>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1"/>
    <x v="12"/>
    <s v="Reduction of local emissions"/>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0"/>
    <x v="2"/>
    <s v="Treatment"/>
    <s v="Effluent Treatment"/>
    <s v="Brazil"/>
    <d v="2017-06-01T00:00:00"/>
    <d v="2017-06-01T00:00:00"/>
    <s v="BRL"/>
    <n v="74400"/>
    <n v="74400"/>
    <s v="USD"/>
    <n v="23305"/>
    <n v="23305"/>
    <b v="1"/>
    <n v="1"/>
  </r>
  <r>
    <b v="1"/>
    <x v="0"/>
    <x v="0"/>
    <x v="2"/>
    <x v="0"/>
    <x v="1"/>
    <x v="36"/>
    <s v="BBG00HPK5N13"/>
    <x v="0"/>
    <s v="7d27df26e2924c4d9fcf8ba0c0d9d684"/>
    <s v="Klabin 2027"/>
    <x v="0"/>
    <x v="2"/>
    <s v="Treatment"/>
    <s v="Effluent Treatment"/>
    <s v="Brazil"/>
    <d v="2016-06-01T00:00:00"/>
    <d v="2016-06-01T00:00:00"/>
    <s v="BRL"/>
    <n v="11103450"/>
    <n v="11103450"/>
    <s v="USD"/>
    <n v="3187624"/>
    <n v="3187624"/>
    <b v="1"/>
    <n v="1"/>
  </r>
  <r>
    <b v="1"/>
    <x v="0"/>
    <x v="0"/>
    <x v="2"/>
    <x v="0"/>
    <x v="1"/>
    <x v="36"/>
    <s v="BBG00HPK5N13"/>
    <x v="0"/>
    <s v="7d27df26e2924c4d9fcf8ba0c0d9d684"/>
    <s v="Klabin 2027"/>
    <x v="0"/>
    <x v="2"/>
    <s v="Treatment"/>
    <s v="Effluent Treatment"/>
    <s v="Brazil"/>
    <d v="2015-09-01T00:00:00"/>
    <d v="2015-09-01T00:00:00"/>
    <s v="BRL"/>
    <n v="7652550"/>
    <n v="7652550"/>
    <s v="USD"/>
    <n v="2292075"/>
    <n v="2292075"/>
    <b v="1"/>
    <n v="1"/>
  </r>
  <r>
    <b v="1"/>
    <x v="0"/>
    <x v="0"/>
    <x v="2"/>
    <x v="0"/>
    <x v="1"/>
    <x v="36"/>
    <s v="BBG00HPK5N13"/>
    <x v="0"/>
    <s v="7d27df26e2924c4d9fcf8ba0c0d9d684"/>
    <s v="Klabin 2027"/>
    <x v="1"/>
    <x v="3"/>
    <s v="Wastewater treatment"/>
    <s v="Effluent Treatment"/>
    <s v="Brazil"/>
    <d v="2017-06-01T00:00:00"/>
    <d v="2017-06-01T00:00:00"/>
    <s v="BRL"/>
    <n v="74400"/>
    <n v="74400"/>
    <s v="USD"/>
    <n v="23305"/>
    <n v="23305"/>
    <b v="1"/>
    <n v="1"/>
  </r>
  <r>
    <b v="1"/>
    <x v="0"/>
    <x v="0"/>
    <x v="2"/>
    <x v="0"/>
    <x v="1"/>
    <x v="36"/>
    <s v="BBG00HPK5N13"/>
    <x v="0"/>
    <s v="7d27df26e2924c4d9fcf8ba0c0d9d684"/>
    <s v="Klabin 2027"/>
    <x v="1"/>
    <x v="3"/>
    <s v="Wastewater treatment"/>
    <s v="Effluent Treatment"/>
    <s v="Brazil"/>
    <d v="2016-06-01T00:00:00"/>
    <d v="2016-06-01T00:00:00"/>
    <s v="BRL"/>
    <n v="11103450"/>
    <n v="11103450"/>
    <s v="USD"/>
    <n v="3187624"/>
    <n v="3187624"/>
    <b v="1"/>
    <n v="1"/>
  </r>
  <r>
    <b v="1"/>
    <x v="0"/>
    <x v="0"/>
    <x v="2"/>
    <x v="0"/>
    <x v="1"/>
    <x v="36"/>
    <s v="BBG00HPK5N13"/>
    <x v="0"/>
    <s v="7d27df26e2924c4d9fcf8ba0c0d9d684"/>
    <s v="Klabin 2027"/>
    <x v="1"/>
    <x v="3"/>
    <s v="Wastewater treatment"/>
    <s v="Effluent Treatment"/>
    <s v="Brazil"/>
    <d v="2015-09-01T00:00:00"/>
    <d v="2015-09-01T00:00:00"/>
    <s v="BRL"/>
    <n v="7652550"/>
    <n v="7652550"/>
    <s v="USD"/>
    <n v="2292075"/>
    <n v="2292075"/>
    <b v="1"/>
    <n v="1"/>
  </r>
  <r>
    <b v="1"/>
    <x v="0"/>
    <x v="0"/>
    <x v="2"/>
    <x v="0"/>
    <x v="1"/>
    <x v="36"/>
    <s v="BBG00HPK5N13"/>
    <x v="0"/>
    <s v="7d27df26e2924c4d9fcf8ba0c0d9d684"/>
    <s v="Klabin 2027"/>
    <x v="0"/>
    <x v="10"/>
    <s v="Commercial Forestry"/>
    <s v="Environment projects and certifications"/>
    <s v="Brazil"/>
    <d v="2019-01-01T00:00:00"/>
    <d v="2019-01-01T00:00:00"/>
    <s v="BRL"/>
    <n v="858390"/>
    <n v="858390"/>
    <s v="USD"/>
    <n v="223200"/>
    <n v="223200"/>
    <b v="1"/>
    <n v="1"/>
  </r>
  <r>
    <b v="1"/>
    <x v="0"/>
    <x v="0"/>
    <x v="2"/>
    <x v="0"/>
    <x v="1"/>
    <x v="36"/>
    <s v="BBG00HPK5N13"/>
    <x v="0"/>
    <s v="7d27df26e2924c4d9fcf8ba0c0d9d684"/>
    <s v="Klabin 2027"/>
    <x v="0"/>
    <x v="10"/>
    <s v="Commercial Forestry"/>
    <s v="Environment projects and certifications"/>
    <s v="Brazil"/>
    <d v="2018-07-01T00:00:00"/>
    <d v="2018-07-01T00:00:00"/>
    <s v="BRL"/>
    <n v="954500"/>
    <n v="954500"/>
    <s v="USD"/>
    <n v="245970"/>
    <n v="245970"/>
    <b v="1"/>
    <n v="1"/>
  </r>
  <r>
    <b v="1"/>
    <x v="0"/>
    <x v="0"/>
    <x v="2"/>
    <x v="0"/>
    <x v="1"/>
    <x v="36"/>
    <s v="BBG00HPK5N13"/>
    <x v="0"/>
    <s v="7d27df26e2924c4d9fcf8ba0c0d9d684"/>
    <s v="Klabin 2027"/>
    <x v="0"/>
    <x v="10"/>
    <s v="Commercial 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0"/>
    <x v="10"/>
    <s v="Commercial 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0"/>
    <x v="10"/>
    <s v="Commercial 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0"/>
    <x v="10"/>
    <s v="Commercial 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1"/>
    <x v="11"/>
    <s v="Forestry"/>
    <s v="Environment projects and certifications"/>
    <s v="Brazil"/>
    <d v="2019-01-01T00:00:00"/>
    <d v="2019-01-01T00:00:00"/>
    <s v="BRL"/>
    <n v="858390"/>
    <n v="858390"/>
    <s v="USD"/>
    <n v="223200"/>
    <n v="223200"/>
    <b v="1"/>
    <n v="1"/>
  </r>
  <r>
    <b v="1"/>
    <x v="0"/>
    <x v="0"/>
    <x v="2"/>
    <x v="0"/>
    <x v="1"/>
    <x v="36"/>
    <s v="BBG00HPK5N13"/>
    <x v="0"/>
    <s v="7d27df26e2924c4d9fcf8ba0c0d9d684"/>
    <s v="Klabin 2027"/>
    <x v="1"/>
    <x v="11"/>
    <s v="Forestry"/>
    <s v="Environment projects and certifications"/>
    <s v="Brazil"/>
    <d v="2018-07-01T00:00:00"/>
    <d v="2018-07-01T00:00:00"/>
    <s v="BRL"/>
    <n v="954500"/>
    <n v="954500"/>
    <s v="USD"/>
    <n v="245970"/>
    <n v="245970"/>
    <b v="1"/>
    <n v="1"/>
  </r>
  <r>
    <b v="1"/>
    <x v="0"/>
    <x v="0"/>
    <x v="2"/>
    <x v="0"/>
    <x v="1"/>
    <x v="36"/>
    <s v="BBG00HPK5N13"/>
    <x v="0"/>
    <s v="7d27df26e2924c4d9fcf8ba0c0d9d684"/>
    <s v="Klabin 2027"/>
    <x v="1"/>
    <x v="11"/>
    <s v="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1"/>
    <x v="11"/>
    <s v="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1"/>
    <x v="11"/>
    <s v="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1"/>
    <x v="11"/>
    <s v="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0"/>
    <x v="10"/>
    <s v="Ecosystem Conservation &amp; Restoration"/>
    <s v="Environmental Protector Program"/>
    <s v="Brazil"/>
    <d v="2020-07-01T00:00:00"/>
    <d v="2020-07-01T00:00:00"/>
    <s v="BRL"/>
    <n v="14000"/>
    <n v="14000"/>
    <s v="USD"/>
    <n v="3000"/>
    <n v="3000"/>
    <b v="0"/>
    <n v="1"/>
  </r>
  <r>
    <b v="1"/>
    <x v="0"/>
    <x v="0"/>
    <x v="2"/>
    <x v="0"/>
    <x v="1"/>
    <x v="36"/>
    <s v="BBG00HPK5N13"/>
    <x v="0"/>
    <s v="7d27df26e2924c4d9fcf8ba0c0d9d684"/>
    <s v="Klabin 2027"/>
    <x v="0"/>
    <x v="10"/>
    <s v="Ecosystem Conservation &amp; Restoration"/>
    <s v="Environmental Protector Program"/>
    <s v="Brazil"/>
    <d v="2020-01-01T00:00:00"/>
    <d v="2020-01-01T00:00:00"/>
    <s v="BRL"/>
    <n v="5000"/>
    <n v="5000"/>
    <s v="USD"/>
    <n v="1000"/>
    <n v="1000"/>
    <b v="0"/>
    <n v="1"/>
  </r>
  <r>
    <b v="1"/>
    <x v="0"/>
    <x v="0"/>
    <x v="2"/>
    <x v="0"/>
    <x v="1"/>
    <x v="36"/>
    <s v="BBG00HPK5N13"/>
    <x v="0"/>
    <s v="7d27df26e2924c4d9fcf8ba0c0d9d684"/>
    <s v="Klabin 2027"/>
    <x v="0"/>
    <x v="10"/>
    <s v="Ecosystem Conservation &amp; Restoration"/>
    <s v="Environmental Protector Program"/>
    <s v="Brazil"/>
    <d v="2019-07-01T00:00:00"/>
    <d v="2019-07-01T00:00:00"/>
    <s v="BRL"/>
    <n v="16000"/>
    <n v="16000"/>
    <s v="USD"/>
    <n v="4000"/>
    <n v="4000"/>
    <b v="0"/>
    <n v="1"/>
  </r>
  <r>
    <b v="1"/>
    <x v="0"/>
    <x v="0"/>
    <x v="2"/>
    <x v="0"/>
    <x v="1"/>
    <x v="36"/>
    <s v="BBG00HPK5N13"/>
    <x v="0"/>
    <s v="7d27df26e2924c4d9fcf8ba0c0d9d684"/>
    <s v="Klabin 2027"/>
    <x v="0"/>
    <x v="10"/>
    <s v="Ecosystem Conservation &amp; Restoration"/>
    <s v="Environmental Protector Program"/>
    <s v="Brazil"/>
    <d v="2019-01-01T00:00:00"/>
    <d v="2019-01-01T00:00:00"/>
    <s v="BRL"/>
    <n v="14910"/>
    <n v="14910"/>
    <s v="USD"/>
    <n v="3880"/>
    <n v="3880"/>
    <b v="0"/>
    <n v="1"/>
  </r>
  <r>
    <b v="1"/>
    <x v="0"/>
    <x v="0"/>
    <x v="2"/>
    <x v="0"/>
    <x v="1"/>
    <x v="36"/>
    <s v="BBG00HPK5N13"/>
    <x v="0"/>
    <s v="7d27df26e2924c4d9fcf8ba0c0d9d684"/>
    <s v="Klabin 2027"/>
    <x v="0"/>
    <x v="10"/>
    <s v="Ecosystem Conservation &amp; Restoration"/>
    <s v="Environmental Protector Program"/>
    <s v="Brazil"/>
    <d v="2018-07-01T00:00:00"/>
    <d v="2018-07-01T00:00:00"/>
    <s v="BRL"/>
    <n v="13370"/>
    <n v="13370"/>
    <s v="USD"/>
    <n v="3450"/>
    <n v="3450"/>
    <b v="0"/>
    <n v="1"/>
  </r>
  <r>
    <b v="1"/>
    <x v="0"/>
    <x v="0"/>
    <x v="2"/>
    <x v="0"/>
    <x v="1"/>
    <x v="36"/>
    <s v="BBG00HPK5N13"/>
    <x v="0"/>
    <s v="7d27df26e2924c4d9fcf8ba0c0d9d684"/>
    <s v="Klabin 2027"/>
    <x v="1"/>
    <x v="11"/>
    <s v="Natural landscapes"/>
    <s v="Environmental Protector Program"/>
    <s v="Brazil"/>
    <d v="2020-07-01T00:00:00"/>
    <d v="2020-07-01T00:00:00"/>
    <s v="BRL"/>
    <n v="14000"/>
    <n v="14000"/>
    <s v="USD"/>
    <n v="3000"/>
    <n v="3000"/>
    <b v="0"/>
    <n v="1"/>
  </r>
  <r>
    <b v="1"/>
    <x v="0"/>
    <x v="0"/>
    <x v="2"/>
    <x v="0"/>
    <x v="1"/>
    <x v="36"/>
    <s v="BBG00HPK5N13"/>
    <x v="0"/>
    <s v="7d27df26e2924c4d9fcf8ba0c0d9d684"/>
    <s v="Klabin 2027"/>
    <x v="1"/>
    <x v="11"/>
    <s v="Natural landscapes"/>
    <s v="Environmental Protector Program"/>
    <s v="Brazil"/>
    <d v="2020-01-01T00:00:00"/>
    <d v="2020-01-01T00:00:00"/>
    <s v="BRL"/>
    <n v="5000"/>
    <n v="5000"/>
    <s v="USD"/>
    <n v="1000"/>
    <n v="1000"/>
    <b v="0"/>
    <n v="1"/>
  </r>
  <r>
    <b v="1"/>
    <x v="0"/>
    <x v="0"/>
    <x v="2"/>
    <x v="0"/>
    <x v="1"/>
    <x v="36"/>
    <s v="BBG00HPK5N13"/>
    <x v="0"/>
    <s v="7d27df26e2924c4d9fcf8ba0c0d9d684"/>
    <s v="Klabin 2027"/>
    <x v="1"/>
    <x v="11"/>
    <s v="Natural landscapes"/>
    <s v="Environmental Protector Program"/>
    <s v="Brazil"/>
    <d v="2019-07-01T00:00:00"/>
    <d v="2019-07-01T00:00:00"/>
    <s v="BRL"/>
    <n v="16000"/>
    <n v="16000"/>
    <s v="USD"/>
    <n v="4000"/>
    <n v="4000"/>
    <b v="0"/>
    <n v="1"/>
  </r>
  <r>
    <b v="1"/>
    <x v="0"/>
    <x v="0"/>
    <x v="2"/>
    <x v="0"/>
    <x v="1"/>
    <x v="36"/>
    <s v="BBG00HPK5N13"/>
    <x v="0"/>
    <s v="7d27df26e2924c4d9fcf8ba0c0d9d684"/>
    <s v="Klabin 2027"/>
    <x v="1"/>
    <x v="11"/>
    <s v="Natural landscapes"/>
    <s v="Environmental Protector Program"/>
    <s v="Brazil"/>
    <d v="2019-01-01T00:00:00"/>
    <d v="2019-01-01T00:00:00"/>
    <s v="BRL"/>
    <n v="14910"/>
    <n v="14910"/>
    <s v="USD"/>
    <n v="3880"/>
    <n v="3880"/>
    <b v="0"/>
    <n v="1"/>
  </r>
  <r>
    <b v="1"/>
    <x v="0"/>
    <x v="0"/>
    <x v="2"/>
    <x v="0"/>
    <x v="1"/>
    <x v="36"/>
    <s v="BBG00HPK5N13"/>
    <x v="0"/>
    <s v="7d27df26e2924c4d9fcf8ba0c0d9d684"/>
    <s v="Klabin 2027"/>
    <x v="1"/>
    <x v="11"/>
    <s v="Natural landscapes"/>
    <s v="Environmental Protector Program"/>
    <s v="Brazil"/>
    <d v="2018-07-01T00:00:00"/>
    <d v="2018-07-01T00:00:00"/>
    <s v="BRL"/>
    <n v="13370"/>
    <n v="13370"/>
    <s v="USD"/>
    <n v="3450"/>
    <n v="3450"/>
    <b v="0"/>
    <n v="1"/>
  </r>
  <r>
    <b v="1"/>
    <x v="0"/>
    <x v="0"/>
    <x v="2"/>
    <x v="0"/>
    <x v="1"/>
    <x v="36"/>
    <s v="BBG00HPK5N13"/>
    <x v="0"/>
    <s v="7d27df26e2924c4d9fcf8ba0c0d9d684"/>
    <s v="Klabin 2027"/>
    <x v="0"/>
    <x v="10"/>
    <s v="Ecosystem Conservation &amp; Restoration"/>
    <s v="Fauna and Flora Monitoring"/>
    <s v="Brazil"/>
    <d v="2017-06-01T00:00:00"/>
    <d v="2017-06-01T00:00:00"/>
    <s v="BRL"/>
    <n v="615000"/>
    <n v="615000"/>
    <s v="USD"/>
    <n v="192639"/>
    <n v="192639"/>
    <b v="1"/>
    <n v="1"/>
  </r>
  <r>
    <b v="1"/>
    <x v="0"/>
    <x v="0"/>
    <x v="2"/>
    <x v="0"/>
    <x v="1"/>
    <x v="36"/>
    <s v="BBG00HPK5N13"/>
    <x v="0"/>
    <s v="7d27df26e2924c4d9fcf8ba0c0d9d684"/>
    <s v="Klabin 2027"/>
    <x v="0"/>
    <x v="10"/>
    <s v="Ecosystem Conservation &amp; Restoration"/>
    <s v="Fauna and Flora Monitoring"/>
    <s v="Brazil"/>
    <d v="2016-06-01T00:00:00"/>
    <d v="2016-06-01T00:00:00"/>
    <s v="BRL"/>
    <n v="582000"/>
    <n v="582000"/>
    <s v="USD"/>
    <n v="167083"/>
    <n v="167083"/>
    <b v="1"/>
    <n v="1"/>
  </r>
  <r>
    <b v="1"/>
    <x v="0"/>
    <x v="0"/>
    <x v="2"/>
    <x v="0"/>
    <x v="1"/>
    <x v="36"/>
    <s v="BBG00HPK5N13"/>
    <x v="0"/>
    <s v="7d27df26e2924c4d9fcf8ba0c0d9d684"/>
    <s v="Klabin 2027"/>
    <x v="0"/>
    <x v="10"/>
    <s v="Ecosystem Conservation &amp; Restoration"/>
    <s v="Fauna and Flora Monitoring"/>
    <s v="Brazil"/>
    <d v="2015-09-01T00:00:00"/>
    <d v="2015-09-01T00:00:00"/>
    <s v="BRL"/>
    <n v="400000"/>
    <n v="400000"/>
    <s v="USD"/>
    <n v="119808"/>
    <n v="119808"/>
    <b v="1"/>
    <n v="1"/>
  </r>
  <r>
    <b v="1"/>
    <x v="0"/>
    <x v="0"/>
    <x v="2"/>
    <x v="0"/>
    <x v="1"/>
    <x v="36"/>
    <s v="BBG00HPK5N13"/>
    <x v="0"/>
    <s v="7d27df26e2924c4d9fcf8ba0c0d9d684"/>
    <s v="Klabin 2027"/>
    <x v="1"/>
    <x v="11"/>
    <s v="Natural landscapes"/>
    <s v="Fauna and Flora Monitoring"/>
    <s v="Brazil"/>
    <d v="2017-06-01T00:00:00"/>
    <d v="2017-06-01T00:00:00"/>
    <s v="BRL"/>
    <n v="615000"/>
    <n v="615000"/>
    <s v="USD"/>
    <n v="192639"/>
    <n v="192639"/>
    <b v="1"/>
    <n v="1"/>
  </r>
  <r>
    <b v="1"/>
    <x v="0"/>
    <x v="0"/>
    <x v="2"/>
    <x v="0"/>
    <x v="1"/>
    <x v="36"/>
    <s v="BBG00HPK5N13"/>
    <x v="0"/>
    <s v="7d27df26e2924c4d9fcf8ba0c0d9d684"/>
    <s v="Klabin 2027"/>
    <x v="1"/>
    <x v="11"/>
    <s v="Natural landscapes"/>
    <s v="Fauna and Flora Monitoring"/>
    <s v="Brazil"/>
    <d v="2016-06-01T00:00:00"/>
    <d v="2016-06-01T00:00:00"/>
    <s v="BRL"/>
    <n v="582000"/>
    <n v="582000"/>
    <s v="USD"/>
    <n v="167083"/>
    <n v="167083"/>
    <b v="1"/>
    <n v="1"/>
  </r>
  <r>
    <b v="1"/>
    <x v="0"/>
    <x v="0"/>
    <x v="2"/>
    <x v="0"/>
    <x v="1"/>
    <x v="36"/>
    <s v="BBG00HPK5N13"/>
    <x v="0"/>
    <s v="7d27df26e2924c4d9fcf8ba0c0d9d684"/>
    <s v="Klabin 2027"/>
    <x v="1"/>
    <x v="11"/>
    <s v="Natural landscapes"/>
    <s v="Fauna and Flora Monitoring"/>
    <s v="Brazil"/>
    <d v="2015-09-01T00:00:00"/>
    <d v="2015-09-01T00:00:00"/>
    <s v="BRL"/>
    <n v="400000"/>
    <n v="400000"/>
    <s v="USD"/>
    <n v="119808"/>
    <n v="119808"/>
    <b v="1"/>
    <n v="1"/>
  </r>
  <r>
    <b v="1"/>
    <x v="0"/>
    <x v="0"/>
    <x v="2"/>
    <x v="0"/>
    <x v="1"/>
    <x v="36"/>
    <s v="BBG00HPK5N13"/>
    <x v="0"/>
    <s v="7d27df26e2924c4d9fcf8ba0c0d9d684"/>
    <s v="Klabin 2027"/>
    <x v="0"/>
    <x v="9"/>
    <s v="Unspecified"/>
    <s v="Fire prevention measures"/>
    <s v="Brazil"/>
    <d v="2021-01-01T00:00:00"/>
    <d v="2021-01-01T00:00:00"/>
    <s v="BRL"/>
    <n v="9875000"/>
    <n v="9875000"/>
    <s v="USD"/>
    <n v="1832000"/>
    <n v="1832000"/>
    <b v="0"/>
    <n v="1"/>
  </r>
  <r>
    <b v="1"/>
    <x v="0"/>
    <x v="0"/>
    <x v="2"/>
    <x v="0"/>
    <x v="1"/>
    <x v="36"/>
    <s v="BBG00HPK5N13"/>
    <x v="0"/>
    <s v="7d27df26e2924c4d9fcf8ba0c0d9d684"/>
    <s v="Klabin 2027"/>
    <x v="0"/>
    <x v="9"/>
    <s v="Unspecified"/>
    <s v="Fire prevention measures"/>
    <s v="Brazil"/>
    <d v="2020-07-01T00:00:00"/>
    <d v="2020-07-01T00:00:00"/>
    <s v="BRL"/>
    <n v="8248000"/>
    <n v="8248000"/>
    <s v="USD"/>
    <n v="1517000"/>
    <n v="1517000"/>
    <b v="0"/>
    <n v="1"/>
  </r>
  <r>
    <b v="1"/>
    <x v="0"/>
    <x v="0"/>
    <x v="2"/>
    <x v="0"/>
    <x v="1"/>
    <x v="36"/>
    <s v="BBG00HPK5N13"/>
    <x v="0"/>
    <s v="7d27df26e2924c4d9fcf8ba0c0d9d684"/>
    <s v="Klabin 2027"/>
    <x v="0"/>
    <x v="9"/>
    <s v="Unspecified"/>
    <s v="Fire prevention measures"/>
    <s v="Brazil"/>
    <d v="2020-01-01T00:00:00"/>
    <d v="2020-01-01T00:00:00"/>
    <s v="BRL"/>
    <n v="6829000"/>
    <n v="6829000"/>
    <s v="USD"/>
    <n v="1387000"/>
    <n v="1387000"/>
    <b v="0"/>
    <n v="1"/>
  </r>
  <r>
    <b v="1"/>
    <x v="0"/>
    <x v="0"/>
    <x v="2"/>
    <x v="0"/>
    <x v="1"/>
    <x v="36"/>
    <s v="BBG00HPK5N13"/>
    <x v="0"/>
    <s v="7d27df26e2924c4d9fcf8ba0c0d9d684"/>
    <s v="Klabin 2027"/>
    <x v="0"/>
    <x v="9"/>
    <s v="Unspecified"/>
    <s v="Fire prevention measures"/>
    <s v="Brazil"/>
    <d v="2019-07-01T00:00:00"/>
    <d v="2019-07-01T00:00:00"/>
    <s v="BRL"/>
    <n v="6237000"/>
    <n v="6237000"/>
    <s v="USD"/>
    <n v="1538000"/>
    <n v="1538000"/>
    <b v="0"/>
    <n v="1"/>
  </r>
  <r>
    <b v="1"/>
    <x v="0"/>
    <x v="0"/>
    <x v="2"/>
    <x v="0"/>
    <x v="1"/>
    <x v="36"/>
    <s v="BBG00HPK5N13"/>
    <x v="0"/>
    <s v="7d27df26e2924c4d9fcf8ba0c0d9d684"/>
    <s v="Klabin 2027"/>
    <x v="1"/>
    <x v="17"/>
    <s v="Early warning systems"/>
    <s v="Fire prevention measures"/>
    <s v="Brazil"/>
    <d v="2021-01-01T00:00:00"/>
    <d v="2021-01-01T00:00:00"/>
    <s v="BRL"/>
    <n v="9875000"/>
    <n v="9875000"/>
    <s v="USD"/>
    <n v="1832000"/>
    <n v="1832000"/>
    <b v="0"/>
    <n v="1"/>
  </r>
  <r>
    <b v="1"/>
    <x v="0"/>
    <x v="0"/>
    <x v="2"/>
    <x v="0"/>
    <x v="1"/>
    <x v="36"/>
    <s v="BBG00HPK5N13"/>
    <x v="0"/>
    <s v="7d27df26e2924c4d9fcf8ba0c0d9d684"/>
    <s v="Klabin 2027"/>
    <x v="1"/>
    <x v="17"/>
    <s v="Early warning systems"/>
    <s v="Fire prevention measures"/>
    <s v="Brazil"/>
    <d v="2020-07-01T00:00:00"/>
    <d v="2020-07-01T00:00:00"/>
    <s v="BRL"/>
    <n v="8248000"/>
    <n v="8248000"/>
    <s v="USD"/>
    <n v="1517000"/>
    <n v="1517000"/>
    <b v="0"/>
    <n v="1"/>
  </r>
  <r>
    <b v="1"/>
    <x v="0"/>
    <x v="0"/>
    <x v="2"/>
    <x v="0"/>
    <x v="1"/>
    <x v="36"/>
    <s v="BBG00HPK5N13"/>
    <x v="0"/>
    <s v="7d27df26e2924c4d9fcf8ba0c0d9d684"/>
    <s v="Klabin 2027"/>
    <x v="1"/>
    <x v="17"/>
    <s v="Early warning systems"/>
    <s v="Fire prevention measures"/>
    <s v="Brazil"/>
    <d v="2020-01-01T00:00:00"/>
    <d v="2020-01-01T00:00:00"/>
    <s v="BRL"/>
    <n v="6829000"/>
    <n v="6829000"/>
    <s v="USD"/>
    <n v="1387000"/>
    <n v="1387000"/>
    <b v="0"/>
    <n v="1"/>
  </r>
  <r>
    <b v="1"/>
    <x v="0"/>
    <x v="0"/>
    <x v="2"/>
    <x v="0"/>
    <x v="1"/>
    <x v="36"/>
    <s v="BBG00HPK5N13"/>
    <x v="0"/>
    <s v="7d27df26e2924c4d9fcf8ba0c0d9d684"/>
    <s v="Klabin 2027"/>
    <x v="1"/>
    <x v="17"/>
    <s v="Early warning systems"/>
    <s v="Fire prevention measures"/>
    <s v="Brazil"/>
    <d v="2019-07-01T00:00:00"/>
    <d v="2019-07-01T00:00:00"/>
    <s v="BRL"/>
    <n v="6237000"/>
    <n v="6237000"/>
    <s v="USD"/>
    <n v="1538000"/>
    <n v="1538000"/>
    <b v="0"/>
    <n v="1"/>
  </r>
  <r>
    <b v="1"/>
    <x v="0"/>
    <x v="0"/>
    <x v="2"/>
    <x v="0"/>
    <x v="1"/>
    <x v="36"/>
    <s v="BBG00HPK5N13"/>
    <x v="0"/>
    <s v="7d27df26e2924c4d9fcf8ba0c0d9d684"/>
    <s v="Klabin 2027"/>
    <x v="0"/>
    <x v="10"/>
    <s v="Ecosystem Conservation &amp; Restoration"/>
    <s v="For√ßa Verde Mirim Program"/>
    <s v="Brazil"/>
    <d v="2019-01-01T00:00:00"/>
    <d v="2019-01-01T00:00:00"/>
    <s v="BRL"/>
    <n v="6670"/>
    <n v="6670"/>
    <s v="USD"/>
    <n v="1740"/>
    <n v="1740"/>
    <b v="0"/>
    <n v="1"/>
  </r>
  <r>
    <b v="1"/>
    <x v="0"/>
    <x v="0"/>
    <x v="2"/>
    <x v="0"/>
    <x v="1"/>
    <x v="36"/>
    <s v="BBG00HPK5N13"/>
    <x v="0"/>
    <s v="7d27df26e2924c4d9fcf8ba0c0d9d684"/>
    <s v="Klabin 2027"/>
    <x v="0"/>
    <x v="10"/>
    <s v="Ecosystem Conservation &amp; Restoration"/>
    <s v="For√ßa Verde Mirim Program"/>
    <s v="Brazil"/>
    <d v="2018-07-01T00:00:00"/>
    <d v="2018-07-01T00:00:00"/>
    <s v="BRL"/>
    <n v="9800"/>
    <n v="9800"/>
    <s v="USD"/>
    <n v="2530"/>
    <n v="2530"/>
    <b v="0"/>
    <n v="1"/>
  </r>
  <r>
    <b v="1"/>
    <x v="0"/>
    <x v="0"/>
    <x v="2"/>
    <x v="0"/>
    <x v="1"/>
    <x v="36"/>
    <s v="BBG00HPK5N13"/>
    <x v="0"/>
    <s v="7d27df26e2924c4d9fcf8ba0c0d9d684"/>
    <s v="Klabin 2027"/>
    <x v="1"/>
    <x v="11"/>
    <s v="Natural landscapes"/>
    <s v="For√ßa Verde Mirim Program"/>
    <s v="Brazil"/>
    <d v="2019-01-01T00:00:00"/>
    <d v="2019-01-01T00:00:00"/>
    <s v="BRL"/>
    <n v="6670"/>
    <n v="6670"/>
    <s v="USD"/>
    <n v="1740"/>
    <n v="1740"/>
    <b v="0"/>
    <n v="1"/>
  </r>
  <r>
    <b v="1"/>
    <x v="0"/>
    <x v="0"/>
    <x v="2"/>
    <x v="0"/>
    <x v="1"/>
    <x v="36"/>
    <s v="BBG00HPK5N13"/>
    <x v="0"/>
    <s v="7d27df26e2924c4d9fcf8ba0c0d9d684"/>
    <s v="Klabin 2027"/>
    <x v="1"/>
    <x v="11"/>
    <s v="Natural landscapes"/>
    <s v="For√ßa Verde Mirim Program"/>
    <s v="Brazil"/>
    <d v="2018-07-01T00:00:00"/>
    <d v="2018-07-01T00:00:00"/>
    <s v="BRL"/>
    <n v="9800"/>
    <n v="9800"/>
    <s v="USD"/>
    <n v="2530"/>
    <n v="2530"/>
    <b v="0"/>
    <n v="1"/>
  </r>
  <r>
    <b v="1"/>
    <x v="0"/>
    <x v="0"/>
    <x v="2"/>
    <x v="0"/>
    <x v="1"/>
    <x v="36"/>
    <s v="BBG00HPK5N13"/>
    <x v="0"/>
    <s v="7d27df26e2924c4d9fcf8ba0c0d9d684"/>
    <s v="Klabin 2027"/>
    <x v="0"/>
    <x v="10"/>
    <s v="Commercial Forestry"/>
    <s v="Forest Certification"/>
    <s v="Brazil"/>
    <d v="2021-01-01T00:00:00"/>
    <d v="2021-01-01T00:00:00"/>
    <s v="BRL"/>
    <n v="36000"/>
    <n v="36000"/>
    <s v="USD"/>
    <n v="7000"/>
    <n v="7000"/>
    <b v="0"/>
    <n v="1"/>
  </r>
  <r>
    <b v="1"/>
    <x v="0"/>
    <x v="0"/>
    <x v="2"/>
    <x v="0"/>
    <x v="1"/>
    <x v="36"/>
    <s v="BBG00HPK5N13"/>
    <x v="0"/>
    <s v="7d27df26e2924c4d9fcf8ba0c0d9d684"/>
    <s v="Klabin 2027"/>
    <x v="0"/>
    <x v="10"/>
    <s v="Commercial Forestry"/>
    <s v="Forest Certification"/>
    <s v="Brazil"/>
    <d v="2020-07-01T00:00:00"/>
    <d v="2020-07-01T00:00:00"/>
    <s v="BRL"/>
    <n v="76000"/>
    <n v="76000"/>
    <s v="USD"/>
    <n v="14000"/>
    <n v="14000"/>
    <b v="0"/>
    <n v="1"/>
  </r>
  <r>
    <b v="1"/>
    <x v="0"/>
    <x v="0"/>
    <x v="2"/>
    <x v="0"/>
    <x v="1"/>
    <x v="36"/>
    <s v="BBG00HPK5N13"/>
    <x v="0"/>
    <s v="7d27df26e2924c4d9fcf8ba0c0d9d684"/>
    <s v="Klabin 2027"/>
    <x v="0"/>
    <x v="10"/>
    <s v="Commercial Forestry"/>
    <s v="Forest Certification"/>
    <s v="Brazil"/>
    <d v="2019-07-01T00:00:00"/>
    <d v="2019-07-01T00:00:00"/>
    <s v="BRL"/>
    <n v="121000"/>
    <n v="121000"/>
    <s v="USD"/>
    <n v="30000"/>
    <n v="30000"/>
    <b v="0"/>
    <n v="1"/>
  </r>
  <r>
    <b v="1"/>
    <x v="0"/>
    <x v="0"/>
    <x v="2"/>
    <x v="0"/>
    <x v="1"/>
    <x v="36"/>
    <s v="BBG00HPK5N13"/>
    <x v="0"/>
    <s v="7d27df26e2924c4d9fcf8ba0c0d9d684"/>
    <s v="Klabin 2027"/>
    <x v="1"/>
    <x v="11"/>
    <s v="Forestry"/>
    <s v="Forest Certification"/>
    <s v="Brazil"/>
    <d v="2021-01-01T00:00:00"/>
    <d v="2021-01-01T00:00:00"/>
    <s v="BRL"/>
    <n v="36000"/>
    <n v="36000"/>
    <s v="USD"/>
    <n v="7000"/>
    <n v="7000"/>
    <b v="0"/>
    <n v="1"/>
  </r>
  <r>
    <b v="1"/>
    <x v="0"/>
    <x v="0"/>
    <x v="2"/>
    <x v="0"/>
    <x v="1"/>
    <x v="36"/>
    <s v="BBG00HPK5N13"/>
    <x v="0"/>
    <s v="7d27df26e2924c4d9fcf8ba0c0d9d684"/>
    <s v="Klabin 2027"/>
    <x v="1"/>
    <x v="11"/>
    <s v="Forestry"/>
    <s v="Forest Certification"/>
    <s v="Brazil"/>
    <d v="2020-07-01T00:00:00"/>
    <d v="2020-07-01T00:00:00"/>
    <s v="BRL"/>
    <n v="76000"/>
    <n v="76000"/>
    <s v="USD"/>
    <n v="14000"/>
    <n v="14000"/>
    <b v="0"/>
    <n v="1"/>
  </r>
  <r>
    <b v="1"/>
    <x v="0"/>
    <x v="0"/>
    <x v="2"/>
    <x v="0"/>
    <x v="1"/>
    <x v="36"/>
    <s v="BBG00HPK5N13"/>
    <x v="0"/>
    <s v="7d27df26e2924c4d9fcf8ba0c0d9d684"/>
    <s v="Klabin 2027"/>
    <x v="1"/>
    <x v="11"/>
    <s v="Forestry"/>
    <s v="Forest Certification"/>
    <s v="Brazil"/>
    <d v="2019-07-01T00:00:00"/>
    <d v="2019-07-01T00:00:00"/>
    <s v="BRL"/>
    <n v="121000"/>
    <n v="121000"/>
    <s v="USD"/>
    <n v="30000"/>
    <n v="30000"/>
    <b v="0"/>
    <n v="1"/>
  </r>
  <r>
    <b v="1"/>
    <x v="0"/>
    <x v="0"/>
    <x v="2"/>
    <x v="0"/>
    <x v="1"/>
    <x v="36"/>
    <s v="BBG00HPK5N13"/>
    <x v="0"/>
    <s v="7d27df26e2924c4d9fcf8ba0c0d9d684"/>
    <s v="Klabin 2027"/>
    <x v="0"/>
    <x v="10"/>
    <s v="Commercial Forestry"/>
    <s v="Forestry"/>
    <s v="Brazil"/>
    <d v="2021-01-01T00:00:00"/>
    <d v="2021-01-01T00:00:00"/>
    <s v="BRL"/>
    <n v="8083000"/>
    <n v="8083000"/>
    <s v="USD"/>
    <n v="1500000"/>
    <n v="1500000"/>
    <b v="1"/>
    <n v="1"/>
  </r>
  <r>
    <b v="1"/>
    <x v="0"/>
    <x v="0"/>
    <x v="2"/>
    <x v="0"/>
    <x v="1"/>
    <x v="36"/>
    <s v="BBG00HPK5N13"/>
    <x v="0"/>
    <s v="7d27df26e2924c4d9fcf8ba0c0d9d684"/>
    <s v="Klabin 2027"/>
    <x v="0"/>
    <x v="10"/>
    <s v="Commercial Forestry"/>
    <s v="Forestry"/>
    <s v="Brazil"/>
    <d v="2020-07-01T00:00:00"/>
    <d v="2020-07-01T00:00:00"/>
    <s v="BRL"/>
    <n v="8895000"/>
    <n v="8895000"/>
    <s v="USD"/>
    <n v="1636"/>
    <n v="1636"/>
    <b v="1"/>
    <n v="1"/>
  </r>
  <r>
    <b v="1"/>
    <x v="0"/>
    <x v="0"/>
    <x v="2"/>
    <x v="0"/>
    <x v="1"/>
    <x v="36"/>
    <s v="BBG00HPK5N13"/>
    <x v="0"/>
    <s v="7d27df26e2924c4d9fcf8ba0c0d9d684"/>
    <s v="Klabin 2027"/>
    <x v="0"/>
    <x v="10"/>
    <s v="Commercial Forestry"/>
    <s v="Forestry"/>
    <s v="Brazil"/>
    <d v="2020-01-01T00:00:00"/>
    <d v="2020-01-01T00:00:00"/>
    <s v="BRL"/>
    <n v="5250000"/>
    <n v="5250000"/>
    <s v="USD"/>
    <n v="1066000"/>
    <n v="1066000"/>
    <b v="1"/>
    <n v="1"/>
  </r>
  <r>
    <b v="1"/>
    <x v="0"/>
    <x v="0"/>
    <x v="2"/>
    <x v="0"/>
    <x v="1"/>
    <x v="36"/>
    <s v="BBG00HPK5N13"/>
    <x v="0"/>
    <s v="7d27df26e2924c4d9fcf8ba0c0d9d684"/>
    <s v="Klabin 2027"/>
    <x v="0"/>
    <x v="10"/>
    <s v="Commercial Forestry"/>
    <s v="Forestry"/>
    <s v="Brazil"/>
    <d v="2019-07-01T00:00:00"/>
    <d v="2019-07-01T00:00:00"/>
    <s v="BRL"/>
    <n v="5522000"/>
    <n v="5522000"/>
    <s v="USD"/>
    <n v="1362000"/>
    <n v="1362000"/>
    <b v="1"/>
    <n v="1"/>
  </r>
  <r>
    <b v="1"/>
    <x v="0"/>
    <x v="0"/>
    <x v="2"/>
    <x v="0"/>
    <x v="1"/>
    <x v="36"/>
    <s v="BBG00HPK5N13"/>
    <x v="0"/>
    <s v="7d27df26e2924c4d9fcf8ba0c0d9d684"/>
    <s v="Klabin 2027"/>
    <x v="0"/>
    <x v="10"/>
    <s v="Commercial Forestry"/>
    <s v="Forestry"/>
    <s v="Brazil"/>
    <d v="2018-01-01T00:00:00"/>
    <d v="2018-01-01T00:00:00"/>
    <s v="BRL"/>
    <n v="47660000"/>
    <n v="47660000"/>
    <s v="USD"/>
    <n v="13905585"/>
    <n v="13905585"/>
    <b v="1"/>
    <n v="1"/>
  </r>
  <r>
    <b v="1"/>
    <x v="0"/>
    <x v="0"/>
    <x v="2"/>
    <x v="0"/>
    <x v="1"/>
    <x v="36"/>
    <s v="BBG00HPK5N13"/>
    <x v="0"/>
    <s v="7d27df26e2924c4d9fcf8ba0c0d9d684"/>
    <s v="Klabin 2027"/>
    <x v="0"/>
    <x v="10"/>
    <s v="Commercial Forestry"/>
    <s v="Forestry"/>
    <s v="Brazil"/>
    <d v="2017-06-01T00:00:00"/>
    <d v="2017-06-01T00:00:00"/>
    <s v="BRL"/>
    <n v="107510000"/>
    <n v="107510000"/>
    <s v="USD"/>
    <n v="33675803"/>
    <n v="33675803"/>
    <b v="1"/>
    <n v="1"/>
  </r>
  <r>
    <b v="1"/>
    <x v="0"/>
    <x v="0"/>
    <x v="2"/>
    <x v="0"/>
    <x v="1"/>
    <x v="36"/>
    <s v="BBG00HPK5N13"/>
    <x v="0"/>
    <s v="7d27df26e2924c4d9fcf8ba0c0d9d684"/>
    <s v="Klabin 2027"/>
    <x v="0"/>
    <x v="10"/>
    <s v="Commercial Forestry"/>
    <s v="Forestry"/>
    <s v="Brazil"/>
    <d v="2016-06-01T00:00:00"/>
    <d v="2016-06-01T00:00:00"/>
    <s v="BRL"/>
    <n v="14661000"/>
    <n v="14661000"/>
    <s v="USD"/>
    <n v="4208940"/>
    <n v="4208940"/>
    <b v="1"/>
    <n v="1"/>
  </r>
  <r>
    <b v="1"/>
    <x v="0"/>
    <x v="0"/>
    <x v="2"/>
    <x v="0"/>
    <x v="1"/>
    <x v="36"/>
    <s v="BBG00HPK5N13"/>
    <x v="0"/>
    <s v="7d27df26e2924c4d9fcf8ba0c0d9d684"/>
    <s v="Klabin 2027"/>
    <x v="0"/>
    <x v="10"/>
    <s v="Commercial Forestry"/>
    <s v="Forestry"/>
    <s v="Brazil"/>
    <d v="2015-09-01T00:00:00"/>
    <d v="2015-09-01T00:00:00"/>
    <s v="BRL"/>
    <n v="4005000"/>
    <n v="4005000"/>
    <s v="USD"/>
    <n v="1199569"/>
    <n v="1199569"/>
    <b v="1"/>
    <n v="1"/>
  </r>
  <r>
    <b v="1"/>
    <x v="0"/>
    <x v="0"/>
    <x v="2"/>
    <x v="0"/>
    <x v="1"/>
    <x v="36"/>
    <s v="BBG00HPK5N13"/>
    <x v="0"/>
    <s v="7d27df26e2924c4d9fcf8ba0c0d9d684"/>
    <s v="Klabin 2027"/>
    <x v="1"/>
    <x v="11"/>
    <s v="Forestry"/>
    <s v="Forestry"/>
    <s v="Brazil"/>
    <d v="2021-01-01T00:00:00"/>
    <d v="2021-01-01T00:00:00"/>
    <s v="BRL"/>
    <n v="8083000"/>
    <n v="8083000"/>
    <s v="USD"/>
    <n v="1500000"/>
    <n v="1500000"/>
    <b v="1"/>
    <n v="1"/>
  </r>
  <r>
    <b v="1"/>
    <x v="0"/>
    <x v="0"/>
    <x v="2"/>
    <x v="0"/>
    <x v="1"/>
    <x v="36"/>
    <s v="BBG00HPK5N13"/>
    <x v="0"/>
    <s v="7d27df26e2924c4d9fcf8ba0c0d9d684"/>
    <s v="Klabin 2027"/>
    <x v="1"/>
    <x v="11"/>
    <s v="Forestry"/>
    <s v="Forestry"/>
    <s v="Brazil"/>
    <d v="2020-07-01T00:00:00"/>
    <d v="2020-07-01T00:00:00"/>
    <s v="BRL"/>
    <n v="8895000"/>
    <n v="8895000"/>
    <s v="USD"/>
    <n v="1636"/>
    <n v="1636"/>
    <b v="1"/>
    <n v="1"/>
  </r>
  <r>
    <b v="1"/>
    <x v="0"/>
    <x v="0"/>
    <x v="2"/>
    <x v="0"/>
    <x v="1"/>
    <x v="36"/>
    <s v="BBG00HPK5N13"/>
    <x v="0"/>
    <s v="7d27df26e2924c4d9fcf8ba0c0d9d684"/>
    <s v="Klabin 2027"/>
    <x v="1"/>
    <x v="11"/>
    <s v="Forestry"/>
    <s v="Forestry"/>
    <s v="Brazil"/>
    <d v="2020-01-01T00:00:00"/>
    <d v="2020-01-01T00:00:00"/>
    <s v="BRL"/>
    <n v="5250000"/>
    <n v="5250000"/>
    <s v="USD"/>
    <n v="1066000"/>
    <n v="1066000"/>
    <b v="1"/>
    <n v="1"/>
  </r>
  <r>
    <b v="1"/>
    <x v="0"/>
    <x v="0"/>
    <x v="2"/>
    <x v="0"/>
    <x v="1"/>
    <x v="36"/>
    <s v="BBG00HPK5N13"/>
    <x v="0"/>
    <s v="7d27df26e2924c4d9fcf8ba0c0d9d684"/>
    <s v="Klabin 2027"/>
    <x v="1"/>
    <x v="11"/>
    <s v="Forestry"/>
    <s v="Forestry"/>
    <s v="Brazil"/>
    <d v="2019-07-01T00:00:00"/>
    <d v="2019-07-01T00:00:00"/>
    <s v="BRL"/>
    <n v="5522000"/>
    <n v="5522000"/>
    <s v="USD"/>
    <n v="1362000"/>
    <n v="1362000"/>
    <b v="1"/>
    <n v="1"/>
  </r>
  <r>
    <b v="1"/>
    <x v="0"/>
    <x v="0"/>
    <x v="2"/>
    <x v="0"/>
    <x v="1"/>
    <x v="36"/>
    <s v="BBG00HPK5N13"/>
    <x v="0"/>
    <s v="7d27df26e2924c4d9fcf8ba0c0d9d684"/>
    <s v="Klabin 2027"/>
    <x v="1"/>
    <x v="11"/>
    <s v="Forestry"/>
    <s v="Forestry"/>
    <s v="Brazil"/>
    <d v="2018-01-01T00:00:00"/>
    <d v="2018-01-01T00:00:00"/>
    <s v="BRL"/>
    <n v="47660000"/>
    <n v="47660000"/>
    <s v="USD"/>
    <n v="13905585"/>
    <n v="13905585"/>
    <b v="1"/>
    <n v="1"/>
  </r>
  <r>
    <b v="1"/>
    <x v="0"/>
    <x v="0"/>
    <x v="2"/>
    <x v="0"/>
    <x v="1"/>
    <x v="36"/>
    <s v="BBG00HPK5N13"/>
    <x v="0"/>
    <s v="7d27df26e2924c4d9fcf8ba0c0d9d684"/>
    <s v="Klabin 2027"/>
    <x v="1"/>
    <x v="11"/>
    <s v="Forestry"/>
    <s v="Forestry"/>
    <s v="Brazil"/>
    <d v="2017-06-01T00:00:00"/>
    <d v="2017-06-01T00:00:00"/>
    <s v="BRL"/>
    <n v="107510000"/>
    <n v="107510000"/>
    <s v="USD"/>
    <n v="33675803"/>
    <n v="33675803"/>
    <b v="1"/>
    <n v="1"/>
  </r>
  <r>
    <b v="1"/>
    <x v="0"/>
    <x v="0"/>
    <x v="2"/>
    <x v="0"/>
    <x v="1"/>
    <x v="36"/>
    <s v="BBG00HPK5N13"/>
    <x v="0"/>
    <s v="7d27df26e2924c4d9fcf8ba0c0d9d684"/>
    <s v="Klabin 2027"/>
    <x v="1"/>
    <x v="11"/>
    <s v="Forestry"/>
    <s v="Forestry"/>
    <s v="Brazil"/>
    <d v="2016-06-01T00:00:00"/>
    <d v="2016-06-01T00:00:00"/>
    <s v="BRL"/>
    <n v="14661000"/>
    <n v="14661000"/>
    <s v="USD"/>
    <n v="4208940"/>
    <n v="4208940"/>
    <b v="1"/>
    <n v="1"/>
  </r>
  <r>
    <b v="1"/>
    <x v="0"/>
    <x v="0"/>
    <x v="2"/>
    <x v="0"/>
    <x v="1"/>
    <x v="36"/>
    <s v="BBG00HPK5N13"/>
    <x v="0"/>
    <s v="7d27df26e2924c4d9fcf8ba0c0d9d684"/>
    <s v="Klabin 2027"/>
    <x v="1"/>
    <x v="11"/>
    <s v="Forestry"/>
    <s v="Forestry"/>
    <s v="Brazil"/>
    <d v="2015-09-01T00:00:00"/>
    <d v="2015-09-01T00:00:00"/>
    <s v="BRL"/>
    <n v="4005000"/>
    <n v="4005000"/>
    <s v="USD"/>
    <n v="1199569"/>
    <n v="1199569"/>
    <b v="1"/>
    <n v="1"/>
  </r>
  <r>
    <b v="1"/>
    <x v="0"/>
    <x v="0"/>
    <x v="2"/>
    <x v="0"/>
    <x v="1"/>
    <x v="14"/>
    <n v="0"/>
    <x v="21"/>
    <s v="857a2aaaa36240d4ac4b2f568bca4a42"/>
    <s v="Williams Renewable Energy Limited"/>
    <x v="0"/>
    <x v="0"/>
    <s v="Solar"/>
    <s v="Williams Renewable Energy"/>
    <s v="Barbados"/>
    <d v="2018-06-30T00:00:00"/>
    <d v="2018-06-30T00:00:00"/>
    <s v="BBD"/>
    <n v="23500000"/>
    <n v="23500000"/>
    <s v="BBD"/>
    <n v="23500000"/>
    <n v="23500000"/>
    <b v="0"/>
    <n v="1"/>
  </r>
  <r>
    <b v="1"/>
    <x v="0"/>
    <x v="0"/>
    <x v="2"/>
    <x v="0"/>
    <x v="1"/>
    <x v="14"/>
    <n v="0"/>
    <x v="21"/>
    <s v="857a2aaaa36240d4ac4b2f568bca4a42"/>
    <s v="Williams Renewable Energy Limited"/>
    <x v="1"/>
    <x v="1"/>
    <s v="Generation"/>
    <s v="Williams Renewable Energy"/>
    <s v="Barbados"/>
    <d v="2018-06-30T00:00:00"/>
    <d v="2018-06-30T00:00:00"/>
    <s v="BBD"/>
    <n v="23500000"/>
    <n v="23500000"/>
    <s v="BBD"/>
    <n v="23500000"/>
    <n v="23500000"/>
    <b v="0"/>
    <n v="1"/>
  </r>
  <r>
    <b v="1"/>
    <x v="0"/>
    <x v="0"/>
    <x v="2"/>
    <x v="0"/>
    <x v="1"/>
    <x v="14"/>
    <n v="0"/>
    <x v="21"/>
    <s v="857a2aaaa36240d4ac4b2f568bca4a42"/>
    <s v="Williams Renewable Energy Limited"/>
    <x v="2"/>
    <x v="9"/>
    <s v="Unspecified"/>
    <s v="Williams Renewable Energy"/>
    <s v="Barbados"/>
    <d v="2018-06-30T00:00:00"/>
    <d v="2018-06-30T00:00:00"/>
    <s v="BBD"/>
    <n v="23500000"/>
    <n v="23500000"/>
    <s v="BBD"/>
    <n v="23500000"/>
    <n v="23500000"/>
    <b v="0"/>
    <n v="1"/>
  </r>
  <r>
    <b v="1"/>
    <x v="0"/>
    <x v="0"/>
    <x v="2"/>
    <x v="0"/>
    <x v="1"/>
    <x v="14"/>
    <n v="0"/>
    <x v="21"/>
    <s v="857a2aaaa36240d4ac4b2f568bca4a42"/>
    <s v="Williams Renewable Energy Limited"/>
    <x v="3"/>
    <x v="9"/>
    <s v="Unspecified"/>
    <s v="Williams Renewable Energy"/>
    <s v="Barbados"/>
    <d v="2018-06-30T00:00:00"/>
    <d v="2018-06-30T00:00:00"/>
    <s v="BBD"/>
    <n v="23500000"/>
    <n v="23500000"/>
    <s v="BBD"/>
    <n v="23500000"/>
    <n v="23500000"/>
    <b v="0"/>
    <n v="1"/>
  </r>
  <r>
    <b v="1"/>
    <x v="0"/>
    <x v="0"/>
    <x v="2"/>
    <x v="0"/>
    <x v="1"/>
    <x v="14"/>
    <n v="0"/>
    <x v="22"/>
    <s v="8e6d700046f54858af9428fd50d0f6ee"/>
    <s v="Green Financial Instruments"/>
    <x v="0"/>
    <x v="0"/>
    <s v="Bioenergy"/>
    <s v="Renewable Energy - Biofuel"/>
    <s v="Brazil"/>
    <d v="2021-11-30T00:00:00"/>
    <d v="2021-11-30T00:00:00"/>
    <s v="BRL"/>
    <n v="857321755"/>
    <n v="857321755"/>
    <s v="USD"/>
    <n v="153093171"/>
    <n v="153093171"/>
    <b v="1"/>
    <n v="1"/>
  </r>
  <r>
    <b v="1"/>
    <x v="0"/>
    <x v="0"/>
    <x v="2"/>
    <x v="0"/>
    <x v="1"/>
    <x v="14"/>
    <n v="0"/>
    <x v="22"/>
    <s v="8e6d700046f54858af9428fd50d0f6ee"/>
    <s v="Green Financial Instruments"/>
    <x v="1"/>
    <x v="1"/>
    <s v="Generation"/>
    <s v="Renewable Energy - Biofuel"/>
    <s v="Brazil"/>
    <d v="2021-11-30T00:00:00"/>
    <d v="2021-11-30T00:00:00"/>
    <s v="BRL"/>
    <n v="857321755"/>
    <n v="857321755"/>
    <s v="USD"/>
    <n v="153093171"/>
    <n v="153093171"/>
    <b v="1"/>
    <n v="1"/>
  </r>
  <r>
    <b v="1"/>
    <x v="0"/>
    <x v="0"/>
    <x v="2"/>
    <x v="0"/>
    <x v="1"/>
    <x v="14"/>
    <n v="0"/>
    <x v="22"/>
    <s v="8e6d700046f54858af9428fd50d0f6ee"/>
    <s v="Green Financial Instruments"/>
    <x v="0"/>
    <x v="0"/>
    <s v="Wind"/>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1"/>
    <x v="1"/>
    <s v="Generation"/>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0"/>
    <x v="2"/>
    <s v="Treatment"/>
    <s v="Sustainable Water and Wastewater Management"/>
    <s v="Brazil"/>
    <d v="2021-11-30T00:00:00"/>
    <d v="2021-11-30T00:00:00"/>
    <s v="BRL"/>
    <n v="836341305"/>
    <n v="836341305"/>
    <s v="USD"/>
    <n v="149346662"/>
    <n v="149346662"/>
    <b v="1"/>
    <n v="1"/>
  </r>
  <r>
    <b v="1"/>
    <x v="0"/>
    <x v="0"/>
    <x v="2"/>
    <x v="0"/>
    <x v="1"/>
    <x v="14"/>
    <n v="0"/>
    <x v="22"/>
    <s v="8e6d700046f54858af9428fd50d0f6ee"/>
    <s v="Green Financial Instruments"/>
    <x v="1"/>
    <x v="3"/>
    <s v="Infrastructure"/>
    <s v="Sustainable Water and Wastewater Management"/>
    <s v="Brazil"/>
    <d v="2021-11-30T00:00:00"/>
    <d v="2021-11-30T00:00:00"/>
    <s v="BRL"/>
    <n v="836341305"/>
    <n v="836341305"/>
    <s v="USD"/>
    <n v="149346662"/>
    <n v="149346662"/>
    <b v="1"/>
    <n v="1"/>
  </r>
  <r>
    <b v="1"/>
    <x v="0"/>
    <x v="0"/>
    <x v="1"/>
    <x v="0"/>
    <x v="1"/>
    <x v="44"/>
    <n v="0"/>
    <x v="0"/>
    <s v="8c79d4f9366a4162a9629192e2530d2d"/>
    <s v="E√≥lica Serra das Vacas Holding II S.A."/>
    <x v="0"/>
    <x v="0"/>
    <s v="Win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1"/>
    <x v="1"/>
    <s v="Products"/>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2"/>
    <x v="9"/>
    <s v="Unspecifie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3"/>
    <x v="9"/>
    <s v="Unspecified"/>
    <s v="E√≥lica Serra das Vacas - Phase II"/>
    <s v="Brazil"/>
    <d v="2017-06-15T00:00:00"/>
    <d v="2017-12-11T00:00:00"/>
    <s v="BRL"/>
    <n v="48000000"/>
    <n v="48000000"/>
    <s v="BRL"/>
    <n v="48000000"/>
    <n v="14620773"/>
    <b v="1"/>
    <n v="0.15"/>
  </r>
  <r>
    <b v="1"/>
    <x v="0"/>
    <x v="0"/>
    <x v="2"/>
    <x v="0"/>
    <x v="1"/>
    <x v="45"/>
    <s v="BBG00H2F8GK0"/>
    <x v="23"/>
    <s v="6699aa37a3de4631b0742dedc052011e"/>
    <s v="AGUA 17-2x"/>
    <x v="0"/>
    <x v="2"/>
    <s v="Treatment"/>
    <s v="Drinking Water Solutions"/>
    <s v="Mexico"/>
    <d v="2020-12-31T00:00:00"/>
    <d v="2020-12-31T00:00:00"/>
    <s v="MXN"/>
    <n v="55203452"/>
    <n v="55203452"/>
    <s v="MXN"/>
    <n v="55203452"/>
    <n v="2769145"/>
    <b v="1"/>
    <n v="1"/>
  </r>
  <r>
    <b v="1"/>
    <x v="0"/>
    <x v="0"/>
    <x v="2"/>
    <x v="0"/>
    <x v="1"/>
    <x v="45"/>
    <s v="BBG00H2F8GK0"/>
    <x v="23"/>
    <s v="6699aa37a3de4631b0742dedc052011e"/>
    <s v="AGUA 17-2x"/>
    <x v="0"/>
    <x v="2"/>
    <s v="Treatment"/>
    <s v="Drinking Water Solutions"/>
    <s v="Mexico"/>
    <d v="2019-12-31T00:00:00"/>
    <d v="2019-12-31T00:00:00"/>
    <s v="MXN"/>
    <n v="209620252"/>
    <n v="209620252"/>
    <s v="MXN"/>
    <n v="209620252"/>
    <n v="11107062"/>
    <b v="1"/>
    <n v="1"/>
  </r>
  <r>
    <b v="1"/>
    <x v="0"/>
    <x v="0"/>
    <x v="2"/>
    <x v="0"/>
    <x v="1"/>
    <x v="45"/>
    <s v="BBG00H2F8GK0"/>
    <x v="23"/>
    <s v="6699aa37a3de4631b0742dedc052011e"/>
    <s v="AGUA 17-2x"/>
    <x v="0"/>
    <x v="2"/>
    <s v="Treatment"/>
    <s v="Drinking Water Solutions"/>
    <s v="Mexico"/>
    <d v="2018-12-31T00:00:00"/>
    <d v="2018-12-31T00:00:00"/>
    <s v="MXN"/>
    <n v="52934156"/>
    <n v="52934156"/>
    <s v="MXN"/>
    <n v="52934156"/>
    <n v="2692946"/>
    <b v="1"/>
    <n v="1"/>
  </r>
  <r>
    <b v="1"/>
    <x v="0"/>
    <x v="0"/>
    <x v="2"/>
    <x v="0"/>
    <x v="1"/>
    <x v="45"/>
    <s v="BBG00H2F8GK0"/>
    <x v="23"/>
    <s v="6699aa37a3de4631b0742dedc052011e"/>
    <s v="AGUA 17-2x"/>
    <x v="0"/>
    <x v="2"/>
    <s v="Treatment"/>
    <s v="Drinking Water Solutions"/>
    <s v="Mexico"/>
    <d v="2017-12-31T00:00:00"/>
    <d v="2017-12-31T00:00:00"/>
    <s v="MXN"/>
    <n v="275000000"/>
    <n v="275000000"/>
    <s v="MXN"/>
    <n v="275000000"/>
    <n v="14130463"/>
    <b v="1"/>
    <n v="1"/>
  </r>
  <r>
    <b v="1"/>
    <x v="0"/>
    <x v="0"/>
    <x v="2"/>
    <x v="0"/>
    <x v="1"/>
    <x v="45"/>
    <s v="BBG00H2F8GK0"/>
    <x v="23"/>
    <s v="6699aa37a3de4631b0742dedc052011e"/>
    <s v="AGUA 17-2x"/>
    <x v="1"/>
    <x v="3"/>
    <s v="Wastewater treatment"/>
    <s v="Drinking Water Solutions"/>
    <s v="Mexico"/>
    <d v="2020-12-31T00:00:00"/>
    <d v="2020-12-31T00:00:00"/>
    <s v="MXN"/>
    <n v="55203452"/>
    <n v="55203452"/>
    <s v="MXN"/>
    <n v="55203452"/>
    <n v="2769145"/>
    <b v="1"/>
    <n v="1"/>
  </r>
  <r>
    <b v="1"/>
    <x v="0"/>
    <x v="0"/>
    <x v="2"/>
    <x v="0"/>
    <x v="1"/>
    <x v="45"/>
    <s v="BBG00H2F8GK0"/>
    <x v="23"/>
    <s v="6699aa37a3de4631b0742dedc052011e"/>
    <s v="AGUA 17-2x"/>
    <x v="1"/>
    <x v="3"/>
    <s v="Wastewater treatment"/>
    <s v="Drinking Water Solutions"/>
    <s v="Mexico"/>
    <d v="2019-12-31T00:00:00"/>
    <d v="2019-12-31T00:00:00"/>
    <s v="MXN"/>
    <n v="209620252"/>
    <n v="209620252"/>
    <s v="MXN"/>
    <n v="209620252"/>
    <n v="11107062"/>
    <b v="1"/>
    <n v="1"/>
  </r>
  <r>
    <b v="1"/>
    <x v="0"/>
    <x v="0"/>
    <x v="2"/>
    <x v="0"/>
    <x v="1"/>
    <x v="45"/>
    <s v="BBG00H2F8GK0"/>
    <x v="23"/>
    <s v="6699aa37a3de4631b0742dedc052011e"/>
    <s v="AGUA 17-2x"/>
    <x v="1"/>
    <x v="3"/>
    <s v="Wastewater treatment"/>
    <s v="Drinking Water Solutions"/>
    <s v="Mexico"/>
    <d v="2018-12-31T00:00:00"/>
    <d v="2018-12-31T00:00:00"/>
    <s v="MXN"/>
    <n v="52934156"/>
    <n v="52934156"/>
    <s v="MXN"/>
    <n v="52934156"/>
    <n v="2692946"/>
    <b v="1"/>
    <n v="1"/>
  </r>
  <r>
    <b v="1"/>
    <x v="0"/>
    <x v="0"/>
    <x v="2"/>
    <x v="0"/>
    <x v="1"/>
    <x v="45"/>
    <s v="BBG00H2F8GK0"/>
    <x v="23"/>
    <s v="6699aa37a3de4631b0742dedc052011e"/>
    <s v="AGUA 17-2x"/>
    <x v="1"/>
    <x v="3"/>
    <s v="Wastewater treatment"/>
    <s v="Drinking Water Solutions"/>
    <s v="Mexico"/>
    <d v="2017-12-31T00:00:00"/>
    <d v="2017-12-31T00:00:00"/>
    <s v="MXN"/>
    <n v="275000000"/>
    <n v="275000000"/>
    <s v="MXN"/>
    <n v="275000000"/>
    <n v="14130463"/>
    <b v="1"/>
    <n v="1"/>
  </r>
  <r>
    <b v="1"/>
    <x v="0"/>
    <x v="0"/>
    <x v="2"/>
    <x v="0"/>
    <x v="1"/>
    <x v="45"/>
    <s v="BBG00H2F8GK0"/>
    <x v="23"/>
    <s v="6699aa37a3de4631b0742dedc052011e"/>
    <s v="AGUA 17-2x"/>
    <x v="0"/>
    <x v="2"/>
    <s v="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0"/>
    <x v="2"/>
    <s v="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0"/>
    <x v="2"/>
    <s v="Treatment"/>
    <s v="Water and Wastewater Treatment"/>
    <s v="Mexico"/>
    <d v="2018-12-31T00:00:00"/>
    <d v="2018-12-31T00:00:00"/>
    <s v="MXN"/>
    <n v="64637818"/>
    <n v="64637818"/>
    <s v="MXN"/>
    <n v="64637818"/>
    <n v="3288352"/>
    <b v="1"/>
    <n v="1"/>
  </r>
  <r>
    <b v="1"/>
    <x v="0"/>
    <x v="0"/>
    <x v="2"/>
    <x v="0"/>
    <x v="1"/>
    <x v="45"/>
    <s v="BBG00H2F8GK0"/>
    <x v="23"/>
    <s v="6699aa37a3de4631b0742dedc052011e"/>
    <s v="AGUA 17-2x"/>
    <x v="0"/>
    <x v="2"/>
    <s v="Treatment"/>
    <s v="Water and Wastewater Treatment"/>
    <s v="Mexico"/>
    <d v="2017-12-31T00:00:00"/>
    <d v="2017-12-31T00:00:00"/>
    <s v="MXN"/>
    <n v="1562309772"/>
    <n v="1562309772"/>
    <s v="MXN"/>
    <n v="1562309772"/>
    <n v="80276945"/>
    <b v="1"/>
    <n v="1"/>
  </r>
  <r>
    <b v="1"/>
    <x v="0"/>
    <x v="0"/>
    <x v="2"/>
    <x v="0"/>
    <x v="1"/>
    <x v="45"/>
    <s v="BBG00H2F8GK0"/>
    <x v="23"/>
    <s v="6699aa37a3de4631b0742dedc052011e"/>
    <s v="AGUA 17-2x"/>
    <x v="1"/>
    <x v="3"/>
    <s v="Wastewater 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1"/>
    <x v="3"/>
    <s v="Wastewater 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1"/>
    <x v="3"/>
    <s v="Wastewater treatment"/>
    <s v="Water and Wastewater Treatment"/>
    <s v="Mexico"/>
    <d v="2018-12-31T00:00:00"/>
    <d v="2018-12-31T00:00:00"/>
    <s v="MXN"/>
    <n v="64637818"/>
    <n v="64637818"/>
    <s v="MXN"/>
    <n v="64637818"/>
    <n v="3288352"/>
    <b v="1"/>
    <n v="1"/>
  </r>
  <r>
    <b v="1"/>
    <x v="0"/>
    <x v="0"/>
    <x v="2"/>
    <x v="0"/>
    <x v="1"/>
    <x v="45"/>
    <s v="BBG00H2F8GK0"/>
    <x v="23"/>
    <s v="6699aa37a3de4631b0742dedc052011e"/>
    <s v="AGUA 17-2x"/>
    <x v="1"/>
    <x v="3"/>
    <s v="Wastewater treatment"/>
    <s v="Water and Wastewater Treatment"/>
    <s v="Mexico"/>
    <d v="2017-12-31T00:00:00"/>
    <d v="2017-12-31T00:00:00"/>
    <s v="MXN"/>
    <n v="1562309772"/>
    <n v="1562309772"/>
    <s v="MXN"/>
    <n v="1562309772"/>
    <n v="80276945"/>
    <b v="1"/>
    <n v="1"/>
  </r>
  <r>
    <b v="1"/>
    <x v="0"/>
    <x v="0"/>
    <x v="0"/>
    <x v="0"/>
    <x v="0"/>
    <x v="14"/>
    <n v="0"/>
    <x v="24"/>
    <s v="fd47a3cbf44c4c7bb9c69c5ad3fcc8e0"/>
    <s v="CBI Certified Portfolio"/>
    <x v="0"/>
    <x v="5"/>
    <s v="Public"/>
    <s v="Line 3 of Metro"/>
    <s v="Chile"/>
    <d v="2020-12-31T00:00:00"/>
    <d v="2020-12-31T00:00:00"/>
    <s v="USD"/>
    <n v="900000"/>
    <n v="900000"/>
    <s v="USD"/>
    <n v="900000"/>
    <n v="900000"/>
    <b v="1"/>
    <n v="1"/>
  </r>
  <r>
    <b v="1"/>
    <x v="0"/>
    <x v="0"/>
    <x v="0"/>
    <x v="0"/>
    <x v="0"/>
    <x v="14"/>
    <n v="0"/>
    <x v="24"/>
    <s v="fd47a3cbf44c4c7bb9c69c5ad3fcc8e0"/>
    <s v="CBI Certified Portfolio"/>
    <x v="0"/>
    <x v="5"/>
    <s v="Public"/>
    <s v="Line 3 of Metro"/>
    <s v="Chile"/>
    <d v="2019-12-31T00:00:00"/>
    <d v="2019-12-31T00:00:00"/>
    <s v="USD"/>
    <n v="123800000"/>
    <n v="124700000"/>
    <s v="USD"/>
    <n v="124700000"/>
    <n v="124700000"/>
    <b v="1"/>
    <n v="1"/>
  </r>
  <r>
    <b v="1"/>
    <x v="0"/>
    <x v="0"/>
    <x v="0"/>
    <x v="0"/>
    <x v="0"/>
    <x v="14"/>
    <n v="0"/>
    <x v="24"/>
    <s v="fd47a3cbf44c4c7bb9c69c5ad3fcc8e0"/>
    <s v="CBI Certified Portfolio"/>
    <x v="0"/>
    <x v="5"/>
    <s v="Public"/>
    <s v="Line 3 of Metro"/>
    <s v="Chile"/>
    <d v="2018-12-31T00:00:00"/>
    <d v="2018-12-31T00:00:00"/>
    <s v="USD"/>
    <n v="236700000"/>
    <n v="236700000"/>
    <s v="USD"/>
    <n v="236700000"/>
    <n v="236700000"/>
    <b v="1"/>
    <n v="1"/>
  </r>
  <r>
    <b v="1"/>
    <x v="0"/>
    <x v="0"/>
    <x v="0"/>
    <x v="0"/>
    <x v="0"/>
    <x v="14"/>
    <n v="0"/>
    <x v="24"/>
    <s v="fd47a3cbf44c4c7bb9c69c5ad3fcc8e0"/>
    <s v="CBI Certified Portfolio"/>
    <x v="1"/>
    <x v="6"/>
    <s v="Rail"/>
    <s v="Line 3 of Metro"/>
    <s v="Chile"/>
    <d v="2020-12-31T00:00:00"/>
    <d v="2020-12-31T00:00:00"/>
    <s v="USD"/>
    <n v="900000"/>
    <n v="900000"/>
    <s v="USD"/>
    <n v="900000"/>
    <n v="900000"/>
    <b v="1"/>
    <n v="1"/>
  </r>
  <r>
    <b v="1"/>
    <x v="0"/>
    <x v="0"/>
    <x v="0"/>
    <x v="0"/>
    <x v="0"/>
    <x v="14"/>
    <n v="0"/>
    <x v="24"/>
    <s v="fd47a3cbf44c4c7bb9c69c5ad3fcc8e0"/>
    <s v="CBI Certified Portfolio"/>
    <x v="1"/>
    <x v="6"/>
    <s v="Rail"/>
    <s v="Line 3 of Metro"/>
    <s v="Chile"/>
    <d v="2019-12-31T00:00:00"/>
    <d v="2019-12-31T00:00:00"/>
    <s v="USD"/>
    <n v="123800000"/>
    <n v="124700000"/>
    <s v="USD"/>
    <n v="124700000"/>
    <n v="124700000"/>
    <b v="1"/>
    <n v="1"/>
  </r>
  <r>
    <b v="1"/>
    <x v="0"/>
    <x v="0"/>
    <x v="0"/>
    <x v="0"/>
    <x v="0"/>
    <x v="14"/>
    <n v="0"/>
    <x v="24"/>
    <s v="fd47a3cbf44c4c7bb9c69c5ad3fcc8e0"/>
    <s v="CBI Certified Portfolio"/>
    <x v="1"/>
    <x v="6"/>
    <s v="Rail"/>
    <s v="Line 3 of Metro"/>
    <s v="Chile"/>
    <d v="2018-12-31T00:00:00"/>
    <d v="2018-12-31T00:00:00"/>
    <s v="USD"/>
    <n v="236700000"/>
    <n v="236700000"/>
    <s v="USD"/>
    <n v="236700000"/>
    <n v="236700000"/>
    <b v="1"/>
    <n v="1"/>
  </r>
  <r>
    <b v="1"/>
    <x v="0"/>
    <x v="0"/>
    <x v="0"/>
    <x v="0"/>
    <x v="0"/>
    <x v="14"/>
    <n v="0"/>
    <x v="24"/>
    <s v="fd47a3cbf44c4c7bb9c69c5ad3fcc8e0"/>
    <s v="CBI Certified Portfolio"/>
    <x v="0"/>
    <x v="5"/>
    <s v="Public"/>
    <s v="Extension of Metro Line 3"/>
    <s v="Chile"/>
    <d v="2020-12-31T00:00:00"/>
    <d v="2020-12-31T00:00:00"/>
    <s v="USD"/>
    <n v="41000000"/>
    <n v="41000000"/>
    <s v="USD"/>
    <n v="41000000"/>
    <n v="41000000"/>
    <b v="1"/>
    <n v="1"/>
  </r>
  <r>
    <b v="1"/>
    <x v="0"/>
    <x v="0"/>
    <x v="0"/>
    <x v="0"/>
    <x v="0"/>
    <x v="14"/>
    <n v="0"/>
    <x v="24"/>
    <s v="fd47a3cbf44c4c7bb9c69c5ad3fcc8e0"/>
    <s v="CBI Certified Portfolio"/>
    <x v="0"/>
    <x v="5"/>
    <s v="Public"/>
    <s v="Extension of Metro Line 3"/>
    <s v="Chile"/>
    <d v="2019-12-31T00:00:00"/>
    <d v="2019-12-31T00:00:00"/>
    <s v="USD"/>
    <n v="40200000"/>
    <n v="40200000"/>
    <s v="USD"/>
    <n v="40200000"/>
    <n v="40200000"/>
    <b v="1"/>
    <n v="1"/>
  </r>
  <r>
    <b v="1"/>
    <x v="0"/>
    <x v="0"/>
    <x v="0"/>
    <x v="0"/>
    <x v="0"/>
    <x v="14"/>
    <n v="0"/>
    <x v="24"/>
    <s v="fd47a3cbf44c4c7bb9c69c5ad3fcc8e0"/>
    <s v="CBI Certified Portfolio"/>
    <x v="0"/>
    <x v="5"/>
    <s v="Public"/>
    <s v="Extension of Metro Line 3"/>
    <s v="Chile"/>
    <d v="2018-12-31T00:00:00"/>
    <d v="2018-12-31T00:00:00"/>
    <s v="USD"/>
    <n v="70200000"/>
    <n v="70200000"/>
    <s v="USD"/>
    <n v="70200000"/>
    <n v="70200000"/>
    <b v="1"/>
    <n v="1"/>
  </r>
  <r>
    <b v="1"/>
    <x v="0"/>
    <x v="0"/>
    <x v="0"/>
    <x v="0"/>
    <x v="0"/>
    <x v="14"/>
    <n v="0"/>
    <x v="24"/>
    <s v="fd47a3cbf44c4c7bb9c69c5ad3fcc8e0"/>
    <s v="CBI Certified Portfolio"/>
    <x v="1"/>
    <x v="6"/>
    <s v="Rail"/>
    <s v="Extension of Metro Line 3"/>
    <s v="Chile"/>
    <d v="2020-12-31T00:00:00"/>
    <d v="2020-12-31T00:00:00"/>
    <s v="USD"/>
    <n v="41000000"/>
    <n v="41000000"/>
    <s v="USD"/>
    <n v="41000000"/>
    <n v="41000000"/>
    <b v="1"/>
    <n v="1"/>
  </r>
  <r>
    <b v="1"/>
    <x v="0"/>
    <x v="0"/>
    <x v="0"/>
    <x v="0"/>
    <x v="0"/>
    <x v="14"/>
    <n v="0"/>
    <x v="24"/>
    <s v="fd47a3cbf44c4c7bb9c69c5ad3fcc8e0"/>
    <s v="CBI Certified Portfolio"/>
    <x v="1"/>
    <x v="6"/>
    <s v="Rail"/>
    <s v="Extension of Metro Line 3"/>
    <s v="Chile"/>
    <d v="2019-12-31T00:00:00"/>
    <d v="2019-12-31T00:00:00"/>
    <s v="USD"/>
    <n v="40200000"/>
    <n v="40200000"/>
    <s v="USD"/>
    <n v="40200000"/>
    <n v="40200000"/>
    <b v="1"/>
    <n v="1"/>
  </r>
  <r>
    <b v="1"/>
    <x v="0"/>
    <x v="0"/>
    <x v="0"/>
    <x v="0"/>
    <x v="0"/>
    <x v="14"/>
    <n v="0"/>
    <x v="24"/>
    <s v="fd47a3cbf44c4c7bb9c69c5ad3fcc8e0"/>
    <s v="CBI Certified Portfolio"/>
    <x v="1"/>
    <x v="6"/>
    <s v="Rail"/>
    <s v="Extension of Metro Line 3"/>
    <s v="Chile"/>
    <d v="2018-12-31T00:00:00"/>
    <d v="2018-12-31T00:00:00"/>
    <s v="USD"/>
    <n v="70200000"/>
    <n v="70200000"/>
    <s v="USD"/>
    <n v="70200000"/>
    <n v="70200000"/>
    <b v="1"/>
    <n v="1"/>
  </r>
  <r>
    <b v="1"/>
    <x v="0"/>
    <x v="0"/>
    <x v="0"/>
    <x v="0"/>
    <x v="0"/>
    <x v="14"/>
    <n v="0"/>
    <x v="24"/>
    <s v="fd47a3cbf44c4c7bb9c69c5ad3fcc8e0"/>
    <s v="CBI Certified Portfolio"/>
    <x v="0"/>
    <x v="5"/>
    <s v="Public"/>
    <s v="Extension of Metro Line 2"/>
    <s v="Chile"/>
    <d v="2020-12-31T00:00:00"/>
    <d v="2020-12-31T00:00:00"/>
    <s v="USD"/>
    <n v="74700000"/>
    <n v="74700000"/>
    <s v="USD"/>
    <n v="74700000"/>
    <n v="74700000"/>
    <b v="1"/>
    <n v="1"/>
  </r>
  <r>
    <b v="1"/>
    <x v="0"/>
    <x v="0"/>
    <x v="0"/>
    <x v="0"/>
    <x v="0"/>
    <x v="14"/>
    <n v="0"/>
    <x v="24"/>
    <s v="fd47a3cbf44c4c7bb9c69c5ad3fcc8e0"/>
    <s v="CBI Certified Portfolio"/>
    <x v="0"/>
    <x v="5"/>
    <s v="Public"/>
    <s v="Extension of Metro Line 2"/>
    <s v="Chile"/>
    <d v="2019-12-31T00:00:00"/>
    <d v="2019-12-31T00:00:00"/>
    <s v="USD"/>
    <n v="50700000"/>
    <n v="50700000"/>
    <s v="USD"/>
    <n v="50700000"/>
    <n v="50700000"/>
    <b v="1"/>
    <n v="1"/>
  </r>
  <r>
    <b v="1"/>
    <x v="0"/>
    <x v="0"/>
    <x v="0"/>
    <x v="0"/>
    <x v="0"/>
    <x v="14"/>
    <n v="0"/>
    <x v="24"/>
    <s v="fd47a3cbf44c4c7bb9c69c5ad3fcc8e0"/>
    <s v="CBI Certified Portfolio"/>
    <x v="0"/>
    <x v="5"/>
    <s v="Public"/>
    <s v="Extension of Metro Line 2"/>
    <s v="Chile"/>
    <d v="2018-12-31T00:00:00"/>
    <d v="2018-12-31T00:00:00"/>
    <s v="USD"/>
    <n v="7700000"/>
    <n v="7700000"/>
    <s v="USD"/>
    <n v="7700000"/>
    <n v="7700000"/>
    <b v="1"/>
    <n v="1"/>
  </r>
  <r>
    <b v="1"/>
    <x v="0"/>
    <x v="0"/>
    <x v="0"/>
    <x v="0"/>
    <x v="0"/>
    <x v="14"/>
    <n v="0"/>
    <x v="24"/>
    <s v="fd47a3cbf44c4c7bb9c69c5ad3fcc8e0"/>
    <s v="CBI Certified Portfolio"/>
    <x v="1"/>
    <x v="6"/>
    <s v="Rail"/>
    <s v="Extension of Metro Line 2"/>
    <s v="Chile"/>
    <d v="2020-12-31T00:00:00"/>
    <d v="2020-12-31T00:00:00"/>
    <s v="USD"/>
    <n v="74700000"/>
    <n v="74700000"/>
    <s v="USD"/>
    <n v="74700000"/>
    <n v="74700000"/>
    <b v="1"/>
    <n v="1"/>
  </r>
  <r>
    <b v="1"/>
    <x v="0"/>
    <x v="0"/>
    <x v="0"/>
    <x v="0"/>
    <x v="0"/>
    <x v="14"/>
    <n v="0"/>
    <x v="24"/>
    <s v="fd47a3cbf44c4c7bb9c69c5ad3fcc8e0"/>
    <s v="CBI Certified Portfolio"/>
    <x v="1"/>
    <x v="6"/>
    <s v="Rail"/>
    <s v="Extension of Metro Line 2"/>
    <s v="Chile"/>
    <d v="2019-12-31T00:00:00"/>
    <d v="2019-12-31T00:00:00"/>
    <s v="USD"/>
    <n v="50700000"/>
    <n v="50700000"/>
    <s v="USD"/>
    <n v="50700000"/>
    <n v="50700000"/>
    <b v="1"/>
    <n v="1"/>
  </r>
  <r>
    <b v="1"/>
    <x v="0"/>
    <x v="0"/>
    <x v="0"/>
    <x v="0"/>
    <x v="0"/>
    <x v="14"/>
    <n v="0"/>
    <x v="24"/>
    <s v="fd47a3cbf44c4c7bb9c69c5ad3fcc8e0"/>
    <s v="CBI Certified Portfolio"/>
    <x v="1"/>
    <x v="6"/>
    <s v="Rail"/>
    <s v="Extension of Metro Line 2"/>
    <s v="Chile"/>
    <d v="2018-12-31T00:00:00"/>
    <d v="2018-12-31T00:00:00"/>
    <s v="USD"/>
    <n v="7700000"/>
    <n v="7700000"/>
    <s v="USD"/>
    <n v="7700000"/>
    <n v="7700000"/>
    <b v="1"/>
    <n v="1"/>
  </r>
  <r>
    <b v="1"/>
    <x v="0"/>
    <x v="0"/>
    <x v="0"/>
    <x v="0"/>
    <x v="0"/>
    <x v="14"/>
    <n v="0"/>
    <x v="24"/>
    <s v="fd47a3cbf44c4c7bb9c69c5ad3fcc8e0"/>
    <s v="CBI Certified Portfolio"/>
    <x v="0"/>
    <x v="5"/>
    <s v="Public"/>
    <s v="Line 7 of Metro"/>
    <s v="Chile"/>
    <d v="2020-12-31T00:00:00"/>
    <d v="2020-12-31T00:00:00"/>
    <s v="USD"/>
    <n v="93800000"/>
    <n v="93800000"/>
    <s v="USD"/>
    <n v="93800000"/>
    <n v="93800000"/>
    <b v="1"/>
    <n v="1"/>
  </r>
  <r>
    <b v="1"/>
    <x v="0"/>
    <x v="0"/>
    <x v="0"/>
    <x v="0"/>
    <x v="0"/>
    <x v="14"/>
    <n v="0"/>
    <x v="24"/>
    <s v="fd47a3cbf44c4c7bb9c69c5ad3fcc8e0"/>
    <s v="CBI Certified Portfolio"/>
    <x v="0"/>
    <x v="5"/>
    <s v="Public"/>
    <s v="Line 7 of Metro"/>
    <s v="Chile"/>
    <d v="2019-12-31T00:00:00"/>
    <d v="2019-12-31T00:00:00"/>
    <s v="USD"/>
    <n v="20700000"/>
    <n v="20700000"/>
    <s v="USD"/>
    <n v="20700000"/>
    <n v="20700000"/>
    <b v="1"/>
    <n v="1"/>
  </r>
  <r>
    <b v="1"/>
    <x v="0"/>
    <x v="0"/>
    <x v="0"/>
    <x v="0"/>
    <x v="0"/>
    <x v="14"/>
    <n v="0"/>
    <x v="24"/>
    <s v="fd47a3cbf44c4c7bb9c69c5ad3fcc8e0"/>
    <s v="CBI Certified Portfolio"/>
    <x v="0"/>
    <x v="5"/>
    <s v="Public"/>
    <s v="Line 7 of Metro"/>
    <s v="Chile"/>
    <d v="2018-12-31T00:00:00"/>
    <d v="2018-12-31T00:00:00"/>
    <s v="USD"/>
    <n v="3800000"/>
    <n v="3800000"/>
    <s v="USD"/>
    <n v="3800000"/>
    <n v="3800000"/>
    <b v="1"/>
    <n v="1"/>
  </r>
  <r>
    <b v="1"/>
    <x v="0"/>
    <x v="0"/>
    <x v="0"/>
    <x v="0"/>
    <x v="0"/>
    <x v="14"/>
    <n v="0"/>
    <x v="24"/>
    <s v="fd47a3cbf44c4c7bb9c69c5ad3fcc8e0"/>
    <s v="CBI Certified Portfolio"/>
    <x v="1"/>
    <x v="6"/>
    <s v="Rail"/>
    <s v="Line 7 of Metro"/>
    <s v="Chile"/>
    <d v="2020-12-31T00:00:00"/>
    <d v="2020-12-31T00:00:00"/>
    <s v="USD"/>
    <n v="93800000"/>
    <n v="93800000"/>
    <s v="USD"/>
    <n v="93800000"/>
    <n v="93800000"/>
    <b v="1"/>
    <n v="1"/>
  </r>
  <r>
    <b v="1"/>
    <x v="0"/>
    <x v="0"/>
    <x v="0"/>
    <x v="0"/>
    <x v="0"/>
    <x v="14"/>
    <n v="0"/>
    <x v="24"/>
    <s v="fd47a3cbf44c4c7bb9c69c5ad3fcc8e0"/>
    <s v="CBI Certified Portfolio"/>
    <x v="1"/>
    <x v="6"/>
    <s v="Rail"/>
    <s v="Line 7 of Metro"/>
    <s v="Chile"/>
    <d v="2019-12-31T00:00:00"/>
    <d v="2019-12-31T00:00:00"/>
    <s v="USD"/>
    <n v="20700000"/>
    <n v="20700000"/>
    <s v="USD"/>
    <n v="20700000"/>
    <n v="20700000"/>
    <b v="1"/>
    <n v="1"/>
  </r>
  <r>
    <b v="1"/>
    <x v="0"/>
    <x v="0"/>
    <x v="0"/>
    <x v="0"/>
    <x v="0"/>
    <x v="14"/>
    <n v="0"/>
    <x v="24"/>
    <s v="fd47a3cbf44c4c7bb9c69c5ad3fcc8e0"/>
    <s v="CBI Certified Portfolio"/>
    <x v="1"/>
    <x v="6"/>
    <s v="Rail"/>
    <s v="Line 7 of Metro"/>
    <s v="Chile"/>
    <d v="2018-12-31T00:00:00"/>
    <d v="2018-12-31T00:00:00"/>
    <s v="USD"/>
    <n v="3800000"/>
    <n v="3800000"/>
    <s v="USD"/>
    <n v="3800000"/>
    <n v="3800000"/>
    <b v="1"/>
    <n v="1"/>
  </r>
  <r>
    <b v="1"/>
    <x v="0"/>
    <x v="0"/>
    <x v="0"/>
    <x v="0"/>
    <x v="0"/>
    <x v="14"/>
    <n v="0"/>
    <x v="24"/>
    <s v="fd47a3cbf44c4c7bb9c69c5ad3fcc8e0"/>
    <s v="CBI Certified Portfolio"/>
    <x v="0"/>
    <x v="5"/>
    <s v="Public"/>
    <s v="Electromobility in RED I"/>
    <s v="Chile"/>
    <d v="2020-12-31T00:00:00"/>
    <d v="2020-12-31T00:00:00"/>
    <s v="USD"/>
    <n v="4500000"/>
    <n v="4500000"/>
    <s v="USD"/>
    <n v="4500000"/>
    <n v="4500000"/>
    <b v="0"/>
    <n v="0.5"/>
  </r>
  <r>
    <b v="1"/>
    <x v="0"/>
    <x v="0"/>
    <x v="0"/>
    <x v="0"/>
    <x v="0"/>
    <x v="14"/>
    <n v="0"/>
    <x v="24"/>
    <s v="fd47a3cbf44c4c7bb9c69c5ad3fcc8e0"/>
    <s v="CBI Certified Portfolio"/>
    <x v="0"/>
    <x v="5"/>
    <s v="Public"/>
    <s v="Electromobility in RED I"/>
    <s v="Chile"/>
    <d v="2019-12-31T00:00:00"/>
    <d v="2019-12-31T00:00:00"/>
    <s v="USD"/>
    <n v="3200000"/>
    <n v="3200000"/>
    <s v="USD"/>
    <n v="3200000"/>
    <n v="3200000"/>
    <b v="0"/>
    <n v="0.5"/>
  </r>
  <r>
    <b v="1"/>
    <x v="0"/>
    <x v="0"/>
    <x v="0"/>
    <x v="0"/>
    <x v="0"/>
    <x v="14"/>
    <n v="0"/>
    <x v="24"/>
    <s v="fd47a3cbf44c4c7bb9c69c5ad3fcc8e0"/>
    <s v="CBI Certified Portfolio"/>
    <x v="0"/>
    <x v="5"/>
    <s v="Public"/>
    <s v="Electromobility in RED I"/>
    <s v="Chile"/>
    <d v="2018-12-31T00:00:00"/>
    <d v="2018-12-31T00:00:00"/>
    <s v="USD"/>
    <n v="200000"/>
    <n v="200000"/>
    <s v="USD"/>
    <n v="200000"/>
    <n v="200000"/>
    <b v="0"/>
    <n v="0.5"/>
  </r>
  <r>
    <b v="1"/>
    <x v="0"/>
    <x v="0"/>
    <x v="0"/>
    <x v="0"/>
    <x v="0"/>
    <x v="14"/>
    <n v="0"/>
    <x v="24"/>
    <s v="fd47a3cbf44c4c7bb9c69c5ad3fcc8e0"/>
    <s v="CBI Certified Portfolio"/>
    <x v="1"/>
    <x v="6"/>
    <s v="Electric"/>
    <s v="Electromobility in RED I"/>
    <s v="Chile"/>
    <d v="2020-12-31T00:00:00"/>
    <d v="2020-12-31T00:00:00"/>
    <s v="USD"/>
    <n v="4500000"/>
    <n v="4500000"/>
    <s v="USD"/>
    <n v="4500000"/>
    <n v="4500000"/>
    <b v="0"/>
    <n v="0.5"/>
  </r>
  <r>
    <b v="1"/>
    <x v="0"/>
    <x v="0"/>
    <x v="0"/>
    <x v="0"/>
    <x v="0"/>
    <x v="14"/>
    <n v="0"/>
    <x v="24"/>
    <s v="fd47a3cbf44c4c7bb9c69c5ad3fcc8e0"/>
    <s v="CBI Certified Portfolio"/>
    <x v="1"/>
    <x v="6"/>
    <s v="Electric"/>
    <s v="Electromobility in RED I"/>
    <s v="Chile"/>
    <d v="2019-12-31T00:00:00"/>
    <d v="2019-12-31T00:00:00"/>
    <s v="USD"/>
    <n v="3200000"/>
    <n v="3200000"/>
    <s v="USD"/>
    <n v="3200000"/>
    <n v="3200000"/>
    <b v="0"/>
    <n v="0.5"/>
  </r>
  <r>
    <b v="1"/>
    <x v="0"/>
    <x v="0"/>
    <x v="0"/>
    <x v="0"/>
    <x v="0"/>
    <x v="14"/>
    <n v="0"/>
    <x v="24"/>
    <s v="fd47a3cbf44c4c7bb9c69c5ad3fcc8e0"/>
    <s v="CBI Certified Portfolio"/>
    <x v="1"/>
    <x v="6"/>
    <s v="Electric"/>
    <s v="Electromobility in RED I"/>
    <s v="Chile"/>
    <d v="2018-12-31T00:00:00"/>
    <d v="2018-12-31T00:00:00"/>
    <s v="USD"/>
    <n v="200000"/>
    <n v="200000"/>
    <s v="USD"/>
    <n v="200000"/>
    <n v="200000"/>
    <b v="0"/>
    <n v="0.5"/>
  </r>
  <r>
    <b v="1"/>
    <x v="0"/>
    <x v="0"/>
    <x v="0"/>
    <x v="0"/>
    <x v="0"/>
    <x v="14"/>
    <n v="0"/>
    <x v="24"/>
    <s v="fd47a3cbf44c4c7bb9c69c5ad3fcc8e0"/>
    <s v="CBI Certified Portfolio"/>
    <x v="0"/>
    <x v="5"/>
    <s v="Public"/>
    <s v="Electromobility in RED II"/>
    <s v="Chile"/>
    <d v="2020-12-31T00:00:00"/>
    <d v="2020-12-31T00:00:00"/>
    <s v="USD"/>
    <n v="3500000"/>
    <n v="3500000"/>
    <s v="USD"/>
    <n v="3500000"/>
    <n v="3500000"/>
    <b v="0"/>
    <n v="0.5"/>
  </r>
  <r>
    <b v="1"/>
    <x v="0"/>
    <x v="0"/>
    <x v="0"/>
    <x v="0"/>
    <x v="0"/>
    <x v="14"/>
    <n v="0"/>
    <x v="24"/>
    <s v="fd47a3cbf44c4c7bb9c69c5ad3fcc8e0"/>
    <s v="CBI Certified Portfolio"/>
    <x v="0"/>
    <x v="5"/>
    <s v="Public"/>
    <s v="Electromobility in RED II"/>
    <s v="Chile"/>
    <d v="2019-12-31T00:00:00"/>
    <d v="2019-12-31T00:00:00"/>
    <s v="USD"/>
    <n v="1600000"/>
    <n v="1600000"/>
    <s v="USD"/>
    <n v="1600000"/>
    <n v="1600000"/>
    <b v="0"/>
    <n v="0.5"/>
  </r>
  <r>
    <b v="1"/>
    <x v="0"/>
    <x v="0"/>
    <x v="0"/>
    <x v="0"/>
    <x v="0"/>
    <x v="14"/>
    <n v="0"/>
    <x v="24"/>
    <s v="fd47a3cbf44c4c7bb9c69c5ad3fcc8e0"/>
    <s v="CBI Certified Portfolio"/>
    <x v="1"/>
    <x v="6"/>
    <s v="Electric"/>
    <s v="Electromobility in RED II"/>
    <s v="Chile"/>
    <d v="2020-12-31T00:00:00"/>
    <d v="2020-12-31T00:00:00"/>
    <s v="USD"/>
    <n v="3500000"/>
    <n v="3500000"/>
    <s v="USD"/>
    <n v="3500000"/>
    <n v="3500000"/>
    <b v="0"/>
    <n v="0.5"/>
  </r>
  <r>
    <b v="1"/>
    <x v="0"/>
    <x v="0"/>
    <x v="0"/>
    <x v="0"/>
    <x v="0"/>
    <x v="14"/>
    <n v="0"/>
    <x v="24"/>
    <s v="fd47a3cbf44c4c7bb9c69c5ad3fcc8e0"/>
    <s v="CBI Certified Portfolio"/>
    <x v="1"/>
    <x v="6"/>
    <s v="Electric"/>
    <s v="Electromobility in RED II"/>
    <s v="Chile"/>
    <d v="2019-12-31T00:00:00"/>
    <d v="2019-12-31T00:00:00"/>
    <s v="USD"/>
    <n v="1600000"/>
    <n v="1600000"/>
    <s v="USD"/>
    <n v="1600000"/>
    <n v="1600000"/>
    <b v="0"/>
    <n v="0.5"/>
  </r>
  <r>
    <b v="1"/>
    <x v="0"/>
    <x v="0"/>
    <x v="0"/>
    <x v="0"/>
    <x v="0"/>
    <x v="14"/>
    <n v="0"/>
    <x v="24"/>
    <s v="fd47a3cbf44c4c7bb9c69c5ad3fcc8e0"/>
    <s v="CBI Certified Portfolio"/>
    <x v="0"/>
    <x v="5"/>
    <s v="Public"/>
    <s v="Electromobility in RED III"/>
    <s v="Chile"/>
    <d v="2020-12-31T00:00:00"/>
    <d v="2020-12-31T00:00:00"/>
    <s v="USD"/>
    <n v="7400000"/>
    <n v="7400000"/>
    <s v="USD"/>
    <n v="7400000"/>
    <n v="7400000"/>
    <b v="0"/>
    <n v="0.5"/>
  </r>
  <r>
    <b v="1"/>
    <x v="0"/>
    <x v="0"/>
    <x v="0"/>
    <x v="0"/>
    <x v="0"/>
    <x v="14"/>
    <n v="0"/>
    <x v="24"/>
    <s v="fd47a3cbf44c4c7bb9c69c5ad3fcc8e0"/>
    <s v="CBI Certified Portfolio"/>
    <x v="0"/>
    <x v="5"/>
    <s v="Public"/>
    <s v="Electromobility in RED III"/>
    <s v="Chile"/>
    <d v="2019-12-31T00:00:00"/>
    <d v="2019-12-31T00:00:00"/>
    <s v="USD"/>
    <n v="400000"/>
    <n v="400000"/>
    <s v="USD"/>
    <n v="400000"/>
    <n v="400000"/>
    <b v="0"/>
    <n v="0.5"/>
  </r>
  <r>
    <b v="1"/>
    <x v="0"/>
    <x v="0"/>
    <x v="0"/>
    <x v="0"/>
    <x v="0"/>
    <x v="14"/>
    <n v="0"/>
    <x v="24"/>
    <s v="fd47a3cbf44c4c7bb9c69c5ad3fcc8e0"/>
    <s v="CBI Certified Portfolio"/>
    <x v="1"/>
    <x v="6"/>
    <s v="Electric"/>
    <s v="Electromobility in RED III"/>
    <s v="Chile"/>
    <d v="2020-12-31T00:00:00"/>
    <d v="2020-12-31T00:00:00"/>
    <s v="USD"/>
    <n v="7400000"/>
    <n v="7400000"/>
    <s v="USD"/>
    <n v="7400000"/>
    <n v="7400000"/>
    <b v="0"/>
    <n v="0.5"/>
  </r>
  <r>
    <b v="1"/>
    <x v="0"/>
    <x v="0"/>
    <x v="0"/>
    <x v="0"/>
    <x v="0"/>
    <x v="14"/>
    <n v="0"/>
    <x v="24"/>
    <s v="fd47a3cbf44c4c7bb9c69c5ad3fcc8e0"/>
    <s v="CBI Certified Portfolio"/>
    <x v="1"/>
    <x v="6"/>
    <s v="Electric"/>
    <s v="Electromobility in RED III"/>
    <s v="Chile"/>
    <d v="2019-12-31T00:00:00"/>
    <d v="2019-12-31T00:00:00"/>
    <s v="USD"/>
    <n v="400000"/>
    <n v="400000"/>
    <s v="USD"/>
    <n v="400000"/>
    <n v="400000"/>
    <b v="0"/>
    <n v="0.5"/>
  </r>
  <r>
    <b v="1"/>
    <x v="0"/>
    <x v="0"/>
    <x v="0"/>
    <x v="0"/>
    <x v="0"/>
    <x v="14"/>
    <n v="0"/>
    <x v="24"/>
    <s v="fd47a3cbf44c4c7bb9c69c5ad3fcc8e0"/>
    <s v="CBI Certified Portfolio"/>
    <x v="0"/>
    <x v="5"/>
    <s v="Public"/>
    <s v="Electromobility in RED IV"/>
    <s v="Chile"/>
    <d v="2020-12-31T00:00:00"/>
    <d v="2020-12-31T00:00:00"/>
    <s v="USD"/>
    <n v="4700000"/>
    <n v="4700000"/>
    <s v="USD"/>
    <n v="4700000"/>
    <n v="4700000"/>
    <b v="0"/>
    <n v="0.5"/>
  </r>
  <r>
    <b v="1"/>
    <x v="0"/>
    <x v="0"/>
    <x v="0"/>
    <x v="0"/>
    <x v="0"/>
    <x v="14"/>
    <n v="0"/>
    <x v="24"/>
    <s v="fd47a3cbf44c4c7bb9c69c5ad3fcc8e0"/>
    <s v="CBI Certified Portfolio"/>
    <x v="1"/>
    <x v="6"/>
    <s v="Electric"/>
    <s v="Electromobility in RED IV"/>
    <s v="Chile"/>
    <d v="2020-12-31T00:00:00"/>
    <d v="2020-12-31T00:00:00"/>
    <s v="USD"/>
    <n v="4700000"/>
    <n v="4700000"/>
    <s v="USD"/>
    <n v="4700000"/>
    <n v="4700000"/>
    <b v="0"/>
    <n v="0.5"/>
  </r>
  <r>
    <b v="1"/>
    <x v="0"/>
    <x v="0"/>
    <x v="0"/>
    <x v="0"/>
    <x v="0"/>
    <x v="14"/>
    <n v="0"/>
    <x v="24"/>
    <s v="fd47a3cbf44c4c7bb9c69c5ad3fcc8e0"/>
    <s v="CBI Certified Portfolio"/>
    <x v="0"/>
    <x v="5"/>
    <s v="Public"/>
    <s v="Renewal of Train Parts"/>
    <s v="Chile"/>
    <d v="2020-12-31T00:00:00"/>
    <d v="2020-12-31T00:00:00"/>
    <s v="USD"/>
    <n v="700000"/>
    <n v="700000"/>
    <s v="USD"/>
    <n v="700000"/>
    <n v="700000"/>
    <b v="0"/>
    <n v="1"/>
  </r>
  <r>
    <b v="1"/>
    <x v="0"/>
    <x v="0"/>
    <x v="0"/>
    <x v="0"/>
    <x v="0"/>
    <x v="14"/>
    <n v="0"/>
    <x v="24"/>
    <s v="fd47a3cbf44c4c7bb9c69c5ad3fcc8e0"/>
    <s v="CBI Certified Portfolio"/>
    <x v="0"/>
    <x v="5"/>
    <s v="Public"/>
    <s v="Renewal of Train Parts"/>
    <s v="Chile"/>
    <d v="2019-12-31T00:00:00"/>
    <d v="2019-12-31T00:00:00"/>
    <s v="USD"/>
    <n v="5000000"/>
    <n v="5000000"/>
    <s v="USD"/>
    <n v="5000000"/>
    <n v="5000000"/>
    <b v="0"/>
    <n v="1"/>
  </r>
  <r>
    <b v="1"/>
    <x v="0"/>
    <x v="0"/>
    <x v="0"/>
    <x v="0"/>
    <x v="0"/>
    <x v="14"/>
    <n v="0"/>
    <x v="24"/>
    <s v="fd47a3cbf44c4c7bb9c69c5ad3fcc8e0"/>
    <s v="CBI Certified Portfolio"/>
    <x v="1"/>
    <x v="6"/>
    <s v="Rail"/>
    <s v="Renewal of Train Parts"/>
    <s v="Chile"/>
    <d v="2020-12-31T00:00:00"/>
    <d v="2020-12-31T00:00:00"/>
    <s v="USD"/>
    <n v="700000"/>
    <n v="700000"/>
    <s v="USD"/>
    <n v="700000"/>
    <n v="700000"/>
    <b v="0"/>
    <n v="1"/>
  </r>
  <r>
    <b v="1"/>
    <x v="0"/>
    <x v="0"/>
    <x v="0"/>
    <x v="0"/>
    <x v="0"/>
    <x v="14"/>
    <n v="0"/>
    <x v="24"/>
    <s v="fd47a3cbf44c4c7bb9c69c5ad3fcc8e0"/>
    <s v="CBI Certified Portfolio"/>
    <x v="1"/>
    <x v="6"/>
    <s v="Rail"/>
    <s v="Renewal of Train Parts"/>
    <s v="Chile"/>
    <d v="2019-12-31T00:00:00"/>
    <d v="2019-12-31T00:00:00"/>
    <s v="USD"/>
    <n v="5000000"/>
    <n v="5000000"/>
    <s v="USD"/>
    <n v="5000000"/>
    <n v="5000000"/>
    <b v="0"/>
    <n v="1"/>
  </r>
  <r>
    <b v="1"/>
    <x v="0"/>
    <x v="0"/>
    <x v="0"/>
    <x v="0"/>
    <x v="0"/>
    <x v="14"/>
    <n v="0"/>
    <x v="24"/>
    <s v="fd47a3cbf44c4c7bb9c69c5ad3fcc8e0"/>
    <s v="CBI Certified Portfolio"/>
    <x v="0"/>
    <x v="7"/>
    <s v="Products &amp; Systems for Efficiency"/>
    <s v="Solar Thermal Energy Panel son Houses"/>
    <s v="Chile"/>
    <d v="2019-12-31T00:00:00"/>
    <d v="2019-12-31T00:00:00"/>
    <s v="USD"/>
    <n v="100000"/>
    <n v="100000"/>
    <s v="USD"/>
    <n v="100000"/>
    <n v="100000"/>
    <b v="1"/>
    <n v="1"/>
  </r>
  <r>
    <b v="1"/>
    <x v="0"/>
    <x v="0"/>
    <x v="0"/>
    <x v="0"/>
    <x v="0"/>
    <x v="14"/>
    <n v="0"/>
    <x v="24"/>
    <s v="fd47a3cbf44c4c7bb9c69c5ad3fcc8e0"/>
    <s v="CBI Certified Portfolio"/>
    <x v="0"/>
    <x v="7"/>
    <s v="Products &amp; Systems for Efficiency"/>
    <s v="Solar Thermal Energy Panel son Houses"/>
    <s v="Chile"/>
    <d v="2018-12-31T00:00:00"/>
    <d v="2018-12-31T00:00:00"/>
    <s v="USD"/>
    <n v="100000"/>
    <n v="100000"/>
    <s v="USD"/>
    <n v="100000"/>
    <n v="100000"/>
    <b v="1"/>
    <n v="1"/>
  </r>
  <r>
    <b v="1"/>
    <x v="0"/>
    <x v="0"/>
    <x v="0"/>
    <x v="0"/>
    <x v="0"/>
    <x v="14"/>
    <n v="0"/>
    <x v="24"/>
    <s v="fd47a3cbf44c4c7bb9c69c5ad3fcc8e0"/>
    <s v="CBI Certified Portfolio"/>
    <x v="1"/>
    <x v="4"/>
    <s v="Appliances"/>
    <s v="Solar Thermal Energy Panel son Houses"/>
    <s v="Chile"/>
    <d v="2019-12-31T00:00:00"/>
    <d v="2019-12-31T00:00:00"/>
    <s v="USD"/>
    <n v="100000"/>
    <n v="100000"/>
    <s v="USD"/>
    <n v="100000"/>
    <n v="100000"/>
    <b v="1"/>
    <n v="1"/>
  </r>
  <r>
    <b v="1"/>
    <x v="0"/>
    <x v="0"/>
    <x v="0"/>
    <x v="0"/>
    <x v="0"/>
    <x v="14"/>
    <n v="0"/>
    <x v="24"/>
    <s v="fd47a3cbf44c4c7bb9c69c5ad3fcc8e0"/>
    <s v="CBI Certified Portfolio"/>
    <x v="1"/>
    <x v="4"/>
    <s v="Appliances"/>
    <s v="Solar Thermal Energy Panel son Houses"/>
    <s v="Chile"/>
    <d v="2018-12-31T00:00:00"/>
    <d v="2018-12-31T00:00:00"/>
    <s v="USD"/>
    <n v="100000"/>
    <n v="100000"/>
    <s v="USD"/>
    <n v="100000"/>
    <n v="100000"/>
    <b v="1"/>
    <n v="1"/>
  </r>
  <r>
    <b v="1"/>
    <x v="0"/>
    <x v="0"/>
    <x v="0"/>
    <x v="0"/>
    <x v="0"/>
    <x v="14"/>
    <n v="0"/>
    <x v="24"/>
    <s v="fd47a3cbf44c4c7bb9c69c5ad3fcc8e0"/>
    <s v="CBI Certified Portfolio"/>
    <x v="0"/>
    <x v="0"/>
    <s v="Solar"/>
    <s v="Construction of Photovoltaic System"/>
    <s v="Chile"/>
    <d v="2018-12-31T00:00:00"/>
    <d v="2018-12-31T00:00:00"/>
    <s v="USD"/>
    <n v="800000"/>
    <n v="800000"/>
    <s v="USD"/>
    <n v="800000"/>
    <n v="800000"/>
    <b v="1"/>
    <n v="1"/>
  </r>
  <r>
    <b v="1"/>
    <x v="0"/>
    <x v="0"/>
    <x v="0"/>
    <x v="0"/>
    <x v="0"/>
    <x v="14"/>
    <n v="0"/>
    <x v="24"/>
    <s v="fd47a3cbf44c4c7bb9c69c5ad3fcc8e0"/>
    <s v="CBI Certified Portfolio"/>
    <x v="1"/>
    <x v="1"/>
    <s v="Generation"/>
    <s v="Construction of Photovoltaic System"/>
    <s v="Chile"/>
    <d v="2018-12-31T00:00:00"/>
    <d v="2018-12-31T00:00:00"/>
    <s v="USD"/>
    <n v="800000"/>
    <n v="800000"/>
    <s v="USD"/>
    <n v="800000"/>
    <n v="800000"/>
    <b v="1"/>
    <n v="1"/>
  </r>
  <r>
    <b v="1"/>
    <x v="0"/>
    <x v="0"/>
    <x v="0"/>
    <x v="0"/>
    <x v="0"/>
    <x v="14"/>
    <n v="0"/>
    <x v="24"/>
    <s v="fd47a3cbf44c4c7bb9c69c5ad3fcc8e0"/>
    <s v="CBI Certified Portfolio"/>
    <x v="0"/>
    <x v="0"/>
    <s v="Solar"/>
    <s v="Technical Assistance for Photovoltaic Systems"/>
    <s v="Chile"/>
    <d v="2020-12-31T00:00:00"/>
    <d v="2020-12-31T00:00:00"/>
    <s v="USD"/>
    <n v="100000"/>
    <n v="100000"/>
    <s v="USD"/>
    <n v="100000"/>
    <n v="100000"/>
    <b v="1"/>
    <n v="1"/>
  </r>
  <r>
    <b v="1"/>
    <x v="0"/>
    <x v="0"/>
    <x v="0"/>
    <x v="0"/>
    <x v="0"/>
    <x v="14"/>
    <n v="0"/>
    <x v="24"/>
    <s v="fd47a3cbf44c4c7bb9c69c5ad3fcc8e0"/>
    <s v="CBI Certified Portfolio"/>
    <x v="0"/>
    <x v="0"/>
    <s v="Solar"/>
    <s v="Technical Assistance for Photovoltaic Systems"/>
    <s v="Chile"/>
    <d v="2019-12-31T00:00:00"/>
    <d v="2019-12-31T00:00:00"/>
    <s v="USD"/>
    <n v="500000"/>
    <n v="500000"/>
    <s v="USD"/>
    <n v="500000"/>
    <n v="500000"/>
    <b v="1"/>
    <n v="1"/>
  </r>
  <r>
    <b v="1"/>
    <x v="0"/>
    <x v="0"/>
    <x v="0"/>
    <x v="0"/>
    <x v="0"/>
    <x v="14"/>
    <n v="0"/>
    <x v="24"/>
    <s v="fd47a3cbf44c4c7bb9c69c5ad3fcc8e0"/>
    <s v="CBI Certified Portfolio"/>
    <x v="0"/>
    <x v="0"/>
    <s v="Solar"/>
    <s v="Technical Assistance for Photovoltaic Systems"/>
    <s v="Chile"/>
    <d v="2018-12-31T00:00:00"/>
    <d v="2018-12-31T00:00:00"/>
    <s v="USD"/>
    <n v="500000"/>
    <n v="500000"/>
    <s v="USD"/>
    <n v="500000"/>
    <n v="500000"/>
    <b v="1"/>
    <n v="1"/>
  </r>
  <r>
    <b v="1"/>
    <x v="0"/>
    <x v="0"/>
    <x v="0"/>
    <x v="0"/>
    <x v="0"/>
    <x v="14"/>
    <n v="0"/>
    <x v="24"/>
    <s v="fd47a3cbf44c4c7bb9c69c5ad3fcc8e0"/>
    <s v="CBI Certified Portfolio"/>
    <x v="1"/>
    <x v="1"/>
    <s v="Generation"/>
    <s v="Technical Assistance for Photovoltaic Systems"/>
    <s v="Chile"/>
    <d v="2020-12-31T00:00:00"/>
    <d v="2020-12-31T00:00:00"/>
    <s v="USD"/>
    <n v="100000"/>
    <n v="100000"/>
    <s v="USD"/>
    <n v="100000"/>
    <n v="100000"/>
    <b v="1"/>
    <n v="1"/>
  </r>
  <r>
    <b v="1"/>
    <x v="0"/>
    <x v="0"/>
    <x v="0"/>
    <x v="0"/>
    <x v="0"/>
    <x v="14"/>
    <n v="0"/>
    <x v="24"/>
    <s v="fd47a3cbf44c4c7bb9c69c5ad3fcc8e0"/>
    <s v="CBI Certified Portfolio"/>
    <x v="1"/>
    <x v="1"/>
    <s v="Generation"/>
    <s v="Technical Assistance for Photovoltaic Systems"/>
    <s v="Chile"/>
    <d v="2019-12-31T00:00:00"/>
    <d v="2019-12-31T00:00:00"/>
    <s v="USD"/>
    <n v="500000"/>
    <n v="500000"/>
    <s v="USD"/>
    <n v="500000"/>
    <n v="500000"/>
    <b v="1"/>
    <n v="1"/>
  </r>
  <r>
    <b v="1"/>
    <x v="0"/>
    <x v="0"/>
    <x v="0"/>
    <x v="0"/>
    <x v="0"/>
    <x v="14"/>
    <n v="0"/>
    <x v="24"/>
    <s v="fd47a3cbf44c4c7bb9c69c5ad3fcc8e0"/>
    <s v="CBI Certified Portfolio"/>
    <x v="1"/>
    <x v="1"/>
    <s v="Generation"/>
    <s v="Technical Assistance for Photovoltaic Systems"/>
    <s v="Chile"/>
    <d v="2018-12-31T00:00:00"/>
    <d v="2018-12-31T00:00:00"/>
    <s v="USD"/>
    <n v="500000"/>
    <n v="500000"/>
    <s v="USD"/>
    <n v="500000"/>
    <n v="500000"/>
    <b v="1"/>
    <n v="1"/>
  </r>
  <r>
    <b v="1"/>
    <x v="0"/>
    <x v="0"/>
    <x v="0"/>
    <x v="0"/>
    <x v="0"/>
    <x v="14"/>
    <n v="0"/>
    <x v="24"/>
    <s v="fd47a3cbf44c4c7bb9c69c5ad3fcc8e0"/>
    <s v="CBI Certified Portfolio"/>
    <x v="0"/>
    <x v="7"/>
    <s v="Urban Development"/>
    <s v="Sustainable Public Buildings"/>
    <s v="Chile"/>
    <d v="2020-12-31T00:00:00"/>
    <d v="2020-12-31T00:00:00"/>
    <s v="USD"/>
    <n v="14900000"/>
    <n v="14900000"/>
    <s v="USD"/>
    <n v="14900000"/>
    <n v="14900000"/>
    <b v="1"/>
    <n v="1"/>
  </r>
  <r>
    <b v="1"/>
    <x v="0"/>
    <x v="0"/>
    <x v="0"/>
    <x v="0"/>
    <x v="0"/>
    <x v="14"/>
    <n v="0"/>
    <x v="24"/>
    <s v="fd47a3cbf44c4c7bb9c69c5ad3fcc8e0"/>
    <s v="CBI Certified Portfolio"/>
    <x v="0"/>
    <x v="7"/>
    <s v="Urban Development"/>
    <s v="Sustainable Public Buildings"/>
    <s v="Chile"/>
    <d v="2019-12-31T00:00:00"/>
    <d v="2019-12-31T00:00:00"/>
    <s v="USD"/>
    <n v="10500000"/>
    <n v="10500000"/>
    <s v="USD"/>
    <n v="10500000"/>
    <n v="10500000"/>
    <b v="1"/>
    <n v="1"/>
  </r>
  <r>
    <b v="1"/>
    <x v="0"/>
    <x v="0"/>
    <x v="0"/>
    <x v="0"/>
    <x v="0"/>
    <x v="14"/>
    <n v="0"/>
    <x v="24"/>
    <s v="fd47a3cbf44c4c7bb9c69c5ad3fcc8e0"/>
    <s v="CBI Certified Portfolio"/>
    <x v="0"/>
    <x v="7"/>
    <s v="Urban Development"/>
    <s v="Sustainable Public Buildings"/>
    <s v="Chile"/>
    <d v="2018-12-31T00:00:00"/>
    <d v="2018-12-31T00:00:00"/>
    <s v="USD"/>
    <n v="300000"/>
    <n v="300000"/>
    <s v="USD"/>
    <n v="300000"/>
    <n v="300000"/>
    <b v="1"/>
    <n v="1"/>
  </r>
  <r>
    <b v="1"/>
    <x v="0"/>
    <x v="0"/>
    <x v="0"/>
    <x v="0"/>
    <x v="0"/>
    <x v="14"/>
    <n v="0"/>
    <x v="24"/>
    <s v="fd47a3cbf44c4c7bb9c69c5ad3fcc8e0"/>
    <s v="CBI Certified Portfolio"/>
    <x v="1"/>
    <x v="8"/>
    <s v="Commercial"/>
    <s v="Sustainable Public Buildings"/>
    <s v="Chile"/>
    <d v="2020-12-31T00:00:00"/>
    <d v="2020-12-31T00:00:00"/>
    <s v="USD"/>
    <n v="14900000"/>
    <n v="14900000"/>
    <s v="USD"/>
    <n v="14900000"/>
    <n v="14900000"/>
    <b v="1"/>
    <n v="1"/>
  </r>
  <r>
    <b v="1"/>
    <x v="0"/>
    <x v="0"/>
    <x v="0"/>
    <x v="0"/>
    <x v="0"/>
    <x v="14"/>
    <n v="0"/>
    <x v="24"/>
    <s v="fd47a3cbf44c4c7bb9c69c5ad3fcc8e0"/>
    <s v="CBI Certified Portfolio"/>
    <x v="1"/>
    <x v="8"/>
    <s v="Commercial"/>
    <s v="Sustainable Public Buildings"/>
    <s v="Chile"/>
    <d v="2019-12-31T00:00:00"/>
    <d v="2019-12-31T00:00:00"/>
    <s v="USD"/>
    <n v="10500000"/>
    <n v="10500000"/>
    <s v="USD"/>
    <n v="10500000"/>
    <n v="10500000"/>
    <b v="1"/>
    <n v="1"/>
  </r>
  <r>
    <b v="1"/>
    <x v="0"/>
    <x v="0"/>
    <x v="0"/>
    <x v="0"/>
    <x v="0"/>
    <x v="14"/>
    <n v="0"/>
    <x v="24"/>
    <s v="fd47a3cbf44c4c7bb9c69c5ad3fcc8e0"/>
    <s v="CBI Certified Portfolio"/>
    <x v="1"/>
    <x v="8"/>
    <s v="Commercial"/>
    <s v="Sustainable Public Buildings"/>
    <s v="Chile"/>
    <d v="2018-12-31T00:00:00"/>
    <d v="2018-12-31T00:00:00"/>
    <s v="USD"/>
    <n v="300000"/>
    <n v="300000"/>
    <s v="USD"/>
    <n v="300000"/>
    <n v="300000"/>
    <b v="1"/>
    <n v="1"/>
  </r>
  <r>
    <b v="1"/>
    <x v="0"/>
    <x v="0"/>
    <x v="0"/>
    <x v="0"/>
    <x v="0"/>
    <x v="14"/>
    <n v="0"/>
    <x v="24"/>
    <s v="fd47a3cbf44c4c7bb9c69c5ad3fcc8e0"/>
    <s v="CBI Certified Portfolio"/>
    <x v="0"/>
    <x v="2"/>
    <s v="Monitoring"/>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0"/>
    <x v="2"/>
    <s v="Monitoring"/>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0"/>
    <x v="2"/>
    <s v="Monitoring"/>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1"/>
    <x v="17"/>
    <s v="Climate observation"/>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1"/>
    <x v="17"/>
    <s v="Climate observation"/>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1"/>
    <x v="17"/>
    <s v="Climate observation"/>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0"/>
    <x v="5"/>
    <s v="Public"/>
    <s v="Metrotrain Alameda-Melipilla"/>
    <s v="Chile"/>
    <d v="2020-12-31T00:00:00"/>
    <d v="2020-12-31T00:00:00"/>
    <s v="USD"/>
    <n v="10100000"/>
    <n v="10100000"/>
    <s v="USD"/>
    <n v="10100000"/>
    <n v="10100000"/>
    <b v="1"/>
    <n v="1"/>
  </r>
  <r>
    <b v="1"/>
    <x v="0"/>
    <x v="0"/>
    <x v="0"/>
    <x v="0"/>
    <x v="0"/>
    <x v="14"/>
    <n v="0"/>
    <x v="24"/>
    <s v="fd47a3cbf44c4c7bb9c69c5ad3fcc8e0"/>
    <s v="CBI Certified Portfolio"/>
    <x v="0"/>
    <x v="5"/>
    <s v="Public"/>
    <s v="Metrotrain Alameda-Melipilla"/>
    <s v="Chile"/>
    <d v="2019-12-31T00:00:00"/>
    <d v="2019-12-31T00:00:00"/>
    <s v="USD"/>
    <n v="2800000"/>
    <n v="2800000"/>
    <s v="USD"/>
    <n v="2800000"/>
    <n v="2800000"/>
    <b v="1"/>
    <n v="1"/>
  </r>
  <r>
    <b v="1"/>
    <x v="0"/>
    <x v="0"/>
    <x v="0"/>
    <x v="0"/>
    <x v="0"/>
    <x v="14"/>
    <n v="0"/>
    <x v="24"/>
    <s v="fd47a3cbf44c4c7bb9c69c5ad3fcc8e0"/>
    <s v="CBI Certified Portfolio"/>
    <x v="1"/>
    <x v="6"/>
    <s v="Rail"/>
    <s v="Metrotrain Alameda-Melipilla"/>
    <s v="Chile"/>
    <d v="2020-12-31T00:00:00"/>
    <d v="2020-12-31T00:00:00"/>
    <s v="USD"/>
    <n v="10100000"/>
    <n v="10100000"/>
    <s v="USD"/>
    <n v="10100000"/>
    <n v="10100000"/>
    <b v="1"/>
    <n v="1"/>
  </r>
  <r>
    <b v="1"/>
    <x v="0"/>
    <x v="0"/>
    <x v="0"/>
    <x v="0"/>
    <x v="0"/>
    <x v="14"/>
    <n v="0"/>
    <x v="24"/>
    <s v="fd47a3cbf44c4c7bb9c69c5ad3fcc8e0"/>
    <s v="CBI Certified Portfolio"/>
    <x v="1"/>
    <x v="6"/>
    <s v="Rail"/>
    <s v="Metrotrain Alameda-Melipilla"/>
    <s v="Chile"/>
    <d v="2019-12-31T00:00:00"/>
    <d v="2019-12-31T00:00:00"/>
    <s v="USD"/>
    <n v="2800000"/>
    <n v="2800000"/>
    <s v="USD"/>
    <n v="2800000"/>
    <n v="2800000"/>
    <b v="1"/>
    <n v="1"/>
  </r>
  <r>
    <b v="1"/>
    <x v="0"/>
    <x v="0"/>
    <x v="0"/>
    <x v="0"/>
    <x v="0"/>
    <x v="14"/>
    <n v="0"/>
    <x v="24"/>
    <s v="fd47a3cbf44c4c7bb9c69c5ad3fcc8e0"/>
    <s v="CBI Certified Portfolio"/>
    <x v="0"/>
    <x v="5"/>
    <s v="Public"/>
    <s v="Metro Reconstruction"/>
    <s v="Chile"/>
    <d v="2020-12-31T00:00:00"/>
    <d v="2020-12-31T00:00:00"/>
    <s v="USD"/>
    <n v="78900000"/>
    <n v="78900000"/>
    <s v="USD"/>
    <n v="78900000"/>
    <n v="78900000"/>
    <b v="0"/>
    <n v="1"/>
  </r>
  <r>
    <b v="1"/>
    <x v="0"/>
    <x v="0"/>
    <x v="0"/>
    <x v="0"/>
    <x v="0"/>
    <x v="14"/>
    <n v="0"/>
    <x v="24"/>
    <s v="fd47a3cbf44c4c7bb9c69c5ad3fcc8e0"/>
    <s v="CBI Certified Portfolio"/>
    <x v="1"/>
    <x v="6"/>
    <s v="Rail"/>
    <s v="Metro Reconstruction"/>
    <s v="Chile"/>
    <d v="2020-12-31T00:00:00"/>
    <d v="2020-12-31T00:00:00"/>
    <s v="USD"/>
    <n v="78900000"/>
    <n v="78900000"/>
    <s v="USD"/>
    <n v="78900000"/>
    <n v="78900000"/>
    <b v="0"/>
    <n v="1"/>
  </r>
  <r>
    <b v="1"/>
    <x v="0"/>
    <x v="0"/>
    <x v="2"/>
    <x v="0"/>
    <x v="1"/>
    <x v="46"/>
    <n v="0"/>
    <x v="0"/>
    <s v="43da939a64e7473388d28a08a74f1490"/>
    <s v="Primera Emisi√≥n Bono Verde Banco de Bogot√°"/>
    <x v="0"/>
    <x v="2"/>
    <s v="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1"/>
    <x v="3"/>
    <s v="Wastewater 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0"/>
    <x v="7"/>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1"/>
    <x v="8"/>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0"/>
    <x v="9"/>
    <s v="Unspecified"/>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1"/>
    <x v="4"/>
    <s v="Appliances"/>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0"/>
    <x v="0"/>
    <s v="Bioenergy"/>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1"/>
    <x v="1"/>
    <s v="Generation"/>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0"/>
    <x v="0"/>
    <s v="Hydro"/>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1"/>
    <x v="1"/>
    <s v="Generation"/>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0"/>
    <x v="0"/>
    <s v="Solar"/>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1"/>
    <x v="1"/>
    <s v="Generation"/>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0"/>
    <x v="0"/>
    <s v="Solar"/>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1"/>
    <x v="1"/>
    <s v="Generation"/>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0"/>
    <x v="0"/>
    <s v="Solar"/>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1"/>
    <x v="1"/>
    <s v="Generation"/>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0"/>
    <x v="0"/>
    <s v="Solar"/>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1"/>
    <x v="1"/>
    <s v="Generation"/>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0"/>
    <x v="0"/>
    <s v="Solar"/>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1"/>
    <x v="1"/>
    <s v="Generation"/>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0"/>
    <x v="5"/>
    <s v="Public"/>
    <s v="Project 11 Public Transport"/>
    <s v="Colombia"/>
    <d v="2020-11-30T00:00:00"/>
    <d v="2017-08-31T00:00:00"/>
    <s v="COP"/>
    <n v="86503111250"/>
    <n v="86503111250"/>
    <s v="COP"/>
    <n v="86503111250"/>
    <n v="29416223"/>
    <b v="1"/>
    <n v="0.5"/>
  </r>
  <r>
    <b v="1"/>
    <x v="0"/>
    <x v="0"/>
    <x v="2"/>
    <x v="0"/>
    <x v="1"/>
    <x v="46"/>
    <n v="0"/>
    <x v="0"/>
    <s v="43da939a64e7473388d28a08a74f1490"/>
    <s v="Primera Emisi√≥n Bono Verde Banco de Bogot√°"/>
    <x v="1"/>
    <x v="6"/>
    <s v="Public"/>
    <s v="Project 11 Public Transport"/>
    <s v="Colombia"/>
    <d v="2020-11-30T00:00:00"/>
    <d v="2017-08-31T00:00:00"/>
    <s v="COP"/>
    <n v="86503111250"/>
    <n v="86503111250"/>
    <s v="COP"/>
    <n v="86503111250"/>
    <n v="29416223"/>
    <b v="1"/>
    <n v="0.5"/>
  </r>
  <r>
    <b v="1"/>
    <x v="0"/>
    <x v="0"/>
    <x v="1"/>
    <x v="0"/>
    <x v="1"/>
    <x v="47"/>
    <n v="0"/>
    <x v="0"/>
    <s v="731de09d90c6433a8eddaf8aa22dc123"/>
    <s v="Green FIDC Solar GD √ìrigo"/>
    <x v="0"/>
    <x v="0"/>
    <s v="Solar"/>
    <s v="Usina fotovoltaica Bom Despacho 58"/>
    <s v="Brazil"/>
    <d v="2021-03-30T00:00:00"/>
    <d v="2021-06-25T00:00:00"/>
    <s v="BRL"/>
    <n v="13105966"/>
    <n v="13105966"/>
    <s v="BRL"/>
    <n v="13105966"/>
    <n v="2404764"/>
    <b v="0"/>
    <n v="0.9"/>
  </r>
  <r>
    <b v="1"/>
    <x v="0"/>
    <x v="0"/>
    <x v="1"/>
    <x v="0"/>
    <x v="1"/>
    <x v="47"/>
    <n v="0"/>
    <x v="0"/>
    <s v="731de09d90c6433a8eddaf8aa22dc123"/>
    <s v="Green FIDC Solar GD √ìrigo"/>
    <x v="1"/>
    <x v="1"/>
    <s v="Generation"/>
    <s v="Usina fotovoltaica Bom Despacho 58"/>
    <s v="Brazil"/>
    <d v="2021-03-30T00:00:00"/>
    <d v="2021-06-25T00:00:00"/>
    <s v="BRL"/>
    <n v="13105966"/>
    <n v="13105966"/>
    <s v="BRL"/>
    <n v="13105966"/>
    <n v="2404764"/>
    <b v="0"/>
    <n v="0.9"/>
  </r>
  <r>
    <b v="1"/>
    <x v="0"/>
    <x v="0"/>
    <x v="1"/>
    <x v="0"/>
    <x v="1"/>
    <x v="47"/>
    <n v="0"/>
    <x v="0"/>
    <s v="731de09d90c6433a8eddaf8aa22dc123"/>
    <s v="Green FIDC Solar GD √ìrigo"/>
    <x v="0"/>
    <x v="0"/>
    <s v="Solar"/>
    <s v="Usina fotovoltaica Bras√≠lia de Minas"/>
    <s v="Brazil"/>
    <d v="2021-03-30T00:00:00"/>
    <d v="2021-05-20T00:00:00"/>
    <s v="BRL"/>
    <n v="26323047"/>
    <n v="26323047"/>
    <s v="BRL"/>
    <n v="26323047"/>
    <n v="4829916"/>
    <b v="1"/>
    <n v="1"/>
  </r>
  <r>
    <b v="1"/>
    <x v="0"/>
    <x v="0"/>
    <x v="1"/>
    <x v="0"/>
    <x v="1"/>
    <x v="47"/>
    <n v="0"/>
    <x v="0"/>
    <s v="731de09d90c6433a8eddaf8aa22dc123"/>
    <s v="Green FIDC Solar GD √ìrigo"/>
    <x v="1"/>
    <x v="1"/>
    <s v="Generation"/>
    <s v="Usina fotovoltaica Bras√≠lia de Minas"/>
    <s v="Brazil"/>
    <d v="2021-03-30T00:00:00"/>
    <d v="2021-05-20T00:00:00"/>
    <s v="BRL"/>
    <n v="26323047"/>
    <n v="26323047"/>
    <s v="BRL"/>
    <n v="26323047"/>
    <n v="4829916"/>
    <b v="1"/>
    <n v="1"/>
  </r>
  <r>
    <b v="1"/>
    <x v="0"/>
    <x v="0"/>
    <x v="1"/>
    <x v="0"/>
    <x v="1"/>
    <x v="47"/>
    <n v="0"/>
    <x v="0"/>
    <s v="731de09d90c6433a8eddaf8aa22dc123"/>
    <s v="Green FIDC Solar GD √ìrigo"/>
    <x v="0"/>
    <x v="0"/>
    <s v="Solar"/>
    <s v="Usina fotovoltaica Francisco S√° I"/>
    <s v="Brazil"/>
    <d v="2021-03-30T00:00:00"/>
    <d v="2021-05-20T00:00:00"/>
    <s v="BRL"/>
    <n v="9911343"/>
    <n v="9911343"/>
    <s v="BRL"/>
    <n v="9911343"/>
    <n v="1818595"/>
    <b v="1"/>
    <n v="1"/>
  </r>
  <r>
    <b v="1"/>
    <x v="0"/>
    <x v="0"/>
    <x v="1"/>
    <x v="0"/>
    <x v="1"/>
    <x v="47"/>
    <n v="0"/>
    <x v="0"/>
    <s v="731de09d90c6433a8eddaf8aa22dc123"/>
    <s v="Green FIDC Solar GD √ìrigo"/>
    <x v="1"/>
    <x v="1"/>
    <s v="Generation"/>
    <s v="Usina fotovoltaica Francisco S√° I"/>
    <s v="Brazil"/>
    <d v="2021-03-30T00:00:00"/>
    <d v="2021-05-20T00:00:00"/>
    <s v="BRL"/>
    <n v="9911343"/>
    <n v="9911343"/>
    <s v="BRL"/>
    <n v="9911343"/>
    <n v="1818595"/>
    <b v="1"/>
    <n v="1"/>
  </r>
  <r>
    <b v="1"/>
    <x v="0"/>
    <x v="0"/>
    <x v="1"/>
    <x v="0"/>
    <x v="1"/>
    <x v="47"/>
    <n v="0"/>
    <x v="0"/>
    <s v="731de09d90c6433a8eddaf8aa22dc123"/>
    <s v="Green FIDC Solar GD √ìrigo"/>
    <x v="0"/>
    <x v="0"/>
    <s v="Solar"/>
    <s v="Usina fotovoltaica Francisco S√° II"/>
    <s v="Brazil"/>
    <d v="2021-03-30T00:00:00"/>
    <d v="2021-05-20T00:00:00"/>
    <s v="BRL"/>
    <n v="27524778"/>
    <n v="27524778"/>
    <s v="BRL"/>
    <n v="27524778"/>
    <n v="5050417"/>
    <b v="1"/>
    <n v="1"/>
  </r>
  <r>
    <b v="1"/>
    <x v="0"/>
    <x v="0"/>
    <x v="1"/>
    <x v="0"/>
    <x v="1"/>
    <x v="47"/>
    <n v="0"/>
    <x v="0"/>
    <s v="731de09d90c6433a8eddaf8aa22dc123"/>
    <s v="Green FIDC Solar GD √ìrigo"/>
    <x v="1"/>
    <x v="1"/>
    <s v="Generation"/>
    <s v="Usina fotovoltaica Francisco S√° II"/>
    <s v="Brazil"/>
    <d v="2021-03-30T00:00:00"/>
    <d v="2021-05-20T00:00:00"/>
    <s v="BRL"/>
    <n v="27524778"/>
    <n v="27524778"/>
    <s v="BRL"/>
    <n v="27524778"/>
    <n v="5050417"/>
    <b v="1"/>
    <n v="1"/>
  </r>
  <r>
    <b v="1"/>
    <x v="0"/>
    <x v="0"/>
    <x v="1"/>
    <x v="0"/>
    <x v="1"/>
    <x v="47"/>
    <n v="0"/>
    <x v="0"/>
    <s v="731de09d90c6433a8eddaf8aa22dc123"/>
    <s v="Green FIDC Solar GD √ìrigo"/>
    <x v="0"/>
    <x v="0"/>
    <s v="Solar"/>
    <s v="Usina fotovoltaica Ibi√° 25"/>
    <s v="Brazil"/>
    <d v="2021-03-30T00:00:00"/>
    <d v="2021-06-25T00:00:00"/>
    <s v="BRL"/>
    <n v="12778806"/>
    <n v="12778806"/>
    <s v="BRL"/>
    <n v="12778806"/>
    <n v="2344735"/>
    <b v="0"/>
    <n v="0.9"/>
  </r>
  <r>
    <b v="1"/>
    <x v="0"/>
    <x v="0"/>
    <x v="1"/>
    <x v="0"/>
    <x v="1"/>
    <x v="47"/>
    <n v="0"/>
    <x v="0"/>
    <s v="731de09d90c6433a8eddaf8aa22dc123"/>
    <s v="Green FIDC Solar GD √ìrigo"/>
    <x v="1"/>
    <x v="1"/>
    <s v="Generation"/>
    <s v="Usina fotovoltaica Ibi√° 25"/>
    <s v="Brazil"/>
    <d v="2021-03-30T00:00:00"/>
    <d v="2021-06-25T00:00:00"/>
    <s v="BRL"/>
    <n v="12778806"/>
    <n v="12778806"/>
    <s v="BRL"/>
    <n v="12778806"/>
    <n v="2344735"/>
    <b v="0"/>
    <n v="0.9"/>
  </r>
  <r>
    <b v="1"/>
    <x v="0"/>
    <x v="0"/>
    <x v="1"/>
    <x v="0"/>
    <x v="1"/>
    <x v="47"/>
    <n v="0"/>
    <x v="0"/>
    <s v="731de09d90c6433a8eddaf8aa22dc123"/>
    <s v="Green FIDC Solar GD √ìrigo"/>
    <x v="0"/>
    <x v="0"/>
    <s v="Solar"/>
    <s v="Usina fotovoltaica Ibi√° 42"/>
    <s v="Brazil"/>
    <d v="2021-03-30T00:00:00"/>
    <d v="2021-06-25T00:00:00"/>
    <s v="BRL"/>
    <n v="13531168"/>
    <n v="13531168"/>
    <s v="BRL"/>
    <n v="13531168"/>
    <n v="2482783"/>
    <b v="0"/>
    <n v="0.9"/>
  </r>
  <r>
    <b v="1"/>
    <x v="0"/>
    <x v="0"/>
    <x v="1"/>
    <x v="0"/>
    <x v="1"/>
    <x v="47"/>
    <n v="0"/>
    <x v="0"/>
    <s v="731de09d90c6433a8eddaf8aa22dc123"/>
    <s v="Green FIDC Solar GD √ìrigo"/>
    <x v="1"/>
    <x v="1"/>
    <s v="Generation"/>
    <s v="Usina fotovoltaica Ibi√° 42"/>
    <s v="Brazil"/>
    <d v="2021-03-30T00:00:00"/>
    <d v="2021-06-25T00:00:00"/>
    <s v="BRL"/>
    <n v="13531168"/>
    <n v="13531168"/>
    <s v="BRL"/>
    <n v="13531168"/>
    <n v="2482783"/>
    <b v="0"/>
    <n v="0.9"/>
  </r>
  <r>
    <b v="1"/>
    <x v="0"/>
    <x v="0"/>
    <x v="1"/>
    <x v="0"/>
    <x v="1"/>
    <x v="47"/>
    <n v="0"/>
    <x v="0"/>
    <s v="731de09d90c6433a8eddaf8aa22dc123"/>
    <s v="Green FIDC Solar GD √ìrigo"/>
    <x v="0"/>
    <x v="0"/>
    <s v="Solar"/>
    <s v="Usina fotovoltaica Jana√∫ba"/>
    <s v="Brazil"/>
    <d v="2021-03-30T00:00:00"/>
    <d v="2021-05-20T00:00:00"/>
    <s v="BRL"/>
    <n v="10313886"/>
    <n v="10313886"/>
    <s v="BRL"/>
    <n v="10313886"/>
    <n v="1892456"/>
    <b v="1"/>
    <n v="1"/>
  </r>
  <r>
    <b v="1"/>
    <x v="0"/>
    <x v="0"/>
    <x v="1"/>
    <x v="0"/>
    <x v="1"/>
    <x v="47"/>
    <n v="0"/>
    <x v="0"/>
    <s v="731de09d90c6433a8eddaf8aa22dc123"/>
    <s v="Green FIDC Solar GD √ìrigo"/>
    <x v="1"/>
    <x v="1"/>
    <s v="Generation"/>
    <s v="Usina fotovoltaica Jana√∫ba"/>
    <s v="Brazil"/>
    <d v="2021-03-30T00:00:00"/>
    <d v="2021-05-20T00:00:00"/>
    <s v="BRL"/>
    <n v="10313886"/>
    <n v="10313886"/>
    <s v="BRL"/>
    <n v="10313886"/>
    <n v="1892456"/>
    <b v="1"/>
    <n v="1"/>
  </r>
  <r>
    <b v="1"/>
    <x v="0"/>
    <x v="0"/>
    <x v="1"/>
    <x v="0"/>
    <x v="1"/>
    <x v="47"/>
    <n v="0"/>
    <x v="0"/>
    <s v="731de09d90c6433a8eddaf8aa22dc123"/>
    <s v="Green FIDC Solar GD √ìrigo"/>
    <x v="0"/>
    <x v="0"/>
    <s v="Solar"/>
    <s v="Usina fotovoltaica Lagoa Grande 78"/>
    <s v="Brazil"/>
    <d v="2021-03-30T00:00:00"/>
    <d v="2021-03-30T00:00:00"/>
    <s v="BRL"/>
    <n v="13560228"/>
    <n v="13560228"/>
    <s v="BRL"/>
    <n v="13560228"/>
    <n v="2488115"/>
    <b v="0"/>
    <n v="0.9"/>
  </r>
  <r>
    <b v="1"/>
    <x v="0"/>
    <x v="0"/>
    <x v="1"/>
    <x v="0"/>
    <x v="1"/>
    <x v="47"/>
    <n v="0"/>
    <x v="0"/>
    <s v="731de09d90c6433a8eddaf8aa22dc123"/>
    <s v="Green FIDC Solar GD √ìrigo"/>
    <x v="1"/>
    <x v="1"/>
    <s v="Generation"/>
    <s v="Usina fotovoltaica Lagoa Grande 78"/>
    <s v="Brazil"/>
    <d v="2021-03-30T00:00:00"/>
    <d v="2021-03-30T00:00:00"/>
    <s v="BRL"/>
    <n v="13560228"/>
    <n v="13560228"/>
    <s v="BRL"/>
    <n v="13560228"/>
    <n v="2488115"/>
    <b v="0"/>
    <n v="0.9"/>
  </r>
  <r>
    <b v="1"/>
    <x v="0"/>
    <x v="0"/>
    <x v="1"/>
    <x v="0"/>
    <x v="1"/>
    <x v="47"/>
    <n v="0"/>
    <x v="0"/>
    <s v="731de09d90c6433a8eddaf8aa22dc123"/>
    <s v="Green FIDC Solar GD √ìrigo"/>
    <x v="0"/>
    <x v="0"/>
    <s v="Solar"/>
    <s v="Usina fotovoltaica Lagoa Grande 90"/>
    <s v="Brazil"/>
    <d v="2021-03-30T00:00:00"/>
    <d v="2021-03-30T00:00:00"/>
    <s v="BRL"/>
    <n v="13340559"/>
    <n v="13340559"/>
    <s v="BRL"/>
    <n v="13340559"/>
    <n v="2447808"/>
    <b v="0"/>
    <n v="0.9"/>
  </r>
  <r>
    <b v="1"/>
    <x v="0"/>
    <x v="0"/>
    <x v="1"/>
    <x v="0"/>
    <x v="1"/>
    <x v="47"/>
    <n v="0"/>
    <x v="0"/>
    <s v="731de09d90c6433a8eddaf8aa22dc123"/>
    <s v="Green FIDC Solar GD √ìrigo"/>
    <x v="1"/>
    <x v="1"/>
    <s v="Generation"/>
    <s v="Usina fotovoltaica Lagoa Grande 90"/>
    <s v="Brazil"/>
    <d v="2021-03-30T00:00:00"/>
    <d v="2021-03-30T00:00:00"/>
    <s v="BRL"/>
    <n v="13340559"/>
    <n v="13340559"/>
    <s v="BRL"/>
    <n v="13340559"/>
    <n v="2447808"/>
    <b v="0"/>
    <n v="0.9"/>
  </r>
  <r>
    <b v="1"/>
    <x v="0"/>
    <x v="0"/>
    <x v="1"/>
    <x v="0"/>
    <x v="1"/>
    <x v="48"/>
    <s v="BBG00R9NDNK3"/>
    <x v="0"/>
    <s v="21273ccef0ca496f88b04b4970e3394e"/>
    <s v="Segunda Emiss√£o Jana√∫ba"/>
    <x v="0"/>
    <x v="0"/>
    <s v="Transmission"/>
    <s v="Projeto Jana√∫ba"/>
    <s v="Brazil"/>
    <d v="2019-12-15T00:00:00"/>
    <d v="2019-12-20T00:00:00"/>
    <s v="BRL"/>
    <n v="542370190"/>
    <n v="542370190"/>
    <s v="BRL"/>
    <n v="542370190"/>
    <n v="133008850"/>
    <b v="1"/>
    <n v="0.52"/>
  </r>
  <r>
    <b v="1"/>
    <x v="0"/>
    <x v="0"/>
    <x v="1"/>
    <x v="0"/>
    <x v="1"/>
    <x v="48"/>
    <s v="BBG00R9NDNK3"/>
    <x v="0"/>
    <s v="21273ccef0ca496f88b04b4970e3394e"/>
    <s v="Segunda Emiss√£o Jana√∫ba"/>
    <x v="1"/>
    <x v="1"/>
    <s v="Transmission"/>
    <s v="Projeto Jana√∫ba"/>
    <s v="Brazil"/>
    <d v="2019-12-15T00:00:00"/>
    <d v="2019-12-20T00:00:00"/>
    <s v="BRL"/>
    <n v="542370190"/>
    <n v="542370190"/>
    <s v="BRL"/>
    <n v="542370190"/>
    <n v="133008850"/>
    <b v="1"/>
    <n v="0.52"/>
  </r>
  <r>
    <b v="1"/>
    <x v="0"/>
    <x v="0"/>
    <x v="1"/>
    <x v="0"/>
    <x v="1"/>
    <x v="49"/>
    <s v="BBG00P910118"/>
    <x v="0"/>
    <s v="9454206ae5ef4e8d85b80872d8b63a12"/>
    <s v="Sexta Emiss√£o de Deb√™ntures da Taesa"/>
    <x v="0"/>
    <x v="0"/>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1"/>
    <x v="1"/>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0"/>
    <x v="0"/>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1"/>
    <x v="1"/>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0"/>
    <x v="0"/>
    <s v="Transmission"/>
    <s v="Projeto Sant'ana - 6¬™"/>
    <s v="Brazil"/>
    <d v="2019-05-15T00:00:00"/>
    <d v="2019-05-24T00:00:00"/>
    <s v="BRL"/>
    <n v="49235472"/>
    <n v="49235472"/>
    <s v="BRL"/>
    <n v="49235472"/>
    <n v="12210572"/>
    <b v="0"/>
    <n v="0.08"/>
  </r>
  <r>
    <b v="1"/>
    <x v="0"/>
    <x v="0"/>
    <x v="1"/>
    <x v="0"/>
    <x v="1"/>
    <x v="49"/>
    <s v="BBG00P910118"/>
    <x v="0"/>
    <s v="9454206ae5ef4e8d85b80872d8b63a12"/>
    <s v="Sexta Emiss√£o de Deb√™ntures da Taesa"/>
    <x v="1"/>
    <x v="1"/>
    <s v="Transmission"/>
    <s v="Projeto Sant'ana - 6¬™"/>
    <s v="Brazil"/>
    <d v="2019-05-15T00:00:00"/>
    <d v="2019-05-24T00:00:00"/>
    <s v="BRL"/>
    <n v="49235472"/>
    <n v="49235472"/>
    <s v="BRL"/>
    <n v="49235472"/>
    <n v="12210572"/>
    <b v="0"/>
    <n v="0.08"/>
  </r>
  <r>
    <b v="1"/>
    <x v="0"/>
    <x v="0"/>
    <x v="1"/>
    <x v="0"/>
    <x v="1"/>
    <x v="50"/>
    <s v="BBG00QPSKY60"/>
    <x v="0"/>
    <s v="a51f0a51fdd241f0b87f87edf3924a15"/>
    <s v="S√©tima Emiss√£o de Deb√™ntures da Taesa"/>
    <x v="0"/>
    <x v="0"/>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1"/>
    <x v="1"/>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0"/>
    <x v="0"/>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1"/>
    <x v="1"/>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0"/>
    <x v="0"/>
    <s v="Transmission"/>
    <s v="Projeto Sant'ana - 7¬™"/>
    <s v="Brazil"/>
    <d v="2019-09-15T00:00:00"/>
    <d v="2019-10-25T00:00:00"/>
    <s v="BRL"/>
    <n v="195667518"/>
    <n v="195667518"/>
    <s v="BRL"/>
    <n v="195667518"/>
    <n v="48754769"/>
    <b v="0"/>
    <n v="0.25"/>
  </r>
  <r>
    <b v="1"/>
    <x v="0"/>
    <x v="0"/>
    <x v="1"/>
    <x v="0"/>
    <x v="1"/>
    <x v="50"/>
    <s v="BBG00QPSKY60"/>
    <x v="0"/>
    <s v="a51f0a51fdd241f0b87f87edf3924a15"/>
    <s v="S√©tima Emiss√£o de Deb√™ntures da Taesa"/>
    <x v="1"/>
    <x v="1"/>
    <s v="Transmission"/>
    <s v="Projeto Sant'ana - 7¬™"/>
    <s v="Brazil"/>
    <d v="2019-09-15T00:00:00"/>
    <d v="2019-10-25T00:00:00"/>
    <s v="BRL"/>
    <n v="195667518"/>
    <n v="195667518"/>
    <s v="BRL"/>
    <n v="195667518"/>
    <n v="48754769"/>
    <b v="0"/>
    <n v="0.25"/>
  </r>
  <r>
    <b v="1"/>
    <x v="0"/>
    <x v="0"/>
    <x v="1"/>
    <x v="0"/>
    <x v="1"/>
    <x v="51"/>
    <s v="BBG00RHCX4G3"/>
    <x v="0"/>
    <s v="314f7f4c213f427091038506ef0c444b"/>
    <s v="Oitava Emiss√£o de Deb√™ntures da Taesa"/>
    <x v="0"/>
    <x v="0"/>
    <s v="Transmission"/>
    <s v="Projeto Sant'ana - 8¬™"/>
    <s v="Brazil"/>
    <d v="2019-12-15T00:00:00"/>
    <d v="2020-01-17T00:00:00"/>
    <s v="BRL"/>
    <n v="280702984"/>
    <n v="280702984"/>
    <s v="BRL"/>
    <n v="280702984"/>
    <n v="67094434"/>
    <b v="1"/>
    <n v="0.49"/>
  </r>
  <r>
    <b v="1"/>
    <x v="0"/>
    <x v="0"/>
    <x v="1"/>
    <x v="0"/>
    <x v="1"/>
    <x v="51"/>
    <s v="BBG00RHCX4G3"/>
    <x v="0"/>
    <s v="314f7f4c213f427091038506ef0c444b"/>
    <s v="Oitava Emiss√£o de Deb√™ntures da Taesa"/>
    <x v="1"/>
    <x v="1"/>
    <s v="Transmission"/>
    <s v="Projeto Sant'ana - 8¬™"/>
    <s v="Brazil"/>
    <d v="2019-12-15T00:00:00"/>
    <d v="2020-01-17T00:00:00"/>
    <s v="BRL"/>
    <n v="280702984"/>
    <n v="280702984"/>
    <s v="BRL"/>
    <n v="280702984"/>
    <n v="67094434"/>
    <b v="1"/>
    <n v="0.49"/>
  </r>
  <r>
    <b v="1"/>
    <x v="0"/>
    <x v="0"/>
    <x v="1"/>
    <x v="0"/>
    <x v="1"/>
    <x v="52"/>
    <s v="BBG0113RBDT1"/>
    <x v="0"/>
    <s v="5b4a75cdb66b4ce9b8961d7a9fd6bfb5"/>
    <s v="Decima Emiss√£o de Deb√™ntures da Taesa"/>
    <x v="0"/>
    <x v="0"/>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1"/>
    <x v="1"/>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0"/>
    <x v="0"/>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1"/>
    <x v="1"/>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0"/>
    <x v="0"/>
    <s v="Transmission"/>
    <s v="Projeto SPT 2"/>
    <s v="Brazil"/>
    <d v="2021-05-15T00:00:00"/>
    <d v="2021-05-20T00:00:00"/>
    <s v="BRL"/>
    <n v="40628753"/>
    <n v="40628753"/>
    <s v="BRL"/>
    <n v="40628753"/>
    <n v="7679567"/>
    <b v="1"/>
    <n v="0.99"/>
  </r>
  <r>
    <b v="1"/>
    <x v="0"/>
    <x v="0"/>
    <x v="1"/>
    <x v="0"/>
    <x v="1"/>
    <x v="52"/>
    <s v="BBG0113RBDT1"/>
    <x v="0"/>
    <s v="5b4a75cdb66b4ce9b8961d7a9fd6bfb5"/>
    <s v="Decima Emiss√£o de Deb√™ntures da Taesa"/>
    <x v="1"/>
    <x v="1"/>
    <s v="Transmission"/>
    <s v="Projeto SPT 2"/>
    <s v="Brazil"/>
    <d v="2021-05-15T00:00:00"/>
    <d v="2021-05-20T00:00:00"/>
    <s v="BRL"/>
    <n v="40628753"/>
    <n v="40628753"/>
    <s v="BRL"/>
    <n v="40628753"/>
    <n v="7679567"/>
    <b v="1"/>
    <n v="0.99"/>
  </r>
  <r>
    <b v="1"/>
    <x v="0"/>
    <x v="0"/>
    <x v="2"/>
    <x v="0"/>
    <x v="1"/>
    <x v="46"/>
    <n v="0"/>
    <x v="0"/>
    <s v="43da939a64e7473388d28a08a74f1490"/>
    <s v="Primera Emisi√≥n Bono Verde Banco de Bogot√°"/>
    <x v="0"/>
    <x v="15"/>
    <s v="Recycling"/>
    <s v="Project 12 Recycling"/>
    <s v="Colombia"/>
    <d v="2021-06-30T00:00:00"/>
    <d v="2019-12-19T00:00:00"/>
    <s v="COP"/>
    <n v="8593063355"/>
    <n v="8593063355"/>
    <s v="COP"/>
    <n v="8593063355"/>
    <n v="3323255"/>
    <b v="1"/>
    <n v="0.83"/>
  </r>
  <r>
    <b v="1"/>
    <x v="0"/>
    <x v="0"/>
    <x v="2"/>
    <x v="0"/>
    <x v="1"/>
    <x v="46"/>
    <n v="0"/>
    <x v="0"/>
    <s v="43da939a64e7473388d28a08a74f1490"/>
    <s v="Primera Emisi√≥n Bono Verde Banco de Bogot√°"/>
    <x v="1"/>
    <x v="12"/>
    <s v="Waste recycling"/>
    <s v="Project 12 Recycling"/>
    <s v="Colombia"/>
    <d v="2021-06-30T00:00:00"/>
    <d v="2019-12-19T00:00:00"/>
    <s v="COP"/>
    <n v="8593063355"/>
    <n v="8593063355"/>
    <s v="COP"/>
    <n v="8593063355"/>
    <n v="3323255"/>
    <b v="1"/>
    <n v="0.83"/>
  </r>
  <r>
    <e v="#N/A"/>
    <x v="1"/>
    <x v="1"/>
    <x v="3"/>
    <x v="1"/>
    <x v="2"/>
    <x v="10"/>
    <e v="#N/A"/>
    <x v="2"/>
    <s v="9d39abd34d6c4799835d76e97b6b75e1"/>
    <s v="FIDC GREEN ANG√Å-SOLF√ÅCIL"/>
    <x v="0"/>
    <x v="0"/>
    <s v="Solar"/>
    <s v="FIDC GREEN ANG√Å-SOLF√ÅCIL"/>
    <s v="Brazil"/>
    <d v="2021-08-31T00:00:00"/>
    <d v="2021-08-31T00:00:00"/>
    <s v="BRL"/>
    <n v="400000000"/>
    <n v="400000000"/>
    <s v="BRL"/>
    <n v="400000000"/>
    <n v="77555000"/>
    <b v="0"/>
    <n v="1"/>
  </r>
  <r>
    <e v="#N/A"/>
    <x v="1"/>
    <x v="1"/>
    <x v="3"/>
    <x v="1"/>
    <x v="2"/>
    <x v="10"/>
    <e v="#N/A"/>
    <x v="2"/>
    <s v="9d39abd34d6c4799835d76e97b6b75e1"/>
    <s v="FIDC GREEN ANG√Å-SOLF√ÅCIL"/>
    <x v="1"/>
    <x v="1"/>
    <s v="Appliances"/>
    <s v="FIDC GREEN ANG√Å-SOLF√ÅCIL"/>
    <s v="Brazil"/>
    <d v="2021-08-31T00:00:00"/>
    <d v="2021-08-31T00:00:00"/>
    <s v="BRL"/>
    <n v="400000000"/>
    <n v="400000000"/>
    <s v="BRL"/>
    <n v="400000000"/>
    <n v="77555000"/>
    <b v="0"/>
    <n v="1"/>
  </r>
  <r>
    <e v="#N/A"/>
    <x v="1"/>
    <x v="1"/>
    <x v="3"/>
    <x v="1"/>
    <x v="2"/>
    <x v="10"/>
    <e v="#N/A"/>
    <x v="2"/>
    <s v="9d39abd34d6c4799835d76e97b6b75e1"/>
    <s v="FIDC GREEN ANG√Å-SOLF√ÅCIL"/>
    <x v="2"/>
    <x v="9"/>
    <s v="Unspecified"/>
    <s v="FIDC GREEN ANG√Å-SOLF√ÅCIL"/>
    <s v="Brazil"/>
    <d v="2021-08-31T00:00:00"/>
    <d v="2021-08-31T00:00:00"/>
    <s v="BRL"/>
    <n v="400000000"/>
    <n v="400000000"/>
    <s v="BRL"/>
    <n v="400000000"/>
    <n v="77555000"/>
    <b v="0"/>
    <n v="1"/>
  </r>
  <r>
    <e v="#N/A"/>
    <x v="1"/>
    <x v="1"/>
    <x v="3"/>
    <x v="1"/>
    <x v="2"/>
    <x v="10"/>
    <e v="#N/A"/>
    <x v="2"/>
    <s v="9d39abd34d6c4799835d76e97b6b75e1"/>
    <s v="FIDC GREEN ANG√Å-SOLF√ÅCIL"/>
    <x v="3"/>
    <x v="9"/>
    <s v="Unspecified"/>
    <s v="FIDC GREEN ANG√Å-SOLF√ÅCIL"/>
    <s v="Brazil"/>
    <d v="2021-08-31T00:00:00"/>
    <d v="2021-08-31T00:00:00"/>
    <s v="BRL"/>
    <n v="400000000"/>
    <n v="400000000"/>
    <s v="BRL"/>
    <n v="400000000"/>
    <n v="77555000"/>
    <b v="0"/>
    <n v="1"/>
  </r>
  <r>
    <b v="1"/>
    <x v="0"/>
    <x v="0"/>
    <x v="2"/>
    <x v="0"/>
    <x v="1"/>
    <x v="46"/>
    <n v="0"/>
    <x v="0"/>
    <s v="43da939a64e7473388d28a08a74f1490"/>
    <s v="Primera Emisi√≥n Bono Verde Banco de Bogot√°"/>
    <x v="0"/>
    <x v="7"/>
    <s v="Urban Development"/>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1"/>
    <x v="4"/>
    <s v="Products"/>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0"/>
    <x v="0"/>
    <s v="Wind"/>
    <s v="Project 14 Wind Energy"/>
    <s v="Nicaragua"/>
    <d v="2020-09-30T00:00:00"/>
    <d v="2015-09-08T00:00:00"/>
    <s v="COP"/>
    <n v="15832804089"/>
    <n v="15832804089"/>
    <s v="COP"/>
    <n v="15832804089"/>
    <n v="18000000"/>
    <b v="1"/>
    <n v="0.15"/>
  </r>
  <r>
    <b v="1"/>
    <x v="0"/>
    <x v="0"/>
    <x v="2"/>
    <x v="0"/>
    <x v="1"/>
    <x v="46"/>
    <n v="0"/>
    <x v="0"/>
    <s v="43da939a64e7473388d28a08a74f1490"/>
    <s v="Primera Emisi√≥n Bono Verde Banco de Bogot√°"/>
    <x v="1"/>
    <x v="1"/>
    <s v="Generation"/>
    <s v="Project 14 Wind Energy"/>
    <s v="Nicaragua"/>
    <d v="2020-09-30T00:00:00"/>
    <d v="2015-09-08T00:00:00"/>
    <s v="COP"/>
    <n v="15832804089"/>
    <n v="15832804089"/>
    <s v="COP"/>
    <n v="15832804089"/>
    <n v="18000000"/>
    <b v="1"/>
    <n v="0.15"/>
  </r>
  <r>
    <b v="1"/>
    <x v="0"/>
    <x v="2"/>
    <x v="0"/>
    <x v="0"/>
    <x v="3"/>
    <x v="53"/>
    <s v="BBG00ZDQTSP0"/>
    <x v="25"/>
    <s v="8924efd445c0450a816e678627f70b60"/>
    <s v="Sustainable Bond ON C6"/>
    <x v="0"/>
    <x v="7"/>
    <s v="Commercial"/>
    <s v="Sustainability Bond ON C6 (SVS) Green"/>
    <s v="Argentina"/>
    <d v="2021-02-17T00:00:00"/>
    <m/>
    <s v="UVA"/>
    <n v="1800000000"/>
    <m/>
    <s v="UVA"/>
    <m/>
    <m/>
    <b v="0"/>
    <n v="0.5"/>
  </r>
  <r>
    <b v="1"/>
    <x v="0"/>
    <x v="2"/>
    <x v="0"/>
    <x v="0"/>
    <x v="3"/>
    <x v="53"/>
    <s v="BBG00ZDQTSP0"/>
    <x v="25"/>
    <s v="8924efd445c0450a816e678627f70b60"/>
    <s v="Sustainable Bond ON C6"/>
    <x v="1"/>
    <x v="8"/>
    <s v="Commercial"/>
    <s v="Sustainability Bond ON C6 (SVS) Green"/>
    <s v="Argentina"/>
    <d v="2021-02-17T00:00:00"/>
    <m/>
    <s v="UVA"/>
    <n v="1800000000"/>
    <m/>
    <s v="UVA"/>
    <m/>
    <m/>
    <b v="0"/>
    <n v="0.5"/>
  </r>
  <r>
    <b v="1"/>
    <x v="0"/>
    <x v="2"/>
    <x v="0"/>
    <x v="0"/>
    <x v="3"/>
    <x v="53"/>
    <s v="BBG00ZDQTSP0"/>
    <x v="25"/>
    <s v="8924efd445c0450a816e678627f70b60"/>
    <s v="Sustainable Bond ON C6"/>
    <x v="0"/>
    <x v="14"/>
    <s v="General"/>
    <s v="Sustainability Bond ON C6 (SVS) Social"/>
    <s v="Argentina"/>
    <d v="2021-02-17T00:00:00"/>
    <m/>
    <s v="UVA"/>
    <n v="1800000000"/>
    <m/>
    <s v="UVA"/>
    <m/>
    <m/>
    <b v="0"/>
    <n v="0.5"/>
  </r>
  <r>
    <b v="1"/>
    <x v="0"/>
    <x v="2"/>
    <x v="0"/>
    <x v="0"/>
    <x v="3"/>
    <x v="53"/>
    <s v="BBG00ZDQTSP0"/>
    <x v="25"/>
    <s v="8924efd445c0450a816e678627f70b60"/>
    <s v="Sustainable Bond ON C6"/>
    <x v="1"/>
    <x v="14"/>
    <s v="General"/>
    <s v="Sustainability Bond ON C6 (SVS) Social"/>
    <s v="Argentina"/>
    <d v="2021-02-17T00:00:00"/>
    <m/>
    <s v="UVA"/>
    <n v="1800000000"/>
    <m/>
    <s v="UVA"/>
    <m/>
    <m/>
    <b v="0"/>
    <n v="0.5"/>
  </r>
  <r>
    <b v="1"/>
    <x v="0"/>
    <x v="0"/>
    <x v="0"/>
    <x v="0"/>
    <x v="0"/>
    <x v="54"/>
    <n v="0"/>
    <x v="0"/>
    <s v="7d5a909c5f244b7da7c3fab618115955"/>
    <s v="CRI MAGIK"/>
    <x v="0"/>
    <x v="7"/>
    <s v="Residential"/>
    <s v="Bem Viver Design"/>
    <s v="Brazil"/>
    <d v="2021-05-12T00:00:00"/>
    <d v="2021-05-12T00:00:00"/>
    <s v="BRL"/>
    <n v="1666667"/>
    <n v="1666666.66"/>
    <s v="BRL"/>
    <n v="1666666.66"/>
    <n v="310730"/>
    <b v="0"/>
    <n v="0.14000000000000001"/>
  </r>
  <r>
    <b v="1"/>
    <x v="0"/>
    <x v="0"/>
    <x v="0"/>
    <x v="0"/>
    <x v="0"/>
    <x v="54"/>
    <n v="0"/>
    <x v="0"/>
    <s v="7d5a909c5f244b7da7c3fab618115955"/>
    <s v="CRI MAGIK"/>
    <x v="1"/>
    <x v="8"/>
    <s v="Residential"/>
    <s v="Bem Viver Design"/>
    <s v="Brazil"/>
    <d v="2021-05-12T00:00:00"/>
    <d v="2021-05-12T00:00:00"/>
    <s v="BRL"/>
    <n v="1666667"/>
    <n v="1666666.66"/>
    <s v="BRL"/>
    <n v="1666666.66"/>
    <n v="310730"/>
    <b v="0"/>
    <n v="0.14000000000000001"/>
  </r>
  <r>
    <b v="1"/>
    <x v="0"/>
    <x v="0"/>
    <x v="0"/>
    <x v="0"/>
    <x v="0"/>
    <x v="54"/>
    <n v="0"/>
    <x v="0"/>
    <s v="7d5a909c5f244b7da7c3fab618115955"/>
    <s v="CRI MAGIK"/>
    <x v="0"/>
    <x v="7"/>
    <s v="Residential"/>
    <s v="Bem Santa Cec√≠lia(Fortunato)"/>
    <s v="Brazil"/>
    <d v="2021-05-12T00:00:00"/>
    <d v="2021-05-12T00:00:00"/>
    <s v="BRL"/>
    <n v="1666666.66"/>
    <n v="1666666.66"/>
    <s v="BRL"/>
    <n v="1666666.66"/>
    <n v="310730"/>
    <b v="0"/>
    <n v="0.11"/>
  </r>
  <r>
    <b v="1"/>
    <x v="0"/>
    <x v="0"/>
    <x v="0"/>
    <x v="0"/>
    <x v="0"/>
    <x v="54"/>
    <n v="0"/>
    <x v="0"/>
    <s v="7d5a909c5f244b7da7c3fab618115955"/>
    <s v="CRI MAGIK"/>
    <x v="1"/>
    <x v="8"/>
    <s v="Residential"/>
    <s v="Bem Santa Cec√≠lia(Fortunato)"/>
    <s v="Brazil"/>
    <d v="2021-05-12T00:00:00"/>
    <d v="2021-05-12T00:00:00"/>
    <s v="BRL"/>
    <n v="1666666.66"/>
    <n v="1666666.66"/>
    <s v="BRL"/>
    <n v="1666666.66"/>
    <n v="310730"/>
    <b v="0"/>
    <n v="0.11"/>
  </r>
  <r>
    <b v="1"/>
    <x v="0"/>
    <x v="0"/>
    <x v="0"/>
    <x v="0"/>
    <x v="0"/>
    <x v="54"/>
    <n v="0"/>
    <x v="0"/>
    <s v="7d5a909c5f244b7da7c3fab618115955"/>
    <s v="CRI MAGIK"/>
    <x v="0"/>
    <x v="7"/>
    <s v="Residential"/>
    <s v="Bem Viver Ces√°rio Mota"/>
    <s v="Brazil"/>
    <d v="2021-05-12T00:00:00"/>
    <d v="2021-05-12T00:00:00"/>
    <s v="BRL"/>
    <n v="1666666.66"/>
    <n v="1666666.66"/>
    <s v="BRL"/>
    <n v="1666666.66"/>
    <n v="310730"/>
    <b v="0"/>
    <n v="0.1"/>
  </r>
  <r>
    <b v="1"/>
    <x v="0"/>
    <x v="0"/>
    <x v="0"/>
    <x v="0"/>
    <x v="0"/>
    <x v="54"/>
    <n v="0"/>
    <x v="0"/>
    <s v="7d5a909c5f244b7da7c3fab618115955"/>
    <s v="CRI MAGIK"/>
    <x v="1"/>
    <x v="8"/>
    <s v="Residential"/>
    <s v="Bem Viver Ces√°rio Mota"/>
    <s v="Brazil"/>
    <d v="2021-05-12T00:00:00"/>
    <d v="2021-05-12T00:00:00"/>
    <s v="BRL"/>
    <n v="1666666.66"/>
    <n v="1666666.66"/>
    <s v="BRL"/>
    <n v="1666666.66"/>
    <n v="310730"/>
    <b v="0"/>
    <n v="0.1"/>
  </r>
  <r>
    <b v="1"/>
    <x v="0"/>
    <x v="0"/>
    <x v="2"/>
    <x v="0"/>
    <x v="1"/>
    <x v="36"/>
    <s v="BBG00HPK5N13"/>
    <x v="0"/>
    <s v="7d27df26e2924c4d9fcf8ba0c0d9d684"/>
    <s v="Klabin 2027"/>
    <x v="0"/>
    <x v="0"/>
    <s v="Hydro"/>
    <s v="Hydrogen pipe exchange"/>
    <s v="Brazil"/>
    <d v="2020-01-01T00:00:00"/>
    <d v="2020-01-01T00:00:00"/>
    <s v="BRL"/>
    <n v="3366"/>
    <n v="3366"/>
    <s v="USD"/>
    <n v="684000"/>
    <n v="684000"/>
    <b v="0"/>
    <n v="1"/>
  </r>
  <r>
    <b v="1"/>
    <x v="0"/>
    <x v="0"/>
    <x v="2"/>
    <x v="0"/>
    <x v="1"/>
    <x v="36"/>
    <s v="BBG00HPK5N13"/>
    <x v="0"/>
    <s v="7d27df26e2924c4d9fcf8ba0c0d9d684"/>
    <s v="Klabin 2027"/>
    <x v="1"/>
    <x v="1"/>
    <s v="Transmission"/>
    <s v="Hydrogen pipe exchange"/>
    <s v="Brazil"/>
    <d v="2020-01-01T00:00:00"/>
    <d v="2020-01-01T00:00:00"/>
    <s v="BRL"/>
    <n v="3366"/>
    <n v="3366"/>
    <s v="USD"/>
    <n v="684000"/>
    <n v="684000"/>
    <b v="0"/>
    <n v="1"/>
  </r>
  <r>
    <b v="1"/>
    <x v="0"/>
    <x v="0"/>
    <x v="2"/>
    <x v="0"/>
    <x v="1"/>
    <x v="36"/>
    <s v="BBG00HPK5N13"/>
    <x v="0"/>
    <s v="7d27df26e2924c4d9fcf8ba0c0d9d684"/>
    <s v="Klabin 2027"/>
    <x v="0"/>
    <x v="2"/>
    <s v="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0"/>
    <x v="2"/>
    <s v="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0"/>
    <x v="2"/>
    <s v="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0"/>
    <x v="2"/>
    <s v="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1"/>
    <x v="3"/>
    <s v="Wastewater 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1"/>
    <x v="3"/>
    <s v="Wastewater 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0"/>
    <x v="2"/>
    <s v="Treatment"/>
    <s v="Improvements in wastewater treatment"/>
    <s v="Brazil"/>
    <d v="2021-01-01T00:00:00"/>
    <d v="2021-01-01T00:00:00"/>
    <s v="BRL"/>
    <n v="1926000"/>
    <n v="1926000"/>
    <s v="USD"/>
    <n v="357000"/>
    <n v="357000"/>
    <b v="0"/>
    <n v="1"/>
  </r>
  <r>
    <b v="1"/>
    <x v="0"/>
    <x v="0"/>
    <x v="2"/>
    <x v="0"/>
    <x v="1"/>
    <x v="36"/>
    <s v="BBG00HPK5N13"/>
    <x v="0"/>
    <s v="7d27df26e2924c4d9fcf8ba0c0d9d684"/>
    <s v="Klabin 2027"/>
    <x v="0"/>
    <x v="2"/>
    <s v="Treatment"/>
    <s v="Improvements in wastewater treatment"/>
    <s v="Brazil"/>
    <d v="2020-07-01T00:00:00"/>
    <d v="2020-07-01T00:00:00"/>
    <s v="BRL"/>
    <n v="1594000"/>
    <n v="1594000"/>
    <s v="USD"/>
    <n v="293000"/>
    <n v="293000"/>
    <b v="0"/>
    <n v="1"/>
  </r>
  <r>
    <b v="1"/>
    <x v="0"/>
    <x v="0"/>
    <x v="2"/>
    <x v="0"/>
    <x v="1"/>
    <x v="36"/>
    <s v="BBG00HPK5N13"/>
    <x v="0"/>
    <s v="7d27df26e2924c4d9fcf8ba0c0d9d684"/>
    <s v="Klabin 2027"/>
    <x v="1"/>
    <x v="3"/>
    <s v="Wastewater treatment"/>
    <s v="Improvements in wastewater treatment"/>
    <s v="Brazil"/>
    <d v="2021-01-01T00:00:00"/>
    <d v="2021-01-01T00:00:00"/>
    <s v="BRL"/>
    <n v="1926000"/>
    <n v="1926000"/>
    <s v="USD"/>
    <n v="357000"/>
    <n v="357000"/>
    <b v="0"/>
    <n v="1"/>
  </r>
  <r>
    <b v="1"/>
    <x v="0"/>
    <x v="0"/>
    <x v="2"/>
    <x v="0"/>
    <x v="1"/>
    <x v="36"/>
    <s v="BBG00HPK5N13"/>
    <x v="0"/>
    <s v="7d27df26e2924c4d9fcf8ba0c0d9d684"/>
    <s v="Klabin 2027"/>
    <x v="1"/>
    <x v="3"/>
    <s v="Wastewater treatment"/>
    <s v="Improvements in wastewater treatment"/>
    <s v="Brazil"/>
    <d v="2020-07-01T00:00:00"/>
    <d v="2020-07-01T00:00:00"/>
    <s v="BRL"/>
    <n v="1594000"/>
    <n v="1594000"/>
    <s v="USD"/>
    <n v="293000"/>
    <n v="293000"/>
    <b v="0"/>
    <n v="1"/>
  </r>
  <r>
    <b v="1"/>
    <x v="0"/>
    <x v="0"/>
    <x v="2"/>
    <x v="0"/>
    <x v="1"/>
    <x v="36"/>
    <s v="BBG00HPK5N13"/>
    <x v="0"/>
    <s v="7d27df26e2924c4d9fcf8ba0c0d9d684"/>
    <s v="Klabin 2027"/>
    <x v="0"/>
    <x v="7"/>
    <s v="Products &amp; Systems for Efficiency"/>
    <s v="Improvements on the Power Boiler Biomass Silos"/>
    <s v="Brazil"/>
    <d v="2019-01-01T00:00:00"/>
    <d v="2019-01-01T00:00:00"/>
    <s v="BRL"/>
    <n v="1749680"/>
    <n v="1749680"/>
    <s v="USD"/>
    <n v="454950"/>
    <n v="454950"/>
    <b v="0"/>
    <n v="1"/>
  </r>
  <r>
    <b v="1"/>
    <x v="0"/>
    <x v="0"/>
    <x v="2"/>
    <x v="0"/>
    <x v="1"/>
    <x v="36"/>
    <s v="BBG00HPK5N13"/>
    <x v="0"/>
    <s v="7d27df26e2924c4d9fcf8ba0c0d9d684"/>
    <s v="Klabin 2027"/>
    <x v="1"/>
    <x v="4"/>
    <s v="Appliances"/>
    <s v="Improvements on the Power Boiler Biomass Silos"/>
    <s v="Brazil"/>
    <d v="2019-01-01T00:00:00"/>
    <d v="2019-01-01T00:00:00"/>
    <s v="BRL"/>
    <n v="1749680"/>
    <n v="1749680"/>
    <s v="USD"/>
    <n v="454950"/>
    <n v="454950"/>
    <b v="0"/>
    <n v="1"/>
  </r>
  <r>
    <b v="1"/>
    <x v="0"/>
    <x v="0"/>
    <x v="2"/>
    <x v="0"/>
    <x v="1"/>
    <x v="21"/>
    <s v="BBG00YG422X6"/>
    <x v="6"/>
    <s v="5b9bc195be534adaa28f29ea980225c8"/>
    <s v="ISA CTEEP - 9¬™ Emiss√£o (2¬™ Serie)"/>
    <x v="0"/>
    <x v="0"/>
    <s v="Transmission"/>
    <s v="Piratininga-Bandeirantes Transmissora de Energia S.A. - 9¬∞"/>
    <s v="Brazil"/>
    <d v="2020-12-07T00:00:00"/>
    <d v="2021-12-31T00:00:00"/>
    <s v="BRL"/>
    <n v="365000000"/>
    <n v="281050000"/>
    <s v="BRL"/>
    <n v="281050000"/>
    <n v="55094880"/>
    <b v="0"/>
    <n v="0.02"/>
  </r>
  <r>
    <b v="1"/>
    <x v="0"/>
    <x v="0"/>
    <x v="2"/>
    <x v="0"/>
    <x v="1"/>
    <x v="21"/>
    <s v="BBG00YG422X6"/>
    <x v="6"/>
    <s v="5b9bc195be534adaa28f29ea980225c8"/>
    <s v="ISA CTEEP - 9¬™ Emiss√£o (2¬™ Serie)"/>
    <x v="1"/>
    <x v="1"/>
    <s v="Transmission"/>
    <s v="Piratininga-Bandeirantes Transmissora de Energia S.A. - 9¬∞"/>
    <s v="Brazil"/>
    <d v="2020-12-07T00:00:00"/>
    <d v="2021-12-31T00:00:00"/>
    <s v="BRL"/>
    <n v="365000000"/>
    <n v="281050000"/>
    <s v="BRL"/>
    <n v="281050000"/>
    <n v="55094880"/>
    <b v="0"/>
    <n v="0.02"/>
  </r>
  <r>
    <b v="1"/>
    <x v="0"/>
    <x v="0"/>
    <x v="2"/>
    <x v="0"/>
    <x v="1"/>
    <x v="36"/>
    <s v="BBG00HPK5N13"/>
    <x v="0"/>
    <s v="7d27df26e2924c4d9fcf8ba0c0d9d684"/>
    <s v="Klabin 2027"/>
    <x v="0"/>
    <x v="0"/>
    <s v="Grid"/>
    <s v="Basic Power Network and transmission lines"/>
    <s v="Brazil"/>
    <d v="2017-06-01T00:00:00"/>
    <d v="2017-06-01T00:00:00"/>
    <s v="BRL"/>
    <n v="547050"/>
    <n v="547050"/>
    <s v="USD"/>
    <n v="171355"/>
    <n v="171355"/>
    <b v="1"/>
    <n v="1"/>
  </r>
  <r>
    <b v="1"/>
    <x v="0"/>
    <x v="0"/>
    <x v="2"/>
    <x v="0"/>
    <x v="1"/>
    <x v="36"/>
    <s v="BBG00HPK5N13"/>
    <x v="0"/>
    <s v="7d27df26e2924c4d9fcf8ba0c0d9d684"/>
    <s v="Klabin 2027"/>
    <x v="0"/>
    <x v="0"/>
    <s v="Grid"/>
    <s v="Basic Power Network and transmission lines"/>
    <s v="Brazil"/>
    <d v="2016-06-01T00:00:00"/>
    <d v="2016-06-01T00:00:00"/>
    <s v="BRL"/>
    <n v="1542300"/>
    <n v="1542300"/>
    <s v="USD"/>
    <n v="442770"/>
    <n v="442770"/>
    <b v="1"/>
    <n v="1"/>
  </r>
  <r>
    <b v="1"/>
    <x v="0"/>
    <x v="0"/>
    <x v="2"/>
    <x v="0"/>
    <x v="1"/>
    <x v="36"/>
    <s v="BBG00HPK5N13"/>
    <x v="0"/>
    <s v="7d27df26e2924c4d9fcf8ba0c0d9d684"/>
    <s v="Klabin 2027"/>
    <x v="0"/>
    <x v="0"/>
    <s v="Grid"/>
    <s v="Basic Power Network and transmission lines"/>
    <s v="Brazil"/>
    <d v="2015-09-01T00:00:00"/>
    <d v="2015-09-01T00:00:00"/>
    <s v="BRL"/>
    <n v="1647300"/>
    <n v="1647300"/>
    <s v="USD"/>
    <n v="493396"/>
    <n v="493396"/>
    <b v="1"/>
    <n v="1"/>
  </r>
  <r>
    <b v="1"/>
    <x v="0"/>
    <x v="0"/>
    <x v="2"/>
    <x v="0"/>
    <x v="1"/>
    <x v="36"/>
    <s v="BBG00HPK5N13"/>
    <x v="0"/>
    <s v="7d27df26e2924c4d9fcf8ba0c0d9d684"/>
    <s v="Klabin 2027"/>
    <x v="1"/>
    <x v="1"/>
    <s v="Transmission"/>
    <s v="Basic Power Network and transmission lines"/>
    <s v="Brazil"/>
    <d v="2017-06-01T00:00:00"/>
    <d v="2017-06-01T00:00:00"/>
    <s v="BRL"/>
    <n v="547050"/>
    <n v="547050"/>
    <s v="USD"/>
    <n v="171355"/>
    <n v="171355"/>
    <b v="1"/>
    <n v="1"/>
  </r>
  <r>
    <b v="1"/>
    <x v="0"/>
    <x v="0"/>
    <x v="2"/>
    <x v="0"/>
    <x v="1"/>
    <x v="36"/>
    <s v="BBG00HPK5N13"/>
    <x v="0"/>
    <s v="7d27df26e2924c4d9fcf8ba0c0d9d684"/>
    <s v="Klabin 2027"/>
    <x v="1"/>
    <x v="1"/>
    <s v="Transmission"/>
    <s v="Basic Power Network and transmission lines"/>
    <s v="Brazil"/>
    <d v="2016-06-01T00:00:00"/>
    <d v="2016-06-01T00:00:00"/>
    <s v="BRL"/>
    <n v="1542300"/>
    <n v="1542300"/>
    <s v="USD"/>
    <n v="442770"/>
    <n v="442770"/>
    <b v="1"/>
    <n v="1"/>
  </r>
  <r>
    <b v="1"/>
    <x v="0"/>
    <x v="0"/>
    <x v="2"/>
    <x v="0"/>
    <x v="1"/>
    <x v="36"/>
    <s v="BBG00HPK5N13"/>
    <x v="0"/>
    <s v="7d27df26e2924c4d9fcf8ba0c0d9d684"/>
    <s v="Klabin 2027"/>
    <x v="1"/>
    <x v="1"/>
    <s v="Transmission"/>
    <s v="Basic Power Network and transmission lines"/>
    <s v="Brazil"/>
    <d v="2015-09-01T00:00:00"/>
    <d v="2015-09-01T00:00:00"/>
    <s v="BRL"/>
    <n v="1647300"/>
    <n v="1647300"/>
    <s v="USD"/>
    <n v="493396"/>
    <n v="493396"/>
    <b v="1"/>
    <n v="1"/>
  </r>
  <r>
    <b v="1"/>
    <x v="0"/>
    <x v="0"/>
    <x v="2"/>
    <x v="0"/>
    <x v="1"/>
    <x v="36"/>
    <s v="BBG00HPK5N13"/>
    <x v="0"/>
    <s v="7d27df26e2924c4d9fcf8ba0c0d9d684"/>
    <s v="Klabin 2027"/>
    <x v="0"/>
    <x v="10"/>
    <s v="Ecosystem Conservation &amp; Restoration"/>
    <s v="Biodiversity Monitoring Program"/>
    <s v="Brazil"/>
    <d v="2021-01-01T00:00:00"/>
    <d v="2021-01-01T00:00:00"/>
    <s v="BRL"/>
    <n v="468000"/>
    <n v="468000"/>
    <s v="USD"/>
    <n v="87000"/>
    <n v="87000"/>
    <b v="0"/>
    <n v="1"/>
  </r>
  <r>
    <b v="1"/>
    <x v="0"/>
    <x v="0"/>
    <x v="2"/>
    <x v="0"/>
    <x v="1"/>
    <x v="36"/>
    <s v="BBG00HPK5N13"/>
    <x v="0"/>
    <s v="7d27df26e2924c4d9fcf8ba0c0d9d684"/>
    <s v="Klabin 2027"/>
    <x v="0"/>
    <x v="10"/>
    <s v="Ecosystem Conservation &amp; Restoration"/>
    <s v="Biodiversity Monitoring Program"/>
    <s v="Brazil"/>
    <d v="2020-07-01T00:00:00"/>
    <d v="2020-07-01T00:00:00"/>
    <s v="BRL"/>
    <n v="615000"/>
    <n v="615000"/>
    <s v="USD"/>
    <n v="113000"/>
    <n v="113000"/>
    <b v="0"/>
    <n v="1"/>
  </r>
  <r>
    <b v="1"/>
    <x v="0"/>
    <x v="0"/>
    <x v="2"/>
    <x v="0"/>
    <x v="1"/>
    <x v="36"/>
    <s v="BBG00HPK5N13"/>
    <x v="0"/>
    <s v="7d27df26e2924c4d9fcf8ba0c0d9d684"/>
    <s v="Klabin 2027"/>
    <x v="0"/>
    <x v="10"/>
    <s v="Ecosystem Conservation &amp; Restoration"/>
    <s v="Biodiversity Monitoring Program"/>
    <s v="Brazil"/>
    <d v="2020-01-01T00:00:00"/>
    <d v="2020-01-01T00:00:00"/>
    <s v="BRL"/>
    <n v="48000"/>
    <n v="48000"/>
    <s v="USD"/>
    <n v="10000"/>
    <n v="10000"/>
    <b v="0"/>
    <n v="1"/>
  </r>
  <r>
    <b v="1"/>
    <x v="0"/>
    <x v="0"/>
    <x v="2"/>
    <x v="0"/>
    <x v="1"/>
    <x v="36"/>
    <s v="BBG00HPK5N13"/>
    <x v="0"/>
    <s v="7d27df26e2924c4d9fcf8ba0c0d9d684"/>
    <s v="Klabin 2027"/>
    <x v="0"/>
    <x v="10"/>
    <s v="Ecosystem Conservation &amp; Restoration"/>
    <s v="Biodiversity Monitoring Program"/>
    <s v="Brazil"/>
    <d v="2019-07-01T00:00:00"/>
    <d v="2019-07-01T00:00:00"/>
    <s v="BRL"/>
    <n v="377000"/>
    <n v="377000"/>
    <s v="USD"/>
    <n v="93000"/>
    <n v="93000"/>
    <b v="0"/>
    <n v="1"/>
  </r>
  <r>
    <b v="1"/>
    <x v="0"/>
    <x v="0"/>
    <x v="2"/>
    <x v="0"/>
    <x v="1"/>
    <x v="36"/>
    <s v="BBG00HPK5N13"/>
    <x v="0"/>
    <s v="7d27df26e2924c4d9fcf8ba0c0d9d684"/>
    <s v="Klabin 2027"/>
    <x v="0"/>
    <x v="10"/>
    <s v="Ecosystem Conservation &amp; Restoration"/>
    <s v="Biodiversity Monitoring Program"/>
    <s v="Brazil"/>
    <d v="2019-01-01T00:00:00"/>
    <d v="2019-01-01T00:00:00"/>
    <s v="BRL"/>
    <n v="51950"/>
    <n v="51950"/>
    <s v="USD"/>
    <n v="13510"/>
    <n v="13510"/>
    <b v="0"/>
    <n v="1"/>
  </r>
  <r>
    <b v="1"/>
    <x v="0"/>
    <x v="0"/>
    <x v="2"/>
    <x v="0"/>
    <x v="1"/>
    <x v="36"/>
    <s v="BBG00HPK5N13"/>
    <x v="0"/>
    <s v="7d27df26e2924c4d9fcf8ba0c0d9d684"/>
    <s v="Klabin 2027"/>
    <x v="1"/>
    <x v="11"/>
    <s v="Natural landscapes"/>
    <s v="Biodiversity Monitoring Program"/>
    <s v="Brazil"/>
    <d v="2021-01-01T00:00:00"/>
    <d v="2021-01-01T00:00:00"/>
    <s v="BRL"/>
    <n v="468000"/>
    <n v="468000"/>
    <s v="USD"/>
    <n v="87000"/>
    <n v="87000"/>
    <b v="0"/>
    <n v="1"/>
  </r>
  <r>
    <b v="1"/>
    <x v="0"/>
    <x v="0"/>
    <x v="2"/>
    <x v="0"/>
    <x v="1"/>
    <x v="36"/>
    <s v="BBG00HPK5N13"/>
    <x v="0"/>
    <s v="7d27df26e2924c4d9fcf8ba0c0d9d684"/>
    <s v="Klabin 2027"/>
    <x v="1"/>
    <x v="11"/>
    <s v="Natural landscapes"/>
    <s v="Biodiversity Monitoring Program"/>
    <s v="Brazil"/>
    <d v="2020-07-01T00:00:00"/>
    <d v="2020-07-01T00:00:00"/>
    <s v="BRL"/>
    <n v="615000"/>
    <n v="615000"/>
    <s v="USD"/>
    <n v="113000"/>
    <n v="113000"/>
    <b v="0"/>
    <n v="1"/>
  </r>
  <r>
    <b v="1"/>
    <x v="0"/>
    <x v="0"/>
    <x v="2"/>
    <x v="0"/>
    <x v="1"/>
    <x v="36"/>
    <s v="BBG00HPK5N13"/>
    <x v="0"/>
    <s v="7d27df26e2924c4d9fcf8ba0c0d9d684"/>
    <s v="Klabin 2027"/>
    <x v="1"/>
    <x v="11"/>
    <s v="Natural landscapes"/>
    <s v="Biodiversity Monitoring Program"/>
    <s v="Brazil"/>
    <d v="2020-01-01T00:00:00"/>
    <d v="2020-01-01T00:00:00"/>
    <s v="BRL"/>
    <n v="48000"/>
    <n v="48000"/>
    <s v="USD"/>
    <n v="10000"/>
    <n v="10000"/>
    <b v="0"/>
    <n v="1"/>
  </r>
  <r>
    <b v="1"/>
    <x v="0"/>
    <x v="0"/>
    <x v="2"/>
    <x v="0"/>
    <x v="1"/>
    <x v="36"/>
    <s v="BBG00HPK5N13"/>
    <x v="0"/>
    <s v="7d27df26e2924c4d9fcf8ba0c0d9d684"/>
    <s v="Klabin 2027"/>
    <x v="1"/>
    <x v="11"/>
    <s v="Natural landscapes"/>
    <s v="Biodiversity Monitoring Program"/>
    <s v="Brazil"/>
    <d v="2019-07-01T00:00:00"/>
    <d v="2019-07-01T00:00:00"/>
    <s v="BRL"/>
    <n v="377000"/>
    <n v="377000"/>
    <s v="USD"/>
    <n v="93000"/>
    <n v="93000"/>
    <b v="0"/>
    <n v="1"/>
  </r>
  <r>
    <b v="1"/>
    <x v="0"/>
    <x v="0"/>
    <x v="2"/>
    <x v="0"/>
    <x v="1"/>
    <x v="36"/>
    <s v="BBG00HPK5N13"/>
    <x v="0"/>
    <s v="7d27df26e2924c4d9fcf8ba0c0d9d684"/>
    <s v="Klabin 2027"/>
    <x v="1"/>
    <x v="11"/>
    <s v="Natural landscapes"/>
    <s v="Biodiversity Monitoring Program"/>
    <s v="Brazil"/>
    <d v="2019-01-01T00:00:00"/>
    <d v="2019-01-01T00:00:00"/>
    <s v="BRL"/>
    <n v="51950"/>
    <n v="51950"/>
    <s v="USD"/>
    <n v="13510"/>
    <n v="13510"/>
    <b v="0"/>
    <n v="1"/>
  </r>
  <r>
    <b v="1"/>
    <x v="0"/>
    <x v="0"/>
    <x v="2"/>
    <x v="0"/>
    <x v="1"/>
    <x v="36"/>
    <s v="BBG00HPK5N13"/>
    <x v="0"/>
    <s v="7d27df26e2924c4d9fcf8ba0c0d9d684"/>
    <s v="Klabin 2027"/>
    <x v="0"/>
    <x v="0"/>
    <s v="Bioenergy"/>
    <s v="Biomass boiler and maintenance"/>
    <s v="Brazil"/>
    <d v="2021-01-01T00:00:00"/>
    <d v="2021-01-01T00:00:00"/>
    <s v="BRL"/>
    <n v="1036000"/>
    <n v="1036000"/>
    <s v="USD"/>
    <n v="192000"/>
    <n v="192000"/>
    <b v="0"/>
    <n v="1"/>
  </r>
  <r>
    <b v="1"/>
    <x v="0"/>
    <x v="0"/>
    <x v="2"/>
    <x v="0"/>
    <x v="1"/>
    <x v="36"/>
    <s v="BBG00HPK5N13"/>
    <x v="0"/>
    <s v="7d27df26e2924c4d9fcf8ba0c0d9d684"/>
    <s v="Klabin 2027"/>
    <x v="0"/>
    <x v="0"/>
    <s v="Bioenergy"/>
    <s v="Biomass boiler and maintenance"/>
    <s v="Brazil"/>
    <d v="2020-07-01T00:00:00"/>
    <d v="2020-07-01T00:00:00"/>
    <s v="BRL"/>
    <n v="1902000"/>
    <n v="1902000"/>
    <s v="USD"/>
    <n v="350000"/>
    <n v="350000"/>
    <b v="0"/>
    <n v="1"/>
  </r>
  <r>
    <b v="1"/>
    <x v="0"/>
    <x v="0"/>
    <x v="2"/>
    <x v="0"/>
    <x v="1"/>
    <x v="36"/>
    <s v="BBG00HPK5N13"/>
    <x v="0"/>
    <s v="7d27df26e2924c4d9fcf8ba0c0d9d684"/>
    <s v="Klabin 2027"/>
    <x v="1"/>
    <x v="1"/>
    <s v="Products"/>
    <s v="Biomass boiler and maintenance"/>
    <s v="Brazil"/>
    <d v="2021-01-01T00:00:00"/>
    <d v="2021-01-01T00:00:00"/>
    <s v="BRL"/>
    <n v="1036000"/>
    <n v="1036000"/>
    <s v="USD"/>
    <n v="192000"/>
    <n v="192000"/>
    <b v="0"/>
    <n v="1"/>
  </r>
  <r>
    <b v="1"/>
    <x v="0"/>
    <x v="0"/>
    <x v="2"/>
    <x v="0"/>
    <x v="1"/>
    <x v="36"/>
    <s v="BBG00HPK5N13"/>
    <x v="0"/>
    <s v="7d27df26e2924c4d9fcf8ba0c0d9d684"/>
    <s v="Klabin 2027"/>
    <x v="1"/>
    <x v="1"/>
    <s v="Products"/>
    <s v="Biomass boiler and maintenance"/>
    <s v="Brazil"/>
    <d v="2020-07-01T00:00:00"/>
    <d v="2020-07-01T00:00:00"/>
    <s v="BRL"/>
    <n v="1902000"/>
    <n v="1902000"/>
    <s v="USD"/>
    <n v="350000"/>
    <n v="350000"/>
    <b v="0"/>
    <n v="1"/>
  </r>
  <r>
    <b v="1"/>
    <x v="0"/>
    <x v="0"/>
    <x v="2"/>
    <x v="0"/>
    <x v="1"/>
    <x v="36"/>
    <s v="BBG00HPK5N13"/>
    <x v="0"/>
    <s v="7d27df26e2924c4d9fcf8ba0c0d9d684"/>
    <s v="Klabin 2027"/>
    <x v="0"/>
    <x v="0"/>
    <s v="Bioenergy"/>
    <s v="Burner Flame Efficiency"/>
    <s v="Brazil"/>
    <d v="2021-01-01T00:00:00"/>
    <d v="2021-01-01T00:00:00"/>
    <s v="BRL"/>
    <n v="16000"/>
    <n v="16000"/>
    <s v="USD"/>
    <n v="3000"/>
    <n v="3000"/>
    <b v="0"/>
    <n v="1"/>
  </r>
  <r>
    <b v="1"/>
    <x v="0"/>
    <x v="0"/>
    <x v="2"/>
    <x v="0"/>
    <x v="1"/>
    <x v="36"/>
    <s v="BBG00HPK5N13"/>
    <x v="0"/>
    <s v="7d27df26e2924c4d9fcf8ba0c0d9d684"/>
    <s v="Klabin 2027"/>
    <x v="1"/>
    <x v="4"/>
    <s v="Appliances"/>
    <s v="Burner Flame Efficiency"/>
    <s v="Brazil"/>
    <d v="2021-01-01T00:00:00"/>
    <d v="2021-01-01T00:00:00"/>
    <s v="BRL"/>
    <n v="16000"/>
    <n v="16000"/>
    <s v="USD"/>
    <n v="3000"/>
    <n v="3000"/>
    <b v="0"/>
    <n v="1"/>
  </r>
  <r>
    <b v="1"/>
    <x v="0"/>
    <x v="0"/>
    <x v="2"/>
    <x v="0"/>
    <x v="1"/>
    <x v="36"/>
    <s v="BBG00HPK5N13"/>
    <x v="0"/>
    <s v="7d27df26e2924c4d9fcf8ba0c0d9d684"/>
    <s v="Klabin 2027"/>
    <x v="0"/>
    <x v="10"/>
    <s v="Ecosystem Conservation &amp; Restoration"/>
    <s v="Caiubi Program"/>
    <s v="Brazil"/>
    <d v="2020-07-01T00:00:00"/>
    <d v="2020-07-01T00:00:00"/>
    <s v="BRL"/>
    <n v="154000"/>
    <n v="154000"/>
    <s v="USD"/>
    <n v="28000"/>
    <n v="28000"/>
    <b v="0"/>
    <n v="1"/>
  </r>
  <r>
    <b v="1"/>
    <x v="0"/>
    <x v="0"/>
    <x v="2"/>
    <x v="0"/>
    <x v="1"/>
    <x v="36"/>
    <s v="BBG00HPK5N13"/>
    <x v="0"/>
    <s v="7d27df26e2924c4d9fcf8ba0c0d9d684"/>
    <s v="Klabin 2027"/>
    <x v="0"/>
    <x v="10"/>
    <s v="Ecosystem Conservation &amp; Restoration"/>
    <s v="Caiubi Program"/>
    <s v="Brazil"/>
    <d v="2020-01-01T00:00:00"/>
    <d v="2020-01-01T00:00:00"/>
    <s v="BRL"/>
    <n v="18000"/>
    <n v="18000"/>
    <s v="USD"/>
    <n v="4000"/>
    <n v="4000"/>
    <b v="0"/>
    <n v="1"/>
  </r>
  <r>
    <b v="1"/>
    <x v="0"/>
    <x v="0"/>
    <x v="2"/>
    <x v="0"/>
    <x v="1"/>
    <x v="36"/>
    <s v="BBG00HPK5N13"/>
    <x v="0"/>
    <s v="7d27df26e2924c4d9fcf8ba0c0d9d684"/>
    <s v="Klabin 2027"/>
    <x v="0"/>
    <x v="10"/>
    <s v="Ecosystem Conservation &amp; Restoration"/>
    <s v="Caiubi Program"/>
    <s v="Brazil"/>
    <d v="2019-07-01T00:00:00"/>
    <d v="2019-07-01T00:00:00"/>
    <s v="BRL"/>
    <n v="107000"/>
    <n v="107000"/>
    <s v="USD"/>
    <n v="26000"/>
    <n v="26000"/>
    <b v="0"/>
    <n v="1"/>
  </r>
  <r>
    <b v="1"/>
    <x v="0"/>
    <x v="0"/>
    <x v="2"/>
    <x v="0"/>
    <x v="1"/>
    <x v="36"/>
    <s v="BBG00HPK5N13"/>
    <x v="0"/>
    <s v="7d27df26e2924c4d9fcf8ba0c0d9d684"/>
    <s v="Klabin 2027"/>
    <x v="1"/>
    <x v="11"/>
    <s v="Natural landscapes"/>
    <s v="Caiubi Program"/>
    <s v="Brazil"/>
    <d v="2020-07-01T00:00:00"/>
    <d v="2020-07-01T00:00:00"/>
    <s v="BRL"/>
    <n v="154000"/>
    <n v="154000"/>
    <s v="USD"/>
    <n v="28000"/>
    <n v="28000"/>
    <b v="0"/>
    <n v="1"/>
  </r>
  <r>
    <b v="1"/>
    <x v="0"/>
    <x v="0"/>
    <x v="2"/>
    <x v="0"/>
    <x v="1"/>
    <x v="36"/>
    <s v="BBG00HPK5N13"/>
    <x v="0"/>
    <s v="7d27df26e2924c4d9fcf8ba0c0d9d684"/>
    <s v="Klabin 2027"/>
    <x v="1"/>
    <x v="11"/>
    <s v="Natural landscapes"/>
    <s v="Caiubi Program"/>
    <s v="Brazil"/>
    <d v="2020-01-01T00:00:00"/>
    <d v="2020-01-01T00:00:00"/>
    <s v="BRL"/>
    <n v="18000"/>
    <n v="18000"/>
    <s v="USD"/>
    <n v="4000"/>
    <n v="4000"/>
    <b v="0"/>
    <n v="1"/>
  </r>
  <r>
    <b v="1"/>
    <x v="0"/>
    <x v="0"/>
    <x v="2"/>
    <x v="0"/>
    <x v="1"/>
    <x v="36"/>
    <s v="BBG00HPK5N13"/>
    <x v="0"/>
    <s v="7d27df26e2924c4d9fcf8ba0c0d9d684"/>
    <s v="Klabin 2027"/>
    <x v="1"/>
    <x v="11"/>
    <s v="Natural landscapes"/>
    <s v="Caiubi Program"/>
    <s v="Brazil"/>
    <d v="2019-07-01T00:00:00"/>
    <d v="2019-07-01T00:00:00"/>
    <s v="BRL"/>
    <n v="107000"/>
    <n v="107000"/>
    <s v="USD"/>
    <n v="26000"/>
    <n v="26000"/>
    <b v="0"/>
    <n v="1"/>
  </r>
  <r>
    <e v="#N/A"/>
    <x v="1"/>
    <x v="1"/>
    <x v="3"/>
    <x v="1"/>
    <x v="2"/>
    <x v="10"/>
    <e v="#N/A"/>
    <x v="2"/>
    <s v="e13fb411d38e445aa8115a546717c6ce"/>
    <s v="Green Bond CMPC 2019"/>
    <x v="0"/>
    <x v="2"/>
    <s v="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0"/>
    <x v="2"/>
    <s v="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1"/>
    <x v="3"/>
    <s v="Wastewater 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1"/>
    <x v="3"/>
    <s v="Wastewater 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0"/>
    <x v="10"/>
    <s v="Ecosystem Conservation &amp; Restor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0"/>
    <x v="10"/>
    <s v="Ecosystem Conservation &amp; Restoration"/>
    <s v="Restoration of Native Forests and Conservation of Biodiversity"/>
    <s v="Chile"/>
    <d v="2019-05-17T00:00:00"/>
    <d v="2020-12-31T00:00:00"/>
    <s v="USD"/>
    <n v="715507"/>
    <n v="715507"/>
    <s v="CLF"/>
    <n v="26"/>
    <n v="715507"/>
    <b v="0"/>
    <n v="1"/>
  </r>
  <r>
    <e v="#N/A"/>
    <x v="1"/>
    <x v="1"/>
    <x v="3"/>
    <x v="1"/>
    <x v="2"/>
    <x v="10"/>
    <e v="#N/A"/>
    <x v="2"/>
    <s v="e13fb411d38e445aa8115a546717c6ce"/>
    <s v="Green Bond CMPC 2019"/>
    <x v="1"/>
    <x v="11"/>
    <s v="Reforest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1"/>
    <x v="11"/>
    <s v="Reforestation"/>
    <s v="Restoration of Native Forests and Conservation of Biodiversity"/>
    <s v="Chile"/>
    <d v="2019-05-17T00:00:00"/>
    <d v="2020-12-31T00:00:00"/>
    <s v="USD"/>
    <n v="715507"/>
    <n v="715507"/>
    <s v="CLF"/>
    <n v="26"/>
    <n v="715507"/>
    <b v="0"/>
    <n v="1"/>
  </r>
  <r>
    <b v="1"/>
    <x v="0"/>
    <x v="0"/>
    <x v="0"/>
    <x v="0"/>
    <x v="0"/>
    <x v="55"/>
    <n v="0"/>
    <x v="0"/>
    <s v="28100961034e4404b6bfbb0919a87500"/>
    <s v="CRI H2energy"/>
    <x v="0"/>
    <x v="0"/>
    <s v="Solar"/>
    <s v="Usina H2energy SPE BK Brazl√¢ndia"/>
    <s v="Brazil"/>
    <d v="2019-09-23T00:00:00"/>
    <d v="2020-07-31T00:00:00"/>
    <s v="BRL"/>
    <n v="2160100"/>
    <n v="2160100"/>
    <s v="BRL"/>
    <n v="2160100"/>
    <n v="415404"/>
    <b v="0"/>
    <n v="0.68"/>
  </r>
  <r>
    <b v="1"/>
    <x v="0"/>
    <x v="0"/>
    <x v="0"/>
    <x v="0"/>
    <x v="0"/>
    <x v="55"/>
    <n v="0"/>
    <x v="0"/>
    <s v="28100961034e4404b6bfbb0919a87500"/>
    <s v="CRI H2energy"/>
    <x v="1"/>
    <x v="1"/>
    <s v="Generation"/>
    <s v="Usina H2energy SPE BK Brazl√¢ndia"/>
    <s v="Brazil"/>
    <d v="2019-09-23T00:00:00"/>
    <d v="2020-07-31T00:00:00"/>
    <s v="BRL"/>
    <n v="2160100"/>
    <n v="2160100"/>
    <s v="BRL"/>
    <n v="2160100"/>
    <n v="415404"/>
    <b v="0"/>
    <n v="0.68"/>
  </r>
  <r>
    <b v="1"/>
    <x v="0"/>
    <x v="0"/>
    <x v="0"/>
    <x v="0"/>
    <x v="0"/>
    <x v="55"/>
    <n v="0"/>
    <x v="0"/>
    <s v="28100961034e4404b6bfbb0919a87500"/>
    <s v="CRI H2energy"/>
    <x v="2"/>
    <x v="9"/>
    <s v="Unspecified"/>
    <s v="Usina H2energy SPE BK Brazl√¢ndia"/>
    <s v="Brazil"/>
    <d v="2019-09-23T00:00:00"/>
    <d v="2020-07-31T00:00:00"/>
    <s v="BRL"/>
    <n v="2160100"/>
    <n v="2160100"/>
    <s v="BRL"/>
    <n v="2160100"/>
    <n v="415404"/>
    <b v="0"/>
    <n v="0.68"/>
  </r>
  <r>
    <b v="1"/>
    <x v="0"/>
    <x v="0"/>
    <x v="0"/>
    <x v="0"/>
    <x v="0"/>
    <x v="55"/>
    <n v="0"/>
    <x v="0"/>
    <s v="28100961034e4404b6bfbb0919a87500"/>
    <s v="CRI H2energy"/>
    <x v="3"/>
    <x v="9"/>
    <s v="Unspecified"/>
    <s v="Usina H2energy SPE BK Brazl√¢ndia"/>
    <s v="Brazil"/>
    <d v="2019-09-23T00:00:00"/>
    <d v="2020-07-31T00:00:00"/>
    <s v="BRL"/>
    <n v="2160100"/>
    <n v="2160100"/>
    <s v="BRL"/>
    <n v="2160100"/>
    <n v="415404"/>
    <b v="0"/>
    <n v="0.68"/>
  </r>
  <r>
    <b v="1"/>
    <x v="0"/>
    <x v="0"/>
    <x v="0"/>
    <x v="0"/>
    <x v="0"/>
    <x v="55"/>
    <n v="0"/>
    <x v="0"/>
    <s v="28100961034e4404b6bfbb0919a87500"/>
    <s v="CRI H2energy"/>
    <x v="0"/>
    <x v="0"/>
    <s v="Solar"/>
    <s v="Usina H2energy SPE BK Cajamar"/>
    <s v="Brazil"/>
    <d v="2019-09-23T00:00:00"/>
    <d v="2020-07-31T00:00:00"/>
    <s v="BRL"/>
    <n v="8966833"/>
    <n v="8966833"/>
    <s v="BRL"/>
    <n v="8966833"/>
    <n v="1724390"/>
    <b v="0"/>
    <n v="0.68"/>
  </r>
  <r>
    <b v="1"/>
    <x v="0"/>
    <x v="0"/>
    <x v="0"/>
    <x v="0"/>
    <x v="0"/>
    <x v="55"/>
    <n v="0"/>
    <x v="0"/>
    <s v="28100961034e4404b6bfbb0919a87500"/>
    <s v="CRI H2energy"/>
    <x v="1"/>
    <x v="1"/>
    <s v="Generation"/>
    <s v="Usina H2energy SPE BK Cajamar"/>
    <s v="Brazil"/>
    <d v="2019-09-23T00:00:00"/>
    <d v="2020-07-31T00:00:00"/>
    <s v="BRL"/>
    <n v="8966833"/>
    <n v="8966833"/>
    <s v="BRL"/>
    <n v="8966833"/>
    <n v="1724390"/>
    <b v="0"/>
    <n v="0.68"/>
  </r>
  <r>
    <b v="1"/>
    <x v="0"/>
    <x v="0"/>
    <x v="0"/>
    <x v="0"/>
    <x v="0"/>
    <x v="55"/>
    <n v="0"/>
    <x v="0"/>
    <s v="28100961034e4404b6bfbb0919a87500"/>
    <s v="CRI H2energy"/>
    <x v="2"/>
    <x v="9"/>
    <s v="Unspecified"/>
    <s v="Usina H2energy SPE BK Cajamar"/>
    <s v="Brazil"/>
    <d v="2019-09-23T00:00:00"/>
    <d v="2020-07-31T00:00:00"/>
    <s v="BRL"/>
    <n v="8966833"/>
    <n v="8966833"/>
    <s v="BRL"/>
    <n v="8966833"/>
    <n v="1724390"/>
    <b v="0"/>
    <n v="0.68"/>
  </r>
  <r>
    <b v="1"/>
    <x v="0"/>
    <x v="0"/>
    <x v="0"/>
    <x v="0"/>
    <x v="0"/>
    <x v="55"/>
    <n v="0"/>
    <x v="0"/>
    <s v="28100961034e4404b6bfbb0919a87500"/>
    <s v="CRI H2energy"/>
    <x v="3"/>
    <x v="9"/>
    <s v="Unspecified"/>
    <s v="Usina H2energy SPE BK Cajamar"/>
    <s v="Brazil"/>
    <d v="2019-09-23T00:00:00"/>
    <d v="2020-07-31T00:00:00"/>
    <s v="BRL"/>
    <n v="8966833"/>
    <n v="8966833"/>
    <s v="BRL"/>
    <n v="8966833"/>
    <n v="1724390"/>
    <b v="0"/>
    <n v="0.68"/>
  </r>
  <r>
    <b v="1"/>
    <x v="0"/>
    <x v="0"/>
    <x v="0"/>
    <x v="0"/>
    <x v="0"/>
    <x v="55"/>
    <n v="0"/>
    <x v="0"/>
    <s v="28100961034e4404b6bfbb0919a87500"/>
    <s v="CRI H2energy"/>
    <x v="0"/>
    <x v="0"/>
    <s v="Solar"/>
    <s v="Usina H2energy SPE BK Itaborai"/>
    <s v="Brazil"/>
    <d v="2019-09-23T00:00:00"/>
    <d v="2020-07-31T00:00:00"/>
    <s v="BRL"/>
    <n v="2348384"/>
    <n v="2348384"/>
    <s v="BRL"/>
    <n v="2348384"/>
    <n v="451612"/>
    <b v="0"/>
    <n v="0.68"/>
  </r>
  <r>
    <b v="1"/>
    <x v="0"/>
    <x v="0"/>
    <x v="0"/>
    <x v="0"/>
    <x v="0"/>
    <x v="55"/>
    <n v="0"/>
    <x v="0"/>
    <s v="28100961034e4404b6bfbb0919a87500"/>
    <s v="CRI H2energy"/>
    <x v="1"/>
    <x v="1"/>
    <s v="Generation"/>
    <s v="Usina H2energy SPE BK Itaborai"/>
    <s v="Brazil"/>
    <d v="2019-09-23T00:00:00"/>
    <d v="2020-07-31T00:00:00"/>
    <s v="BRL"/>
    <n v="2348384"/>
    <n v="2348384"/>
    <s v="BRL"/>
    <n v="2348384"/>
    <n v="451612"/>
    <b v="0"/>
    <n v="0.68"/>
  </r>
  <r>
    <b v="1"/>
    <x v="0"/>
    <x v="0"/>
    <x v="0"/>
    <x v="0"/>
    <x v="0"/>
    <x v="55"/>
    <n v="0"/>
    <x v="0"/>
    <s v="28100961034e4404b6bfbb0919a87500"/>
    <s v="CRI H2energy"/>
    <x v="2"/>
    <x v="9"/>
    <s v="Unspecified"/>
    <s v="Usina H2energy SPE BK Itaborai"/>
    <s v="Brazil"/>
    <d v="2019-09-23T00:00:00"/>
    <d v="2020-07-31T00:00:00"/>
    <s v="BRL"/>
    <n v="2348384"/>
    <n v="2348384"/>
    <s v="BRL"/>
    <n v="2348384"/>
    <n v="451612"/>
    <b v="0"/>
    <n v="0.68"/>
  </r>
  <r>
    <b v="1"/>
    <x v="0"/>
    <x v="0"/>
    <x v="0"/>
    <x v="0"/>
    <x v="0"/>
    <x v="55"/>
    <n v="0"/>
    <x v="0"/>
    <s v="28100961034e4404b6bfbb0919a87500"/>
    <s v="CRI H2energy"/>
    <x v="3"/>
    <x v="9"/>
    <s v="Unspecified"/>
    <s v="Usina H2energy SPE BK Itaborai"/>
    <s v="Brazil"/>
    <d v="2019-09-23T00:00:00"/>
    <d v="2020-07-31T00:00:00"/>
    <s v="BRL"/>
    <n v="2348384"/>
    <n v="2348384"/>
    <s v="BRL"/>
    <n v="2348384"/>
    <n v="451612"/>
    <b v="0"/>
    <n v="0.68"/>
  </r>
  <r>
    <b v="1"/>
    <x v="0"/>
    <x v="0"/>
    <x v="0"/>
    <x v="0"/>
    <x v="0"/>
    <x v="55"/>
    <n v="0"/>
    <x v="0"/>
    <s v="28100961034e4404b6bfbb0919a87500"/>
    <s v="CRI H2energy"/>
    <x v="0"/>
    <x v="0"/>
    <s v="Solar"/>
    <s v="Usina H2energy SPE BK Itaguai"/>
    <s v="Brazil"/>
    <d v="2019-09-23T00:00:00"/>
    <d v="2020-07-31T00:00:00"/>
    <s v="BRL"/>
    <n v="8206497"/>
    <n v="8206497"/>
    <s v="BRL"/>
    <n v="8206497"/>
    <n v="1578172"/>
    <b v="0"/>
    <n v="0.68"/>
  </r>
  <r>
    <b v="1"/>
    <x v="0"/>
    <x v="0"/>
    <x v="0"/>
    <x v="0"/>
    <x v="0"/>
    <x v="55"/>
    <n v="0"/>
    <x v="0"/>
    <s v="28100961034e4404b6bfbb0919a87500"/>
    <s v="CRI H2energy"/>
    <x v="1"/>
    <x v="1"/>
    <s v="Generation"/>
    <s v="Usina H2energy SPE BK Itaguai"/>
    <s v="Brazil"/>
    <d v="2019-09-23T00:00:00"/>
    <d v="2020-07-31T00:00:00"/>
    <s v="BRL"/>
    <n v="8206497"/>
    <n v="8206497"/>
    <s v="BRL"/>
    <n v="8206497"/>
    <n v="1578172"/>
    <b v="0"/>
    <n v="0.68"/>
  </r>
  <r>
    <b v="1"/>
    <x v="0"/>
    <x v="0"/>
    <x v="0"/>
    <x v="0"/>
    <x v="0"/>
    <x v="55"/>
    <n v="0"/>
    <x v="0"/>
    <s v="28100961034e4404b6bfbb0919a87500"/>
    <s v="CRI H2energy"/>
    <x v="2"/>
    <x v="9"/>
    <s v="Unspecified"/>
    <s v="Usina H2energy SPE BK Itaguai"/>
    <s v="Brazil"/>
    <d v="2019-09-23T00:00:00"/>
    <d v="2020-07-31T00:00:00"/>
    <s v="BRL"/>
    <n v="8206497"/>
    <n v="8206497"/>
    <s v="BRL"/>
    <n v="8206497"/>
    <n v="1578172"/>
    <b v="0"/>
    <n v="0.68"/>
  </r>
  <r>
    <b v="1"/>
    <x v="0"/>
    <x v="0"/>
    <x v="0"/>
    <x v="0"/>
    <x v="0"/>
    <x v="55"/>
    <n v="0"/>
    <x v="0"/>
    <s v="28100961034e4404b6bfbb0919a87500"/>
    <s v="CRI H2energy"/>
    <x v="3"/>
    <x v="9"/>
    <s v="Unspecified"/>
    <s v="Usina H2energy SPE BK Itaguai"/>
    <s v="Brazil"/>
    <d v="2019-09-23T00:00:00"/>
    <d v="2020-07-31T00:00:00"/>
    <s v="BRL"/>
    <n v="8206497"/>
    <n v="8206497"/>
    <s v="BRL"/>
    <n v="8206497"/>
    <n v="1578172"/>
    <b v="0"/>
    <n v="0.68"/>
  </r>
  <r>
    <b v="1"/>
    <x v="0"/>
    <x v="0"/>
    <x v="0"/>
    <x v="0"/>
    <x v="0"/>
    <x v="55"/>
    <n v="0"/>
    <x v="0"/>
    <s v="28100961034e4404b6bfbb0919a87500"/>
    <s v="CRI H2energy"/>
    <x v="0"/>
    <x v="0"/>
    <s v="Solar"/>
    <s v="Usina H2energy SPE BK Saltinho"/>
    <s v="Brazil"/>
    <d v="2019-09-23T00:00:00"/>
    <d v="2020-07-31T00:00:00"/>
    <s v="BRL"/>
    <n v="3566013"/>
    <n v="3566013"/>
    <s v="BRL"/>
    <n v="3566013"/>
    <n v="685771"/>
    <b v="0"/>
    <n v="0.68"/>
  </r>
  <r>
    <b v="1"/>
    <x v="0"/>
    <x v="0"/>
    <x v="0"/>
    <x v="0"/>
    <x v="0"/>
    <x v="55"/>
    <n v="0"/>
    <x v="0"/>
    <s v="28100961034e4404b6bfbb0919a87500"/>
    <s v="CRI H2energy"/>
    <x v="1"/>
    <x v="1"/>
    <s v="Generation"/>
    <s v="Usina H2energy SPE BK Saltinho"/>
    <s v="Brazil"/>
    <d v="2019-09-23T00:00:00"/>
    <d v="2020-07-31T00:00:00"/>
    <s v="BRL"/>
    <n v="3566013"/>
    <n v="3566013"/>
    <s v="BRL"/>
    <n v="3566013"/>
    <n v="685771"/>
    <b v="0"/>
    <n v="0.68"/>
  </r>
  <r>
    <b v="1"/>
    <x v="0"/>
    <x v="0"/>
    <x v="0"/>
    <x v="0"/>
    <x v="0"/>
    <x v="55"/>
    <n v="0"/>
    <x v="0"/>
    <s v="28100961034e4404b6bfbb0919a87500"/>
    <s v="CRI H2energy"/>
    <x v="2"/>
    <x v="9"/>
    <s v="Unspecified"/>
    <s v="Usina H2energy SPE BK Saltinho"/>
    <s v="Brazil"/>
    <d v="2019-09-23T00:00:00"/>
    <d v="2020-07-31T00:00:00"/>
    <s v="BRL"/>
    <n v="3566013"/>
    <n v="3566013"/>
    <s v="BRL"/>
    <n v="3566013"/>
    <n v="685771"/>
    <b v="0"/>
    <n v="0.68"/>
  </r>
  <r>
    <b v="1"/>
    <x v="0"/>
    <x v="0"/>
    <x v="0"/>
    <x v="0"/>
    <x v="0"/>
    <x v="55"/>
    <n v="0"/>
    <x v="0"/>
    <s v="28100961034e4404b6bfbb0919a87500"/>
    <s v="CRI H2energy"/>
    <x v="3"/>
    <x v="9"/>
    <s v="Unspecified"/>
    <s v="Usina H2energy SPE BK Saltinho"/>
    <s v="Brazil"/>
    <d v="2019-09-23T00:00:00"/>
    <d v="2020-07-31T00:00:00"/>
    <s v="BRL"/>
    <n v="3566013"/>
    <n v="3566013"/>
    <s v="BRL"/>
    <n v="3566013"/>
    <n v="685771"/>
    <b v="0"/>
    <n v="0.68"/>
  </r>
  <r>
    <b v="1"/>
    <x v="0"/>
    <x v="0"/>
    <x v="2"/>
    <x v="0"/>
    <x v="1"/>
    <x v="15"/>
    <s v="BBG00GCM8LR8"/>
    <x v="0"/>
    <s v="9e3d5a4bf8ef4c9bb3306040e0cd6790"/>
    <s v="Green Bond CMPC 2017"/>
    <x v="1"/>
    <x v="11"/>
    <s v="Forestry"/>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1"/>
    <x v="11"/>
    <s v="Forestry"/>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10"/>
    <s v="Ecosystem Conservation &amp; Restoration"/>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0"/>
    <x v="10"/>
    <s v="Ecosystem Conservation &amp; Restoration"/>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2"/>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2"/>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3"/>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3"/>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2"/>
    <s v="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0"/>
    <x v="2"/>
    <s v="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3"/>
    <s v="Wastewater 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1"/>
    <x v="3"/>
    <s v="Wastewater 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2"/>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2"/>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3"/>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3"/>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4"/>
    <s v="Products"/>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1"/>
    <x v="4"/>
    <s v="Products"/>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0"/>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0"/>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2"/>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2"/>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3"/>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3"/>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1"/>
    <x v="11"/>
    <s v="Reforest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1"/>
    <x v="11"/>
    <s v="Reforest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2"/>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2"/>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3"/>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3"/>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Supply Chain Management"/>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0"/>
    <x v="10"/>
    <s v="Supply Chain Management"/>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2"/>
    <s v="Greenhouse gas control"/>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1"/>
    <x v="12"/>
    <s v="Greenhouse gas control"/>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2"/>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2"/>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3"/>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3"/>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1"/>
    <s v="Reforest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1"/>
    <x v="11"/>
    <s v="Reforest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2"/>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2"/>
    <x v="9"/>
    <s v="Unspecified"/>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3"/>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3"/>
    <x v="9"/>
    <s v="Unspecified"/>
    <s v="Native forest restoration program (in partnership with FSC and Certfor)"/>
    <s v="Chile"/>
    <d v="2017-04-04T00:00:00"/>
    <d v="2016-12-31T00:00:00"/>
    <s v="USD"/>
    <n v="1058735"/>
    <n v="1058735"/>
    <s v="USD"/>
    <n v="1058735"/>
    <n v="1058735"/>
    <b v="0"/>
    <n v="1"/>
  </r>
  <r>
    <b v="1"/>
    <x v="0"/>
    <x v="0"/>
    <x v="2"/>
    <x v="0"/>
    <x v="1"/>
    <x v="56"/>
    <s v="BBG0137WGWJ6"/>
    <x v="0"/>
    <s v="f1d6d989d8ea4e09b00dcd41200c9e35"/>
    <s v="ISA CTEEP - 11¬™ Emiss√£o (1¬™ e 2¬™ Serie)"/>
    <x v="0"/>
    <x v="0"/>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1"/>
    <x v="1"/>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0"/>
    <x v="0"/>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1"/>
    <x v="1"/>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0"/>
    <x v="0"/>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1"/>
    <x v="1"/>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0"/>
    <x v="0"/>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1"/>
    <x v="1"/>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0"/>
    <x v="0"/>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1"/>
    <x v="1"/>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0"/>
    <x v="0"/>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1"/>
    <x v="1"/>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0"/>
    <x v="0"/>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1"/>
    <x v="1"/>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0"/>
    <x v="0"/>
    <s v="Transmission"/>
    <s v="Interliga√ß√£o El√©trica Aguape√≠ S.A. - 11¬∞"/>
    <s v="Brazil"/>
    <d v="2021-10-28T00:00:00"/>
    <d v="2021-12-31T00:00:00"/>
    <s v="BRL"/>
    <n v="111647396"/>
    <n v="96016761"/>
    <s v="BRL"/>
    <n v="96016761"/>
    <n v="17109797"/>
    <b v="0"/>
    <n v="0.11"/>
  </r>
  <r>
    <b v="1"/>
    <x v="0"/>
    <x v="0"/>
    <x v="2"/>
    <x v="0"/>
    <x v="1"/>
    <x v="56"/>
    <s v="BBG0137WGWJ6"/>
    <x v="0"/>
    <s v="f1d6d989d8ea4e09b00dcd41200c9e35"/>
    <s v="ISA CTEEP - 11¬™ Emiss√£o (1¬™ e 2¬™ Serie)"/>
    <x v="1"/>
    <x v="1"/>
    <s v="Transmission"/>
    <s v="Interliga√ß√£o El√©trica Aguape√≠ S.A. - 11¬∞"/>
    <s v="Brazil"/>
    <d v="2021-10-28T00:00:00"/>
    <d v="2021-12-31T00:00:00"/>
    <s v="BRL"/>
    <n v="111647396"/>
    <n v="96016761"/>
    <s v="BRL"/>
    <n v="96016761"/>
    <n v="17109797"/>
    <b v="0"/>
    <n v="0.11"/>
  </r>
  <r>
    <b v="1"/>
    <x v="0"/>
    <x v="0"/>
    <x v="2"/>
    <x v="0"/>
    <x v="1"/>
    <x v="36"/>
    <s v="BBG00HPK5N13"/>
    <x v="0"/>
    <s v="7d27df26e2924c4d9fcf8ba0c0d9d684"/>
    <s v="Klabin 2027"/>
    <x v="0"/>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0"/>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0"/>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0"/>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1"/>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1"/>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1"/>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1"/>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0"/>
    <x v="10"/>
    <s v="Ecosystem Conservation &amp; Restoration"/>
    <s v="Klabin Ecological Park"/>
    <s v="Brazil"/>
    <d v="2021-01-01T00:00:00"/>
    <d v="2021-01-01T00:00:00"/>
    <s v="BRL"/>
    <n v="1617000"/>
    <n v="1617000"/>
    <s v="USD"/>
    <n v="300000"/>
    <n v="300000"/>
    <b v="1"/>
    <n v="1"/>
  </r>
  <r>
    <b v="1"/>
    <x v="0"/>
    <x v="0"/>
    <x v="2"/>
    <x v="0"/>
    <x v="1"/>
    <x v="36"/>
    <s v="BBG00HPK5N13"/>
    <x v="0"/>
    <s v="7d27df26e2924c4d9fcf8ba0c0d9d684"/>
    <s v="Klabin 2027"/>
    <x v="0"/>
    <x v="10"/>
    <s v="Ecosystem Conservation &amp; Restoration"/>
    <s v="Klabin Ecological Park"/>
    <s v="Brazil"/>
    <d v="2020-07-01T00:00:00"/>
    <d v="2020-07-01T00:00:00"/>
    <s v="BRL"/>
    <n v="1498000"/>
    <n v="1498000"/>
    <s v="USD"/>
    <n v="275000"/>
    <n v="275000"/>
    <b v="1"/>
    <n v="1"/>
  </r>
  <r>
    <b v="1"/>
    <x v="0"/>
    <x v="0"/>
    <x v="2"/>
    <x v="0"/>
    <x v="1"/>
    <x v="36"/>
    <s v="BBG00HPK5N13"/>
    <x v="0"/>
    <s v="7d27df26e2924c4d9fcf8ba0c0d9d684"/>
    <s v="Klabin 2027"/>
    <x v="0"/>
    <x v="10"/>
    <s v="Ecosystem Conservation &amp; Restoration"/>
    <s v="Klabin Ecological Park"/>
    <s v="Brazil"/>
    <d v="2020-01-01T00:00:00"/>
    <d v="2020-01-01T00:00:00"/>
    <s v="BRL"/>
    <n v="1202000"/>
    <n v="1202000"/>
    <s v="USD"/>
    <n v="244000"/>
    <n v="244000"/>
    <b v="1"/>
    <n v="1"/>
  </r>
  <r>
    <b v="1"/>
    <x v="0"/>
    <x v="0"/>
    <x v="2"/>
    <x v="0"/>
    <x v="1"/>
    <x v="36"/>
    <s v="BBG00HPK5N13"/>
    <x v="0"/>
    <s v="7d27df26e2924c4d9fcf8ba0c0d9d684"/>
    <s v="Klabin 2027"/>
    <x v="0"/>
    <x v="10"/>
    <s v="Ecosystem Conservation &amp; Restoration"/>
    <s v="Klabin Ecological Park"/>
    <s v="Brazil"/>
    <d v="2019-07-01T00:00:00"/>
    <d v="2019-07-01T00:00:00"/>
    <s v="BRL"/>
    <n v="1511000"/>
    <n v="1511000"/>
    <s v="USD"/>
    <n v="373000"/>
    <n v="373000"/>
    <b v="1"/>
    <n v="1"/>
  </r>
  <r>
    <b v="1"/>
    <x v="0"/>
    <x v="0"/>
    <x v="2"/>
    <x v="0"/>
    <x v="1"/>
    <x v="36"/>
    <s v="BBG00HPK5N13"/>
    <x v="0"/>
    <s v="7d27df26e2924c4d9fcf8ba0c0d9d684"/>
    <s v="Klabin 2027"/>
    <x v="0"/>
    <x v="10"/>
    <s v="Ecosystem Conservation &amp; Restoration"/>
    <s v="Klabin Ecological Park"/>
    <s v="Brazil"/>
    <d v="2019-01-01T00:00:00"/>
    <d v="2019-01-01T00:00:00"/>
    <s v="BRL"/>
    <n v="1158380"/>
    <n v="1158380"/>
    <s v="USD"/>
    <n v="301200"/>
    <n v="301200"/>
    <b v="1"/>
    <n v="1"/>
  </r>
  <r>
    <b v="1"/>
    <x v="0"/>
    <x v="0"/>
    <x v="2"/>
    <x v="0"/>
    <x v="1"/>
    <x v="36"/>
    <s v="BBG00HPK5N13"/>
    <x v="0"/>
    <s v="7d27df26e2924c4d9fcf8ba0c0d9d684"/>
    <s v="Klabin 2027"/>
    <x v="0"/>
    <x v="10"/>
    <s v="Ecosystem Conservation &amp; Restoration"/>
    <s v="Klabin Ecological Park"/>
    <s v="Brazil"/>
    <d v="2018-07-01T00:00:00"/>
    <d v="2018-07-01T00:00:00"/>
    <s v="BRL"/>
    <n v="1439520"/>
    <n v="1439520"/>
    <s v="USD"/>
    <n v="370950"/>
    <n v="370950"/>
    <b v="1"/>
    <n v="1"/>
  </r>
  <r>
    <b v="1"/>
    <x v="0"/>
    <x v="0"/>
    <x v="2"/>
    <x v="0"/>
    <x v="1"/>
    <x v="36"/>
    <s v="BBG00HPK5N13"/>
    <x v="0"/>
    <s v="7d27df26e2924c4d9fcf8ba0c0d9d684"/>
    <s v="Klabin 2027"/>
    <x v="0"/>
    <x v="10"/>
    <s v="Ecosystem Conservation &amp; Restoration"/>
    <s v="Klabin Ecological Park"/>
    <s v="Brazil"/>
    <d v="2018-01-01T00:00:00"/>
    <d v="2018-01-01T00:00:00"/>
    <s v="BRL"/>
    <n v="1024000"/>
    <n v="1024000"/>
    <s v="USD"/>
    <n v="298769"/>
    <n v="298769"/>
    <b v="1"/>
    <n v="1"/>
  </r>
  <r>
    <b v="1"/>
    <x v="0"/>
    <x v="0"/>
    <x v="2"/>
    <x v="0"/>
    <x v="1"/>
    <x v="36"/>
    <s v="BBG00HPK5N13"/>
    <x v="0"/>
    <s v="7d27df26e2924c4d9fcf8ba0c0d9d684"/>
    <s v="Klabin 2027"/>
    <x v="0"/>
    <x v="10"/>
    <s v="Ecosystem Conservation &amp; Restoration"/>
    <s v="Klabin Ecological Park"/>
    <s v="Brazil"/>
    <d v="2017-06-01T00:00:00"/>
    <d v="2017-06-01T00:00:00"/>
    <s v="BRL"/>
    <n v="3216000"/>
    <n v="3216000"/>
    <s v="USD"/>
    <n v="1007362"/>
    <n v="1007362"/>
    <b v="1"/>
    <n v="1"/>
  </r>
  <r>
    <b v="1"/>
    <x v="0"/>
    <x v="0"/>
    <x v="2"/>
    <x v="0"/>
    <x v="1"/>
    <x v="36"/>
    <s v="BBG00HPK5N13"/>
    <x v="0"/>
    <s v="7d27df26e2924c4d9fcf8ba0c0d9d684"/>
    <s v="Klabin 2027"/>
    <x v="0"/>
    <x v="10"/>
    <s v="Ecosystem Conservation &amp; Restoration"/>
    <s v="Klabin Ecological Park"/>
    <s v="Brazil"/>
    <d v="2016-06-01T00:00:00"/>
    <d v="2016-06-01T00:00:00"/>
    <s v="BRL"/>
    <n v="3353000"/>
    <n v="3353000"/>
    <s v="USD"/>
    <n v="962593"/>
    <n v="962593"/>
    <b v="1"/>
    <n v="1"/>
  </r>
  <r>
    <b v="1"/>
    <x v="0"/>
    <x v="0"/>
    <x v="2"/>
    <x v="0"/>
    <x v="1"/>
    <x v="36"/>
    <s v="BBG00HPK5N13"/>
    <x v="0"/>
    <s v="7d27df26e2924c4d9fcf8ba0c0d9d684"/>
    <s v="Klabin 2027"/>
    <x v="0"/>
    <x v="10"/>
    <s v="Ecosystem Conservation &amp; Restoration"/>
    <s v="Klabin Ecological Park"/>
    <s v="Brazil"/>
    <d v="2015-09-01T00:00:00"/>
    <d v="2015-09-01T00:00:00"/>
    <s v="BRL"/>
    <n v="1192000"/>
    <n v="1192000"/>
    <s v="USD"/>
    <n v="357026"/>
    <n v="357026"/>
    <b v="1"/>
    <n v="1"/>
  </r>
  <r>
    <b v="1"/>
    <x v="0"/>
    <x v="0"/>
    <x v="2"/>
    <x v="0"/>
    <x v="1"/>
    <x v="36"/>
    <s v="BBG00HPK5N13"/>
    <x v="0"/>
    <s v="7d27df26e2924c4d9fcf8ba0c0d9d684"/>
    <s v="Klabin 2027"/>
    <x v="1"/>
    <x v="11"/>
    <s v="Natural landscapes"/>
    <s v="Klabin Ecological Park"/>
    <s v="Brazil"/>
    <d v="2021-01-01T00:00:00"/>
    <d v="2021-01-01T00:00:00"/>
    <s v="BRL"/>
    <n v="1617000"/>
    <n v="1617000"/>
    <s v="USD"/>
    <n v="300000"/>
    <n v="300000"/>
    <b v="1"/>
    <n v="1"/>
  </r>
  <r>
    <b v="1"/>
    <x v="0"/>
    <x v="0"/>
    <x v="2"/>
    <x v="0"/>
    <x v="1"/>
    <x v="36"/>
    <s v="BBG00HPK5N13"/>
    <x v="0"/>
    <s v="7d27df26e2924c4d9fcf8ba0c0d9d684"/>
    <s v="Klabin 2027"/>
    <x v="1"/>
    <x v="11"/>
    <s v="Natural landscapes"/>
    <s v="Klabin Ecological Park"/>
    <s v="Brazil"/>
    <d v="2020-07-01T00:00:00"/>
    <d v="2020-07-01T00:00:00"/>
    <s v="BRL"/>
    <n v="1498000"/>
    <n v="1498000"/>
    <s v="USD"/>
    <n v="275000"/>
    <n v="275000"/>
    <b v="1"/>
    <n v="1"/>
  </r>
  <r>
    <b v="1"/>
    <x v="0"/>
    <x v="0"/>
    <x v="2"/>
    <x v="0"/>
    <x v="1"/>
    <x v="36"/>
    <s v="BBG00HPK5N13"/>
    <x v="0"/>
    <s v="7d27df26e2924c4d9fcf8ba0c0d9d684"/>
    <s v="Klabin 2027"/>
    <x v="1"/>
    <x v="11"/>
    <s v="Natural landscapes"/>
    <s v="Klabin Ecological Park"/>
    <s v="Brazil"/>
    <d v="2020-01-01T00:00:00"/>
    <d v="2020-01-01T00:00:00"/>
    <s v="BRL"/>
    <n v="1202000"/>
    <n v="1202000"/>
    <s v="USD"/>
    <n v="244000"/>
    <n v="244000"/>
    <b v="1"/>
    <n v="1"/>
  </r>
  <r>
    <b v="1"/>
    <x v="0"/>
    <x v="0"/>
    <x v="2"/>
    <x v="0"/>
    <x v="1"/>
    <x v="36"/>
    <s v="BBG00HPK5N13"/>
    <x v="0"/>
    <s v="7d27df26e2924c4d9fcf8ba0c0d9d684"/>
    <s v="Klabin 2027"/>
    <x v="1"/>
    <x v="11"/>
    <s v="Natural landscapes"/>
    <s v="Klabin Ecological Park"/>
    <s v="Brazil"/>
    <d v="2019-07-01T00:00:00"/>
    <d v="2019-07-01T00:00:00"/>
    <s v="BRL"/>
    <n v="1511000"/>
    <n v="1511000"/>
    <s v="USD"/>
    <n v="373000"/>
    <n v="373000"/>
    <b v="1"/>
    <n v="1"/>
  </r>
  <r>
    <b v="1"/>
    <x v="0"/>
    <x v="0"/>
    <x v="2"/>
    <x v="0"/>
    <x v="1"/>
    <x v="36"/>
    <s v="BBG00HPK5N13"/>
    <x v="0"/>
    <s v="7d27df26e2924c4d9fcf8ba0c0d9d684"/>
    <s v="Klabin 2027"/>
    <x v="1"/>
    <x v="11"/>
    <s v="Natural landscapes"/>
    <s v="Klabin Ecological Park"/>
    <s v="Brazil"/>
    <d v="2019-01-01T00:00:00"/>
    <d v="2019-01-01T00:00:00"/>
    <s v="BRL"/>
    <n v="1158380"/>
    <n v="1158380"/>
    <s v="USD"/>
    <n v="301200"/>
    <n v="301200"/>
    <b v="1"/>
    <n v="1"/>
  </r>
  <r>
    <b v="1"/>
    <x v="0"/>
    <x v="0"/>
    <x v="2"/>
    <x v="0"/>
    <x v="1"/>
    <x v="36"/>
    <s v="BBG00HPK5N13"/>
    <x v="0"/>
    <s v="7d27df26e2924c4d9fcf8ba0c0d9d684"/>
    <s v="Klabin 2027"/>
    <x v="1"/>
    <x v="11"/>
    <s v="Natural landscapes"/>
    <s v="Klabin Ecological Park"/>
    <s v="Brazil"/>
    <d v="2018-07-01T00:00:00"/>
    <d v="2018-07-01T00:00:00"/>
    <s v="BRL"/>
    <n v="1439520"/>
    <n v="1439520"/>
    <s v="USD"/>
    <n v="370950"/>
    <n v="370950"/>
    <b v="1"/>
    <n v="1"/>
  </r>
  <r>
    <b v="1"/>
    <x v="0"/>
    <x v="0"/>
    <x v="2"/>
    <x v="0"/>
    <x v="1"/>
    <x v="36"/>
    <s v="BBG00HPK5N13"/>
    <x v="0"/>
    <s v="7d27df26e2924c4d9fcf8ba0c0d9d684"/>
    <s v="Klabin 2027"/>
    <x v="1"/>
    <x v="11"/>
    <s v="Natural landscapes"/>
    <s v="Klabin Ecological Park"/>
    <s v="Brazil"/>
    <d v="2018-01-01T00:00:00"/>
    <d v="2018-01-01T00:00:00"/>
    <s v="BRL"/>
    <n v="1024000"/>
    <n v="1024000"/>
    <s v="USD"/>
    <n v="298769"/>
    <n v="298769"/>
    <b v="1"/>
    <n v="1"/>
  </r>
  <r>
    <b v="1"/>
    <x v="0"/>
    <x v="0"/>
    <x v="2"/>
    <x v="0"/>
    <x v="1"/>
    <x v="36"/>
    <s v="BBG00HPK5N13"/>
    <x v="0"/>
    <s v="7d27df26e2924c4d9fcf8ba0c0d9d684"/>
    <s v="Klabin 2027"/>
    <x v="1"/>
    <x v="11"/>
    <s v="Natural landscapes"/>
    <s v="Klabin Ecological Park"/>
    <s v="Brazil"/>
    <d v="2017-06-01T00:00:00"/>
    <d v="2017-06-01T00:00:00"/>
    <s v="BRL"/>
    <n v="3216000"/>
    <n v="3216000"/>
    <s v="USD"/>
    <n v="1007362"/>
    <n v="1007362"/>
    <b v="1"/>
    <n v="1"/>
  </r>
  <r>
    <b v="1"/>
    <x v="0"/>
    <x v="0"/>
    <x v="2"/>
    <x v="0"/>
    <x v="1"/>
    <x v="36"/>
    <s v="BBG00HPK5N13"/>
    <x v="0"/>
    <s v="7d27df26e2924c4d9fcf8ba0c0d9d684"/>
    <s v="Klabin 2027"/>
    <x v="1"/>
    <x v="11"/>
    <s v="Natural landscapes"/>
    <s v="Klabin Ecological Park"/>
    <s v="Brazil"/>
    <d v="2016-06-01T00:00:00"/>
    <d v="2016-06-01T00:00:00"/>
    <s v="BRL"/>
    <n v="3353000"/>
    <n v="3353000"/>
    <s v="USD"/>
    <n v="962593"/>
    <n v="962593"/>
    <b v="1"/>
    <n v="1"/>
  </r>
  <r>
    <b v="1"/>
    <x v="0"/>
    <x v="0"/>
    <x v="2"/>
    <x v="0"/>
    <x v="1"/>
    <x v="36"/>
    <s v="BBG00HPK5N13"/>
    <x v="0"/>
    <s v="7d27df26e2924c4d9fcf8ba0c0d9d684"/>
    <s v="Klabin 2027"/>
    <x v="1"/>
    <x v="11"/>
    <s v="Natural landscapes"/>
    <s v="Klabin Ecological Park"/>
    <s v="Brazil"/>
    <d v="2015-09-01T00:00:00"/>
    <d v="2015-09-01T00:00:00"/>
    <s v="BRL"/>
    <n v="1192000"/>
    <n v="1192000"/>
    <s v="USD"/>
    <n v="357026"/>
    <n v="357026"/>
    <b v="1"/>
    <n v="1"/>
  </r>
  <r>
    <b v="1"/>
    <x v="0"/>
    <x v="0"/>
    <x v="2"/>
    <x v="0"/>
    <x v="1"/>
    <x v="36"/>
    <s v="BBG00HPK5N13"/>
    <x v="0"/>
    <s v="7d27df26e2924c4d9fcf8ba0c0d9d684"/>
    <s v="Klabin 2027"/>
    <x v="0"/>
    <x v="10"/>
    <s v="Ecosystem Conservation &amp; Restoration"/>
    <s v="Legal Woods Program"/>
    <s v="Brazil"/>
    <d v="2021-01-01T00:00:00"/>
    <d v="2021-01-01T00:00:00"/>
    <s v="BRL"/>
    <n v="442000"/>
    <n v="442000"/>
    <s v="USD"/>
    <n v="82000"/>
    <n v="82000"/>
    <b v="1"/>
    <n v="1"/>
  </r>
  <r>
    <b v="1"/>
    <x v="0"/>
    <x v="0"/>
    <x v="2"/>
    <x v="0"/>
    <x v="1"/>
    <x v="36"/>
    <s v="BBG00HPK5N13"/>
    <x v="0"/>
    <s v="7d27df26e2924c4d9fcf8ba0c0d9d684"/>
    <s v="Klabin 2027"/>
    <x v="0"/>
    <x v="10"/>
    <s v="Ecosystem Conservation &amp; Restoration"/>
    <s v="Legal Woods Program"/>
    <s v="Brazil"/>
    <d v="2020-07-01T00:00:00"/>
    <d v="2020-07-01T00:00:00"/>
    <s v="BRL"/>
    <n v="488000"/>
    <n v="488000"/>
    <s v="USD"/>
    <n v="90000"/>
    <n v="90000"/>
    <b v="1"/>
    <n v="1"/>
  </r>
  <r>
    <b v="1"/>
    <x v="0"/>
    <x v="0"/>
    <x v="2"/>
    <x v="0"/>
    <x v="1"/>
    <x v="36"/>
    <s v="BBG00HPK5N13"/>
    <x v="0"/>
    <s v="7d27df26e2924c4d9fcf8ba0c0d9d684"/>
    <s v="Klabin 2027"/>
    <x v="0"/>
    <x v="10"/>
    <s v="Ecosystem Conservation &amp; Restoration"/>
    <s v="Legal Woods Program"/>
    <s v="Brazil"/>
    <d v="2020-01-01T00:00:00"/>
    <d v="2020-01-01T00:00:00"/>
    <s v="BRL"/>
    <n v="170000"/>
    <n v="170000"/>
    <s v="USD"/>
    <n v="35000"/>
    <n v="35000"/>
    <b v="1"/>
    <n v="1"/>
  </r>
  <r>
    <b v="1"/>
    <x v="0"/>
    <x v="0"/>
    <x v="2"/>
    <x v="0"/>
    <x v="1"/>
    <x v="36"/>
    <s v="BBG00HPK5N13"/>
    <x v="0"/>
    <s v="7d27df26e2924c4d9fcf8ba0c0d9d684"/>
    <s v="Klabin 2027"/>
    <x v="0"/>
    <x v="10"/>
    <s v="Ecosystem Conservation &amp; Restoration"/>
    <s v="Legal Woods Program"/>
    <s v="Brazil"/>
    <d v="2019-07-01T00:00:00"/>
    <d v="2019-07-01T00:00:00"/>
    <s v="BRL"/>
    <n v="423000"/>
    <n v="423000"/>
    <s v="USD"/>
    <n v="104000"/>
    <n v="104000"/>
    <b v="1"/>
    <n v="1"/>
  </r>
  <r>
    <b v="1"/>
    <x v="0"/>
    <x v="0"/>
    <x v="2"/>
    <x v="0"/>
    <x v="1"/>
    <x v="36"/>
    <s v="BBG00HPK5N13"/>
    <x v="0"/>
    <s v="7d27df26e2924c4d9fcf8ba0c0d9d684"/>
    <s v="Klabin 2027"/>
    <x v="0"/>
    <x v="10"/>
    <s v="Ecosystem Conservation &amp; Restoration"/>
    <s v="Legal Woods Program"/>
    <s v="Brazil"/>
    <d v="2019-01-01T00:00:00"/>
    <d v="2019-01-01T00:00:00"/>
    <s v="BRL"/>
    <n v="56000"/>
    <n v="56000"/>
    <s v="USD"/>
    <n v="14560"/>
    <n v="14560"/>
    <b v="1"/>
    <n v="1"/>
  </r>
  <r>
    <b v="1"/>
    <x v="0"/>
    <x v="0"/>
    <x v="2"/>
    <x v="0"/>
    <x v="1"/>
    <x v="36"/>
    <s v="BBG00HPK5N13"/>
    <x v="0"/>
    <s v="7d27df26e2924c4d9fcf8ba0c0d9d684"/>
    <s v="Klabin 2027"/>
    <x v="0"/>
    <x v="10"/>
    <s v="Ecosystem Conservation &amp; Restoration"/>
    <s v="Legal Woods Program"/>
    <s v="Brazil"/>
    <d v="2018-07-01T00:00:00"/>
    <d v="2018-07-01T00:00:00"/>
    <s v="BRL"/>
    <n v="7920"/>
    <n v="7920"/>
    <s v="USD"/>
    <n v="2040"/>
    <n v="2040"/>
    <b v="1"/>
    <n v="1"/>
  </r>
  <r>
    <b v="1"/>
    <x v="0"/>
    <x v="0"/>
    <x v="2"/>
    <x v="0"/>
    <x v="1"/>
    <x v="36"/>
    <s v="BBG00HPK5N13"/>
    <x v="0"/>
    <s v="7d27df26e2924c4d9fcf8ba0c0d9d684"/>
    <s v="Klabin 2027"/>
    <x v="0"/>
    <x v="10"/>
    <s v="Ecosystem Conservation &amp; Restoration"/>
    <s v="Legal Woods Program"/>
    <s v="Brazil"/>
    <d v="2017-06-01T00:00:00"/>
    <d v="2017-06-01T00:00:00"/>
    <s v="BRL"/>
    <n v="485000"/>
    <n v="485000"/>
    <s v="USD"/>
    <n v="151919"/>
    <n v="151919"/>
    <b v="1"/>
    <n v="1"/>
  </r>
  <r>
    <b v="1"/>
    <x v="0"/>
    <x v="0"/>
    <x v="2"/>
    <x v="0"/>
    <x v="1"/>
    <x v="36"/>
    <s v="BBG00HPK5N13"/>
    <x v="0"/>
    <s v="7d27df26e2924c4d9fcf8ba0c0d9d684"/>
    <s v="Klabin 2027"/>
    <x v="0"/>
    <x v="10"/>
    <s v="Ecosystem Conservation &amp; Restoration"/>
    <s v="Legal Woods Program"/>
    <s v="Brazil"/>
    <d v="2016-06-01T00:00:00"/>
    <d v="2016-06-01T00:00:00"/>
    <s v="BRL"/>
    <n v="485000"/>
    <n v="485000"/>
    <s v="USD"/>
    <n v="139236"/>
    <n v="139236"/>
    <b v="1"/>
    <n v="1"/>
  </r>
  <r>
    <b v="1"/>
    <x v="0"/>
    <x v="0"/>
    <x v="2"/>
    <x v="0"/>
    <x v="1"/>
    <x v="36"/>
    <s v="BBG00HPK5N13"/>
    <x v="0"/>
    <s v="7d27df26e2924c4d9fcf8ba0c0d9d684"/>
    <s v="Klabin 2027"/>
    <x v="0"/>
    <x v="10"/>
    <s v="Ecosystem Conservation &amp; Restoration"/>
    <s v="Legal Woods Program"/>
    <s v="Brazil"/>
    <d v="2015-09-01T00:00:00"/>
    <d v="2015-09-01T00:00:00"/>
    <s v="BRL"/>
    <n v="455000"/>
    <n v="455000"/>
    <s v="USD"/>
    <n v="136281"/>
    <n v="136281"/>
    <b v="1"/>
    <n v="1"/>
  </r>
  <r>
    <b v="1"/>
    <x v="0"/>
    <x v="0"/>
    <x v="2"/>
    <x v="0"/>
    <x v="1"/>
    <x v="36"/>
    <s v="BBG00HPK5N13"/>
    <x v="0"/>
    <s v="7d27df26e2924c4d9fcf8ba0c0d9d684"/>
    <s v="Klabin 2027"/>
    <x v="1"/>
    <x v="11"/>
    <s v="Natural landscapes"/>
    <s v="Legal Woods Program"/>
    <s v="Brazil"/>
    <d v="2021-01-01T00:00:00"/>
    <d v="2021-01-01T00:00:00"/>
    <s v="BRL"/>
    <n v="442000"/>
    <n v="442000"/>
    <s v="USD"/>
    <n v="82000"/>
    <n v="82000"/>
    <b v="1"/>
    <n v="1"/>
  </r>
  <r>
    <b v="1"/>
    <x v="0"/>
    <x v="0"/>
    <x v="2"/>
    <x v="0"/>
    <x v="1"/>
    <x v="36"/>
    <s v="BBG00HPK5N13"/>
    <x v="0"/>
    <s v="7d27df26e2924c4d9fcf8ba0c0d9d684"/>
    <s v="Klabin 2027"/>
    <x v="1"/>
    <x v="11"/>
    <s v="Natural landscapes"/>
    <s v="Legal Woods Program"/>
    <s v="Brazil"/>
    <d v="2020-07-01T00:00:00"/>
    <d v="2020-07-01T00:00:00"/>
    <s v="BRL"/>
    <n v="488000"/>
    <n v="488000"/>
    <s v="USD"/>
    <n v="90000"/>
    <n v="90000"/>
    <b v="1"/>
    <n v="1"/>
  </r>
  <r>
    <b v="1"/>
    <x v="0"/>
    <x v="0"/>
    <x v="2"/>
    <x v="0"/>
    <x v="1"/>
    <x v="36"/>
    <s v="BBG00HPK5N13"/>
    <x v="0"/>
    <s v="7d27df26e2924c4d9fcf8ba0c0d9d684"/>
    <s v="Klabin 2027"/>
    <x v="1"/>
    <x v="11"/>
    <s v="Natural landscapes"/>
    <s v="Legal Woods Program"/>
    <s v="Brazil"/>
    <d v="2020-01-01T00:00:00"/>
    <d v="2020-01-01T00:00:00"/>
    <s v="BRL"/>
    <n v="170000"/>
    <n v="170000"/>
    <s v="USD"/>
    <n v="35000"/>
    <n v="35000"/>
    <b v="1"/>
    <n v="1"/>
  </r>
  <r>
    <b v="1"/>
    <x v="0"/>
    <x v="0"/>
    <x v="2"/>
    <x v="0"/>
    <x v="1"/>
    <x v="36"/>
    <s v="BBG00HPK5N13"/>
    <x v="0"/>
    <s v="7d27df26e2924c4d9fcf8ba0c0d9d684"/>
    <s v="Klabin 2027"/>
    <x v="1"/>
    <x v="11"/>
    <s v="Natural landscapes"/>
    <s v="Legal Woods Program"/>
    <s v="Brazil"/>
    <d v="2019-07-01T00:00:00"/>
    <d v="2019-07-01T00:00:00"/>
    <s v="BRL"/>
    <n v="423000"/>
    <n v="423000"/>
    <s v="USD"/>
    <n v="104000"/>
    <n v="104000"/>
    <b v="1"/>
    <n v="1"/>
  </r>
  <r>
    <b v="1"/>
    <x v="0"/>
    <x v="0"/>
    <x v="2"/>
    <x v="0"/>
    <x v="1"/>
    <x v="36"/>
    <s v="BBG00HPK5N13"/>
    <x v="0"/>
    <s v="7d27df26e2924c4d9fcf8ba0c0d9d684"/>
    <s v="Klabin 2027"/>
    <x v="1"/>
    <x v="11"/>
    <s v="Natural landscapes"/>
    <s v="Legal Woods Program"/>
    <s v="Brazil"/>
    <d v="2019-01-01T00:00:00"/>
    <d v="2019-01-01T00:00:00"/>
    <s v="BRL"/>
    <n v="56000"/>
    <n v="56000"/>
    <s v="USD"/>
    <n v="14560"/>
    <n v="14560"/>
    <b v="1"/>
    <n v="1"/>
  </r>
  <r>
    <b v="1"/>
    <x v="0"/>
    <x v="0"/>
    <x v="2"/>
    <x v="0"/>
    <x v="1"/>
    <x v="36"/>
    <s v="BBG00HPK5N13"/>
    <x v="0"/>
    <s v="7d27df26e2924c4d9fcf8ba0c0d9d684"/>
    <s v="Klabin 2027"/>
    <x v="1"/>
    <x v="11"/>
    <s v="Natural landscapes"/>
    <s v="Legal Woods Program"/>
    <s v="Brazil"/>
    <d v="2018-07-01T00:00:00"/>
    <d v="2018-07-01T00:00:00"/>
    <s v="BRL"/>
    <n v="7920"/>
    <n v="7920"/>
    <s v="USD"/>
    <n v="2040"/>
    <n v="2040"/>
    <b v="1"/>
    <n v="1"/>
  </r>
  <r>
    <b v="1"/>
    <x v="0"/>
    <x v="0"/>
    <x v="2"/>
    <x v="0"/>
    <x v="1"/>
    <x v="36"/>
    <s v="BBG00HPK5N13"/>
    <x v="0"/>
    <s v="7d27df26e2924c4d9fcf8ba0c0d9d684"/>
    <s v="Klabin 2027"/>
    <x v="1"/>
    <x v="11"/>
    <s v="Natural landscapes"/>
    <s v="Legal Woods Program"/>
    <s v="Brazil"/>
    <d v="2017-06-01T00:00:00"/>
    <d v="2017-06-01T00:00:00"/>
    <s v="BRL"/>
    <n v="485000"/>
    <n v="485000"/>
    <s v="USD"/>
    <n v="151919"/>
    <n v="151919"/>
    <b v="1"/>
    <n v="1"/>
  </r>
  <r>
    <b v="1"/>
    <x v="0"/>
    <x v="0"/>
    <x v="2"/>
    <x v="0"/>
    <x v="1"/>
    <x v="36"/>
    <s v="BBG00HPK5N13"/>
    <x v="0"/>
    <s v="7d27df26e2924c4d9fcf8ba0c0d9d684"/>
    <s v="Klabin 2027"/>
    <x v="1"/>
    <x v="11"/>
    <s v="Natural landscapes"/>
    <s v="Legal Woods Program"/>
    <s v="Brazil"/>
    <d v="2016-06-01T00:00:00"/>
    <d v="2016-06-01T00:00:00"/>
    <s v="BRL"/>
    <n v="485000"/>
    <n v="485000"/>
    <s v="USD"/>
    <n v="139236"/>
    <n v="139236"/>
    <b v="1"/>
    <n v="1"/>
  </r>
  <r>
    <b v="1"/>
    <x v="0"/>
    <x v="0"/>
    <x v="2"/>
    <x v="0"/>
    <x v="1"/>
    <x v="36"/>
    <s v="BBG00HPK5N13"/>
    <x v="0"/>
    <s v="7d27df26e2924c4d9fcf8ba0c0d9d684"/>
    <s v="Klabin 2027"/>
    <x v="1"/>
    <x v="11"/>
    <s v="Natural landscapes"/>
    <s v="Legal Woods Program"/>
    <s v="Brazil"/>
    <d v="2015-09-01T00:00:00"/>
    <d v="2015-09-01T00:00:00"/>
    <s v="BRL"/>
    <n v="455000"/>
    <n v="455000"/>
    <s v="USD"/>
    <n v="136281"/>
    <n v="136281"/>
    <b v="1"/>
    <n v="1"/>
  </r>
  <r>
    <b v="1"/>
    <x v="0"/>
    <x v="0"/>
    <x v="2"/>
    <x v="0"/>
    <x v="1"/>
    <x v="36"/>
    <s v="BBG00HPK5N13"/>
    <x v="0"/>
    <s v="7d27df26e2924c4d9fcf8ba0c0d9d684"/>
    <s v="Klabin 2027"/>
    <x v="0"/>
    <x v="7"/>
    <s v="Products &amp; Systems for Efficiency"/>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1"/>
    <x v="12"/>
    <s v="Reduction of local emissions"/>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0"/>
    <x v="9"/>
    <s v="Unspecified"/>
    <s v="Management Microplanning"/>
    <s v="Brazil"/>
    <d v="2021-01-01T00:00:00"/>
    <d v="2021-01-01T00:00:00"/>
    <s v="BRL"/>
    <n v="1661000"/>
    <n v="1661000"/>
    <s v="USD"/>
    <n v="308000"/>
    <n v="308000"/>
    <b v="0"/>
    <n v="1"/>
  </r>
  <r>
    <b v="1"/>
    <x v="0"/>
    <x v="0"/>
    <x v="2"/>
    <x v="0"/>
    <x v="1"/>
    <x v="36"/>
    <s v="BBG00HPK5N13"/>
    <x v="0"/>
    <s v="7d27df26e2924c4d9fcf8ba0c0d9d684"/>
    <s v="Klabin 2027"/>
    <x v="0"/>
    <x v="9"/>
    <s v="Unspecified"/>
    <s v="Management Microplanning"/>
    <s v="Brazil"/>
    <d v="2020-07-01T00:00:00"/>
    <d v="2020-07-01T00:00:00"/>
    <s v="BRL"/>
    <n v="1397000"/>
    <n v="1397000"/>
    <s v="USD"/>
    <n v="257000"/>
    <n v="257000"/>
    <b v="0"/>
    <n v="1"/>
  </r>
  <r>
    <b v="1"/>
    <x v="0"/>
    <x v="0"/>
    <x v="2"/>
    <x v="0"/>
    <x v="1"/>
    <x v="36"/>
    <s v="BBG00HPK5N13"/>
    <x v="0"/>
    <s v="7d27df26e2924c4d9fcf8ba0c0d9d684"/>
    <s v="Klabin 2027"/>
    <x v="0"/>
    <x v="9"/>
    <s v="Unspecified"/>
    <s v="Management Microplanning"/>
    <s v="Brazil"/>
    <d v="2020-01-01T00:00:00"/>
    <d v="2020-01-01T00:00:00"/>
    <s v="BRL"/>
    <n v="851000"/>
    <n v="851000"/>
    <s v="USD"/>
    <n v="173000"/>
    <n v="173000"/>
    <b v="0"/>
    <n v="1"/>
  </r>
  <r>
    <b v="1"/>
    <x v="0"/>
    <x v="0"/>
    <x v="2"/>
    <x v="0"/>
    <x v="1"/>
    <x v="36"/>
    <s v="BBG00HPK5N13"/>
    <x v="0"/>
    <s v="7d27df26e2924c4d9fcf8ba0c0d9d684"/>
    <s v="Klabin 2027"/>
    <x v="0"/>
    <x v="9"/>
    <s v="Unspecified"/>
    <s v="Management Microplanning"/>
    <s v="Brazil"/>
    <d v="2019-07-01T00:00:00"/>
    <d v="2019-07-01T00:00:00"/>
    <s v="BRL"/>
    <n v="2720000"/>
    <n v="2720000"/>
    <s v="USD"/>
    <n v="671000"/>
    <n v="671000"/>
    <b v="0"/>
    <n v="1"/>
  </r>
  <r>
    <b v="1"/>
    <x v="0"/>
    <x v="0"/>
    <x v="2"/>
    <x v="0"/>
    <x v="1"/>
    <x v="36"/>
    <s v="BBG00HPK5N13"/>
    <x v="0"/>
    <s v="7d27df26e2924c4d9fcf8ba0c0d9d684"/>
    <s v="Klabin 2027"/>
    <x v="1"/>
    <x v="17"/>
    <s v="Early warning systems"/>
    <s v="Management Microplanning"/>
    <s v="Brazil"/>
    <d v="2021-01-01T00:00:00"/>
    <d v="2021-01-01T00:00:00"/>
    <s v="BRL"/>
    <n v="1661000"/>
    <n v="1661000"/>
    <s v="USD"/>
    <n v="308000"/>
    <n v="308000"/>
    <b v="0"/>
    <n v="1"/>
  </r>
  <r>
    <b v="1"/>
    <x v="0"/>
    <x v="0"/>
    <x v="2"/>
    <x v="0"/>
    <x v="1"/>
    <x v="36"/>
    <s v="BBG00HPK5N13"/>
    <x v="0"/>
    <s v="7d27df26e2924c4d9fcf8ba0c0d9d684"/>
    <s v="Klabin 2027"/>
    <x v="1"/>
    <x v="17"/>
    <s v="Early warning systems"/>
    <s v="Management Microplanning"/>
    <s v="Brazil"/>
    <d v="2020-07-01T00:00:00"/>
    <d v="2020-07-01T00:00:00"/>
    <s v="BRL"/>
    <n v="1397000"/>
    <n v="1397000"/>
    <s v="USD"/>
    <n v="257000"/>
    <n v="257000"/>
    <b v="0"/>
    <n v="1"/>
  </r>
  <r>
    <b v="1"/>
    <x v="0"/>
    <x v="0"/>
    <x v="2"/>
    <x v="0"/>
    <x v="1"/>
    <x v="36"/>
    <s v="BBG00HPK5N13"/>
    <x v="0"/>
    <s v="7d27df26e2924c4d9fcf8ba0c0d9d684"/>
    <s v="Klabin 2027"/>
    <x v="1"/>
    <x v="17"/>
    <s v="Early warning systems"/>
    <s v="Management Microplanning"/>
    <s v="Brazil"/>
    <d v="2020-01-01T00:00:00"/>
    <d v="2020-01-01T00:00:00"/>
    <s v="BRL"/>
    <n v="851000"/>
    <n v="851000"/>
    <s v="USD"/>
    <n v="173000"/>
    <n v="173000"/>
    <b v="0"/>
    <n v="1"/>
  </r>
  <r>
    <b v="1"/>
    <x v="0"/>
    <x v="0"/>
    <x v="2"/>
    <x v="0"/>
    <x v="1"/>
    <x v="36"/>
    <s v="BBG00HPK5N13"/>
    <x v="0"/>
    <s v="7d27df26e2924c4d9fcf8ba0c0d9d684"/>
    <s v="Klabin 2027"/>
    <x v="1"/>
    <x v="17"/>
    <s v="Early warning systems"/>
    <s v="Management Microplanning"/>
    <s v="Brazil"/>
    <d v="2019-07-01T00:00:00"/>
    <d v="2019-07-01T00:00:00"/>
    <s v="BRL"/>
    <n v="2720000"/>
    <n v="2720000"/>
    <s v="USD"/>
    <n v="671000"/>
    <n v="671000"/>
    <b v="0"/>
    <n v="1"/>
  </r>
  <r>
    <b v="1"/>
    <x v="0"/>
    <x v="0"/>
    <x v="2"/>
    <x v="0"/>
    <x v="1"/>
    <x v="36"/>
    <s v="BBG00HPK5N13"/>
    <x v="0"/>
    <s v="7d27df26e2924c4d9fcf8ba0c0d9d684"/>
    <s v="Klabin 2027"/>
    <x v="0"/>
    <x v="10"/>
    <s v="Ecosystem Conservation &amp; Restoration"/>
    <s v="Matas Legais Seedlings"/>
    <s v="Brazil"/>
    <d v="2019-07-01T00:00:00"/>
    <d v="2019-07-01T00:00:00"/>
    <s v="BRL"/>
    <n v="7000"/>
    <n v="7000"/>
    <s v="USD"/>
    <n v="2000"/>
    <n v="2000"/>
    <b v="0"/>
    <n v="1"/>
  </r>
  <r>
    <b v="1"/>
    <x v="0"/>
    <x v="0"/>
    <x v="2"/>
    <x v="0"/>
    <x v="1"/>
    <x v="36"/>
    <s v="BBG00HPK5N13"/>
    <x v="0"/>
    <s v="7d27df26e2924c4d9fcf8ba0c0d9d684"/>
    <s v="Klabin 2027"/>
    <x v="1"/>
    <x v="11"/>
    <s v="Natural landscapes"/>
    <s v="Matas Legais Seedlings"/>
    <s v="Brazil"/>
    <d v="2019-07-01T00:00:00"/>
    <d v="2019-07-01T00:00:00"/>
    <s v="BRL"/>
    <n v="7000"/>
    <n v="7000"/>
    <s v="USD"/>
    <n v="2000"/>
    <n v="2000"/>
    <b v="0"/>
    <n v="1"/>
  </r>
  <r>
    <b v="1"/>
    <x v="0"/>
    <x v="0"/>
    <x v="2"/>
    <x v="0"/>
    <x v="1"/>
    <x v="36"/>
    <s v="BBG00HPK5N13"/>
    <x v="0"/>
    <s v="7d27df26e2924c4d9fcf8ba0c0d9d684"/>
    <s v="Klabin 2027"/>
    <x v="0"/>
    <x v="9"/>
    <s v="Unspecified"/>
    <s v="MR2 Resin application system upgrade"/>
    <s v="Brazil"/>
    <d v="2021-01-01T00:00:00"/>
    <d v="2021-01-01T00:00:00"/>
    <s v="BRL"/>
    <n v="5353000"/>
    <n v="5353000"/>
    <s v="USD"/>
    <n v="993000"/>
    <n v="993000"/>
    <b v="0"/>
    <n v="1"/>
  </r>
  <r>
    <b v="1"/>
    <x v="0"/>
    <x v="0"/>
    <x v="2"/>
    <x v="0"/>
    <x v="1"/>
    <x v="36"/>
    <s v="BBG00HPK5N13"/>
    <x v="0"/>
    <s v="7d27df26e2924c4d9fcf8ba0c0d9d684"/>
    <s v="Klabin 2027"/>
    <x v="0"/>
    <x v="9"/>
    <s v="Unspecified"/>
    <s v="MR2 Resin application system upgrade"/>
    <s v="Brazil"/>
    <d v="2020-07-01T00:00:00"/>
    <d v="2020-07-01T00:00:00"/>
    <s v="BRL"/>
    <n v="3438000"/>
    <n v="3438000"/>
    <s v="USD"/>
    <n v="632000"/>
    <n v="632000"/>
    <b v="0"/>
    <n v="1"/>
  </r>
  <r>
    <b v="1"/>
    <x v="0"/>
    <x v="0"/>
    <x v="2"/>
    <x v="0"/>
    <x v="1"/>
    <x v="36"/>
    <s v="BBG00HPK5N13"/>
    <x v="0"/>
    <s v="7d27df26e2924c4d9fcf8ba0c0d9d684"/>
    <s v="Klabin 2027"/>
    <x v="1"/>
    <x v="16"/>
    <s v="Packaging"/>
    <s v="MR2 Resin application system upgrade"/>
    <s v="Brazil"/>
    <d v="2021-01-01T00:00:00"/>
    <d v="2021-01-01T00:00:00"/>
    <s v="BRL"/>
    <n v="5353000"/>
    <n v="5353000"/>
    <s v="USD"/>
    <n v="993000"/>
    <n v="993000"/>
    <b v="0"/>
    <n v="1"/>
  </r>
  <r>
    <b v="1"/>
    <x v="0"/>
    <x v="0"/>
    <x v="2"/>
    <x v="0"/>
    <x v="1"/>
    <x v="36"/>
    <s v="BBG00HPK5N13"/>
    <x v="0"/>
    <s v="7d27df26e2924c4d9fcf8ba0c0d9d684"/>
    <s v="Klabin 2027"/>
    <x v="1"/>
    <x v="16"/>
    <s v="Packaging"/>
    <s v="MR2 Resin application system upgrade"/>
    <s v="Brazil"/>
    <d v="2020-07-01T00:00:00"/>
    <d v="2020-07-01T00:00:00"/>
    <s v="BRL"/>
    <n v="3438000"/>
    <n v="3438000"/>
    <s v="USD"/>
    <n v="632000"/>
    <n v="632000"/>
    <b v="0"/>
    <n v="1"/>
  </r>
  <r>
    <b v="1"/>
    <x v="0"/>
    <x v="0"/>
    <x v="2"/>
    <x v="0"/>
    <x v="1"/>
    <x v="36"/>
    <s v="BBG00HPK5N13"/>
    <x v="0"/>
    <s v="7d27df26e2924c4d9fcf8ba0c0d9d684"/>
    <s v="Klabin 2027"/>
    <x v="0"/>
    <x v="7"/>
    <s v="Products &amp; Systems for Efficiency"/>
    <s v="Noise Reduction"/>
    <s v="Brazil"/>
    <d v="2019-07-01T00:00:00"/>
    <d v="2019-07-01T00:00:00"/>
    <s v="BRL"/>
    <n v="43000"/>
    <n v="43000"/>
    <s v="USD"/>
    <n v="11000"/>
    <n v="11000"/>
    <b v="0"/>
    <n v="1"/>
  </r>
  <r>
    <b v="1"/>
    <x v="0"/>
    <x v="0"/>
    <x v="2"/>
    <x v="0"/>
    <x v="1"/>
    <x v="36"/>
    <s v="BBG00HPK5N13"/>
    <x v="0"/>
    <s v="7d27df26e2924c4d9fcf8ba0c0d9d684"/>
    <s v="Klabin 2027"/>
    <x v="0"/>
    <x v="7"/>
    <s v="Products &amp; Systems for Efficiency"/>
    <s v="Noise Reduction"/>
    <s v="Brazil"/>
    <d v="2019-01-01T00:00:00"/>
    <d v="2019-01-01T00:00:00"/>
    <s v="BRL"/>
    <n v="502070"/>
    <n v="502070"/>
    <s v="USD"/>
    <n v="130540"/>
    <n v="130540"/>
    <b v="0"/>
    <n v="1"/>
  </r>
  <r>
    <b v="1"/>
    <x v="0"/>
    <x v="0"/>
    <x v="2"/>
    <x v="0"/>
    <x v="1"/>
    <x v="36"/>
    <s v="BBG00HPK5N13"/>
    <x v="0"/>
    <s v="7d27df26e2924c4d9fcf8ba0c0d9d684"/>
    <s v="Klabin 2027"/>
    <x v="0"/>
    <x v="7"/>
    <s v="Products &amp; Systems for Efficiency"/>
    <s v="Noise Reduction"/>
    <s v="Brazil"/>
    <d v="2018-07-01T00:00:00"/>
    <d v="2018-07-01T00:00:00"/>
    <s v="BRL"/>
    <n v="156370"/>
    <n v="156370"/>
    <s v="USD"/>
    <n v="40290"/>
    <n v="40290"/>
    <b v="0"/>
    <n v="1"/>
  </r>
  <r>
    <b v="1"/>
    <x v="0"/>
    <x v="0"/>
    <x v="2"/>
    <x v="0"/>
    <x v="1"/>
    <x v="37"/>
    <s v="BBG00NQJNB18"/>
    <x v="0"/>
    <s v="72b244fd46b444aba44095c0ca650e2f"/>
    <s v="Klabin 2049"/>
    <x v="0"/>
    <x v="7"/>
    <s v="Products &amp; Systems for Efficiency"/>
    <s v="Noise Reduction"/>
    <s v="Brazil"/>
    <d v="2021-01-02T00:00:00"/>
    <d v="2021-01-02T00:00:00"/>
    <s v="BRL"/>
    <n v="181000"/>
    <n v="181000"/>
    <s v="USD"/>
    <n v="34000"/>
    <n v="34000"/>
    <b v="0"/>
    <n v="1"/>
  </r>
  <r>
    <b v="1"/>
    <x v="0"/>
    <x v="0"/>
    <x v="2"/>
    <x v="0"/>
    <x v="1"/>
    <x v="37"/>
    <s v="BBG00NQJNB18"/>
    <x v="0"/>
    <s v="72b244fd46b444aba44095c0ca650e2f"/>
    <s v="Klabin 2049"/>
    <x v="0"/>
    <x v="7"/>
    <s v="Products &amp; Systems for Efficiency"/>
    <s v="Noise Reduction"/>
    <s v="Brazil"/>
    <d v="2020-07-01T00:00:00"/>
    <d v="2020-07-01T00:00:00"/>
    <s v="BRL"/>
    <n v="557000"/>
    <n v="557000"/>
    <s v="USD"/>
    <n v="102000"/>
    <n v="102000"/>
    <b v="0"/>
    <n v="1"/>
  </r>
  <r>
    <b v="1"/>
    <x v="0"/>
    <x v="0"/>
    <x v="2"/>
    <x v="0"/>
    <x v="1"/>
    <x v="36"/>
    <s v="BBG00HPK5N13"/>
    <x v="0"/>
    <s v="7d27df26e2924c4d9fcf8ba0c0d9d684"/>
    <s v="Klabin 2027"/>
    <x v="1"/>
    <x v="12"/>
    <s v="Reduction of local emissions"/>
    <s v="Noise Reduction"/>
    <s v="Brazil"/>
    <d v="2019-07-01T00:00:00"/>
    <d v="2019-07-01T00:00:00"/>
    <s v="BRL"/>
    <n v="43000"/>
    <n v="43000"/>
    <s v="USD"/>
    <n v="11000"/>
    <n v="11000"/>
    <b v="0"/>
    <n v="1"/>
  </r>
  <r>
    <b v="1"/>
    <x v="0"/>
    <x v="0"/>
    <x v="2"/>
    <x v="0"/>
    <x v="1"/>
    <x v="36"/>
    <s v="BBG00HPK5N13"/>
    <x v="0"/>
    <s v="7d27df26e2924c4d9fcf8ba0c0d9d684"/>
    <s v="Klabin 2027"/>
    <x v="1"/>
    <x v="12"/>
    <s v="Reduction of local emissions"/>
    <s v="Noise Reduction"/>
    <s v="Brazil"/>
    <d v="2019-01-01T00:00:00"/>
    <d v="2019-01-01T00:00:00"/>
    <s v="BRL"/>
    <n v="502070"/>
    <n v="502070"/>
    <s v="USD"/>
    <n v="130540"/>
    <n v="130540"/>
    <b v="0"/>
    <n v="1"/>
  </r>
  <r>
    <b v="1"/>
    <x v="0"/>
    <x v="0"/>
    <x v="2"/>
    <x v="0"/>
    <x v="1"/>
    <x v="36"/>
    <s v="BBG00HPK5N13"/>
    <x v="0"/>
    <s v="7d27df26e2924c4d9fcf8ba0c0d9d684"/>
    <s v="Klabin 2027"/>
    <x v="1"/>
    <x v="12"/>
    <s v="Reduction of local emissions"/>
    <s v="Noise Reduction"/>
    <s v="Brazil"/>
    <d v="2018-07-01T00:00:00"/>
    <d v="2018-07-01T00:00:00"/>
    <s v="BRL"/>
    <n v="156370"/>
    <n v="156370"/>
    <s v="USD"/>
    <n v="40290"/>
    <n v="40290"/>
    <b v="0"/>
    <n v="1"/>
  </r>
  <r>
    <b v="1"/>
    <x v="0"/>
    <x v="0"/>
    <x v="2"/>
    <x v="0"/>
    <x v="1"/>
    <x v="37"/>
    <s v="BBG00NQJNB18"/>
    <x v="0"/>
    <s v="72b244fd46b444aba44095c0ca650e2f"/>
    <s v="Klabin 2049"/>
    <x v="1"/>
    <x v="12"/>
    <s v="Reduction of local emissions"/>
    <s v="Noise Reduction"/>
    <s v="Brazil"/>
    <d v="2021-01-02T00:00:00"/>
    <d v="2021-01-02T00:00:00"/>
    <s v="BRL"/>
    <n v="181000"/>
    <n v="181000"/>
    <s v="USD"/>
    <n v="34000"/>
    <n v="34000"/>
    <b v="0"/>
    <n v="1"/>
  </r>
  <r>
    <b v="1"/>
    <x v="0"/>
    <x v="0"/>
    <x v="2"/>
    <x v="0"/>
    <x v="1"/>
    <x v="37"/>
    <s v="BBG00NQJNB18"/>
    <x v="0"/>
    <s v="72b244fd46b444aba44095c0ca650e2f"/>
    <s v="Klabin 2049"/>
    <x v="1"/>
    <x v="12"/>
    <s v="Reduction of local emissions"/>
    <s v="Noise Reduction"/>
    <s v="Brazil"/>
    <d v="2020-07-01T00:00:00"/>
    <d v="2020-07-01T00:00:00"/>
    <s v="BRL"/>
    <n v="557000"/>
    <n v="557000"/>
    <s v="USD"/>
    <n v="102000"/>
    <n v="102000"/>
    <b v="0"/>
    <n v="1"/>
  </r>
  <r>
    <b v="1"/>
    <x v="0"/>
    <x v="0"/>
    <x v="2"/>
    <x v="0"/>
    <x v="1"/>
    <x v="36"/>
    <s v="BBG00HPK5N13"/>
    <x v="0"/>
    <s v="7d27df26e2924c4d9fcf8ba0c0d9d684"/>
    <s v="Klabin 2027"/>
    <x v="0"/>
    <x v="0"/>
    <s v="Bioenergy"/>
    <s v="Oil-fired boiler replacement"/>
    <s v="Brazil"/>
    <d v="2021-01-01T00:00:00"/>
    <d v="2021-01-01T00:00:00"/>
    <s v="BRL"/>
    <n v="171000"/>
    <n v="171000"/>
    <s v="USD"/>
    <n v="32000"/>
    <n v="32000"/>
    <b v="0"/>
    <n v="1"/>
  </r>
  <r>
    <b v="1"/>
    <x v="0"/>
    <x v="0"/>
    <x v="2"/>
    <x v="0"/>
    <x v="1"/>
    <x v="36"/>
    <s v="BBG00HPK5N13"/>
    <x v="0"/>
    <s v="7d27df26e2924c4d9fcf8ba0c0d9d684"/>
    <s v="Klabin 2027"/>
    <x v="0"/>
    <x v="0"/>
    <s v="Bioenergy"/>
    <s v="Oil-fired boiler replacement"/>
    <s v="Brazil"/>
    <d v="2020-07-01T00:00:00"/>
    <d v="2020-07-01T00:00:00"/>
    <s v="BRL"/>
    <n v="218000"/>
    <n v="218000"/>
    <s v="USD"/>
    <n v="40000"/>
    <n v="40000"/>
    <b v="0"/>
    <n v="1"/>
  </r>
  <r>
    <b v="1"/>
    <x v="0"/>
    <x v="0"/>
    <x v="2"/>
    <x v="0"/>
    <x v="1"/>
    <x v="36"/>
    <s v="BBG00HPK5N13"/>
    <x v="0"/>
    <s v="7d27df26e2924c4d9fcf8ba0c0d9d684"/>
    <s v="Klabin 2027"/>
    <x v="1"/>
    <x v="4"/>
    <s v="Appliances"/>
    <s v="Oil-fired boiler replacement"/>
    <s v="Brazil"/>
    <d v="2021-01-01T00:00:00"/>
    <d v="2021-01-01T00:00:00"/>
    <s v="BRL"/>
    <n v="171000"/>
    <n v="171000"/>
    <s v="USD"/>
    <n v="32000"/>
    <n v="32000"/>
    <b v="0"/>
    <n v="1"/>
  </r>
  <r>
    <b v="1"/>
    <x v="0"/>
    <x v="0"/>
    <x v="2"/>
    <x v="0"/>
    <x v="1"/>
    <x v="36"/>
    <s v="BBG00HPK5N13"/>
    <x v="0"/>
    <s v="7d27df26e2924c4d9fcf8ba0c0d9d684"/>
    <s v="Klabin 2027"/>
    <x v="1"/>
    <x v="4"/>
    <s v="Appliances"/>
    <s v="Oil-fired boiler replacement"/>
    <s v="Brazil"/>
    <d v="2020-07-01T00:00:00"/>
    <d v="2020-07-01T00:00:00"/>
    <s v="BRL"/>
    <n v="218000"/>
    <n v="218000"/>
    <s v="USD"/>
    <n v="40000"/>
    <n v="40000"/>
    <b v="0"/>
    <n v="1"/>
  </r>
  <r>
    <b v="1"/>
    <x v="0"/>
    <x v="0"/>
    <x v="2"/>
    <x v="0"/>
    <x v="1"/>
    <x v="36"/>
    <s v="BBG00HPK5N13"/>
    <x v="0"/>
    <s v="7d27df26e2924c4d9fcf8ba0c0d9d684"/>
    <s v="Klabin 2027"/>
    <x v="0"/>
    <x v="0"/>
    <s v="Solar"/>
    <s v="Photovoltaic Generations and Load Station"/>
    <s v="Brazil"/>
    <d v="2018-01-01T00:00:00"/>
    <d v="2018-01-01T00:00:00"/>
    <s v="BRL"/>
    <n v="136000"/>
    <n v="136000"/>
    <s v="USD"/>
    <n v="39681"/>
    <n v="39681"/>
    <b v="1"/>
    <n v="1"/>
  </r>
  <r>
    <b v="1"/>
    <x v="0"/>
    <x v="0"/>
    <x v="2"/>
    <x v="0"/>
    <x v="1"/>
    <x v="36"/>
    <s v="BBG00HPK5N13"/>
    <x v="0"/>
    <s v="7d27df26e2924c4d9fcf8ba0c0d9d684"/>
    <s v="Klabin 2027"/>
    <x v="1"/>
    <x v="1"/>
    <s v="Appliances"/>
    <s v="Photovoltaic Generations and Load Station"/>
    <s v="Brazil"/>
    <d v="2018-01-01T00:00:00"/>
    <d v="2018-01-01T00:00:00"/>
    <s v="BRL"/>
    <n v="136000"/>
    <n v="136000"/>
    <s v="USD"/>
    <n v="39681"/>
    <n v="39681"/>
    <b v="1"/>
    <n v="1"/>
  </r>
  <r>
    <b v="1"/>
    <x v="0"/>
    <x v="0"/>
    <x v="2"/>
    <x v="0"/>
    <x v="1"/>
    <x v="37"/>
    <s v="BBG00NQJNB18"/>
    <x v="0"/>
    <s v="72b244fd46b444aba44095c0ca650e2f"/>
    <s v="Klabin 2049"/>
    <x v="0"/>
    <x v="9"/>
    <s v="Unspecified"/>
    <s v="Pneumatic bale transport"/>
    <s v="Brazil"/>
    <d v="2021-01-03T00:00:00"/>
    <d v="2021-01-03T00:00:00"/>
    <s v="BRL"/>
    <n v="115000"/>
    <n v="115000"/>
    <s v="USD"/>
    <n v="21000"/>
    <n v="21000"/>
    <b v="0"/>
    <n v="1"/>
  </r>
  <r>
    <b v="1"/>
    <x v="0"/>
    <x v="0"/>
    <x v="2"/>
    <x v="0"/>
    <x v="1"/>
    <x v="37"/>
    <s v="BBG00NQJNB18"/>
    <x v="0"/>
    <s v="72b244fd46b444aba44095c0ca650e2f"/>
    <s v="Klabin 2049"/>
    <x v="0"/>
    <x v="9"/>
    <s v="Unspecified"/>
    <s v="Pneumatic bale transport"/>
    <s v="Brazil"/>
    <d v="2020-07-01T00:00:00"/>
    <d v="2020-07-01T00:00:00"/>
    <s v="BRL"/>
    <n v="737000"/>
    <n v="737000"/>
    <s v="USD"/>
    <n v="136000"/>
    <n v="136000"/>
    <b v="0"/>
    <n v="1"/>
  </r>
  <r>
    <b v="1"/>
    <x v="0"/>
    <x v="0"/>
    <x v="2"/>
    <x v="0"/>
    <x v="1"/>
    <x v="37"/>
    <s v="BBG00NQJNB18"/>
    <x v="0"/>
    <s v="72b244fd46b444aba44095c0ca650e2f"/>
    <s v="Klabin 2049"/>
    <x v="1"/>
    <x v="16"/>
    <s v="Packaging"/>
    <s v="Pneumatic bale transport"/>
    <s v="Brazil"/>
    <d v="2021-01-03T00:00:00"/>
    <d v="2021-01-03T00:00:00"/>
    <s v="BRL"/>
    <n v="115000"/>
    <n v="115000"/>
    <s v="USD"/>
    <n v="21000"/>
    <n v="21000"/>
    <b v="0"/>
    <n v="1"/>
  </r>
  <r>
    <b v="1"/>
    <x v="0"/>
    <x v="0"/>
    <x v="2"/>
    <x v="0"/>
    <x v="1"/>
    <x v="37"/>
    <s v="BBG00NQJNB18"/>
    <x v="0"/>
    <s v="72b244fd46b444aba44095c0ca650e2f"/>
    <s v="Klabin 2049"/>
    <x v="1"/>
    <x v="16"/>
    <s v="Packaging"/>
    <s v="Pneumatic bale transport"/>
    <s v="Brazil"/>
    <d v="2020-07-01T00:00:00"/>
    <d v="2020-07-01T00:00:00"/>
    <s v="BRL"/>
    <n v="737000"/>
    <n v="737000"/>
    <s v="USD"/>
    <n v="136000"/>
    <n v="136000"/>
    <b v="0"/>
    <n v="1"/>
  </r>
  <r>
    <b v="1"/>
    <x v="0"/>
    <x v="0"/>
    <x v="2"/>
    <x v="0"/>
    <x v="1"/>
    <x v="36"/>
    <s v="BBG00HPK5N13"/>
    <x v="0"/>
    <s v="7d27df26e2924c4d9fcf8ba0c0d9d684"/>
    <s v="Klabin 2027"/>
    <x v="0"/>
    <x v="7"/>
    <s v="Products &amp; Systems for Efficiency"/>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0"/>
    <x v="7"/>
    <s v="Products &amp; Systems for Efficiency"/>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0"/>
    <x v="7"/>
    <s v="Products &amp; Systems for Efficiency"/>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0"/>
    <x v="7"/>
    <s v="Products &amp; Systems for Efficiency"/>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1"/>
    <x v="4"/>
    <s v="Appliances"/>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1"/>
    <x v="4"/>
    <s v="Appliances"/>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1"/>
    <x v="4"/>
    <s v="Appliances"/>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1"/>
    <x v="4"/>
    <s v="Appliances"/>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0"/>
    <x v="10"/>
    <s v="Commercial Forestry"/>
    <s v="Producers Certification"/>
    <s v="Brazil"/>
    <d v="2021-01-01T00:00:00"/>
    <d v="2021-01-01T00:00:00"/>
    <s v="BRL"/>
    <n v="1836000"/>
    <n v="1836000"/>
    <s v="USD"/>
    <n v="341000"/>
    <n v="341000"/>
    <b v="0"/>
    <n v="1"/>
  </r>
  <r>
    <b v="1"/>
    <x v="0"/>
    <x v="0"/>
    <x v="2"/>
    <x v="0"/>
    <x v="1"/>
    <x v="36"/>
    <s v="BBG00HPK5N13"/>
    <x v="0"/>
    <s v="7d27df26e2924c4d9fcf8ba0c0d9d684"/>
    <s v="Klabin 2027"/>
    <x v="0"/>
    <x v="10"/>
    <s v="Commercial Forestry"/>
    <s v="Producers Certification"/>
    <s v="Brazil"/>
    <d v="2020-07-01T00:00:00"/>
    <d v="2020-07-01T00:00:00"/>
    <s v="BRL"/>
    <n v="2358000"/>
    <n v="2358000"/>
    <s v="USD"/>
    <n v="434000"/>
    <n v="434000"/>
    <b v="0"/>
    <n v="1"/>
  </r>
  <r>
    <b v="1"/>
    <x v="0"/>
    <x v="0"/>
    <x v="2"/>
    <x v="0"/>
    <x v="1"/>
    <x v="36"/>
    <s v="BBG00HPK5N13"/>
    <x v="0"/>
    <s v="7d27df26e2924c4d9fcf8ba0c0d9d684"/>
    <s v="Klabin 2027"/>
    <x v="0"/>
    <x v="10"/>
    <s v="Commercial Forestry"/>
    <s v="Producers Certification"/>
    <s v="Brazil"/>
    <d v="2020-01-01T00:00:00"/>
    <d v="2020-01-01T00:00:00"/>
    <s v="BRL"/>
    <n v="1315000"/>
    <n v="1315000"/>
    <s v="USD"/>
    <n v="267000"/>
    <n v="267000"/>
    <b v="0"/>
    <n v="1"/>
  </r>
  <r>
    <b v="1"/>
    <x v="0"/>
    <x v="0"/>
    <x v="2"/>
    <x v="0"/>
    <x v="1"/>
    <x v="36"/>
    <s v="BBG00HPK5N13"/>
    <x v="0"/>
    <s v="7d27df26e2924c4d9fcf8ba0c0d9d684"/>
    <s v="Klabin 2027"/>
    <x v="0"/>
    <x v="10"/>
    <s v="Commercial Forestry"/>
    <s v="Producers Certification"/>
    <s v="Brazil"/>
    <d v="2019-07-01T00:00:00"/>
    <d v="2019-07-01T00:00:00"/>
    <s v="BRL"/>
    <n v="1667000"/>
    <n v="1667000"/>
    <s v="USD"/>
    <n v="411000"/>
    <n v="411000"/>
    <b v="0"/>
    <n v="1"/>
  </r>
  <r>
    <b v="1"/>
    <x v="0"/>
    <x v="0"/>
    <x v="2"/>
    <x v="0"/>
    <x v="1"/>
    <x v="36"/>
    <s v="BBG00HPK5N13"/>
    <x v="0"/>
    <s v="7d27df26e2924c4d9fcf8ba0c0d9d684"/>
    <s v="Klabin 2027"/>
    <x v="1"/>
    <x v="11"/>
    <s v="Forestry"/>
    <s v="Producers Certification"/>
    <s v="Brazil"/>
    <d v="2021-01-01T00:00:00"/>
    <d v="2021-01-01T00:00:00"/>
    <s v="BRL"/>
    <n v="1836000"/>
    <n v="1836000"/>
    <s v="USD"/>
    <n v="341000"/>
    <n v="341000"/>
    <b v="0"/>
    <n v="1"/>
  </r>
  <r>
    <b v="1"/>
    <x v="0"/>
    <x v="0"/>
    <x v="2"/>
    <x v="0"/>
    <x v="1"/>
    <x v="36"/>
    <s v="BBG00HPK5N13"/>
    <x v="0"/>
    <s v="7d27df26e2924c4d9fcf8ba0c0d9d684"/>
    <s v="Klabin 2027"/>
    <x v="1"/>
    <x v="11"/>
    <s v="Forestry"/>
    <s v="Producers Certification"/>
    <s v="Brazil"/>
    <d v="2020-07-01T00:00:00"/>
    <d v="2020-07-01T00:00:00"/>
    <s v="BRL"/>
    <n v="2358000"/>
    <n v="2358000"/>
    <s v="USD"/>
    <n v="434000"/>
    <n v="434000"/>
    <b v="0"/>
    <n v="1"/>
  </r>
  <r>
    <b v="1"/>
    <x v="0"/>
    <x v="0"/>
    <x v="2"/>
    <x v="0"/>
    <x v="1"/>
    <x v="36"/>
    <s v="BBG00HPK5N13"/>
    <x v="0"/>
    <s v="7d27df26e2924c4d9fcf8ba0c0d9d684"/>
    <s v="Klabin 2027"/>
    <x v="1"/>
    <x v="11"/>
    <s v="Forestry"/>
    <s v="Producers Certification"/>
    <s v="Brazil"/>
    <d v="2020-01-01T00:00:00"/>
    <d v="2020-01-01T00:00:00"/>
    <s v="BRL"/>
    <n v="1315000"/>
    <n v="1315000"/>
    <s v="USD"/>
    <n v="267000"/>
    <n v="267000"/>
    <b v="0"/>
    <n v="1"/>
  </r>
  <r>
    <b v="1"/>
    <x v="0"/>
    <x v="0"/>
    <x v="2"/>
    <x v="0"/>
    <x v="1"/>
    <x v="36"/>
    <s v="BBG00HPK5N13"/>
    <x v="0"/>
    <s v="7d27df26e2924c4d9fcf8ba0c0d9d684"/>
    <s v="Klabin 2027"/>
    <x v="1"/>
    <x v="11"/>
    <s v="Forestry"/>
    <s v="Producers Certification"/>
    <s v="Brazil"/>
    <d v="2019-07-01T00:00:00"/>
    <d v="2019-07-01T00:00:00"/>
    <s v="BRL"/>
    <n v="1667000"/>
    <n v="1667000"/>
    <s v="USD"/>
    <n v="411000"/>
    <n v="411000"/>
    <b v="0"/>
    <n v="1"/>
  </r>
  <r>
    <b v="1"/>
    <x v="0"/>
    <x v="0"/>
    <x v="2"/>
    <x v="0"/>
    <x v="1"/>
    <x v="36"/>
    <s v="BBG00HPK5N13"/>
    <x v="0"/>
    <s v="7d27df26e2924c4d9fcf8ba0c0d9d684"/>
    <s v="Klabin 2027"/>
    <x v="0"/>
    <x v="2"/>
    <s v="Monitoring"/>
    <s v="Projects to reduce water consumption"/>
    <s v="Brazil"/>
    <d v="2021-01-01T00:00:00"/>
    <d v="2021-01-01T00:00:00"/>
    <s v="BRL"/>
    <n v="294000"/>
    <n v="294000"/>
    <s v="USD"/>
    <n v="55000"/>
    <n v="55000"/>
    <b v="0"/>
    <n v="1"/>
  </r>
  <r>
    <b v="1"/>
    <x v="0"/>
    <x v="0"/>
    <x v="2"/>
    <x v="0"/>
    <x v="1"/>
    <x v="36"/>
    <s v="BBG00HPK5N13"/>
    <x v="0"/>
    <s v="7d27df26e2924c4d9fcf8ba0c0d9d684"/>
    <s v="Klabin 2027"/>
    <x v="0"/>
    <x v="2"/>
    <s v="Monitoring"/>
    <s v="Projects to reduce water consumption"/>
    <s v="Brazil"/>
    <d v="2020-07-01T00:00:00"/>
    <d v="2020-07-01T00:00:00"/>
    <s v="BRL"/>
    <n v="516000"/>
    <n v="516000"/>
    <s v="USD"/>
    <n v="95000"/>
    <n v="95000"/>
    <b v="0"/>
    <n v="1"/>
  </r>
  <r>
    <b v="1"/>
    <x v="0"/>
    <x v="0"/>
    <x v="2"/>
    <x v="0"/>
    <x v="1"/>
    <x v="36"/>
    <s v="BBG00HPK5N13"/>
    <x v="0"/>
    <s v="7d27df26e2924c4d9fcf8ba0c0d9d684"/>
    <s v="Klabin 2027"/>
    <x v="1"/>
    <x v="3"/>
    <s v="Wastewater treatment"/>
    <s v="Projects to reduce water consumption"/>
    <s v="Brazil"/>
    <d v="2021-01-01T00:00:00"/>
    <d v="2021-01-01T00:00:00"/>
    <s v="BRL"/>
    <n v="294000"/>
    <n v="294000"/>
    <s v="USD"/>
    <n v="55000"/>
    <n v="55000"/>
    <b v="0"/>
    <n v="1"/>
  </r>
  <r>
    <b v="1"/>
    <x v="0"/>
    <x v="0"/>
    <x v="2"/>
    <x v="0"/>
    <x v="1"/>
    <x v="36"/>
    <s v="BBG00HPK5N13"/>
    <x v="0"/>
    <s v="7d27df26e2924c4d9fcf8ba0c0d9d684"/>
    <s v="Klabin 2027"/>
    <x v="1"/>
    <x v="3"/>
    <s v="Wastewater treatment"/>
    <s v="Projects to reduce water consumption"/>
    <s v="Brazil"/>
    <d v="2020-07-01T00:00:00"/>
    <d v="2020-07-01T00:00:00"/>
    <s v="BRL"/>
    <n v="516000"/>
    <n v="516000"/>
    <s v="USD"/>
    <n v="95000"/>
    <n v="95000"/>
    <b v="0"/>
    <n v="1"/>
  </r>
  <r>
    <b v="1"/>
    <x v="0"/>
    <x v="0"/>
    <x v="2"/>
    <x v="0"/>
    <x v="1"/>
    <x v="36"/>
    <s v="BBG00HPK5N13"/>
    <x v="0"/>
    <s v="7d27df26e2924c4d9fcf8ba0c0d9d684"/>
    <s v="Klabin 2027"/>
    <x v="0"/>
    <x v="10"/>
    <s v="Ecosystem Conservation &amp; Restoration"/>
    <s v="Property Protection in PR"/>
    <s v="Brazil"/>
    <d v="2019-01-01T00:00:00"/>
    <d v="2019-01-01T00:00:00"/>
    <s v="BRL"/>
    <n v="1586010"/>
    <n v="1586010"/>
    <s v="USD"/>
    <n v="412390"/>
    <n v="412390"/>
    <b v="0"/>
    <n v="1"/>
  </r>
  <r>
    <b v="1"/>
    <x v="0"/>
    <x v="0"/>
    <x v="2"/>
    <x v="0"/>
    <x v="1"/>
    <x v="36"/>
    <s v="BBG00HPK5N13"/>
    <x v="0"/>
    <s v="7d27df26e2924c4d9fcf8ba0c0d9d684"/>
    <s v="Klabin 2027"/>
    <x v="0"/>
    <x v="10"/>
    <s v="Ecosystem Conservation &amp; Restoration"/>
    <s v="Property Protection in PR"/>
    <s v="Brazil"/>
    <d v="2018-07-01T00:00:00"/>
    <d v="2018-07-01T00:00:00"/>
    <s v="BRL"/>
    <n v="177960"/>
    <n v="177960"/>
    <s v="USD"/>
    <n v="45860"/>
    <n v="45860"/>
    <b v="0"/>
    <n v="1"/>
  </r>
  <r>
    <b v="1"/>
    <x v="0"/>
    <x v="0"/>
    <x v="2"/>
    <x v="0"/>
    <x v="1"/>
    <x v="36"/>
    <s v="BBG00HPK5N13"/>
    <x v="0"/>
    <s v="7d27df26e2924c4d9fcf8ba0c0d9d684"/>
    <s v="Klabin 2027"/>
    <x v="1"/>
    <x v="11"/>
    <s v="Natural landscapes"/>
    <s v="Property Protection in PR"/>
    <s v="Brazil"/>
    <d v="2019-01-01T00:00:00"/>
    <d v="2019-01-01T00:00:00"/>
    <s v="BRL"/>
    <n v="1586010"/>
    <n v="1586010"/>
    <s v="USD"/>
    <n v="412390"/>
    <n v="412390"/>
    <b v="0"/>
    <n v="1"/>
  </r>
  <r>
    <b v="1"/>
    <x v="0"/>
    <x v="0"/>
    <x v="2"/>
    <x v="0"/>
    <x v="1"/>
    <x v="36"/>
    <s v="BBG00HPK5N13"/>
    <x v="0"/>
    <s v="7d27df26e2924c4d9fcf8ba0c0d9d684"/>
    <s v="Klabin 2027"/>
    <x v="1"/>
    <x v="11"/>
    <s v="Natural landscapes"/>
    <s v="Property Protection in PR"/>
    <s v="Brazil"/>
    <d v="2018-07-01T00:00:00"/>
    <d v="2018-07-01T00:00:00"/>
    <s v="BRL"/>
    <n v="177960"/>
    <n v="177960"/>
    <s v="USD"/>
    <n v="45860"/>
    <n v="45860"/>
    <b v="0"/>
    <n v="1"/>
  </r>
  <r>
    <b v="1"/>
    <x v="0"/>
    <x v="0"/>
    <x v="2"/>
    <x v="0"/>
    <x v="1"/>
    <x v="36"/>
    <s v="BBG00HPK5N13"/>
    <x v="0"/>
    <s v="7d27df26e2924c4d9fcf8ba0c0d9d684"/>
    <s v="Klabin 2027"/>
    <x v="0"/>
    <x v="10"/>
    <s v="Commercial Forestry"/>
    <s v="Purchase of Wood"/>
    <s v="Brazil"/>
    <d v="2021-01-01T00:00:00"/>
    <d v="2021-01-01T00:00:00"/>
    <s v="BRL"/>
    <n v="156794000"/>
    <n v="156794000"/>
    <s v="USD"/>
    <n v="29089000"/>
    <n v="29089000"/>
    <b v="0"/>
    <n v="1"/>
  </r>
  <r>
    <b v="1"/>
    <x v="0"/>
    <x v="0"/>
    <x v="2"/>
    <x v="0"/>
    <x v="1"/>
    <x v="36"/>
    <s v="BBG00HPK5N13"/>
    <x v="0"/>
    <s v="7d27df26e2924c4d9fcf8ba0c0d9d684"/>
    <s v="Klabin 2027"/>
    <x v="0"/>
    <x v="10"/>
    <s v="Commercial Forestry"/>
    <s v="Purchase of Wood"/>
    <s v="Brazil"/>
    <d v="2020-07-01T00:00:00"/>
    <d v="2020-07-01T00:00:00"/>
    <s v="BRL"/>
    <n v="147935000"/>
    <n v="147935000"/>
    <s v="USD"/>
    <n v="27214000"/>
    <n v="27214000"/>
    <b v="0"/>
    <n v="1"/>
  </r>
  <r>
    <b v="1"/>
    <x v="0"/>
    <x v="0"/>
    <x v="2"/>
    <x v="0"/>
    <x v="1"/>
    <x v="36"/>
    <s v="BBG00HPK5N13"/>
    <x v="0"/>
    <s v="7d27df26e2924c4d9fcf8ba0c0d9d684"/>
    <s v="Klabin 2027"/>
    <x v="0"/>
    <x v="10"/>
    <s v="Commercial Forestry"/>
    <s v="Purchase of Wood"/>
    <s v="Brazil"/>
    <d v="2018-01-01T00:00:00"/>
    <d v="2018-01-01T00:00:00"/>
    <s v="BRL"/>
    <n v="29207000"/>
    <n v="29207000"/>
    <s v="USD"/>
    <n v="8521620"/>
    <n v="8521620"/>
    <b v="0"/>
    <n v="1"/>
  </r>
  <r>
    <b v="1"/>
    <x v="0"/>
    <x v="0"/>
    <x v="2"/>
    <x v="0"/>
    <x v="1"/>
    <x v="36"/>
    <s v="BBG00HPK5N13"/>
    <x v="0"/>
    <s v="7d27df26e2924c4d9fcf8ba0c0d9d684"/>
    <s v="Klabin 2027"/>
    <x v="0"/>
    <x v="10"/>
    <s v="Commercial Forestry"/>
    <s v="Purchase of Wood"/>
    <s v="Brazil"/>
    <d v="2017-06-01T00:00:00"/>
    <d v="2017-06-01T00:00:00"/>
    <s v="BRL"/>
    <n v="21682000"/>
    <n v="21682000"/>
    <s v="USD"/>
    <n v="6791543"/>
    <n v="6791543"/>
    <b v="0"/>
    <n v="1"/>
  </r>
  <r>
    <b v="1"/>
    <x v="0"/>
    <x v="0"/>
    <x v="2"/>
    <x v="0"/>
    <x v="1"/>
    <x v="36"/>
    <s v="BBG00HPK5N13"/>
    <x v="0"/>
    <s v="7d27df26e2924c4d9fcf8ba0c0d9d684"/>
    <s v="Klabin 2027"/>
    <x v="0"/>
    <x v="10"/>
    <s v="Commercial Forestry"/>
    <s v="Purchase of Wood"/>
    <s v="Brazil"/>
    <d v="2016-06-01T00:00:00"/>
    <d v="2016-06-01T00:00:00"/>
    <s v="BRL"/>
    <n v="140676000"/>
    <n v="140676000"/>
    <s v="USD"/>
    <n v="40385842"/>
    <n v="40385842"/>
    <b v="0"/>
    <n v="1"/>
  </r>
  <r>
    <b v="1"/>
    <x v="0"/>
    <x v="0"/>
    <x v="2"/>
    <x v="0"/>
    <x v="1"/>
    <x v="36"/>
    <s v="BBG00HPK5N13"/>
    <x v="0"/>
    <s v="7d27df26e2924c4d9fcf8ba0c0d9d684"/>
    <s v="Klabin 2027"/>
    <x v="0"/>
    <x v="10"/>
    <s v="Commercial Forestry"/>
    <s v="Purchase of Wood"/>
    <s v="Brazil"/>
    <d v="2015-09-01T00:00:00"/>
    <d v="2015-09-01T00:00:00"/>
    <s v="BRL"/>
    <n v="18663000"/>
    <n v="18663000"/>
    <s v="USD"/>
    <n v="5589901"/>
    <n v="5589901"/>
    <b v="0"/>
    <n v="1"/>
  </r>
  <r>
    <b v="1"/>
    <x v="0"/>
    <x v="0"/>
    <x v="2"/>
    <x v="0"/>
    <x v="1"/>
    <x v="36"/>
    <s v="BBG00HPK5N13"/>
    <x v="0"/>
    <s v="7d27df26e2924c4d9fcf8ba0c0d9d684"/>
    <s v="Klabin 2027"/>
    <x v="0"/>
    <x v="10"/>
    <s v="Commercial Forestry"/>
    <s v="Purchase of Wood"/>
    <s v="Brazil"/>
    <d v="2020-01-01T00:00:00"/>
    <d v="2020-01-01T00:00:00"/>
    <s v="BRL"/>
    <n v="266819000"/>
    <n v="266819000"/>
    <s v="USD"/>
    <n v="54195000"/>
    <n v="54195000"/>
    <b v="0"/>
    <n v="1"/>
  </r>
  <r>
    <b v="1"/>
    <x v="0"/>
    <x v="0"/>
    <x v="2"/>
    <x v="0"/>
    <x v="1"/>
    <x v="36"/>
    <s v="BBG00HPK5N13"/>
    <x v="0"/>
    <s v="7d27df26e2924c4d9fcf8ba0c0d9d684"/>
    <s v="Klabin 2027"/>
    <x v="0"/>
    <x v="10"/>
    <s v="Commercial Forestry"/>
    <s v="Purchase of Wood"/>
    <s v="Brazil"/>
    <d v="2019-07-01T00:00:00"/>
    <d v="2019-07-01T00:00:00"/>
    <s v="BRL"/>
    <n v="63284000"/>
    <n v="63284000"/>
    <s v="USD"/>
    <n v="15609000"/>
    <n v="15609000"/>
    <b v="0"/>
    <n v="1"/>
  </r>
  <r>
    <b v="1"/>
    <x v="0"/>
    <x v="0"/>
    <x v="2"/>
    <x v="0"/>
    <x v="1"/>
    <x v="36"/>
    <s v="BBG00HPK5N13"/>
    <x v="0"/>
    <s v="7d27df26e2924c4d9fcf8ba0c0d9d684"/>
    <s v="Klabin 2027"/>
    <x v="0"/>
    <x v="10"/>
    <s v="Commercial Forestry"/>
    <s v="Purchase of Wood"/>
    <s v="Brazil"/>
    <d v="2019-01-01T00:00:00"/>
    <d v="2019-01-01T00:00:00"/>
    <s v="BRL"/>
    <n v="112021550"/>
    <n v="112021550"/>
    <s v="USD"/>
    <n v="29127530"/>
    <n v="29127530"/>
    <b v="0"/>
    <n v="1"/>
  </r>
  <r>
    <b v="1"/>
    <x v="0"/>
    <x v="0"/>
    <x v="2"/>
    <x v="0"/>
    <x v="1"/>
    <x v="36"/>
    <s v="BBG00HPK5N13"/>
    <x v="0"/>
    <s v="7d27df26e2924c4d9fcf8ba0c0d9d684"/>
    <s v="Klabin 2027"/>
    <x v="1"/>
    <x v="11"/>
    <s v="Forestry"/>
    <s v="Purchase of Wood"/>
    <s v="Brazil"/>
    <d v="2021-01-01T00:00:00"/>
    <d v="2021-01-01T00:00:00"/>
    <s v="BRL"/>
    <n v="156794000"/>
    <n v="156794000"/>
    <s v="USD"/>
    <n v="29089000"/>
    <n v="29089000"/>
    <b v="0"/>
    <n v="1"/>
  </r>
  <r>
    <b v="1"/>
    <x v="0"/>
    <x v="0"/>
    <x v="2"/>
    <x v="0"/>
    <x v="1"/>
    <x v="36"/>
    <s v="BBG00HPK5N13"/>
    <x v="0"/>
    <s v="7d27df26e2924c4d9fcf8ba0c0d9d684"/>
    <s v="Klabin 2027"/>
    <x v="1"/>
    <x v="11"/>
    <s v="Forestry"/>
    <s v="Purchase of Wood"/>
    <s v="Brazil"/>
    <d v="2020-07-01T00:00:00"/>
    <d v="2020-07-01T00:00:00"/>
    <s v="BRL"/>
    <n v="147935000"/>
    <n v="147935000"/>
    <s v="USD"/>
    <n v="27214000"/>
    <n v="27214000"/>
    <b v="0"/>
    <n v="1"/>
  </r>
  <r>
    <b v="1"/>
    <x v="0"/>
    <x v="0"/>
    <x v="2"/>
    <x v="0"/>
    <x v="1"/>
    <x v="36"/>
    <s v="BBG00HPK5N13"/>
    <x v="0"/>
    <s v="7d27df26e2924c4d9fcf8ba0c0d9d684"/>
    <s v="Klabin 2027"/>
    <x v="1"/>
    <x v="11"/>
    <s v="Forestry"/>
    <s v="Purchase of Wood"/>
    <s v="Brazil"/>
    <d v="2018-01-01T00:00:00"/>
    <d v="2018-01-01T00:00:00"/>
    <s v="BRL"/>
    <n v="29207000"/>
    <n v="29207000"/>
    <s v="USD"/>
    <n v="8521620"/>
    <n v="8521620"/>
    <b v="0"/>
    <n v="1"/>
  </r>
  <r>
    <b v="1"/>
    <x v="0"/>
    <x v="0"/>
    <x v="2"/>
    <x v="0"/>
    <x v="1"/>
    <x v="36"/>
    <s v="BBG00HPK5N13"/>
    <x v="0"/>
    <s v="7d27df26e2924c4d9fcf8ba0c0d9d684"/>
    <s v="Klabin 2027"/>
    <x v="1"/>
    <x v="11"/>
    <s v="Forestry"/>
    <s v="Purchase of Wood"/>
    <s v="Brazil"/>
    <d v="2017-06-01T00:00:00"/>
    <d v="2017-06-01T00:00:00"/>
    <s v="BRL"/>
    <n v="21682000"/>
    <n v="21682000"/>
    <s v="USD"/>
    <n v="6791543"/>
    <n v="6791543"/>
    <b v="0"/>
    <n v="1"/>
  </r>
  <r>
    <b v="1"/>
    <x v="0"/>
    <x v="0"/>
    <x v="2"/>
    <x v="0"/>
    <x v="1"/>
    <x v="36"/>
    <s v="BBG00HPK5N13"/>
    <x v="0"/>
    <s v="7d27df26e2924c4d9fcf8ba0c0d9d684"/>
    <s v="Klabin 2027"/>
    <x v="1"/>
    <x v="11"/>
    <s v="Forestry"/>
    <s v="Purchase of Wood"/>
    <s v="Brazil"/>
    <d v="2016-06-01T00:00:00"/>
    <d v="2016-06-01T00:00:00"/>
    <s v="BRL"/>
    <n v="140676000"/>
    <n v="140676000"/>
    <s v="USD"/>
    <n v="40385842"/>
    <n v="40385842"/>
    <b v="0"/>
    <n v="1"/>
  </r>
  <r>
    <b v="1"/>
    <x v="0"/>
    <x v="0"/>
    <x v="2"/>
    <x v="0"/>
    <x v="1"/>
    <x v="36"/>
    <s v="BBG00HPK5N13"/>
    <x v="0"/>
    <s v="7d27df26e2924c4d9fcf8ba0c0d9d684"/>
    <s v="Klabin 2027"/>
    <x v="1"/>
    <x v="11"/>
    <s v="Forestry"/>
    <s v="Purchase of Wood"/>
    <s v="Brazil"/>
    <d v="2015-09-01T00:00:00"/>
    <d v="2015-09-01T00:00:00"/>
    <s v="BRL"/>
    <n v="18663000"/>
    <n v="18663000"/>
    <s v="USD"/>
    <n v="5589901"/>
    <n v="5589901"/>
    <b v="0"/>
    <n v="1"/>
  </r>
  <r>
    <b v="1"/>
    <x v="0"/>
    <x v="0"/>
    <x v="2"/>
    <x v="0"/>
    <x v="1"/>
    <x v="36"/>
    <s v="BBG00HPK5N13"/>
    <x v="0"/>
    <s v="7d27df26e2924c4d9fcf8ba0c0d9d684"/>
    <s v="Klabin 2027"/>
    <x v="1"/>
    <x v="11"/>
    <s v="Forestry"/>
    <s v="Purchase of Wood"/>
    <s v="Brazil"/>
    <d v="2020-01-01T00:00:00"/>
    <d v="2020-01-01T00:00:00"/>
    <s v="BRL"/>
    <n v="266819000"/>
    <n v="266819000"/>
    <s v="USD"/>
    <n v="54195000"/>
    <n v="54195000"/>
    <b v="0"/>
    <n v="1"/>
  </r>
  <r>
    <b v="1"/>
    <x v="0"/>
    <x v="0"/>
    <x v="2"/>
    <x v="0"/>
    <x v="1"/>
    <x v="36"/>
    <s v="BBG00HPK5N13"/>
    <x v="0"/>
    <s v="7d27df26e2924c4d9fcf8ba0c0d9d684"/>
    <s v="Klabin 2027"/>
    <x v="1"/>
    <x v="11"/>
    <s v="Forestry"/>
    <s v="Purchase of Wood"/>
    <s v="Brazil"/>
    <d v="2019-07-01T00:00:00"/>
    <d v="2019-07-01T00:00:00"/>
    <s v="BRL"/>
    <n v="63284000"/>
    <n v="63284000"/>
    <s v="USD"/>
    <n v="15609000"/>
    <n v="15609000"/>
    <b v="0"/>
    <n v="1"/>
  </r>
  <r>
    <b v="1"/>
    <x v="0"/>
    <x v="0"/>
    <x v="2"/>
    <x v="0"/>
    <x v="1"/>
    <x v="36"/>
    <s v="BBG00HPK5N13"/>
    <x v="0"/>
    <s v="7d27df26e2924c4d9fcf8ba0c0d9d684"/>
    <s v="Klabin 2027"/>
    <x v="1"/>
    <x v="11"/>
    <s v="Forestry"/>
    <s v="Purchase of Wood"/>
    <s v="Brazil"/>
    <d v="2019-01-01T00:00:00"/>
    <d v="2019-01-01T00:00:00"/>
    <s v="BRL"/>
    <n v="112021550"/>
    <n v="112021550"/>
    <s v="USD"/>
    <n v="29127530"/>
    <n v="29127530"/>
    <b v="0"/>
    <n v="1"/>
  </r>
  <r>
    <b v="1"/>
    <x v="0"/>
    <x v="0"/>
    <x v="2"/>
    <x v="0"/>
    <x v="1"/>
    <x v="36"/>
    <s v="BBG00HPK5N13"/>
    <x v="0"/>
    <s v="7d27df26e2924c4d9fcf8ba0c0d9d684"/>
    <s v="Klabin 2027"/>
    <x v="0"/>
    <x v="5"/>
    <s v="Freight Rail"/>
    <s v="Railroad, wagons and locomotives"/>
    <s v="Brazil"/>
    <d v="2016-06-01T00:00:00"/>
    <d v="2016-06-01T00:00:00"/>
    <s v="BRL"/>
    <n v="57932000"/>
    <n v="57932000"/>
    <s v="USD"/>
    <n v="16631356"/>
    <n v="16631356"/>
    <b v="1"/>
    <n v="1"/>
  </r>
  <r>
    <b v="1"/>
    <x v="0"/>
    <x v="0"/>
    <x v="2"/>
    <x v="0"/>
    <x v="1"/>
    <x v="36"/>
    <s v="BBG00HPK5N13"/>
    <x v="0"/>
    <s v="7d27df26e2924c4d9fcf8ba0c0d9d684"/>
    <s v="Klabin 2027"/>
    <x v="0"/>
    <x v="5"/>
    <s v="Freight Rail"/>
    <s v="Railroad, wagons and locomotives"/>
    <s v="Brazil"/>
    <d v="2015-09-01T00:00:00"/>
    <d v="2015-09-01T00:00:00"/>
    <s v="BRL"/>
    <n v="24130000"/>
    <n v="24130000"/>
    <s v="USD"/>
    <n v="7227364"/>
    <n v="7227364"/>
    <b v="1"/>
    <n v="1"/>
  </r>
  <r>
    <b v="1"/>
    <x v="0"/>
    <x v="0"/>
    <x v="2"/>
    <x v="0"/>
    <x v="1"/>
    <x v="36"/>
    <s v="BBG00HPK5N13"/>
    <x v="0"/>
    <s v="7d27df26e2924c4d9fcf8ba0c0d9d684"/>
    <s v="Klabin 2027"/>
    <x v="1"/>
    <x v="6"/>
    <s v="Rail"/>
    <s v="Railroad, wagons and locomotives"/>
    <s v="Brazil"/>
    <d v="2016-06-01T00:00:00"/>
    <d v="2016-06-01T00:00:00"/>
    <s v="BRL"/>
    <n v="57932000"/>
    <n v="57932000"/>
    <s v="USD"/>
    <n v="16631356"/>
    <n v="16631356"/>
    <b v="1"/>
    <n v="1"/>
  </r>
  <r>
    <b v="1"/>
    <x v="0"/>
    <x v="0"/>
    <x v="2"/>
    <x v="0"/>
    <x v="1"/>
    <x v="36"/>
    <s v="BBG00HPK5N13"/>
    <x v="0"/>
    <s v="7d27df26e2924c4d9fcf8ba0c0d9d684"/>
    <s v="Klabin 2027"/>
    <x v="1"/>
    <x v="6"/>
    <s v="Rail"/>
    <s v="Railroad, wagons and locomotives"/>
    <s v="Brazil"/>
    <d v="2015-09-01T00:00:00"/>
    <d v="2015-09-01T00:00:00"/>
    <s v="BRL"/>
    <n v="24130000"/>
    <n v="24130000"/>
    <s v="USD"/>
    <n v="7227364"/>
    <n v="7227364"/>
    <b v="1"/>
    <n v="1"/>
  </r>
  <r>
    <b v="1"/>
    <x v="0"/>
    <x v="0"/>
    <x v="2"/>
    <x v="0"/>
    <x v="1"/>
    <x v="36"/>
    <s v="BBG00HPK5N13"/>
    <x v="0"/>
    <s v="7d27df26e2924c4d9fcf8ba0c0d9d684"/>
    <s v="Klabin 2027"/>
    <x v="0"/>
    <x v="10"/>
    <s v="Ecosystem Conservation &amp; Restor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0"/>
    <x v="10"/>
    <s v="Ecosystem Conservation &amp; Restor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0"/>
    <x v="10"/>
    <s v="Ecosystem Conservation &amp; Restor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1"/>
    <x v="11"/>
    <s v="Reforest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1"/>
    <x v="11"/>
    <s v="Reforest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1"/>
    <x v="11"/>
    <s v="Reforest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0"/>
    <x v="7"/>
    <s v="Products &amp; Systems for Efficiency"/>
    <s v="Reduction of Atmospheric Emissions"/>
    <s v="Brazil"/>
    <d v="2021-01-01T00:00:00"/>
    <d v="2021-01-01T00:00:00"/>
    <s v="BRL"/>
    <n v="10741000"/>
    <n v="10741000"/>
    <s v="USD"/>
    <n v="1993000"/>
    <n v="1993000"/>
    <b v="0"/>
    <n v="1"/>
  </r>
  <r>
    <b v="1"/>
    <x v="0"/>
    <x v="0"/>
    <x v="2"/>
    <x v="0"/>
    <x v="1"/>
    <x v="36"/>
    <s v="BBG00HPK5N13"/>
    <x v="0"/>
    <s v="7d27df26e2924c4d9fcf8ba0c0d9d684"/>
    <s v="Klabin 2027"/>
    <x v="0"/>
    <x v="7"/>
    <s v="Products &amp; Systems for Efficiency"/>
    <s v="Reduction of Atmospheric Emissions"/>
    <s v="Brazil"/>
    <d v="2020-07-01T00:00:00"/>
    <d v="2020-07-01T00:00:00"/>
    <s v="BRL"/>
    <n v="6253000"/>
    <n v="6253000"/>
    <s v="USD"/>
    <n v="1150000"/>
    <n v="1150000"/>
    <b v="0"/>
    <n v="1"/>
  </r>
  <r>
    <b v="1"/>
    <x v="0"/>
    <x v="0"/>
    <x v="2"/>
    <x v="0"/>
    <x v="1"/>
    <x v="36"/>
    <s v="BBG00HPK5N13"/>
    <x v="0"/>
    <s v="7d27df26e2924c4d9fcf8ba0c0d9d684"/>
    <s v="Klabin 2027"/>
    <x v="0"/>
    <x v="7"/>
    <s v="Products &amp; Systems for Efficiency"/>
    <s v="Reduction of Atmospheric Emissions"/>
    <s v="Brazil"/>
    <d v="2020-01-01T00:00:00"/>
    <d v="2020-01-01T00:00:00"/>
    <s v="BRL"/>
    <n v="5082000"/>
    <n v="5082000"/>
    <s v="USD"/>
    <n v="1032000"/>
    <n v="1032000"/>
    <b v="0"/>
    <n v="1"/>
  </r>
  <r>
    <b v="1"/>
    <x v="0"/>
    <x v="0"/>
    <x v="2"/>
    <x v="0"/>
    <x v="1"/>
    <x v="36"/>
    <s v="BBG00HPK5N13"/>
    <x v="0"/>
    <s v="7d27df26e2924c4d9fcf8ba0c0d9d684"/>
    <s v="Klabin 2027"/>
    <x v="0"/>
    <x v="7"/>
    <s v="Products &amp; Systems for Efficiency"/>
    <s v="Reduction of Atmospheric Emissions"/>
    <s v="Brazil"/>
    <d v="2019-07-01T00:00:00"/>
    <d v="2019-07-01T00:00:00"/>
    <s v="BRL"/>
    <n v="17188000"/>
    <n v="17188000"/>
    <s v="USD"/>
    <n v="4239000"/>
    <n v="4239000"/>
    <b v="0"/>
    <n v="1"/>
  </r>
  <r>
    <b v="1"/>
    <x v="0"/>
    <x v="0"/>
    <x v="2"/>
    <x v="0"/>
    <x v="1"/>
    <x v="36"/>
    <s v="BBG00HPK5N13"/>
    <x v="0"/>
    <s v="7d27df26e2924c4d9fcf8ba0c0d9d684"/>
    <s v="Klabin 2027"/>
    <x v="1"/>
    <x v="12"/>
    <s v="Reduction of local emissions"/>
    <s v="Reduction of Atmospheric Emissions"/>
    <s v="Brazil"/>
    <d v="2021-01-01T00:00:00"/>
    <d v="2021-01-01T00:00:00"/>
    <s v="BRL"/>
    <n v="10741000"/>
    <n v="10741000"/>
    <s v="USD"/>
    <n v="1993000"/>
    <n v="1993000"/>
    <b v="0"/>
    <n v="1"/>
  </r>
  <r>
    <b v="1"/>
    <x v="0"/>
    <x v="0"/>
    <x v="2"/>
    <x v="0"/>
    <x v="1"/>
    <x v="36"/>
    <s v="BBG00HPK5N13"/>
    <x v="0"/>
    <s v="7d27df26e2924c4d9fcf8ba0c0d9d684"/>
    <s v="Klabin 2027"/>
    <x v="1"/>
    <x v="12"/>
    <s v="Reduction of local emissions"/>
    <s v="Reduction of Atmospheric Emissions"/>
    <s v="Brazil"/>
    <d v="2020-07-01T00:00:00"/>
    <d v="2020-07-01T00:00:00"/>
    <s v="BRL"/>
    <n v="6253000"/>
    <n v="6253000"/>
    <s v="USD"/>
    <n v="1150000"/>
    <n v="1150000"/>
    <b v="0"/>
    <n v="1"/>
  </r>
  <r>
    <b v="1"/>
    <x v="0"/>
    <x v="0"/>
    <x v="2"/>
    <x v="0"/>
    <x v="1"/>
    <x v="36"/>
    <s v="BBG00HPK5N13"/>
    <x v="0"/>
    <s v="7d27df26e2924c4d9fcf8ba0c0d9d684"/>
    <s v="Klabin 2027"/>
    <x v="1"/>
    <x v="12"/>
    <s v="Reduction of local emissions"/>
    <s v="Reduction of Atmospheric Emissions"/>
    <s v="Brazil"/>
    <d v="2020-01-01T00:00:00"/>
    <d v="2020-01-01T00:00:00"/>
    <s v="BRL"/>
    <n v="5082000"/>
    <n v="5082000"/>
    <s v="USD"/>
    <n v="1032000"/>
    <n v="1032000"/>
    <b v="0"/>
    <n v="1"/>
  </r>
  <r>
    <b v="1"/>
    <x v="0"/>
    <x v="0"/>
    <x v="2"/>
    <x v="0"/>
    <x v="1"/>
    <x v="36"/>
    <s v="BBG00HPK5N13"/>
    <x v="0"/>
    <s v="7d27df26e2924c4d9fcf8ba0c0d9d684"/>
    <s v="Klabin 2027"/>
    <x v="1"/>
    <x v="12"/>
    <s v="Reduction of local emissions"/>
    <s v="Reduction of Atmospheric Emissions"/>
    <s v="Brazil"/>
    <d v="2019-07-01T00:00:00"/>
    <d v="2019-07-01T00:00:00"/>
    <s v="BRL"/>
    <n v="17188000"/>
    <n v="17188000"/>
    <s v="USD"/>
    <n v="4239000"/>
    <n v="4239000"/>
    <b v="0"/>
    <n v="1"/>
  </r>
  <r>
    <b v="1"/>
    <x v="0"/>
    <x v="0"/>
    <x v="2"/>
    <x v="0"/>
    <x v="1"/>
    <x v="36"/>
    <s v="BBG00HPK5N13"/>
    <x v="0"/>
    <s v="7d27df26e2924c4d9fcf8ba0c0d9d684"/>
    <s v="Klabin 2027"/>
    <x v="0"/>
    <x v="7"/>
    <s v="Products &amp; Systems for Efficiency"/>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0"/>
    <x v="7"/>
    <s v="Products &amp; Systems for Efficiency"/>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1"/>
    <x v="4"/>
    <s v="Appliances"/>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1"/>
    <x v="4"/>
    <s v="Appliances"/>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0"/>
    <x v="0"/>
    <s v="Bioenergy"/>
    <s v="Renewable Energy Generation"/>
    <s v="Brazil"/>
    <d v="2019-07-01T00:00:00"/>
    <d v="2019-07-01T00:00:00"/>
    <s v="BRL"/>
    <n v="588000"/>
    <n v="588000"/>
    <s v="USD"/>
    <n v="145027"/>
    <n v="145027"/>
    <b v="0"/>
    <n v="1"/>
  </r>
  <r>
    <b v="1"/>
    <x v="0"/>
    <x v="0"/>
    <x v="2"/>
    <x v="0"/>
    <x v="1"/>
    <x v="36"/>
    <s v="BBG00HPK5N13"/>
    <x v="0"/>
    <s v="7d27df26e2924c4d9fcf8ba0c0d9d684"/>
    <s v="Klabin 2027"/>
    <x v="1"/>
    <x v="1"/>
    <s v="Appliances"/>
    <s v="Renewable Energy Generation"/>
    <s v="Brazil"/>
    <d v="2019-07-01T00:00:00"/>
    <d v="2019-07-01T00:00:00"/>
    <s v="BRL"/>
    <n v="588000"/>
    <n v="588000"/>
    <s v="USD"/>
    <n v="145027"/>
    <n v="145027"/>
    <b v="0"/>
    <n v="1"/>
  </r>
  <r>
    <b v="1"/>
    <x v="0"/>
    <x v="0"/>
    <x v="2"/>
    <x v="0"/>
    <x v="1"/>
    <x v="36"/>
    <s v="BBG00HPK5N13"/>
    <x v="0"/>
    <s v="7d27df26e2924c4d9fcf8ba0c0d9d684"/>
    <s v="Klabin 2027"/>
    <x v="0"/>
    <x v="10"/>
    <s v="Ecosystem Conservation &amp; Restoration"/>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0"/>
    <x v="10"/>
    <s v="Ecosystem Conservation &amp; Restoration"/>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1"/>
    <x v="11"/>
    <s v="Forestry"/>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1"/>
    <x v="11"/>
    <s v="Forestry"/>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0"/>
    <x v="7"/>
    <s v="Products &amp; Systems for Efficiency"/>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1"/>
    <x v="4"/>
    <s v="Appliances"/>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0"/>
    <x v="10"/>
    <s v="Ecosystem Conservation &amp; Restoration"/>
    <s v="Social Woods Program"/>
    <s v="Brazil"/>
    <d v="2019-01-01T00:00:00"/>
    <d v="2019-01-01T00:00:00"/>
    <s v="BRL"/>
    <n v="200680"/>
    <n v="200680"/>
    <s v="USD"/>
    <n v="52180"/>
    <n v="52180"/>
    <b v="0"/>
    <n v="1"/>
  </r>
  <r>
    <b v="1"/>
    <x v="0"/>
    <x v="0"/>
    <x v="2"/>
    <x v="0"/>
    <x v="1"/>
    <x v="36"/>
    <s v="BBG00HPK5N13"/>
    <x v="0"/>
    <s v="7d27df26e2924c4d9fcf8ba0c0d9d684"/>
    <s v="Klabin 2027"/>
    <x v="0"/>
    <x v="10"/>
    <s v="Ecosystem Conservation &amp; Restoration"/>
    <s v="Social Woods Program"/>
    <s v="Brazil"/>
    <d v="2018-07-01T00:00:00"/>
    <d v="2018-07-01T00:00:00"/>
    <s v="BRL"/>
    <n v="411270"/>
    <n v="411270"/>
    <s v="USD"/>
    <n v="105980"/>
    <n v="105980"/>
    <b v="0"/>
    <n v="1"/>
  </r>
  <r>
    <b v="1"/>
    <x v="0"/>
    <x v="0"/>
    <x v="2"/>
    <x v="0"/>
    <x v="1"/>
    <x v="36"/>
    <s v="BBG00HPK5N13"/>
    <x v="0"/>
    <s v="7d27df26e2924c4d9fcf8ba0c0d9d684"/>
    <s v="Klabin 2027"/>
    <x v="0"/>
    <x v="10"/>
    <s v="Ecosystem Conservation &amp; Restoration"/>
    <s v="Social Woods Program"/>
    <s v="Brazil"/>
    <d v="2017-06-01T00:00:00"/>
    <d v="2017-06-01T00:00:00"/>
    <s v="BRL"/>
    <n v="345000"/>
    <n v="345000"/>
    <s v="USD"/>
    <n v="108066"/>
    <n v="108066"/>
    <b v="0"/>
    <n v="1"/>
  </r>
  <r>
    <b v="1"/>
    <x v="0"/>
    <x v="0"/>
    <x v="2"/>
    <x v="0"/>
    <x v="1"/>
    <x v="36"/>
    <s v="BBG00HPK5N13"/>
    <x v="0"/>
    <s v="7d27df26e2924c4d9fcf8ba0c0d9d684"/>
    <s v="Klabin 2027"/>
    <x v="1"/>
    <x v="11"/>
    <s v="Natural landscapes"/>
    <s v="Social Woods Program"/>
    <s v="Brazil"/>
    <d v="2019-01-01T00:00:00"/>
    <d v="2019-01-01T00:00:00"/>
    <s v="BRL"/>
    <n v="200680"/>
    <n v="200680"/>
    <s v="USD"/>
    <n v="52180"/>
    <n v="52180"/>
    <b v="0"/>
    <n v="1"/>
  </r>
  <r>
    <b v="1"/>
    <x v="0"/>
    <x v="0"/>
    <x v="2"/>
    <x v="0"/>
    <x v="1"/>
    <x v="36"/>
    <s v="BBG00HPK5N13"/>
    <x v="0"/>
    <s v="7d27df26e2924c4d9fcf8ba0c0d9d684"/>
    <s v="Klabin 2027"/>
    <x v="1"/>
    <x v="11"/>
    <s v="Natural landscapes"/>
    <s v="Social Woods Program"/>
    <s v="Brazil"/>
    <d v="2018-07-01T00:00:00"/>
    <d v="2018-07-01T00:00:00"/>
    <s v="BRL"/>
    <n v="411270"/>
    <n v="411270"/>
    <s v="USD"/>
    <n v="105980"/>
    <n v="105980"/>
    <b v="0"/>
    <n v="1"/>
  </r>
  <r>
    <b v="1"/>
    <x v="0"/>
    <x v="0"/>
    <x v="2"/>
    <x v="0"/>
    <x v="1"/>
    <x v="36"/>
    <s v="BBG00HPK5N13"/>
    <x v="0"/>
    <s v="7d27df26e2924c4d9fcf8ba0c0d9d684"/>
    <s v="Klabin 2027"/>
    <x v="1"/>
    <x v="11"/>
    <s v="Natural landscapes"/>
    <s v="Social Woods Program"/>
    <s v="Brazil"/>
    <d v="2017-06-01T00:00:00"/>
    <d v="2017-06-01T00:00:00"/>
    <s v="BRL"/>
    <n v="345000"/>
    <n v="345000"/>
    <s v="USD"/>
    <n v="108066"/>
    <n v="108066"/>
    <b v="0"/>
    <n v="1"/>
  </r>
  <r>
    <b v="1"/>
    <x v="0"/>
    <x v="0"/>
    <x v="2"/>
    <x v="0"/>
    <x v="1"/>
    <x v="36"/>
    <s v="BBG00HPK5N13"/>
    <x v="0"/>
    <s v="7d27df26e2924c4d9fcf8ba0c0d9d684"/>
    <s v="Klabin 2027"/>
    <x v="0"/>
    <x v="9"/>
    <s v="Unspecified"/>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0"/>
    <x v="9"/>
    <s v="Unspecified"/>
    <s v="System for purging inert substances by furnace precipitators"/>
    <s v="Brazil"/>
    <d v="2020-07-01T00:00:00"/>
    <d v="2020-07-01T00:00:00"/>
    <s v="BRL"/>
    <n v="22000"/>
    <n v="22000"/>
    <s v="USD"/>
    <n v="4000"/>
    <n v="4000"/>
    <b v="0"/>
    <n v="1"/>
  </r>
  <r>
    <b v="1"/>
    <x v="0"/>
    <x v="0"/>
    <x v="2"/>
    <x v="0"/>
    <x v="1"/>
    <x v="36"/>
    <s v="BBG00HPK5N13"/>
    <x v="0"/>
    <s v="7d27df26e2924c4d9fcf8ba0c0d9d684"/>
    <s v="Klabin 2027"/>
    <x v="1"/>
    <x v="12"/>
    <s v="Reduction of local emissions"/>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1"/>
    <x v="12"/>
    <s v="Reduction of local emissions"/>
    <s v="System for purging inert substances by furnace precipitators"/>
    <s v="Brazil"/>
    <d v="2020-07-01T00:00:00"/>
    <d v="2020-07-01T00:00:00"/>
    <s v="BRL"/>
    <n v="22000"/>
    <n v="22000"/>
    <s v="USD"/>
    <n v="4000"/>
    <n v="4000"/>
    <b v="0"/>
    <n v="1"/>
  </r>
  <r>
    <b v="1"/>
    <x v="0"/>
    <x v="0"/>
    <x v="2"/>
    <x v="0"/>
    <x v="1"/>
    <x v="37"/>
    <s v="BBG00NQJNB18"/>
    <x v="0"/>
    <s v="72b244fd46b444aba44095c0ca650e2f"/>
    <s v="Klabin 2049"/>
    <x v="0"/>
    <x v="7"/>
    <s v="Products &amp; Systems for Efficiency"/>
    <s v="Tall Oil Plant"/>
    <s v="Brazil"/>
    <d v="2021-01-01T00:00:00"/>
    <d v="2021-01-01T00:00:00"/>
    <s v="BRL"/>
    <n v="231000"/>
    <n v="231000"/>
    <s v="USD"/>
    <n v="43000"/>
    <n v="43000"/>
    <b v="0"/>
    <n v="1"/>
  </r>
  <r>
    <b v="1"/>
    <x v="0"/>
    <x v="0"/>
    <x v="2"/>
    <x v="0"/>
    <x v="1"/>
    <x v="37"/>
    <s v="BBG00NQJNB18"/>
    <x v="0"/>
    <s v="72b244fd46b444aba44095c0ca650e2f"/>
    <s v="Klabin 2049"/>
    <x v="0"/>
    <x v="7"/>
    <s v="Products &amp; Systems for Efficiency"/>
    <s v="Tall Oil Plant"/>
    <s v="Brazil"/>
    <d v="2020-07-01T00:00:00"/>
    <d v="2020-07-01T00:00:00"/>
    <s v="BRL"/>
    <n v="214000"/>
    <n v="214000"/>
    <s v="USD"/>
    <n v="39000"/>
    <n v="39000"/>
    <b v="0"/>
    <n v="1"/>
  </r>
  <r>
    <b v="1"/>
    <x v="0"/>
    <x v="0"/>
    <x v="2"/>
    <x v="0"/>
    <x v="1"/>
    <x v="37"/>
    <s v="BBG00NQJNB18"/>
    <x v="0"/>
    <s v="72b244fd46b444aba44095c0ca650e2f"/>
    <s v="Klabin 2049"/>
    <x v="0"/>
    <x v="7"/>
    <s v="Products &amp; Systems for Efficiency"/>
    <s v="Tall Oil Plant"/>
    <s v="Brazil"/>
    <d v="2020-01-01T00:00:00"/>
    <d v="2020-01-01T00:00:00"/>
    <s v="BRL"/>
    <n v="4041000"/>
    <n v="4041000"/>
    <s v="USD"/>
    <n v="821000"/>
    <n v="821000"/>
    <b v="0"/>
    <n v="1"/>
  </r>
  <r>
    <b v="1"/>
    <x v="0"/>
    <x v="0"/>
    <x v="2"/>
    <x v="0"/>
    <x v="1"/>
    <x v="37"/>
    <s v="BBG00NQJNB18"/>
    <x v="0"/>
    <s v="72b244fd46b444aba44095c0ca650e2f"/>
    <s v="Klabin 2049"/>
    <x v="0"/>
    <x v="7"/>
    <s v="Products &amp; Systems for Efficiency"/>
    <s v="Tall Oil Plant"/>
    <s v="Brazil"/>
    <d v="2019-07-01T00:00:00"/>
    <d v="2019-07-01T00:00:00"/>
    <s v="BRL"/>
    <n v="20892436"/>
    <n v="20892436"/>
    <s v="USD"/>
    <n v="5153028"/>
    <n v="5153028"/>
    <b v="0"/>
    <n v="1"/>
  </r>
  <r>
    <b v="1"/>
    <x v="0"/>
    <x v="0"/>
    <x v="2"/>
    <x v="0"/>
    <x v="1"/>
    <x v="37"/>
    <s v="BBG00NQJNB18"/>
    <x v="0"/>
    <s v="72b244fd46b444aba44095c0ca650e2f"/>
    <s v="Klabin 2049"/>
    <x v="0"/>
    <x v="7"/>
    <s v="Products &amp; Systems for Efficiency"/>
    <s v="Tall Oil Plant"/>
    <s v="Brazil"/>
    <d v="2019-01-01T00:00:00"/>
    <d v="2019-01-01T00:00:00"/>
    <s v="BRL"/>
    <n v="6480390"/>
    <n v="6480390"/>
    <s v="USD"/>
    <n v="1685010"/>
    <n v="1685010"/>
    <b v="0"/>
    <n v="1"/>
  </r>
  <r>
    <b v="1"/>
    <x v="0"/>
    <x v="0"/>
    <x v="2"/>
    <x v="0"/>
    <x v="1"/>
    <x v="37"/>
    <s v="BBG00NQJNB18"/>
    <x v="0"/>
    <s v="72b244fd46b444aba44095c0ca650e2f"/>
    <s v="Klabin 2049"/>
    <x v="1"/>
    <x v="1"/>
    <s v="Products"/>
    <s v="Tall Oil Plant"/>
    <s v="Brazil"/>
    <d v="2021-01-01T00:00:00"/>
    <d v="2021-01-01T00:00:00"/>
    <s v="BRL"/>
    <n v="231000"/>
    <n v="231000"/>
    <s v="USD"/>
    <n v="43000"/>
    <n v="43000"/>
    <b v="0"/>
    <n v="1"/>
  </r>
  <r>
    <b v="1"/>
    <x v="0"/>
    <x v="0"/>
    <x v="2"/>
    <x v="0"/>
    <x v="1"/>
    <x v="37"/>
    <s v="BBG00NQJNB18"/>
    <x v="0"/>
    <s v="72b244fd46b444aba44095c0ca650e2f"/>
    <s v="Klabin 2049"/>
    <x v="1"/>
    <x v="1"/>
    <s v="Products"/>
    <s v="Tall Oil Plant"/>
    <s v="Brazil"/>
    <d v="2020-07-01T00:00:00"/>
    <d v="2020-07-01T00:00:00"/>
    <s v="BRL"/>
    <n v="214000"/>
    <n v="214000"/>
    <s v="USD"/>
    <n v="39000"/>
    <n v="39000"/>
    <b v="0"/>
    <n v="1"/>
  </r>
  <r>
    <b v="1"/>
    <x v="0"/>
    <x v="0"/>
    <x v="2"/>
    <x v="0"/>
    <x v="1"/>
    <x v="37"/>
    <s v="BBG00NQJNB18"/>
    <x v="0"/>
    <s v="72b244fd46b444aba44095c0ca650e2f"/>
    <s v="Klabin 2049"/>
    <x v="1"/>
    <x v="1"/>
    <s v="Products"/>
    <s v="Tall Oil Plant"/>
    <s v="Brazil"/>
    <d v="2020-01-01T00:00:00"/>
    <d v="2020-01-01T00:00:00"/>
    <s v="BRL"/>
    <n v="4041000"/>
    <n v="4041000"/>
    <s v="USD"/>
    <n v="821000"/>
    <n v="821000"/>
    <b v="0"/>
    <n v="1"/>
  </r>
  <r>
    <b v="1"/>
    <x v="0"/>
    <x v="0"/>
    <x v="2"/>
    <x v="0"/>
    <x v="1"/>
    <x v="37"/>
    <s v="BBG00NQJNB18"/>
    <x v="0"/>
    <s v="72b244fd46b444aba44095c0ca650e2f"/>
    <s v="Klabin 2049"/>
    <x v="1"/>
    <x v="1"/>
    <s v="Products"/>
    <s v="Tall Oil Plant"/>
    <s v="Brazil"/>
    <d v="2019-07-01T00:00:00"/>
    <d v="2019-07-01T00:00:00"/>
    <s v="BRL"/>
    <n v="20892436"/>
    <n v="20892436"/>
    <s v="USD"/>
    <n v="5153028"/>
    <n v="5153028"/>
    <b v="0"/>
    <n v="1"/>
  </r>
  <r>
    <b v="1"/>
    <x v="0"/>
    <x v="0"/>
    <x v="2"/>
    <x v="0"/>
    <x v="1"/>
    <x v="37"/>
    <s v="BBG00NQJNB18"/>
    <x v="0"/>
    <s v="72b244fd46b444aba44095c0ca650e2f"/>
    <s v="Klabin 2049"/>
    <x v="1"/>
    <x v="1"/>
    <s v="Products"/>
    <s v="Tall Oil Plant"/>
    <s v="Brazil"/>
    <d v="2019-01-01T00:00:00"/>
    <d v="2019-01-01T00:00:00"/>
    <s v="BRL"/>
    <n v="6480390"/>
    <n v="6480390"/>
    <s v="USD"/>
    <n v="1685010"/>
    <n v="1685010"/>
    <b v="0"/>
    <n v="1"/>
  </r>
  <r>
    <b v="1"/>
    <x v="0"/>
    <x v="0"/>
    <x v="2"/>
    <x v="0"/>
    <x v="1"/>
    <x v="36"/>
    <s v="BBG00HPK5N13"/>
    <x v="0"/>
    <s v="7d27df26e2924c4d9fcf8ba0c0d9d684"/>
    <s v="Klabin 2027"/>
    <x v="0"/>
    <x v="15"/>
    <s v="Preparation"/>
    <s v="Waste Central"/>
    <s v="Brazil"/>
    <d v="2016-06-01T00:00:00"/>
    <d v="2016-06-01T00:00:00"/>
    <s v="BRL"/>
    <n v="5837400"/>
    <n v="5837400"/>
    <s v="USD"/>
    <n v="1675825"/>
    <n v="1675825"/>
    <b v="1"/>
    <n v="1"/>
  </r>
  <r>
    <b v="1"/>
    <x v="0"/>
    <x v="0"/>
    <x v="2"/>
    <x v="0"/>
    <x v="1"/>
    <x v="36"/>
    <s v="BBG00HPK5N13"/>
    <x v="0"/>
    <s v="7d27df26e2924c4d9fcf8ba0c0d9d684"/>
    <s v="Klabin 2027"/>
    <x v="0"/>
    <x v="15"/>
    <s v="Preparation"/>
    <s v="Waste Central"/>
    <s v="Brazil"/>
    <d v="2015-09-01T00:00:00"/>
    <d v="2015-09-01T00:00:00"/>
    <s v="BRL"/>
    <n v="250000"/>
    <n v="250000"/>
    <s v="USD"/>
    <n v="74880"/>
    <n v="74880"/>
    <b v="1"/>
    <n v="1"/>
  </r>
  <r>
    <b v="1"/>
    <x v="0"/>
    <x v="0"/>
    <x v="2"/>
    <x v="0"/>
    <x v="1"/>
    <x v="36"/>
    <s v="BBG00HPK5N13"/>
    <x v="0"/>
    <s v="7d27df26e2924c4d9fcf8ba0c0d9d684"/>
    <s v="Klabin 2027"/>
    <x v="1"/>
    <x v="3"/>
    <s v="Infrastructure"/>
    <s v="Waste Central"/>
    <s v="Brazil"/>
    <d v="2016-06-01T00:00:00"/>
    <d v="2016-06-01T00:00:00"/>
    <s v="BRL"/>
    <n v="5837400"/>
    <n v="5837400"/>
    <s v="USD"/>
    <n v="1675825"/>
    <n v="1675825"/>
    <b v="1"/>
    <n v="1"/>
  </r>
  <r>
    <b v="1"/>
    <x v="0"/>
    <x v="0"/>
    <x v="2"/>
    <x v="0"/>
    <x v="1"/>
    <x v="36"/>
    <s v="BBG00HPK5N13"/>
    <x v="0"/>
    <s v="7d27df26e2924c4d9fcf8ba0c0d9d684"/>
    <s v="Klabin 2027"/>
    <x v="1"/>
    <x v="3"/>
    <s v="Infrastructure"/>
    <s v="Waste Central"/>
    <s v="Brazil"/>
    <d v="2015-09-01T00:00:00"/>
    <d v="2015-09-01T00:00:00"/>
    <s v="BRL"/>
    <n v="250000"/>
    <n v="250000"/>
    <s v="USD"/>
    <n v="74880"/>
    <n v="74880"/>
    <b v="1"/>
    <n v="1"/>
  </r>
  <r>
    <b v="1"/>
    <x v="0"/>
    <x v="0"/>
    <x v="2"/>
    <x v="0"/>
    <x v="1"/>
    <x v="57"/>
    <s v="BBG00VSZG6M8"/>
    <x v="26"/>
    <s v="ddc074cc122446bc92e5b6929179d0e2"/>
    <s v="Rumo 2028"/>
    <x v="0"/>
    <x v="5"/>
    <s v="Rail"/>
    <s v="Extension of Tut√≥ia Yard"/>
    <s v="Brazil"/>
    <d v="2021-06-01T00:00:00"/>
    <d v="2021-06-01T00:00:00"/>
    <s v="USD"/>
    <n v="676446"/>
    <n v="676446"/>
    <s v="USD"/>
    <n v="676446"/>
    <n v="676446"/>
    <b v="1"/>
    <m/>
  </r>
  <r>
    <b v="1"/>
    <x v="0"/>
    <x v="0"/>
    <x v="2"/>
    <x v="0"/>
    <x v="1"/>
    <x v="57"/>
    <s v="BBG00VSZG6M8"/>
    <x v="26"/>
    <s v="ddc074cc122446bc92e5b6929179d0e2"/>
    <s v="Rumo 2028"/>
    <x v="0"/>
    <x v="5"/>
    <s v="Rail"/>
    <s v="Extension of Tut√≥ia Yard"/>
    <s v="Brazil"/>
    <d v="2021-05-01T00:00:00"/>
    <d v="2021-05-01T00:00:00"/>
    <s v="USD"/>
    <n v="413692"/>
    <n v="413692"/>
    <s v="USD"/>
    <n v="413692"/>
    <n v="413692"/>
    <b v="1"/>
    <m/>
  </r>
  <r>
    <b v="1"/>
    <x v="0"/>
    <x v="0"/>
    <x v="2"/>
    <x v="0"/>
    <x v="1"/>
    <x v="57"/>
    <s v="BBG00VSZG6M8"/>
    <x v="26"/>
    <s v="ddc074cc122446bc92e5b6929179d0e2"/>
    <s v="Rumo 2028"/>
    <x v="0"/>
    <x v="5"/>
    <s v="Rail"/>
    <s v="Extension of Tut√≥ia Yard"/>
    <s v="Brazil"/>
    <d v="2021-04-01T00:00:00"/>
    <d v="2021-04-01T00:00:00"/>
    <s v="USD"/>
    <n v="367977"/>
    <n v="367977"/>
    <s v="USD"/>
    <n v="367977"/>
    <n v="367977"/>
    <b v="1"/>
    <m/>
  </r>
  <r>
    <b v="1"/>
    <x v="0"/>
    <x v="0"/>
    <x v="2"/>
    <x v="0"/>
    <x v="1"/>
    <x v="57"/>
    <s v="BBG00VSZG6M8"/>
    <x v="26"/>
    <s v="ddc074cc122446bc92e5b6929179d0e2"/>
    <s v="Rumo 2028"/>
    <x v="0"/>
    <x v="5"/>
    <s v="Rail"/>
    <s v="Extension of Tut√≥ia Yard"/>
    <s v="Brazil"/>
    <d v="2021-03-01T00:00:00"/>
    <d v="2021-03-01T00:00:00"/>
    <s v="USD"/>
    <n v="721803"/>
    <n v="721803"/>
    <s v="USD"/>
    <n v="721803"/>
    <n v="721803"/>
    <b v="1"/>
    <m/>
  </r>
  <r>
    <b v="1"/>
    <x v="0"/>
    <x v="0"/>
    <x v="2"/>
    <x v="0"/>
    <x v="1"/>
    <x v="57"/>
    <s v="BBG00VSZG6M8"/>
    <x v="26"/>
    <s v="ddc074cc122446bc92e5b6929179d0e2"/>
    <s v="Rumo 2028"/>
    <x v="0"/>
    <x v="5"/>
    <s v="Rail"/>
    <s v="Extension of Tut√≥ia Yard"/>
    <s v="Brazil"/>
    <d v="2021-02-01T00:00:00"/>
    <d v="2021-02-01T00:00:00"/>
    <s v="USD"/>
    <n v="639493"/>
    <n v="639493"/>
    <s v="USD"/>
    <n v="639493"/>
    <n v="639493"/>
    <b v="1"/>
    <m/>
  </r>
  <r>
    <b v="1"/>
    <x v="0"/>
    <x v="0"/>
    <x v="2"/>
    <x v="0"/>
    <x v="1"/>
    <x v="57"/>
    <s v="BBG00VSZG6M8"/>
    <x v="26"/>
    <s v="ddc074cc122446bc92e5b6929179d0e2"/>
    <s v="Rumo 2028"/>
    <x v="0"/>
    <x v="5"/>
    <s v="Rail"/>
    <s v="Extension of Tut√≥ia Yard"/>
    <s v="Brazil"/>
    <d v="2021-01-01T00:00:00"/>
    <d v="2021-01-01T00:00:00"/>
    <s v="USD"/>
    <n v="34256"/>
    <n v="34256"/>
    <s v="USD"/>
    <n v="34256"/>
    <n v="34256"/>
    <b v="1"/>
    <m/>
  </r>
  <r>
    <b v="1"/>
    <x v="0"/>
    <x v="0"/>
    <x v="2"/>
    <x v="0"/>
    <x v="1"/>
    <x v="57"/>
    <s v="BBG00VSZG6M8"/>
    <x v="26"/>
    <s v="ddc074cc122446bc92e5b6929179d0e2"/>
    <s v="Rumo 2028"/>
    <x v="0"/>
    <x v="5"/>
    <s v="Rail"/>
    <s v="Extension of Tut√≥ia Yard"/>
    <s v="Brazil"/>
    <d v="2020-12-01T00:00:00"/>
    <d v="2020-12-01T00:00:00"/>
    <s v="USD"/>
    <n v="2051510"/>
    <n v="2051510"/>
    <s v="USD"/>
    <n v="2051510"/>
    <n v="2051510"/>
    <b v="1"/>
    <m/>
  </r>
  <r>
    <b v="1"/>
    <x v="0"/>
    <x v="0"/>
    <x v="2"/>
    <x v="0"/>
    <x v="1"/>
    <x v="57"/>
    <s v="BBG00VSZG6M8"/>
    <x v="26"/>
    <s v="ddc074cc122446bc92e5b6929179d0e2"/>
    <s v="Rumo 2028"/>
    <x v="0"/>
    <x v="5"/>
    <s v="Rail"/>
    <s v="Extension of Tut√≥ia Yard"/>
    <s v="Brazil"/>
    <d v="2020-11-01T00:00:00"/>
    <d v="2020-11-01T00:00:00"/>
    <s v="USD"/>
    <n v="783815"/>
    <n v="783815"/>
    <s v="USD"/>
    <n v="783815"/>
    <n v="783815"/>
    <b v="1"/>
    <m/>
  </r>
  <r>
    <b v="1"/>
    <x v="0"/>
    <x v="0"/>
    <x v="2"/>
    <x v="0"/>
    <x v="1"/>
    <x v="57"/>
    <s v="BBG00VSZG6M8"/>
    <x v="26"/>
    <s v="ddc074cc122446bc92e5b6929179d0e2"/>
    <s v="Rumo 2028"/>
    <x v="0"/>
    <x v="5"/>
    <s v="Rail"/>
    <s v="Extension of Tut√≥ia Yard"/>
    <s v="Brazil"/>
    <d v="2020-10-01T00:00:00"/>
    <d v="2020-10-01T00:00:00"/>
    <s v="USD"/>
    <n v="226561"/>
    <n v="226561"/>
    <s v="USD"/>
    <n v="226561"/>
    <n v="226561"/>
    <b v="1"/>
    <m/>
  </r>
  <r>
    <b v="1"/>
    <x v="0"/>
    <x v="0"/>
    <x v="2"/>
    <x v="0"/>
    <x v="1"/>
    <x v="57"/>
    <s v="BBG00VSZG6M8"/>
    <x v="26"/>
    <s v="ddc074cc122446bc92e5b6929179d0e2"/>
    <s v="Rumo 2028"/>
    <x v="0"/>
    <x v="5"/>
    <s v="Rail"/>
    <s v="Extension of Tut√≥ia Yard"/>
    <s v="Brazil"/>
    <d v="2020-09-01T00:00:00"/>
    <d v="2020-09-01T00:00:00"/>
    <s v="USD"/>
    <n v="253382"/>
    <n v="253382"/>
    <s v="USD"/>
    <n v="253382"/>
    <n v="253382"/>
    <b v="1"/>
    <m/>
  </r>
  <r>
    <b v="1"/>
    <x v="0"/>
    <x v="0"/>
    <x v="2"/>
    <x v="0"/>
    <x v="1"/>
    <x v="57"/>
    <s v="BBG00VSZG6M8"/>
    <x v="26"/>
    <s v="ddc074cc122446bc92e5b6929179d0e2"/>
    <s v="Rumo 2028"/>
    <x v="0"/>
    <x v="5"/>
    <s v="Rail"/>
    <s v="Extension of Tut√≥ia Yard"/>
    <s v="Brazil"/>
    <d v="2020-08-01T00:00:00"/>
    <d v="2020-08-01T00:00:00"/>
    <s v="USD"/>
    <n v="273356"/>
    <n v="273356"/>
    <s v="USD"/>
    <n v="273356"/>
    <n v="273356"/>
    <b v="1"/>
    <m/>
  </r>
  <r>
    <b v="1"/>
    <x v="0"/>
    <x v="0"/>
    <x v="2"/>
    <x v="0"/>
    <x v="1"/>
    <x v="57"/>
    <s v="BBG00VSZG6M8"/>
    <x v="26"/>
    <s v="ddc074cc122446bc92e5b6929179d0e2"/>
    <s v="Rumo 2028"/>
    <x v="0"/>
    <x v="5"/>
    <s v="Rail"/>
    <s v="Extension of Tut√≥ia Yard"/>
    <s v="Brazil"/>
    <d v="2020-07-01T00:00:00"/>
    <d v="2020-07-01T00:00:00"/>
    <s v="USD"/>
    <n v="265419"/>
    <n v="265419"/>
    <s v="USD"/>
    <n v="265419"/>
    <n v="265419"/>
    <b v="1"/>
    <m/>
  </r>
  <r>
    <b v="1"/>
    <x v="0"/>
    <x v="0"/>
    <x v="2"/>
    <x v="0"/>
    <x v="1"/>
    <x v="57"/>
    <s v="BBG00VSZG6M8"/>
    <x v="26"/>
    <s v="ddc074cc122446bc92e5b6929179d0e2"/>
    <s v="Rumo 2028"/>
    <x v="1"/>
    <x v="6"/>
    <s v="Rail"/>
    <s v="Extension of Tut√≥ia Yard"/>
    <s v="Brazil"/>
    <d v="2021-06-01T00:00:00"/>
    <d v="2021-06-01T00:00:00"/>
    <s v="USD"/>
    <n v="676446"/>
    <n v="676446"/>
    <s v="USD"/>
    <n v="676446"/>
    <n v="676446"/>
    <b v="1"/>
    <m/>
  </r>
  <r>
    <b v="1"/>
    <x v="0"/>
    <x v="0"/>
    <x v="2"/>
    <x v="0"/>
    <x v="1"/>
    <x v="57"/>
    <s v="BBG00VSZG6M8"/>
    <x v="26"/>
    <s v="ddc074cc122446bc92e5b6929179d0e2"/>
    <s v="Rumo 2028"/>
    <x v="1"/>
    <x v="6"/>
    <s v="Rail"/>
    <s v="Extension of Tut√≥ia Yard"/>
    <s v="Brazil"/>
    <d v="2021-05-01T00:00:00"/>
    <d v="2021-05-01T00:00:00"/>
    <s v="USD"/>
    <n v="413692"/>
    <n v="413692"/>
    <s v="USD"/>
    <n v="413692"/>
    <n v="413692"/>
    <b v="1"/>
    <m/>
  </r>
  <r>
    <b v="1"/>
    <x v="0"/>
    <x v="0"/>
    <x v="2"/>
    <x v="0"/>
    <x v="1"/>
    <x v="57"/>
    <s v="BBG00VSZG6M8"/>
    <x v="26"/>
    <s v="ddc074cc122446bc92e5b6929179d0e2"/>
    <s v="Rumo 2028"/>
    <x v="1"/>
    <x v="6"/>
    <s v="Rail"/>
    <s v="Extension of Tut√≥ia Yard"/>
    <s v="Brazil"/>
    <d v="2021-04-01T00:00:00"/>
    <d v="2021-04-01T00:00:00"/>
    <s v="USD"/>
    <n v="367977"/>
    <n v="367977"/>
    <s v="USD"/>
    <n v="367977"/>
    <n v="367977"/>
    <b v="1"/>
    <m/>
  </r>
  <r>
    <b v="1"/>
    <x v="0"/>
    <x v="0"/>
    <x v="2"/>
    <x v="0"/>
    <x v="1"/>
    <x v="57"/>
    <s v="BBG00VSZG6M8"/>
    <x v="26"/>
    <s v="ddc074cc122446bc92e5b6929179d0e2"/>
    <s v="Rumo 2028"/>
    <x v="1"/>
    <x v="6"/>
    <s v="Rail"/>
    <s v="Extension of Tut√≥ia Yard"/>
    <s v="Brazil"/>
    <d v="2021-03-01T00:00:00"/>
    <d v="2021-03-01T00:00:00"/>
    <s v="USD"/>
    <n v="721803"/>
    <n v="721803"/>
    <s v="USD"/>
    <n v="721803"/>
    <n v="721803"/>
    <b v="1"/>
    <m/>
  </r>
  <r>
    <b v="1"/>
    <x v="0"/>
    <x v="0"/>
    <x v="2"/>
    <x v="0"/>
    <x v="1"/>
    <x v="57"/>
    <s v="BBG00VSZG6M8"/>
    <x v="26"/>
    <s v="ddc074cc122446bc92e5b6929179d0e2"/>
    <s v="Rumo 2028"/>
    <x v="1"/>
    <x v="6"/>
    <s v="Rail"/>
    <s v="Extension of Tut√≥ia Yard"/>
    <s v="Brazil"/>
    <d v="2021-02-01T00:00:00"/>
    <d v="2021-02-01T00:00:00"/>
    <s v="USD"/>
    <n v="639493"/>
    <n v="639493"/>
    <s v="USD"/>
    <n v="639493"/>
    <n v="639493"/>
    <b v="1"/>
    <m/>
  </r>
  <r>
    <b v="1"/>
    <x v="0"/>
    <x v="0"/>
    <x v="2"/>
    <x v="0"/>
    <x v="1"/>
    <x v="57"/>
    <s v="BBG00VSZG6M8"/>
    <x v="26"/>
    <s v="ddc074cc122446bc92e5b6929179d0e2"/>
    <s v="Rumo 2028"/>
    <x v="1"/>
    <x v="6"/>
    <s v="Rail"/>
    <s v="Extension of Tut√≥ia Yard"/>
    <s v="Brazil"/>
    <d v="2021-01-01T00:00:00"/>
    <d v="2021-01-01T00:00:00"/>
    <s v="USD"/>
    <n v="34256"/>
    <n v="34256"/>
    <s v="USD"/>
    <n v="34256"/>
    <n v="34256"/>
    <b v="1"/>
    <m/>
  </r>
  <r>
    <b v="1"/>
    <x v="0"/>
    <x v="0"/>
    <x v="2"/>
    <x v="0"/>
    <x v="1"/>
    <x v="57"/>
    <s v="BBG00VSZG6M8"/>
    <x v="26"/>
    <s v="ddc074cc122446bc92e5b6929179d0e2"/>
    <s v="Rumo 2028"/>
    <x v="1"/>
    <x v="6"/>
    <s v="Rail"/>
    <s v="Extension of Tut√≥ia Yard"/>
    <s v="Brazil"/>
    <d v="2020-12-01T00:00:00"/>
    <d v="2020-12-01T00:00:00"/>
    <s v="USD"/>
    <n v="2051510"/>
    <n v="2051510"/>
    <s v="USD"/>
    <n v="2051510"/>
    <n v="2051510"/>
    <b v="1"/>
    <m/>
  </r>
  <r>
    <b v="1"/>
    <x v="0"/>
    <x v="0"/>
    <x v="2"/>
    <x v="0"/>
    <x v="1"/>
    <x v="57"/>
    <s v="BBG00VSZG6M8"/>
    <x v="26"/>
    <s v="ddc074cc122446bc92e5b6929179d0e2"/>
    <s v="Rumo 2028"/>
    <x v="1"/>
    <x v="6"/>
    <s v="Rail"/>
    <s v="Extension of Tut√≥ia Yard"/>
    <s v="Brazil"/>
    <d v="2020-11-01T00:00:00"/>
    <d v="2020-11-01T00:00:00"/>
    <s v="USD"/>
    <n v="783815"/>
    <n v="783815"/>
    <s v="USD"/>
    <n v="783815"/>
    <n v="783815"/>
    <b v="1"/>
    <m/>
  </r>
  <r>
    <b v="1"/>
    <x v="0"/>
    <x v="0"/>
    <x v="2"/>
    <x v="0"/>
    <x v="1"/>
    <x v="57"/>
    <s v="BBG00VSZG6M8"/>
    <x v="26"/>
    <s v="ddc074cc122446bc92e5b6929179d0e2"/>
    <s v="Rumo 2028"/>
    <x v="1"/>
    <x v="6"/>
    <s v="Rail"/>
    <s v="Extension of Tut√≥ia Yard"/>
    <s v="Brazil"/>
    <d v="2020-10-01T00:00:00"/>
    <d v="2020-10-01T00:00:00"/>
    <s v="USD"/>
    <n v="226561"/>
    <n v="226561"/>
    <s v="USD"/>
    <n v="226561"/>
    <n v="226561"/>
    <b v="1"/>
    <m/>
  </r>
  <r>
    <b v="1"/>
    <x v="0"/>
    <x v="0"/>
    <x v="2"/>
    <x v="0"/>
    <x v="1"/>
    <x v="57"/>
    <s v="BBG00VSZG6M8"/>
    <x v="26"/>
    <s v="ddc074cc122446bc92e5b6929179d0e2"/>
    <s v="Rumo 2028"/>
    <x v="1"/>
    <x v="6"/>
    <s v="Rail"/>
    <s v="Extension of Tut√≥ia Yard"/>
    <s v="Brazil"/>
    <d v="2020-09-01T00:00:00"/>
    <d v="2020-09-01T00:00:00"/>
    <s v="USD"/>
    <n v="253382"/>
    <n v="253382"/>
    <s v="USD"/>
    <n v="253382"/>
    <n v="253382"/>
    <b v="1"/>
    <m/>
  </r>
  <r>
    <b v="1"/>
    <x v="0"/>
    <x v="0"/>
    <x v="2"/>
    <x v="0"/>
    <x v="1"/>
    <x v="57"/>
    <s v="BBG00VSZG6M8"/>
    <x v="26"/>
    <s v="ddc074cc122446bc92e5b6929179d0e2"/>
    <s v="Rumo 2028"/>
    <x v="1"/>
    <x v="6"/>
    <s v="Rail"/>
    <s v="Extension of Tut√≥ia Yard"/>
    <s v="Brazil"/>
    <d v="2020-08-01T00:00:00"/>
    <d v="2020-08-01T00:00:00"/>
    <s v="USD"/>
    <n v="273356"/>
    <n v="273356"/>
    <s v="USD"/>
    <n v="273356"/>
    <n v="273356"/>
    <b v="1"/>
    <m/>
  </r>
  <r>
    <b v="1"/>
    <x v="0"/>
    <x v="0"/>
    <x v="2"/>
    <x v="0"/>
    <x v="1"/>
    <x v="57"/>
    <s v="BBG00VSZG6M8"/>
    <x v="26"/>
    <s v="ddc074cc122446bc92e5b6929179d0e2"/>
    <s v="Rumo 2028"/>
    <x v="1"/>
    <x v="6"/>
    <s v="Rail"/>
    <s v="Extension of Tut√≥ia Yard"/>
    <s v="Brazil"/>
    <d v="2020-07-01T00:00:00"/>
    <d v="2020-07-01T00:00:00"/>
    <s v="USD"/>
    <n v="265419"/>
    <n v="265419"/>
    <s v="USD"/>
    <n v="265419"/>
    <n v="265419"/>
    <b v="1"/>
    <m/>
  </r>
  <r>
    <b v="1"/>
    <x v="0"/>
    <x v="0"/>
    <x v="2"/>
    <x v="0"/>
    <x v="1"/>
    <x v="57"/>
    <s v="BBG00VSZG6M8"/>
    <x v="26"/>
    <s v="ddc074cc122446bc92e5b6929179d0e2"/>
    <s v="Rumo 2028"/>
    <x v="0"/>
    <x v="5"/>
    <s v="Rail"/>
    <s v="Rio Claro Novo Yard"/>
    <s v="Brazil"/>
    <d v="2021-05-01T00:00:00"/>
    <d v="2021-05-01T00:00:00"/>
    <s v="USD"/>
    <n v="133266"/>
    <n v="133266"/>
    <s v="USD"/>
    <n v="133266"/>
    <n v="133266"/>
    <b v="1"/>
    <m/>
  </r>
  <r>
    <b v="1"/>
    <x v="0"/>
    <x v="0"/>
    <x v="2"/>
    <x v="0"/>
    <x v="1"/>
    <x v="57"/>
    <s v="BBG00VSZG6M8"/>
    <x v="26"/>
    <s v="ddc074cc122446bc92e5b6929179d0e2"/>
    <s v="Rumo 2028"/>
    <x v="0"/>
    <x v="5"/>
    <s v="Rail"/>
    <s v="Rio Claro Novo Yard"/>
    <s v="Brazil"/>
    <d v="2021-04-01T00:00:00"/>
    <d v="2021-04-01T00:00:00"/>
    <s v="USD"/>
    <n v="9642"/>
    <n v="9642"/>
    <s v="USD"/>
    <n v="9642"/>
    <n v="9642"/>
    <b v="1"/>
    <m/>
  </r>
  <r>
    <b v="1"/>
    <x v="0"/>
    <x v="0"/>
    <x v="2"/>
    <x v="0"/>
    <x v="1"/>
    <x v="57"/>
    <s v="BBG00VSZG6M8"/>
    <x v="26"/>
    <s v="ddc074cc122446bc92e5b6929179d0e2"/>
    <s v="Rumo 2028"/>
    <x v="0"/>
    <x v="5"/>
    <s v="Rail"/>
    <s v="Rio Claro Novo Yard"/>
    <s v="Brazil"/>
    <d v="2021-03-01T00:00:00"/>
    <d v="2021-03-01T00:00:00"/>
    <s v="USD"/>
    <n v="93816"/>
    <n v="93816"/>
    <s v="USD"/>
    <n v="93816"/>
    <n v="93816"/>
    <b v="1"/>
    <m/>
  </r>
  <r>
    <b v="1"/>
    <x v="0"/>
    <x v="0"/>
    <x v="2"/>
    <x v="0"/>
    <x v="1"/>
    <x v="57"/>
    <s v="BBG00VSZG6M8"/>
    <x v="26"/>
    <s v="ddc074cc122446bc92e5b6929179d0e2"/>
    <s v="Rumo 2028"/>
    <x v="0"/>
    <x v="5"/>
    <s v="Rail"/>
    <s v="Rio Claro Novo Yard"/>
    <s v="Brazil"/>
    <d v="2021-02-01T00:00:00"/>
    <d v="2021-02-01T00:00:00"/>
    <s v="USD"/>
    <n v="369759"/>
    <n v="369759"/>
    <s v="USD"/>
    <n v="369759"/>
    <n v="369759"/>
    <b v="1"/>
    <m/>
  </r>
  <r>
    <b v="1"/>
    <x v="0"/>
    <x v="0"/>
    <x v="2"/>
    <x v="0"/>
    <x v="1"/>
    <x v="57"/>
    <s v="BBG00VSZG6M8"/>
    <x v="26"/>
    <s v="ddc074cc122446bc92e5b6929179d0e2"/>
    <s v="Rumo 2028"/>
    <x v="0"/>
    <x v="5"/>
    <s v="Rail"/>
    <s v="Rio Claro Novo Yard"/>
    <s v="Brazil"/>
    <d v="2021-01-01T00:00:00"/>
    <d v="2021-01-01T00:00:00"/>
    <s v="USD"/>
    <n v="105163"/>
    <n v="105163"/>
    <s v="USD"/>
    <n v="105163"/>
    <n v="105163"/>
    <b v="1"/>
    <m/>
  </r>
  <r>
    <b v="1"/>
    <x v="0"/>
    <x v="0"/>
    <x v="2"/>
    <x v="0"/>
    <x v="1"/>
    <x v="57"/>
    <s v="BBG00VSZG6M8"/>
    <x v="26"/>
    <s v="ddc074cc122446bc92e5b6929179d0e2"/>
    <s v="Rumo 2028"/>
    <x v="0"/>
    <x v="5"/>
    <s v="Rail"/>
    <s v="Rio Claro Novo Yard"/>
    <s v="Brazil"/>
    <d v="2020-12-01T00:00:00"/>
    <d v="2020-12-01T00:00:00"/>
    <s v="USD"/>
    <n v="1781229"/>
    <n v="1781229"/>
    <s v="USD"/>
    <n v="1781229"/>
    <n v="1781229"/>
    <b v="1"/>
    <m/>
  </r>
  <r>
    <b v="1"/>
    <x v="0"/>
    <x v="0"/>
    <x v="2"/>
    <x v="0"/>
    <x v="1"/>
    <x v="57"/>
    <s v="BBG00VSZG6M8"/>
    <x v="26"/>
    <s v="ddc074cc122446bc92e5b6929179d0e2"/>
    <s v="Rumo 2028"/>
    <x v="0"/>
    <x v="5"/>
    <s v="Rail"/>
    <s v="Rio Claro Novo Yard"/>
    <s v="Brazil"/>
    <d v="2020-11-01T00:00:00"/>
    <d v="2020-11-01T00:00:00"/>
    <s v="USD"/>
    <n v="1459926"/>
    <n v="1459926"/>
    <s v="USD"/>
    <n v="1459926"/>
    <n v="1459926"/>
    <b v="1"/>
    <m/>
  </r>
  <r>
    <b v="1"/>
    <x v="0"/>
    <x v="0"/>
    <x v="2"/>
    <x v="0"/>
    <x v="1"/>
    <x v="57"/>
    <s v="BBG00VSZG6M8"/>
    <x v="26"/>
    <s v="ddc074cc122446bc92e5b6929179d0e2"/>
    <s v="Rumo 2028"/>
    <x v="0"/>
    <x v="5"/>
    <s v="Rail"/>
    <s v="Rio Claro Novo Yard"/>
    <s v="Brazil"/>
    <d v="2020-10-01T00:00:00"/>
    <d v="2020-10-01T00:00:00"/>
    <s v="USD"/>
    <n v="1086350"/>
    <n v="1086350"/>
    <s v="USD"/>
    <n v="1086350"/>
    <n v="1086350"/>
    <b v="1"/>
    <m/>
  </r>
  <r>
    <b v="1"/>
    <x v="0"/>
    <x v="0"/>
    <x v="2"/>
    <x v="0"/>
    <x v="1"/>
    <x v="57"/>
    <s v="BBG00VSZG6M8"/>
    <x v="26"/>
    <s v="ddc074cc122446bc92e5b6929179d0e2"/>
    <s v="Rumo 2028"/>
    <x v="0"/>
    <x v="5"/>
    <s v="Rail"/>
    <s v="Rio Claro Novo Yard"/>
    <s v="Brazil"/>
    <d v="2020-09-01T00:00:00"/>
    <d v="2020-09-01T00:00:00"/>
    <s v="USD"/>
    <n v="285887"/>
    <n v="285887"/>
    <s v="USD"/>
    <n v="285887"/>
    <n v="285887"/>
    <b v="1"/>
    <m/>
  </r>
  <r>
    <b v="1"/>
    <x v="0"/>
    <x v="0"/>
    <x v="2"/>
    <x v="0"/>
    <x v="1"/>
    <x v="57"/>
    <s v="BBG00VSZG6M8"/>
    <x v="26"/>
    <s v="ddc074cc122446bc92e5b6929179d0e2"/>
    <s v="Rumo 2028"/>
    <x v="0"/>
    <x v="5"/>
    <s v="Rail"/>
    <s v="Rio Claro Novo Yard"/>
    <s v="Brazil"/>
    <d v="2020-08-01T00:00:00"/>
    <d v="2020-08-01T00:00:00"/>
    <s v="USD"/>
    <n v="17577"/>
    <n v="17577"/>
    <s v="USD"/>
    <n v="17577"/>
    <n v="17577"/>
    <b v="1"/>
    <m/>
  </r>
  <r>
    <b v="1"/>
    <x v="0"/>
    <x v="0"/>
    <x v="2"/>
    <x v="0"/>
    <x v="1"/>
    <x v="57"/>
    <s v="BBG00VSZG6M8"/>
    <x v="26"/>
    <s v="ddc074cc122446bc92e5b6929179d0e2"/>
    <s v="Rumo 2028"/>
    <x v="0"/>
    <x v="5"/>
    <s v="Rail"/>
    <s v="Rio Claro Novo Yard"/>
    <s v="Brazil"/>
    <d v="2020-07-01T00:00:00"/>
    <d v="2020-07-01T00:00:00"/>
    <s v="USD"/>
    <n v="35153"/>
    <n v="35153"/>
    <s v="USD"/>
    <n v="35153"/>
    <n v="35153"/>
    <b v="1"/>
    <m/>
  </r>
  <r>
    <b v="1"/>
    <x v="0"/>
    <x v="0"/>
    <x v="2"/>
    <x v="0"/>
    <x v="1"/>
    <x v="57"/>
    <s v="BBG00VSZG6M8"/>
    <x v="26"/>
    <s v="ddc074cc122446bc92e5b6929179d0e2"/>
    <s v="Rumo 2028"/>
    <x v="1"/>
    <x v="6"/>
    <s v="Rail"/>
    <s v="Rio Claro Novo Yard"/>
    <s v="Brazil"/>
    <d v="2021-05-01T00:00:00"/>
    <d v="2021-05-01T00:00:00"/>
    <s v="USD"/>
    <n v="133266"/>
    <n v="133266"/>
    <s v="USD"/>
    <n v="133266"/>
    <n v="133266"/>
    <b v="1"/>
    <m/>
  </r>
  <r>
    <b v="1"/>
    <x v="0"/>
    <x v="0"/>
    <x v="2"/>
    <x v="0"/>
    <x v="1"/>
    <x v="57"/>
    <s v="BBG00VSZG6M8"/>
    <x v="26"/>
    <s v="ddc074cc122446bc92e5b6929179d0e2"/>
    <s v="Rumo 2028"/>
    <x v="1"/>
    <x v="6"/>
    <s v="Rail"/>
    <s v="Rio Claro Novo Yard"/>
    <s v="Brazil"/>
    <d v="2021-04-01T00:00:00"/>
    <d v="2021-04-01T00:00:00"/>
    <s v="USD"/>
    <n v="9642"/>
    <n v="9642"/>
    <s v="USD"/>
    <n v="9642"/>
    <n v="9642"/>
    <b v="1"/>
    <m/>
  </r>
  <r>
    <b v="1"/>
    <x v="0"/>
    <x v="0"/>
    <x v="2"/>
    <x v="0"/>
    <x v="1"/>
    <x v="57"/>
    <s v="BBG00VSZG6M8"/>
    <x v="26"/>
    <s v="ddc074cc122446bc92e5b6929179d0e2"/>
    <s v="Rumo 2028"/>
    <x v="1"/>
    <x v="6"/>
    <s v="Rail"/>
    <s v="Rio Claro Novo Yard"/>
    <s v="Brazil"/>
    <d v="2021-03-01T00:00:00"/>
    <d v="2021-03-01T00:00:00"/>
    <s v="USD"/>
    <n v="93816"/>
    <n v="93816"/>
    <s v="USD"/>
    <n v="93816"/>
    <n v="93816"/>
    <b v="1"/>
    <m/>
  </r>
  <r>
    <b v="1"/>
    <x v="0"/>
    <x v="0"/>
    <x v="2"/>
    <x v="0"/>
    <x v="1"/>
    <x v="57"/>
    <s v="BBG00VSZG6M8"/>
    <x v="26"/>
    <s v="ddc074cc122446bc92e5b6929179d0e2"/>
    <s v="Rumo 2028"/>
    <x v="1"/>
    <x v="6"/>
    <s v="Rail"/>
    <s v="Rio Claro Novo Yard"/>
    <s v="Brazil"/>
    <d v="2021-02-01T00:00:00"/>
    <d v="2021-02-01T00:00:00"/>
    <s v="USD"/>
    <n v="369759"/>
    <n v="369759"/>
    <s v="USD"/>
    <n v="369759"/>
    <n v="369759"/>
    <b v="1"/>
    <m/>
  </r>
  <r>
    <b v="1"/>
    <x v="0"/>
    <x v="0"/>
    <x v="2"/>
    <x v="0"/>
    <x v="1"/>
    <x v="57"/>
    <s v="BBG00VSZG6M8"/>
    <x v="26"/>
    <s v="ddc074cc122446bc92e5b6929179d0e2"/>
    <s v="Rumo 2028"/>
    <x v="1"/>
    <x v="6"/>
    <s v="Rail"/>
    <s v="Rio Claro Novo Yard"/>
    <s v="Brazil"/>
    <d v="2021-01-01T00:00:00"/>
    <d v="2021-01-01T00:00:00"/>
    <s v="USD"/>
    <n v="105163"/>
    <n v="105163"/>
    <s v="USD"/>
    <n v="105163"/>
    <n v="105163"/>
    <b v="1"/>
    <m/>
  </r>
  <r>
    <b v="1"/>
    <x v="0"/>
    <x v="0"/>
    <x v="2"/>
    <x v="0"/>
    <x v="1"/>
    <x v="57"/>
    <s v="BBG00VSZG6M8"/>
    <x v="26"/>
    <s v="ddc074cc122446bc92e5b6929179d0e2"/>
    <s v="Rumo 2028"/>
    <x v="1"/>
    <x v="6"/>
    <s v="Rail"/>
    <s v="Rio Claro Novo Yard"/>
    <s v="Brazil"/>
    <d v="2020-12-01T00:00:00"/>
    <d v="2020-12-01T00:00:00"/>
    <s v="USD"/>
    <n v="1781229"/>
    <n v="1781229"/>
    <s v="USD"/>
    <n v="1781229"/>
    <n v="1781229"/>
    <b v="1"/>
    <m/>
  </r>
  <r>
    <b v="1"/>
    <x v="0"/>
    <x v="0"/>
    <x v="2"/>
    <x v="0"/>
    <x v="1"/>
    <x v="57"/>
    <s v="BBG00VSZG6M8"/>
    <x v="26"/>
    <s v="ddc074cc122446bc92e5b6929179d0e2"/>
    <s v="Rumo 2028"/>
    <x v="1"/>
    <x v="6"/>
    <s v="Rail"/>
    <s v="Rio Claro Novo Yard"/>
    <s v="Brazil"/>
    <d v="2020-11-01T00:00:00"/>
    <d v="2020-11-01T00:00:00"/>
    <s v="USD"/>
    <n v="1459926"/>
    <n v="1459926"/>
    <s v="USD"/>
    <n v="1459926"/>
    <n v="1459926"/>
    <b v="1"/>
    <m/>
  </r>
  <r>
    <b v="1"/>
    <x v="0"/>
    <x v="0"/>
    <x v="2"/>
    <x v="0"/>
    <x v="1"/>
    <x v="57"/>
    <s v="BBG00VSZG6M8"/>
    <x v="26"/>
    <s v="ddc074cc122446bc92e5b6929179d0e2"/>
    <s v="Rumo 2028"/>
    <x v="1"/>
    <x v="6"/>
    <s v="Rail"/>
    <s v="Rio Claro Novo Yard"/>
    <s v="Brazil"/>
    <d v="2020-10-01T00:00:00"/>
    <d v="2020-10-01T00:00:00"/>
    <s v="USD"/>
    <n v="1086350"/>
    <n v="1086350"/>
    <s v="USD"/>
    <n v="1086350"/>
    <n v="1086350"/>
    <b v="1"/>
    <m/>
  </r>
  <r>
    <b v="1"/>
    <x v="0"/>
    <x v="0"/>
    <x v="2"/>
    <x v="0"/>
    <x v="1"/>
    <x v="57"/>
    <s v="BBG00VSZG6M8"/>
    <x v="26"/>
    <s v="ddc074cc122446bc92e5b6929179d0e2"/>
    <s v="Rumo 2028"/>
    <x v="1"/>
    <x v="6"/>
    <s v="Rail"/>
    <s v="Rio Claro Novo Yard"/>
    <s v="Brazil"/>
    <d v="2020-09-01T00:00:00"/>
    <d v="2020-09-01T00:00:00"/>
    <s v="USD"/>
    <n v="285887"/>
    <n v="285887"/>
    <s v="USD"/>
    <n v="285887"/>
    <n v="285887"/>
    <b v="1"/>
    <m/>
  </r>
  <r>
    <b v="1"/>
    <x v="0"/>
    <x v="0"/>
    <x v="2"/>
    <x v="0"/>
    <x v="1"/>
    <x v="57"/>
    <s v="BBG00VSZG6M8"/>
    <x v="26"/>
    <s v="ddc074cc122446bc92e5b6929179d0e2"/>
    <s v="Rumo 2028"/>
    <x v="1"/>
    <x v="6"/>
    <s v="Rail"/>
    <s v="Rio Claro Novo Yard"/>
    <s v="Brazil"/>
    <d v="2020-08-01T00:00:00"/>
    <d v="2020-08-01T00:00:00"/>
    <s v="USD"/>
    <n v="17577"/>
    <n v="17577"/>
    <s v="USD"/>
    <n v="17577"/>
    <n v="17577"/>
    <b v="1"/>
    <m/>
  </r>
  <r>
    <b v="1"/>
    <x v="0"/>
    <x v="0"/>
    <x v="2"/>
    <x v="0"/>
    <x v="1"/>
    <x v="57"/>
    <s v="BBG00VSZG6M8"/>
    <x v="26"/>
    <s v="ddc074cc122446bc92e5b6929179d0e2"/>
    <s v="Rumo 2028"/>
    <x v="1"/>
    <x v="6"/>
    <s v="Rail"/>
    <s v="Rio Claro Novo Yard"/>
    <s v="Brazil"/>
    <d v="2020-07-01T00:00:00"/>
    <d v="2020-07-01T00:00:00"/>
    <s v="USD"/>
    <n v="35153"/>
    <n v="35153"/>
    <s v="USD"/>
    <n v="35153"/>
    <n v="35153"/>
    <b v="1"/>
    <m/>
  </r>
  <r>
    <b v="1"/>
    <x v="0"/>
    <x v="0"/>
    <x v="2"/>
    <x v="0"/>
    <x v="1"/>
    <x v="57"/>
    <s v="BBG00VSZG6M8"/>
    <x v="26"/>
    <s v="ddc074cc122446bc92e5b6929179d0e2"/>
    <s v="Rumo 2028"/>
    <x v="0"/>
    <x v="5"/>
    <s v="Rail"/>
    <s v="Ouro and Tamoio Yard"/>
    <s v="Brazil"/>
    <d v="2021-06-01T00:00:00"/>
    <d v="2021-06-01T00:00:00"/>
    <s v="USD"/>
    <n v="1084899"/>
    <n v="1084899"/>
    <s v="USD"/>
    <n v="1084899"/>
    <n v="1084899"/>
    <b v="1"/>
    <m/>
  </r>
  <r>
    <b v="1"/>
    <x v="0"/>
    <x v="0"/>
    <x v="2"/>
    <x v="0"/>
    <x v="1"/>
    <x v="57"/>
    <s v="BBG00VSZG6M8"/>
    <x v="26"/>
    <s v="ddc074cc122446bc92e5b6929179d0e2"/>
    <s v="Rumo 2028"/>
    <x v="0"/>
    <x v="5"/>
    <s v="Rail"/>
    <s v="Ouro and Tamoio Yard"/>
    <s v="Brazil"/>
    <d v="2021-05-01T00:00:00"/>
    <d v="2021-05-01T00:00:00"/>
    <s v="USD"/>
    <n v="864731"/>
    <n v="864731"/>
    <s v="USD"/>
    <n v="864731"/>
    <n v="864731"/>
    <b v="1"/>
    <m/>
  </r>
  <r>
    <b v="1"/>
    <x v="0"/>
    <x v="0"/>
    <x v="2"/>
    <x v="0"/>
    <x v="1"/>
    <x v="57"/>
    <s v="BBG00VSZG6M8"/>
    <x v="26"/>
    <s v="ddc074cc122446bc92e5b6929179d0e2"/>
    <s v="Rumo 2028"/>
    <x v="0"/>
    <x v="5"/>
    <s v="Rail"/>
    <s v="Ouro and Tamoio Yard"/>
    <s v="Brazil"/>
    <d v="2021-04-01T00:00:00"/>
    <d v="2021-04-01T00:00:00"/>
    <s v="USD"/>
    <n v="1472847"/>
    <n v="1472847"/>
    <s v="USD"/>
    <n v="1472847"/>
    <n v="1472847"/>
    <b v="1"/>
    <m/>
  </r>
  <r>
    <b v="1"/>
    <x v="0"/>
    <x v="0"/>
    <x v="2"/>
    <x v="0"/>
    <x v="1"/>
    <x v="57"/>
    <s v="BBG00VSZG6M8"/>
    <x v="26"/>
    <s v="ddc074cc122446bc92e5b6929179d0e2"/>
    <s v="Rumo 2028"/>
    <x v="0"/>
    <x v="5"/>
    <s v="Rail"/>
    <s v="Ouro and Tamoio Yard"/>
    <s v="Brazil"/>
    <d v="2021-03-01T00:00:00"/>
    <d v="2021-03-01T00:00:00"/>
    <s v="USD"/>
    <n v="330193"/>
    <n v="330193"/>
    <s v="USD"/>
    <n v="330193"/>
    <n v="330193"/>
    <b v="1"/>
    <m/>
  </r>
  <r>
    <b v="1"/>
    <x v="0"/>
    <x v="0"/>
    <x v="2"/>
    <x v="0"/>
    <x v="1"/>
    <x v="57"/>
    <s v="BBG00VSZG6M8"/>
    <x v="26"/>
    <s v="ddc074cc122446bc92e5b6929179d0e2"/>
    <s v="Rumo 2028"/>
    <x v="0"/>
    <x v="5"/>
    <s v="Rail"/>
    <s v="Ouro and Tamoio Yard"/>
    <s v="Brazil"/>
    <d v="2021-02-01T00:00:00"/>
    <d v="2021-02-01T00:00:00"/>
    <s v="USD"/>
    <n v="192516"/>
    <n v="192516"/>
    <s v="USD"/>
    <n v="192516"/>
    <n v="192516"/>
    <b v="1"/>
    <m/>
  </r>
  <r>
    <b v="1"/>
    <x v="0"/>
    <x v="0"/>
    <x v="2"/>
    <x v="0"/>
    <x v="1"/>
    <x v="57"/>
    <s v="BBG00VSZG6M8"/>
    <x v="26"/>
    <s v="ddc074cc122446bc92e5b6929179d0e2"/>
    <s v="Rumo 2028"/>
    <x v="0"/>
    <x v="5"/>
    <s v="Rail"/>
    <s v="Ouro and Tamoio Yard"/>
    <s v="Brazil"/>
    <d v="2020-12-01T00:00:00"/>
    <d v="2020-12-01T00:00:00"/>
    <s v="USD"/>
    <n v="515813"/>
    <n v="515813"/>
    <s v="USD"/>
    <n v="515813"/>
    <n v="515813"/>
    <b v="1"/>
    <m/>
  </r>
  <r>
    <b v="1"/>
    <x v="0"/>
    <x v="0"/>
    <x v="2"/>
    <x v="0"/>
    <x v="1"/>
    <x v="57"/>
    <s v="BBG00VSZG6M8"/>
    <x v="26"/>
    <s v="ddc074cc122446bc92e5b6929179d0e2"/>
    <s v="Rumo 2028"/>
    <x v="0"/>
    <x v="5"/>
    <s v="Rail"/>
    <s v="Ouro and Tamoio Yard"/>
    <s v="Brazil"/>
    <d v="2020-11-01T00:00:00"/>
    <d v="2020-11-01T00:00:00"/>
    <s v="USD"/>
    <n v="127820"/>
    <n v="127820"/>
    <s v="USD"/>
    <n v="127820"/>
    <n v="127820"/>
    <b v="1"/>
    <m/>
  </r>
  <r>
    <b v="1"/>
    <x v="0"/>
    <x v="0"/>
    <x v="2"/>
    <x v="0"/>
    <x v="1"/>
    <x v="57"/>
    <s v="BBG00VSZG6M8"/>
    <x v="26"/>
    <s v="ddc074cc122446bc92e5b6929179d0e2"/>
    <s v="Rumo 2028"/>
    <x v="0"/>
    <x v="5"/>
    <s v="Rail"/>
    <s v="Ouro and Tamoio Yard"/>
    <s v="Brazil"/>
    <d v="2020-10-01T00:00:00"/>
    <d v="2020-10-01T00:00:00"/>
    <s v="USD"/>
    <n v="75236"/>
    <n v="75236"/>
    <s v="USD"/>
    <n v="75236"/>
    <n v="75236"/>
    <b v="1"/>
    <m/>
  </r>
  <r>
    <b v="1"/>
    <x v="0"/>
    <x v="0"/>
    <x v="2"/>
    <x v="0"/>
    <x v="1"/>
    <x v="57"/>
    <s v="BBG00VSZG6M8"/>
    <x v="26"/>
    <s v="ddc074cc122446bc92e5b6929179d0e2"/>
    <s v="Rumo 2028"/>
    <x v="1"/>
    <x v="6"/>
    <s v="Rail"/>
    <s v="Ouro and Tamoio Yard"/>
    <s v="Brazil"/>
    <d v="2021-06-01T00:00:00"/>
    <d v="2021-06-01T00:00:00"/>
    <s v="USD"/>
    <n v="1084899"/>
    <n v="1084899"/>
    <s v="USD"/>
    <n v="1084899"/>
    <n v="1084899"/>
    <b v="1"/>
    <m/>
  </r>
  <r>
    <b v="1"/>
    <x v="0"/>
    <x v="0"/>
    <x v="2"/>
    <x v="0"/>
    <x v="1"/>
    <x v="57"/>
    <s v="BBG00VSZG6M8"/>
    <x v="26"/>
    <s v="ddc074cc122446bc92e5b6929179d0e2"/>
    <s v="Rumo 2028"/>
    <x v="1"/>
    <x v="6"/>
    <s v="Rail"/>
    <s v="Ouro and Tamoio Yard"/>
    <s v="Brazil"/>
    <d v="2021-05-01T00:00:00"/>
    <d v="2021-05-01T00:00:00"/>
    <s v="USD"/>
    <n v="864731"/>
    <n v="864731"/>
    <s v="USD"/>
    <n v="864731"/>
    <n v="864731"/>
    <b v="1"/>
    <m/>
  </r>
  <r>
    <b v="1"/>
    <x v="0"/>
    <x v="0"/>
    <x v="2"/>
    <x v="0"/>
    <x v="1"/>
    <x v="57"/>
    <s v="BBG00VSZG6M8"/>
    <x v="26"/>
    <s v="ddc074cc122446bc92e5b6929179d0e2"/>
    <s v="Rumo 2028"/>
    <x v="1"/>
    <x v="6"/>
    <s v="Rail"/>
    <s v="Ouro and Tamoio Yard"/>
    <s v="Brazil"/>
    <d v="2021-04-01T00:00:00"/>
    <d v="2021-04-01T00:00:00"/>
    <s v="USD"/>
    <n v="1472847"/>
    <n v="1472847"/>
    <s v="USD"/>
    <n v="1472847"/>
    <n v="1472847"/>
    <b v="1"/>
    <m/>
  </r>
  <r>
    <b v="1"/>
    <x v="0"/>
    <x v="0"/>
    <x v="2"/>
    <x v="0"/>
    <x v="1"/>
    <x v="57"/>
    <s v="BBG00VSZG6M8"/>
    <x v="26"/>
    <s v="ddc074cc122446bc92e5b6929179d0e2"/>
    <s v="Rumo 2028"/>
    <x v="1"/>
    <x v="6"/>
    <s v="Rail"/>
    <s v="Ouro and Tamoio Yard"/>
    <s v="Brazil"/>
    <d v="2021-03-01T00:00:00"/>
    <d v="2021-03-01T00:00:00"/>
    <s v="USD"/>
    <n v="330193"/>
    <n v="330193"/>
    <s v="USD"/>
    <n v="330193"/>
    <n v="330193"/>
    <b v="1"/>
    <m/>
  </r>
  <r>
    <b v="1"/>
    <x v="0"/>
    <x v="0"/>
    <x v="2"/>
    <x v="0"/>
    <x v="1"/>
    <x v="57"/>
    <s v="BBG00VSZG6M8"/>
    <x v="26"/>
    <s v="ddc074cc122446bc92e5b6929179d0e2"/>
    <s v="Rumo 2028"/>
    <x v="1"/>
    <x v="6"/>
    <s v="Rail"/>
    <s v="Ouro and Tamoio Yard"/>
    <s v="Brazil"/>
    <d v="2021-02-01T00:00:00"/>
    <d v="2021-02-01T00:00:00"/>
    <s v="USD"/>
    <n v="192516"/>
    <n v="192516"/>
    <s v="USD"/>
    <n v="192516"/>
    <n v="192516"/>
    <b v="1"/>
    <m/>
  </r>
  <r>
    <b v="1"/>
    <x v="0"/>
    <x v="0"/>
    <x v="2"/>
    <x v="0"/>
    <x v="1"/>
    <x v="57"/>
    <s v="BBG00VSZG6M8"/>
    <x v="26"/>
    <s v="ddc074cc122446bc92e5b6929179d0e2"/>
    <s v="Rumo 2028"/>
    <x v="1"/>
    <x v="6"/>
    <s v="Rail"/>
    <s v="Ouro and Tamoio Yard"/>
    <s v="Brazil"/>
    <d v="2020-12-01T00:00:00"/>
    <d v="2020-12-01T00:00:00"/>
    <s v="USD"/>
    <n v="515813"/>
    <n v="515813"/>
    <s v="USD"/>
    <n v="515813"/>
    <n v="515813"/>
    <b v="1"/>
    <m/>
  </r>
  <r>
    <b v="1"/>
    <x v="0"/>
    <x v="0"/>
    <x v="2"/>
    <x v="0"/>
    <x v="1"/>
    <x v="57"/>
    <s v="BBG00VSZG6M8"/>
    <x v="26"/>
    <s v="ddc074cc122446bc92e5b6929179d0e2"/>
    <s v="Rumo 2028"/>
    <x v="1"/>
    <x v="6"/>
    <s v="Rail"/>
    <s v="Ouro and Tamoio Yard"/>
    <s v="Brazil"/>
    <d v="2020-11-01T00:00:00"/>
    <d v="2020-11-01T00:00:00"/>
    <s v="USD"/>
    <n v="127820"/>
    <n v="127820"/>
    <s v="USD"/>
    <n v="127820"/>
    <n v="127820"/>
    <b v="1"/>
    <m/>
  </r>
  <r>
    <b v="1"/>
    <x v="0"/>
    <x v="0"/>
    <x v="2"/>
    <x v="0"/>
    <x v="1"/>
    <x v="57"/>
    <s v="BBG00VSZG6M8"/>
    <x v="26"/>
    <s v="ddc074cc122446bc92e5b6929179d0e2"/>
    <s v="Rumo 2028"/>
    <x v="1"/>
    <x v="6"/>
    <s v="Rail"/>
    <s v="Ouro and Tamoio Yard"/>
    <s v="Brazil"/>
    <d v="2020-10-01T00:00:00"/>
    <d v="2020-10-01T00:00:00"/>
    <s v="USD"/>
    <n v="75236"/>
    <n v="75236"/>
    <s v="USD"/>
    <n v="75236"/>
    <n v="75236"/>
    <b v="1"/>
    <m/>
  </r>
  <r>
    <b v="1"/>
    <x v="0"/>
    <x v="0"/>
    <x v="2"/>
    <x v="0"/>
    <x v="1"/>
    <x v="57"/>
    <s v="BBG00VSZG6M8"/>
    <x v="26"/>
    <s v="ddc074cc122446bc92e5b6929179d0e2"/>
    <s v="Rumo 2028"/>
    <x v="0"/>
    <x v="5"/>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0"/>
    <x v="5"/>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0"/>
    <x v="5"/>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0"/>
    <x v="5"/>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0"/>
    <x v="5"/>
    <s v="Rail"/>
    <s v="Rio Claro Novo and Cordeir√≥polis crossing yards"/>
    <s v="Brazil"/>
    <d v="2021-02-01T00:00:00"/>
    <d v="2021-02-01T00:00:00"/>
    <s v="USD"/>
    <n v="87438"/>
    <n v="87438"/>
    <s v="USD"/>
    <n v="87438"/>
    <n v="87438"/>
    <b v="1"/>
    <m/>
  </r>
  <r>
    <b v="1"/>
    <x v="0"/>
    <x v="0"/>
    <x v="2"/>
    <x v="0"/>
    <x v="1"/>
    <x v="57"/>
    <s v="BBG00VSZG6M8"/>
    <x v="26"/>
    <s v="ddc074cc122446bc92e5b6929179d0e2"/>
    <s v="Rumo 2028"/>
    <x v="0"/>
    <x v="5"/>
    <s v="Rail"/>
    <s v="Rio Claro Novo and Cordeir√≥polis crossing yards"/>
    <s v="Brazil"/>
    <d v="2021-01-01T00:00:00"/>
    <d v="2021-01-01T00:00:00"/>
    <s v="USD"/>
    <n v="157"/>
    <n v="157"/>
    <s v="USD"/>
    <n v="157"/>
    <n v="157"/>
    <b v="1"/>
    <m/>
  </r>
  <r>
    <b v="1"/>
    <x v="0"/>
    <x v="0"/>
    <x v="2"/>
    <x v="0"/>
    <x v="1"/>
    <x v="57"/>
    <s v="BBG00VSZG6M8"/>
    <x v="26"/>
    <s v="ddc074cc122446bc92e5b6929179d0e2"/>
    <s v="Rumo 2028"/>
    <x v="0"/>
    <x v="5"/>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0"/>
    <x v="5"/>
    <s v="Rail"/>
    <s v="Rio Claro Novo and Cordeir√≥polis crossing yards"/>
    <s v="Brazil"/>
    <d v="2020-11-01T00:00:00"/>
    <d v="2020-11-01T00:00:00"/>
    <s v="USD"/>
    <n v="59431"/>
    <n v="59431"/>
    <s v="USD"/>
    <n v="59431"/>
    <n v="59431"/>
    <b v="1"/>
    <m/>
  </r>
  <r>
    <b v="1"/>
    <x v="0"/>
    <x v="0"/>
    <x v="2"/>
    <x v="0"/>
    <x v="1"/>
    <x v="57"/>
    <s v="BBG00VSZG6M8"/>
    <x v="26"/>
    <s v="ddc074cc122446bc92e5b6929179d0e2"/>
    <s v="Rumo 2028"/>
    <x v="0"/>
    <x v="5"/>
    <s v="Rail"/>
    <s v="Rio Claro Novo and Cordeir√≥polis crossing yards"/>
    <s v="Brazil"/>
    <d v="2020-10-01T00:00:00"/>
    <d v="2020-10-01T00:00:00"/>
    <s v="USD"/>
    <n v="11198"/>
    <n v="11198"/>
    <s v="USD"/>
    <n v="11198"/>
    <n v="11198"/>
    <b v="1"/>
    <m/>
  </r>
  <r>
    <b v="1"/>
    <x v="0"/>
    <x v="0"/>
    <x v="2"/>
    <x v="0"/>
    <x v="1"/>
    <x v="57"/>
    <s v="BBG00VSZG6M8"/>
    <x v="26"/>
    <s v="ddc074cc122446bc92e5b6929179d0e2"/>
    <s v="Rumo 2028"/>
    <x v="0"/>
    <x v="5"/>
    <s v="Rail"/>
    <s v="Rio Claro Novo and Cordeir√≥polis crossing yards"/>
    <s v="Brazil"/>
    <d v="2020-09-01T00:00:00"/>
    <d v="2020-09-01T00:00:00"/>
    <s v="USD"/>
    <n v="10375"/>
    <n v="10375"/>
    <s v="USD"/>
    <n v="10375"/>
    <n v="10375"/>
    <b v="1"/>
    <m/>
  </r>
  <r>
    <b v="1"/>
    <x v="0"/>
    <x v="0"/>
    <x v="2"/>
    <x v="0"/>
    <x v="1"/>
    <x v="57"/>
    <s v="BBG00VSZG6M8"/>
    <x v="26"/>
    <s v="ddc074cc122446bc92e5b6929179d0e2"/>
    <s v="Rumo 2028"/>
    <x v="1"/>
    <x v="6"/>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1"/>
    <x v="6"/>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1"/>
    <x v="6"/>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1"/>
    <x v="6"/>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1"/>
    <x v="6"/>
    <s v="Rail"/>
    <s v="Rio Claro Novo and Cordeir√≥polis crossing yards"/>
    <s v="Brazil"/>
    <d v="2021-02-01T00:00:00"/>
    <d v="2021-02-01T00:00:00"/>
    <s v="USD"/>
    <n v="87438"/>
    <n v="87438"/>
    <s v="USD"/>
    <n v="87438"/>
    <n v="87438"/>
    <b v="1"/>
    <m/>
  </r>
  <r>
    <b v="1"/>
    <x v="0"/>
    <x v="0"/>
    <x v="2"/>
    <x v="0"/>
    <x v="1"/>
    <x v="57"/>
    <s v="BBG00VSZG6M8"/>
    <x v="26"/>
    <s v="ddc074cc122446bc92e5b6929179d0e2"/>
    <s v="Rumo 2028"/>
    <x v="1"/>
    <x v="6"/>
    <s v="Rail"/>
    <s v="Rio Claro Novo and Cordeir√≥polis crossing yards"/>
    <s v="Brazil"/>
    <d v="2021-01-01T00:00:00"/>
    <d v="2021-01-01T00:00:00"/>
    <s v="USD"/>
    <n v="157"/>
    <n v="157"/>
    <s v="USD"/>
    <n v="157"/>
    <n v="157"/>
    <b v="1"/>
    <m/>
  </r>
  <r>
    <b v="1"/>
    <x v="0"/>
    <x v="0"/>
    <x v="2"/>
    <x v="0"/>
    <x v="1"/>
    <x v="57"/>
    <s v="BBG00VSZG6M8"/>
    <x v="26"/>
    <s v="ddc074cc122446bc92e5b6929179d0e2"/>
    <s v="Rumo 2028"/>
    <x v="1"/>
    <x v="6"/>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1"/>
    <x v="6"/>
    <s v="Rail"/>
    <s v="Rio Claro Novo and Cordeir√≥polis crossing yards"/>
    <s v="Brazil"/>
    <d v="2020-11-01T00:00:00"/>
    <d v="2020-11-01T00:00:00"/>
    <s v="USD"/>
    <n v="59431"/>
    <n v="59431"/>
    <s v="USD"/>
    <n v="59431"/>
    <n v="59431"/>
    <b v="1"/>
    <m/>
  </r>
  <r>
    <b v="1"/>
    <x v="0"/>
    <x v="0"/>
    <x v="2"/>
    <x v="0"/>
    <x v="1"/>
    <x v="57"/>
    <s v="BBG00VSZG6M8"/>
    <x v="26"/>
    <s v="ddc074cc122446bc92e5b6929179d0e2"/>
    <s v="Rumo 2028"/>
    <x v="1"/>
    <x v="6"/>
    <s v="Rail"/>
    <s v="Rio Claro Novo and Cordeir√≥polis crossing yards"/>
    <s v="Brazil"/>
    <d v="2020-10-01T00:00:00"/>
    <d v="2020-10-01T00:00:00"/>
    <s v="USD"/>
    <n v="11198"/>
    <n v="11198"/>
    <s v="USD"/>
    <n v="11198"/>
    <n v="11198"/>
    <b v="1"/>
    <m/>
  </r>
  <r>
    <b v="1"/>
    <x v="0"/>
    <x v="0"/>
    <x v="2"/>
    <x v="0"/>
    <x v="1"/>
    <x v="57"/>
    <s v="BBG00VSZG6M8"/>
    <x v="26"/>
    <s v="ddc074cc122446bc92e5b6929179d0e2"/>
    <s v="Rumo 2028"/>
    <x v="1"/>
    <x v="6"/>
    <s v="Rail"/>
    <s v="Rio Claro Novo and Cordeir√≥polis crossing yards"/>
    <s v="Brazil"/>
    <d v="2020-09-01T00:00:00"/>
    <d v="2020-09-01T00:00:00"/>
    <s v="USD"/>
    <n v="10375"/>
    <n v="10375"/>
    <s v="USD"/>
    <n v="10375"/>
    <n v="10375"/>
    <b v="1"/>
    <m/>
  </r>
  <r>
    <b v="1"/>
    <x v="0"/>
    <x v="0"/>
    <x v="2"/>
    <x v="0"/>
    <x v="1"/>
    <x v="57"/>
    <s v="BBG00VSZG6M8"/>
    <x v="26"/>
    <s v="ddc074cc122446bc92e5b6929179d0e2"/>
    <s v="Rumo 2028"/>
    <x v="0"/>
    <x v="5"/>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0"/>
    <x v="5"/>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0"/>
    <x v="5"/>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0"/>
    <x v="5"/>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0"/>
    <x v="5"/>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0"/>
    <x v="5"/>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0"/>
    <x v="5"/>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0"/>
    <x v="5"/>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0"/>
    <x v="5"/>
    <s v="Rail"/>
    <s v="Second railway line - Camaqu√£ and Rio Claro Novo"/>
    <s v="Brazil"/>
    <d v="2020-10-01T00:00:00"/>
    <d v="2020-10-01T00:00:00"/>
    <s v="USD"/>
    <n v="11198"/>
    <n v="11198"/>
    <s v="USD"/>
    <n v="11198"/>
    <n v="11198"/>
    <b v="1"/>
    <m/>
  </r>
  <r>
    <b v="1"/>
    <x v="0"/>
    <x v="0"/>
    <x v="2"/>
    <x v="0"/>
    <x v="1"/>
    <x v="57"/>
    <s v="BBG00VSZG6M8"/>
    <x v="26"/>
    <s v="ddc074cc122446bc92e5b6929179d0e2"/>
    <s v="Rumo 2028"/>
    <x v="0"/>
    <x v="5"/>
    <s v="Rail"/>
    <s v="Second railway line - Camaqu√£ and Rio Claro Novo"/>
    <s v="Brazil"/>
    <d v="2020-09-01T00:00:00"/>
    <d v="2020-09-01T00:00:00"/>
    <s v="USD"/>
    <n v="10375"/>
    <n v="10375"/>
    <s v="USD"/>
    <n v="10375"/>
    <n v="10375"/>
    <b v="1"/>
    <m/>
  </r>
  <r>
    <b v="1"/>
    <x v="0"/>
    <x v="0"/>
    <x v="2"/>
    <x v="0"/>
    <x v="1"/>
    <x v="57"/>
    <s v="BBG00VSZG6M8"/>
    <x v="26"/>
    <s v="ddc074cc122446bc92e5b6929179d0e2"/>
    <s v="Rumo 2028"/>
    <x v="1"/>
    <x v="6"/>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1"/>
    <x v="6"/>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1"/>
    <x v="6"/>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1"/>
    <x v="6"/>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1"/>
    <x v="6"/>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1"/>
    <x v="6"/>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1"/>
    <x v="6"/>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1"/>
    <x v="6"/>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1"/>
    <x v="6"/>
    <s v="Rail"/>
    <s v="Second railway line - Camaqu√£ and Rio Claro Novo"/>
    <s v="Brazil"/>
    <d v="2020-10-01T00:00:00"/>
    <d v="2020-10-01T00:00:00"/>
    <s v="USD"/>
    <n v="11198"/>
    <n v="11198"/>
    <s v="USD"/>
    <n v="11198"/>
    <n v="11198"/>
    <b v="1"/>
    <m/>
  </r>
  <r>
    <b v="1"/>
    <x v="0"/>
    <x v="0"/>
    <x v="2"/>
    <x v="0"/>
    <x v="1"/>
    <x v="57"/>
    <s v="BBG00VSZG6M8"/>
    <x v="26"/>
    <s v="ddc074cc122446bc92e5b6929179d0e2"/>
    <s v="Rumo 2028"/>
    <x v="1"/>
    <x v="6"/>
    <s v="Rail"/>
    <s v="Second railway line - Camaqu√£ and Rio Claro Novo"/>
    <s v="Brazil"/>
    <d v="2020-09-01T00:00:00"/>
    <d v="2020-09-01T00:00:00"/>
    <s v="USD"/>
    <n v="10375"/>
    <n v="10375"/>
    <s v="USD"/>
    <n v="10375"/>
    <n v="10375"/>
    <b v="1"/>
    <m/>
  </r>
  <r>
    <b v="1"/>
    <x v="0"/>
    <x v="0"/>
    <x v="2"/>
    <x v="0"/>
    <x v="1"/>
    <x v="57"/>
    <s v="BBG00VSZG6M8"/>
    <x v="26"/>
    <s v="ddc074cc122446bc92e5b6929179d0e2"/>
    <s v="Rumo 2028"/>
    <x v="0"/>
    <x v="5"/>
    <s v="Rail"/>
    <s v="Cedral Yard"/>
    <s v="Brazil"/>
    <d v="2021-05-01T00:00:00"/>
    <d v="2021-05-01T00:00:00"/>
    <s v="USD"/>
    <n v="33581"/>
    <n v="33581"/>
    <s v="USD"/>
    <n v="33581"/>
    <n v="33581"/>
    <b v="1"/>
    <m/>
  </r>
  <r>
    <b v="1"/>
    <x v="0"/>
    <x v="0"/>
    <x v="2"/>
    <x v="0"/>
    <x v="1"/>
    <x v="57"/>
    <s v="BBG00VSZG6M8"/>
    <x v="26"/>
    <s v="ddc074cc122446bc92e5b6929179d0e2"/>
    <s v="Rumo 2028"/>
    <x v="0"/>
    <x v="5"/>
    <s v="Rail"/>
    <s v="Cedral Yard"/>
    <s v="Brazil"/>
    <d v="2021-02-01T00:00:00"/>
    <d v="2021-02-01T00:00:00"/>
    <s v="USD"/>
    <n v="29030"/>
    <n v="29030"/>
    <s v="USD"/>
    <n v="29030"/>
    <n v="29030"/>
    <b v="1"/>
    <m/>
  </r>
  <r>
    <b v="1"/>
    <x v="0"/>
    <x v="0"/>
    <x v="2"/>
    <x v="0"/>
    <x v="1"/>
    <x v="57"/>
    <s v="BBG00VSZG6M8"/>
    <x v="26"/>
    <s v="ddc074cc122446bc92e5b6929179d0e2"/>
    <s v="Rumo 2028"/>
    <x v="0"/>
    <x v="5"/>
    <s v="Rail"/>
    <s v="Cedral Yard"/>
    <s v="Brazil"/>
    <d v="2020-12-01T00:00:00"/>
    <d v="2020-12-01T00:00:00"/>
    <s v="USD"/>
    <n v="1864446"/>
    <n v="1864446"/>
    <s v="USD"/>
    <n v="1864446"/>
    <n v="1864446"/>
    <b v="1"/>
    <m/>
  </r>
  <r>
    <b v="1"/>
    <x v="0"/>
    <x v="0"/>
    <x v="2"/>
    <x v="0"/>
    <x v="1"/>
    <x v="57"/>
    <s v="BBG00VSZG6M8"/>
    <x v="26"/>
    <s v="ddc074cc122446bc92e5b6929179d0e2"/>
    <s v="Rumo 2028"/>
    <x v="0"/>
    <x v="5"/>
    <s v="Rail"/>
    <s v="Cedral Yard"/>
    <s v="Brazil"/>
    <d v="2020-11-01T00:00:00"/>
    <d v="2020-11-01T00:00:00"/>
    <s v="USD"/>
    <n v="345348"/>
    <n v="345348"/>
    <s v="USD"/>
    <n v="345348"/>
    <n v="345348"/>
    <b v="1"/>
    <m/>
  </r>
  <r>
    <b v="1"/>
    <x v="0"/>
    <x v="0"/>
    <x v="2"/>
    <x v="0"/>
    <x v="1"/>
    <x v="57"/>
    <s v="BBG00VSZG6M8"/>
    <x v="26"/>
    <s v="ddc074cc122446bc92e5b6929179d0e2"/>
    <s v="Rumo 2028"/>
    <x v="0"/>
    <x v="5"/>
    <s v="Rail"/>
    <s v="Cedral Yard"/>
    <s v="Brazil"/>
    <d v="2020-10-01T00:00:00"/>
    <d v="2020-10-01T00:00:00"/>
    <s v="USD"/>
    <n v="128964"/>
    <n v="128964"/>
    <s v="USD"/>
    <n v="128964"/>
    <n v="128964"/>
    <b v="1"/>
    <m/>
  </r>
  <r>
    <b v="1"/>
    <x v="0"/>
    <x v="0"/>
    <x v="2"/>
    <x v="0"/>
    <x v="1"/>
    <x v="57"/>
    <s v="BBG00VSZG6M8"/>
    <x v="26"/>
    <s v="ddc074cc122446bc92e5b6929179d0e2"/>
    <s v="Rumo 2028"/>
    <x v="0"/>
    <x v="5"/>
    <s v="Rail"/>
    <s v="Cedral Yard"/>
    <s v="Brazil"/>
    <d v="2020-09-01T00:00:00"/>
    <d v="2020-09-01T00:00:00"/>
    <s v="USD"/>
    <n v="73700"/>
    <n v="73700"/>
    <s v="USD"/>
    <n v="73700"/>
    <n v="73700"/>
    <b v="1"/>
    <m/>
  </r>
  <r>
    <b v="1"/>
    <x v="0"/>
    <x v="0"/>
    <x v="2"/>
    <x v="0"/>
    <x v="1"/>
    <x v="57"/>
    <s v="BBG00VSZG6M8"/>
    <x v="26"/>
    <s v="ddc074cc122446bc92e5b6929179d0e2"/>
    <s v="Rumo 2028"/>
    <x v="1"/>
    <x v="6"/>
    <s v="Rail"/>
    <s v="Cedral Yard"/>
    <s v="Brazil"/>
    <d v="2021-05-01T00:00:00"/>
    <d v="2021-05-01T00:00:00"/>
    <s v="USD"/>
    <n v="33581"/>
    <n v="33581"/>
    <s v="USD"/>
    <n v="33581"/>
    <n v="33581"/>
    <b v="1"/>
    <m/>
  </r>
  <r>
    <b v="1"/>
    <x v="0"/>
    <x v="0"/>
    <x v="2"/>
    <x v="0"/>
    <x v="1"/>
    <x v="57"/>
    <s v="BBG00VSZG6M8"/>
    <x v="26"/>
    <s v="ddc074cc122446bc92e5b6929179d0e2"/>
    <s v="Rumo 2028"/>
    <x v="1"/>
    <x v="6"/>
    <s v="Rail"/>
    <s v="Cedral Yard"/>
    <s v="Brazil"/>
    <d v="2021-02-01T00:00:00"/>
    <d v="2021-02-01T00:00:00"/>
    <s v="USD"/>
    <n v="29030"/>
    <n v="29030"/>
    <s v="USD"/>
    <n v="29030"/>
    <n v="29030"/>
    <b v="1"/>
    <m/>
  </r>
  <r>
    <b v="1"/>
    <x v="0"/>
    <x v="0"/>
    <x v="2"/>
    <x v="0"/>
    <x v="1"/>
    <x v="57"/>
    <s v="BBG00VSZG6M8"/>
    <x v="26"/>
    <s v="ddc074cc122446bc92e5b6929179d0e2"/>
    <s v="Rumo 2028"/>
    <x v="1"/>
    <x v="6"/>
    <s v="Rail"/>
    <s v="Cedral Yard"/>
    <s v="Brazil"/>
    <d v="2020-12-01T00:00:00"/>
    <d v="2020-12-01T00:00:00"/>
    <s v="USD"/>
    <n v="1864446"/>
    <n v="1864446"/>
    <s v="USD"/>
    <n v="1864446"/>
    <n v="1864446"/>
    <b v="1"/>
    <m/>
  </r>
  <r>
    <b v="1"/>
    <x v="0"/>
    <x v="0"/>
    <x v="2"/>
    <x v="0"/>
    <x v="1"/>
    <x v="57"/>
    <s v="BBG00VSZG6M8"/>
    <x v="26"/>
    <s v="ddc074cc122446bc92e5b6929179d0e2"/>
    <s v="Rumo 2028"/>
    <x v="1"/>
    <x v="6"/>
    <s v="Rail"/>
    <s v="Cedral Yard"/>
    <s v="Brazil"/>
    <d v="2020-11-01T00:00:00"/>
    <d v="2020-11-01T00:00:00"/>
    <s v="USD"/>
    <n v="345348"/>
    <n v="345348"/>
    <s v="USD"/>
    <n v="345348"/>
    <n v="345348"/>
    <b v="1"/>
    <m/>
  </r>
  <r>
    <b v="1"/>
    <x v="0"/>
    <x v="0"/>
    <x v="2"/>
    <x v="0"/>
    <x v="1"/>
    <x v="57"/>
    <s v="BBG00VSZG6M8"/>
    <x v="26"/>
    <s v="ddc074cc122446bc92e5b6929179d0e2"/>
    <s v="Rumo 2028"/>
    <x v="1"/>
    <x v="6"/>
    <s v="Rail"/>
    <s v="Cedral Yard"/>
    <s v="Brazil"/>
    <d v="2020-10-01T00:00:00"/>
    <d v="2020-10-01T00:00:00"/>
    <s v="USD"/>
    <n v="128964"/>
    <n v="128964"/>
    <s v="USD"/>
    <n v="128964"/>
    <n v="128964"/>
    <b v="1"/>
    <m/>
  </r>
  <r>
    <b v="1"/>
    <x v="0"/>
    <x v="0"/>
    <x v="2"/>
    <x v="0"/>
    <x v="1"/>
    <x v="57"/>
    <s v="BBG00VSZG6M8"/>
    <x v="26"/>
    <s v="ddc074cc122446bc92e5b6929179d0e2"/>
    <s v="Rumo 2028"/>
    <x v="1"/>
    <x v="6"/>
    <s v="Rail"/>
    <s v="Cedral Yard"/>
    <s v="Brazil"/>
    <d v="2020-09-01T00:00:00"/>
    <d v="2020-09-01T00:00:00"/>
    <s v="USD"/>
    <n v="73700"/>
    <n v="73700"/>
    <s v="USD"/>
    <n v="73700"/>
    <n v="73700"/>
    <b v="1"/>
    <m/>
  </r>
  <r>
    <b v="1"/>
    <x v="0"/>
    <x v="0"/>
    <x v="2"/>
    <x v="0"/>
    <x v="1"/>
    <x v="57"/>
    <s v="BBG00VSZG6M8"/>
    <x v="26"/>
    <s v="ddc074cc122446bc92e5b6929179d0e2"/>
    <s v="Rumo 2028"/>
    <x v="0"/>
    <x v="5"/>
    <s v="Rail"/>
    <s v="Gonzaga de Campos Yard (Mirassol/SP)"/>
    <s v="Brazil"/>
    <d v="2020-12-01T00:00:00"/>
    <d v="2020-12-01T00:00:00"/>
    <s v="USD"/>
    <n v="61614"/>
    <n v="61614"/>
    <s v="USD"/>
    <n v="61614"/>
    <n v="61614"/>
    <b v="1"/>
    <m/>
  </r>
  <r>
    <b v="1"/>
    <x v="0"/>
    <x v="0"/>
    <x v="2"/>
    <x v="0"/>
    <x v="1"/>
    <x v="57"/>
    <s v="BBG00VSZG6M8"/>
    <x v="26"/>
    <s v="ddc074cc122446bc92e5b6929179d0e2"/>
    <s v="Rumo 2028"/>
    <x v="0"/>
    <x v="5"/>
    <s v="Rail"/>
    <s v="Gonzaga de Campos Yard (Mirassol/SP)"/>
    <s v="Brazil"/>
    <d v="2020-11-01T00:00:00"/>
    <d v="2020-11-01T00:00:00"/>
    <s v="USD"/>
    <n v="137181"/>
    <n v="137181"/>
    <s v="USD"/>
    <n v="137181"/>
    <n v="137181"/>
    <b v="1"/>
    <m/>
  </r>
  <r>
    <b v="1"/>
    <x v="0"/>
    <x v="0"/>
    <x v="2"/>
    <x v="0"/>
    <x v="1"/>
    <x v="57"/>
    <s v="BBG00VSZG6M8"/>
    <x v="26"/>
    <s v="ddc074cc122446bc92e5b6929179d0e2"/>
    <s v="Rumo 2028"/>
    <x v="0"/>
    <x v="5"/>
    <s v="Rail"/>
    <s v="Gonzaga de Campos Yard (Mirassol/SP)"/>
    <s v="Brazil"/>
    <d v="2020-10-01T00:00:00"/>
    <d v="2020-10-01T00:00:00"/>
    <s v="USD"/>
    <n v="6"/>
    <n v="6"/>
    <s v="USD"/>
    <n v="6"/>
    <n v="6"/>
    <b v="1"/>
    <m/>
  </r>
  <r>
    <b v="1"/>
    <x v="0"/>
    <x v="0"/>
    <x v="2"/>
    <x v="0"/>
    <x v="1"/>
    <x v="57"/>
    <s v="BBG00VSZG6M8"/>
    <x v="26"/>
    <s v="ddc074cc122446bc92e5b6929179d0e2"/>
    <s v="Rumo 2028"/>
    <x v="0"/>
    <x v="5"/>
    <s v="Rail"/>
    <s v="Gonzaga de Campos Yard (Mirassol/SP)"/>
    <s v="Brazil"/>
    <d v="2020-09-01T00:00:00"/>
    <d v="2020-09-01T00:00:00"/>
    <s v="USD"/>
    <n v="842204"/>
    <n v="842204"/>
    <s v="USD"/>
    <n v="842204"/>
    <n v="842204"/>
    <b v="1"/>
    <m/>
  </r>
  <r>
    <b v="1"/>
    <x v="0"/>
    <x v="0"/>
    <x v="2"/>
    <x v="0"/>
    <x v="1"/>
    <x v="57"/>
    <s v="BBG00VSZG6M8"/>
    <x v="26"/>
    <s v="ddc074cc122446bc92e5b6929179d0e2"/>
    <s v="Rumo 2028"/>
    <x v="0"/>
    <x v="5"/>
    <s v="Rail"/>
    <s v="Gonzaga de Campos Yard (Mirassol/SP)"/>
    <s v="Brazil"/>
    <d v="2020-08-01T00:00:00"/>
    <d v="2020-08-01T00:00:00"/>
    <s v="USD"/>
    <n v="1186686"/>
    <n v="1186686"/>
    <s v="USD"/>
    <n v="1186686"/>
    <n v="1186686"/>
    <b v="1"/>
    <m/>
  </r>
  <r>
    <b v="1"/>
    <x v="0"/>
    <x v="0"/>
    <x v="2"/>
    <x v="0"/>
    <x v="1"/>
    <x v="57"/>
    <s v="BBG00VSZG6M8"/>
    <x v="26"/>
    <s v="ddc074cc122446bc92e5b6929179d0e2"/>
    <s v="Rumo 2028"/>
    <x v="0"/>
    <x v="5"/>
    <s v="Rail"/>
    <s v="Gonzaga de Campos Yard (Mirassol/SP)"/>
    <s v="Brazil"/>
    <d v="2020-07-01T00:00:00"/>
    <d v="2020-07-01T00:00:00"/>
    <s v="USD"/>
    <n v="99001"/>
    <n v="99001"/>
    <s v="USD"/>
    <n v="99001"/>
    <n v="99001"/>
    <b v="1"/>
    <m/>
  </r>
  <r>
    <b v="1"/>
    <x v="0"/>
    <x v="0"/>
    <x v="2"/>
    <x v="0"/>
    <x v="1"/>
    <x v="57"/>
    <s v="BBG00VSZG6M8"/>
    <x v="26"/>
    <s v="ddc074cc122446bc92e5b6929179d0e2"/>
    <s v="Rumo 2028"/>
    <x v="1"/>
    <x v="6"/>
    <s v="Rail"/>
    <s v="Gonzaga de Campos Yard (Mirassol/SP)"/>
    <s v="Brazil"/>
    <d v="2020-12-01T00:00:00"/>
    <d v="2020-12-01T00:00:00"/>
    <s v="USD"/>
    <n v="61614"/>
    <n v="61614"/>
    <s v="USD"/>
    <n v="61614"/>
    <n v="61614"/>
    <b v="1"/>
    <m/>
  </r>
  <r>
    <b v="1"/>
    <x v="0"/>
    <x v="0"/>
    <x v="2"/>
    <x v="0"/>
    <x v="1"/>
    <x v="57"/>
    <s v="BBG00VSZG6M8"/>
    <x v="26"/>
    <s v="ddc074cc122446bc92e5b6929179d0e2"/>
    <s v="Rumo 2028"/>
    <x v="1"/>
    <x v="6"/>
    <s v="Rail"/>
    <s v="Gonzaga de Campos Yard (Mirassol/SP)"/>
    <s v="Brazil"/>
    <d v="2020-11-01T00:00:00"/>
    <d v="2020-11-01T00:00:00"/>
    <s v="USD"/>
    <n v="137181"/>
    <n v="137181"/>
    <s v="USD"/>
    <n v="137181"/>
    <n v="137181"/>
    <b v="1"/>
    <m/>
  </r>
  <r>
    <b v="1"/>
    <x v="0"/>
    <x v="0"/>
    <x v="2"/>
    <x v="0"/>
    <x v="1"/>
    <x v="57"/>
    <s v="BBG00VSZG6M8"/>
    <x v="26"/>
    <s v="ddc074cc122446bc92e5b6929179d0e2"/>
    <s v="Rumo 2028"/>
    <x v="1"/>
    <x v="6"/>
    <s v="Rail"/>
    <s v="Gonzaga de Campos Yard (Mirassol/SP)"/>
    <s v="Brazil"/>
    <d v="2020-10-01T00:00:00"/>
    <d v="2020-10-01T00:00:00"/>
    <s v="USD"/>
    <n v="6"/>
    <n v="6"/>
    <s v="USD"/>
    <n v="6"/>
    <n v="6"/>
    <b v="1"/>
    <m/>
  </r>
  <r>
    <b v="1"/>
    <x v="0"/>
    <x v="0"/>
    <x v="2"/>
    <x v="0"/>
    <x v="1"/>
    <x v="57"/>
    <s v="BBG00VSZG6M8"/>
    <x v="26"/>
    <s v="ddc074cc122446bc92e5b6929179d0e2"/>
    <s v="Rumo 2028"/>
    <x v="1"/>
    <x v="6"/>
    <s v="Rail"/>
    <s v="Gonzaga de Campos Yard (Mirassol/SP)"/>
    <s v="Brazil"/>
    <d v="2020-09-01T00:00:00"/>
    <d v="2020-09-01T00:00:00"/>
    <s v="USD"/>
    <n v="842204"/>
    <n v="842204"/>
    <s v="USD"/>
    <n v="842204"/>
    <n v="842204"/>
    <b v="1"/>
    <m/>
  </r>
  <r>
    <b v="1"/>
    <x v="0"/>
    <x v="0"/>
    <x v="2"/>
    <x v="0"/>
    <x v="1"/>
    <x v="57"/>
    <s v="BBG00VSZG6M8"/>
    <x v="26"/>
    <s v="ddc074cc122446bc92e5b6929179d0e2"/>
    <s v="Rumo 2028"/>
    <x v="1"/>
    <x v="6"/>
    <s v="Rail"/>
    <s v="Gonzaga de Campos Yard (Mirassol/SP)"/>
    <s v="Brazil"/>
    <d v="2020-08-01T00:00:00"/>
    <d v="2020-08-01T00:00:00"/>
    <s v="USD"/>
    <n v="1186686"/>
    <n v="1186686"/>
    <s v="USD"/>
    <n v="1186686"/>
    <n v="1186686"/>
    <b v="1"/>
    <m/>
  </r>
  <r>
    <b v="1"/>
    <x v="0"/>
    <x v="0"/>
    <x v="2"/>
    <x v="0"/>
    <x v="1"/>
    <x v="57"/>
    <s v="BBG00VSZG6M8"/>
    <x v="26"/>
    <s v="ddc074cc122446bc92e5b6929179d0e2"/>
    <s v="Rumo 2028"/>
    <x v="1"/>
    <x v="6"/>
    <s v="Rail"/>
    <s v="Gonzaga de Campos Yard (Mirassol/SP)"/>
    <s v="Brazil"/>
    <d v="2020-07-01T00:00:00"/>
    <d v="2020-07-01T00:00:00"/>
    <s v="USD"/>
    <n v="99001"/>
    <n v="99001"/>
    <s v="USD"/>
    <n v="99001"/>
    <n v="99001"/>
    <b v="1"/>
    <m/>
  </r>
  <r>
    <b v="1"/>
    <x v="0"/>
    <x v="0"/>
    <x v="2"/>
    <x v="0"/>
    <x v="1"/>
    <x v="57"/>
    <s v="BBG00VSZG6M8"/>
    <x v="26"/>
    <s v="ddc074cc122446bc92e5b6929179d0e2"/>
    <s v="Rumo 2028"/>
    <x v="0"/>
    <x v="5"/>
    <s v="Rail"/>
    <s v="Mat√£o Yard"/>
    <s v="Brazil"/>
    <d v="2021-01-01T00:00:00"/>
    <d v="2021-01-01T00:00:00"/>
    <s v="USD"/>
    <n v="35980"/>
    <n v="35980"/>
    <s v="USD"/>
    <n v="35980"/>
    <n v="35980"/>
    <b v="1"/>
    <m/>
  </r>
  <r>
    <b v="1"/>
    <x v="0"/>
    <x v="0"/>
    <x v="2"/>
    <x v="0"/>
    <x v="1"/>
    <x v="57"/>
    <s v="BBG00VSZG6M8"/>
    <x v="26"/>
    <s v="ddc074cc122446bc92e5b6929179d0e2"/>
    <s v="Rumo 2028"/>
    <x v="0"/>
    <x v="5"/>
    <s v="Rail"/>
    <s v="Mat√£o Yard"/>
    <s v="Brazil"/>
    <d v="2020-12-01T00:00:00"/>
    <d v="2020-12-01T00:00:00"/>
    <s v="USD"/>
    <n v="374303"/>
    <n v="374303"/>
    <s v="USD"/>
    <n v="374303"/>
    <n v="374303"/>
    <b v="1"/>
    <m/>
  </r>
  <r>
    <b v="1"/>
    <x v="0"/>
    <x v="0"/>
    <x v="2"/>
    <x v="0"/>
    <x v="1"/>
    <x v="57"/>
    <s v="BBG00VSZG6M8"/>
    <x v="26"/>
    <s v="ddc074cc122446bc92e5b6929179d0e2"/>
    <s v="Rumo 2028"/>
    <x v="0"/>
    <x v="5"/>
    <s v="Rail"/>
    <s v="Mat√£o Yard"/>
    <s v="Brazil"/>
    <d v="2020-11-01T00:00:00"/>
    <d v="2020-11-01T00:00:00"/>
    <s v="USD"/>
    <n v="467185"/>
    <n v="467185"/>
    <s v="USD"/>
    <n v="467185"/>
    <n v="467185"/>
    <b v="1"/>
    <m/>
  </r>
  <r>
    <b v="1"/>
    <x v="0"/>
    <x v="0"/>
    <x v="2"/>
    <x v="0"/>
    <x v="1"/>
    <x v="57"/>
    <s v="BBG00VSZG6M8"/>
    <x v="26"/>
    <s v="ddc074cc122446bc92e5b6929179d0e2"/>
    <s v="Rumo 2028"/>
    <x v="0"/>
    <x v="5"/>
    <s v="Rail"/>
    <s v="Mat√£o Yard"/>
    <s v="Brazil"/>
    <d v="2020-10-01T00:00:00"/>
    <d v="2020-10-01T00:00:00"/>
    <s v="USD"/>
    <n v="543521"/>
    <n v="543521"/>
    <s v="USD"/>
    <n v="543521"/>
    <n v="543521"/>
    <b v="1"/>
    <m/>
  </r>
  <r>
    <b v="1"/>
    <x v="0"/>
    <x v="0"/>
    <x v="2"/>
    <x v="0"/>
    <x v="1"/>
    <x v="57"/>
    <s v="BBG00VSZG6M8"/>
    <x v="26"/>
    <s v="ddc074cc122446bc92e5b6929179d0e2"/>
    <s v="Rumo 2028"/>
    <x v="0"/>
    <x v="5"/>
    <s v="Rail"/>
    <s v="Mat√£o Yard"/>
    <s v="Brazil"/>
    <d v="2020-09-01T00:00:00"/>
    <d v="2020-09-01T00:00:00"/>
    <s v="USD"/>
    <n v="274964"/>
    <n v="274964"/>
    <s v="USD"/>
    <n v="274964"/>
    <n v="274964"/>
    <b v="1"/>
    <m/>
  </r>
  <r>
    <b v="1"/>
    <x v="0"/>
    <x v="0"/>
    <x v="2"/>
    <x v="0"/>
    <x v="1"/>
    <x v="57"/>
    <s v="BBG00VSZG6M8"/>
    <x v="26"/>
    <s v="ddc074cc122446bc92e5b6929179d0e2"/>
    <s v="Rumo 2028"/>
    <x v="0"/>
    <x v="5"/>
    <s v="Rail"/>
    <s v="Mat√£o Yard"/>
    <s v="Brazil"/>
    <d v="2020-08-01T00:00:00"/>
    <d v="2020-08-01T00:00:00"/>
    <s v="USD"/>
    <n v="183445"/>
    <n v="183445"/>
    <s v="USD"/>
    <n v="183445"/>
    <n v="183445"/>
    <b v="1"/>
    <m/>
  </r>
  <r>
    <b v="1"/>
    <x v="0"/>
    <x v="0"/>
    <x v="2"/>
    <x v="0"/>
    <x v="1"/>
    <x v="57"/>
    <s v="BBG00VSZG6M8"/>
    <x v="26"/>
    <s v="ddc074cc122446bc92e5b6929179d0e2"/>
    <s v="Rumo 2028"/>
    <x v="0"/>
    <x v="5"/>
    <s v="Rail"/>
    <s v="Mat√£o Yard"/>
    <s v="Brazil"/>
    <d v="2020-07-01T00:00:00"/>
    <d v="2020-07-01T00:00:00"/>
    <s v="USD"/>
    <n v="80081"/>
    <n v="80081"/>
    <s v="USD"/>
    <n v="80081"/>
    <n v="80081"/>
    <b v="1"/>
    <m/>
  </r>
  <r>
    <b v="1"/>
    <x v="0"/>
    <x v="0"/>
    <x v="2"/>
    <x v="0"/>
    <x v="1"/>
    <x v="57"/>
    <s v="BBG00VSZG6M8"/>
    <x v="26"/>
    <s v="ddc074cc122446bc92e5b6929179d0e2"/>
    <s v="Rumo 2028"/>
    <x v="1"/>
    <x v="6"/>
    <s v="Rail"/>
    <s v="Mat√£o Yard"/>
    <s v="Brazil"/>
    <d v="2021-01-01T00:00:00"/>
    <d v="2021-01-01T00:00:00"/>
    <s v="USD"/>
    <n v="35980"/>
    <n v="35980"/>
    <s v="USD"/>
    <n v="35980"/>
    <n v="35980"/>
    <b v="1"/>
    <m/>
  </r>
  <r>
    <b v="1"/>
    <x v="0"/>
    <x v="0"/>
    <x v="2"/>
    <x v="0"/>
    <x v="1"/>
    <x v="57"/>
    <s v="BBG00VSZG6M8"/>
    <x v="26"/>
    <s v="ddc074cc122446bc92e5b6929179d0e2"/>
    <s v="Rumo 2028"/>
    <x v="1"/>
    <x v="6"/>
    <s v="Rail"/>
    <s v="Mat√£o Yard"/>
    <s v="Brazil"/>
    <d v="2020-12-01T00:00:00"/>
    <d v="2020-12-01T00:00:00"/>
    <s v="USD"/>
    <n v="374303"/>
    <n v="374303"/>
    <s v="USD"/>
    <n v="374303"/>
    <n v="374303"/>
    <b v="1"/>
    <m/>
  </r>
  <r>
    <b v="1"/>
    <x v="0"/>
    <x v="0"/>
    <x v="2"/>
    <x v="0"/>
    <x v="1"/>
    <x v="57"/>
    <s v="BBG00VSZG6M8"/>
    <x v="26"/>
    <s v="ddc074cc122446bc92e5b6929179d0e2"/>
    <s v="Rumo 2028"/>
    <x v="1"/>
    <x v="6"/>
    <s v="Rail"/>
    <s v="Mat√£o Yard"/>
    <s v="Brazil"/>
    <d v="2020-11-01T00:00:00"/>
    <d v="2020-11-01T00:00:00"/>
    <s v="USD"/>
    <n v="467185"/>
    <n v="467185"/>
    <s v="USD"/>
    <n v="467185"/>
    <n v="467185"/>
    <b v="1"/>
    <m/>
  </r>
  <r>
    <b v="1"/>
    <x v="0"/>
    <x v="0"/>
    <x v="2"/>
    <x v="0"/>
    <x v="1"/>
    <x v="57"/>
    <s v="BBG00VSZG6M8"/>
    <x v="26"/>
    <s v="ddc074cc122446bc92e5b6929179d0e2"/>
    <s v="Rumo 2028"/>
    <x v="1"/>
    <x v="6"/>
    <s v="Rail"/>
    <s v="Mat√£o Yard"/>
    <s v="Brazil"/>
    <d v="2020-10-01T00:00:00"/>
    <d v="2020-10-01T00:00:00"/>
    <s v="USD"/>
    <n v="543521"/>
    <n v="543521"/>
    <s v="USD"/>
    <n v="543521"/>
    <n v="543521"/>
    <b v="1"/>
    <m/>
  </r>
  <r>
    <b v="1"/>
    <x v="0"/>
    <x v="0"/>
    <x v="2"/>
    <x v="0"/>
    <x v="1"/>
    <x v="57"/>
    <s v="BBG00VSZG6M8"/>
    <x v="26"/>
    <s v="ddc074cc122446bc92e5b6929179d0e2"/>
    <s v="Rumo 2028"/>
    <x v="1"/>
    <x v="6"/>
    <s v="Rail"/>
    <s v="Mat√£o Yard"/>
    <s v="Brazil"/>
    <d v="2020-09-01T00:00:00"/>
    <d v="2020-09-01T00:00:00"/>
    <s v="USD"/>
    <n v="274964"/>
    <n v="274964"/>
    <s v="USD"/>
    <n v="274964"/>
    <n v="274964"/>
    <b v="1"/>
    <m/>
  </r>
  <r>
    <b v="1"/>
    <x v="0"/>
    <x v="0"/>
    <x v="2"/>
    <x v="0"/>
    <x v="1"/>
    <x v="57"/>
    <s v="BBG00VSZG6M8"/>
    <x v="26"/>
    <s v="ddc074cc122446bc92e5b6929179d0e2"/>
    <s v="Rumo 2028"/>
    <x v="1"/>
    <x v="6"/>
    <s v="Rail"/>
    <s v="Mat√£o Yard"/>
    <s v="Brazil"/>
    <d v="2020-08-01T00:00:00"/>
    <d v="2020-08-01T00:00:00"/>
    <s v="USD"/>
    <n v="183445"/>
    <n v="183445"/>
    <s v="USD"/>
    <n v="183445"/>
    <n v="183445"/>
    <b v="1"/>
    <m/>
  </r>
  <r>
    <b v="1"/>
    <x v="0"/>
    <x v="0"/>
    <x v="2"/>
    <x v="0"/>
    <x v="1"/>
    <x v="57"/>
    <s v="BBG00VSZG6M8"/>
    <x v="26"/>
    <s v="ddc074cc122446bc92e5b6929179d0e2"/>
    <s v="Rumo 2028"/>
    <x v="1"/>
    <x v="6"/>
    <s v="Rail"/>
    <s v="Mat√£o Yard"/>
    <s v="Brazil"/>
    <d v="2020-07-01T00:00:00"/>
    <d v="2020-07-01T00:00:00"/>
    <s v="USD"/>
    <n v="80081"/>
    <n v="80081"/>
    <s v="USD"/>
    <n v="80081"/>
    <n v="80081"/>
    <b v="1"/>
    <m/>
  </r>
  <r>
    <b v="1"/>
    <x v="0"/>
    <x v="0"/>
    <x v="2"/>
    <x v="0"/>
    <x v="1"/>
    <x v="57"/>
    <s v="BBG00VSZG6M8"/>
    <x v="26"/>
    <s v="ddc074cc122446bc92e5b6929179d0e2"/>
    <s v="Rumo 2028"/>
    <x v="0"/>
    <x v="5"/>
    <s v="Rail"/>
    <s v="Ecatu-Baldu√≠no Yard"/>
    <s v="Brazil"/>
    <d v="2021-06-01T00:00:00"/>
    <d v="2021-06-01T00:00:00"/>
    <s v="USD"/>
    <n v="185996"/>
    <n v="185996"/>
    <s v="USD"/>
    <n v="185996"/>
    <n v="185996"/>
    <b v="1"/>
    <m/>
  </r>
  <r>
    <b v="1"/>
    <x v="0"/>
    <x v="0"/>
    <x v="2"/>
    <x v="0"/>
    <x v="1"/>
    <x v="57"/>
    <s v="BBG00VSZG6M8"/>
    <x v="26"/>
    <s v="ddc074cc122446bc92e5b6929179d0e2"/>
    <s v="Rumo 2028"/>
    <x v="0"/>
    <x v="5"/>
    <s v="Rail"/>
    <s v="Ecatu-Baldu√≠no Yard"/>
    <s v="Brazil"/>
    <d v="2021-05-01T00:00:00"/>
    <d v="2021-05-01T00:00:00"/>
    <s v="USD"/>
    <n v="356176"/>
    <n v="356176"/>
    <s v="USD"/>
    <n v="356176"/>
    <n v="356176"/>
    <b v="1"/>
    <m/>
  </r>
  <r>
    <b v="1"/>
    <x v="0"/>
    <x v="0"/>
    <x v="2"/>
    <x v="0"/>
    <x v="1"/>
    <x v="57"/>
    <s v="BBG00VSZG6M8"/>
    <x v="26"/>
    <s v="ddc074cc122446bc92e5b6929179d0e2"/>
    <s v="Rumo 2028"/>
    <x v="0"/>
    <x v="5"/>
    <s v="Rail"/>
    <s v="Ecatu-Baldu√≠no Yard"/>
    <s v="Brazil"/>
    <d v="2021-04-01T00:00:00"/>
    <d v="2021-04-01T00:00:00"/>
    <s v="USD"/>
    <n v="641707"/>
    <n v="641707"/>
    <s v="USD"/>
    <n v="641707"/>
    <n v="641707"/>
    <b v="1"/>
    <m/>
  </r>
  <r>
    <b v="1"/>
    <x v="0"/>
    <x v="0"/>
    <x v="2"/>
    <x v="0"/>
    <x v="1"/>
    <x v="57"/>
    <s v="BBG00VSZG6M8"/>
    <x v="26"/>
    <s v="ddc074cc122446bc92e5b6929179d0e2"/>
    <s v="Rumo 2028"/>
    <x v="0"/>
    <x v="5"/>
    <s v="Rail"/>
    <s v="Ecatu-Baldu√≠no Yard"/>
    <s v="Brazil"/>
    <d v="2021-03-01T00:00:00"/>
    <d v="2021-03-01T00:00:00"/>
    <s v="USD"/>
    <n v="130862"/>
    <n v="130862"/>
    <s v="USD"/>
    <n v="130862"/>
    <n v="130862"/>
    <b v="1"/>
    <m/>
  </r>
  <r>
    <b v="1"/>
    <x v="0"/>
    <x v="0"/>
    <x v="2"/>
    <x v="0"/>
    <x v="1"/>
    <x v="57"/>
    <s v="BBG00VSZG6M8"/>
    <x v="26"/>
    <s v="ddc074cc122446bc92e5b6929179d0e2"/>
    <s v="Rumo 2028"/>
    <x v="0"/>
    <x v="5"/>
    <s v="Rail"/>
    <s v="Ecatu-Baldu√≠no Yard"/>
    <s v="Brazil"/>
    <d v="2021-02-01T00:00:00"/>
    <d v="2021-02-01T00:00:00"/>
    <s v="USD"/>
    <n v="61292"/>
    <n v="61292"/>
    <s v="USD"/>
    <n v="61292"/>
    <n v="61292"/>
    <b v="1"/>
    <m/>
  </r>
  <r>
    <b v="1"/>
    <x v="0"/>
    <x v="0"/>
    <x v="2"/>
    <x v="0"/>
    <x v="1"/>
    <x v="57"/>
    <s v="BBG00VSZG6M8"/>
    <x v="26"/>
    <s v="ddc074cc122446bc92e5b6929179d0e2"/>
    <s v="Rumo 2028"/>
    <x v="0"/>
    <x v="5"/>
    <s v="Rail"/>
    <s v="Ecatu-Baldu√≠no Yard"/>
    <s v="Brazil"/>
    <d v="2020-12-01T00:00:00"/>
    <d v="2020-12-01T00:00:00"/>
    <s v="USD"/>
    <n v="433766"/>
    <n v="433766"/>
    <s v="USD"/>
    <n v="433766"/>
    <n v="433766"/>
    <b v="1"/>
    <m/>
  </r>
  <r>
    <b v="1"/>
    <x v="0"/>
    <x v="0"/>
    <x v="2"/>
    <x v="0"/>
    <x v="1"/>
    <x v="57"/>
    <s v="BBG00VSZG6M8"/>
    <x v="26"/>
    <s v="ddc074cc122446bc92e5b6929179d0e2"/>
    <s v="Rumo 2028"/>
    <x v="0"/>
    <x v="5"/>
    <s v="Rail"/>
    <s v="Ecatu-Baldu√≠no Yard"/>
    <s v="Brazil"/>
    <d v="2020-10-01T00:00:00"/>
    <d v="2020-10-01T00:00:00"/>
    <s v="USD"/>
    <n v="103638"/>
    <n v="103638"/>
    <s v="USD"/>
    <n v="103638"/>
    <n v="103638"/>
    <b v="1"/>
    <m/>
  </r>
  <r>
    <b v="1"/>
    <x v="0"/>
    <x v="0"/>
    <x v="2"/>
    <x v="0"/>
    <x v="1"/>
    <x v="57"/>
    <s v="BBG00VSZG6M8"/>
    <x v="26"/>
    <s v="ddc074cc122446bc92e5b6929179d0e2"/>
    <s v="Rumo 2028"/>
    <x v="1"/>
    <x v="6"/>
    <s v="Rail"/>
    <s v="Ecatu-Baldu√≠no Yard"/>
    <s v="Brazil"/>
    <d v="2021-06-01T00:00:00"/>
    <d v="2021-06-01T00:00:00"/>
    <s v="USD"/>
    <n v="185996"/>
    <n v="185996"/>
    <s v="USD"/>
    <n v="185996"/>
    <n v="185996"/>
    <b v="1"/>
    <m/>
  </r>
  <r>
    <b v="1"/>
    <x v="0"/>
    <x v="0"/>
    <x v="2"/>
    <x v="0"/>
    <x v="1"/>
    <x v="57"/>
    <s v="BBG00VSZG6M8"/>
    <x v="26"/>
    <s v="ddc074cc122446bc92e5b6929179d0e2"/>
    <s v="Rumo 2028"/>
    <x v="1"/>
    <x v="6"/>
    <s v="Rail"/>
    <s v="Ecatu-Baldu√≠no Yard"/>
    <s v="Brazil"/>
    <d v="2021-05-01T00:00:00"/>
    <d v="2021-05-01T00:00:00"/>
    <s v="USD"/>
    <n v="356176"/>
    <n v="356176"/>
    <s v="USD"/>
    <n v="356176"/>
    <n v="356176"/>
    <b v="1"/>
    <m/>
  </r>
  <r>
    <b v="1"/>
    <x v="0"/>
    <x v="0"/>
    <x v="2"/>
    <x v="0"/>
    <x v="1"/>
    <x v="57"/>
    <s v="BBG00VSZG6M8"/>
    <x v="26"/>
    <s v="ddc074cc122446bc92e5b6929179d0e2"/>
    <s v="Rumo 2028"/>
    <x v="1"/>
    <x v="6"/>
    <s v="Rail"/>
    <s v="Ecatu-Baldu√≠no Yard"/>
    <s v="Brazil"/>
    <d v="2021-04-01T00:00:00"/>
    <d v="2021-04-01T00:00:00"/>
    <s v="USD"/>
    <n v="641707"/>
    <n v="641707"/>
    <s v="USD"/>
    <n v="641707"/>
    <n v="641707"/>
    <b v="1"/>
    <m/>
  </r>
  <r>
    <b v="1"/>
    <x v="0"/>
    <x v="0"/>
    <x v="2"/>
    <x v="0"/>
    <x v="1"/>
    <x v="57"/>
    <s v="BBG00VSZG6M8"/>
    <x v="26"/>
    <s v="ddc074cc122446bc92e5b6929179d0e2"/>
    <s v="Rumo 2028"/>
    <x v="1"/>
    <x v="6"/>
    <s v="Rail"/>
    <s v="Ecatu-Baldu√≠no Yard"/>
    <s v="Brazil"/>
    <d v="2021-03-01T00:00:00"/>
    <d v="2021-03-01T00:00:00"/>
    <s v="USD"/>
    <n v="130862"/>
    <n v="130862"/>
    <s v="USD"/>
    <n v="130862"/>
    <n v="130862"/>
    <b v="1"/>
    <m/>
  </r>
  <r>
    <b v="1"/>
    <x v="0"/>
    <x v="0"/>
    <x v="2"/>
    <x v="0"/>
    <x v="1"/>
    <x v="57"/>
    <s v="BBG00VSZG6M8"/>
    <x v="26"/>
    <s v="ddc074cc122446bc92e5b6929179d0e2"/>
    <s v="Rumo 2028"/>
    <x v="1"/>
    <x v="6"/>
    <s v="Rail"/>
    <s v="Ecatu-Baldu√≠no Yard"/>
    <s v="Brazil"/>
    <d v="2021-02-01T00:00:00"/>
    <d v="2021-02-01T00:00:00"/>
    <s v="USD"/>
    <n v="61292"/>
    <n v="61292"/>
    <s v="USD"/>
    <n v="61292"/>
    <n v="61292"/>
    <b v="1"/>
    <m/>
  </r>
  <r>
    <b v="1"/>
    <x v="0"/>
    <x v="0"/>
    <x v="2"/>
    <x v="0"/>
    <x v="1"/>
    <x v="57"/>
    <s v="BBG00VSZG6M8"/>
    <x v="26"/>
    <s v="ddc074cc122446bc92e5b6929179d0e2"/>
    <s v="Rumo 2028"/>
    <x v="1"/>
    <x v="6"/>
    <s v="Rail"/>
    <s v="Ecatu-Baldu√≠no Yard"/>
    <s v="Brazil"/>
    <d v="2020-12-01T00:00:00"/>
    <d v="2020-12-01T00:00:00"/>
    <s v="USD"/>
    <n v="433766"/>
    <n v="433766"/>
    <s v="USD"/>
    <n v="433766"/>
    <n v="433766"/>
    <b v="1"/>
    <m/>
  </r>
  <r>
    <b v="1"/>
    <x v="0"/>
    <x v="0"/>
    <x v="2"/>
    <x v="0"/>
    <x v="1"/>
    <x v="57"/>
    <s v="BBG00VSZG6M8"/>
    <x v="26"/>
    <s v="ddc074cc122446bc92e5b6929179d0e2"/>
    <s v="Rumo 2028"/>
    <x v="1"/>
    <x v="6"/>
    <s v="Rail"/>
    <s v="Ecatu-Baldu√≠no Yard"/>
    <s v="Brazil"/>
    <d v="2020-10-01T00:00:00"/>
    <d v="2020-10-01T00:00:00"/>
    <s v="USD"/>
    <n v="103638"/>
    <n v="103638"/>
    <s v="USD"/>
    <n v="103638"/>
    <n v="103638"/>
    <b v="1"/>
    <m/>
  </r>
  <r>
    <b v="1"/>
    <x v="0"/>
    <x v="0"/>
    <x v="2"/>
    <x v="0"/>
    <x v="1"/>
    <x v="57"/>
    <s v="BBG00VSZG6M8"/>
    <x v="26"/>
    <s v="ddc074cc122446bc92e5b6929179d0e2"/>
    <s v="Rumo 2028"/>
    <x v="0"/>
    <x v="5"/>
    <s v="Rail"/>
    <s v="Espig√£o-Boa Esperan√ßa Yard"/>
    <s v="Brazil"/>
    <d v="2021-03-01T00:00:00"/>
    <d v="2021-03-01T00:00:00"/>
    <s v="USD"/>
    <n v="4882"/>
    <n v="4882"/>
    <s v="USD"/>
    <n v="4882"/>
    <n v="4882"/>
    <b v="1"/>
    <m/>
  </r>
  <r>
    <b v="1"/>
    <x v="0"/>
    <x v="0"/>
    <x v="2"/>
    <x v="0"/>
    <x v="1"/>
    <x v="57"/>
    <s v="BBG00VSZG6M8"/>
    <x v="26"/>
    <s v="ddc074cc122446bc92e5b6929179d0e2"/>
    <s v="Rumo 2028"/>
    <x v="0"/>
    <x v="5"/>
    <s v="Rail"/>
    <s v="Espig√£o-Boa Esperan√ßa Yard"/>
    <s v="Brazil"/>
    <d v="2021-02-01T00:00:00"/>
    <d v="2021-02-01T00:00:00"/>
    <s v="USD"/>
    <n v="53352"/>
    <n v="53352"/>
    <s v="USD"/>
    <n v="53352"/>
    <n v="53352"/>
    <b v="1"/>
    <m/>
  </r>
  <r>
    <b v="1"/>
    <x v="0"/>
    <x v="0"/>
    <x v="2"/>
    <x v="0"/>
    <x v="1"/>
    <x v="57"/>
    <s v="BBG00VSZG6M8"/>
    <x v="26"/>
    <s v="ddc074cc122446bc92e5b6929179d0e2"/>
    <s v="Rumo 2028"/>
    <x v="0"/>
    <x v="5"/>
    <s v="Rail"/>
    <s v="Espig√£o-Boa Esperan√ßa Yard"/>
    <s v="Brazil"/>
    <d v="2021-01-01T00:00:00"/>
    <d v="2021-01-01T00:00:00"/>
    <s v="USD"/>
    <n v="443"/>
    <n v="443"/>
    <s v="USD"/>
    <n v="443"/>
    <n v="443"/>
    <b v="1"/>
    <m/>
  </r>
  <r>
    <b v="1"/>
    <x v="0"/>
    <x v="0"/>
    <x v="2"/>
    <x v="0"/>
    <x v="1"/>
    <x v="57"/>
    <s v="BBG00VSZG6M8"/>
    <x v="26"/>
    <s v="ddc074cc122446bc92e5b6929179d0e2"/>
    <s v="Rumo 2028"/>
    <x v="0"/>
    <x v="5"/>
    <s v="Rail"/>
    <s v="Espig√£o-Boa Esperan√ßa Yard"/>
    <s v="Brazil"/>
    <d v="2020-12-01T00:00:00"/>
    <d v="2020-12-01T00:00:00"/>
    <s v="USD"/>
    <n v="178882"/>
    <n v="178882"/>
    <s v="USD"/>
    <n v="178882"/>
    <n v="178882"/>
    <b v="1"/>
    <m/>
  </r>
  <r>
    <b v="1"/>
    <x v="0"/>
    <x v="0"/>
    <x v="2"/>
    <x v="0"/>
    <x v="1"/>
    <x v="57"/>
    <s v="BBG00VSZG6M8"/>
    <x v="26"/>
    <s v="ddc074cc122446bc92e5b6929179d0e2"/>
    <s v="Rumo 2028"/>
    <x v="0"/>
    <x v="5"/>
    <s v="Rail"/>
    <s v="Espig√£o-Boa Esperan√ßa Yard"/>
    <s v="Brazil"/>
    <d v="2020-11-01T00:00:00"/>
    <d v="2020-11-01T00:00:00"/>
    <s v="USD"/>
    <n v="937192"/>
    <n v="937192"/>
    <s v="USD"/>
    <n v="937192"/>
    <n v="937192"/>
    <b v="1"/>
    <m/>
  </r>
  <r>
    <b v="1"/>
    <x v="0"/>
    <x v="0"/>
    <x v="2"/>
    <x v="0"/>
    <x v="1"/>
    <x v="57"/>
    <s v="BBG00VSZG6M8"/>
    <x v="26"/>
    <s v="ddc074cc122446bc92e5b6929179d0e2"/>
    <s v="Rumo 2028"/>
    <x v="0"/>
    <x v="5"/>
    <s v="Rail"/>
    <s v="Espig√£o-Boa Esperan√ßa Yard"/>
    <s v="Brazil"/>
    <d v="2020-10-01T00:00:00"/>
    <d v="2020-10-01T00:00:00"/>
    <s v="USD"/>
    <n v="484848"/>
    <n v="484848"/>
    <s v="USD"/>
    <n v="484848"/>
    <n v="484848"/>
    <b v="1"/>
    <m/>
  </r>
  <r>
    <b v="1"/>
    <x v="0"/>
    <x v="0"/>
    <x v="2"/>
    <x v="0"/>
    <x v="1"/>
    <x v="57"/>
    <s v="BBG00VSZG6M8"/>
    <x v="26"/>
    <s v="ddc074cc122446bc92e5b6929179d0e2"/>
    <s v="Rumo 2028"/>
    <x v="0"/>
    <x v="5"/>
    <s v="Rail"/>
    <s v="Espig√£o-Boa Esperan√ßa Yard"/>
    <s v="Brazil"/>
    <d v="2020-09-01T00:00:00"/>
    <d v="2020-09-01T00:00:00"/>
    <s v="USD"/>
    <n v="421"/>
    <n v="421"/>
    <s v="USD"/>
    <n v="421"/>
    <n v="421"/>
    <b v="1"/>
    <m/>
  </r>
  <r>
    <b v="1"/>
    <x v="0"/>
    <x v="0"/>
    <x v="2"/>
    <x v="0"/>
    <x v="1"/>
    <x v="57"/>
    <s v="BBG00VSZG6M8"/>
    <x v="26"/>
    <s v="ddc074cc122446bc92e5b6929179d0e2"/>
    <s v="Rumo 2028"/>
    <x v="0"/>
    <x v="5"/>
    <s v="Rail"/>
    <s v="Espig√£o-Boa Esperan√ßa Yard"/>
    <s v="Brazil"/>
    <d v="2020-08-01T00:00:00"/>
    <d v="2020-08-01T00:00:00"/>
    <s v="USD"/>
    <n v="51783"/>
    <n v="51783"/>
    <s v="USD"/>
    <n v="51783"/>
    <n v="51783"/>
    <b v="1"/>
    <m/>
  </r>
  <r>
    <b v="1"/>
    <x v="0"/>
    <x v="0"/>
    <x v="2"/>
    <x v="0"/>
    <x v="1"/>
    <x v="57"/>
    <s v="BBG00VSZG6M8"/>
    <x v="26"/>
    <s v="ddc074cc122446bc92e5b6929179d0e2"/>
    <s v="Rumo 2028"/>
    <x v="0"/>
    <x v="5"/>
    <s v="Rail"/>
    <s v="Espig√£o-Boa Esperan√ßa Yard"/>
    <s v="Brazil"/>
    <d v="2020-07-01T00:00:00"/>
    <d v="2020-07-01T00:00:00"/>
    <s v="USD"/>
    <n v="114197"/>
    <n v="114197"/>
    <s v="USD"/>
    <n v="114197"/>
    <n v="114197"/>
    <b v="1"/>
    <m/>
  </r>
  <r>
    <b v="1"/>
    <x v="0"/>
    <x v="0"/>
    <x v="2"/>
    <x v="0"/>
    <x v="1"/>
    <x v="57"/>
    <s v="BBG00VSZG6M8"/>
    <x v="26"/>
    <s v="ddc074cc122446bc92e5b6929179d0e2"/>
    <s v="Rumo 2028"/>
    <x v="1"/>
    <x v="6"/>
    <s v="Rail"/>
    <s v="Espig√£o-Boa Esperan√ßa Yard"/>
    <s v="Brazil"/>
    <d v="2021-03-01T00:00:00"/>
    <d v="2021-03-01T00:00:00"/>
    <s v="USD"/>
    <n v="4882"/>
    <n v="4882"/>
    <s v="USD"/>
    <n v="4882"/>
    <n v="4882"/>
    <b v="1"/>
    <m/>
  </r>
  <r>
    <b v="1"/>
    <x v="0"/>
    <x v="0"/>
    <x v="2"/>
    <x v="0"/>
    <x v="1"/>
    <x v="57"/>
    <s v="BBG00VSZG6M8"/>
    <x v="26"/>
    <s v="ddc074cc122446bc92e5b6929179d0e2"/>
    <s v="Rumo 2028"/>
    <x v="1"/>
    <x v="6"/>
    <s v="Rail"/>
    <s v="Espig√£o-Boa Esperan√ßa Yard"/>
    <s v="Brazil"/>
    <d v="2021-02-01T00:00:00"/>
    <d v="2021-02-01T00:00:00"/>
    <s v="USD"/>
    <n v="53352"/>
    <n v="53352"/>
    <s v="USD"/>
    <n v="53352"/>
    <n v="53352"/>
    <b v="1"/>
    <m/>
  </r>
  <r>
    <b v="1"/>
    <x v="0"/>
    <x v="0"/>
    <x v="2"/>
    <x v="0"/>
    <x v="1"/>
    <x v="57"/>
    <s v="BBG00VSZG6M8"/>
    <x v="26"/>
    <s v="ddc074cc122446bc92e5b6929179d0e2"/>
    <s v="Rumo 2028"/>
    <x v="1"/>
    <x v="6"/>
    <s v="Rail"/>
    <s v="Espig√£o-Boa Esperan√ßa Yard"/>
    <s v="Brazil"/>
    <d v="2021-01-01T00:00:00"/>
    <d v="2021-01-01T00:00:00"/>
    <s v="USD"/>
    <n v="443"/>
    <n v="443"/>
    <s v="USD"/>
    <n v="443"/>
    <n v="443"/>
    <b v="1"/>
    <m/>
  </r>
  <r>
    <b v="1"/>
    <x v="0"/>
    <x v="0"/>
    <x v="2"/>
    <x v="0"/>
    <x v="1"/>
    <x v="57"/>
    <s v="BBG00VSZG6M8"/>
    <x v="26"/>
    <s v="ddc074cc122446bc92e5b6929179d0e2"/>
    <s v="Rumo 2028"/>
    <x v="1"/>
    <x v="6"/>
    <s v="Rail"/>
    <s v="Espig√£o-Boa Esperan√ßa Yard"/>
    <s v="Brazil"/>
    <d v="2020-12-01T00:00:00"/>
    <d v="2020-12-01T00:00:00"/>
    <s v="USD"/>
    <n v="178882"/>
    <n v="178882"/>
    <s v="USD"/>
    <n v="178882"/>
    <n v="178882"/>
    <b v="1"/>
    <m/>
  </r>
  <r>
    <b v="1"/>
    <x v="0"/>
    <x v="0"/>
    <x v="2"/>
    <x v="0"/>
    <x v="1"/>
    <x v="57"/>
    <s v="BBG00VSZG6M8"/>
    <x v="26"/>
    <s v="ddc074cc122446bc92e5b6929179d0e2"/>
    <s v="Rumo 2028"/>
    <x v="1"/>
    <x v="6"/>
    <s v="Rail"/>
    <s v="Espig√£o-Boa Esperan√ßa Yard"/>
    <s v="Brazil"/>
    <d v="2020-11-01T00:00:00"/>
    <d v="2020-11-01T00:00:00"/>
    <s v="USD"/>
    <n v="937192"/>
    <n v="937192"/>
    <s v="USD"/>
    <n v="937192"/>
    <n v="937192"/>
    <b v="1"/>
    <m/>
  </r>
  <r>
    <b v="1"/>
    <x v="0"/>
    <x v="0"/>
    <x v="2"/>
    <x v="0"/>
    <x v="1"/>
    <x v="57"/>
    <s v="BBG00VSZG6M8"/>
    <x v="26"/>
    <s v="ddc074cc122446bc92e5b6929179d0e2"/>
    <s v="Rumo 2028"/>
    <x v="1"/>
    <x v="6"/>
    <s v="Rail"/>
    <s v="Espig√£o-Boa Esperan√ßa Yard"/>
    <s v="Brazil"/>
    <d v="2020-10-01T00:00:00"/>
    <d v="2020-10-01T00:00:00"/>
    <s v="USD"/>
    <n v="484848"/>
    <n v="484848"/>
    <s v="USD"/>
    <n v="484848"/>
    <n v="484848"/>
    <b v="1"/>
    <m/>
  </r>
  <r>
    <b v="1"/>
    <x v="0"/>
    <x v="0"/>
    <x v="2"/>
    <x v="0"/>
    <x v="1"/>
    <x v="57"/>
    <s v="BBG00VSZG6M8"/>
    <x v="26"/>
    <s v="ddc074cc122446bc92e5b6929179d0e2"/>
    <s v="Rumo 2028"/>
    <x v="1"/>
    <x v="6"/>
    <s v="Rail"/>
    <s v="Espig√£o-Boa Esperan√ßa Yard"/>
    <s v="Brazil"/>
    <d v="2020-09-01T00:00:00"/>
    <d v="2020-09-01T00:00:00"/>
    <s v="USD"/>
    <n v="421"/>
    <n v="421"/>
    <s v="USD"/>
    <n v="421"/>
    <n v="421"/>
    <b v="1"/>
    <m/>
  </r>
  <r>
    <b v="1"/>
    <x v="0"/>
    <x v="0"/>
    <x v="2"/>
    <x v="0"/>
    <x v="1"/>
    <x v="57"/>
    <s v="BBG00VSZG6M8"/>
    <x v="26"/>
    <s v="ddc074cc122446bc92e5b6929179d0e2"/>
    <s v="Rumo 2028"/>
    <x v="1"/>
    <x v="6"/>
    <s v="Rail"/>
    <s v="Espig√£o-Boa Esperan√ßa Yard"/>
    <s v="Brazil"/>
    <d v="2020-08-01T00:00:00"/>
    <d v="2020-08-01T00:00:00"/>
    <s v="USD"/>
    <n v="51783"/>
    <n v="51783"/>
    <s v="USD"/>
    <n v="51783"/>
    <n v="51783"/>
    <b v="1"/>
    <m/>
  </r>
  <r>
    <b v="1"/>
    <x v="0"/>
    <x v="0"/>
    <x v="2"/>
    <x v="0"/>
    <x v="1"/>
    <x v="57"/>
    <s v="BBG00VSZG6M8"/>
    <x v="26"/>
    <s v="ddc074cc122446bc92e5b6929179d0e2"/>
    <s v="Rumo 2028"/>
    <x v="1"/>
    <x v="6"/>
    <s v="Rail"/>
    <s v="Espig√£o-Boa Esperan√ßa Yard"/>
    <s v="Brazil"/>
    <d v="2020-07-01T00:00:00"/>
    <d v="2020-07-01T00:00:00"/>
    <s v="USD"/>
    <n v="114197"/>
    <n v="114197"/>
    <s v="USD"/>
    <n v="114197"/>
    <n v="114197"/>
    <b v="1"/>
    <m/>
  </r>
  <r>
    <b v="1"/>
    <x v="0"/>
    <x v="0"/>
    <x v="2"/>
    <x v="0"/>
    <x v="1"/>
    <x v="57"/>
    <s v="BBG00VSZG6M8"/>
    <x v="26"/>
    <s v="ddc074cc122446bc92e5b6929179d0e2"/>
    <s v="Rumo 2028"/>
    <x v="0"/>
    <x v="5"/>
    <s v="Rail"/>
    <s v="Rio Preto Paulista Yard"/>
    <s v="Brazil"/>
    <d v="2021-06-01T00:00:00"/>
    <d v="2021-06-01T00:00:00"/>
    <s v="USD"/>
    <n v="201611"/>
    <n v="201611"/>
    <s v="USD"/>
    <n v="201611"/>
    <n v="201611"/>
    <b v="1"/>
    <m/>
  </r>
  <r>
    <b v="1"/>
    <x v="0"/>
    <x v="0"/>
    <x v="2"/>
    <x v="0"/>
    <x v="1"/>
    <x v="57"/>
    <s v="BBG00VSZG6M8"/>
    <x v="26"/>
    <s v="ddc074cc122446bc92e5b6929179d0e2"/>
    <s v="Rumo 2028"/>
    <x v="0"/>
    <x v="5"/>
    <s v="Rail"/>
    <s v="Rio Preto Paulista Yard"/>
    <s v="Brazil"/>
    <d v="2021-05-01T00:00:00"/>
    <d v="2021-05-01T00:00:00"/>
    <s v="USD"/>
    <n v="124394"/>
    <n v="124394"/>
    <s v="USD"/>
    <n v="124394"/>
    <n v="124394"/>
    <b v="1"/>
    <m/>
  </r>
  <r>
    <b v="1"/>
    <x v="0"/>
    <x v="0"/>
    <x v="2"/>
    <x v="0"/>
    <x v="1"/>
    <x v="57"/>
    <s v="BBG00VSZG6M8"/>
    <x v="26"/>
    <s v="ddc074cc122446bc92e5b6929179d0e2"/>
    <s v="Rumo 2028"/>
    <x v="0"/>
    <x v="5"/>
    <s v="Rail"/>
    <s v="Rio Preto Paulista Yard"/>
    <s v="Brazil"/>
    <d v="2021-04-01T00:00:00"/>
    <d v="2021-04-01T00:00:00"/>
    <s v="USD"/>
    <n v="148087"/>
    <n v="148087"/>
    <s v="USD"/>
    <n v="148087"/>
    <n v="148087"/>
    <b v="1"/>
    <m/>
  </r>
  <r>
    <b v="1"/>
    <x v="0"/>
    <x v="0"/>
    <x v="2"/>
    <x v="0"/>
    <x v="1"/>
    <x v="57"/>
    <s v="BBG00VSZG6M8"/>
    <x v="26"/>
    <s v="ddc074cc122446bc92e5b6929179d0e2"/>
    <s v="Rumo 2028"/>
    <x v="0"/>
    <x v="5"/>
    <s v="Rail"/>
    <s v="Rio Preto Paulista Yard"/>
    <s v="Brazil"/>
    <d v="2021-03-01T00:00:00"/>
    <d v="2021-03-01T00:00:00"/>
    <s v="USD"/>
    <n v="606904"/>
    <n v="606904"/>
    <s v="USD"/>
    <n v="606904"/>
    <n v="606904"/>
    <b v="1"/>
    <m/>
  </r>
  <r>
    <b v="1"/>
    <x v="0"/>
    <x v="0"/>
    <x v="2"/>
    <x v="0"/>
    <x v="1"/>
    <x v="57"/>
    <s v="BBG00VSZG6M8"/>
    <x v="26"/>
    <s v="ddc074cc122446bc92e5b6929179d0e2"/>
    <s v="Rumo 2028"/>
    <x v="0"/>
    <x v="5"/>
    <s v="Rail"/>
    <s v="Rio Preto Paulista Yard"/>
    <s v="Brazil"/>
    <d v="2021-02-01T00:00:00"/>
    <d v="2021-02-01T00:00:00"/>
    <s v="USD"/>
    <n v="144653"/>
    <n v="144653"/>
    <s v="USD"/>
    <n v="144653"/>
    <n v="144653"/>
    <b v="1"/>
    <m/>
  </r>
  <r>
    <b v="1"/>
    <x v="0"/>
    <x v="0"/>
    <x v="2"/>
    <x v="0"/>
    <x v="1"/>
    <x v="57"/>
    <s v="BBG00VSZG6M8"/>
    <x v="26"/>
    <s v="ddc074cc122446bc92e5b6929179d0e2"/>
    <s v="Rumo 2028"/>
    <x v="0"/>
    <x v="5"/>
    <s v="Rail"/>
    <s v="Rio Preto Paulista Yard"/>
    <s v="Brazil"/>
    <d v="2021-01-01T00:00:00"/>
    <d v="2021-01-01T00:00:00"/>
    <s v="USD"/>
    <n v="421"/>
    <n v="421"/>
    <s v="USD"/>
    <n v="421"/>
    <n v="421"/>
    <b v="1"/>
    <m/>
  </r>
  <r>
    <b v="1"/>
    <x v="0"/>
    <x v="0"/>
    <x v="2"/>
    <x v="0"/>
    <x v="1"/>
    <x v="57"/>
    <s v="BBG00VSZG6M8"/>
    <x v="26"/>
    <s v="ddc074cc122446bc92e5b6929179d0e2"/>
    <s v="Rumo 2028"/>
    <x v="0"/>
    <x v="5"/>
    <s v="Rail"/>
    <s v="Rio Preto Paulista Yard"/>
    <s v="Brazil"/>
    <d v="2020-12-01T00:00:00"/>
    <d v="2020-12-01T00:00:00"/>
    <s v="USD"/>
    <n v="312811"/>
    <n v="312811"/>
    <s v="USD"/>
    <n v="312811"/>
    <n v="312811"/>
    <b v="1"/>
    <m/>
  </r>
  <r>
    <b v="1"/>
    <x v="0"/>
    <x v="0"/>
    <x v="2"/>
    <x v="0"/>
    <x v="1"/>
    <x v="57"/>
    <s v="BBG00VSZG6M8"/>
    <x v="26"/>
    <s v="ddc074cc122446bc92e5b6929179d0e2"/>
    <s v="Rumo 2028"/>
    <x v="1"/>
    <x v="6"/>
    <s v="Rail"/>
    <s v="Rio Preto Paulista Yard"/>
    <s v="Brazil"/>
    <d v="2021-06-01T00:00:00"/>
    <d v="2021-06-01T00:00:00"/>
    <s v="USD"/>
    <n v="201611"/>
    <n v="201611"/>
    <s v="USD"/>
    <n v="201611"/>
    <n v="201611"/>
    <b v="1"/>
    <m/>
  </r>
  <r>
    <b v="1"/>
    <x v="0"/>
    <x v="0"/>
    <x v="2"/>
    <x v="0"/>
    <x v="1"/>
    <x v="57"/>
    <s v="BBG00VSZG6M8"/>
    <x v="26"/>
    <s v="ddc074cc122446bc92e5b6929179d0e2"/>
    <s v="Rumo 2028"/>
    <x v="1"/>
    <x v="6"/>
    <s v="Rail"/>
    <s v="Rio Preto Paulista Yard"/>
    <s v="Brazil"/>
    <d v="2021-05-01T00:00:00"/>
    <d v="2021-05-01T00:00:00"/>
    <s v="USD"/>
    <n v="124394"/>
    <n v="124394"/>
    <s v="USD"/>
    <n v="124394"/>
    <n v="124394"/>
    <b v="1"/>
    <m/>
  </r>
  <r>
    <b v="1"/>
    <x v="0"/>
    <x v="0"/>
    <x v="2"/>
    <x v="0"/>
    <x v="1"/>
    <x v="57"/>
    <s v="BBG00VSZG6M8"/>
    <x v="26"/>
    <s v="ddc074cc122446bc92e5b6929179d0e2"/>
    <s v="Rumo 2028"/>
    <x v="1"/>
    <x v="6"/>
    <s v="Rail"/>
    <s v="Rio Preto Paulista Yard"/>
    <s v="Brazil"/>
    <d v="2021-04-01T00:00:00"/>
    <d v="2021-04-01T00:00:00"/>
    <s v="USD"/>
    <n v="148087"/>
    <n v="148087"/>
    <s v="USD"/>
    <n v="148087"/>
    <n v="148087"/>
    <b v="1"/>
    <m/>
  </r>
  <r>
    <b v="1"/>
    <x v="0"/>
    <x v="0"/>
    <x v="2"/>
    <x v="0"/>
    <x v="1"/>
    <x v="57"/>
    <s v="BBG00VSZG6M8"/>
    <x v="26"/>
    <s v="ddc074cc122446bc92e5b6929179d0e2"/>
    <s v="Rumo 2028"/>
    <x v="1"/>
    <x v="6"/>
    <s v="Rail"/>
    <s v="Rio Preto Paulista Yard"/>
    <s v="Brazil"/>
    <d v="2021-03-01T00:00:00"/>
    <d v="2021-03-01T00:00:00"/>
    <s v="USD"/>
    <n v="606904"/>
    <n v="606904"/>
    <s v="USD"/>
    <n v="606904"/>
    <n v="606904"/>
    <b v="1"/>
    <m/>
  </r>
  <r>
    <b v="1"/>
    <x v="0"/>
    <x v="0"/>
    <x v="2"/>
    <x v="0"/>
    <x v="1"/>
    <x v="57"/>
    <s v="BBG00VSZG6M8"/>
    <x v="26"/>
    <s v="ddc074cc122446bc92e5b6929179d0e2"/>
    <s v="Rumo 2028"/>
    <x v="1"/>
    <x v="6"/>
    <s v="Rail"/>
    <s v="Rio Preto Paulista Yard"/>
    <s v="Brazil"/>
    <d v="2021-02-01T00:00:00"/>
    <d v="2021-02-01T00:00:00"/>
    <s v="USD"/>
    <n v="144653"/>
    <n v="144653"/>
    <s v="USD"/>
    <n v="144653"/>
    <n v="144653"/>
    <b v="1"/>
    <m/>
  </r>
  <r>
    <b v="1"/>
    <x v="0"/>
    <x v="0"/>
    <x v="2"/>
    <x v="0"/>
    <x v="1"/>
    <x v="57"/>
    <s v="BBG00VSZG6M8"/>
    <x v="26"/>
    <s v="ddc074cc122446bc92e5b6929179d0e2"/>
    <s v="Rumo 2028"/>
    <x v="1"/>
    <x v="6"/>
    <s v="Rail"/>
    <s v="Rio Preto Paulista Yard"/>
    <s v="Brazil"/>
    <d v="2021-01-01T00:00:00"/>
    <d v="2021-01-01T00:00:00"/>
    <s v="USD"/>
    <n v="421"/>
    <n v="421"/>
    <s v="USD"/>
    <n v="421"/>
    <n v="421"/>
    <b v="1"/>
    <m/>
  </r>
  <r>
    <b v="1"/>
    <x v="0"/>
    <x v="0"/>
    <x v="2"/>
    <x v="0"/>
    <x v="1"/>
    <x v="57"/>
    <s v="BBG00VSZG6M8"/>
    <x v="26"/>
    <s v="ddc074cc122446bc92e5b6929179d0e2"/>
    <s v="Rumo 2028"/>
    <x v="1"/>
    <x v="6"/>
    <s v="Rail"/>
    <s v="Rio Preto Paulista Yard"/>
    <s v="Brazil"/>
    <d v="2020-12-01T00:00:00"/>
    <d v="2020-12-01T00:00:00"/>
    <s v="USD"/>
    <n v="312811"/>
    <n v="312811"/>
    <s v="USD"/>
    <n v="312811"/>
    <n v="312811"/>
    <b v="1"/>
    <m/>
  </r>
  <r>
    <b v="1"/>
    <x v="0"/>
    <x v="0"/>
    <x v="2"/>
    <x v="0"/>
    <x v="1"/>
    <x v="57"/>
    <s v="BBG00VSZG6M8"/>
    <x v="26"/>
    <s v="ddc074cc122446bc92e5b6929179d0e2"/>
    <s v="Rumo 2028"/>
    <x v="0"/>
    <x v="5"/>
    <s v="Rail"/>
    <s v="Rio Claro Velho Yard"/>
    <s v="Brazil"/>
    <d v="2021-05-01T00:00:00"/>
    <d v="2021-05-01T00:00:00"/>
    <s v="USD"/>
    <n v="136855"/>
    <n v="136855"/>
    <s v="USD"/>
    <n v="136855"/>
    <n v="136855"/>
    <b v="1"/>
    <m/>
  </r>
  <r>
    <b v="1"/>
    <x v="0"/>
    <x v="0"/>
    <x v="2"/>
    <x v="0"/>
    <x v="1"/>
    <x v="57"/>
    <s v="BBG00VSZG6M8"/>
    <x v="26"/>
    <s v="ddc074cc122446bc92e5b6929179d0e2"/>
    <s v="Rumo 2028"/>
    <x v="0"/>
    <x v="5"/>
    <s v="Rail"/>
    <s v="Rio Claro Velho Yard"/>
    <s v="Brazil"/>
    <d v="2021-04-01T00:00:00"/>
    <d v="2021-04-01T00:00:00"/>
    <s v="USD"/>
    <n v="157925"/>
    <n v="157925"/>
    <s v="USD"/>
    <n v="157925"/>
    <n v="157925"/>
    <b v="1"/>
    <m/>
  </r>
  <r>
    <b v="1"/>
    <x v="0"/>
    <x v="0"/>
    <x v="2"/>
    <x v="0"/>
    <x v="1"/>
    <x v="57"/>
    <s v="BBG00VSZG6M8"/>
    <x v="26"/>
    <s v="ddc074cc122446bc92e5b6929179d0e2"/>
    <s v="Rumo 2028"/>
    <x v="0"/>
    <x v="5"/>
    <s v="Rail"/>
    <s v="Rio Claro Velho Yard"/>
    <s v="Brazil"/>
    <d v="2021-03-01T00:00:00"/>
    <d v="2021-03-01T00:00:00"/>
    <s v="USD"/>
    <n v="113239"/>
    <n v="113239"/>
    <s v="USD"/>
    <n v="113239"/>
    <n v="113239"/>
    <b v="1"/>
    <m/>
  </r>
  <r>
    <b v="1"/>
    <x v="0"/>
    <x v="0"/>
    <x v="2"/>
    <x v="0"/>
    <x v="1"/>
    <x v="57"/>
    <s v="BBG00VSZG6M8"/>
    <x v="26"/>
    <s v="ddc074cc122446bc92e5b6929179d0e2"/>
    <s v="Rumo 2028"/>
    <x v="0"/>
    <x v="5"/>
    <s v="Rail"/>
    <s v="Rio Claro Velho Yard"/>
    <s v="Brazil"/>
    <d v="2021-02-01T00:00:00"/>
    <d v="2021-02-01T00:00:00"/>
    <s v="USD"/>
    <n v="254197"/>
    <n v="254197"/>
    <s v="USD"/>
    <n v="254197"/>
    <n v="254197"/>
    <b v="1"/>
    <m/>
  </r>
  <r>
    <b v="1"/>
    <x v="0"/>
    <x v="0"/>
    <x v="2"/>
    <x v="0"/>
    <x v="1"/>
    <x v="57"/>
    <s v="BBG00VSZG6M8"/>
    <x v="26"/>
    <s v="ddc074cc122446bc92e5b6929179d0e2"/>
    <s v="Rumo 2028"/>
    <x v="0"/>
    <x v="5"/>
    <s v="Rail"/>
    <s v="Rio Claro Velho Yard"/>
    <s v="Brazil"/>
    <d v="2021-01-01T00:00:00"/>
    <d v="2021-01-01T00:00:00"/>
    <s v="USD"/>
    <n v="77337"/>
    <n v="77337"/>
    <s v="USD"/>
    <n v="77337"/>
    <n v="77337"/>
    <b v="1"/>
    <m/>
  </r>
  <r>
    <b v="1"/>
    <x v="0"/>
    <x v="0"/>
    <x v="2"/>
    <x v="0"/>
    <x v="1"/>
    <x v="57"/>
    <s v="BBG00VSZG6M8"/>
    <x v="26"/>
    <s v="ddc074cc122446bc92e5b6929179d0e2"/>
    <s v="Rumo 2028"/>
    <x v="0"/>
    <x v="5"/>
    <s v="Rail"/>
    <s v="Rio Claro Velho Yard"/>
    <s v="Brazil"/>
    <d v="2020-12-01T00:00:00"/>
    <d v="2020-12-01T00:00:00"/>
    <s v="USD"/>
    <n v="579326"/>
    <n v="579326"/>
    <s v="USD"/>
    <n v="579326"/>
    <n v="579326"/>
    <b v="1"/>
    <m/>
  </r>
  <r>
    <b v="1"/>
    <x v="0"/>
    <x v="0"/>
    <x v="2"/>
    <x v="0"/>
    <x v="1"/>
    <x v="57"/>
    <s v="BBG00VSZG6M8"/>
    <x v="26"/>
    <s v="ddc074cc122446bc92e5b6929179d0e2"/>
    <s v="Rumo 2028"/>
    <x v="0"/>
    <x v="5"/>
    <s v="Rail"/>
    <s v="Rio Claro Velho Yard"/>
    <s v="Brazil"/>
    <d v="2020-11-01T00:00:00"/>
    <d v="2020-11-01T00:00:00"/>
    <s v="USD"/>
    <n v="90998"/>
    <n v="90998"/>
    <s v="USD"/>
    <n v="90998"/>
    <n v="90998"/>
    <b v="1"/>
    <m/>
  </r>
  <r>
    <b v="1"/>
    <x v="0"/>
    <x v="0"/>
    <x v="2"/>
    <x v="0"/>
    <x v="1"/>
    <x v="57"/>
    <s v="BBG00VSZG6M8"/>
    <x v="26"/>
    <s v="ddc074cc122446bc92e5b6929179d0e2"/>
    <s v="Rumo 2028"/>
    <x v="0"/>
    <x v="5"/>
    <s v="Rail"/>
    <s v="Rio Claro Velho Yard"/>
    <s v="Brazil"/>
    <d v="2020-10-01T00:00:00"/>
    <d v="2020-10-01T00:00:00"/>
    <s v="USD"/>
    <n v="107351"/>
    <n v="107351"/>
    <s v="USD"/>
    <n v="107351"/>
    <n v="107351"/>
    <b v="1"/>
    <m/>
  </r>
  <r>
    <b v="1"/>
    <x v="0"/>
    <x v="0"/>
    <x v="2"/>
    <x v="0"/>
    <x v="1"/>
    <x v="57"/>
    <s v="BBG00VSZG6M8"/>
    <x v="26"/>
    <s v="ddc074cc122446bc92e5b6929179d0e2"/>
    <s v="Rumo 2028"/>
    <x v="1"/>
    <x v="6"/>
    <s v="Rail"/>
    <s v="Rio Claro Velho Yard"/>
    <s v="Brazil"/>
    <d v="2021-05-01T00:00:00"/>
    <d v="2021-05-01T00:00:00"/>
    <s v="USD"/>
    <n v="136855"/>
    <n v="136855"/>
    <s v="USD"/>
    <n v="136855"/>
    <n v="136855"/>
    <b v="1"/>
    <m/>
  </r>
  <r>
    <b v="1"/>
    <x v="0"/>
    <x v="0"/>
    <x v="2"/>
    <x v="0"/>
    <x v="1"/>
    <x v="57"/>
    <s v="BBG00VSZG6M8"/>
    <x v="26"/>
    <s v="ddc074cc122446bc92e5b6929179d0e2"/>
    <s v="Rumo 2028"/>
    <x v="1"/>
    <x v="6"/>
    <s v="Rail"/>
    <s v="Rio Claro Velho Yard"/>
    <s v="Brazil"/>
    <d v="2021-04-01T00:00:00"/>
    <d v="2021-04-01T00:00:00"/>
    <s v="USD"/>
    <n v="157925"/>
    <n v="157925"/>
    <s v="USD"/>
    <n v="157925"/>
    <n v="157925"/>
    <b v="1"/>
    <m/>
  </r>
  <r>
    <b v="1"/>
    <x v="0"/>
    <x v="0"/>
    <x v="2"/>
    <x v="0"/>
    <x v="1"/>
    <x v="57"/>
    <s v="BBG00VSZG6M8"/>
    <x v="26"/>
    <s v="ddc074cc122446bc92e5b6929179d0e2"/>
    <s v="Rumo 2028"/>
    <x v="1"/>
    <x v="6"/>
    <s v="Rail"/>
    <s v="Rio Claro Velho Yard"/>
    <s v="Brazil"/>
    <d v="2021-03-01T00:00:00"/>
    <d v="2021-03-01T00:00:00"/>
    <s v="USD"/>
    <n v="113239"/>
    <n v="113239"/>
    <s v="USD"/>
    <n v="113239"/>
    <n v="113239"/>
    <b v="1"/>
    <m/>
  </r>
  <r>
    <b v="1"/>
    <x v="0"/>
    <x v="0"/>
    <x v="2"/>
    <x v="0"/>
    <x v="1"/>
    <x v="57"/>
    <s v="BBG00VSZG6M8"/>
    <x v="26"/>
    <s v="ddc074cc122446bc92e5b6929179d0e2"/>
    <s v="Rumo 2028"/>
    <x v="1"/>
    <x v="6"/>
    <s v="Rail"/>
    <s v="Rio Claro Velho Yard"/>
    <s v="Brazil"/>
    <d v="2021-02-01T00:00:00"/>
    <d v="2021-02-01T00:00:00"/>
    <s v="USD"/>
    <n v="254197"/>
    <n v="254197"/>
    <s v="USD"/>
    <n v="254197"/>
    <n v="254197"/>
    <b v="1"/>
    <m/>
  </r>
  <r>
    <b v="1"/>
    <x v="0"/>
    <x v="0"/>
    <x v="2"/>
    <x v="0"/>
    <x v="1"/>
    <x v="57"/>
    <s v="BBG00VSZG6M8"/>
    <x v="26"/>
    <s v="ddc074cc122446bc92e5b6929179d0e2"/>
    <s v="Rumo 2028"/>
    <x v="1"/>
    <x v="6"/>
    <s v="Rail"/>
    <s v="Rio Claro Velho Yard"/>
    <s v="Brazil"/>
    <d v="2021-01-01T00:00:00"/>
    <d v="2021-01-01T00:00:00"/>
    <s v="USD"/>
    <n v="77337"/>
    <n v="77337"/>
    <s v="USD"/>
    <n v="77337"/>
    <n v="77337"/>
    <b v="1"/>
    <m/>
  </r>
  <r>
    <b v="1"/>
    <x v="0"/>
    <x v="0"/>
    <x v="2"/>
    <x v="0"/>
    <x v="1"/>
    <x v="57"/>
    <s v="BBG00VSZG6M8"/>
    <x v="26"/>
    <s v="ddc074cc122446bc92e5b6929179d0e2"/>
    <s v="Rumo 2028"/>
    <x v="1"/>
    <x v="6"/>
    <s v="Rail"/>
    <s v="Rio Claro Velho Yard"/>
    <s v="Brazil"/>
    <d v="2020-12-01T00:00:00"/>
    <d v="2020-12-01T00:00:00"/>
    <s v="USD"/>
    <n v="579326"/>
    <n v="579326"/>
    <s v="USD"/>
    <n v="579326"/>
    <n v="579326"/>
    <b v="1"/>
    <m/>
  </r>
  <r>
    <b v="1"/>
    <x v="0"/>
    <x v="0"/>
    <x v="2"/>
    <x v="0"/>
    <x v="1"/>
    <x v="57"/>
    <s v="BBG00VSZG6M8"/>
    <x v="26"/>
    <s v="ddc074cc122446bc92e5b6929179d0e2"/>
    <s v="Rumo 2028"/>
    <x v="1"/>
    <x v="6"/>
    <s v="Rail"/>
    <s v="Rio Claro Velho Yard"/>
    <s v="Brazil"/>
    <d v="2020-11-01T00:00:00"/>
    <d v="2020-11-01T00:00:00"/>
    <s v="USD"/>
    <n v="90998"/>
    <n v="90998"/>
    <s v="USD"/>
    <n v="90998"/>
    <n v="90998"/>
    <b v="1"/>
    <m/>
  </r>
  <r>
    <b v="1"/>
    <x v="0"/>
    <x v="0"/>
    <x v="2"/>
    <x v="0"/>
    <x v="1"/>
    <x v="57"/>
    <s v="BBG00VSZG6M8"/>
    <x v="26"/>
    <s v="ddc074cc122446bc92e5b6929179d0e2"/>
    <s v="Rumo 2028"/>
    <x v="1"/>
    <x v="6"/>
    <s v="Rail"/>
    <s v="Rio Claro Velho Yard"/>
    <s v="Brazil"/>
    <d v="2020-10-01T00:00:00"/>
    <d v="2020-10-01T00:00:00"/>
    <s v="USD"/>
    <n v="107351"/>
    <n v="107351"/>
    <s v="USD"/>
    <n v="107351"/>
    <n v="107351"/>
    <b v="1"/>
    <m/>
  </r>
  <r>
    <b v="1"/>
    <x v="0"/>
    <x v="0"/>
    <x v="2"/>
    <x v="0"/>
    <x v="1"/>
    <x v="57"/>
    <s v="BBG00VSZG6M8"/>
    <x v="26"/>
    <s v="ddc074cc122446bc92e5b6929179d0e2"/>
    <s v="Rumo 2028"/>
    <x v="0"/>
    <x v="5"/>
    <s v="Rail"/>
    <s v="Votuporanga Yard"/>
    <s v="Brazil"/>
    <d v="2021-06-01T00:00:00"/>
    <d v="2021-06-01T00:00:00"/>
    <s v="USD"/>
    <n v="63436"/>
    <n v="63436"/>
    <s v="USD"/>
    <n v="63436"/>
    <n v="63436"/>
    <b v="1"/>
    <m/>
  </r>
  <r>
    <b v="1"/>
    <x v="0"/>
    <x v="0"/>
    <x v="2"/>
    <x v="0"/>
    <x v="1"/>
    <x v="57"/>
    <s v="BBG00VSZG6M8"/>
    <x v="26"/>
    <s v="ddc074cc122446bc92e5b6929179d0e2"/>
    <s v="Rumo 2028"/>
    <x v="0"/>
    <x v="5"/>
    <s v="Rail"/>
    <s v="Votuporanga Yard"/>
    <s v="Brazil"/>
    <d v="2021-05-01T00:00:00"/>
    <d v="2021-05-01T00:00:00"/>
    <s v="USD"/>
    <n v="37122"/>
    <n v="37122"/>
    <s v="USD"/>
    <n v="37122"/>
    <n v="37122"/>
    <b v="1"/>
    <m/>
  </r>
  <r>
    <b v="1"/>
    <x v="0"/>
    <x v="0"/>
    <x v="2"/>
    <x v="0"/>
    <x v="1"/>
    <x v="57"/>
    <s v="BBG00VSZG6M8"/>
    <x v="26"/>
    <s v="ddc074cc122446bc92e5b6929179d0e2"/>
    <s v="Rumo 2028"/>
    <x v="0"/>
    <x v="5"/>
    <s v="Rail"/>
    <s v="Votuporanga Yard"/>
    <s v="Brazil"/>
    <d v="2021-04-01T00:00:00"/>
    <d v="2021-04-01T00:00:00"/>
    <s v="USD"/>
    <n v="458129"/>
    <n v="458129"/>
    <s v="USD"/>
    <n v="458129"/>
    <n v="458129"/>
    <b v="1"/>
    <m/>
  </r>
  <r>
    <b v="1"/>
    <x v="0"/>
    <x v="0"/>
    <x v="2"/>
    <x v="0"/>
    <x v="1"/>
    <x v="57"/>
    <s v="BBG00VSZG6M8"/>
    <x v="26"/>
    <s v="ddc074cc122446bc92e5b6929179d0e2"/>
    <s v="Rumo 2028"/>
    <x v="0"/>
    <x v="5"/>
    <s v="Rail"/>
    <s v="Votuporanga Yard"/>
    <s v="Brazil"/>
    <d v="2021-03-01T00:00:00"/>
    <d v="2021-03-01T00:00:00"/>
    <s v="USD"/>
    <n v="172052"/>
    <n v="172052"/>
    <s v="USD"/>
    <n v="172052"/>
    <n v="172052"/>
    <b v="1"/>
    <m/>
  </r>
  <r>
    <b v="1"/>
    <x v="0"/>
    <x v="0"/>
    <x v="2"/>
    <x v="0"/>
    <x v="1"/>
    <x v="57"/>
    <s v="BBG00VSZG6M8"/>
    <x v="26"/>
    <s v="ddc074cc122446bc92e5b6929179d0e2"/>
    <s v="Rumo 2028"/>
    <x v="0"/>
    <x v="5"/>
    <s v="Rail"/>
    <s v="Votuporanga Yard"/>
    <s v="Brazil"/>
    <d v="2021-02-01T00:00:00"/>
    <d v="2021-02-01T00:00:00"/>
    <s v="USD"/>
    <n v="588"/>
    <n v="588"/>
    <s v="USD"/>
    <n v="588"/>
    <n v="588"/>
    <b v="1"/>
    <m/>
  </r>
  <r>
    <b v="1"/>
    <x v="0"/>
    <x v="0"/>
    <x v="2"/>
    <x v="0"/>
    <x v="1"/>
    <x v="57"/>
    <s v="BBG00VSZG6M8"/>
    <x v="26"/>
    <s v="ddc074cc122446bc92e5b6929179d0e2"/>
    <s v="Rumo 2028"/>
    <x v="0"/>
    <x v="5"/>
    <s v="Rail"/>
    <s v="Votuporanga Yard"/>
    <s v="Brazil"/>
    <d v="2020-12-01T00:00:00"/>
    <d v="2020-12-01T00:00:00"/>
    <s v="USD"/>
    <n v="609924"/>
    <n v="609924"/>
    <s v="USD"/>
    <n v="609924"/>
    <n v="609924"/>
    <b v="1"/>
    <m/>
  </r>
  <r>
    <b v="1"/>
    <x v="0"/>
    <x v="0"/>
    <x v="2"/>
    <x v="0"/>
    <x v="1"/>
    <x v="57"/>
    <s v="BBG00VSZG6M8"/>
    <x v="26"/>
    <s v="ddc074cc122446bc92e5b6929179d0e2"/>
    <s v="Rumo 2028"/>
    <x v="0"/>
    <x v="5"/>
    <s v="Rail"/>
    <s v="Votuporanga Yard"/>
    <s v="Brazil"/>
    <d v="2020-11-01T00:00:00"/>
    <d v="2020-11-01T00:00:00"/>
    <s v="USD"/>
    <n v="17069"/>
    <n v="17069"/>
    <s v="USD"/>
    <n v="17069"/>
    <n v="17069"/>
    <b v="1"/>
    <m/>
  </r>
  <r>
    <b v="1"/>
    <x v="0"/>
    <x v="0"/>
    <x v="2"/>
    <x v="0"/>
    <x v="1"/>
    <x v="57"/>
    <s v="BBG00VSZG6M8"/>
    <x v="26"/>
    <s v="ddc074cc122446bc92e5b6929179d0e2"/>
    <s v="Rumo 2028"/>
    <x v="0"/>
    <x v="5"/>
    <s v="Rail"/>
    <s v="Votuporanga Yard"/>
    <s v="Brazil"/>
    <d v="2020-10-01T00:00:00"/>
    <d v="2020-10-01T00:00:00"/>
    <s v="USD"/>
    <n v="7122"/>
    <n v="7122"/>
    <s v="USD"/>
    <n v="7122"/>
    <n v="7122"/>
    <b v="1"/>
    <m/>
  </r>
  <r>
    <b v="1"/>
    <x v="0"/>
    <x v="0"/>
    <x v="2"/>
    <x v="0"/>
    <x v="1"/>
    <x v="57"/>
    <s v="BBG00VSZG6M8"/>
    <x v="26"/>
    <s v="ddc074cc122446bc92e5b6929179d0e2"/>
    <s v="Rumo 2028"/>
    <x v="0"/>
    <x v="5"/>
    <s v="Rail"/>
    <s v="Votuporanga Yard"/>
    <s v="Brazil"/>
    <d v="2020-08-01T00:00:00"/>
    <d v="2020-08-01T00:00:00"/>
    <s v="USD"/>
    <n v="61617"/>
    <n v="61617"/>
    <s v="USD"/>
    <n v="61617"/>
    <n v="61617"/>
    <b v="1"/>
    <m/>
  </r>
  <r>
    <b v="1"/>
    <x v="0"/>
    <x v="0"/>
    <x v="2"/>
    <x v="0"/>
    <x v="1"/>
    <x v="57"/>
    <s v="BBG00VSZG6M8"/>
    <x v="26"/>
    <s v="ddc074cc122446bc92e5b6929179d0e2"/>
    <s v="Rumo 2028"/>
    <x v="0"/>
    <x v="5"/>
    <s v="Rail"/>
    <s v="Votuporanga Yard"/>
    <s v="Brazil"/>
    <d v="2020-07-01T00:00:00"/>
    <d v="2020-07-01T00:00:00"/>
    <s v="USD"/>
    <n v="35480"/>
    <n v="35480"/>
    <s v="USD"/>
    <n v="35480"/>
    <n v="35480"/>
    <b v="1"/>
    <m/>
  </r>
  <r>
    <b v="1"/>
    <x v="0"/>
    <x v="0"/>
    <x v="2"/>
    <x v="0"/>
    <x v="1"/>
    <x v="57"/>
    <s v="BBG00VSZG6M8"/>
    <x v="26"/>
    <s v="ddc074cc122446bc92e5b6929179d0e2"/>
    <s v="Rumo 2028"/>
    <x v="1"/>
    <x v="6"/>
    <s v="Rail"/>
    <s v="Votuporanga Yard"/>
    <s v="Brazil"/>
    <d v="2021-06-01T00:00:00"/>
    <d v="2021-06-01T00:00:00"/>
    <s v="USD"/>
    <n v="63436"/>
    <n v="63436"/>
    <s v="USD"/>
    <n v="63436"/>
    <n v="63436"/>
    <b v="1"/>
    <m/>
  </r>
  <r>
    <b v="1"/>
    <x v="0"/>
    <x v="0"/>
    <x v="2"/>
    <x v="0"/>
    <x v="1"/>
    <x v="57"/>
    <s v="BBG00VSZG6M8"/>
    <x v="26"/>
    <s v="ddc074cc122446bc92e5b6929179d0e2"/>
    <s v="Rumo 2028"/>
    <x v="1"/>
    <x v="6"/>
    <s v="Rail"/>
    <s v="Votuporanga Yard"/>
    <s v="Brazil"/>
    <d v="2021-05-01T00:00:00"/>
    <d v="2021-05-01T00:00:00"/>
    <s v="USD"/>
    <n v="37122"/>
    <n v="37122"/>
    <s v="USD"/>
    <n v="37122"/>
    <n v="37122"/>
    <b v="1"/>
    <m/>
  </r>
  <r>
    <b v="1"/>
    <x v="0"/>
    <x v="0"/>
    <x v="2"/>
    <x v="0"/>
    <x v="1"/>
    <x v="57"/>
    <s v="BBG00VSZG6M8"/>
    <x v="26"/>
    <s v="ddc074cc122446bc92e5b6929179d0e2"/>
    <s v="Rumo 2028"/>
    <x v="1"/>
    <x v="6"/>
    <s v="Rail"/>
    <s v="Votuporanga Yard"/>
    <s v="Brazil"/>
    <d v="2021-04-01T00:00:00"/>
    <d v="2021-04-01T00:00:00"/>
    <s v="USD"/>
    <n v="458129"/>
    <n v="458129"/>
    <s v="USD"/>
    <n v="458129"/>
    <n v="458129"/>
    <b v="1"/>
    <m/>
  </r>
  <r>
    <b v="1"/>
    <x v="0"/>
    <x v="0"/>
    <x v="2"/>
    <x v="0"/>
    <x v="1"/>
    <x v="57"/>
    <s v="BBG00VSZG6M8"/>
    <x v="26"/>
    <s v="ddc074cc122446bc92e5b6929179d0e2"/>
    <s v="Rumo 2028"/>
    <x v="1"/>
    <x v="6"/>
    <s v="Rail"/>
    <s v="Votuporanga Yard"/>
    <s v="Brazil"/>
    <d v="2021-03-01T00:00:00"/>
    <d v="2021-03-01T00:00:00"/>
    <s v="USD"/>
    <n v="172052"/>
    <n v="172052"/>
    <s v="USD"/>
    <n v="172052"/>
    <n v="172052"/>
    <b v="1"/>
    <m/>
  </r>
  <r>
    <b v="1"/>
    <x v="0"/>
    <x v="0"/>
    <x v="2"/>
    <x v="0"/>
    <x v="1"/>
    <x v="57"/>
    <s v="BBG00VSZG6M8"/>
    <x v="26"/>
    <s v="ddc074cc122446bc92e5b6929179d0e2"/>
    <s v="Rumo 2028"/>
    <x v="1"/>
    <x v="6"/>
    <s v="Rail"/>
    <s v="Votuporanga Yard"/>
    <s v="Brazil"/>
    <d v="2021-02-01T00:00:00"/>
    <d v="2021-02-01T00:00:00"/>
    <s v="USD"/>
    <n v="588"/>
    <n v="588"/>
    <s v="USD"/>
    <n v="588"/>
    <n v="588"/>
    <b v="1"/>
    <m/>
  </r>
  <r>
    <b v="1"/>
    <x v="0"/>
    <x v="0"/>
    <x v="2"/>
    <x v="0"/>
    <x v="1"/>
    <x v="57"/>
    <s v="BBG00VSZG6M8"/>
    <x v="26"/>
    <s v="ddc074cc122446bc92e5b6929179d0e2"/>
    <s v="Rumo 2028"/>
    <x v="1"/>
    <x v="6"/>
    <s v="Rail"/>
    <s v="Votuporanga Yard"/>
    <s v="Brazil"/>
    <d v="2020-12-01T00:00:00"/>
    <d v="2020-12-01T00:00:00"/>
    <s v="USD"/>
    <n v="609924"/>
    <n v="609924"/>
    <s v="USD"/>
    <n v="609924"/>
    <n v="609924"/>
    <b v="1"/>
    <m/>
  </r>
  <r>
    <b v="1"/>
    <x v="0"/>
    <x v="0"/>
    <x v="2"/>
    <x v="0"/>
    <x v="1"/>
    <x v="57"/>
    <s v="BBG00VSZG6M8"/>
    <x v="26"/>
    <s v="ddc074cc122446bc92e5b6929179d0e2"/>
    <s v="Rumo 2028"/>
    <x v="1"/>
    <x v="6"/>
    <s v="Rail"/>
    <s v="Votuporanga Yard"/>
    <s v="Brazil"/>
    <d v="2020-11-01T00:00:00"/>
    <d v="2020-11-01T00:00:00"/>
    <s v="USD"/>
    <n v="17069"/>
    <n v="17069"/>
    <s v="USD"/>
    <n v="17069"/>
    <n v="17069"/>
    <b v="1"/>
    <m/>
  </r>
  <r>
    <b v="1"/>
    <x v="0"/>
    <x v="0"/>
    <x v="2"/>
    <x v="0"/>
    <x v="1"/>
    <x v="57"/>
    <s v="BBG00VSZG6M8"/>
    <x v="26"/>
    <s v="ddc074cc122446bc92e5b6929179d0e2"/>
    <s v="Rumo 2028"/>
    <x v="1"/>
    <x v="6"/>
    <s v="Rail"/>
    <s v="Votuporanga Yard"/>
    <s v="Brazil"/>
    <d v="2020-10-01T00:00:00"/>
    <d v="2020-10-01T00:00:00"/>
    <s v="USD"/>
    <n v="7122"/>
    <n v="7122"/>
    <s v="USD"/>
    <n v="7122"/>
    <n v="7122"/>
    <b v="1"/>
    <m/>
  </r>
  <r>
    <b v="1"/>
    <x v="0"/>
    <x v="0"/>
    <x v="2"/>
    <x v="0"/>
    <x v="1"/>
    <x v="57"/>
    <s v="BBG00VSZG6M8"/>
    <x v="26"/>
    <s v="ddc074cc122446bc92e5b6929179d0e2"/>
    <s v="Rumo 2028"/>
    <x v="1"/>
    <x v="6"/>
    <s v="Rail"/>
    <s v="Votuporanga Yard"/>
    <s v="Brazil"/>
    <d v="2020-08-01T00:00:00"/>
    <d v="2020-08-01T00:00:00"/>
    <s v="USD"/>
    <n v="61617"/>
    <n v="61617"/>
    <s v="USD"/>
    <n v="61617"/>
    <n v="61617"/>
    <b v="1"/>
    <m/>
  </r>
  <r>
    <b v="1"/>
    <x v="0"/>
    <x v="0"/>
    <x v="2"/>
    <x v="0"/>
    <x v="1"/>
    <x v="57"/>
    <s v="BBG00VSZG6M8"/>
    <x v="26"/>
    <s v="ddc074cc122446bc92e5b6929179d0e2"/>
    <s v="Rumo 2028"/>
    <x v="1"/>
    <x v="6"/>
    <s v="Rail"/>
    <s v="Votuporanga Yard"/>
    <s v="Brazil"/>
    <d v="2020-07-01T00:00:00"/>
    <d v="2020-07-01T00:00:00"/>
    <s v="USD"/>
    <n v="35480"/>
    <n v="35480"/>
    <s v="USD"/>
    <n v="35480"/>
    <n v="35480"/>
    <b v="1"/>
    <m/>
  </r>
  <r>
    <b v="1"/>
    <x v="0"/>
    <x v="0"/>
    <x v="2"/>
    <x v="0"/>
    <x v="1"/>
    <x v="57"/>
    <s v="BBG00VSZG6M8"/>
    <x v="26"/>
    <s v="ddc074cc122446bc92e5b6929179d0e2"/>
    <s v="Rumo 2028"/>
    <x v="0"/>
    <x v="5"/>
    <s v="Rail"/>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0"/>
    <x v="5"/>
    <s v="Rail"/>
    <s v="Switching optimization for train departures in Santos"/>
    <s v="Brazil"/>
    <d v="2021-05-01T00:00:00"/>
    <d v="2021-05-01T00:00:00"/>
    <s v="USD"/>
    <n v="27930"/>
    <n v="27930"/>
    <s v="USD"/>
    <n v="27930"/>
    <n v="27930"/>
    <b v="1"/>
    <m/>
  </r>
  <r>
    <b v="1"/>
    <x v="0"/>
    <x v="0"/>
    <x v="2"/>
    <x v="0"/>
    <x v="1"/>
    <x v="57"/>
    <s v="BBG00VSZG6M8"/>
    <x v="26"/>
    <s v="ddc074cc122446bc92e5b6929179d0e2"/>
    <s v="Rumo 2028"/>
    <x v="0"/>
    <x v="5"/>
    <s v="Rail"/>
    <s v="Switching optimization for train departures in Santos"/>
    <s v="Brazil"/>
    <d v="2021-04-01T00:00:00"/>
    <d v="2021-04-01T00:00:00"/>
    <s v="USD"/>
    <n v="39010"/>
    <n v="39010"/>
    <s v="USD"/>
    <n v="39010"/>
    <n v="39010"/>
    <b v="1"/>
    <m/>
  </r>
  <r>
    <b v="1"/>
    <x v="0"/>
    <x v="0"/>
    <x v="2"/>
    <x v="0"/>
    <x v="1"/>
    <x v="57"/>
    <s v="BBG00VSZG6M8"/>
    <x v="26"/>
    <s v="ddc074cc122446bc92e5b6929179d0e2"/>
    <s v="Rumo 2028"/>
    <x v="0"/>
    <x v="5"/>
    <s v="Rail"/>
    <s v="Switching optimization for train departures in Santos"/>
    <s v="Brazil"/>
    <d v="2021-03-01T00:00:00"/>
    <d v="2021-03-01T00:00:00"/>
    <s v="USD"/>
    <n v="28277"/>
    <n v="28277"/>
    <s v="USD"/>
    <n v="28277"/>
    <n v="28277"/>
    <b v="1"/>
    <m/>
  </r>
  <r>
    <b v="1"/>
    <x v="0"/>
    <x v="0"/>
    <x v="2"/>
    <x v="0"/>
    <x v="1"/>
    <x v="57"/>
    <s v="BBG00VSZG6M8"/>
    <x v="26"/>
    <s v="ddc074cc122446bc92e5b6929179d0e2"/>
    <s v="Rumo 2028"/>
    <x v="0"/>
    <x v="5"/>
    <s v="Rail"/>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0"/>
    <x v="5"/>
    <s v="Rail"/>
    <s v="Switching optimization for train departures in Santos"/>
    <s v="Brazil"/>
    <d v="2021-01-01T00:00:00"/>
    <d v="2021-01-01T00:00:00"/>
    <s v="USD"/>
    <n v="2923"/>
    <n v="2923"/>
    <s v="USD"/>
    <n v="2923"/>
    <n v="2923"/>
    <b v="1"/>
    <m/>
  </r>
  <r>
    <b v="1"/>
    <x v="0"/>
    <x v="0"/>
    <x v="2"/>
    <x v="0"/>
    <x v="1"/>
    <x v="57"/>
    <s v="BBG00VSZG6M8"/>
    <x v="26"/>
    <s v="ddc074cc122446bc92e5b6929179d0e2"/>
    <s v="Rumo 2028"/>
    <x v="0"/>
    <x v="5"/>
    <s v="Rail"/>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0"/>
    <x v="5"/>
    <s v="Rail"/>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0"/>
    <x v="5"/>
    <s v="Rail"/>
    <s v="Switching optimization for train departures in Santos"/>
    <s v="Brazil"/>
    <d v="2020-10-01T00:00:00"/>
    <d v="2020-10-01T00:00:00"/>
    <s v="USD"/>
    <n v="5739"/>
    <n v="5739"/>
    <s v="USD"/>
    <n v="5739"/>
    <n v="5739"/>
    <b v="1"/>
    <m/>
  </r>
  <r>
    <b v="1"/>
    <x v="0"/>
    <x v="0"/>
    <x v="2"/>
    <x v="0"/>
    <x v="1"/>
    <x v="57"/>
    <s v="BBG00VSZG6M8"/>
    <x v="26"/>
    <s v="ddc074cc122446bc92e5b6929179d0e2"/>
    <s v="Rumo 2028"/>
    <x v="0"/>
    <x v="5"/>
    <s v="Rail"/>
    <s v="Switching optimization for train departures in Santos"/>
    <s v="Brazil"/>
    <d v="2020-09-01T00:00:00"/>
    <d v="2020-09-01T00:00:00"/>
    <s v="USD"/>
    <n v="74658"/>
    <n v="74658"/>
    <s v="USD"/>
    <n v="74658"/>
    <n v="74658"/>
    <b v="1"/>
    <m/>
  </r>
  <r>
    <b v="1"/>
    <x v="0"/>
    <x v="0"/>
    <x v="2"/>
    <x v="0"/>
    <x v="1"/>
    <x v="57"/>
    <s v="BBG00VSZG6M8"/>
    <x v="26"/>
    <s v="ddc074cc122446bc92e5b6929179d0e2"/>
    <s v="Rumo 2028"/>
    <x v="0"/>
    <x v="5"/>
    <s v="Rail"/>
    <s v="Switching optimization for train departures in Santos"/>
    <s v="Brazil"/>
    <d v="2020-07-01T00:00:00"/>
    <d v="2020-07-01T00:00:00"/>
    <s v="USD"/>
    <n v="93704"/>
    <n v="93704"/>
    <s v="USD"/>
    <n v="93704"/>
    <n v="93704"/>
    <b v="1"/>
    <m/>
  </r>
  <r>
    <b v="1"/>
    <x v="0"/>
    <x v="0"/>
    <x v="2"/>
    <x v="0"/>
    <x v="1"/>
    <x v="57"/>
    <s v="BBG00VSZG6M8"/>
    <x v="26"/>
    <s v="ddc074cc122446bc92e5b6929179d0e2"/>
    <s v="Rumo 2028"/>
    <x v="1"/>
    <x v="6"/>
    <s v="Vehicle infrastructure"/>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1"/>
    <x v="6"/>
    <s v="Vehicle infrastructure"/>
    <s v="Switching optimization for train departures in Santos"/>
    <s v="Brazil"/>
    <d v="2021-05-01T00:00:00"/>
    <d v="2021-05-01T00:00:00"/>
    <s v="USD"/>
    <n v="27930"/>
    <n v="27930"/>
    <s v="USD"/>
    <n v="27930"/>
    <n v="27930"/>
    <b v="1"/>
    <m/>
  </r>
  <r>
    <b v="1"/>
    <x v="0"/>
    <x v="0"/>
    <x v="2"/>
    <x v="0"/>
    <x v="1"/>
    <x v="57"/>
    <s v="BBG00VSZG6M8"/>
    <x v="26"/>
    <s v="ddc074cc122446bc92e5b6929179d0e2"/>
    <s v="Rumo 2028"/>
    <x v="1"/>
    <x v="6"/>
    <s v="Vehicle infrastructure"/>
    <s v="Switching optimization for train departures in Santos"/>
    <s v="Brazil"/>
    <d v="2021-04-01T00:00:00"/>
    <d v="2021-04-01T00:00:00"/>
    <s v="USD"/>
    <n v="39010"/>
    <n v="39010"/>
    <s v="USD"/>
    <n v="39010"/>
    <n v="39010"/>
    <b v="1"/>
    <m/>
  </r>
  <r>
    <b v="1"/>
    <x v="0"/>
    <x v="0"/>
    <x v="2"/>
    <x v="0"/>
    <x v="1"/>
    <x v="57"/>
    <s v="BBG00VSZG6M8"/>
    <x v="26"/>
    <s v="ddc074cc122446bc92e5b6929179d0e2"/>
    <s v="Rumo 2028"/>
    <x v="1"/>
    <x v="6"/>
    <s v="Vehicle infrastructure"/>
    <s v="Switching optimization for train departures in Santos"/>
    <s v="Brazil"/>
    <d v="2021-03-01T00:00:00"/>
    <d v="2021-03-01T00:00:00"/>
    <s v="USD"/>
    <n v="28277"/>
    <n v="28277"/>
    <s v="USD"/>
    <n v="28277"/>
    <n v="28277"/>
    <b v="1"/>
    <m/>
  </r>
  <r>
    <b v="1"/>
    <x v="0"/>
    <x v="0"/>
    <x v="2"/>
    <x v="0"/>
    <x v="1"/>
    <x v="57"/>
    <s v="BBG00VSZG6M8"/>
    <x v="26"/>
    <s v="ddc074cc122446bc92e5b6929179d0e2"/>
    <s v="Rumo 2028"/>
    <x v="1"/>
    <x v="6"/>
    <s v="Vehicle infrastructure"/>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1"/>
    <x v="6"/>
    <s v="Vehicle infrastructure"/>
    <s v="Switching optimization for train departures in Santos"/>
    <s v="Brazil"/>
    <d v="2021-01-01T00:00:00"/>
    <d v="2021-01-01T00:00:00"/>
    <s v="USD"/>
    <n v="2923"/>
    <n v="2923"/>
    <s v="USD"/>
    <n v="2923"/>
    <n v="2923"/>
    <b v="1"/>
    <m/>
  </r>
  <r>
    <b v="1"/>
    <x v="0"/>
    <x v="0"/>
    <x v="2"/>
    <x v="0"/>
    <x v="1"/>
    <x v="57"/>
    <s v="BBG00VSZG6M8"/>
    <x v="26"/>
    <s v="ddc074cc122446bc92e5b6929179d0e2"/>
    <s v="Rumo 2028"/>
    <x v="1"/>
    <x v="6"/>
    <s v="Vehicle infrastructure"/>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1"/>
    <x v="6"/>
    <s v="Vehicle infrastructure"/>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1"/>
    <x v="6"/>
    <s v="Vehicle infrastructure"/>
    <s v="Switching optimization for train departures in Santos"/>
    <s v="Brazil"/>
    <d v="2020-10-01T00:00:00"/>
    <d v="2020-10-01T00:00:00"/>
    <s v="USD"/>
    <n v="5739"/>
    <n v="5739"/>
    <s v="USD"/>
    <n v="5739"/>
    <n v="5739"/>
    <b v="1"/>
    <m/>
  </r>
  <r>
    <b v="1"/>
    <x v="0"/>
    <x v="0"/>
    <x v="2"/>
    <x v="0"/>
    <x v="1"/>
    <x v="57"/>
    <s v="BBG00VSZG6M8"/>
    <x v="26"/>
    <s v="ddc074cc122446bc92e5b6929179d0e2"/>
    <s v="Rumo 2028"/>
    <x v="1"/>
    <x v="6"/>
    <s v="Vehicle infrastructure"/>
    <s v="Switching optimization for train departures in Santos"/>
    <s v="Brazil"/>
    <d v="2020-09-01T00:00:00"/>
    <d v="2020-09-01T00:00:00"/>
    <s v="USD"/>
    <n v="74658"/>
    <n v="74658"/>
    <s v="USD"/>
    <n v="74658"/>
    <n v="74658"/>
    <b v="1"/>
    <m/>
  </r>
  <r>
    <b v="1"/>
    <x v="0"/>
    <x v="0"/>
    <x v="2"/>
    <x v="0"/>
    <x v="1"/>
    <x v="57"/>
    <s v="BBG00VSZG6M8"/>
    <x v="26"/>
    <s v="ddc074cc122446bc92e5b6929179d0e2"/>
    <s v="Rumo 2028"/>
    <x v="1"/>
    <x v="6"/>
    <s v="Vehicle infrastructure"/>
    <s v="Switching optimization for train departures in Santos"/>
    <s v="Brazil"/>
    <d v="2020-07-01T00:00:00"/>
    <d v="2020-07-01T00:00:00"/>
    <s v="USD"/>
    <n v="93704"/>
    <n v="93704"/>
    <s v="USD"/>
    <n v="93704"/>
    <n v="93704"/>
    <b v="1"/>
    <m/>
  </r>
  <r>
    <b v="1"/>
    <x v="0"/>
    <x v="0"/>
    <x v="2"/>
    <x v="0"/>
    <x v="1"/>
    <x v="57"/>
    <s v="BBG00VSZG6M8"/>
    <x v="26"/>
    <s v="ddc074cc122446bc92e5b6929179d0e2"/>
    <s v="Rumo 2028"/>
    <x v="0"/>
    <x v="5"/>
    <s v="Rail"/>
    <s v="Satellite and LTE Communication"/>
    <s v="Brazil"/>
    <d v="2021-06-01T00:00:00"/>
    <d v="2021-06-01T00:00:00"/>
    <s v="USD"/>
    <n v="16682"/>
    <n v="16682"/>
    <s v="USD"/>
    <n v="16682"/>
    <n v="16682"/>
    <b v="1"/>
    <m/>
  </r>
  <r>
    <b v="1"/>
    <x v="0"/>
    <x v="0"/>
    <x v="2"/>
    <x v="0"/>
    <x v="1"/>
    <x v="57"/>
    <s v="BBG00VSZG6M8"/>
    <x v="26"/>
    <s v="ddc074cc122446bc92e5b6929179d0e2"/>
    <s v="Rumo 2028"/>
    <x v="0"/>
    <x v="5"/>
    <s v="Rail"/>
    <s v="Satellite and LTE Communication"/>
    <s v="Brazil"/>
    <d v="2021-05-01T00:00:00"/>
    <d v="2021-05-01T00:00:00"/>
    <s v="USD"/>
    <n v="27996"/>
    <n v="27996"/>
    <s v="USD"/>
    <n v="27996"/>
    <n v="27996"/>
    <b v="1"/>
    <m/>
  </r>
  <r>
    <b v="1"/>
    <x v="0"/>
    <x v="0"/>
    <x v="2"/>
    <x v="0"/>
    <x v="1"/>
    <x v="57"/>
    <s v="BBG00VSZG6M8"/>
    <x v="26"/>
    <s v="ddc074cc122446bc92e5b6929179d0e2"/>
    <s v="Rumo 2028"/>
    <x v="0"/>
    <x v="5"/>
    <s v="Rail"/>
    <s v="Satellite and LTE Communication"/>
    <s v="Brazil"/>
    <d v="2021-04-01T00:00:00"/>
    <d v="2021-04-01T00:00:00"/>
    <s v="USD"/>
    <n v="9567"/>
    <n v="9567"/>
    <s v="USD"/>
    <n v="9567"/>
    <n v="9567"/>
    <b v="1"/>
    <m/>
  </r>
  <r>
    <b v="1"/>
    <x v="0"/>
    <x v="0"/>
    <x v="2"/>
    <x v="0"/>
    <x v="1"/>
    <x v="57"/>
    <s v="BBG00VSZG6M8"/>
    <x v="26"/>
    <s v="ddc074cc122446bc92e5b6929179d0e2"/>
    <s v="Rumo 2028"/>
    <x v="0"/>
    <x v="5"/>
    <s v="Rail"/>
    <s v="Satellite and LTE Communication"/>
    <s v="Brazil"/>
    <d v="2021-03-01T00:00:00"/>
    <d v="2021-03-01T00:00:00"/>
    <s v="USD"/>
    <n v="42423"/>
    <n v="42423"/>
    <s v="USD"/>
    <n v="42423"/>
    <n v="42423"/>
    <b v="1"/>
    <m/>
  </r>
  <r>
    <b v="1"/>
    <x v="0"/>
    <x v="0"/>
    <x v="2"/>
    <x v="0"/>
    <x v="1"/>
    <x v="57"/>
    <s v="BBG00VSZG6M8"/>
    <x v="26"/>
    <s v="ddc074cc122446bc92e5b6929179d0e2"/>
    <s v="Rumo 2028"/>
    <x v="0"/>
    <x v="5"/>
    <s v="Rail"/>
    <s v="Satellite and LTE Communication"/>
    <s v="Brazil"/>
    <d v="2021-02-01T00:00:00"/>
    <d v="2021-02-01T00:00:00"/>
    <s v="USD"/>
    <n v="88448"/>
    <n v="88448"/>
    <s v="USD"/>
    <n v="88448"/>
    <n v="88448"/>
    <b v="1"/>
    <m/>
  </r>
  <r>
    <b v="1"/>
    <x v="0"/>
    <x v="0"/>
    <x v="2"/>
    <x v="0"/>
    <x v="1"/>
    <x v="57"/>
    <s v="BBG00VSZG6M8"/>
    <x v="26"/>
    <s v="ddc074cc122446bc92e5b6929179d0e2"/>
    <s v="Rumo 2028"/>
    <x v="0"/>
    <x v="5"/>
    <s v="Rail"/>
    <s v="Satellite and LTE Communication"/>
    <s v="Brazil"/>
    <d v="2021-01-01T00:00:00"/>
    <d v="2021-01-01T00:00:00"/>
    <s v="USD"/>
    <n v="47724"/>
    <n v="47724"/>
    <s v="USD"/>
    <n v="47724"/>
    <n v="47724"/>
    <b v="1"/>
    <m/>
  </r>
  <r>
    <b v="1"/>
    <x v="0"/>
    <x v="0"/>
    <x v="2"/>
    <x v="0"/>
    <x v="1"/>
    <x v="57"/>
    <s v="BBG00VSZG6M8"/>
    <x v="26"/>
    <s v="ddc074cc122446bc92e5b6929179d0e2"/>
    <s v="Rumo 2028"/>
    <x v="0"/>
    <x v="5"/>
    <s v="Rail"/>
    <s v="Satellite and LTE Communication"/>
    <s v="Brazil"/>
    <d v="2020-12-01T00:00:00"/>
    <d v="2020-12-01T00:00:00"/>
    <s v="USD"/>
    <n v="336212"/>
    <n v="336212"/>
    <s v="USD"/>
    <n v="336212"/>
    <n v="336212"/>
    <b v="1"/>
    <m/>
  </r>
  <r>
    <b v="1"/>
    <x v="0"/>
    <x v="0"/>
    <x v="2"/>
    <x v="0"/>
    <x v="1"/>
    <x v="57"/>
    <s v="BBG00VSZG6M8"/>
    <x v="26"/>
    <s v="ddc074cc122446bc92e5b6929179d0e2"/>
    <s v="Rumo 2028"/>
    <x v="0"/>
    <x v="5"/>
    <s v="Rail"/>
    <s v="Satellite and LTE Communication"/>
    <s v="Brazil"/>
    <d v="2020-11-01T00:00:00"/>
    <d v="2020-11-01T00:00:00"/>
    <s v="USD"/>
    <n v="192842"/>
    <n v="192842"/>
    <s v="USD"/>
    <n v="192842"/>
    <n v="192842"/>
    <b v="1"/>
    <m/>
  </r>
  <r>
    <b v="1"/>
    <x v="0"/>
    <x v="0"/>
    <x v="2"/>
    <x v="0"/>
    <x v="1"/>
    <x v="57"/>
    <s v="BBG00VSZG6M8"/>
    <x v="26"/>
    <s v="ddc074cc122446bc92e5b6929179d0e2"/>
    <s v="Rumo 2028"/>
    <x v="0"/>
    <x v="5"/>
    <s v="Rail"/>
    <s v="Satellite and LTE Communication"/>
    <s v="Brazil"/>
    <d v="2020-10-01T00:00:00"/>
    <d v="2020-10-01T00:00:00"/>
    <s v="USD"/>
    <n v="138237"/>
    <n v="138237"/>
    <s v="USD"/>
    <n v="138237"/>
    <n v="138237"/>
    <b v="1"/>
    <m/>
  </r>
  <r>
    <b v="1"/>
    <x v="0"/>
    <x v="0"/>
    <x v="2"/>
    <x v="0"/>
    <x v="1"/>
    <x v="57"/>
    <s v="BBG00VSZG6M8"/>
    <x v="26"/>
    <s v="ddc074cc122446bc92e5b6929179d0e2"/>
    <s v="Rumo 2028"/>
    <x v="0"/>
    <x v="5"/>
    <s v="Rail"/>
    <s v="Satellite and LTE Communication"/>
    <s v="Brazil"/>
    <d v="2020-09-01T00:00:00"/>
    <d v="2020-09-01T00:00:00"/>
    <s v="USD"/>
    <n v="92003"/>
    <n v="92003"/>
    <s v="USD"/>
    <n v="92003"/>
    <n v="92003"/>
    <b v="1"/>
    <m/>
  </r>
  <r>
    <b v="1"/>
    <x v="0"/>
    <x v="0"/>
    <x v="2"/>
    <x v="0"/>
    <x v="1"/>
    <x v="57"/>
    <s v="BBG00VSZG6M8"/>
    <x v="26"/>
    <s v="ddc074cc122446bc92e5b6929179d0e2"/>
    <s v="Rumo 2028"/>
    <x v="0"/>
    <x v="5"/>
    <s v="Rail"/>
    <s v="Satellite and LTE Communication"/>
    <s v="Brazil"/>
    <d v="2020-08-01T00:00:00"/>
    <d v="2020-08-01T00:00:00"/>
    <s v="USD"/>
    <n v="210117"/>
    <n v="210117"/>
    <s v="USD"/>
    <n v="210117"/>
    <n v="210117"/>
    <b v="1"/>
    <m/>
  </r>
  <r>
    <b v="1"/>
    <x v="0"/>
    <x v="0"/>
    <x v="2"/>
    <x v="0"/>
    <x v="1"/>
    <x v="57"/>
    <s v="BBG00VSZG6M8"/>
    <x v="26"/>
    <s v="ddc074cc122446bc92e5b6929179d0e2"/>
    <s v="Rumo 2028"/>
    <x v="0"/>
    <x v="5"/>
    <s v="Rail"/>
    <s v="Satellite and LTE Communication"/>
    <s v="Brazil"/>
    <d v="2020-07-01T00:00:00"/>
    <d v="2020-07-01T00:00:00"/>
    <s v="USD"/>
    <n v="104448"/>
    <n v="104448"/>
    <s v="USD"/>
    <n v="104448"/>
    <n v="104448"/>
    <b v="1"/>
    <m/>
  </r>
  <r>
    <b v="1"/>
    <x v="0"/>
    <x v="0"/>
    <x v="2"/>
    <x v="0"/>
    <x v="1"/>
    <x v="57"/>
    <s v="BBG00VSZG6M8"/>
    <x v="26"/>
    <s v="ddc074cc122446bc92e5b6929179d0e2"/>
    <s v="Rumo 2028"/>
    <x v="1"/>
    <x v="6"/>
    <s v="Vehicle infrastructure"/>
    <s v="Satellite and LTE Communication"/>
    <s v="Brazil"/>
    <d v="2021-06-01T00:00:00"/>
    <d v="2021-06-01T00:00:00"/>
    <s v="USD"/>
    <n v="16682"/>
    <n v="16682"/>
    <s v="USD"/>
    <n v="16682"/>
    <n v="16682"/>
    <b v="1"/>
    <m/>
  </r>
  <r>
    <b v="1"/>
    <x v="0"/>
    <x v="0"/>
    <x v="2"/>
    <x v="0"/>
    <x v="1"/>
    <x v="57"/>
    <s v="BBG00VSZG6M8"/>
    <x v="26"/>
    <s v="ddc074cc122446bc92e5b6929179d0e2"/>
    <s v="Rumo 2028"/>
    <x v="1"/>
    <x v="6"/>
    <s v="Vehicle infrastructure"/>
    <s v="Satellite and LTE Communication"/>
    <s v="Brazil"/>
    <d v="2021-05-01T00:00:00"/>
    <d v="2021-05-01T00:00:00"/>
    <s v="USD"/>
    <n v="27996"/>
    <n v="27996"/>
    <s v="USD"/>
    <n v="27996"/>
    <n v="27996"/>
    <b v="1"/>
    <m/>
  </r>
  <r>
    <b v="1"/>
    <x v="0"/>
    <x v="0"/>
    <x v="2"/>
    <x v="0"/>
    <x v="1"/>
    <x v="57"/>
    <s v="BBG00VSZG6M8"/>
    <x v="26"/>
    <s v="ddc074cc122446bc92e5b6929179d0e2"/>
    <s v="Rumo 2028"/>
    <x v="1"/>
    <x v="6"/>
    <s v="Vehicle infrastructure"/>
    <s v="Satellite and LTE Communication"/>
    <s v="Brazil"/>
    <d v="2021-04-01T00:00:00"/>
    <d v="2021-04-01T00:00:00"/>
    <s v="USD"/>
    <n v="9567"/>
    <n v="9567"/>
    <s v="USD"/>
    <n v="9567"/>
    <n v="9567"/>
    <b v="1"/>
    <m/>
  </r>
  <r>
    <b v="1"/>
    <x v="0"/>
    <x v="0"/>
    <x v="2"/>
    <x v="0"/>
    <x v="1"/>
    <x v="57"/>
    <s v="BBG00VSZG6M8"/>
    <x v="26"/>
    <s v="ddc074cc122446bc92e5b6929179d0e2"/>
    <s v="Rumo 2028"/>
    <x v="1"/>
    <x v="6"/>
    <s v="Vehicle infrastructure"/>
    <s v="Satellite and LTE Communication"/>
    <s v="Brazil"/>
    <d v="2021-03-01T00:00:00"/>
    <d v="2021-03-01T00:00:00"/>
    <s v="USD"/>
    <n v="42423"/>
    <n v="42423"/>
    <s v="USD"/>
    <n v="42423"/>
    <n v="42423"/>
    <b v="1"/>
    <m/>
  </r>
  <r>
    <b v="1"/>
    <x v="0"/>
    <x v="0"/>
    <x v="2"/>
    <x v="0"/>
    <x v="1"/>
    <x v="57"/>
    <s v="BBG00VSZG6M8"/>
    <x v="26"/>
    <s v="ddc074cc122446bc92e5b6929179d0e2"/>
    <s v="Rumo 2028"/>
    <x v="1"/>
    <x v="6"/>
    <s v="Vehicle infrastructure"/>
    <s v="Satellite and LTE Communication"/>
    <s v="Brazil"/>
    <d v="2021-02-01T00:00:00"/>
    <d v="2021-02-01T00:00:00"/>
    <s v="USD"/>
    <n v="88448"/>
    <n v="88448"/>
    <s v="USD"/>
    <n v="88448"/>
    <n v="88448"/>
    <b v="1"/>
    <m/>
  </r>
  <r>
    <b v="1"/>
    <x v="0"/>
    <x v="0"/>
    <x v="2"/>
    <x v="0"/>
    <x v="1"/>
    <x v="57"/>
    <s v="BBG00VSZG6M8"/>
    <x v="26"/>
    <s v="ddc074cc122446bc92e5b6929179d0e2"/>
    <s v="Rumo 2028"/>
    <x v="1"/>
    <x v="6"/>
    <s v="Vehicle infrastructure"/>
    <s v="Satellite and LTE Communication"/>
    <s v="Brazil"/>
    <d v="2021-01-01T00:00:00"/>
    <d v="2021-01-01T00:00:00"/>
    <s v="USD"/>
    <n v="47724"/>
    <n v="47724"/>
    <s v="USD"/>
    <n v="47724"/>
    <n v="47724"/>
    <b v="1"/>
    <m/>
  </r>
  <r>
    <b v="1"/>
    <x v="0"/>
    <x v="0"/>
    <x v="2"/>
    <x v="0"/>
    <x v="1"/>
    <x v="57"/>
    <s v="BBG00VSZG6M8"/>
    <x v="26"/>
    <s v="ddc074cc122446bc92e5b6929179d0e2"/>
    <s v="Rumo 2028"/>
    <x v="1"/>
    <x v="6"/>
    <s v="Vehicle infrastructure"/>
    <s v="Satellite and LTE Communication"/>
    <s v="Brazil"/>
    <d v="2020-12-01T00:00:00"/>
    <d v="2020-12-01T00:00:00"/>
    <s v="USD"/>
    <n v="336212"/>
    <n v="336212"/>
    <s v="USD"/>
    <n v="336212"/>
    <n v="336212"/>
    <b v="1"/>
    <m/>
  </r>
  <r>
    <b v="1"/>
    <x v="0"/>
    <x v="0"/>
    <x v="2"/>
    <x v="0"/>
    <x v="1"/>
    <x v="57"/>
    <s v="BBG00VSZG6M8"/>
    <x v="26"/>
    <s v="ddc074cc122446bc92e5b6929179d0e2"/>
    <s v="Rumo 2028"/>
    <x v="1"/>
    <x v="6"/>
    <s v="Vehicle infrastructure"/>
    <s v="Satellite and LTE Communication"/>
    <s v="Brazil"/>
    <d v="2020-11-01T00:00:00"/>
    <d v="2020-11-01T00:00:00"/>
    <s v="USD"/>
    <n v="192842"/>
    <n v="192842"/>
    <s v="USD"/>
    <n v="192842"/>
    <n v="192842"/>
    <b v="1"/>
    <m/>
  </r>
  <r>
    <b v="1"/>
    <x v="0"/>
    <x v="0"/>
    <x v="2"/>
    <x v="0"/>
    <x v="1"/>
    <x v="57"/>
    <s v="BBG00VSZG6M8"/>
    <x v="26"/>
    <s v="ddc074cc122446bc92e5b6929179d0e2"/>
    <s v="Rumo 2028"/>
    <x v="1"/>
    <x v="6"/>
    <s v="Vehicle infrastructure"/>
    <s v="Satellite and LTE Communication"/>
    <s v="Brazil"/>
    <d v="2020-10-01T00:00:00"/>
    <d v="2020-10-01T00:00:00"/>
    <s v="USD"/>
    <n v="138237"/>
    <n v="138237"/>
    <s v="USD"/>
    <n v="138237"/>
    <n v="138237"/>
    <b v="1"/>
    <m/>
  </r>
  <r>
    <b v="1"/>
    <x v="0"/>
    <x v="0"/>
    <x v="2"/>
    <x v="0"/>
    <x v="1"/>
    <x v="57"/>
    <s v="BBG00VSZG6M8"/>
    <x v="26"/>
    <s v="ddc074cc122446bc92e5b6929179d0e2"/>
    <s v="Rumo 2028"/>
    <x v="1"/>
    <x v="6"/>
    <s v="Vehicle infrastructure"/>
    <s v="Satellite and LTE Communication"/>
    <s v="Brazil"/>
    <d v="2020-09-01T00:00:00"/>
    <d v="2020-09-01T00:00:00"/>
    <s v="USD"/>
    <n v="92003"/>
    <n v="92003"/>
    <s v="USD"/>
    <n v="92003"/>
    <n v="92003"/>
    <b v="1"/>
    <m/>
  </r>
  <r>
    <b v="1"/>
    <x v="0"/>
    <x v="0"/>
    <x v="2"/>
    <x v="0"/>
    <x v="1"/>
    <x v="57"/>
    <s v="BBG00VSZG6M8"/>
    <x v="26"/>
    <s v="ddc074cc122446bc92e5b6929179d0e2"/>
    <s v="Rumo 2028"/>
    <x v="1"/>
    <x v="6"/>
    <s v="Vehicle infrastructure"/>
    <s v="Satellite and LTE Communication"/>
    <s v="Brazil"/>
    <d v="2020-08-01T00:00:00"/>
    <d v="2020-08-01T00:00:00"/>
    <s v="USD"/>
    <n v="210117"/>
    <n v="210117"/>
    <s v="USD"/>
    <n v="210117"/>
    <n v="210117"/>
    <b v="1"/>
    <m/>
  </r>
  <r>
    <b v="1"/>
    <x v="0"/>
    <x v="0"/>
    <x v="2"/>
    <x v="0"/>
    <x v="1"/>
    <x v="57"/>
    <s v="BBG00VSZG6M8"/>
    <x v="26"/>
    <s v="ddc074cc122446bc92e5b6929179d0e2"/>
    <s v="Rumo 2028"/>
    <x v="1"/>
    <x v="6"/>
    <s v="Vehicle infrastructure"/>
    <s v="Satellite and LTE Communication"/>
    <s v="Brazil"/>
    <d v="2020-07-01T00:00:00"/>
    <d v="2020-07-01T00:00:00"/>
    <s v="USD"/>
    <n v="104448"/>
    <n v="104448"/>
    <s v="USD"/>
    <n v="104448"/>
    <n v="104448"/>
    <b v="1"/>
    <m/>
  </r>
  <r>
    <b v="1"/>
    <x v="0"/>
    <x v="0"/>
    <x v="2"/>
    <x v="0"/>
    <x v="1"/>
    <x v="57"/>
    <s v="BBG00VSZG6M8"/>
    <x v="26"/>
    <s v="ddc074cc122446bc92e5b6929179d0e2"/>
    <s v="Rumo 2028"/>
    <x v="0"/>
    <x v="5"/>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0"/>
    <x v="5"/>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0"/>
    <x v="5"/>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0"/>
    <x v="5"/>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0"/>
    <x v="5"/>
    <s v="Rail"/>
    <s v="Railway Modernization - Rio Preto x Taquaritinga"/>
    <s v="Brazil"/>
    <d v="2021-02-01T00:00:00"/>
    <d v="2021-02-01T00:00:00"/>
    <s v="USD"/>
    <n v="5020"/>
    <n v="5020"/>
    <s v="USD"/>
    <n v="5020"/>
    <n v="5020"/>
    <b v="1"/>
    <m/>
  </r>
  <r>
    <b v="1"/>
    <x v="0"/>
    <x v="0"/>
    <x v="2"/>
    <x v="0"/>
    <x v="1"/>
    <x v="57"/>
    <s v="BBG00VSZG6M8"/>
    <x v="26"/>
    <s v="ddc074cc122446bc92e5b6929179d0e2"/>
    <s v="Rumo 2028"/>
    <x v="1"/>
    <x v="6"/>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1"/>
    <x v="6"/>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1"/>
    <x v="6"/>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1"/>
    <x v="6"/>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1"/>
    <x v="6"/>
    <s v="Rail"/>
    <s v="Railway Modernization - Rio Preto x Taquaritinga"/>
    <s v="Brazil"/>
    <d v="2021-02-01T00:00:00"/>
    <d v="2021-02-01T00:00:00"/>
    <s v="USD"/>
    <n v="5020"/>
    <n v="5020"/>
    <s v="USD"/>
    <n v="5020"/>
    <n v="5020"/>
    <b v="1"/>
    <m/>
  </r>
  <r>
    <b v="1"/>
    <x v="0"/>
    <x v="0"/>
    <x v="2"/>
    <x v="0"/>
    <x v="1"/>
    <x v="57"/>
    <s v="BBG00VSZG6M8"/>
    <x v="26"/>
    <s v="ddc074cc122446bc92e5b6929179d0e2"/>
    <s v="Rumo 2028"/>
    <x v="0"/>
    <x v="5"/>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0"/>
    <x v="5"/>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0"/>
    <x v="5"/>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0"/>
    <x v="5"/>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0"/>
    <x v="5"/>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1"/>
    <x v="6"/>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1"/>
    <x v="6"/>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1"/>
    <x v="6"/>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1"/>
    <x v="6"/>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1"/>
    <x v="6"/>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0"/>
    <x v="5"/>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0"/>
    <x v="5"/>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0"/>
    <x v="5"/>
    <s v="Rail"/>
    <s v="Adequation of Itirapina-Pederneiras Branch Line"/>
    <s v="Brazil"/>
    <d v="2021-04-01T00:00:00"/>
    <d v="2021-04-01T00:00:00"/>
    <s v="USD"/>
    <n v="5060"/>
    <n v="5060"/>
    <s v="USD"/>
    <n v="5060"/>
    <n v="5060"/>
    <b v="1"/>
    <m/>
  </r>
  <r>
    <b v="1"/>
    <x v="0"/>
    <x v="0"/>
    <x v="2"/>
    <x v="0"/>
    <x v="1"/>
    <x v="57"/>
    <s v="BBG00VSZG6M8"/>
    <x v="26"/>
    <s v="ddc074cc122446bc92e5b6929179d0e2"/>
    <s v="Rumo 2028"/>
    <x v="0"/>
    <x v="5"/>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0"/>
    <x v="5"/>
    <s v="Rail"/>
    <s v="Adequation of Itirapina-Pederneiras Branch Line"/>
    <s v="Brazil"/>
    <d v="2021-02-01T00:00:00"/>
    <d v="2021-02-01T00:00:00"/>
    <s v="USD"/>
    <n v="75"/>
    <n v="75"/>
    <s v="USD"/>
    <n v="75"/>
    <n v="75"/>
    <b v="1"/>
    <m/>
  </r>
  <r>
    <b v="1"/>
    <x v="0"/>
    <x v="0"/>
    <x v="2"/>
    <x v="0"/>
    <x v="1"/>
    <x v="57"/>
    <s v="BBG00VSZG6M8"/>
    <x v="26"/>
    <s v="ddc074cc122446bc92e5b6929179d0e2"/>
    <s v="Rumo 2028"/>
    <x v="0"/>
    <x v="5"/>
    <s v="Rail"/>
    <s v="Adequation of Itirapina-Pederneiras Branch Line"/>
    <s v="Brazil"/>
    <d v="2021-01-01T00:00:00"/>
    <d v="2021-01-01T00:00:00"/>
    <s v="USD"/>
    <n v="89"/>
    <n v="89"/>
    <s v="USD"/>
    <n v="89"/>
    <n v="89"/>
    <b v="1"/>
    <m/>
  </r>
  <r>
    <b v="1"/>
    <x v="0"/>
    <x v="0"/>
    <x v="2"/>
    <x v="0"/>
    <x v="1"/>
    <x v="57"/>
    <s v="BBG00VSZG6M8"/>
    <x v="26"/>
    <s v="ddc074cc122446bc92e5b6929179d0e2"/>
    <s v="Rumo 2028"/>
    <x v="0"/>
    <x v="5"/>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0"/>
    <x v="5"/>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0"/>
    <x v="5"/>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0"/>
    <x v="5"/>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0"/>
    <x v="5"/>
    <s v="Rail"/>
    <s v="Adequation of Itirapina-Pederneiras Branch Line"/>
    <s v="Brazil"/>
    <d v="2020-08-01T00:00:00"/>
    <d v="2020-08-01T00:00:00"/>
    <s v="USD"/>
    <n v="7031"/>
    <n v="7031"/>
    <s v="USD"/>
    <n v="7031"/>
    <n v="7031"/>
    <b v="1"/>
    <m/>
  </r>
  <r>
    <b v="1"/>
    <x v="0"/>
    <x v="0"/>
    <x v="2"/>
    <x v="0"/>
    <x v="1"/>
    <x v="57"/>
    <s v="BBG00VSZG6M8"/>
    <x v="26"/>
    <s v="ddc074cc122446bc92e5b6929179d0e2"/>
    <s v="Rumo 2028"/>
    <x v="1"/>
    <x v="6"/>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1"/>
    <x v="6"/>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1"/>
    <x v="6"/>
    <s v="Rail"/>
    <s v="Adequation of Itirapina-Pederneiras Branch Line"/>
    <s v="Brazil"/>
    <d v="2021-04-01T00:00:00"/>
    <d v="2021-04-01T00:00:00"/>
    <s v="USD"/>
    <n v="5060"/>
    <n v="5060"/>
    <s v="USD"/>
    <n v="5060"/>
    <n v="5060"/>
    <b v="1"/>
    <m/>
  </r>
  <r>
    <b v="1"/>
    <x v="0"/>
    <x v="0"/>
    <x v="2"/>
    <x v="0"/>
    <x v="1"/>
    <x v="57"/>
    <s v="BBG00VSZG6M8"/>
    <x v="26"/>
    <s v="ddc074cc122446bc92e5b6929179d0e2"/>
    <s v="Rumo 2028"/>
    <x v="1"/>
    <x v="6"/>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1"/>
    <x v="6"/>
    <s v="Rail"/>
    <s v="Adequation of Itirapina-Pederneiras Branch Line"/>
    <s v="Brazil"/>
    <d v="2021-02-01T00:00:00"/>
    <d v="2021-02-01T00:00:00"/>
    <s v="USD"/>
    <n v="75"/>
    <n v="75"/>
    <s v="USD"/>
    <n v="75"/>
    <n v="75"/>
    <b v="1"/>
    <m/>
  </r>
  <r>
    <b v="1"/>
    <x v="0"/>
    <x v="0"/>
    <x v="2"/>
    <x v="0"/>
    <x v="1"/>
    <x v="57"/>
    <s v="BBG00VSZG6M8"/>
    <x v="26"/>
    <s v="ddc074cc122446bc92e5b6929179d0e2"/>
    <s v="Rumo 2028"/>
    <x v="1"/>
    <x v="6"/>
    <s v="Rail"/>
    <s v="Adequation of Itirapina-Pederneiras Branch Line"/>
    <s v="Brazil"/>
    <d v="2021-01-01T00:00:00"/>
    <d v="2021-01-01T00:00:00"/>
    <s v="USD"/>
    <n v="89"/>
    <n v="89"/>
    <s v="USD"/>
    <n v="89"/>
    <n v="89"/>
    <b v="1"/>
    <m/>
  </r>
  <r>
    <b v="1"/>
    <x v="0"/>
    <x v="0"/>
    <x v="2"/>
    <x v="0"/>
    <x v="1"/>
    <x v="57"/>
    <s v="BBG00VSZG6M8"/>
    <x v="26"/>
    <s v="ddc074cc122446bc92e5b6929179d0e2"/>
    <s v="Rumo 2028"/>
    <x v="1"/>
    <x v="6"/>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1"/>
    <x v="6"/>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1"/>
    <x v="6"/>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1"/>
    <x v="6"/>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1"/>
    <x v="6"/>
    <s v="Rail"/>
    <s v="Adequation of Itirapina-Pederneiras Branch Line"/>
    <s v="Brazil"/>
    <d v="2020-08-01T00:00:00"/>
    <d v="2020-08-01T00:00:00"/>
    <s v="USD"/>
    <n v="7031"/>
    <n v="7031"/>
    <s v="USD"/>
    <n v="7031"/>
    <n v="7031"/>
    <b v="1"/>
    <m/>
  </r>
  <r>
    <b v="1"/>
    <x v="0"/>
    <x v="0"/>
    <x v="2"/>
    <x v="0"/>
    <x v="1"/>
    <x v="57"/>
    <s v="BBG00VSZG6M8"/>
    <x v="26"/>
    <s v="ddc074cc122446bc92e5b6929179d0e2"/>
    <s v="Rumo 2028"/>
    <x v="2"/>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2"/>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2"/>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2"/>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2"/>
    <x v="9"/>
    <s v="Unspecified"/>
    <s v="Adequation of Itirapina-Pederneiras Branch Line"/>
    <s v="Brazil"/>
    <d v="2021-02-01T00:00:00"/>
    <d v="2021-02-01T00:00:00"/>
    <s v="USD"/>
    <n v="75"/>
    <n v="75"/>
    <s v="USD"/>
    <n v="75"/>
    <n v="75"/>
    <b v="1"/>
    <m/>
  </r>
  <r>
    <b v="1"/>
    <x v="0"/>
    <x v="0"/>
    <x v="2"/>
    <x v="0"/>
    <x v="1"/>
    <x v="57"/>
    <s v="BBG00VSZG6M8"/>
    <x v="26"/>
    <s v="ddc074cc122446bc92e5b6929179d0e2"/>
    <s v="Rumo 2028"/>
    <x v="2"/>
    <x v="9"/>
    <s v="Unspecified"/>
    <s v="Adequation of Itirapina-Pederneiras Branch Line"/>
    <s v="Brazil"/>
    <d v="2021-01-01T00:00:00"/>
    <d v="2021-01-01T00:00:00"/>
    <s v="USD"/>
    <n v="89"/>
    <n v="89"/>
    <s v="USD"/>
    <n v="89"/>
    <n v="89"/>
    <b v="1"/>
    <m/>
  </r>
  <r>
    <b v="1"/>
    <x v="0"/>
    <x v="0"/>
    <x v="2"/>
    <x v="0"/>
    <x v="1"/>
    <x v="57"/>
    <s v="BBG00VSZG6M8"/>
    <x v="26"/>
    <s v="ddc074cc122446bc92e5b6929179d0e2"/>
    <s v="Rumo 2028"/>
    <x v="2"/>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2"/>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2"/>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2"/>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2"/>
    <x v="9"/>
    <s v="Unspecified"/>
    <s v="Adequation of Itirapina-Pederneiras Branch Line"/>
    <s v="Brazil"/>
    <d v="2020-08-01T00:00:00"/>
    <d v="2020-08-01T00:00:00"/>
    <s v="USD"/>
    <n v="7031"/>
    <n v="7031"/>
    <s v="USD"/>
    <n v="7031"/>
    <n v="7031"/>
    <b v="1"/>
    <m/>
  </r>
  <r>
    <b v="1"/>
    <x v="0"/>
    <x v="0"/>
    <x v="2"/>
    <x v="0"/>
    <x v="1"/>
    <x v="57"/>
    <s v="BBG00VSZG6M8"/>
    <x v="26"/>
    <s v="ddc074cc122446bc92e5b6929179d0e2"/>
    <s v="Rumo 2028"/>
    <x v="3"/>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3"/>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3"/>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3"/>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3"/>
    <x v="9"/>
    <s v="Unspecified"/>
    <s v="Adequation of Itirapina-Pederneiras Branch Line"/>
    <s v="Brazil"/>
    <d v="2021-02-01T00:00:00"/>
    <d v="2021-02-01T00:00:00"/>
    <s v="USD"/>
    <n v="75"/>
    <n v="75"/>
    <s v="USD"/>
    <n v="75"/>
    <n v="75"/>
    <b v="1"/>
    <m/>
  </r>
  <r>
    <b v="1"/>
    <x v="0"/>
    <x v="0"/>
    <x v="2"/>
    <x v="0"/>
    <x v="1"/>
    <x v="57"/>
    <s v="BBG00VSZG6M8"/>
    <x v="26"/>
    <s v="ddc074cc122446bc92e5b6929179d0e2"/>
    <s v="Rumo 2028"/>
    <x v="3"/>
    <x v="9"/>
    <s v="Unspecified"/>
    <s v="Adequation of Itirapina-Pederneiras Branch Line"/>
    <s v="Brazil"/>
    <d v="2021-01-01T00:00:00"/>
    <d v="2021-01-01T00:00:00"/>
    <s v="USD"/>
    <n v="89"/>
    <n v="89"/>
    <s v="USD"/>
    <n v="89"/>
    <n v="89"/>
    <b v="1"/>
    <m/>
  </r>
  <r>
    <b v="1"/>
    <x v="0"/>
    <x v="0"/>
    <x v="2"/>
    <x v="0"/>
    <x v="1"/>
    <x v="57"/>
    <s v="BBG00VSZG6M8"/>
    <x v="26"/>
    <s v="ddc074cc122446bc92e5b6929179d0e2"/>
    <s v="Rumo 2028"/>
    <x v="3"/>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3"/>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3"/>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3"/>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3"/>
    <x v="9"/>
    <s v="Unspecified"/>
    <s v="Adequation of Itirapina-Pederneiras Branch Line"/>
    <s v="Brazil"/>
    <d v="2020-08-01T00:00:00"/>
    <d v="2020-08-01T00:00:00"/>
    <s v="USD"/>
    <n v="7031"/>
    <n v="7031"/>
    <s v="USD"/>
    <n v="7031"/>
    <n v="7031"/>
    <b v="1"/>
    <m/>
  </r>
  <r>
    <b v="1"/>
    <x v="2"/>
    <x v="0"/>
    <x v="0"/>
    <x v="0"/>
    <x v="1"/>
    <x v="58"/>
    <s v="BBG00ZVN1906"/>
    <x v="0"/>
    <s v="5e83524c4bff46698146fad15dedc311"/>
    <s v="E1 ENERGIA GREEN BOND"/>
    <x v="0"/>
    <x v="0"/>
    <s v="Solar"/>
    <s v="UFV E2 - AL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AL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BA (COELBA) - USINA 1"/>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1"/>
    <s v="Brazil"/>
    <d v="2021-03-15T00:00:00"/>
    <d v="2021-03-15T00:00:00"/>
    <s v="BRL"/>
    <n v="4047462.14"/>
    <n v="4047462.14"/>
    <s v="BRL"/>
    <n v="4047462.14"/>
    <n v="718960"/>
    <b v="0"/>
    <n v="1"/>
  </r>
  <r>
    <b v="1"/>
    <x v="2"/>
    <x v="0"/>
    <x v="0"/>
    <x v="0"/>
    <x v="1"/>
    <x v="58"/>
    <s v="BBG00ZVN1906"/>
    <x v="0"/>
    <s v="5e83524c4bff46698146fad15dedc311"/>
    <s v="E1 ENERGIA GREEN BOND"/>
    <x v="0"/>
    <x v="0"/>
    <s v="Solar"/>
    <s v="UFV E2 - BA (COELBA) - USINA 2"/>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2"/>
    <s v="Brazil"/>
    <d v="2021-03-15T00:00:00"/>
    <d v="2021-03-15T00:00:00"/>
    <s v="BRL"/>
    <n v="4047462.14"/>
    <n v="4047462.14"/>
    <s v="BRL"/>
    <n v="4047462.14"/>
    <n v="718960"/>
    <b v="0"/>
    <n v="1"/>
  </r>
  <r>
    <b v="1"/>
    <x v="2"/>
    <x v="0"/>
    <x v="0"/>
    <x v="0"/>
    <x v="1"/>
    <x v="58"/>
    <s v="BBG00ZVN1906"/>
    <x v="0"/>
    <s v="5e83524c4bff46698146fad15dedc311"/>
    <s v="E1 ENERGIA GREEN BOND"/>
    <x v="0"/>
    <x v="0"/>
    <s v="Solar"/>
    <s v="UFV E2 - CE (ENEL CE)"/>
    <s v="Brazil"/>
    <d v="2021-03-15T00:00:00"/>
    <d v="2021-03-15T00:00:00"/>
    <s v="BRL"/>
    <n v="3642715.93"/>
    <n v="3642715.93"/>
    <s v="BRL"/>
    <n v="3642715.93"/>
    <n v="647064"/>
    <b v="0"/>
    <n v="1"/>
  </r>
  <r>
    <b v="1"/>
    <x v="2"/>
    <x v="0"/>
    <x v="0"/>
    <x v="0"/>
    <x v="1"/>
    <x v="58"/>
    <s v="BBG00ZVN1906"/>
    <x v="0"/>
    <s v="5e83524c4bff46698146fad15dedc311"/>
    <s v="E1 ENERGIA GREEN BOND"/>
    <x v="1"/>
    <x v="1"/>
    <s v="Generation"/>
    <s v="UFV E2 - CE (ENEL CE)"/>
    <s v="Brazil"/>
    <d v="2021-03-15T00:00:00"/>
    <d v="2021-03-15T00:00:00"/>
    <s v="BRL"/>
    <n v="3642715.93"/>
    <n v="3642715.93"/>
    <s v="BRL"/>
    <n v="3642715.93"/>
    <n v="647064"/>
    <b v="0"/>
    <n v="1"/>
  </r>
  <r>
    <b v="1"/>
    <x v="2"/>
    <x v="0"/>
    <x v="0"/>
    <x v="0"/>
    <x v="1"/>
    <x v="58"/>
    <s v="BBG00ZVN1906"/>
    <x v="0"/>
    <s v="5e83524c4bff46698146fad15dedc311"/>
    <s v="E1 ENERGIA GREEN BOND"/>
    <x v="0"/>
    <x v="0"/>
    <s v="Solar"/>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1"/>
    <x v="1"/>
    <s v="Generation"/>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0"/>
    <x v="0"/>
    <s v="Solar"/>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1"/>
    <x v="1"/>
    <s v="Generation"/>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0"/>
    <x v="0"/>
    <s v="Solar"/>
    <s v="UFV E2 - PB (Energisa PB)"/>
    <s v="Brazil"/>
    <d v="2021-03-15T00:00:00"/>
    <d v="2021-03-15T00:00:00"/>
    <s v="BRL"/>
    <n v="1245372.97"/>
    <n v="1245372.97"/>
    <s v="BRL"/>
    <n v="1245372.97"/>
    <n v="221218"/>
    <b v="0"/>
    <n v="1"/>
  </r>
  <r>
    <b v="1"/>
    <x v="2"/>
    <x v="0"/>
    <x v="0"/>
    <x v="0"/>
    <x v="1"/>
    <x v="58"/>
    <s v="BBG00ZVN1906"/>
    <x v="0"/>
    <s v="5e83524c4bff46698146fad15dedc311"/>
    <s v="E1 ENERGIA GREEN BOND"/>
    <x v="1"/>
    <x v="1"/>
    <s v="Generation"/>
    <s v="UFV E2 - PB (Energisa PB)"/>
    <s v="Brazil"/>
    <d v="2021-03-15T00:00:00"/>
    <d v="2021-03-15T00:00:00"/>
    <s v="BRL"/>
    <n v="1245372.97"/>
    <n v="1245372.97"/>
    <s v="BRL"/>
    <n v="1245372.97"/>
    <n v="221218"/>
    <b v="0"/>
    <n v="1"/>
  </r>
  <r>
    <b v="1"/>
    <x v="2"/>
    <x v="0"/>
    <x v="0"/>
    <x v="0"/>
    <x v="1"/>
    <x v="58"/>
    <s v="BBG00ZVN1906"/>
    <x v="0"/>
    <s v="5e83524c4bff46698146fad15dedc311"/>
    <s v="E1 ENERGIA GREEN BOND"/>
    <x v="0"/>
    <x v="0"/>
    <s v="Solar"/>
    <s v="UFV E2 - PE (CELPE) - USINA 1"/>
    <s v="Brazil"/>
    <d v="2021-03-15T00:00:00"/>
    <d v="2021-03-15T00:00:00"/>
    <s v="BRL"/>
    <n v="2615283.23"/>
    <n v="2615283.23"/>
    <s v="BRL"/>
    <n v="2615283.23"/>
    <n v="464559"/>
    <b v="0"/>
    <n v="1"/>
  </r>
  <r>
    <b v="1"/>
    <x v="2"/>
    <x v="0"/>
    <x v="0"/>
    <x v="0"/>
    <x v="1"/>
    <x v="58"/>
    <s v="BBG00ZVN1906"/>
    <x v="0"/>
    <s v="5e83524c4bff46698146fad15dedc311"/>
    <s v="E1 ENERGIA GREEN BOND"/>
    <x v="1"/>
    <x v="1"/>
    <s v="Generation"/>
    <s v="UFV E2 - PE (CELPE) - USINA 1"/>
    <s v="Brazil"/>
    <d v="2021-03-15T00:00:00"/>
    <d v="2021-03-15T00:00:00"/>
    <s v="BRL"/>
    <n v="2615283.23"/>
    <n v="2615283.23"/>
    <s v="BRL"/>
    <n v="2615283.23"/>
    <n v="464559"/>
    <b v="0"/>
    <n v="1"/>
  </r>
  <r>
    <b v="1"/>
    <x v="2"/>
    <x v="0"/>
    <x v="0"/>
    <x v="0"/>
    <x v="1"/>
    <x v="58"/>
    <s v="BBG00ZVN1906"/>
    <x v="0"/>
    <s v="5e83524c4bff46698146fad15dedc311"/>
    <s v="E1 ENERGIA GREEN BOND"/>
    <x v="0"/>
    <x v="0"/>
    <s v="Solar"/>
    <s v="UFV E2 - PE (CELPE) - USINA 2"/>
    <s v="Brazil"/>
    <d v="2021-03-15T00:00:00"/>
    <d v="2021-03-15T00:00:00"/>
    <s v="BRL"/>
    <n v="3237969.71"/>
    <n v="3237969.71"/>
    <s v="BRL"/>
    <n v="3237969.71"/>
    <n v="575168"/>
    <b v="0"/>
    <n v="1"/>
  </r>
  <r>
    <b v="1"/>
    <x v="2"/>
    <x v="0"/>
    <x v="0"/>
    <x v="0"/>
    <x v="1"/>
    <x v="58"/>
    <s v="BBG00ZVN1906"/>
    <x v="0"/>
    <s v="5e83524c4bff46698146fad15dedc311"/>
    <s v="E1 ENERGIA GREEN BOND"/>
    <x v="1"/>
    <x v="1"/>
    <s v="Generation"/>
    <s v="UFV E2 - PE (CELPE) - USINA 2"/>
    <s v="Brazil"/>
    <d v="2021-03-15T00:00:00"/>
    <d v="2021-03-15T00:00:00"/>
    <s v="BRL"/>
    <n v="3237969.71"/>
    <n v="3237969.71"/>
    <s v="BRL"/>
    <n v="3237969.71"/>
    <n v="575168"/>
    <b v="0"/>
    <n v="1"/>
  </r>
  <r>
    <b v="1"/>
    <x v="2"/>
    <x v="0"/>
    <x v="0"/>
    <x v="0"/>
    <x v="1"/>
    <x v="58"/>
    <s v="BBG00ZVN1906"/>
    <x v="0"/>
    <s v="5e83524c4bff46698146fad15dedc311"/>
    <s v="E1 ENERGIA GREEN BOND"/>
    <x v="0"/>
    <x v="0"/>
    <s v="Solar"/>
    <s v="UFV E2- PI (CEPISA)"/>
    <s v="Brazil"/>
    <d v="2021-03-15T00:00:00"/>
    <d v="2021-03-15T00:00:00"/>
    <s v="BRL"/>
    <n v="996298.37"/>
    <n v="996298.37"/>
    <s v="BRL"/>
    <n v="996298.37"/>
    <n v="176974"/>
    <b v="0"/>
    <n v="1"/>
  </r>
  <r>
    <b v="1"/>
    <x v="2"/>
    <x v="0"/>
    <x v="0"/>
    <x v="0"/>
    <x v="1"/>
    <x v="58"/>
    <s v="BBG00ZVN1906"/>
    <x v="0"/>
    <s v="5e83524c4bff46698146fad15dedc311"/>
    <s v="E1 ENERGIA GREEN BOND"/>
    <x v="1"/>
    <x v="1"/>
    <s v="Generation"/>
    <s v="UFV E2- PI (CEPISA)"/>
    <s v="Brazil"/>
    <d v="2021-03-15T00:00:00"/>
    <d v="2021-03-15T00:00:00"/>
    <s v="BRL"/>
    <n v="996298.37"/>
    <n v="996298.37"/>
    <s v="BRL"/>
    <n v="996298.37"/>
    <n v="176974"/>
    <b v="0"/>
    <n v="1"/>
  </r>
  <r>
    <b v="1"/>
    <x v="2"/>
    <x v="0"/>
    <x v="0"/>
    <x v="0"/>
    <x v="1"/>
    <x v="58"/>
    <s v="BBG00ZVN1906"/>
    <x v="0"/>
    <s v="5e83524c4bff46698146fad15dedc311"/>
    <s v="E1 ENERGIA GREEN BOND"/>
    <x v="0"/>
    <x v="0"/>
    <s v="Solar"/>
    <s v="UFV E2 - RN (COSERN)"/>
    <s v="Brazil"/>
    <d v="2021-03-15T00:00:00"/>
    <d v="2021-03-15T00:00:00"/>
    <s v="BRL"/>
    <n v="1120835.67"/>
    <n v="1120835.67"/>
    <s v="BRL"/>
    <n v="1120835.67"/>
    <n v="199096"/>
    <b v="0"/>
    <n v="1"/>
  </r>
  <r>
    <b v="1"/>
    <x v="2"/>
    <x v="0"/>
    <x v="0"/>
    <x v="0"/>
    <x v="1"/>
    <x v="58"/>
    <s v="BBG00ZVN1906"/>
    <x v="0"/>
    <s v="5e83524c4bff46698146fad15dedc311"/>
    <s v="E1 ENERGIA GREEN BOND"/>
    <x v="1"/>
    <x v="1"/>
    <s v="Generation"/>
    <s v="UFV E2 - RN (COSERN)"/>
    <s v="Brazil"/>
    <d v="2021-03-15T00:00:00"/>
    <d v="2021-03-15T00:00:00"/>
    <s v="BRL"/>
    <n v="1120835.67"/>
    <n v="1120835.67"/>
    <s v="BRL"/>
    <n v="1120835.67"/>
    <n v="199096"/>
    <b v="0"/>
    <n v="1"/>
  </r>
  <r>
    <b v="1"/>
    <x v="2"/>
    <x v="0"/>
    <x v="0"/>
    <x v="0"/>
    <x v="1"/>
    <x v="58"/>
    <s v="BBG00ZVN1906"/>
    <x v="0"/>
    <s v="5e83524c4bff46698146fad15dedc311"/>
    <s v="E1 ENERGIA GREEN BOND"/>
    <x v="0"/>
    <x v="0"/>
    <s v="Solar"/>
    <s v="UFV E2 - SE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SE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TO (ETO) - USINA 1"/>
    <s v="Brazil"/>
    <d v="2021-03-15T00:00:00"/>
    <d v="2021-03-15T00:00:00"/>
    <s v="BRL"/>
    <n v="996298.37"/>
    <n v="996298.37"/>
    <s v="BRL"/>
    <n v="996298.37"/>
    <n v="176974"/>
    <b v="0"/>
    <n v="1"/>
  </r>
  <r>
    <b v="1"/>
    <x v="2"/>
    <x v="0"/>
    <x v="0"/>
    <x v="0"/>
    <x v="1"/>
    <x v="58"/>
    <s v="BBG00ZVN1906"/>
    <x v="0"/>
    <s v="5e83524c4bff46698146fad15dedc311"/>
    <s v="E1 ENERGIA GREEN BOND"/>
    <x v="1"/>
    <x v="1"/>
    <s v="Generation"/>
    <s v="UFV E2 - TO (ETO) - USINA 1"/>
    <s v="Brazil"/>
    <d v="2021-03-15T00:00:00"/>
    <d v="2021-03-15T00:00:00"/>
    <s v="BRL"/>
    <n v="996298.37"/>
    <n v="996298.37"/>
    <s v="BRL"/>
    <n v="996298.37"/>
    <n v="176974"/>
    <b v="0"/>
    <n v="1"/>
  </r>
  <r>
    <b v="1"/>
    <x v="2"/>
    <x v="0"/>
    <x v="0"/>
    <x v="0"/>
    <x v="1"/>
    <x v="58"/>
    <s v="BBG00ZVN1906"/>
    <x v="0"/>
    <s v="5e83524c4bff46698146fad15dedc311"/>
    <s v="E1 ENERGIA GREEN BOND"/>
    <x v="0"/>
    <x v="0"/>
    <s v="Solar"/>
    <s v="UFV E2 - TO (ETO) - USINA 2"/>
    <s v="Brazil"/>
    <d v="2021-03-15T00:00:00"/>
    <d v="2021-03-15T00:00:00"/>
    <s v="BRL"/>
    <n v="913273.51"/>
    <n v="913273.51"/>
    <s v="BRL"/>
    <n v="913273.51"/>
    <n v="162227"/>
    <b v="0"/>
    <n v="1"/>
  </r>
  <r>
    <b v="1"/>
    <x v="2"/>
    <x v="0"/>
    <x v="0"/>
    <x v="0"/>
    <x v="1"/>
    <x v="58"/>
    <s v="BBG00ZVN1906"/>
    <x v="0"/>
    <s v="5e83524c4bff46698146fad15dedc311"/>
    <s v="E1 ENERGIA GREEN BOND"/>
    <x v="1"/>
    <x v="1"/>
    <s v="Generation"/>
    <s v="UFV E2 - TO (ETO) - USINA 2"/>
    <s v="Brazil"/>
    <d v="2021-03-15T00:00:00"/>
    <d v="2021-03-15T00:00:00"/>
    <s v="BRL"/>
    <n v="913273.51"/>
    <n v="913273.51"/>
    <s v="BRL"/>
    <n v="913273.51"/>
    <n v="162227"/>
    <b v="0"/>
    <n v="1"/>
  </r>
  <r>
    <b v="1"/>
    <x v="2"/>
    <x v="0"/>
    <x v="0"/>
    <x v="0"/>
    <x v="1"/>
    <x v="58"/>
    <s v="BBG00ZVN1906"/>
    <x v="0"/>
    <s v="5e83524c4bff46698146fad15dedc311"/>
    <s v="E1 ENERGIA GREEN BOND"/>
    <x v="0"/>
    <x v="0"/>
    <s v="Solar"/>
    <s v="UFV E1 3 - ES (EDP ES)"/>
    <s v="Brazil"/>
    <d v="2021-03-15T00:00:00"/>
    <d v="2021-03-15T00:00:00"/>
    <s v="BRL"/>
    <n v="1494447.56"/>
    <n v="1494447.56"/>
    <s v="BRL"/>
    <n v="1494447.56"/>
    <n v="265462"/>
    <b v="0"/>
    <n v="1"/>
  </r>
  <r>
    <b v="1"/>
    <x v="2"/>
    <x v="0"/>
    <x v="0"/>
    <x v="0"/>
    <x v="1"/>
    <x v="58"/>
    <s v="BBG00ZVN1906"/>
    <x v="0"/>
    <s v="5e83524c4bff46698146fad15dedc311"/>
    <s v="E1 ENERGIA GREEN BOND"/>
    <x v="1"/>
    <x v="1"/>
    <s v="Generation"/>
    <s v="UFV E1 3 - ES (EDP ES)"/>
    <s v="Brazil"/>
    <d v="2021-03-15T00:00:00"/>
    <d v="2021-03-15T00:00:00"/>
    <s v="BRL"/>
    <n v="1494447.56"/>
    <n v="1494447.56"/>
    <s v="BRL"/>
    <n v="1494447.56"/>
    <n v="265462"/>
    <b v="0"/>
    <n v="1"/>
  </r>
  <r>
    <b v="1"/>
    <x v="2"/>
    <x v="0"/>
    <x v="0"/>
    <x v="0"/>
    <x v="1"/>
    <x v="58"/>
    <s v="BBG00ZVN1906"/>
    <x v="0"/>
    <s v="5e83524c4bff46698146fad15dedc311"/>
    <s v="E1 ENERGIA GREEN BOND"/>
    <x v="0"/>
    <x v="0"/>
    <s v="Solar"/>
    <s v="UFV E1 3 - MG (CEMIG) - USINA 1"/>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1"/>
    <s v="Brazil"/>
    <d v="2021-03-15T00:00:00"/>
    <d v="2021-03-15T00:00:00"/>
    <s v="BRL"/>
    <n v="4489358.97"/>
    <n v="4489358.97"/>
    <s v="BRL"/>
    <n v="4489358.97"/>
    <n v="797456"/>
    <b v="0"/>
    <n v="1"/>
  </r>
  <r>
    <b v="1"/>
    <x v="2"/>
    <x v="0"/>
    <x v="0"/>
    <x v="0"/>
    <x v="1"/>
    <x v="58"/>
    <s v="BBG00ZVN1906"/>
    <x v="0"/>
    <s v="5e83524c4bff46698146fad15dedc311"/>
    <s v="E1 ENERGIA GREEN BOND"/>
    <x v="0"/>
    <x v="0"/>
    <s v="Solar"/>
    <s v="UFV E1 3 - MG (CEMIG) - USINA 2"/>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2"/>
    <s v="Brazil"/>
    <d v="2021-03-15T00:00:00"/>
    <d v="2021-03-15T00:00:00"/>
    <s v="BRL"/>
    <n v="4489358.97"/>
    <n v="4489358.97"/>
    <s v="BRL"/>
    <n v="4489358.97"/>
    <n v="797456"/>
    <b v="0"/>
    <n v="1"/>
  </r>
  <r>
    <b v="1"/>
    <x v="2"/>
    <x v="0"/>
    <x v="0"/>
    <x v="0"/>
    <x v="1"/>
    <x v="58"/>
    <s v="BBG00ZVN1906"/>
    <x v="0"/>
    <s v="5e83524c4bff46698146fad15dedc311"/>
    <s v="E1 ENERGIA GREEN BOND"/>
    <x v="0"/>
    <x v="0"/>
    <s v="Solar"/>
    <s v="UFV E1 3 - PR (COPEL)"/>
    <s v="Brazil"/>
    <d v="2021-03-15T00:00:00"/>
    <d v="2021-03-15T00:00:00"/>
    <s v="BRL"/>
    <n v="2861951.31"/>
    <n v="2861951.31"/>
    <s v="BRL"/>
    <n v="2861951.31"/>
    <n v="508375"/>
    <b v="0"/>
    <n v="1"/>
  </r>
  <r>
    <b v="1"/>
    <x v="2"/>
    <x v="0"/>
    <x v="0"/>
    <x v="0"/>
    <x v="1"/>
    <x v="58"/>
    <s v="BBG00ZVN1906"/>
    <x v="0"/>
    <s v="5e83524c4bff46698146fad15dedc311"/>
    <s v="E1 ENERGIA GREEN BOND"/>
    <x v="1"/>
    <x v="1"/>
    <s v="Generation"/>
    <s v="UFV E1 3 - PR (COPEL)"/>
    <s v="Brazil"/>
    <d v="2021-03-15T00:00:00"/>
    <d v="2021-03-15T00:00:00"/>
    <s v="BRL"/>
    <n v="2861951.31"/>
    <n v="2861951.31"/>
    <s v="BRL"/>
    <n v="2861951.31"/>
    <n v="508375"/>
    <b v="0"/>
    <n v="1"/>
  </r>
  <r>
    <b v="1"/>
    <x v="2"/>
    <x v="0"/>
    <x v="0"/>
    <x v="0"/>
    <x v="1"/>
    <x v="58"/>
    <s v="BBG00ZVN1906"/>
    <x v="0"/>
    <s v="5e83524c4bff46698146fad15dedc311"/>
    <s v="E1 ENERGIA GREEN BOND"/>
    <x v="0"/>
    <x v="0"/>
    <s v="Solar"/>
    <s v="UFV E1 3 - RJ (ENEL RJ)"/>
    <s v="Brazil"/>
    <d v="2021-03-15T00:00:00"/>
    <d v="2021-03-15T00:00:00"/>
    <s v="BRL"/>
    <n v="4047462.14"/>
    <n v="4047462.14"/>
    <s v="BRL"/>
    <n v="4047462.14"/>
    <n v="718960"/>
    <b v="0"/>
    <n v="1"/>
  </r>
  <r>
    <b v="1"/>
    <x v="2"/>
    <x v="0"/>
    <x v="0"/>
    <x v="0"/>
    <x v="1"/>
    <x v="58"/>
    <s v="BBG00ZVN1906"/>
    <x v="0"/>
    <s v="5e83524c4bff46698146fad15dedc311"/>
    <s v="E1 ENERGIA GREEN BOND"/>
    <x v="1"/>
    <x v="1"/>
    <s v="Generation"/>
    <s v="UFV E1 3 - RJ (ENEL RJ)"/>
    <s v="Brazil"/>
    <d v="2021-03-15T00:00:00"/>
    <d v="2021-03-15T00:00:00"/>
    <s v="BRL"/>
    <n v="4047462.14"/>
    <n v="4047462.14"/>
    <s v="BRL"/>
    <n v="4047462.14"/>
    <n v="718960"/>
    <b v="0"/>
    <n v="1"/>
  </r>
  <r>
    <b v="1"/>
    <x v="2"/>
    <x v="0"/>
    <x v="0"/>
    <x v="0"/>
    <x v="1"/>
    <x v="58"/>
    <s v="BBG00ZVN1906"/>
    <x v="0"/>
    <s v="5e83524c4bff46698146fad15dedc311"/>
    <s v="E1 ENERGIA GREEN BOND"/>
    <x v="0"/>
    <x v="0"/>
    <s v="Solar"/>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3"/>
    <s v="Brazil"/>
    <d v="2021-03-15T00:00:00"/>
    <d v="2021-03-15T00:00:00"/>
    <s v="BRL"/>
    <n v="5767520.75"/>
    <n v="5767520.75"/>
    <s v="BRL"/>
    <n v="5767520.75"/>
    <n v="1024499"/>
    <b v="0"/>
    <n v="1"/>
  </r>
  <r>
    <b v="1"/>
    <x v="2"/>
    <x v="0"/>
    <x v="0"/>
    <x v="0"/>
    <x v="1"/>
    <x v="58"/>
    <s v="BBG00ZVN1906"/>
    <x v="0"/>
    <s v="5e83524c4bff46698146fad15dedc311"/>
    <s v="E1 ENERGIA GREEN BOND"/>
    <x v="1"/>
    <x v="1"/>
    <s v="Generation"/>
    <s v="UFV E1 3 - RJ (LIGHT) - USINA 3"/>
    <s v="Brazil"/>
    <d v="2021-03-15T00:00:00"/>
    <d v="2021-03-15T00:00:00"/>
    <s v="BRL"/>
    <n v="5767520.75"/>
    <n v="5767520.75"/>
    <s v="BRL"/>
    <n v="5767520.75"/>
    <n v="1024499"/>
    <b v="0"/>
    <n v="1"/>
  </r>
  <r>
    <b v="1"/>
    <x v="2"/>
    <x v="0"/>
    <x v="0"/>
    <x v="0"/>
    <x v="1"/>
    <x v="58"/>
    <s v="BBG00ZVN1906"/>
    <x v="0"/>
    <s v="5e83524c4bff46698146fad15dedc311"/>
    <s v="E1 ENERGIA GREEN BOND"/>
    <x v="0"/>
    <x v="0"/>
    <s v="Solar"/>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1"/>
    <x v="1"/>
    <s v="Generation"/>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0"/>
    <x v="0"/>
    <s v="Solar"/>
    <s v="UFV E1 3 - RS (RGE)"/>
    <s v="Brazil"/>
    <d v="2021-03-15T00:00:00"/>
    <d v="2021-03-15T00:00:00"/>
    <s v="BRL"/>
    <n v="2158646.48"/>
    <n v="2158646.48"/>
    <s v="BRL"/>
    <n v="2158646.48"/>
    <n v="383445"/>
    <b v="0"/>
    <n v="1"/>
  </r>
  <r>
    <b v="1"/>
    <x v="2"/>
    <x v="0"/>
    <x v="0"/>
    <x v="0"/>
    <x v="1"/>
    <x v="58"/>
    <s v="BBG00ZVN1906"/>
    <x v="0"/>
    <s v="5e83524c4bff46698146fad15dedc311"/>
    <s v="E1 ENERGIA GREEN BOND"/>
    <x v="1"/>
    <x v="1"/>
    <s v="Generation"/>
    <s v="UFV E1 3 - RS (RGE)"/>
    <s v="Brazil"/>
    <d v="2021-03-15T00:00:00"/>
    <d v="2021-03-15T00:00:00"/>
    <s v="BRL"/>
    <n v="2158646.48"/>
    <n v="2158646.48"/>
    <s v="BRL"/>
    <n v="2158646.48"/>
    <n v="383445"/>
    <b v="0"/>
    <n v="1"/>
  </r>
  <r>
    <b v="1"/>
    <x v="2"/>
    <x v="0"/>
    <x v="0"/>
    <x v="0"/>
    <x v="1"/>
    <x v="58"/>
    <s v="BBG00ZVN1906"/>
    <x v="0"/>
    <s v="5e83524c4bff46698146fad15dedc311"/>
    <s v="E1 ENERGIA GREEN BOND"/>
    <x v="0"/>
    <x v="0"/>
    <s v="Solar"/>
    <s v="UFV E1 3 - SC (CELESC)"/>
    <s v="Brazil"/>
    <d v="2021-03-15T00:00:00"/>
    <d v="2021-03-15T00:00:00"/>
    <s v="BRL"/>
    <n v="2621600.34"/>
    <n v="2621600.34"/>
    <s v="BRL"/>
    <n v="2621600.34"/>
    <n v="465681"/>
    <b v="0"/>
    <n v="1"/>
  </r>
  <r>
    <b v="1"/>
    <x v="2"/>
    <x v="0"/>
    <x v="0"/>
    <x v="0"/>
    <x v="1"/>
    <x v="58"/>
    <s v="BBG00ZVN1906"/>
    <x v="0"/>
    <s v="5e83524c4bff46698146fad15dedc311"/>
    <s v="E1 ENERGIA GREEN BOND"/>
    <x v="1"/>
    <x v="1"/>
    <s v="Generation"/>
    <s v="UFV E1 3 - SC (CELESC)"/>
    <s v="Brazil"/>
    <d v="2021-03-15T00:00:00"/>
    <d v="2021-03-15T00:00:00"/>
    <s v="BRL"/>
    <n v="2621600.34"/>
    <n v="2621600.34"/>
    <s v="BRL"/>
    <n v="2621600.34"/>
    <n v="465681"/>
    <b v="0"/>
    <n v="1"/>
  </r>
  <r>
    <b v="1"/>
    <x v="2"/>
    <x v="0"/>
    <x v="0"/>
    <x v="0"/>
    <x v="1"/>
    <x v="58"/>
    <s v="BBG00ZVN1906"/>
    <x v="0"/>
    <s v="5e83524c4bff46698146fad15dedc311"/>
    <s v="E1 ENERGIA GREEN BOND"/>
    <x v="0"/>
    <x v="0"/>
    <s v="Solar"/>
    <s v="UFV E1 3 - SP (CPFL Paulista)"/>
    <s v="Brazil"/>
    <d v="2021-03-15T00:00:00"/>
    <d v="2021-03-15T00:00:00"/>
    <s v="BRL"/>
    <n v="2335074.31"/>
    <n v="2335074.31"/>
    <s v="BRL"/>
    <n v="2335074.31"/>
    <n v="414785"/>
    <b v="0"/>
    <n v="1"/>
  </r>
  <r>
    <b v="1"/>
    <x v="2"/>
    <x v="0"/>
    <x v="0"/>
    <x v="0"/>
    <x v="1"/>
    <x v="58"/>
    <s v="BBG00ZVN1906"/>
    <x v="0"/>
    <s v="5e83524c4bff46698146fad15dedc311"/>
    <s v="E1 ENERGIA GREEN BOND"/>
    <x v="1"/>
    <x v="1"/>
    <s v="Generation"/>
    <s v="UFV E1 3 - SP (CPFL Paulista)"/>
    <s v="Brazil"/>
    <d v="2021-03-15T00:00:00"/>
    <d v="2021-03-15T00:00:00"/>
    <s v="BRL"/>
    <n v="2335074.31"/>
    <n v="2335074.31"/>
    <s v="BRL"/>
    <n v="2335074.31"/>
    <n v="414785"/>
    <b v="0"/>
    <n v="1"/>
  </r>
  <r>
    <b v="1"/>
    <x v="2"/>
    <x v="0"/>
    <x v="0"/>
    <x v="0"/>
    <x v="1"/>
    <x v="58"/>
    <s v="BBG00ZVN1906"/>
    <x v="0"/>
    <s v="5e83524c4bff46698146fad15dedc311"/>
    <s v="E1 ENERGIA GREEN BOND"/>
    <x v="0"/>
    <x v="0"/>
    <s v="Solar"/>
    <s v="UFV E1 3 - SP (ELEKTRO)"/>
    <s v="Brazil"/>
    <d v="2021-03-15T00:00:00"/>
    <d v="2021-03-15T00:00:00"/>
    <s v="BRL"/>
    <n v="1209275.2"/>
    <n v="1209275.2"/>
    <s v="BRL"/>
    <n v="1209275.2"/>
    <n v="214806"/>
    <b v="0"/>
    <n v="1"/>
  </r>
  <r>
    <b v="1"/>
    <x v="2"/>
    <x v="0"/>
    <x v="0"/>
    <x v="0"/>
    <x v="1"/>
    <x v="58"/>
    <s v="BBG00ZVN1906"/>
    <x v="0"/>
    <s v="5e83524c4bff46698146fad15dedc311"/>
    <s v="E1 ENERGIA GREEN BOND"/>
    <x v="1"/>
    <x v="1"/>
    <s v="Generation"/>
    <s v="UFV E1 3 - SP (ELEKTRO)"/>
    <s v="Brazil"/>
    <d v="2021-03-15T00:00:00"/>
    <d v="2021-03-15T00:00:00"/>
    <s v="BRL"/>
    <n v="1209275.2"/>
    <n v="1209275.2"/>
    <s v="BRL"/>
    <n v="1209275.2"/>
    <n v="214806"/>
    <b v="0"/>
    <n v="1"/>
  </r>
  <r>
    <b v="1"/>
    <x v="2"/>
    <x v="0"/>
    <x v="0"/>
    <x v="0"/>
    <x v="1"/>
    <x v="58"/>
    <s v="BBG00ZVN1906"/>
    <x v="0"/>
    <s v="5e83524c4bff46698146fad15dedc311"/>
    <s v="E1 ENERGIA GREEN BOND"/>
    <x v="0"/>
    <x v="0"/>
    <s v="Solar"/>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1"/>
    <x v="1"/>
    <s v="Generation"/>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0"/>
    <x v="0"/>
    <s v="Solar"/>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1"/>
    <x v="1"/>
    <s v="Generation"/>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0"/>
    <x v="0"/>
    <s v="Solar"/>
    <s v="UFV E1 3 - SP (ENERGISA)"/>
    <s v="Brazil"/>
    <d v="2021-03-15T00:00:00"/>
    <d v="2021-03-15T00:00:00"/>
    <s v="BRL"/>
    <n v="726467.56"/>
    <n v="726467.56"/>
    <s v="BRL"/>
    <n v="726467.56"/>
    <n v="129044"/>
    <b v="0"/>
    <n v="1"/>
  </r>
  <r>
    <b v="1"/>
    <x v="2"/>
    <x v="0"/>
    <x v="0"/>
    <x v="0"/>
    <x v="1"/>
    <x v="58"/>
    <s v="BBG00ZVN1906"/>
    <x v="0"/>
    <s v="5e83524c4bff46698146fad15dedc311"/>
    <s v="E1 ENERGIA GREEN BOND"/>
    <x v="1"/>
    <x v="1"/>
    <s v="Generation"/>
    <s v="UFV E1 3 - SP (ENERGISA)"/>
    <s v="Brazil"/>
    <d v="2021-03-15T00:00:00"/>
    <d v="2021-03-15T00:00:00"/>
    <s v="BRL"/>
    <n v="726467.56"/>
    <n v="726467.56"/>
    <s v="BRL"/>
    <n v="726467.56"/>
    <n v="129044"/>
    <b v="0"/>
    <n v="1"/>
  </r>
  <r>
    <b v="1"/>
    <x v="2"/>
    <x v="0"/>
    <x v="0"/>
    <x v="0"/>
    <x v="1"/>
    <x v="58"/>
    <s v="BBG00ZVN1906"/>
    <x v="0"/>
    <s v="5e83524c4bff46698146fad15dedc311"/>
    <s v="E1 ENERGIA GREEN BOND"/>
    <x v="0"/>
    <x v="0"/>
    <s v="Solar"/>
    <s v="UFV E1 3 - SP (EDP SP)"/>
    <s v="Brazil"/>
    <d v="2021-03-15T00:00:00"/>
    <d v="2021-03-15T00:00:00"/>
    <s v="BRL"/>
    <n v="2075621.61"/>
    <n v="2075621.61"/>
    <s v="BRL"/>
    <n v="2075621.61"/>
    <n v="368697"/>
    <b v="0"/>
    <n v="1"/>
  </r>
  <r>
    <b v="1"/>
    <x v="2"/>
    <x v="0"/>
    <x v="0"/>
    <x v="0"/>
    <x v="1"/>
    <x v="58"/>
    <s v="BBG00ZVN1906"/>
    <x v="0"/>
    <s v="5e83524c4bff46698146fad15dedc311"/>
    <s v="E1 ENERGIA GREEN BOND"/>
    <x v="1"/>
    <x v="1"/>
    <s v="Generation"/>
    <s v="UFV E1 3 - SP (EDP SP)"/>
    <s v="Brazil"/>
    <d v="2021-03-15T00:00:00"/>
    <d v="2021-03-15T00:00:00"/>
    <s v="BRL"/>
    <n v="2075621.61"/>
    <n v="2075621.61"/>
    <s v="BRL"/>
    <n v="2075621.61"/>
    <n v="368697"/>
    <b v="0"/>
    <n v="1"/>
  </r>
  <r>
    <b v="1"/>
    <x v="2"/>
    <x v="0"/>
    <x v="0"/>
    <x v="0"/>
    <x v="1"/>
    <x v="58"/>
    <s v="BBG00ZVN1906"/>
    <x v="0"/>
    <s v="5e83524c4bff46698146fad15dedc311"/>
    <s v="E1 ENERGIA GREEN BOND"/>
    <x v="0"/>
    <x v="0"/>
    <s v="Solar"/>
    <s v="UFV E1 4 - AC (ELETROACRE)"/>
    <s v="Brazil"/>
    <d v="2021-03-15T00:00:00"/>
    <d v="2021-03-15T00:00:00"/>
    <s v="BRL"/>
    <n v="954785.94"/>
    <n v="954785.94"/>
    <s v="BRL"/>
    <n v="954785.94"/>
    <n v="169601"/>
    <b v="0"/>
    <n v="1"/>
  </r>
  <r>
    <b v="1"/>
    <x v="2"/>
    <x v="0"/>
    <x v="0"/>
    <x v="0"/>
    <x v="1"/>
    <x v="58"/>
    <s v="BBG00ZVN1906"/>
    <x v="0"/>
    <s v="5e83524c4bff46698146fad15dedc311"/>
    <s v="E1 ENERGIA GREEN BOND"/>
    <x v="1"/>
    <x v="1"/>
    <s v="Generation"/>
    <s v="UFV E1 4 - AC (ELETROACRE)"/>
    <s v="Brazil"/>
    <d v="2021-03-15T00:00:00"/>
    <d v="2021-03-15T00:00:00"/>
    <s v="BRL"/>
    <n v="954785.94"/>
    <n v="954785.94"/>
    <s v="BRL"/>
    <n v="954785.94"/>
    <n v="169601"/>
    <b v="0"/>
    <n v="1"/>
  </r>
  <r>
    <b v="1"/>
    <x v="2"/>
    <x v="0"/>
    <x v="0"/>
    <x v="0"/>
    <x v="1"/>
    <x v="58"/>
    <s v="BBG00ZVN1906"/>
    <x v="0"/>
    <s v="5e83524c4bff46698146fad15dedc311"/>
    <s v="E1 ENERGIA GREEN BOND"/>
    <x v="0"/>
    <x v="0"/>
    <s v="Solar"/>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1"/>
    <x v="1"/>
    <s v="Generation"/>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0"/>
    <x v="0"/>
    <s v="Solar"/>
    <s v="UFV E1 4 - AP (CEA)"/>
    <s v="Brazil"/>
    <d v="2021-03-15T00:00:00"/>
    <d v="2021-03-15T00:00:00"/>
    <s v="BRL"/>
    <n v="1826547.02"/>
    <n v="1826547.02"/>
    <s v="BRL"/>
    <n v="1826547.02"/>
    <n v="324454"/>
    <b v="0"/>
    <n v="1"/>
  </r>
  <r>
    <b v="1"/>
    <x v="2"/>
    <x v="0"/>
    <x v="0"/>
    <x v="0"/>
    <x v="1"/>
    <x v="58"/>
    <s v="BBG00ZVN1906"/>
    <x v="0"/>
    <s v="5e83524c4bff46698146fad15dedc311"/>
    <s v="E1 ENERGIA GREEN BOND"/>
    <x v="1"/>
    <x v="1"/>
    <s v="Generation"/>
    <s v="UFV E1 4 - AP (CEA)"/>
    <s v="Brazil"/>
    <d v="2021-03-15T00:00:00"/>
    <d v="2021-03-15T00:00:00"/>
    <s v="BRL"/>
    <n v="1826547.02"/>
    <n v="1826547.02"/>
    <s v="BRL"/>
    <n v="1826547.02"/>
    <n v="324454"/>
    <b v="0"/>
    <n v="1"/>
  </r>
  <r>
    <b v="1"/>
    <x v="2"/>
    <x v="0"/>
    <x v="0"/>
    <x v="0"/>
    <x v="1"/>
    <x v="58"/>
    <s v="BBG00ZVN1906"/>
    <x v="0"/>
    <s v="5e83524c4bff46698146fad15dedc311"/>
    <s v="E1 ENERGIA GREEN BOND"/>
    <x v="0"/>
    <x v="0"/>
    <s v="Solar"/>
    <s v="UFV E1 4 - MS (EMS)"/>
    <s v="Brazil"/>
    <d v="2021-03-15T00:00:00"/>
    <d v="2021-03-15T00:00:00"/>
    <s v="BRL"/>
    <n v="1245372.97"/>
    <n v="1245372.97"/>
    <s v="BRL"/>
    <n v="1245372.97"/>
    <n v="221218"/>
    <b v="0"/>
    <n v="1"/>
  </r>
  <r>
    <b v="1"/>
    <x v="2"/>
    <x v="0"/>
    <x v="0"/>
    <x v="0"/>
    <x v="1"/>
    <x v="58"/>
    <s v="BBG00ZVN1906"/>
    <x v="0"/>
    <s v="5e83524c4bff46698146fad15dedc311"/>
    <s v="E1 ENERGIA GREEN BOND"/>
    <x v="1"/>
    <x v="1"/>
    <s v="Generation"/>
    <s v="UFV E1 4 - MS (EMS)"/>
    <s v="Brazil"/>
    <d v="2021-03-15T00:00:00"/>
    <d v="2021-03-15T00:00:00"/>
    <s v="BRL"/>
    <n v="1245372.97"/>
    <n v="1245372.97"/>
    <s v="BRL"/>
    <n v="1245372.97"/>
    <n v="221218"/>
    <b v="0"/>
    <n v="1"/>
  </r>
  <r>
    <b v="1"/>
    <x v="2"/>
    <x v="0"/>
    <x v="0"/>
    <x v="0"/>
    <x v="1"/>
    <x v="58"/>
    <s v="BBG00ZVN1906"/>
    <x v="0"/>
    <s v="5e83524c4bff46698146fad15dedc311"/>
    <s v="E1 ENERGIA GREEN BOND"/>
    <x v="0"/>
    <x v="0"/>
    <s v="Solar"/>
    <s v="UFV E1 4 - MT (EMT)"/>
    <s v="Brazil"/>
    <d v="2021-03-15T00:00:00"/>
    <d v="2021-03-15T00:00:00"/>
    <s v="BRL"/>
    <n v="1494447.56"/>
    <n v="1494447.56"/>
    <s v="BRL"/>
    <n v="1494447.56"/>
    <n v="265462"/>
    <b v="0"/>
    <n v="1"/>
  </r>
  <r>
    <b v="1"/>
    <x v="2"/>
    <x v="0"/>
    <x v="0"/>
    <x v="0"/>
    <x v="1"/>
    <x v="58"/>
    <s v="BBG00ZVN1906"/>
    <x v="0"/>
    <s v="5e83524c4bff46698146fad15dedc311"/>
    <s v="E1 ENERGIA GREEN BOND"/>
    <x v="1"/>
    <x v="1"/>
    <s v="Generation"/>
    <s v="UFV E1 4 - MT (EMT)"/>
    <s v="Brazil"/>
    <d v="2021-03-15T00:00:00"/>
    <d v="2021-03-15T00:00:00"/>
    <s v="BRL"/>
    <n v="1494447.56"/>
    <n v="1494447.56"/>
    <s v="BRL"/>
    <n v="1494447.56"/>
    <n v="265462"/>
    <b v="0"/>
    <n v="1"/>
  </r>
  <r>
    <b v="1"/>
    <x v="2"/>
    <x v="0"/>
    <x v="0"/>
    <x v="0"/>
    <x v="1"/>
    <x v="58"/>
    <s v="BBG00ZVN1906"/>
    <x v="0"/>
    <s v="5e83524c4bff46698146fad15dedc311"/>
    <s v="E1 ENERGIA GREEN BOND"/>
    <x v="0"/>
    <x v="0"/>
    <s v="Solar"/>
    <s v="UFV E1 4 - RO (CERON)"/>
    <s v="Brazil"/>
    <d v="2021-03-15T00:00:00"/>
    <d v="2021-03-15T00:00:00"/>
    <s v="BRL"/>
    <n v="1660497.29"/>
    <n v="1660497.29"/>
    <s v="BRL"/>
    <n v="1660497.29"/>
    <n v="294958"/>
    <b v="0"/>
    <n v="1"/>
  </r>
  <r>
    <b v="1"/>
    <x v="2"/>
    <x v="0"/>
    <x v="0"/>
    <x v="0"/>
    <x v="1"/>
    <x v="58"/>
    <s v="BBG00ZVN1906"/>
    <x v="0"/>
    <s v="5e83524c4bff46698146fad15dedc311"/>
    <s v="E1 ENERGIA GREEN BOND"/>
    <x v="1"/>
    <x v="1"/>
    <s v="Generation"/>
    <s v="UFV E1 4 - RO (CERON)"/>
    <s v="Brazil"/>
    <d v="2021-03-15T00:00:00"/>
    <d v="2021-03-15T00:00:00"/>
    <s v="BRL"/>
    <n v="1660497.29"/>
    <n v="1660497.29"/>
    <s v="BRL"/>
    <n v="1660497.29"/>
    <n v="294958"/>
    <b v="0"/>
    <n v="1"/>
  </r>
  <r>
    <b v="1"/>
    <x v="2"/>
    <x v="0"/>
    <x v="0"/>
    <x v="0"/>
    <x v="1"/>
    <x v="58"/>
    <s v="BBG00ZVN1906"/>
    <x v="0"/>
    <s v="5e83524c4bff46698146fad15dedc311"/>
    <s v="E1 ENERGIA GREEN BOND"/>
    <x v="0"/>
    <x v="0"/>
    <s v="Solar"/>
    <s v="UFV E1 4 - RR (Boa Vista)"/>
    <s v="Brazil"/>
    <d v="2021-03-15T00:00:00"/>
    <d v="2021-03-15T00:00:00"/>
    <s v="BRL"/>
    <n v="622686.48"/>
    <n v="622686.48"/>
    <s v="BRL"/>
    <n v="622686.48"/>
    <n v="110609"/>
    <b v="0"/>
    <n v="1"/>
  </r>
  <r>
    <b v="1"/>
    <x v="2"/>
    <x v="0"/>
    <x v="0"/>
    <x v="0"/>
    <x v="1"/>
    <x v="58"/>
    <s v="BBG00ZVN1906"/>
    <x v="0"/>
    <s v="5e83524c4bff46698146fad15dedc311"/>
    <s v="E1 ENERGIA GREEN BOND"/>
    <x v="1"/>
    <x v="1"/>
    <s v="Generation"/>
    <s v="UFV E1 4 - RR (Boa Vista)"/>
    <s v="Brazil"/>
    <d v="2021-03-15T00:00:00"/>
    <d v="2021-03-15T00:00:00"/>
    <s v="BRL"/>
    <n v="622686.48"/>
    <n v="622686.48"/>
    <s v="BRL"/>
    <n v="622686.48"/>
    <n v="110609"/>
    <b v="0"/>
    <n v="1"/>
  </r>
  <r>
    <b v="1"/>
    <x v="2"/>
    <x v="0"/>
    <x v="0"/>
    <x v="0"/>
    <x v="1"/>
    <x v="58"/>
    <s v="BBG00ZVN1906"/>
    <x v="0"/>
    <s v="5e83524c4bff46698146fad15dedc311"/>
    <s v="E1 ENERGIA GREEN BOND"/>
    <x v="0"/>
    <x v="0"/>
    <s v="Solar"/>
    <s v="UFV E1 6 - BA (COELBA)"/>
    <s v="Brazil"/>
    <d v="2021-03-15T00:00:00"/>
    <d v="2021-03-15T00:00:00"/>
    <s v="BRL"/>
    <n v="1531748.59"/>
    <n v="1531748.59"/>
    <s v="BRL"/>
    <n v="1531748.59"/>
    <n v="272088"/>
    <b v="0"/>
    <n v="1"/>
  </r>
  <r>
    <b v="1"/>
    <x v="2"/>
    <x v="0"/>
    <x v="0"/>
    <x v="0"/>
    <x v="1"/>
    <x v="58"/>
    <s v="BBG00ZVN1906"/>
    <x v="0"/>
    <s v="5e83524c4bff46698146fad15dedc311"/>
    <s v="E1 ENERGIA GREEN BOND"/>
    <x v="1"/>
    <x v="1"/>
    <s v="Generation"/>
    <s v="UFV E1 6 - BA (COELBA)"/>
    <s v="Brazil"/>
    <d v="2021-03-15T00:00:00"/>
    <d v="2021-03-15T00:00:00"/>
    <s v="BRL"/>
    <n v="1531748.59"/>
    <n v="1531748.59"/>
    <s v="BRL"/>
    <n v="1531748.59"/>
    <n v="272088"/>
    <b v="0"/>
    <n v="1"/>
  </r>
  <r>
    <b v="1"/>
    <x v="2"/>
    <x v="0"/>
    <x v="0"/>
    <x v="0"/>
    <x v="1"/>
    <x v="58"/>
    <s v="BBG00ZVN1906"/>
    <x v="0"/>
    <s v="5e83524c4bff46698146fad15dedc311"/>
    <s v="E1 ENERGIA GREEN BOND"/>
    <x v="0"/>
    <x v="0"/>
    <s v="Solar"/>
    <s v="UFV E1 6 - CE (ENEL CE)"/>
    <s v="Brazil"/>
    <d v="2021-03-15T00:00:00"/>
    <d v="2021-03-15T00:00:00"/>
    <s v="BRL"/>
    <n v="1168966.03"/>
    <n v="1168966.03"/>
    <s v="BRL"/>
    <n v="1168966.03"/>
    <n v="207646"/>
    <b v="0"/>
    <n v="1"/>
  </r>
  <r>
    <b v="1"/>
    <x v="2"/>
    <x v="0"/>
    <x v="0"/>
    <x v="0"/>
    <x v="1"/>
    <x v="58"/>
    <s v="BBG00ZVN1906"/>
    <x v="0"/>
    <s v="5e83524c4bff46698146fad15dedc311"/>
    <s v="E1 ENERGIA GREEN BOND"/>
    <x v="1"/>
    <x v="1"/>
    <s v="Generation"/>
    <s v="UFV E1 6 - CE (ENEL CE)"/>
    <s v="Brazil"/>
    <d v="2021-03-15T00:00:00"/>
    <d v="2021-03-15T00:00:00"/>
    <s v="BRL"/>
    <n v="1168966.03"/>
    <n v="1168966.03"/>
    <s v="BRL"/>
    <n v="1168966.03"/>
    <n v="207646"/>
    <b v="0"/>
    <n v="1"/>
  </r>
  <r>
    <b v="1"/>
    <x v="2"/>
    <x v="0"/>
    <x v="0"/>
    <x v="0"/>
    <x v="1"/>
    <x v="58"/>
    <s v="BBG00ZVN1906"/>
    <x v="0"/>
    <s v="5e83524c4bff46698146fad15dedc311"/>
    <s v="E1 ENERGIA GREEN BOND"/>
    <x v="0"/>
    <x v="0"/>
    <s v="Solar"/>
    <s v="UFV E1 6 - DF (CEB)"/>
    <s v="Brazil"/>
    <d v="2021-03-15T00:00:00"/>
    <d v="2021-03-15T00:00:00"/>
    <s v="BRL"/>
    <n v="2640188.56"/>
    <n v="2640188.56"/>
    <s v="BRL"/>
    <n v="2640188.56"/>
    <n v="468983"/>
    <b v="0"/>
    <n v="1"/>
  </r>
  <r>
    <b v="1"/>
    <x v="2"/>
    <x v="0"/>
    <x v="0"/>
    <x v="0"/>
    <x v="1"/>
    <x v="58"/>
    <s v="BBG00ZVN1906"/>
    <x v="0"/>
    <s v="5e83524c4bff46698146fad15dedc311"/>
    <s v="E1 ENERGIA GREEN BOND"/>
    <x v="1"/>
    <x v="1"/>
    <s v="Generation"/>
    <s v="UFV E1 6 - DF (CEB)"/>
    <s v="Brazil"/>
    <d v="2021-03-15T00:00:00"/>
    <d v="2021-03-15T00:00:00"/>
    <s v="BRL"/>
    <n v="2640188.56"/>
    <n v="2640188.56"/>
    <s v="BRL"/>
    <n v="2640188.56"/>
    <n v="468983"/>
    <b v="0"/>
    <n v="1"/>
  </r>
  <r>
    <b v="1"/>
    <x v="2"/>
    <x v="0"/>
    <x v="0"/>
    <x v="0"/>
    <x v="1"/>
    <x v="58"/>
    <s v="BBG00ZVN1906"/>
    <x v="0"/>
    <s v="5e83524c4bff46698146fad15dedc311"/>
    <s v="E1 ENERGIA GREEN BOND"/>
    <x v="0"/>
    <x v="0"/>
    <s v="Solar"/>
    <s v="UFV E1 6 - GO (ENEL GO)"/>
    <s v="Brazil"/>
    <d v="2021-03-15T00:00:00"/>
    <d v="2021-03-15T00:00:00"/>
    <s v="BRL"/>
    <n v="436210.79"/>
    <n v="436210.79"/>
    <s v="BRL"/>
    <n v="436210.79"/>
    <n v="77485"/>
    <b v="0"/>
    <n v="1"/>
  </r>
  <r>
    <b v="1"/>
    <x v="2"/>
    <x v="0"/>
    <x v="0"/>
    <x v="0"/>
    <x v="1"/>
    <x v="58"/>
    <s v="BBG00ZVN1906"/>
    <x v="0"/>
    <s v="5e83524c4bff46698146fad15dedc311"/>
    <s v="E1 ENERGIA GREEN BOND"/>
    <x v="1"/>
    <x v="1"/>
    <s v="Generation"/>
    <s v="UFV E1 6 - GO (ENEL GO)"/>
    <s v="Brazil"/>
    <d v="2021-03-15T00:00:00"/>
    <d v="2021-03-15T00:00:00"/>
    <s v="BRL"/>
    <n v="436210.79"/>
    <n v="436210.79"/>
    <s v="BRL"/>
    <n v="436210.79"/>
    <n v="77485"/>
    <b v="0"/>
    <n v="1"/>
  </r>
  <r>
    <b v="1"/>
    <x v="2"/>
    <x v="0"/>
    <x v="0"/>
    <x v="0"/>
    <x v="1"/>
    <x v="58"/>
    <s v="BBG00ZVN1906"/>
    <x v="0"/>
    <s v="5e83524c4bff46698146fad15dedc311"/>
    <s v="E1 ENERGIA GREEN BOND"/>
    <x v="0"/>
    <x v="0"/>
    <s v="Solar"/>
    <s v="UFV E1 6 - MA (CEMAR)"/>
    <s v="Brazil"/>
    <d v="2021-03-15T00:00:00"/>
    <d v="2021-03-15T00:00:00"/>
    <s v="BRL"/>
    <n v="443400.91"/>
    <n v="443400.91"/>
    <s v="BRL"/>
    <n v="443400.91"/>
    <n v="78762"/>
    <b v="0"/>
    <n v="1"/>
  </r>
  <r>
    <b v="1"/>
    <x v="2"/>
    <x v="0"/>
    <x v="0"/>
    <x v="0"/>
    <x v="1"/>
    <x v="58"/>
    <s v="BBG00ZVN1906"/>
    <x v="0"/>
    <s v="5e83524c4bff46698146fad15dedc311"/>
    <s v="E1 ENERGIA GREEN BOND"/>
    <x v="1"/>
    <x v="1"/>
    <s v="Generation"/>
    <s v="UFV E1 6 - MA (CEMAR)"/>
    <s v="Brazil"/>
    <d v="2021-03-15T00:00:00"/>
    <d v="2021-03-15T00:00:00"/>
    <s v="BRL"/>
    <n v="443400.91"/>
    <n v="443400.91"/>
    <s v="BRL"/>
    <n v="443400.91"/>
    <n v="78762"/>
    <b v="0"/>
    <n v="1"/>
  </r>
  <r>
    <b v="1"/>
    <x v="2"/>
    <x v="0"/>
    <x v="0"/>
    <x v="0"/>
    <x v="1"/>
    <x v="58"/>
    <s v="BBG00ZVN1906"/>
    <x v="0"/>
    <s v="5e83524c4bff46698146fad15dedc311"/>
    <s v="E1 ENERGIA GREEN BOND"/>
    <x v="0"/>
    <x v="0"/>
    <s v="Solar"/>
    <s v="UFV E1 6 - MT (EMT)"/>
    <s v="Brazil"/>
    <d v="2021-03-15T00:00:00"/>
    <d v="2021-03-15T00:00:00"/>
    <s v="BRL"/>
    <n v="56795.7"/>
    <n v="56795.7"/>
    <s v="BRL"/>
    <n v="56795.7"/>
    <n v="10088"/>
    <b v="0"/>
    <n v="1"/>
  </r>
  <r>
    <b v="1"/>
    <x v="2"/>
    <x v="0"/>
    <x v="0"/>
    <x v="0"/>
    <x v="1"/>
    <x v="58"/>
    <s v="BBG00ZVN1906"/>
    <x v="0"/>
    <s v="5e83524c4bff46698146fad15dedc311"/>
    <s v="E1 ENERGIA GREEN BOND"/>
    <x v="1"/>
    <x v="1"/>
    <s v="Generation"/>
    <s v="UFV E1 6 - MT (EMT)"/>
    <s v="Brazil"/>
    <d v="2021-03-15T00:00:00"/>
    <d v="2021-03-15T00:00:00"/>
    <s v="BRL"/>
    <n v="56795.7"/>
    <n v="56795.7"/>
    <s v="BRL"/>
    <n v="56795.7"/>
    <n v="10088"/>
    <b v="0"/>
    <n v="1"/>
  </r>
  <r>
    <b v="1"/>
    <x v="2"/>
    <x v="0"/>
    <x v="0"/>
    <x v="0"/>
    <x v="1"/>
    <x v="58"/>
    <s v="BBG00ZVN1906"/>
    <x v="0"/>
    <s v="5e83524c4bff46698146fad15dedc311"/>
    <s v="E1 ENERGIA GREEN BOND"/>
    <x v="0"/>
    <x v="0"/>
    <s v="Solar"/>
    <s v="UFV E1 6 - PR (COPEL)"/>
    <s v="Brazil"/>
    <d v="2021-03-15T00:00:00"/>
    <d v="2021-03-15T00:00:00"/>
    <s v="BRL"/>
    <n v="942698.75"/>
    <n v="942698.75"/>
    <s v="BRL"/>
    <n v="942698.75"/>
    <n v="167453"/>
    <b v="0"/>
    <n v="1"/>
  </r>
  <r>
    <b v="1"/>
    <x v="2"/>
    <x v="0"/>
    <x v="0"/>
    <x v="0"/>
    <x v="1"/>
    <x v="58"/>
    <s v="BBG00ZVN1906"/>
    <x v="0"/>
    <s v="5e83524c4bff46698146fad15dedc311"/>
    <s v="E1 ENERGIA GREEN BOND"/>
    <x v="1"/>
    <x v="1"/>
    <s v="Generation"/>
    <s v="UFV E1 6 - PR (COPEL)"/>
    <s v="Brazil"/>
    <d v="2021-03-15T00:00:00"/>
    <d v="2021-03-15T00:00:00"/>
    <s v="BRL"/>
    <n v="942698.75"/>
    <n v="942698.75"/>
    <s v="BRL"/>
    <n v="942698.75"/>
    <n v="167453"/>
    <b v="0"/>
    <n v="1"/>
  </r>
  <r>
    <b v="1"/>
    <x v="2"/>
    <x v="0"/>
    <x v="0"/>
    <x v="0"/>
    <x v="1"/>
    <x v="58"/>
    <s v="BBG00ZVN1906"/>
    <x v="0"/>
    <s v="5e83524c4bff46698146fad15dedc311"/>
    <s v="E1 ENERGIA GREEN BOND"/>
    <x v="0"/>
    <x v="0"/>
    <s v="Solar"/>
    <s v="UFV E1 6 - RJ (ENEL RJ)"/>
    <s v="Brazil"/>
    <d v="2021-03-15T00:00:00"/>
    <d v="2021-03-15T00:00:00"/>
    <s v="BRL"/>
    <n v="199710.92"/>
    <n v="199710.92"/>
    <s v="BRL"/>
    <n v="199710.92"/>
    <n v="35475"/>
    <b v="0"/>
    <n v="1"/>
  </r>
  <r>
    <b v="1"/>
    <x v="2"/>
    <x v="0"/>
    <x v="0"/>
    <x v="0"/>
    <x v="1"/>
    <x v="58"/>
    <s v="BBG00ZVN1906"/>
    <x v="0"/>
    <s v="5e83524c4bff46698146fad15dedc311"/>
    <s v="E1 ENERGIA GREEN BOND"/>
    <x v="1"/>
    <x v="1"/>
    <s v="Generation"/>
    <s v="UFV E1 6 - RJ (ENEL RJ)"/>
    <s v="Brazil"/>
    <d v="2021-03-15T00:00:00"/>
    <d v="2021-03-15T00:00:00"/>
    <s v="BRL"/>
    <n v="199710.92"/>
    <n v="199710.92"/>
    <s v="BRL"/>
    <n v="199710.92"/>
    <n v="35475"/>
    <b v="0"/>
    <n v="1"/>
  </r>
  <r>
    <b v="1"/>
    <x v="2"/>
    <x v="0"/>
    <x v="0"/>
    <x v="0"/>
    <x v="1"/>
    <x v="58"/>
    <s v="BBG00ZVN1906"/>
    <x v="0"/>
    <s v="5e83524c4bff46698146fad15dedc311"/>
    <s v="E1 ENERGIA GREEN BOND"/>
    <x v="0"/>
    <x v="0"/>
    <s v="Solar"/>
    <s v="UFV E1 6 - SC (CELESC) - USINA 1"/>
    <s v="Brazil"/>
    <d v="2021-03-15T00:00:00"/>
    <d v="2021-03-15T00:00:00"/>
    <s v="BRL"/>
    <n v="171320.17"/>
    <n v="171320.17"/>
    <s v="BRL"/>
    <n v="171320.17"/>
    <n v="30432"/>
    <b v="0"/>
    <n v="1"/>
  </r>
  <r>
    <b v="1"/>
    <x v="2"/>
    <x v="0"/>
    <x v="0"/>
    <x v="0"/>
    <x v="1"/>
    <x v="58"/>
    <s v="BBG00ZVN1906"/>
    <x v="0"/>
    <s v="5e83524c4bff46698146fad15dedc311"/>
    <s v="E1 ENERGIA GREEN BOND"/>
    <x v="1"/>
    <x v="1"/>
    <s v="Generation"/>
    <s v="UFV E1 6 - SC (CELESC) - USINA 1"/>
    <s v="Brazil"/>
    <d v="2021-03-15T00:00:00"/>
    <d v="2021-03-15T00:00:00"/>
    <s v="BRL"/>
    <n v="171320.17"/>
    <n v="171320.17"/>
    <s v="BRL"/>
    <n v="171320.17"/>
    <n v="30432"/>
    <b v="0"/>
    <n v="1"/>
  </r>
  <r>
    <b v="1"/>
    <x v="2"/>
    <x v="0"/>
    <x v="0"/>
    <x v="0"/>
    <x v="1"/>
    <x v="58"/>
    <s v="BBG00ZVN1906"/>
    <x v="0"/>
    <s v="5e83524c4bff46698146fad15dedc311"/>
    <s v="E1 ENERGIA GREEN BOND"/>
    <x v="0"/>
    <x v="0"/>
    <s v="Solar"/>
    <s v="UFV E1 6 - SC (CELESC) - USINA 2"/>
    <s v="Brazil"/>
    <d v="2021-03-15T00:00:00"/>
    <d v="2021-03-15T00:00:00"/>
    <s v="BRL"/>
    <n v="523103.42"/>
    <n v="523103.42"/>
    <s v="BRL"/>
    <n v="523103.42"/>
    <n v="92920"/>
    <b v="0"/>
    <n v="1"/>
  </r>
  <r>
    <b v="1"/>
    <x v="2"/>
    <x v="0"/>
    <x v="0"/>
    <x v="0"/>
    <x v="1"/>
    <x v="58"/>
    <s v="BBG00ZVN1906"/>
    <x v="0"/>
    <s v="5e83524c4bff46698146fad15dedc311"/>
    <s v="E1 ENERGIA GREEN BOND"/>
    <x v="1"/>
    <x v="1"/>
    <s v="Generation"/>
    <s v="UFV E1 6 - SC (CELESC) - USINA 2"/>
    <s v="Brazil"/>
    <d v="2021-03-15T00:00:00"/>
    <d v="2021-03-15T00:00:00"/>
    <s v="BRL"/>
    <n v="523103.42"/>
    <n v="523103.42"/>
    <s v="BRL"/>
    <n v="523103.42"/>
    <n v="92920"/>
    <b v="0"/>
    <n v="1"/>
  </r>
  <r>
    <b v="1"/>
    <x v="2"/>
    <x v="0"/>
    <x v="0"/>
    <x v="0"/>
    <x v="1"/>
    <x v="58"/>
    <s v="BBG00ZVN1906"/>
    <x v="0"/>
    <s v="5e83524c4bff46698146fad15dedc311"/>
    <s v="E1 ENERGIA GREEN BOND"/>
    <x v="0"/>
    <x v="0"/>
    <s v="Solar"/>
    <s v="UFV E1 6 - SP (CPFL Paulista)"/>
    <s v="Brazil"/>
    <d v="2021-03-15T00:00:00"/>
    <d v="2021-03-15T00:00:00"/>
    <s v="BRL"/>
    <n v="425600.72"/>
    <n v="425600.72"/>
    <s v="BRL"/>
    <n v="425600.72"/>
    <n v="75600"/>
    <b v="0"/>
    <n v="1"/>
  </r>
  <r>
    <b v="1"/>
    <x v="2"/>
    <x v="0"/>
    <x v="0"/>
    <x v="0"/>
    <x v="1"/>
    <x v="58"/>
    <s v="BBG00ZVN1906"/>
    <x v="0"/>
    <s v="5e83524c4bff46698146fad15dedc311"/>
    <s v="E1 ENERGIA GREEN BOND"/>
    <x v="1"/>
    <x v="1"/>
    <s v="Generation"/>
    <s v="UFV E1 6 - SP (CPFL Paulista)"/>
    <s v="Brazil"/>
    <d v="2021-03-15T00:00:00"/>
    <d v="2021-03-15T00:00:00"/>
    <s v="BRL"/>
    <n v="425600.72"/>
    <n v="425600.72"/>
    <s v="BRL"/>
    <n v="425600.72"/>
    <n v="75600"/>
    <b v="0"/>
    <n v="1"/>
  </r>
  <r>
    <b v="1"/>
    <x v="2"/>
    <x v="0"/>
    <x v="0"/>
    <x v="0"/>
    <x v="1"/>
    <x v="58"/>
    <s v="BBG00ZVN1906"/>
    <x v="0"/>
    <s v="5e83524c4bff46698146fad15dedc311"/>
    <s v="E1 ENERGIA GREEN BOND"/>
    <x v="0"/>
    <x v="0"/>
    <s v="Solar"/>
    <s v="UFV E1 6 - SP (EDP SP) - USINA 1"/>
    <s v="Brazil"/>
    <d v="2021-03-15T00:00:00"/>
    <d v="2021-03-15T00:00:00"/>
    <s v="BRL"/>
    <n v="752424.65"/>
    <n v="752424.65"/>
    <s v="BRL"/>
    <n v="752424.65"/>
    <n v="133655"/>
    <b v="0"/>
    <n v="1"/>
  </r>
  <r>
    <b v="1"/>
    <x v="2"/>
    <x v="0"/>
    <x v="0"/>
    <x v="0"/>
    <x v="1"/>
    <x v="58"/>
    <s v="BBG00ZVN1906"/>
    <x v="0"/>
    <s v="5e83524c4bff46698146fad15dedc311"/>
    <s v="E1 ENERGIA GREEN BOND"/>
    <x v="1"/>
    <x v="1"/>
    <s v="Generation"/>
    <s v="UFV E1 6 - SP (EDP SP) - USINA 1"/>
    <s v="Brazil"/>
    <d v="2021-03-15T00:00:00"/>
    <d v="2021-03-15T00:00:00"/>
    <s v="BRL"/>
    <n v="752424.65"/>
    <n v="752424.65"/>
    <s v="BRL"/>
    <n v="752424.65"/>
    <n v="133655"/>
    <b v="0"/>
    <n v="1"/>
  </r>
  <r>
    <b v="1"/>
    <x v="2"/>
    <x v="0"/>
    <x v="0"/>
    <x v="0"/>
    <x v="1"/>
    <x v="58"/>
    <s v="BBG00ZVN1906"/>
    <x v="0"/>
    <s v="5e83524c4bff46698146fad15dedc311"/>
    <s v="E1 ENERGIA GREEN BOND"/>
    <x v="0"/>
    <x v="0"/>
    <s v="Solar"/>
    <s v="UFV E1 6 - SP (EDP SP) - USINA 2"/>
    <s v="Brazil"/>
    <d v="2021-03-15T00:00:00"/>
    <d v="2021-03-15T00:00:00"/>
    <s v="BRL"/>
    <n v="1125376.74"/>
    <n v="1125376.74"/>
    <s v="BRL"/>
    <n v="1125376.74"/>
    <n v="199903"/>
    <b v="0"/>
    <n v="1"/>
  </r>
  <r>
    <b v="1"/>
    <x v="2"/>
    <x v="0"/>
    <x v="0"/>
    <x v="0"/>
    <x v="1"/>
    <x v="58"/>
    <s v="BBG00ZVN1906"/>
    <x v="0"/>
    <s v="5e83524c4bff46698146fad15dedc311"/>
    <s v="E1 ENERGIA GREEN BOND"/>
    <x v="1"/>
    <x v="1"/>
    <s v="Generation"/>
    <s v="UFV E1 6 - SP (EDP SP) - USINA 2"/>
    <s v="Brazil"/>
    <d v="2021-03-15T00:00:00"/>
    <d v="2021-03-15T00:00:00"/>
    <s v="BRL"/>
    <n v="1125376.74"/>
    <n v="1125376.74"/>
    <s v="BRL"/>
    <n v="1125376.74"/>
    <n v="199903"/>
    <b v="0"/>
    <n v="1"/>
  </r>
  <r>
    <b v="1"/>
    <x v="2"/>
    <x v="0"/>
    <x v="0"/>
    <x v="0"/>
    <x v="1"/>
    <x v="58"/>
    <s v="BBG00ZVN1906"/>
    <x v="0"/>
    <s v="5e83524c4bff46698146fad15dedc311"/>
    <s v="E1 ENERGIA GREEN BOND"/>
    <x v="0"/>
    <x v="0"/>
    <s v="Solar"/>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1"/>
    <x v="1"/>
    <s v="Generation"/>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0"/>
    <x v="0"/>
    <s v="Solar"/>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1"/>
    <x v="1"/>
    <s v="Generation"/>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0"/>
    <x v="0"/>
    <s v="Solar"/>
    <s v="UFV E1 7 - PE (CELPE)"/>
    <s v="Brazil"/>
    <d v="2021-03-15T00:00:00"/>
    <d v="2021-03-15T00:00:00"/>
    <s v="BRL"/>
    <n v="3182018.17"/>
    <n v="3182018.17"/>
    <s v="BRL"/>
    <n v="3182018.17"/>
    <n v="565229"/>
    <b v="0"/>
    <n v="1"/>
  </r>
  <r>
    <b v="1"/>
    <x v="2"/>
    <x v="0"/>
    <x v="0"/>
    <x v="0"/>
    <x v="1"/>
    <x v="58"/>
    <s v="BBG00ZVN1906"/>
    <x v="0"/>
    <s v="5e83524c4bff46698146fad15dedc311"/>
    <s v="E1 ENERGIA GREEN BOND"/>
    <x v="1"/>
    <x v="1"/>
    <s v="Generation"/>
    <s v="UFV E1 7 - PE (CELPE)"/>
    <s v="Brazil"/>
    <d v="2021-03-15T00:00:00"/>
    <d v="2021-03-15T00:00:00"/>
    <s v="BRL"/>
    <n v="3182018.17"/>
    <n v="3182018.17"/>
    <s v="BRL"/>
    <n v="3182018.17"/>
    <n v="565229"/>
    <b v="0"/>
    <n v="1"/>
  </r>
  <r>
    <b v="1"/>
    <x v="2"/>
    <x v="0"/>
    <x v="0"/>
    <x v="0"/>
    <x v="1"/>
    <x v="58"/>
    <s v="BBG00ZVN1906"/>
    <x v="0"/>
    <s v="5e83524c4bff46698146fad15dedc311"/>
    <s v="E1 ENERGIA GREEN BOND"/>
    <x v="0"/>
    <x v="0"/>
    <s v="Solar"/>
    <s v="UFV E1 7 - SP (CPFL PIR.)"/>
    <s v="Brazil"/>
    <d v="2021-03-15T00:00:00"/>
    <d v="2021-03-15T00:00:00"/>
    <s v="BRL"/>
    <n v="7544433.3300000001"/>
    <n v="7544433.3300000001"/>
    <s v="BRL"/>
    <n v="7544433.3300000001"/>
    <n v="1340136"/>
    <b v="0"/>
    <n v="1"/>
  </r>
  <r>
    <b v="1"/>
    <x v="2"/>
    <x v="0"/>
    <x v="0"/>
    <x v="0"/>
    <x v="1"/>
    <x v="58"/>
    <s v="BBG00ZVN1906"/>
    <x v="0"/>
    <s v="5e83524c4bff46698146fad15dedc311"/>
    <s v="E1 ENERGIA GREEN BOND"/>
    <x v="1"/>
    <x v="1"/>
    <s v="Generation"/>
    <s v="UFV E1 7 - SP (CPFL PIR.)"/>
    <s v="Brazil"/>
    <d v="2021-03-15T00:00:00"/>
    <d v="2021-03-15T00:00:00"/>
    <s v="BRL"/>
    <n v="7544433.3300000001"/>
    <n v="7544433.3300000001"/>
    <s v="BRL"/>
    <n v="7544433.3300000001"/>
    <n v="1340136"/>
    <b v="0"/>
    <n v="1"/>
  </r>
  <r>
    <b v="1"/>
    <x v="0"/>
    <x v="0"/>
    <x v="2"/>
    <x v="0"/>
    <x v="1"/>
    <x v="59"/>
    <n v="0"/>
    <x v="0"/>
    <s v="a70a185c981f45a483e6d1f133ccf7d2"/>
    <s v="FEFA 20V"/>
    <x v="0"/>
    <x v="10"/>
    <s v="Agriculture"/>
    <s v="Protected agriculture"/>
    <s v="Mexico"/>
    <d v="2020-06-26T00:00:00"/>
    <d v="2021-01-08T00:00:00"/>
    <s v="MXN"/>
    <n v="254444552"/>
    <n v="254444552"/>
    <s v="MXN"/>
    <n v="254444552"/>
    <n v="11076532"/>
    <b v="1"/>
    <n v="0.8"/>
  </r>
  <r>
    <b v="1"/>
    <x v="0"/>
    <x v="0"/>
    <x v="2"/>
    <x v="0"/>
    <x v="1"/>
    <x v="59"/>
    <n v="0"/>
    <x v="0"/>
    <s v="a70a185c981f45a483e6d1f133ccf7d2"/>
    <s v="FEFA 20V"/>
    <x v="1"/>
    <x v="11"/>
    <s v="Agriculture"/>
    <s v="Protected agriculture"/>
    <s v="Mexico"/>
    <d v="2020-06-26T00:00:00"/>
    <d v="2021-01-08T00:00:00"/>
    <s v="MXN"/>
    <n v="254444552"/>
    <n v="254444552"/>
    <s v="MXN"/>
    <n v="254444552"/>
    <n v="11076532"/>
    <b v="1"/>
    <n v="0.8"/>
  </r>
  <r>
    <b v="1"/>
    <x v="0"/>
    <x v="0"/>
    <x v="2"/>
    <x v="0"/>
    <x v="1"/>
    <x v="59"/>
    <n v="0"/>
    <x v="0"/>
    <s v="a70a185c981f45a483e6d1f133ccf7d2"/>
    <s v="FEFA 20V"/>
    <x v="0"/>
    <x v="10"/>
    <s v="Agriculture"/>
    <s v="Greenhouses"/>
    <s v="Mexico"/>
    <d v="2020-06-26T00:00:00"/>
    <d v="2021-01-15T00:00:00"/>
    <s v="MXN"/>
    <n v="2327122113"/>
    <n v="2327122113"/>
    <s v="MXN"/>
    <n v="2327122113"/>
    <n v="101304752"/>
    <b v="1"/>
    <n v="0.8"/>
  </r>
  <r>
    <b v="1"/>
    <x v="0"/>
    <x v="0"/>
    <x v="2"/>
    <x v="0"/>
    <x v="1"/>
    <x v="59"/>
    <n v="0"/>
    <x v="0"/>
    <s v="a70a185c981f45a483e6d1f133ccf7d2"/>
    <s v="FEFA 20V"/>
    <x v="1"/>
    <x v="11"/>
    <s v="Agriculture"/>
    <s v="Greenhouses"/>
    <s v="Mexico"/>
    <d v="2020-06-26T00:00:00"/>
    <d v="2021-01-15T00:00:00"/>
    <s v="MXN"/>
    <n v="2327122113"/>
    <n v="2327122113"/>
    <s v="MXN"/>
    <n v="2327122113"/>
    <n v="101304752"/>
    <b v="1"/>
    <n v="0.8"/>
  </r>
  <r>
    <b v="1"/>
    <x v="0"/>
    <x v="0"/>
    <x v="2"/>
    <x v="0"/>
    <x v="1"/>
    <x v="59"/>
    <n v="0"/>
    <x v="0"/>
    <s v="a70a185c981f45a483e6d1f133ccf7d2"/>
    <s v="FEFA 20V"/>
    <x v="0"/>
    <x v="10"/>
    <s v="Agriculture"/>
    <s v="Conservation tillage"/>
    <s v="Mexico"/>
    <d v="2020-06-26T00:00:00"/>
    <d v="2020-10-22T00:00:00"/>
    <s v="MXN"/>
    <n v="1883954"/>
    <n v="1883954"/>
    <s v="MXN"/>
    <n v="1883954"/>
    <n v="82013"/>
    <b v="1"/>
    <n v="0.8"/>
  </r>
  <r>
    <b v="1"/>
    <x v="0"/>
    <x v="0"/>
    <x v="2"/>
    <x v="0"/>
    <x v="1"/>
    <x v="59"/>
    <n v="0"/>
    <x v="0"/>
    <s v="a70a185c981f45a483e6d1f133ccf7d2"/>
    <s v="FEFA 20V"/>
    <x v="1"/>
    <x v="11"/>
    <s v="Agriculture"/>
    <s v="Conservation tillage"/>
    <s v="Mexico"/>
    <d v="2020-06-26T00:00:00"/>
    <d v="2020-10-22T00:00:00"/>
    <s v="MXN"/>
    <n v="1883954"/>
    <n v="1883954"/>
    <s v="MXN"/>
    <n v="1883954"/>
    <n v="82013"/>
    <b v="1"/>
    <n v="0.8"/>
  </r>
  <r>
    <b v="1"/>
    <x v="0"/>
    <x v="0"/>
    <x v="2"/>
    <x v="0"/>
    <x v="1"/>
    <x v="59"/>
    <n v="0"/>
    <x v="0"/>
    <s v="a70a185c981f45a483e6d1f133ccf7d2"/>
    <s v="FEFA 20V"/>
    <x v="0"/>
    <x v="10"/>
    <s v="Agriculture"/>
    <s v="Macro tunnel"/>
    <s v="Mexico"/>
    <d v="2020-06-26T00:00:00"/>
    <d v="2021-01-20T00:00:00"/>
    <s v="MXN"/>
    <n v="167877790"/>
    <n v="167877790"/>
    <s v="MXN"/>
    <n v="167877790"/>
    <n v="7308090"/>
    <b v="1"/>
    <n v="0.8"/>
  </r>
  <r>
    <b v="1"/>
    <x v="0"/>
    <x v="0"/>
    <x v="2"/>
    <x v="0"/>
    <x v="1"/>
    <x v="59"/>
    <n v="0"/>
    <x v="0"/>
    <s v="a70a185c981f45a483e6d1f133ccf7d2"/>
    <s v="FEFA 20V"/>
    <x v="1"/>
    <x v="11"/>
    <s v="Agriculture"/>
    <s v="Macro tunnel"/>
    <s v="Mexico"/>
    <d v="2020-06-26T00:00:00"/>
    <d v="2021-01-20T00:00:00"/>
    <s v="MXN"/>
    <n v="167877790"/>
    <n v="167877790"/>
    <s v="MXN"/>
    <n v="167877790"/>
    <n v="7308090"/>
    <b v="1"/>
    <n v="0.8"/>
  </r>
  <r>
    <b v="1"/>
    <x v="0"/>
    <x v="0"/>
    <x v="2"/>
    <x v="0"/>
    <x v="1"/>
    <x v="59"/>
    <n v="0"/>
    <x v="0"/>
    <s v="a70a185c981f45a483e6d1f133ccf7d2"/>
    <s v="FEFA 20V"/>
    <x v="0"/>
    <x v="10"/>
    <s v="Agriculture"/>
    <s v="Shade production (Coffe)"/>
    <s v="Mexico"/>
    <d v="2020-06-26T00:00:00"/>
    <d v="2020-07-16T00:00:00"/>
    <s v="MXN"/>
    <n v="2000000"/>
    <n v="2000000"/>
    <s v="MXN"/>
    <n v="2000000"/>
    <n v="87064"/>
    <b v="1"/>
    <n v="0.8"/>
  </r>
  <r>
    <b v="1"/>
    <x v="0"/>
    <x v="0"/>
    <x v="2"/>
    <x v="0"/>
    <x v="1"/>
    <x v="59"/>
    <n v="0"/>
    <x v="0"/>
    <s v="a70a185c981f45a483e6d1f133ccf7d2"/>
    <s v="FEFA 20V"/>
    <x v="1"/>
    <x v="11"/>
    <s v="Agriculture"/>
    <s v="Shade production (Coffe)"/>
    <s v="Mexico"/>
    <d v="2020-06-26T00:00:00"/>
    <d v="2020-07-16T00:00:00"/>
    <s v="MXN"/>
    <n v="2000000"/>
    <n v="2000000"/>
    <s v="MXN"/>
    <n v="2000000"/>
    <n v="87064"/>
    <b v="1"/>
    <n v="0.8"/>
  </r>
  <r>
    <b v="1"/>
    <x v="0"/>
    <x v="0"/>
    <x v="2"/>
    <x v="0"/>
    <x v="1"/>
    <x v="59"/>
    <n v="0"/>
    <x v="0"/>
    <s v="a70a185c981f45a483e6d1f133ccf7d2"/>
    <s v="FEFA 20V"/>
    <x v="0"/>
    <x v="2"/>
    <s v="Treatment"/>
    <s v="Water purification equipment"/>
    <s v="Mexico"/>
    <d v="2020-06-26T00:00:00"/>
    <d v="2020-06-15T00:00:00"/>
    <s v="MXN"/>
    <n v="26192634"/>
    <n v="26192634"/>
    <s v="MXN"/>
    <n v="26192634"/>
    <n v="1140223"/>
    <b v="1"/>
    <n v="0.8"/>
  </r>
  <r>
    <b v="1"/>
    <x v="0"/>
    <x v="0"/>
    <x v="2"/>
    <x v="0"/>
    <x v="1"/>
    <x v="59"/>
    <n v="0"/>
    <x v="0"/>
    <s v="a70a185c981f45a483e6d1f133ccf7d2"/>
    <s v="FEFA 20V"/>
    <x v="1"/>
    <x v="3"/>
    <s v="Infrastructure"/>
    <s v="Water purification equipment"/>
    <s v="Mexico"/>
    <d v="2020-06-26T00:00:00"/>
    <d v="2020-06-15T00:00:00"/>
    <s v="MXN"/>
    <n v="26192634"/>
    <n v="26192634"/>
    <s v="MXN"/>
    <n v="26192634"/>
    <n v="1140223"/>
    <b v="1"/>
    <n v="0.8"/>
  </r>
  <r>
    <b v="1"/>
    <x v="0"/>
    <x v="0"/>
    <x v="2"/>
    <x v="0"/>
    <x v="1"/>
    <x v="59"/>
    <n v="0"/>
    <x v="0"/>
    <s v="a70a185c981f45a483e6d1f133ccf7d2"/>
    <s v="FEFA 20V"/>
    <x v="0"/>
    <x v="0"/>
    <s v="Bioenergy"/>
    <s v="Biodigesters"/>
    <s v="Mexico"/>
    <d v="2020-06-26T00:00:00"/>
    <d v="2021-02-22T00:00:00"/>
    <s v="MXN"/>
    <n v="55161931"/>
    <n v="55161931"/>
    <s v="MXN"/>
    <n v="55161931"/>
    <n v="2401320"/>
    <b v="1"/>
    <n v="0.8"/>
  </r>
  <r>
    <b v="1"/>
    <x v="0"/>
    <x v="0"/>
    <x v="2"/>
    <x v="0"/>
    <x v="1"/>
    <x v="59"/>
    <n v="0"/>
    <x v="0"/>
    <s v="a70a185c981f45a483e6d1f133ccf7d2"/>
    <s v="FEFA 20V"/>
    <x v="1"/>
    <x v="1"/>
    <s v="Generation"/>
    <s v="Biodigesters"/>
    <s v="Mexico"/>
    <d v="2020-06-26T00:00:00"/>
    <d v="2021-02-22T00:00:00"/>
    <s v="MXN"/>
    <n v="55161931"/>
    <n v="55161931"/>
    <s v="MXN"/>
    <n v="55161931"/>
    <n v="2401320"/>
    <b v="1"/>
    <n v="0.8"/>
  </r>
  <r>
    <b v="1"/>
    <x v="0"/>
    <x v="0"/>
    <x v="2"/>
    <x v="0"/>
    <x v="1"/>
    <x v="59"/>
    <n v="0"/>
    <x v="0"/>
    <s v="a70a185c981f45a483e6d1f133ccf7d2"/>
    <s v="FEFA 20V"/>
    <x v="0"/>
    <x v="0"/>
    <s v="Solar"/>
    <s v="Solar energy equipment"/>
    <s v="Mexico"/>
    <d v="2020-06-26T00:00:00"/>
    <d v="2021-02-08T00:00:00"/>
    <s v="MXN"/>
    <n v="20170452"/>
    <n v="20170452"/>
    <s v="MXN"/>
    <n v="20170452"/>
    <n v="878064"/>
    <b v="1"/>
    <n v="0.8"/>
  </r>
  <r>
    <b v="1"/>
    <x v="0"/>
    <x v="0"/>
    <x v="2"/>
    <x v="0"/>
    <x v="1"/>
    <x v="59"/>
    <n v="0"/>
    <x v="0"/>
    <s v="a70a185c981f45a483e6d1f133ccf7d2"/>
    <s v="FEFA 20V"/>
    <x v="1"/>
    <x v="1"/>
    <s v="Generation"/>
    <s v="Solar energy equipment"/>
    <s v="Mexico"/>
    <d v="2020-06-26T00:00:00"/>
    <d v="2021-02-08T00:00:00"/>
    <s v="MXN"/>
    <n v="20170452"/>
    <n v="20170452"/>
    <s v="MXN"/>
    <n v="20170452"/>
    <n v="878064"/>
    <b v="1"/>
    <n v="0.8"/>
  </r>
  <r>
    <b v="1"/>
    <x v="0"/>
    <x v="0"/>
    <x v="2"/>
    <x v="0"/>
    <x v="1"/>
    <x v="59"/>
    <n v="0"/>
    <x v="0"/>
    <s v="a70a185c981f45a483e6d1f133ccf7d2"/>
    <s v="FEFA 20V"/>
    <x v="0"/>
    <x v="0"/>
    <s v="Solar"/>
    <s v="Solar thermal systems"/>
    <s v="Mexico"/>
    <d v="2020-06-26T00:00:00"/>
    <d v="2021-03-22T00:00:00"/>
    <s v="MXN"/>
    <n v="9072000"/>
    <n v="9072000"/>
    <s v="MXN"/>
    <n v="9072000"/>
    <n v="394924"/>
    <b v="1"/>
    <n v="0.8"/>
  </r>
  <r>
    <b v="1"/>
    <x v="0"/>
    <x v="0"/>
    <x v="2"/>
    <x v="0"/>
    <x v="1"/>
    <x v="59"/>
    <n v="0"/>
    <x v="0"/>
    <s v="a70a185c981f45a483e6d1f133ccf7d2"/>
    <s v="FEFA 20V"/>
    <x v="1"/>
    <x v="1"/>
    <s v="Generation"/>
    <s v="Solar thermal systems"/>
    <s v="Mexico"/>
    <d v="2020-06-26T00:00:00"/>
    <d v="2021-03-22T00:00:00"/>
    <s v="MXN"/>
    <n v="9072000"/>
    <n v="9072000"/>
    <s v="MXN"/>
    <n v="9072000"/>
    <n v="394924"/>
    <b v="1"/>
    <n v="0.8"/>
  </r>
  <r>
    <b v="1"/>
    <x v="0"/>
    <x v="0"/>
    <x v="2"/>
    <x v="0"/>
    <x v="1"/>
    <x v="59"/>
    <n v="0"/>
    <x v="0"/>
    <s v="a70a185c981f45a483e6d1f133ccf7d2"/>
    <s v="FEFA 20V"/>
    <x v="0"/>
    <x v="0"/>
    <s v="Bioenergy"/>
    <s v="Efficient boilers"/>
    <s v="Mexico"/>
    <d v="2020-06-26T00:00:00"/>
    <d v="2021-01-28T00:00:00"/>
    <s v="MXN"/>
    <n v="19393939"/>
    <n v="19393939"/>
    <s v="MXN"/>
    <n v="19393939"/>
    <n v="844261"/>
    <b v="1"/>
    <n v="0.8"/>
  </r>
  <r>
    <b v="1"/>
    <x v="0"/>
    <x v="0"/>
    <x v="2"/>
    <x v="0"/>
    <x v="1"/>
    <x v="59"/>
    <n v="0"/>
    <x v="0"/>
    <s v="a70a185c981f45a483e6d1f133ccf7d2"/>
    <s v="FEFA 20V"/>
    <x v="1"/>
    <x v="4"/>
    <s v="Appliances"/>
    <s v="Efficient boilers"/>
    <s v="Mexico"/>
    <d v="2020-06-26T00:00:00"/>
    <d v="2021-01-28T00:00:00"/>
    <s v="MXN"/>
    <n v="19393939"/>
    <n v="19393939"/>
    <s v="MXN"/>
    <n v="19393939"/>
    <n v="844261"/>
    <b v="1"/>
    <n v="0.8"/>
  </r>
  <r>
    <b v="1"/>
    <x v="0"/>
    <x v="0"/>
    <x v="2"/>
    <x v="0"/>
    <x v="1"/>
    <x v="59"/>
    <n v="0"/>
    <x v="0"/>
    <s v="a70a185c981f45a483e6d1f133ccf7d2"/>
    <s v="FEFA 20V"/>
    <x v="0"/>
    <x v="0"/>
    <s v="Bioenergy"/>
    <s v="Cogeneration of energy equipment"/>
    <s v="Mexico"/>
    <d v="2020-06-26T00:00:00"/>
    <d v="2021-01-22T00:00:00"/>
    <s v="MXN"/>
    <n v="29072126"/>
    <n v="29072126"/>
    <s v="MXN"/>
    <n v="29072126"/>
    <n v="1265574"/>
    <b v="1"/>
    <n v="0.8"/>
  </r>
  <r>
    <b v="1"/>
    <x v="0"/>
    <x v="0"/>
    <x v="2"/>
    <x v="0"/>
    <x v="1"/>
    <x v="59"/>
    <n v="0"/>
    <x v="0"/>
    <s v="a70a185c981f45a483e6d1f133ccf7d2"/>
    <s v="FEFA 20V"/>
    <x v="1"/>
    <x v="4"/>
    <s v="Appliances"/>
    <s v="Cogeneration of energy equipment"/>
    <s v="Mexico"/>
    <d v="2020-06-26T00:00:00"/>
    <d v="2021-01-22T00:00:00"/>
    <s v="MXN"/>
    <n v="29072126"/>
    <n v="29072126"/>
    <s v="MXN"/>
    <n v="29072126"/>
    <n v="1265574"/>
    <b v="1"/>
    <n v="0.8"/>
  </r>
  <r>
    <b v="1"/>
    <x v="0"/>
    <x v="0"/>
    <x v="2"/>
    <x v="0"/>
    <x v="1"/>
    <x v="59"/>
    <n v="0"/>
    <x v="0"/>
    <s v="a70a185c981f45a483e6d1f133ccf7d2"/>
    <s v="FEFA 20V"/>
    <x v="0"/>
    <x v="0"/>
    <s v="Transmission"/>
    <s v="LED luminaires"/>
    <s v="Mexico"/>
    <d v="2020-06-26T00:00:00"/>
    <d v="2020-11-30T00:00:00"/>
    <s v="MXN"/>
    <n v="50419200"/>
    <n v="50419200"/>
    <s v="MXN"/>
    <n v="50419200"/>
    <n v="2194859"/>
    <b v="1"/>
    <n v="0.8"/>
  </r>
  <r>
    <b v="1"/>
    <x v="0"/>
    <x v="0"/>
    <x v="2"/>
    <x v="0"/>
    <x v="1"/>
    <x v="59"/>
    <n v="0"/>
    <x v="0"/>
    <s v="a70a185c981f45a483e6d1f133ccf7d2"/>
    <s v="FEFA 20V"/>
    <x v="1"/>
    <x v="4"/>
    <s v="Appliances"/>
    <s v="LED luminaires"/>
    <s v="Mexico"/>
    <d v="2020-06-26T00:00:00"/>
    <d v="2020-11-30T00:00:00"/>
    <s v="MXN"/>
    <n v="50419200"/>
    <n v="50419200"/>
    <s v="MXN"/>
    <n v="50419200"/>
    <n v="2194859"/>
    <b v="1"/>
    <n v="0.8"/>
  </r>
  <r>
    <b v="1"/>
    <x v="0"/>
    <x v="0"/>
    <x v="2"/>
    <x v="0"/>
    <x v="1"/>
    <x v="59"/>
    <n v="0"/>
    <x v="0"/>
    <s v="a70a185c981f45a483e6d1f133ccf7d2"/>
    <s v="FEFA 20V"/>
    <x v="0"/>
    <x v="0"/>
    <s v="Storage"/>
    <s v="Cooling system modernisation"/>
    <s v="Mexico"/>
    <d v="2020-06-26T00:00:00"/>
    <d v="2021-02-16T00:00:00"/>
    <s v="MXN"/>
    <n v="37730261"/>
    <n v="37730261"/>
    <s v="MXN"/>
    <n v="37730261"/>
    <n v="1642481"/>
    <b v="1"/>
    <n v="0.8"/>
  </r>
  <r>
    <b v="1"/>
    <x v="0"/>
    <x v="0"/>
    <x v="2"/>
    <x v="0"/>
    <x v="1"/>
    <x v="59"/>
    <n v="0"/>
    <x v="0"/>
    <s v="a70a185c981f45a483e6d1f133ccf7d2"/>
    <s v="FEFA 20V"/>
    <x v="1"/>
    <x v="4"/>
    <s v="Appliances"/>
    <s v="Cooling system modernisation"/>
    <s v="Mexico"/>
    <d v="2020-06-26T00:00:00"/>
    <d v="2021-02-16T00:00:00"/>
    <s v="MXN"/>
    <n v="37730261"/>
    <n v="37730261"/>
    <s v="MXN"/>
    <n v="37730261"/>
    <n v="1642481"/>
    <b v="1"/>
    <n v="0.8"/>
  </r>
  <r>
    <b v="1"/>
    <x v="0"/>
    <x v="0"/>
    <x v="2"/>
    <x v="0"/>
    <x v="1"/>
    <x v="59"/>
    <n v="0"/>
    <x v="0"/>
    <s v="a70a185c981f45a483e6d1f133ccf7d2"/>
    <s v="FEFA 20V"/>
    <x v="0"/>
    <x v="0"/>
    <s v="Transmission"/>
    <s v="Efficient pumping systems"/>
    <s v="Mexico"/>
    <d v="2020-06-26T00:00:00"/>
    <d v="2020-08-07T00:00:00"/>
    <s v="MXN"/>
    <n v="2809242"/>
    <n v="2809242"/>
    <s v="MXN"/>
    <n v="2809242"/>
    <n v="122292"/>
    <b v="1"/>
    <n v="0.8"/>
  </r>
  <r>
    <b v="1"/>
    <x v="0"/>
    <x v="0"/>
    <x v="2"/>
    <x v="0"/>
    <x v="1"/>
    <x v="59"/>
    <n v="0"/>
    <x v="0"/>
    <s v="a70a185c981f45a483e6d1f133ccf7d2"/>
    <s v="FEFA 20V"/>
    <x v="1"/>
    <x v="4"/>
    <s v="Appliances"/>
    <s v="Efficient pumping systems"/>
    <s v="Mexico"/>
    <d v="2020-06-26T00:00:00"/>
    <d v="2020-08-07T00:00:00"/>
    <s v="MXN"/>
    <n v="2809242"/>
    <n v="2809242"/>
    <s v="MXN"/>
    <n v="2809242"/>
    <n v="122292"/>
    <b v="1"/>
    <n v="0.8"/>
  </r>
  <r>
    <b v="1"/>
    <x v="0"/>
    <x v="0"/>
    <x v="0"/>
    <x v="0"/>
    <x v="0"/>
    <x v="14"/>
    <n v="0"/>
    <x v="27"/>
    <s v="a0bc4c5a1c144c07bd4a964abff5f34f"/>
    <s v="ISA GB2020 Tramo 14"/>
    <x v="0"/>
    <x v="0"/>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1"/>
    <x v="1"/>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0"/>
    <x v="0"/>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1"/>
    <x v="1"/>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0"/>
    <x v="0"/>
    <s v="Transmission"/>
    <s v="Proyecto COCU-_x000a_Interconexi√≥n Cuestecitas ‚Äì Copey ‚Äì Fundaci√≥n 500/220 mil voltios"/>
    <s v="Colombia"/>
    <d v="2020-08-13T00:00:00"/>
    <d v="2021-07-19T00:00:00"/>
    <s v="COP"/>
    <n v="54587779462"/>
    <n v="54587779462"/>
    <s v="COP"/>
    <n v="54587779462"/>
    <n v="14534997"/>
    <b v="0"/>
    <n v="0.11"/>
  </r>
  <r>
    <b v="1"/>
    <x v="0"/>
    <x v="0"/>
    <x v="0"/>
    <x v="0"/>
    <x v="0"/>
    <x v="14"/>
    <n v="0"/>
    <x v="27"/>
    <s v="a0bc4c5a1c144c07bd4a964abff5f34f"/>
    <s v="ISA GB2020 Tramo 14"/>
    <x v="1"/>
    <x v="1"/>
    <s v="Transmission"/>
    <s v="Proyecto COCU-_x000a_Interconexi√≥n Cuestecitas ‚Äì Copey ‚Äì Fundaci√≥n 500/220 mil voltios"/>
    <s v="Colombia"/>
    <d v="2020-08-13T00:00:00"/>
    <d v="2021-07-19T00:00:00"/>
    <s v="COP"/>
    <n v="54587779462"/>
    <n v="54587779462"/>
    <s v="COP"/>
    <n v="54587779462"/>
    <n v="14534997"/>
    <b v="0"/>
    <n v="0.11"/>
  </r>
  <r>
    <b v="1"/>
    <x v="0"/>
    <x v="0"/>
    <x v="0"/>
    <x v="0"/>
    <x v="0"/>
    <x v="60"/>
    <s v="BBG00QGRGP11"/>
    <x v="0"/>
    <s v="826fb91751eb4970ac578c6e8f0929fc"/>
    <s v="AES Gener Green Bond"/>
    <x v="0"/>
    <x v="0"/>
    <s v="Solar"/>
    <s v="Solar Project I"/>
    <s v="Chile"/>
    <d v="2021-09-30T00:00:00"/>
    <d v="2021-09-30T00:00:00"/>
    <s v="USD"/>
    <n v="134378757"/>
    <n v="134378757"/>
    <s v="USD"/>
    <n v="134378757"/>
    <n v="134378757"/>
    <b v="0"/>
    <n v="0.47"/>
  </r>
  <r>
    <b v="1"/>
    <x v="0"/>
    <x v="0"/>
    <x v="0"/>
    <x v="0"/>
    <x v="0"/>
    <x v="60"/>
    <s v="BBG00QGRGP11"/>
    <x v="0"/>
    <s v="826fb91751eb4970ac578c6e8f0929fc"/>
    <s v="AES Gener Green Bond"/>
    <x v="0"/>
    <x v="0"/>
    <s v="Solar"/>
    <s v="Solar Project I"/>
    <s v="Chile"/>
    <d v="2019-12-31T00:00:00"/>
    <d v="2019-12-31T00:00:00"/>
    <s v="USD"/>
    <n v="23799000"/>
    <n v="23799000"/>
    <s v="USD"/>
    <n v="23799000"/>
    <n v="23799000"/>
    <b v="0"/>
    <n v="0.47"/>
  </r>
  <r>
    <b v="1"/>
    <x v="0"/>
    <x v="0"/>
    <x v="0"/>
    <x v="0"/>
    <x v="0"/>
    <x v="60"/>
    <s v="BBG00QGRGP11"/>
    <x v="0"/>
    <s v="826fb91751eb4970ac578c6e8f0929fc"/>
    <s v="AES Gener Green Bond"/>
    <x v="1"/>
    <x v="1"/>
    <s v="Generation"/>
    <s v="Solar Project I"/>
    <s v="Chile"/>
    <d v="2021-09-30T00:00:00"/>
    <d v="2021-09-30T00:00:00"/>
    <s v="USD"/>
    <n v="134378757"/>
    <n v="134378757"/>
    <s v="USD"/>
    <n v="134378757"/>
    <n v="134378757"/>
    <b v="0"/>
    <n v="0.47"/>
  </r>
  <r>
    <b v="1"/>
    <x v="0"/>
    <x v="0"/>
    <x v="0"/>
    <x v="0"/>
    <x v="0"/>
    <x v="60"/>
    <s v="BBG00QGRGP11"/>
    <x v="0"/>
    <s v="826fb91751eb4970ac578c6e8f0929fc"/>
    <s v="AES Gener Green Bond"/>
    <x v="1"/>
    <x v="1"/>
    <s v="Generation"/>
    <s v="Solar Project I"/>
    <s v="Chile"/>
    <d v="2019-12-31T00:00:00"/>
    <d v="2019-12-31T00:00:00"/>
    <s v="USD"/>
    <n v="23799000"/>
    <n v="23799000"/>
    <s v="USD"/>
    <n v="23799000"/>
    <n v="23799000"/>
    <b v="0"/>
    <n v="0.47"/>
  </r>
  <r>
    <b v="1"/>
    <x v="0"/>
    <x v="0"/>
    <x v="0"/>
    <x v="0"/>
    <x v="0"/>
    <x v="60"/>
    <s v="BBG00QGRGP11"/>
    <x v="0"/>
    <s v="826fb91751eb4970ac578c6e8f0929fc"/>
    <s v="AES Gener Green Bond"/>
    <x v="2"/>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2"/>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3"/>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3"/>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0"/>
    <x v="0"/>
    <s v="Solar"/>
    <s v="Solar Project II"/>
    <s v="Colombia"/>
    <d v="2021-09-30T00:00:00"/>
    <d v="2021-09-30T00:00:00"/>
    <s v="USD"/>
    <n v="17995281"/>
    <n v="17995281"/>
    <s v="USD"/>
    <n v="17995281"/>
    <n v="17995281"/>
    <b v="0"/>
    <n v="0.41"/>
  </r>
  <r>
    <b v="1"/>
    <x v="0"/>
    <x v="0"/>
    <x v="0"/>
    <x v="0"/>
    <x v="0"/>
    <x v="60"/>
    <s v="BBG00QGRGP11"/>
    <x v="0"/>
    <s v="826fb91751eb4970ac578c6e8f0929fc"/>
    <s v="AES Gener Green Bond"/>
    <x v="0"/>
    <x v="0"/>
    <s v="Solar"/>
    <s v="Solar Project II"/>
    <s v="Colombia"/>
    <d v="2019-12-31T00:00:00"/>
    <d v="2019-12-31T00:00:00"/>
    <s v="USD"/>
    <n v="1195000"/>
    <n v="1195000"/>
    <s v="USD"/>
    <n v="1195000"/>
    <n v="1195000"/>
    <b v="0"/>
    <n v="0.41"/>
  </r>
  <r>
    <b v="1"/>
    <x v="0"/>
    <x v="0"/>
    <x v="0"/>
    <x v="0"/>
    <x v="0"/>
    <x v="60"/>
    <s v="BBG00QGRGP11"/>
    <x v="0"/>
    <s v="826fb91751eb4970ac578c6e8f0929fc"/>
    <s v="AES Gener Green Bond"/>
    <x v="1"/>
    <x v="1"/>
    <s v="Generation"/>
    <s v="Solar Project II"/>
    <s v="Colombia"/>
    <d v="2021-09-30T00:00:00"/>
    <d v="2021-09-30T00:00:00"/>
    <s v="USD"/>
    <n v="17995281"/>
    <n v="17995281"/>
    <s v="USD"/>
    <n v="17995281"/>
    <n v="17995281"/>
    <b v="0"/>
    <n v="0.41"/>
  </r>
  <r>
    <b v="1"/>
    <x v="0"/>
    <x v="0"/>
    <x v="0"/>
    <x v="0"/>
    <x v="0"/>
    <x v="60"/>
    <s v="BBG00QGRGP11"/>
    <x v="0"/>
    <s v="826fb91751eb4970ac578c6e8f0929fc"/>
    <s v="AES Gener Green Bond"/>
    <x v="1"/>
    <x v="1"/>
    <s v="Generation"/>
    <s v="Solar Project II"/>
    <s v="Colombia"/>
    <d v="2019-12-31T00:00:00"/>
    <d v="2019-12-31T00:00:00"/>
    <s v="USD"/>
    <n v="1195000"/>
    <n v="1195000"/>
    <s v="USD"/>
    <n v="1195000"/>
    <n v="1195000"/>
    <b v="0"/>
    <n v="0.41"/>
  </r>
  <r>
    <b v="1"/>
    <x v="0"/>
    <x v="0"/>
    <x v="0"/>
    <x v="0"/>
    <x v="0"/>
    <x v="60"/>
    <s v="BBG00QGRGP11"/>
    <x v="0"/>
    <s v="826fb91751eb4970ac578c6e8f0929fc"/>
    <s v="AES Gener Green Bond"/>
    <x v="2"/>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2"/>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3"/>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3"/>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0"/>
    <x v="0"/>
    <s v="Wind"/>
    <s v="Wind Projects"/>
    <s v="Chile"/>
    <d v="2021-09-30T00:00:00"/>
    <d v="2021-09-30T00:00:00"/>
    <s v="USD"/>
    <n v="130226738"/>
    <n v="130226738"/>
    <s v="USD"/>
    <n v="130226738"/>
    <n v="130226738"/>
    <b v="0"/>
    <n v="0.54"/>
  </r>
  <r>
    <b v="1"/>
    <x v="0"/>
    <x v="0"/>
    <x v="0"/>
    <x v="0"/>
    <x v="0"/>
    <x v="60"/>
    <s v="BBG00QGRGP11"/>
    <x v="0"/>
    <s v="826fb91751eb4970ac578c6e8f0929fc"/>
    <s v="AES Gener Green Bond"/>
    <x v="0"/>
    <x v="0"/>
    <s v="Wind"/>
    <s v="Wind Projects"/>
    <s v="Chile"/>
    <d v="2019-12-31T00:00:00"/>
    <d v="2019-12-31T00:00:00"/>
    <s v="USD"/>
    <n v="142404000"/>
    <n v="142404000"/>
    <s v="USD"/>
    <n v="142404000"/>
    <n v="142404000"/>
    <b v="0"/>
    <n v="0.54"/>
  </r>
  <r>
    <b v="1"/>
    <x v="0"/>
    <x v="0"/>
    <x v="0"/>
    <x v="0"/>
    <x v="0"/>
    <x v="60"/>
    <s v="BBG00QGRGP11"/>
    <x v="0"/>
    <s v="826fb91751eb4970ac578c6e8f0929fc"/>
    <s v="AES Gener Green Bond"/>
    <x v="1"/>
    <x v="1"/>
    <s v="Generation"/>
    <s v="Wind Projects"/>
    <s v="Chile"/>
    <d v="2021-09-30T00:00:00"/>
    <d v="2021-09-30T00:00:00"/>
    <s v="USD"/>
    <n v="130226738"/>
    <n v="130226738"/>
    <s v="USD"/>
    <n v="130226738"/>
    <n v="130226738"/>
    <b v="0"/>
    <n v="0.54"/>
  </r>
  <r>
    <b v="1"/>
    <x v="0"/>
    <x v="0"/>
    <x v="0"/>
    <x v="0"/>
    <x v="0"/>
    <x v="60"/>
    <s v="BBG00QGRGP11"/>
    <x v="0"/>
    <s v="826fb91751eb4970ac578c6e8f0929fc"/>
    <s v="AES Gener Green Bond"/>
    <x v="1"/>
    <x v="1"/>
    <s v="Generation"/>
    <s v="Wind Projects"/>
    <s v="Chile"/>
    <d v="2019-12-31T00:00:00"/>
    <d v="2019-12-31T00:00:00"/>
    <s v="USD"/>
    <n v="142404000"/>
    <n v="142404000"/>
    <s v="USD"/>
    <n v="142404000"/>
    <n v="142404000"/>
    <b v="0"/>
    <n v="0.54"/>
  </r>
  <r>
    <b v="1"/>
    <x v="0"/>
    <x v="0"/>
    <x v="0"/>
    <x v="0"/>
    <x v="0"/>
    <x v="60"/>
    <s v="BBG00QGRGP11"/>
    <x v="0"/>
    <s v="826fb91751eb4970ac578c6e8f0929fc"/>
    <s v="AES Gener Green Bond"/>
    <x v="2"/>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2"/>
    <x v="9"/>
    <s v="Unspecified"/>
    <s v="Wind Projects"/>
    <s v="Chile"/>
    <d v="2019-12-31T00:00:00"/>
    <d v="2019-12-31T00:00:00"/>
    <s v="USD"/>
    <n v="142404000"/>
    <n v="142404000"/>
    <s v="USD"/>
    <n v="142404000"/>
    <n v="142404000"/>
    <b v="0"/>
    <n v="0.54"/>
  </r>
  <r>
    <b v="1"/>
    <x v="0"/>
    <x v="0"/>
    <x v="0"/>
    <x v="0"/>
    <x v="0"/>
    <x v="60"/>
    <s v="BBG00QGRGP11"/>
    <x v="0"/>
    <s v="826fb91751eb4970ac578c6e8f0929fc"/>
    <s v="AES Gener Green Bond"/>
    <x v="3"/>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3"/>
    <x v="9"/>
    <s v="Unspecified"/>
    <s v="Wind Projects"/>
    <s v="Chile"/>
    <d v="2019-12-31T00:00:00"/>
    <d v="2019-12-31T00:00:00"/>
    <s v="USD"/>
    <n v="142404000"/>
    <n v="142404000"/>
    <s v="USD"/>
    <n v="142404000"/>
    <n v="142404000"/>
    <b v="0"/>
    <n v="0.54"/>
  </r>
  <r>
    <b v="1"/>
    <x v="2"/>
    <x v="0"/>
    <x v="0"/>
    <x v="0"/>
    <x v="1"/>
    <x v="61"/>
    <s v="BBG00WYXCK74"/>
    <x v="28"/>
    <s v="e7a60b9c1e1547e78842af5b5db91a2f"/>
    <s v="Coca-Cola FEMSA Green Bond"/>
    <x v="0"/>
    <x v="15"/>
    <s v="Reuse"/>
    <s v="Circular Economy"/>
    <s v="Mexico"/>
    <d v="2020-09-21T00:00:00"/>
    <d v="2021-12-31T00:00:00"/>
    <s v="USD"/>
    <n v="93190000"/>
    <n v="93190000"/>
    <s v="USD"/>
    <n v="93190000"/>
    <n v="93190000"/>
    <b v="1"/>
    <n v="1"/>
  </r>
  <r>
    <b v="1"/>
    <x v="2"/>
    <x v="0"/>
    <x v="0"/>
    <x v="0"/>
    <x v="1"/>
    <x v="61"/>
    <s v="BBG00WYXCK74"/>
    <x v="28"/>
    <s v="e7a60b9c1e1547e78842af5b5db91a2f"/>
    <s v="Coca-Cola FEMSA Green Bond"/>
    <x v="0"/>
    <x v="15"/>
    <s v="Reuse"/>
    <s v="Circular Economy"/>
    <s v="Mexico"/>
    <d v="2020-09-21T00:00:00"/>
    <d v="2020-12-31T00:00:00"/>
    <s v="USD"/>
    <n v="235480000"/>
    <n v="235480000"/>
    <s v="USD"/>
    <n v="235480000"/>
    <n v="235480000"/>
    <b v="1"/>
    <n v="1"/>
  </r>
  <r>
    <b v="1"/>
    <x v="2"/>
    <x v="0"/>
    <x v="0"/>
    <x v="0"/>
    <x v="1"/>
    <x v="61"/>
    <s v="BBG00WYXCK74"/>
    <x v="28"/>
    <s v="e7a60b9c1e1547e78842af5b5db91a2f"/>
    <s v="Coca-Cola FEMSA Green Bond"/>
    <x v="1"/>
    <x v="16"/>
    <s v="Packaging"/>
    <s v="Circular Economy"/>
    <s v="Mexico"/>
    <d v="2020-09-21T00:00:00"/>
    <d v="2021-12-31T00:00:00"/>
    <s v="USD"/>
    <n v="93190000"/>
    <n v="93190000"/>
    <s v="USD"/>
    <n v="93190000"/>
    <n v="93190000"/>
    <b v="1"/>
    <n v="1"/>
  </r>
  <r>
    <b v="1"/>
    <x v="2"/>
    <x v="0"/>
    <x v="0"/>
    <x v="0"/>
    <x v="1"/>
    <x v="61"/>
    <s v="BBG00WYXCK74"/>
    <x v="28"/>
    <s v="e7a60b9c1e1547e78842af5b5db91a2f"/>
    <s v="Coca-Cola FEMSA Green Bond"/>
    <x v="1"/>
    <x v="16"/>
    <s v="Packaging"/>
    <s v="Circular Economy"/>
    <s v="Mexico"/>
    <d v="2020-09-21T00:00:00"/>
    <d v="2020-12-31T00:00:00"/>
    <s v="USD"/>
    <n v="235480000"/>
    <n v="235480000"/>
    <s v="USD"/>
    <n v="235480000"/>
    <n v="235480000"/>
    <b v="1"/>
    <n v="1"/>
  </r>
  <r>
    <b v="1"/>
    <x v="2"/>
    <x v="0"/>
    <x v="0"/>
    <x v="0"/>
    <x v="1"/>
    <x v="61"/>
    <s v="BBG00WYXCK74"/>
    <x v="28"/>
    <s v="e7a60b9c1e1547e78842af5b5db91a2f"/>
    <s v="Coca-Cola FEMSA Green Bond"/>
    <x v="0"/>
    <x v="9"/>
    <s v="Unspecified"/>
    <s v="Water Stewardship"/>
    <s v="Mexico"/>
    <d v="2020-09-21T00:00:00"/>
    <d v="2021-12-31T00:00:00"/>
    <s v="USD"/>
    <n v="16850000"/>
    <n v="16850000"/>
    <s v="USD"/>
    <n v="16850000"/>
    <n v="16850000"/>
    <b v="1"/>
    <n v="1"/>
  </r>
  <r>
    <b v="1"/>
    <x v="2"/>
    <x v="0"/>
    <x v="0"/>
    <x v="0"/>
    <x v="1"/>
    <x v="61"/>
    <s v="BBG00WYXCK74"/>
    <x v="28"/>
    <s v="e7a60b9c1e1547e78842af5b5db91a2f"/>
    <s v="Coca-Cola FEMSA Green Bond"/>
    <x v="0"/>
    <x v="9"/>
    <s v="Unspecified"/>
    <s v="Water Stewardship"/>
    <s v="Mexico"/>
    <d v="2020-09-21T00:00:00"/>
    <d v="2020-12-31T00:00:00"/>
    <s v="USD"/>
    <n v="9010000"/>
    <n v="9010000"/>
    <s v="USD"/>
    <n v="9010000"/>
    <n v="9010000"/>
    <b v="1"/>
    <n v="1"/>
  </r>
  <r>
    <b v="1"/>
    <x v="2"/>
    <x v="0"/>
    <x v="0"/>
    <x v="0"/>
    <x v="1"/>
    <x v="61"/>
    <s v="BBG00WYXCK74"/>
    <x v="28"/>
    <s v="e7a60b9c1e1547e78842af5b5db91a2f"/>
    <s v="Coca-Cola FEMSA Green Bond"/>
    <x v="1"/>
    <x v="3"/>
    <s v="Infrastructure"/>
    <s v="Water Stewardship"/>
    <s v="Mexico"/>
    <d v="2020-09-21T00:00:00"/>
    <d v="2021-12-31T00:00:00"/>
    <s v="USD"/>
    <n v="16850000"/>
    <n v="16850000"/>
    <s v="USD"/>
    <n v="16850000"/>
    <n v="16850000"/>
    <b v="1"/>
    <n v="1"/>
  </r>
  <r>
    <b v="1"/>
    <x v="2"/>
    <x v="0"/>
    <x v="0"/>
    <x v="0"/>
    <x v="1"/>
    <x v="61"/>
    <s v="BBG00WYXCK74"/>
    <x v="28"/>
    <s v="e7a60b9c1e1547e78842af5b5db91a2f"/>
    <s v="Coca-Cola FEMSA Green Bond"/>
    <x v="1"/>
    <x v="3"/>
    <s v="Infrastructure"/>
    <s v="Water Stewardship"/>
    <s v="Mexico"/>
    <d v="2020-09-21T00:00:00"/>
    <d v="2020-12-31T00:00:00"/>
    <s v="USD"/>
    <n v="9010000"/>
    <n v="9010000"/>
    <s v="USD"/>
    <n v="9010000"/>
    <n v="9010000"/>
    <b v="1"/>
    <n v="1"/>
  </r>
  <r>
    <b v="1"/>
    <x v="2"/>
    <x v="0"/>
    <x v="0"/>
    <x v="0"/>
    <x v="1"/>
    <x v="61"/>
    <s v="BBG00WYXCK74"/>
    <x v="28"/>
    <s v="e7a60b9c1e1547e78842af5b5db91a2f"/>
    <s v="Coca-Cola FEMSA Green Bond"/>
    <x v="0"/>
    <x v="0"/>
    <s v="Solar"/>
    <s v="Climate Action"/>
    <s v="Mexico"/>
    <d v="2020-09-21T00:00:00"/>
    <d v="2021-12-31T00:00:00"/>
    <s v="USD"/>
    <n v="4590000"/>
    <n v="4590000"/>
    <s v="USD"/>
    <n v="4590000"/>
    <n v="4590000"/>
    <b v="1"/>
    <n v="1"/>
  </r>
  <r>
    <b v="1"/>
    <x v="2"/>
    <x v="0"/>
    <x v="0"/>
    <x v="0"/>
    <x v="1"/>
    <x v="61"/>
    <s v="BBG00WYXCK74"/>
    <x v="28"/>
    <s v="e7a60b9c1e1547e78842af5b5db91a2f"/>
    <s v="Coca-Cola FEMSA Green Bond"/>
    <x v="0"/>
    <x v="0"/>
    <s v="Solar"/>
    <s v="Climate Action"/>
    <s v="Mexico"/>
    <d v="2020-09-21T00:00:00"/>
    <d v="2020-12-31T00:00:00"/>
    <s v="USD"/>
    <n v="1380000"/>
    <n v="1380000"/>
    <s v="USD"/>
    <n v="1380000"/>
    <n v="1380000"/>
    <b v="1"/>
    <n v="1"/>
  </r>
  <r>
    <b v="1"/>
    <x v="2"/>
    <x v="0"/>
    <x v="0"/>
    <x v="0"/>
    <x v="1"/>
    <x v="61"/>
    <s v="BBG00WYXCK74"/>
    <x v="28"/>
    <s v="e7a60b9c1e1547e78842af5b5db91a2f"/>
    <s v="Coca-Cola FEMSA Green Bond"/>
    <x v="1"/>
    <x v="1"/>
    <s v="Generation"/>
    <s v="Climate Action"/>
    <s v="Mexico"/>
    <d v="2020-09-21T00:00:00"/>
    <d v="2021-12-31T00:00:00"/>
    <s v="USD"/>
    <n v="4590000"/>
    <n v="4590000"/>
    <s v="USD"/>
    <n v="4590000"/>
    <n v="4590000"/>
    <b v="1"/>
    <n v="1"/>
  </r>
  <r>
    <b v="1"/>
    <x v="2"/>
    <x v="0"/>
    <x v="0"/>
    <x v="0"/>
    <x v="1"/>
    <x v="61"/>
    <s v="BBG00WYXCK74"/>
    <x v="28"/>
    <s v="e7a60b9c1e1547e78842af5b5db91a2f"/>
    <s v="Coca-Cola FEMSA Green Bond"/>
    <x v="1"/>
    <x v="1"/>
    <s v="Generation"/>
    <s v="Climate Action"/>
    <s v="Mexico"/>
    <d v="2020-09-21T00:00:00"/>
    <d v="2020-12-31T00:00:00"/>
    <s v="USD"/>
    <n v="1380000"/>
    <n v="1380000"/>
    <s v="USD"/>
    <n v="1380000"/>
    <n v="1380000"/>
    <b v="1"/>
    <n v="1"/>
  </r>
  <r>
    <b v="1"/>
    <x v="0"/>
    <x v="0"/>
    <x v="2"/>
    <x v="0"/>
    <x v="1"/>
    <x v="14"/>
    <n v="0"/>
    <x v="29"/>
    <s v="9fc875791e3143a1bb3f864a304e8185"/>
    <s v="Green Bond 2017 - Davivienda"/>
    <x v="0"/>
    <x v="7"/>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0"/>
    <x v="7"/>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1"/>
    <x v="8"/>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1"/>
    <x v="8"/>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0"/>
    <x v="7"/>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0"/>
    <x v="7"/>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1"/>
    <x v="8"/>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1"/>
    <x v="8"/>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0"/>
    <x v="7"/>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0"/>
    <x v="7"/>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1"/>
    <x v="8"/>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1"/>
    <x v="8"/>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0"/>
    <x v="7"/>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0"/>
    <x v="7"/>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1"/>
    <x v="8"/>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1"/>
    <x v="8"/>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0"/>
    <x v="7"/>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0"/>
    <x v="7"/>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1"/>
    <x v="8"/>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1"/>
    <x v="8"/>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0"/>
    <x v="7"/>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0"/>
    <x v="7"/>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1"/>
    <x v="8"/>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1"/>
    <x v="8"/>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0"/>
    <x v="7"/>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0"/>
    <x v="7"/>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1"/>
    <x v="8"/>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1"/>
    <x v="8"/>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0"/>
    <x v="7"/>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1"/>
    <x v="8"/>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0"/>
    <x v="7"/>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0"/>
    <x v="7"/>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1"/>
    <x v="8"/>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1"/>
    <x v="8"/>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0"/>
    <x v="7"/>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0"/>
    <x v="7"/>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1"/>
    <x v="8"/>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1"/>
    <x v="8"/>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0"/>
    <x v="7"/>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0"/>
    <x v="7"/>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1"/>
    <x v="8"/>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1"/>
    <x v="8"/>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0"/>
    <x v="7"/>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0"/>
    <x v="7"/>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1"/>
    <x v="8"/>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1"/>
    <x v="8"/>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0"/>
    <x v="7"/>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0"/>
    <x v="7"/>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1"/>
    <x v="8"/>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1"/>
    <x v="8"/>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0"/>
    <x v="7"/>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0"/>
    <x v="7"/>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1"/>
    <x v="8"/>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1"/>
    <x v="8"/>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0"/>
    <x v="7"/>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0"/>
    <x v="7"/>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1"/>
    <x v="8"/>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1"/>
    <x v="8"/>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0"/>
    <x v="7"/>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1"/>
    <x v="8"/>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0"/>
    <x v="7"/>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0"/>
    <x v="7"/>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1"/>
    <x v="8"/>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1"/>
    <x v="8"/>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0"/>
    <x v="7"/>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1"/>
    <x v="8"/>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0"/>
    <x v="7"/>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0"/>
    <x v="7"/>
    <s v="Commercial"/>
    <s v="Enterprise and Commercial Building #3"/>
    <s v="Colombia"/>
    <d v="2014-06-10T00:00:00"/>
    <d v="2016-04-28T00:00:00"/>
    <s v="COP"/>
    <n v="29000000000"/>
    <n v="27000000000"/>
    <s v="COP"/>
    <n v="27000000000"/>
    <n v="9401179"/>
    <b v="0"/>
    <n v="1"/>
  </r>
  <r>
    <b v="1"/>
    <x v="0"/>
    <x v="0"/>
    <x v="2"/>
    <x v="0"/>
    <x v="1"/>
    <x v="14"/>
    <n v="0"/>
    <x v="29"/>
    <s v="9fc875791e3143a1bb3f864a304e8185"/>
    <s v="Green Bond 2017 - Davivienda"/>
    <x v="1"/>
    <x v="8"/>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1"/>
    <x v="8"/>
    <s v="Commercial"/>
    <s v="Enterprise and Commercial Building #3"/>
    <s v="Colombia"/>
    <d v="2014-06-10T00:00:00"/>
    <d v="2016-04-28T00:00:00"/>
    <s v="COP"/>
    <n v="29000000000"/>
    <n v="27000000000"/>
    <s v="COP"/>
    <n v="27000000000"/>
    <n v="9401179"/>
    <b v="0"/>
    <n v="1"/>
  </r>
  <r>
    <b v="1"/>
    <x v="0"/>
    <x v="0"/>
    <x v="1"/>
    <x v="0"/>
    <x v="1"/>
    <x v="14"/>
    <n v="0"/>
    <x v="30"/>
    <s v="8d5678c837d04ad1b519d55593035eaa"/>
    <s v="ERGON PER√ö - BONO VERDE"/>
    <x v="0"/>
    <x v="0"/>
    <s v="Solar"/>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0"/>
    <x v="0"/>
    <s v="Solar"/>
    <s v="Masivo Fotovoltaico - Electrificaci√≥n de las √°reas rurales"/>
    <s v="Peru"/>
    <d v="2019-12-31T00:00:00"/>
    <d v="2019-12-31T00:00:00"/>
    <s v="USD"/>
    <n v="209889000"/>
    <n v="178647000"/>
    <s v="USD"/>
    <n v="178647000"/>
    <n v="178647000"/>
    <b v="0"/>
    <n v="0.22"/>
  </r>
  <r>
    <b v="1"/>
    <x v="0"/>
    <x v="0"/>
    <x v="1"/>
    <x v="0"/>
    <x v="1"/>
    <x v="14"/>
    <n v="0"/>
    <x v="30"/>
    <s v="8d5678c837d04ad1b519d55593035eaa"/>
    <s v="ERGON PER√ö - BONO VERDE"/>
    <x v="1"/>
    <x v="1"/>
    <s v="Generation"/>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1"/>
    <x v="1"/>
    <s v="Generation"/>
    <s v="Masivo Fotovoltaico - Electrificaci√≥n de las √°reas rurales"/>
    <s v="Peru"/>
    <d v="2019-12-31T00:00:00"/>
    <d v="2019-12-31T00:00:00"/>
    <s v="USD"/>
    <n v="209889000"/>
    <n v="178647000"/>
    <s v="USD"/>
    <n v="178647000"/>
    <n v="178647000"/>
    <b v="0"/>
    <n v="0.22"/>
  </r>
  <r>
    <b v="1"/>
    <x v="0"/>
    <x v="0"/>
    <x v="2"/>
    <x v="0"/>
    <x v="1"/>
    <x v="14"/>
    <n v="0"/>
    <x v="29"/>
    <s v="9fc875791e3143a1bb3f864a304e8185"/>
    <s v="Green Bond 2017 - Davivienda"/>
    <x v="0"/>
    <x v="7"/>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1"/>
    <x v="8"/>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2"/>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3"/>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0"/>
    <x v="7"/>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0"/>
    <x v="7"/>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1"/>
    <x v="8"/>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1"/>
    <x v="8"/>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2"/>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2"/>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3"/>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3"/>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0"/>
    <x v="7"/>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0"/>
    <x v="7"/>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1"/>
    <x v="8"/>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1"/>
    <x v="8"/>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2"/>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2"/>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3"/>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3"/>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0"/>
    <x v="7"/>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0"/>
    <x v="7"/>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1"/>
    <x v="8"/>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1"/>
    <x v="8"/>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2"/>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2"/>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3"/>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3"/>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0"/>
    <x v="7"/>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1"/>
    <x v="8"/>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2"/>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3"/>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0"/>
    <x v="7"/>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1"/>
    <x v="8"/>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2"/>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3"/>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0"/>
    <x v="7"/>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0"/>
    <x v="7"/>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1"/>
    <x v="8"/>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1"/>
    <x v="8"/>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2"/>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2"/>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3"/>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3"/>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0"/>
    <x v="7"/>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0"/>
    <x v="7"/>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1"/>
    <x v="8"/>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1"/>
    <x v="8"/>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2"/>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2"/>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3"/>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3"/>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0"/>
    <x v="7"/>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0"/>
    <x v="7"/>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1"/>
    <x v="8"/>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1"/>
    <x v="8"/>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2"/>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2"/>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3"/>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3"/>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0"/>
    <x v="7"/>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0"/>
    <x v="7"/>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1"/>
    <x v="8"/>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1"/>
    <x v="8"/>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2"/>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2"/>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3"/>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3"/>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0"/>
    <x v="7"/>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0"/>
    <x v="7"/>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1"/>
    <x v="8"/>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1"/>
    <x v="8"/>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2"/>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2"/>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3"/>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3"/>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0"/>
    <x v="7"/>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0"/>
    <x v="7"/>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1"/>
    <x v="8"/>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1"/>
    <x v="8"/>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2"/>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2"/>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3"/>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3"/>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0"/>
    <x v="7"/>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1"/>
    <x v="8"/>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2"/>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3"/>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0"/>
    <x v="7"/>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1"/>
    <x v="8"/>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2"/>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3"/>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0"/>
    <x v="7"/>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0"/>
    <x v="7"/>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1"/>
    <x v="8"/>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1"/>
    <x v="8"/>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2"/>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2"/>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3"/>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3"/>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0"/>
    <x v="7"/>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0"/>
    <x v="7"/>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1"/>
    <x v="8"/>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1"/>
    <x v="8"/>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2"/>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2"/>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3"/>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3"/>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0"/>
    <x v="7"/>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0"/>
    <x v="7"/>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1"/>
    <x v="8"/>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1"/>
    <x v="8"/>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2"/>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2"/>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3"/>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3"/>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0"/>
    <x v="7"/>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0"/>
    <x v="7"/>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1"/>
    <x v="8"/>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1"/>
    <x v="8"/>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2"/>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2"/>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3"/>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3"/>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0"/>
    <x v="7"/>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0"/>
    <x v="7"/>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1"/>
    <x v="8"/>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1"/>
    <x v="8"/>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2"/>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2"/>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3"/>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3"/>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0"/>
    <x v="7"/>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0"/>
    <x v="7"/>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1"/>
    <x v="8"/>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1"/>
    <x v="8"/>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2"/>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2"/>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3"/>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3"/>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0"/>
    <x v="7"/>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0"/>
    <x v="7"/>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1"/>
    <x v="8"/>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1"/>
    <x v="8"/>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2"/>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2"/>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3"/>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3"/>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0"/>
    <x v="7"/>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0"/>
    <x v="7"/>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1"/>
    <x v="8"/>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1"/>
    <x v="8"/>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2"/>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2"/>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3"/>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3"/>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0"/>
    <x v="7"/>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0"/>
    <x v="7"/>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1"/>
    <x v="8"/>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1"/>
    <x v="8"/>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2"/>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2"/>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3"/>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3"/>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0"/>
    <x v="7"/>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0"/>
    <x v="7"/>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1"/>
    <x v="8"/>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1"/>
    <x v="8"/>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2"/>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2"/>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3"/>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3"/>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0"/>
    <x v="7"/>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1"/>
    <x v="8"/>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2"/>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3"/>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0"/>
    <x v="7"/>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1"/>
    <x v="8"/>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2"/>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3"/>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0"/>
    <x v="7"/>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0"/>
    <x v="7"/>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1"/>
    <x v="8"/>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1"/>
    <x v="8"/>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2"/>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2"/>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3"/>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3"/>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0"/>
    <x v="7"/>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1"/>
    <x v="8"/>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2"/>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3"/>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0"/>
    <x v="7"/>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0"/>
    <x v="7"/>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1"/>
    <x v="8"/>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1"/>
    <x v="8"/>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2"/>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2"/>
    <x v="9"/>
    <s v="Unspecified"/>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3"/>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3"/>
    <x v="9"/>
    <s v="Unspecified"/>
    <s v="Residential Building #33"/>
    <s v="Colombia"/>
    <d v="2020-12-22T00:00:00"/>
    <d v="2021-10-27T00:00:00"/>
    <s v="COP"/>
    <n v="31746000000"/>
    <n v="31746000000"/>
    <s v="COP"/>
    <n v="31746000000"/>
    <n v="11053698"/>
    <b v="0"/>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66AD16F-8CBB-9C44-A635-272AEF745529}" name="PivotTable6" cacheId="21"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H8:K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h="1" x="2"/>
        <item h="1"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x="2"/>
        <item x="1"/>
        <item x="0"/>
        <item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A67810-F248-9C4F-BDB1-51B406C4D483}" name="PivotTable5" cacheId="21"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A8:D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x="2"/>
        <item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h="1" x="2"/>
        <item h="1" x="1"/>
        <item x="0"/>
        <item h="1"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filterColumn colId="4">
      <filters>
        <filter val="FALSE"/>
      </filters>
    </filterColumn>
    <filterColumn colId="6">
      <filters>
        <filter val="FALSE"/>
      </filters>
    </filterColumn>
    <filterColumn colId="25">
      <customFilters>
        <customFilter operator="notEqual" val=" "/>
      </customFilters>
    </filterColumn>
  </autoFilter>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7"/>
    <tableColumn id="19" xr3:uid="{7EC3CFE5-B286-8746-8944-31E4DFC081AC}" name="Maturity date (date)" dataDxfId="6"/>
    <tableColumn id="20" xr3:uid="{6D014247-ED01-2A45-85F1-C186DBB916EB}" name="Last published (date)" dataDxfId="5"/>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4">
      <calculatedColumnFormula>AM14</calculatedColumnFormula>
    </tableColumn>
    <tableColumn id="29" xr3:uid="{BA0C6CF8-90B8-CF40-A4A0-2859D76D1916}" name="extract cateogry table" dataDxfId="3"/>
    <tableColumn id="30" xr3:uid="{6144A1BA-4369-474B-8261-5361C4CA1F5F}" name="Find UOP" dataDxfId="2"/>
    <tableColumn id="31" xr3:uid="{217DB38C-B327-6C4A-8148-F783F1714336}" name="find token similarity" dataDxfId="1"/>
    <tableColumn id="32" xr3:uid="{CF906A20-63E1-504F-921B-8A245C168945}" name="non english" dataDxfId="0"/>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3">
      <filters>
        <filter val="TRUE - Wave 1"/>
      </filters>
    </filterColumn>
    <filterColumn colId="12">
      <filters>
        <filter val="ICMA Green Bonds Principles Project Categories"/>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3" dT="2026-06-30T08:26:39.29" personId="{2B7FBC34-97F8-4740-9AF1-EAB30549931C}" id="{0145379E-184F-554D-A39C-F5247F5B0D2C}">
    <text>UOP include Renewable Energy, Energy Efficiency, Water Efficiency &amp; Sustainable Buildings</text>
  </threadedComment>
  <threadedComment ref="R4" dT="2026-06-30T09:02:37.32" personId="{2B7FBC34-97F8-4740-9AF1-EAB30549931C}" id="{CC052EA0-85E3-EA44-8A2E-2E9C03C5920B}">
    <text>UOP include Renewable Energy &amp; Energy Efficiency</text>
  </threadedComment>
  <threadedComment ref="R5" dT="2026-06-30T08:32:51.40" personId="{2B7FBC34-97F8-4740-9AF1-EAB30549931C}" id="{BEAB167B-4359-4F49-BAC7-C89EDCABB3DA}">
    <text>UOP include Energy Efficiency, Sustainable Water &amp; Wastewater Management, Clean Transportation, Green Buildings &amp; renewable Energy</text>
  </threadedComment>
  <threadedComment ref="R6" dT="2026-06-30T09:05:28.00" personId="{2B7FBC34-97F8-4740-9AF1-EAB30549931C}" id="{480743B7-2DA2-B74F-8A6E-7DE8D7FFED2F}">
    <text>UOP include renewable Energy, Flood Defences, Agriculture &amp; Forestry</text>
  </threadedComment>
  <threadedComment ref="R7" dT="2026-06-30T09:07:53.75" personId="{2B7FBC34-97F8-4740-9AF1-EAB30549931C}" id="{E889D926-5384-9D43-BE09-6F5D0768450B}">
    <text>UOP include Renewable Energy, Clean Transportation, Sustainable Management, Waste management, Water Management &amp; Energy Efficiency</text>
  </threadedComment>
  <threadedComment ref="R8" dT="2026-06-29T14:24:06.92" personId="{3BB317D7-67EE-1549-9082-675539A31924}" id="{2C455E6B-A506-C448-95EC-A909314A37D7}">
    <text>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ext>
  </threadedComment>
  <threadedComment ref="P9" dT="2026-06-30T09:10:37.46" personId="{2B7FBC34-97F8-4740-9AF1-EAB30549931C}" id="{AB6472DE-4185-D249-812D-337D2F2D7122}">
    <text>UOP include Renewable Energy</text>
  </threadedComment>
  <threadedComment ref="R10" dT="2026-06-29T10:42:05.31" personId="{2B7FBC34-97F8-4740-9AF1-EAB30549931C}" id="{516055E0-2F26-8344-B136-645E27AF6E0D}">
    <text>UOPs are Water Efficiency, Energy Efficiency, Renewable Energy &amp; Environmentally Sustainable Agriculture</text>
  </threadedComment>
  <threadedComment ref="R10" dT="2026-06-30T09:51:05.00" personId="{CB5ACE96-A5B0-7D4D-970B-938D06F8D252}" id="{3B9F98B6-F66F-A54F-B48E-817784F9B3E8}" parentId="{516055E0-2F26-8344-B136-645E27AF6E0D}">
    <text>Checked no changes</text>
  </threadedComment>
  <threadedComment ref="R11" dT="2026-06-29T11:26:11.87" personId="{2B7FBC34-97F8-4740-9AF1-EAB30549931C}" id="{00ADAAFC-8ABD-BB4E-8D8C-3D02BF5C746E}">
    <text xml:space="preserve">UOPs are Water Efficiency, Energy Efficiency, Renewable Energy &amp; Environmentally Sustainable Agriculture
</text>
  </threadedComment>
  <threadedComment ref="R11" dT="2026-06-30T09:51:17.84" personId="{CB5ACE96-A5B0-7D4D-970B-938D06F8D252}" id="{4D032C57-ADF4-5043-B36A-1062B7545CF3}" parentId="{00ADAAFC-8ABD-BB4E-8D8C-3D02BF5C746E}">
    <text>Checked no changes</text>
  </threadedComment>
  <threadedComment ref="R12" dT="2026-06-29T11:26:19.59" personId="{2B7FBC34-97F8-4740-9AF1-EAB30549931C}" id="{A93490A6-AAA4-2248-8BED-47FB1BB375A5}">
    <text xml:space="preserve">UOPs are Water Efficiency, Energy Efficiency, Renewable Energy &amp; Environmentally Sustainable Agriculture
</text>
  </threadedComment>
  <threadedComment ref="R12" dT="2026-06-30T09:51:31.06" personId="{CB5ACE96-A5B0-7D4D-970B-938D06F8D252}" id="{5BD7CC98-1652-224B-906A-2DAC1050F215}" parentId="{A93490A6-AAA4-2248-8BED-47FB1BB375A5}">
    <text>Checked no changes</text>
  </threadedComment>
  <threadedComment ref="P13" dT="2026-06-29T11:32:08.93" personId="{2B7FBC34-97F8-4740-9AF1-EAB30549931C}" id="{4A625130-7E8A-9B4E-B9C8-2EBEBCF458D8}">
    <text xml:space="preserve">UOP include electric power transmission infrastructures </text>
  </threadedComment>
  <threadedComment ref="P13" dT="2026-06-30T10:01:29.19" personId="{CB5ACE96-A5B0-7D4D-970B-938D06F8D252}" id="{ADA3EA72-3CFE-8F4A-919D-09B8CAB27104}" parentId="{4A625130-7E8A-9B4E-B9C8-2EBEBCF458D8}">
    <text>Agree no change</text>
  </threadedComment>
  <threadedComment ref="P14" dT="2026-06-29T11:32:20.05" personId="{2B7FBC34-97F8-4740-9AF1-EAB30549931C}" id="{BE14DC6E-2D58-874D-891B-3B7A5DB1C57D}">
    <text>UOP include electric power transmission infrastructures</text>
  </threadedComment>
  <threadedComment ref="P14" dT="2026-06-30T10:01:36.33" personId="{CB5ACE96-A5B0-7D4D-970B-938D06F8D252}" id="{4CF29586-DC2F-C34D-8862-F0462BB5FC4F}" parentId="{BE14DC6E-2D58-874D-891B-3B7A5DB1C57D}">
    <text>Agree no change</text>
  </threadedComment>
  <threadedComment ref="P15" dT="2026-06-29T11:32:26.98" personId="{2B7FBC34-97F8-4740-9AF1-EAB30549931C}" id="{1AB3B3D0-CAD4-464D-A2CD-D92C433339AC}">
    <text>UOP include electric power transmission infrastructures</text>
  </threadedComment>
  <threadedComment ref="P15" dT="2026-06-30T10:01:41.46" personId="{CB5ACE96-A5B0-7D4D-970B-938D06F8D252}" id="{86CDAFA6-862C-BB4D-91CF-8149A46D7BCF}" parentId="{1AB3B3D0-CAD4-464D-A2CD-D92C433339AC}">
    <text>Agree no change</text>
  </threadedComment>
  <threadedComment ref="R16" dT="2026-06-29T11:17:39.39" personId="{2B7FBC34-97F8-4740-9AF1-EAB30549931C}" id="{F0ABFC7B-83A3-1D41-99F0-D34DC1FB0744}">
    <text xml:space="preserve">UOP include Energy Efficiency , Sustainable Water Management , Pollution Prevention and Control </text>
  </threadedComment>
  <threadedComment ref="R17" dT="2026-06-29T11:22:06.92" personId="{2B7FBC34-97F8-4740-9AF1-EAB30549931C}" id="{EF865A72-07FA-7240-833D-312B9460C279}">
    <text>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text>
  </threadedComment>
  <threadedComment ref="R17" dT="2026-06-30T09:53:48.18" personId="{CB5ACE96-A5B0-7D4D-970B-938D06F8D252}" id="{0230C3BC-EE7E-3346-842F-C8134E193F08}" parentId="{EF865A72-07FA-7240-833D-312B9460C279}">
    <text>No changes required</text>
  </threadedComment>
  <threadedComment ref="R18" dT="2026-06-29T11:22:16.45" personId="{2B7FBC34-97F8-4740-9AF1-EAB30549931C}" id="{25611C2E-F7FD-154F-942C-8824141B8674}">
    <text xml:space="preserve">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text>
  </threadedComment>
  <threadedComment ref="R18" dT="2026-06-30T09:54:09.30" personId="{CB5ACE96-A5B0-7D4D-970B-938D06F8D252}" id="{4C6B1CDB-15FE-3A41-A27D-4AB59296AD35}" parentId="{25611C2E-F7FD-154F-942C-8824141B8674}">
    <text>Agree no changes required</text>
  </threadedComment>
  <threadedComment ref="R19" dT="2026-06-29T11:38:21.28" personId="{2B7FBC34-97F8-4740-9AF1-EAB30549931C}" id="{22434478-EA82-B046-BD99-4934ADD81F75}">
    <text>UOP include renewable energy, energy efficiency, cleaner production, agriculture, construction, transportation and waste management</text>
  </threadedComment>
  <threadedComment ref="R19" dT="2026-06-30T10:02:09.48" personId="{CB5ACE96-A5B0-7D4D-970B-938D06F8D252}" id="{B96A8B5E-768F-7A4C-8E1C-13963B06B5F7}" parentId="{22434478-EA82-B046-BD99-4934ADD81F75}">
    <text>Agree no change</text>
  </threadedComment>
  <threadedComment ref="R20" dT="2026-06-29T11:03:39.98" personId="{2B7FBC34-97F8-4740-9AF1-EAB30549931C}" id="{F57FBFE0-A00B-5648-8EBB-118C9BFF2A0D}">
    <text>UOP include Potable Water supply and Wastewater treatment</text>
  </threadedComment>
  <threadedComment ref="R20" dT="2026-06-30T10:02:03.01" personId="{CB5ACE96-A5B0-7D4D-970B-938D06F8D252}" id="{2F02A7B4-67CE-8149-8F97-A2DC179ADCB8}" parentId="{F57FBFE0-A00B-5648-8EBB-118C9BFF2A0D}">
    <text>Agree no change</text>
  </threadedComment>
  <threadedComment ref="R21" dT="2026-06-29T10:57:27.65" personId="{2B7FBC34-97F8-4740-9AF1-EAB30549931C}" id="{57260984-3284-E849-9A4A-E4B836B6B78B}">
    <text>UoP include Sustainable forest management, Sustainable water resource management, Preservation of biodiversity and restoration of forest cover of high conservation value, Prevention and control, Energy efficiency</text>
  </threadedComment>
  <threadedComment ref="R21" dT="2026-06-30T09:56:58.33" personId="{CB5ACE96-A5B0-7D4D-970B-938D06F8D252}" id="{2055EC68-D396-0040-8829-FEE77A1F4E45}" parentId="{57260984-3284-E849-9A4A-E4B836B6B78B}">
    <text>Agree no change required</text>
  </threadedComment>
  <threadedComment ref="P22" dT="2026-06-29T10:42:15.37" personId="{CB5ACE96-A5B0-7D4D-970B-938D06F8D252}" id="{4415F625-77FC-144D-A93C-074F686CF8B0}">
    <text xml:space="preserve">allocated towards financing or refinancing new and existing renewable energy projects </text>
  </threadedComment>
  <threadedComment ref="P22" dT="2026-06-29T17:05:33.20" personId="{3BB317D7-67EE-1549-9082-675539A31924}" id="{04EC71EC-45C9-D946-9395-CE6E5D0062F3}" parentId="{4415F625-77FC-144D-A93C-074F686CF8B0}">
    <text>Agree, no change</text>
  </threadedComment>
  <threadedComment ref="R23" dT="2026-06-29T11:09:23.68" personId="{CB5ACE96-A5B0-7D4D-970B-938D06F8D252}" id="{714E5C75-A2DA-EA49-BD5A-18C7767233EE}">
    <text xml:space="preserve">Renewable energy; Efficiency; waste treatment; sustainable agriculture </text>
  </threadedComment>
  <threadedComment ref="R23" dT="2026-06-29T17:28:25.24" personId="{3BB317D7-67EE-1549-9082-675539A31924}" id="{80616A5C-E565-FF47-858D-A53E70435EFD}" parentId="{714E5C75-A2DA-EA49-BD5A-18C7767233EE}">
    <text xml:space="preserve">I got 8 total categories from pages 10-13:
Renewable energy
Energy efficiency
Sustainable Transportation
Sustainable Infrastructure
Green Construction
Water
Handling of Waste
Use of Soil
</text>
  </threadedComment>
  <threadedComment ref="R24" dT="2026-06-29T11:16:04.45" personId="{CB5ACE96-A5B0-7D4D-970B-938D06F8D252}" id="{DCB81AFB-8E57-BB4C-A2B2-6B7B37E459E8}">
    <text>Renewable energy; information &amp; communication technologies; sustainable aquacultural ; agriculture; forest mgmt.; clean transportation; waste water treatment plans</text>
  </threadedComment>
  <threadedComment ref="R24" dT="2026-06-29T17:07:34.75" personId="{3BB317D7-67EE-1549-9082-675539A31924}" id="{34D79488-EAAD-5A44-AF14-28F02DBEE9E9}" parentId="{DCB81AFB-8E57-BB4C-A2B2-6B7B37E459E8}">
    <text>Agree, no change</text>
  </threadedComment>
  <threadedComment ref="R25" dT="2026-06-29T11:03:19.15" personId="{CB5ACE96-A5B0-7D4D-970B-938D06F8D252}" id="{9E3E33F2-02E2-3F45-BD75-1CB76D984853}">
    <text>Clean transportation ; pollution prevention and control</text>
  </threadedComment>
  <threadedComment ref="R25" dT="2026-06-29T17:05:39.85" personId="{3BB317D7-67EE-1549-9082-675539A31924}" id="{BC871D25-AA81-6940-B4B0-B0258A685EF0}" parentId="{9E3E33F2-02E2-3F45-BD75-1CB76D984853}">
    <text>Agree, no change</text>
  </threadedComment>
  <threadedComment ref="R26" dT="2026-06-29T10:58:34.60" personId="{CB5ACE96-A5B0-7D4D-970B-938D06F8D252}" id="{D0CB8269-2B33-8243-B878-0B2A1AD60526}">
    <text>Drinking water solutions; water storage; sanitation and sewage treatment; water and waste water treatment</text>
  </threadedComment>
  <threadedComment ref="R26" dT="2026-06-29T17:05:45.50" personId="{3BB317D7-67EE-1549-9082-675539A31924}" id="{680DEB9C-CECE-0D45-BBE2-EF813E6509E6}" parentId="{D0CB8269-2B33-8243-B878-0B2A1AD60526}">
    <text>Agree, no change</text>
  </threadedComment>
  <threadedComment ref="P27" dT="2026-06-29T17:06:03.31" personId="{3BB317D7-67EE-1549-9082-675539A31924}" id="{C0F716C7-B57D-FF4C-9342-24FB300846DC}">
    <text>Agree, no change</text>
  </threadedComment>
</ThreadedComments>
</file>

<file path=xl/threadedComments/threadedComment2.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5C06-7FBA-D548-914E-83A1EF597C32}">
  <dimension ref="A3:C33"/>
  <sheetViews>
    <sheetView zoomScale="112" zoomScaleNormal="112" workbookViewId="0">
      <selection activeCell="B10" sqref="B10"/>
    </sheetView>
  </sheetViews>
  <sheetFormatPr baseColWidth="10" defaultColWidth="11" defaultRowHeight="16" x14ac:dyDescent="0.2"/>
  <cols>
    <col min="2" max="2" width="76" bestFit="1" customWidth="1"/>
  </cols>
  <sheetData>
    <row r="3" spans="1:3" x14ac:dyDescent="0.2">
      <c r="B3" s="28" t="s">
        <v>2811</v>
      </c>
    </row>
    <row r="4" spans="1:3" x14ac:dyDescent="0.2">
      <c r="A4" s="73" t="s">
        <v>2810</v>
      </c>
      <c r="B4" t="s">
        <v>2809</v>
      </c>
    </row>
    <row r="5" spans="1:3" x14ac:dyDescent="0.2">
      <c r="A5" s="73"/>
      <c r="B5" t="s">
        <v>2808</v>
      </c>
    </row>
    <row r="6" spans="1:3" x14ac:dyDescent="0.2">
      <c r="A6" s="73"/>
      <c r="B6" t="s">
        <v>2807</v>
      </c>
    </row>
    <row r="7" spans="1:3" x14ac:dyDescent="0.2">
      <c r="A7" s="73"/>
      <c r="B7" s="59" t="s">
        <v>2806</v>
      </c>
    </row>
    <row r="8" spans="1:3" x14ac:dyDescent="0.2">
      <c r="A8" s="73"/>
      <c r="B8" s="59" t="s">
        <v>2805</v>
      </c>
    </row>
    <row r="9" spans="1:3" x14ac:dyDescent="0.2">
      <c r="A9" s="73"/>
      <c r="B9" s="59" t="s">
        <v>2804</v>
      </c>
    </row>
    <row r="10" spans="1:3" x14ac:dyDescent="0.2">
      <c r="A10" s="73"/>
      <c r="B10" t="s">
        <v>2803</v>
      </c>
    </row>
    <row r="11" spans="1:3" x14ac:dyDescent="0.2">
      <c r="A11" s="58"/>
    </row>
    <row r="12" spans="1:3" x14ac:dyDescent="0.2">
      <c r="A12" s="73" t="s">
        <v>2802</v>
      </c>
      <c r="B12" t="s">
        <v>2801</v>
      </c>
    </row>
    <row r="13" spans="1:3" x14ac:dyDescent="0.2">
      <c r="A13" s="73"/>
      <c r="B13" s="61" t="s">
        <v>2800</v>
      </c>
      <c r="C13" s="60" t="s">
        <v>2799</v>
      </c>
    </row>
    <row r="14" spans="1:3" x14ac:dyDescent="0.2">
      <c r="A14" s="73"/>
      <c r="B14" s="61" t="s">
        <v>2798</v>
      </c>
      <c r="C14" s="60" t="s">
        <v>2797</v>
      </c>
    </row>
    <row r="15" spans="1:3" x14ac:dyDescent="0.2">
      <c r="A15" s="73"/>
      <c r="B15" s="61" t="s">
        <v>2796</v>
      </c>
      <c r="C15" s="60" t="s">
        <v>2795</v>
      </c>
    </row>
    <row r="16" spans="1:3" x14ac:dyDescent="0.2">
      <c r="A16" s="73"/>
      <c r="B16" s="61" t="s">
        <v>2794</v>
      </c>
      <c r="C16" s="60" t="s">
        <v>2793</v>
      </c>
    </row>
    <row r="17" spans="1:2" x14ac:dyDescent="0.2">
      <c r="A17" s="73"/>
      <c r="B17" t="s">
        <v>2792</v>
      </c>
    </row>
    <row r="18" spans="1:2" x14ac:dyDescent="0.2">
      <c r="A18" s="73"/>
      <c r="B18" t="s">
        <v>2791</v>
      </c>
    </row>
    <row r="19" spans="1:2" x14ac:dyDescent="0.2">
      <c r="A19" s="73"/>
      <c r="B19" s="26" t="s">
        <v>2790</v>
      </c>
    </row>
    <row r="20" spans="1:2" x14ac:dyDescent="0.2">
      <c r="A20" s="73"/>
      <c r="B20" s="59" t="s">
        <v>2789</v>
      </c>
    </row>
    <row r="21" spans="1:2" x14ac:dyDescent="0.2">
      <c r="A21" s="58"/>
    </row>
    <row r="22" spans="1:2" x14ac:dyDescent="0.2">
      <c r="A22" s="73" t="s">
        <v>2788</v>
      </c>
      <c r="B22" t="s">
        <v>2787</v>
      </c>
    </row>
    <row r="23" spans="1:2" x14ac:dyDescent="0.2">
      <c r="A23" s="73"/>
      <c r="B23" t="s">
        <v>2786</v>
      </c>
    </row>
    <row r="24" spans="1:2" x14ac:dyDescent="0.2">
      <c r="A24" s="73"/>
      <c r="B24" t="s">
        <v>2785</v>
      </c>
    </row>
    <row r="25" spans="1:2" x14ac:dyDescent="0.2">
      <c r="A25" s="73"/>
      <c r="B25" t="s">
        <v>2784</v>
      </c>
    </row>
    <row r="26" spans="1:2" x14ac:dyDescent="0.2">
      <c r="A26" s="73"/>
      <c r="B26" t="s">
        <v>2783</v>
      </c>
    </row>
    <row r="27" spans="1:2" x14ac:dyDescent="0.2">
      <c r="A27" s="73"/>
      <c r="B27" t="s">
        <v>2782</v>
      </c>
    </row>
    <row r="28" spans="1:2" x14ac:dyDescent="0.2">
      <c r="A28" s="58"/>
    </row>
    <row r="29" spans="1:2" ht="16" customHeight="1" x14ac:dyDescent="0.2">
      <c r="A29" s="73" t="s">
        <v>2781</v>
      </c>
      <c r="B29" t="s">
        <v>2780</v>
      </c>
    </row>
    <row r="30" spans="1:2" x14ac:dyDescent="0.2">
      <c r="A30" s="73"/>
      <c r="B30" t="s">
        <v>2779</v>
      </c>
    </row>
    <row r="31" spans="1:2" x14ac:dyDescent="0.2">
      <c r="A31" s="73"/>
      <c r="B31" t="s">
        <v>2778</v>
      </c>
    </row>
    <row r="32" spans="1:2" x14ac:dyDescent="0.2">
      <c r="A32" s="73"/>
      <c r="B32" t="s">
        <v>2777</v>
      </c>
    </row>
    <row r="33" spans="1:2" x14ac:dyDescent="0.2">
      <c r="A33" s="73"/>
      <c r="B33" t="s">
        <v>2776</v>
      </c>
    </row>
  </sheetData>
  <mergeCells count="4">
    <mergeCell ref="A4:A10"/>
    <mergeCell ref="A12:A20"/>
    <mergeCell ref="A22:A27"/>
    <mergeCell ref="A29:A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357E-522A-C641-8FDD-929C0C184D4C}">
  <dimension ref="A1:T27"/>
  <sheetViews>
    <sheetView topLeftCell="K1" zoomScale="90" zoomScaleNormal="90" workbookViewId="0">
      <selection activeCell="J16" sqref="A16:XFD16"/>
    </sheetView>
  </sheetViews>
  <sheetFormatPr baseColWidth="10" defaultColWidth="10.83203125" defaultRowHeight="16" x14ac:dyDescent="0.2"/>
  <cols>
    <col min="1" max="1" width="14.5" bestFit="1" customWidth="1"/>
    <col min="2" max="2" width="15" bestFit="1" customWidth="1"/>
    <col min="3" max="3" width="10.6640625" bestFit="1" customWidth="1"/>
    <col min="4" max="4" width="15.83203125" bestFit="1" customWidth="1"/>
    <col min="5" max="5" width="24.6640625" customWidth="1"/>
    <col min="6" max="6" width="15.1640625" bestFit="1" customWidth="1"/>
    <col min="7" max="7" width="17.5" bestFit="1" customWidth="1"/>
    <col min="8" max="8" width="20.6640625" customWidth="1"/>
    <col min="9" max="9" width="21.6640625" bestFit="1" customWidth="1"/>
    <col min="10" max="10" width="15.5" bestFit="1" customWidth="1"/>
    <col min="11" max="11" width="54.6640625" customWidth="1"/>
    <col min="12" max="12" width="11.1640625" bestFit="1" customWidth="1"/>
    <col min="13" max="13" width="9.1640625" customWidth="1"/>
    <col min="14" max="14" width="17" customWidth="1"/>
    <col min="15" max="15" width="14.6640625" customWidth="1"/>
    <col min="16" max="16" width="21" bestFit="1" customWidth="1"/>
    <col min="17" max="17" width="23.83203125" bestFit="1" customWidth="1"/>
    <col min="18" max="18" width="21.6640625" bestFit="1" customWidth="1"/>
    <col min="19" max="19" width="17.83203125" bestFit="1" customWidth="1"/>
    <col min="20" max="20" width="36" bestFit="1" customWidth="1"/>
  </cols>
  <sheetData>
    <row r="1" spans="1:20" s="5" customFormat="1" ht="42.75" customHeight="1" x14ac:dyDescent="0.2">
      <c r="A1" s="65" t="s">
        <v>221</v>
      </c>
      <c r="B1" s="65" t="s">
        <v>222</v>
      </c>
      <c r="C1" s="65" t="s">
        <v>223</v>
      </c>
      <c r="D1" s="65" t="s">
        <v>224</v>
      </c>
      <c r="E1" s="65" t="s">
        <v>225</v>
      </c>
      <c r="F1" s="65" t="s">
        <v>229</v>
      </c>
      <c r="G1" s="65" t="s">
        <v>230</v>
      </c>
      <c r="H1" s="65" t="s">
        <v>234</v>
      </c>
      <c r="I1" s="65" t="s">
        <v>235</v>
      </c>
      <c r="J1" s="65" t="s">
        <v>236</v>
      </c>
      <c r="K1" s="65" t="s">
        <v>237</v>
      </c>
      <c r="L1" s="65" t="s">
        <v>2823</v>
      </c>
      <c r="M1" s="65" t="s">
        <v>244</v>
      </c>
      <c r="N1" s="65" t="s">
        <v>245</v>
      </c>
      <c r="O1" s="65" t="s">
        <v>2822</v>
      </c>
      <c r="P1" s="65" t="s">
        <v>2821</v>
      </c>
      <c r="Q1" s="65" t="s">
        <v>2820</v>
      </c>
      <c r="R1" s="65" t="s">
        <v>2819</v>
      </c>
      <c r="S1" s="65" t="s">
        <v>2818</v>
      </c>
      <c r="T1" s="65" t="s">
        <v>2817</v>
      </c>
    </row>
    <row r="2" spans="1:20" x14ac:dyDescent="0.2">
      <c r="A2" t="s">
        <v>1139</v>
      </c>
      <c r="E2" t="s">
        <v>1140</v>
      </c>
      <c r="F2" s="1">
        <v>43879</v>
      </c>
      <c r="G2" s="1">
        <v>44153</v>
      </c>
      <c r="H2" t="s">
        <v>1141</v>
      </c>
      <c r="I2" t="s">
        <v>256</v>
      </c>
      <c r="J2" t="s">
        <v>269</v>
      </c>
      <c r="K2" t="s">
        <v>1142</v>
      </c>
      <c r="L2">
        <v>1</v>
      </c>
      <c r="M2" t="s">
        <v>270</v>
      </c>
      <c r="N2" s="63">
        <v>48450360</v>
      </c>
      <c r="O2" s="62"/>
      <c r="P2" s="62">
        <v>1</v>
      </c>
      <c r="Q2" s="62"/>
      <c r="R2" s="62"/>
      <c r="S2" s="62" t="s">
        <v>2001</v>
      </c>
      <c r="T2" s="62" t="s">
        <v>1955</v>
      </c>
    </row>
    <row r="3" spans="1:20" x14ac:dyDescent="0.2">
      <c r="D3" t="s">
        <v>930</v>
      </c>
      <c r="E3" t="s">
        <v>931</v>
      </c>
      <c r="F3" s="1">
        <v>42850</v>
      </c>
      <c r="G3" s="1">
        <v>46502</v>
      </c>
      <c r="H3" t="s">
        <v>932</v>
      </c>
      <c r="I3" t="s">
        <v>278</v>
      </c>
      <c r="J3" t="s">
        <v>384</v>
      </c>
      <c r="K3" t="s">
        <v>933</v>
      </c>
      <c r="L3">
        <v>1</v>
      </c>
      <c r="M3" t="s">
        <v>386</v>
      </c>
      <c r="N3" s="63">
        <v>433000000000</v>
      </c>
      <c r="O3" s="62"/>
      <c r="P3" s="62"/>
      <c r="Q3" s="62">
        <v>1</v>
      </c>
      <c r="R3" s="62">
        <v>4</v>
      </c>
      <c r="S3" s="62"/>
      <c r="T3" s="62"/>
    </row>
    <row r="4" spans="1:20" x14ac:dyDescent="0.2">
      <c r="D4" t="s">
        <v>1366</v>
      </c>
      <c r="E4" t="s">
        <v>1367</v>
      </c>
      <c r="F4" s="1">
        <v>43441</v>
      </c>
      <c r="G4" s="1">
        <v>45266</v>
      </c>
      <c r="H4" t="s">
        <v>1368</v>
      </c>
      <c r="I4" t="s">
        <v>305</v>
      </c>
      <c r="J4" t="s">
        <v>269</v>
      </c>
      <c r="K4" t="s">
        <v>2816</v>
      </c>
      <c r="L4">
        <v>1</v>
      </c>
      <c r="M4" t="s">
        <v>270</v>
      </c>
      <c r="N4" s="63">
        <v>30000000</v>
      </c>
      <c r="O4" s="62"/>
      <c r="P4" s="62"/>
      <c r="Q4" s="62">
        <v>1</v>
      </c>
      <c r="R4" s="62">
        <v>2</v>
      </c>
      <c r="S4" s="62"/>
      <c r="T4" s="62"/>
    </row>
    <row r="5" spans="1:20" x14ac:dyDescent="0.2">
      <c r="D5" t="s">
        <v>1413</v>
      </c>
      <c r="E5" t="s">
        <v>1414</v>
      </c>
      <c r="G5" s="1">
        <v>46033</v>
      </c>
      <c r="H5" t="s">
        <v>506</v>
      </c>
      <c r="I5" t="s">
        <v>278</v>
      </c>
      <c r="J5" t="s">
        <v>257</v>
      </c>
      <c r="K5" t="s">
        <v>1415</v>
      </c>
      <c r="L5">
        <v>1</v>
      </c>
      <c r="M5" t="s">
        <v>270</v>
      </c>
      <c r="N5" s="63"/>
      <c r="O5" s="62"/>
      <c r="P5" s="62"/>
      <c r="Q5" s="62">
        <v>1</v>
      </c>
      <c r="R5" s="62">
        <v>5</v>
      </c>
      <c r="S5" s="62"/>
      <c r="T5" s="62"/>
    </row>
    <row r="6" spans="1:20" x14ac:dyDescent="0.2">
      <c r="A6" t="s">
        <v>72</v>
      </c>
      <c r="B6" t="s">
        <v>1314</v>
      </c>
      <c r="E6" t="s">
        <v>1315</v>
      </c>
      <c r="F6" s="1">
        <v>43769</v>
      </c>
      <c r="G6" s="1">
        <v>45611</v>
      </c>
      <c r="H6" t="s">
        <v>304</v>
      </c>
      <c r="I6" t="s">
        <v>305</v>
      </c>
      <c r="J6" t="s">
        <v>306</v>
      </c>
      <c r="K6" t="s">
        <v>1316</v>
      </c>
      <c r="L6">
        <v>1</v>
      </c>
      <c r="M6" t="s">
        <v>270</v>
      </c>
      <c r="N6" s="63">
        <v>375000000</v>
      </c>
      <c r="O6" s="62"/>
      <c r="P6" s="62"/>
      <c r="Q6" s="62">
        <v>1</v>
      </c>
      <c r="R6" s="62">
        <v>4</v>
      </c>
      <c r="S6" s="62"/>
      <c r="T6" s="62"/>
    </row>
    <row r="7" spans="1:20" x14ac:dyDescent="0.2">
      <c r="D7" t="s">
        <v>649</v>
      </c>
      <c r="E7" t="s">
        <v>650</v>
      </c>
      <c r="H7" t="s">
        <v>467</v>
      </c>
      <c r="I7" t="s">
        <v>305</v>
      </c>
      <c r="J7" t="s">
        <v>306</v>
      </c>
      <c r="K7" t="s">
        <v>651</v>
      </c>
      <c r="L7">
        <v>1</v>
      </c>
      <c r="M7" t="s">
        <v>270</v>
      </c>
      <c r="N7" s="63"/>
      <c r="O7" s="62"/>
      <c r="P7" s="62"/>
      <c r="Q7" s="62">
        <v>1</v>
      </c>
      <c r="R7" s="62">
        <v>6</v>
      </c>
      <c r="S7" s="62"/>
      <c r="T7" s="62"/>
    </row>
    <row r="8" spans="1:20" ht="34" x14ac:dyDescent="0.2">
      <c r="D8" t="s">
        <v>1070</v>
      </c>
      <c r="E8" t="s">
        <v>1071</v>
      </c>
      <c r="H8" t="s">
        <v>277</v>
      </c>
      <c r="I8" t="s">
        <v>278</v>
      </c>
      <c r="J8" t="s">
        <v>279</v>
      </c>
      <c r="K8" t="s">
        <v>1072</v>
      </c>
      <c r="L8">
        <v>1</v>
      </c>
      <c r="M8" t="s">
        <v>270</v>
      </c>
      <c r="N8" s="63"/>
      <c r="O8" s="62"/>
      <c r="P8" s="62"/>
      <c r="Q8" s="62">
        <v>1</v>
      </c>
      <c r="R8" s="62">
        <v>4</v>
      </c>
      <c r="S8" s="64" t="s">
        <v>2815</v>
      </c>
      <c r="T8" s="64" t="s">
        <v>2814</v>
      </c>
    </row>
    <row r="9" spans="1:20" x14ac:dyDescent="0.2">
      <c r="A9" s="60"/>
      <c r="D9" t="s">
        <v>1554</v>
      </c>
      <c r="E9" t="s">
        <v>1555</v>
      </c>
      <c r="F9" s="1">
        <v>44427</v>
      </c>
      <c r="G9" s="1">
        <v>49552</v>
      </c>
      <c r="H9" t="s">
        <v>1030</v>
      </c>
      <c r="I9" t="s">
        <v>256</v>
      </c>
      <c r="J9" t="s">
        <v>257</v>
      </c>
      <c r="K9" t="s">
        <v>1556</v>
      </c>
      <c r="L9">
        <v>1</v>
      </c>
      <c r="M9" t="s">
        <v>260</v>
      </c>
      <c r="N9" s="63">
        <v>82850000</v>
      </c>
      <c r="O9" s="62"/>
      <c r="P9" s="62">
        <v>1</v>
      </c>
      <c r="Q9" s="62"/>
      <c r="R9" s="62"/>
      <c r="S9" s="62"/>
      <c r="T9" s="62"/>
    </row>
    <row r="10" spans="1:20" x14ac:dyDescent="0.2">
      <c r="A10" t="s">
        <v>174</v>
      </c>
      <c r="E10" t="s">
        <v>1064</v>
      </c>
      <c r="F10" s="1">
        <v>44008</v>
      </c>
      <c r="G10" s="1">
        <v>45100</v>
      </c>
      <c r="H10" t="s">
        <v>904</v>
      </c>
      <c r="I10" t="s">
        <v>305</v>
      </c>
      <c r="J10" t="s">
        <v>343</v>
      </c>
      <c r="K10" t="s">
        <v>1065</v>
      </c>
      <c r="L10">
        <v>2</v>
      </c>
      <c r="M10" t="s">
        <v>345</v>
      </c>
      <c r="N10" s="63">
        <v>3000000000</v>
      </c>
      <c r="O10" s="62"/>
      <c r="P10" s="62"/>
      <c r="Q10" s="62">
        <v>1</v>
      </c>
      <c r="R10" s="62">
        <v>4</v>
      </c>
      <c r="S10" s="62"/>
      <c r="T10" s="62"/>
    </row>
    <row r="11" spans="1:20" x14ac:dyDescent="0.2">
      <c r="A11" t="s">
        <v>109</v>
      </c>
      <c r="E11" t="s">
        <v>903</v>
      </c>
      <c r="F11" s="1">
        <v>43791</v>
      </c>
      <c r="G11" s="1">
        <v>44967</v>
      </c>
      <c r="H11" t="s">
        <v>904</v>
      </c>
      <c r="I11" t="s">
        <v>305</v>
      </c>
      <c r="J11" t="s">
        <v>343</v>
      </c>
      <c r="K11" t="s">
        <v>905</v>
      </c>
      <c r="L11">
        <v>2</v>
      </c>
      <c r="M11" t="s">
        <v>345</v>
      </c>
      <c r="N11" s="63">
        <v>2500000000</v>
      </c>
      <c r="O11" s="62"/>
      <c r="P11" s="62"/>
      <c r="Q11" s="62">
        <v>1</v>
      </c>
      <c r="R11" s="62">
        <v>4</v>
      </c>
      <c r="S11" s="62"/>
      <c r="T11" s="62"/>
    </row>
    <row r="12" spans="1:20" x14ac:dyDescent="0.2">
      <c r="A12" t="s">
        <v>108</v>
      </c>
      <c r="E12" t="s">
        <v>1714</v>
      </c>
      <c r="F12" s="1">
        <v>43396</v>
      </c>
      <c r="G12" s="1">
        <v>44488</v>
      </c>
      <c r="H12" t="s">
        <v>904</v>
      </c>
      <c r="I12" t="s">
        <v>305</v>
      </c>
      <c r="J12" t="s">
        <v>343</v>
      </c>
      <c r="K12" t="s">
        <v>905</v>
      </c>
      <c r="L12">
        <v>2</v>
      </c>
      <c r="M12" t="s">
        <v>345</v>
      </c>
      <c r="N12" s="63">
        <v>2500000000</v>
      </c>
      <c r="O12" s="62"/>
      <c r="P12" s="62"/>
      <c r="Q12" s="62">
        <v>1</v>
      </c>
      <c r="R12" s="62">
        <v>4</v>
      </c>
      <c r="S12" s="62"/>
      <c r="T12" s="62"/>
    </row>
    <row r="13" spans="1:20" x14ac:dyDescent="0.2">
      <c r="A13" s="60" t="s">
        <v>101</v>
      </c>
      <c r="B13" t="s">
        <v>1395</v>
      </c>
      <c r="D13" t="s">
        <v>1396</v>
      </c>
      <c r="E13" t="s">
        <v>1397</v>
      </c>
      <c r="F13" s="1">
        <v>44237</v>
      </c>
      <c r="G13" s="1">
        <v>52793</v>
      </c>
      <c r="H13" t="s">
        <v>1042</v>
      </c>
      <c r="I13" t="s">
        <v>256</v>
      </c>
      <c r="J13" t="s">
        <v>257</v>
      </c>
      <c r="K13" t="s">
        <v>1398</v>
      </c>
      <c r="L13">
        <v>2</v>
      </c>
      <c r="M13" t="s">
        <v>260</v>
      </c>
      <c r="N13" s="63">
        <v>672500000</v>
      </c>
      <c r="O13" s="62"/>
      <c r="P13" s="62">
        <v>1</v>
      </c>
      <c r="Q13" s="62"/>
      <c r="R13" s="62"/>
      <c r="S13" s="62"/>
      <c r="T13" s="62"/>
    </row>
    <row r="14" spans="1:20" x14ac:dyDescent="0.2">
      <c r="A14" s="60" t="s">
        <v>100</v>
      </c>
      <c r="B14" t="s">
        <v>1509</v>
      </c>
      <c r="D14" t="s">
        <v>1510</v>
      </c>
      <c r="E14" t="s">
        <v>1511</v>
      </c>
      <c r="F14" s="1">
        <v>44172</v>
      </c>
      <c r="G14" s="1">
        <v>52732</v>
      </c>
      <c r="H14" t="s">
        <v>1042</v>
      </c>
      <c r="I14" t="s">
        <v>256</v>
      </c>
      <c r="J14" t="s">
        <v>257</v>
      </c>
      <c r="K14" t="s">
        <v>1398</v>
      </c>
      <c r="L14">
        <v>2</v>
      </c>
      <c r="M14" t="s">
        <v>260</v>
      </c>
      <c r="N14" s="63">
        <v>800000000</v>
      </c>
      <c r="O14" s="62"/>
      <c r="P14" s="62">
        <v>1</v>
      </c>
      <c r="Q14" s="62"/>
      <c r="R14" s="62"/>
      <c r="S14" s="62"/>
      <c r="T14" s="62"/>
    </row>
    <row r="15" spans="1:20" x14ac:dyDescent="0.2">
      <c r="A15" s="60" t="s">
        <v>102</v>
      </c>
      <c r="B15" t="s">
        <v>1911</v>
      </c>
      <c r="E15" t="s">
        <v>1912</v>
      </c>
      <c r="F15" s="1">
        <v>44484</v>
      </c>
      <c r="G15" s="1">
        <v>51058</v>
      </c>
      <c r="H15" t="s">
        <v>1042</v>
      </c>
      <c r="I15" t="s">
        <v>256</v>
      </c>
      <c r="J15" t="s">
        <v>257</v>
      </c>
      <c r="K15" t="s">
        <v>1398</v>
      </c>
      <c r="L15">
        <v>2</v>
      </c>
      <c r="M15" t="s">
        <v>260</v>
      </c>
      <c r="N15" s="63">
        <v>950000000</v>
      </c>
      <c r="O15" s="62"/>
      <c r="P15" s="62">
        <v>1</v>
      </c>
      <c r="Q15" s="62"/>
      <c r="R15" s="62"/>
      <c r="S15" s="62"/>
      <c r="T15" s="62"/>
    </row>
    <row r="16" spans="1:20" x14ac:dyDescent="0.2">
      <c r="A16" s="60" t="s">
        <v>146</v>
      </c>
      <c r="B16" t="s">
        <v>805</v>
      </c>
      <c r="E16" t="s">
        <v>806</v>
      </c>
      <c r="F16" s="1">
        <v>43396</v>
      </c>
      <c r="G16" s="1">
        <v>45588</v>
      </c>
      <c r="H16" t="s">
        <v>807</v>
      </c>
      <c r="I16" t="s">
        <v>256</v>
      </c>
      <c r="J16" t="s">
        <v>808</v>
      </c>
      <c r="K16" t="s">
        <v>2813</v>
      </c>
      <c r="L16">
        <v>2</v>
      </c>
      <c r="M16" t="s">
        <v>811</v>
      </c>
      <c r="N16" s="63">
        <v>100000000</v>
      </c>
      <c r="O16" s="62"/>
      <c r="P16" s="62"/>
      <c r="Q16" s="62"/>
      <c r="R16" s="62">
        <v>3</v>
      </c>
      <c r="S16" s="62"/>
      <c r="T16" s="62"/>
    </row>
    <row r="17" spans="1:20" x14ac:dyDescent="0.2">
      <c r="A17" s="60" t="s">
        <v>124</v>
      </c>
      <c r="B17" t="s">
        <v>1188</v>
      </c>
      <c r="E17" t="s">
        <v>1189</v>
      </c>
      <c r="F17" s="1">
        <v>42997</v>
      </c>
      <c r="G17" s="1">
        <v>46649</v>
      </c>
      <c r="H17" t="s">
        <v>1190</v>
      </c>
      <c r="I17" t="s">
        <v>256</v>
      </c>
      <c r="J17" t="s">
        <v>257</v>
      </c>
      <c r="K17" t="s">
        <v>1191</v>
      </c>
      <c r="L17">
        <v>2</v>
      </c>
      <c r="M17" t="s">
        <v>270</v>
      </c>
      <c r="N17" s="63">
        <v>500000000</v>
      </c>
      <c r="O17" s="62"/>
      <c r="P17" s="62"/>
      <c r="Q17" s="62">
        <v>1</v>
      </c>
      <c r="R17" s="62">
        <v>9</v>
      </c>
      <c r="S17" s="62"/>
      <c r="T17" s="62"/>
    </row>
    <row r="18" spans="1:20" x14ac:dyDescent="0.2">
      <c r="A18" s="60" t="s">
        <v>123</v>
      </c>
      <c r="B18" t="s">
        <v>1799</v>
      </c>
      <c r="E18" t="s">
        <v>1800</v>
      </c>
      <c r="F18" s="1">
        <v>43558</v>
      </c>
      <c r="G18" s="1">
        <v>54516</v>
      </c>
      <c r="H18" t="s">
        <v>1190</v>
      </c>
      <c r="I18" t="s">
        <v>256</v>
      </c>
      <c r="J18" t="s">
        <v>257</v>
      </c>
      <c r="K18" t="s">
        <v>1191</v>
      </c>
      <c r="L18">
        <v>2</v>
      </c>
      <c r="M18" t="s">
        <v>270</v>
      </c>
      <c r="N18" s="63">
        <v>700000000</v>
      </c>
      <c r="O18" s="62"/>
      <c r="P18" s="62"/>
      <c r="Q18" s="62">
        <v>1</v>
      </c>
      <c r="R18" s="62">
        <v>9</v>
      </c>
      <c r="S18" s="62"/>
      <c r="T18" s="62"/>
    </row>
    <row r="19" spans="1:20" x14ac:dyDescent="0.2">
      <c r="B19" t="s">
        <v>524</v>
      </c>
      <c r="D19" t="s">
        <v>525</v>
      </c>
      <c r="E19" t="s">
        <v>526</v>
      </c>
      <c r="F19" s="1">
        <v>43819</v>
      </c>
      <c r="G19" s="1">
        <v>45646</v>
      </c>
      <c r="H19" t="s">
        <v>527</v>
      </c>
      <c r="I19" t="s">
        <v>278</v>
      </c>
      <c r="J19" t="s">
        <v>528</v>
      </c>
      <c r="K19" t="s">
        <v>529</v>
      </c>
      <c r="L19">
        <v>2</v>
      </c>
      <c r="M19" t="s">
        <v>270</v>
      </c>
      <c r="N19" s="63">
        <v>150000000</v>
      </c>
      <c r="O19" s="62"/>
      <c r="P19" s="62"/>
      <c r="Q19" s="62">
        <v>1</v>
      </c>
      <c r="R19" s="62">
        <v>7</v>
      </c>
      <c r="S19" s="62"/>
      <c r="T19" s="62"/>
    </row>
    <row r="20" spans="1:20" x14ac:dyDescent="0.2">
      <c r="A20" s="60" t="s">
        <v>206</v>
      </c>
      <c r="E20" t="s">
        <v>815</v>
      </c>
      <c r="F20" s="1">
        <v>43208</v>
      </c>
      <c r="G20" s="1">
        <v>45730</v>
      </c>
      <c r="H20" t="s">
        <v>286</v>
      </c>
      <c r="I20" t="s">
        <v>256</v>
      </c>
      <c r="J20" t="s">
        <v>287</v>
      </c>
      <c r="K20" t="s">
        <v>816</v>
      </c>
      <c r="L20">
        <v>2</v>
      </c>
      <c r="M20" t="s">
        <v>290</v>
      </c>
      <c r="N20" s="63">
        <v>1500000</v>
      </c>
      <c r="O20" s="62">
        <v>1</v>
      </c>
      <c r="P20" s="62"/>
      <c r="Q20" s="62"/>
      <c r="R20" s="62">
        <v>2</v>
      </c>
      <c r="S20" s="62"/>
      <c r="T20" s="62"/>
    </row>
    <row r="21" spans="1:20" x14ac:dyDescent="0.2">
      <c r="A21" t="s">
        <v>1842</v>
      </c>
      <c r="B21" t="s">
        <v>1843</v>
      </c>
      <c r="E21" t="s">
        <v>1844</v>
      </c>
      <c r="F21" s="1">
        <v>42829</v>
      </c>
      <c r="G21" s="1">
        <v>46481</v>
      </c>
      <c r="H21" t="s">
        <v>1845</v>
      </c>
      <c r="I21" t="s">
        <v>256</v>
      </c>
      <c r="J21" t="s">
        <v>287</v>
      </c>
      <c r="K21" t="s">
        <v>1846</v>
      </c>
      <c r="L21">
        <v>2</v>
      </c>
      <c r="M21" t="s">
        <v>270</v>
      </c>
      <c r="N21" s="63">
        <v>500000000</v>
      </c>
      <c r="O21" s="62">
        <v>1</v>
      </c>
      <c r="P21" s="62"/>
      <c r="Q21" s="62"/>
      <c r="R21" s="62">
        <v>5</v>
      </c>
      <c r="S21" s="62"/>
      <c r="T21" s="62"/>
    </row>
    <row r="22" spans="1:20" x14ac:dyDescent="0.2">
      <c r="A22" t="s">
        <v>184</v>
      </c>
      <c r="B22" t="s">
        <v>572</v>
      </c>
      <c r="C22" t="s">
        <v>573</v>
      </c>
      <c r="E22" t="s">
        <v>574</v>
      </c>
      <c r="F22" s="1">
        <v>42864</v>
      </c>
      <c r="G22" s="1">
        <v>45421</v>
      </c>
      <c r="H22" t="s">
        <v>576</v>
      </c>
      <c r="I22" t="s">
        <v>305</v>
      </c>
      <c r="J22" t="s">
        <v>257</v>
      </c>
      <c r="K22" t="s">
        <v>577</v>
      </c>
      <c r="L22">
        <v>3</v>
      </c>
      <c r="M22" t="s">
        <v>270</v>
      </c>
      <c r="N22" s="63">
        <v>1000000000</v>
      </c>
      <c r="O22" s="62"/>
      <c r="P22" s="62">
        <v>1</v>
      </c>
      <c r="Q22" s="62"/>
      <c r="R22" s="62"/>
      <c r="S22" s="62"/>
      <c r="T22" s="62"/>
    </row>
    <row r="23" spans="1:20" x14ac:dyDescent="0.2">
      <c r="A23" t="s">
        <v>198</v>
      </c>
      <c r="C23" t="s">
        <v>1635</v>
      </c>
      <c r="E23" t="s">
        <v>1636</v>
      </c>
      <c r="F23" s="1">
        <v>44098</v>
      </c>
      <c r="G23" s="1">
        <v>45924</v>
      </c>
      <c r="H23" t="s">
        <v>1637</v>
      </c>
      <c r="I23" t="s">
        <v>278</v>
      </c>
      <c r="J23" t="s">
        <v>384</v>
      </c>
      <c r="K23" t="s">
        <v>2812</v>
      </c>
      <c r="L23">
        <v>3</v>
      </c>
      <c r="M23" t="s">
        <v>386</v>
      </c>
      <c r="N23" s="63">
        <v>300000000000</v>
      </c>
      <c r="O23" s="62"/>
      <c r="P23" s="62"/>
      <c r="Q23">
        <v>1</v>
      </c>
      <c r="R23" s="62">
        <v>8</v>
      </c>
      <c r="S23" s="62"/>
      <c r="T23" s="62"/>
    </row>
    <row r="24" spans="1:20" x14ac:dyDescent="0.2">
      <c r="A24" t="s">
        <v>164</v>
      </c>
      <c r="B24" t="s">
        <v>1515</v>
      </c>
      <c r="E24" t="s">
        <v>1516</v>
      </c>
      <c r="F24" s="1">
        <v>43581</v>
      </c>
      <c r="G24" s="1">
        <v>44677</v>
      </c>
      <c r="H24" t="s">
        <v>1517</v>
      </c>
      <c r="I24" t="s">
        <v>305</v>
      </c>
      <c r="J24" t="s">
        <v>808</v>
      </c>
      <c r="K24" t="s">
        <v>1518</v>
      </c>
      <c r="L24">
        <v>3</v>
      </c>
      <c r="M24" t="s">
        <v>811</v>
      </c>
      <c r="N24" s="63">
        <v>100000000</v>
      </c>
      <c r="O24" s="62"/>
      <c r="P24" s="62"/>
      <c r="Q24" s="62">
        <v>1</v>
      </c>
      <c r="R24" s="62">
        <v>7</v>
      </c>
      <c r="S24" s="62"/>
      <c r="T24" s="62"/>
    </row>
    <row r="25" spans="1:20" x14ac:dyDescent="0.2">
      <c r="A25" s="60" t="s">
        <v>152</v>
      </c>
      <c r="B25" t="s">
        <v>1131</v>
      </c>
      <c r="D25" t="s">
        <v>1132</v>
      </c>
      <c r="E25" t="s">
        <v>1133</v>
      </c>
      <c r="F25" s="1">
        <v>44012</v>
      </c>
      <c r="G25" s="1">
        <v>46762</v>
      </c>
      <c r="H25" t="s">
        <v>1134</v>
      </c>
      <c r="I25" t="s">
        <v>256</v>
      </c>
      <c r="J25" t="s">
        <v>257</v>
      </c>
      <c r="K25" t="s">
        <v>1135</v>
      </c>
      <c r="L25">
        <v>3</v>
      </c>
      <c r="M25" t="s">
        <v>270</v>
      </c>
      <c r="N25" s="63">
        <v>500000000</v>
      </c>
      <c r="O25" s="62">
        <v>1</v>
      </c>
      <c r="P25" s="62"/>
      <c r="Q25" s="62"/>
      <c r="R25" s="62">
        <v>2</v>
      </c>
      <c r="S25" s="62"/>
      <c r="T25" s="62"/>
    </row>
    <row r="26" spans="1:20" x14ac:dyDescent="0.2">
      <c r="A26" s="60" t="s">
        <v>200</v>
      </c>
      <c r="B26" t="s">
        <v>1851</v>
      </c>
      <c r="D26" t="s">
        <v>1852</v>
      </c>
      <c r="E26" t="s">
        <v>1853</v>
      </c>
      <c r="F26" s="1">
        <v>42914</v>
      </c>
      <c r="G26" s="1">
        <v>46566</v>
      </c>
      <c r="H26" t="s">
        <v>1854</v>
      </c>
      <c r="I26" t="s">
        <v>256</v>
      </c>
      <c r="J26" t="s">
        <v>343</v>
      </c>
      <c r="K26" t="s">
        <v>1855</v>
      </c>
      <c r="L26">
        <v>3</v>
      </c>
      <c r="M26" t="s">
        <v>345</v>
      </c>
      <c r="N26" s="63">
        <v>4600000000</v>
      </c>
      <c r="O26" s="62">
        <v>1</v>
      </c>
      <c r="P26" s="62"/>
      <c r="Q26" s="62"/>
      <c r="R26" s="62">
        <v>4</v>
      </c>
      <c r="S26" s="62"/>
      <c r="T26" s="62"/>
    </row>
    <row r="27" spans="1:20" x14ac:dyDescent="0.2">
      <c r="D27" t="s">
        <v>1322</v>
      </c>
      <c r="E27" t="s">
        <v>1323</v>
      </c>
      <c r="H27" t="s">
        <v>399</v>
      </c>
      <c r="I27" t="s">
        <v>256</v>
      </c>
      <c r="J27" t="s">
        <v>400</v>
      </c>
      <c r="K27" t="s">
        <v>1324</v>
      </c>
      <c r="L27">
        <v>3</v>
      </c>
      <c r="M27" t="s">
        <v>401</v>
      </c>
      <c r="N27" s="63"/>
      <c r="O27" s="62"/>
      <c r="P27" s="62">
        <v>1</v>
      </c>
      <c r="Q27" s="62"/>
      <c r="R27" s="62"/>
      <c r="S27" s="62"/>
      <c r="T27" s="62"/>
    </row>
  </sheetData>
  <autoFilter ref="A1:T27" xr:uid="{E1BA12E0-3E88-FB4E-A7BC-492A46BC9F94}"/>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2D7A2-98C6-1949-AE15-A4D970228BA8}">
  <dimension ref="A5:A14"/>
  <sheetViews>
    <sheetView workbookViewId="0">
      <selection activeCell="B10" sqref="B10"/>
    </sheetView>
  </sheetViews>
  <sheetFormatPr baseColWidth="10" defaultColWidth="11" defaultRowHeight="16" x14ac:dyDescent="0.2"/>
  <cols>
    <col min="1" max="1" width="197.33203125" bestFit="1" customWidth="1"/>
  </cols>
  <sheetData>
    <row r="5" spans="1:1" x14ac:dyDescent="0.2">
      <c r="A5" s="66" t="s">
        <v>2833</v>
      </c>
    </row>
    <row r="6" spans="1:1" x14ac:dyDescent="0.2">
      <c r="A6" s="66" t="s">
        <v>2832</v>
      </c>
    </row>
    <row r="7" spans="1:1" x14ac:dyDescent="0.2">
      <c r="A7" s="66" t="s">
        <v>2831</v>
      </c>
    </row>
    <row r="8" spans="1:1" x14ac:dyDescent="0.2">
      <c r="A8" s="66" t="s">
        <v>2830</v>
      </c>
    </row>
    <row r="9" spans="1:1" x14ac:dyDescent="0.2">
      <c r="A9" s="66" t="s">
        <v>2829</v>
      </c>
    </row>
    <row r="10" spans="1:1" x14ac:dyDescent="0.2">
      <c r="A10" s="66" t="s">
        <v>2828</v>
      </c>
    </row>
    <row r="11" spans="1:1" x14ac:dyDescent="0.2">
      <c r="A11" s="66" t="s">
        <v>2827</v>
      </c>
    </row>
    <row r="12" spans="1:1" x14ac:dyDescent="0.2">
      <c r="A12" s="66" t="s">
        <v>2826</v>
      </c>
    </row>
    <row r="13" spans="1:1" x14ac:dyDescent="0.2">
      <c r="A13" s="66" t="s">
        <v>2825</v>
      </c>
    </row>
    <row r="14" spans="1:1" x14ac:dyDescent="0.2">
      <c r="A14" s="66" t="s">
        <v>2824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9052A-D4BB-2A44-ADC9-8EFE71F4B7DA}">
  <dimension ref="B2:I9"/>
  <sheetViews>
    <sheetView zoomScale="133" zoomScaleNormal="133" workbookViewId="0">
      <selection activeCell="B10" sqref="B10"/>
    </sheetView>
  </sheetViews>
  <sheetFormatPr baseColWidth="10" defaultColWidth="11" defaultRowHeight="16" x14ac:dyDescent="0.2"/>
  <cols>
    <col min="4" max="4" width="11.6640625" bestFit="1" customWidth="1"/>
    <col min="5" max="5" width="12.33203125" bestFit="1" customWidth="1"/>
    <col min="6" max="6" width="11.6640625" bestFit="1" customWidth="1"/>
    <col min="7" max="7" width="12.33203125" bestFit="1" customWidth="1"/>
    <col min="8" max="8" width="11.6640625" bestFit="1" customWidth="1"/>
    <col min="9" max="9" width="12.33203125" bestFit="1" customWidth="1"/>
  </cols>
  <sheetData>
    <row r="2" spans="2:9" x14ac:dyDescent="0.2">
      <c r="D2" s="75" t="s">
        <v>2841</v>
      </c>
      <c r="E2" s="75"/>
      <c r="F2" s="75" t="s">
        <v>2840</v>
      </c>
      <c r="G2" s="75"/>
      <c r="H2" s="75" t="s">
        <v>2839</v>
      </c>
      <c r="I2" s="75"/>
    </row>
    <row r="3" spans="2:9" x14ac:dyDescent="0.2">
      <c r="D3" s="28" t="s">
        <v>2838</v>
      </c>
      <c r="E3" s="28" t="s">
        <v>2837</v>
      </c>
      <c r="F3" s="28" t="s">
        <v>2838</v>
      </c>
      <c r="G3" s="28" t="s">
        <v>2837</v>
      </c>
      <c r="H3" s="28" t="s">
        <v>2838</v>
      </c>
      <c r="I3" s="28" t="s">
        <v>2837</v>
      </c>
    </row>
    <row r="4" spans="2:9" x14ac:dyDescent="0.2">
      <c r="C4" s="28" t="s">
        <v>2835</v>
      </c>
      <c r="D4" s="67">
        <v>0.62708333333333333</v>
      </c>
      <c r="E4" s="67">
        <v>0.54166666666666663</v>
      </c>
      <c r="F4" s="62">
        <v>16.079999999999998</v>
      </c>
      <c r="G4" s="62">
        <v>13.52</v>
      </c>
      <c r="H4" s="62">
        <v>16.09</v>
      </c>
      <c r="I4" s="62">
        <v>15.19</v>
      </c>
    </row>
    <row r="5" spans="2:9" x14ac:dyDescent="0.2">
      <c r="C5" s="28" t="s">
        <v>2834</v>
      </c>
      <c r="D5" s="67">
        <v>0.64236111111111116</v>
      </c>
      <c r="E5" s="67">
        <v>0.56111111111111112</v>
      </c>
      <c r="F5" s="62">
        <v>17.57</v>
      </c>
      <c r="G5" s="62">
        <v>14.29</v>
      </c>
      <c r="H5" s="62">
        <v>16.45</v>
      </c>
      <c r="I5" s="62">
        <v>15.32</v>
      </c>
    </row>
    <row r="6" spans="2:9" x14ac:dyDescent="0.2">
      <c r="B6" s="74" t="s">
        <v>2836</v>
      </c>
      <c r="C6" s="28" t="s">
        <v>2835</v>
      </c>
      <c r="D6" s="67"/>
      <c r="E6" s="62"/>
      <c r="F6" s="62"/>
      <c r="G6" s="62"/>
      <c r="H6" s="62"/>
      <c r="I6" s="62"/>
    </row>
    <row r="7" spans="2:9" x14ac:dyDescent="0.2">
      <c r="B7" s="74"/>
      <c r="C7" s="28" t="s">
        <v>2834</v>
      </c>
      <c r="D7" s="67"/>
      <c r="E7" s="62"/>
      <c r="F7" s="62"/>
      <c r="G7" s="62"/>
      <c r="H7" s="62"/>
      <c r="I7" s="62"/>
    </row>
    <row r="8" spans="2:9" x14ac:dyDescent="0.2">
      <c r="B8" s="74" t="s">
        <v>2836</v>
      </c>
      <c r="C8" s="28" t="s">
        <v>2835</v>
      </c>
      <c r="D8" s="62"/>
      <c r="E8" s="62"/>
      <c r="F8" s="62"/>
      <c r="G8" s="62"/>
      <c r="H8" s="62"/>
      <c r="I8" s="62"/>
    </row>
    <row r="9" spans="2:9" x14ac:dyDescent="0.2">
      <c r="B9" s="74"/>
      <c r="C9" s="28" t="s">
        <v>2834</v>
      </c>
      <c r="D9" s="62"/>
      <c r="E9" s="62"/>
      <c r="F9" s="62"/>
      <c r="G9" s="62"/>
      <c r="H9" s="62"/>
      <c r="I9" s="62"/>
    </row>
  </sheetData>
  <mergeCells count="5">
    <mergeCell ref="B6:B7"/>
    <mergeCell ref="D2:E2"/>
    <mergeCell ref="F2:G2"/>
    <mergeCell ref="H2:I2"/>
    <mergeCell ref="B8:B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95"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topLeftCell="N2" workbookViewId="0">
      <selection activeCell="Z16" sqref="Z16:Z296"/>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2765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hidden="1"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hidden="1"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hidden="1"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2754</v>
      </c>
      <c r="AA20" s="7" t="s">
        <v>314</v>
      </c>
      <c r="AB20" s="23" t="str">
        <f t="shared" si="0"/>
        <v>4eac0cad7e8548e0a253795fe4e7343b</v>
      </c>
      <c r="AC20" s="23"/>
      <c r="AD20" s="23"/>
      <c r="AE20" s="23"/>
      <c r="AF20" s="23"/>
      <c r="AG20" t="s">
        <v>270</v>
      </c>
      <c r="AH20">
        <v>20000000</v>
      </c>
      <c r="AI20" s="3" t="s">
        <v>315</v>
      </c>
      <c r="AM20" s="21" t="s">
        <v>177</v>
      </c>
    </row>
    <row r="21" spans="1:39"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2755</v>
      </c>
      <c r="AA21" s="7" t="s">
        <v>320</v>
      </c>
      <c r="AB21" s="23" t="str">
        <f t="shared" si="0"/>
        <v>0861b552d06e4b9799ebc7a3b1aa7e2a</v>
      </c>
      <c r="AC21" s="23"/>
      <c r="AD21" s="23"/>
      <c r="AE21" s="23"/>
      <c r="AF21" s="23"/>
      <c r="AG21" t="s">
        <v>270</v>
      </c>
      <c r="AH21">
        <v>10867627</v>
      </c>
      <c r="AI21" s="3" t="s">
        <v>321</v>
      </c>
      <c r="AM21" s="21" t="s">
        <v>40</v>
      </c>
    </row>
    <row r="22" spans="1:39" hidden="1"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2759</v>
      </c>
      <c r="AA23" s="7" t="s">
        <v>335</v>
      </c>
      <c r="AB23" s="23" t="str">
        <f>AM23</f>
        <v>b25746bc73674469a979cd1218fc9355</v>
      </c>
      <c r="AC23" s="23"/>
      <c r="AD23" s="23"/>
      <c r="AE23" s="23"/>
      <c r="AF23" s="23"/>
      <c r="AG23" t="s">
        <v>270</v>
      </c>
      <c r="AH23">
        <v>1500000000</v>
      </c>
      <c r="AI23" s="3" t="s">
        <v>336</v>
      </c>
      <c r="AM23" s="21" t="s">
        <v>51</v>
      </c>
    </row>
    <row r="24" spans="1:39" hidden="1"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2758</v>
      </c>
      <c r="AA25" s="7" t="s">
        <v>352</v>
      </c>
      <c r="AB25" s="23" t="str">
        <f>AM25</f>
        <v>277b6ad349f343c0861b25da64e6f9e1</v>
      </c>
      <c r="AC25" s="23"/>
      <c r="AD25" s="23"/>
      <c r="AE25" s="23"/>
      <c r="AF25" s="23"/>
      <c r="AG25" t="s">
        <v>270</v>
      </c>
      <c r="AH25">
        <v>50000000</v>
      </c>
      <c r="AI25" s="3" t="s">
        <v>353</v>
      </c>
      <c r="AM25" s="21" t="s">
        <v>169</v>
      </c>
    </row>
    <row r="26" spans="1:39" hidden="1"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hidden="1"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hidden="1"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2756</v>
      </c>
      <c r="AA29" s="7" t="s">
        <v>385</v>
      </c>
      <c r="AB29" s="23" t="str">
        <f>AM29</f>
        <v>46bc90cd9f664b57a297ff3b221857bd</v>
      </c>
      <c r="AC29" s="23"/>
      <c r="AD29" s="23"/>
      <c r="AE29" s="23"/>
      <c r="AF29" s="23"/>
      <c r="AG29" t="s">
        <v>386</v>
      </c>
      <c r="AM29" s="21" t="s">
        <v>128</v>
      </c>
    </row>
    <row r="30" spans="1:39" hidden="1"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hidden="1"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hidden="1"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hidden="1"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2755</v>
      </c>
      <c r="AA34" s="7" t="s">
        <v>320</v>
      </c>
      <c r="AB34" s="23" t="str">
        <f>AM34</f>
        <v>0861b552d06e4b9799ebc7a3b1aa7e2a</v>
      </c>
      <c r="AC34" s="23"/>
      <c r="AD34" s="23"/>
      <c r="AE34" s="23"/>
      <c r="AF34" s="23"/>
      <c r="AG34" t="s">
        <v>270</v>
      </c>
      <c r="AH34">
        <v>366118638</v>
      </c>
      <c r="AI34" s="3" t="s">
        <v>422</v>
      </c>
      <c r="AM34" s="21" t="s">
        <v>40</v>
      </c>
    </row>
    <row r="35" spans="1:39"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2757</v>
      </c>
      <c r="AA35" s="7" t="s">
        <v>427</v>
      </c>
      <c r="AB35" s="23" t="str">
        <f>AM35</f>
        <v>06916bad6f3d4631a2127d3f46ff766d</v>
      </c>
      <c r="AC35" s="23"/>
      <c r="AD35" s="23"/>
      <c r="AE35" s="23"/>
      <c r="AF35" s="23"/>
      <c r="AG35" t="s">
        <v>270</v>
      </c>
      <c r="AH35">
        <v>680000000</v>
      </c>
      <c r="AI35" s="3" t="s">
        <v>428</v>
      </c>
      <c r="AM35" s="21" t="s">
        <v>74</v>
      </c>
    </row>
    <row r="36" spans="1:39" hidden="1"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hidden="1"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hidden="1"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2756</v>
      </c>
      <c r="AA40" s="7" t="s">
        <v>385</v>
      </c>
      <c r="AB40" s="23" t="str">
        <f>AM40</f>
        <v>46bc90cd9f664b57a297ff3b221857bd</v>
      </c>
      <c r="AC40" s="23"/>
      <c r="AD40" s="23"/>
      <c r="AE40" s="23"/>
      <c r="AF40" s="23"/>
      <c r="AG40" t="s">
        <v>386</v>
      </c>
      <c r="AH40">
        <v>47121000000</v>
      </c>
      <c r="AI40" s="3" t="s">
        <v>460</v>
      </c>
      <c r="AM40" s="21" t="s">
        <v>128</v>
      </c>
    </row>
    <row r="41" spans="1:39"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2753</v>
      </c>
      <c r="AA42" s="7" t="s">
        <v>480</v>
      </c>
      <c r="AB42" s="23" t="str">
        <f>AM42</f>
        <v>79973950fccc4bf18841836cb416b80c</v>
      </c>
      <c r="AC42" s="23"/>
      <c r="AD42" s="23"/>
      <c r="AE42" s="23"/>
      <c r="AF42" s="23"/>
      <c r="AG42" t="s">
        <v>386</v>
      </c>
      <c r="AH42">
        <v>2130928000000</v>
      </c>
      <c r="AI42" s="3" t="s">
        <v>481</v>
      </c>
      <c r="AM42" s="21" t="s">
        <v>103</v>
      </c>
    </row>
    <row r="43" spans="1:39" hidden="1"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hidden="1"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hidden="1"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hidden="1"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hidden="1"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hidden="1"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hidden="1"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hidden="1"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hidden="1"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hidden="1"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hidden="1"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hidden="1"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hidden="1"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2755</v>
      </c>
      <c r="AA59" s="7" t="s">
        <v>320</v>
      </c>
      <c r="AB59" s="23" t="str">
        <f>AM59</f>
        <v>0861b552d06e4b9799ebc7a3b1aa7e2a</v>
      </c>
      <c r="AC59" s="23"/>
      <c r="AD59" s="23"/>
      <c r="AE59" s="23"/>
      <c r="AF59" s="23"/>
      <c r="AG59" t="s">
        <v>270</v>
      </c>
      <c r="AH59">
        <v>30000000</v>
      </c>
      <c r="AI59" s="3" t="s">
        <v>602</v>
      </c>
      <c r="AM59" s="21" t="s">
        <v>40</v>
      </c>
    </row>
    <row r="60" spans="1:39" hidden="1"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hidden="1"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hidden="1"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hidden="1"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2752</v>
      </c>
      <c r="AA66" s="7" t="s">
        <v>646</v>
      </c>
      <c r="AB66" s="23" t="str">
        <f>AM66</f>
        <v>e6873103865949bdb9e863d906f83c74</v>
      </c>
      <c r="AC66" s="23"/>
      <c r="AD66" s="23"/>
      <c r="AE66" s="23"/>
      <c r="AF66" s="23"/>
      <c r="AG66" t="s">
        <v>647</v>
      </c>
      <c r="AH66">
        <v>4060000000</v>
      </c>
      <c r="AI66" s="3" t="s">
        <v>648</v>
      </c>
      <c r="AM66" s="21" t="s">
        <v>60</v>
      </c>
    </row>
    <row r="67" spans="1:39" hidden="1"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2751</v>
      </c>
      <c r="AA68" s="7" t="s">
        <v>659</v>
      </c>
      <c r="AB68" s="23" t="str">
        <f>AM68</f>
        <v>a40381fb70654535ada4454c2ff5e808</v>
      </c>
      <c r="AC68" s="23"/>
      <c r="AD68" s="23"/>
      <c r="AE68" s="23"/>
      <c r="AF68" s="23"/>
      <c r="AG68" t="s">
        <v>270</v>
      </c>
      <c r="AH68">
        <v>153670000</v>
      </c>
      <c r="AI68" s="3" t="s">
        <v>660</v>
      </c>
      <c r="AM68" s="21" t="s">
        <v>113</v>
      </c>
    </row>
    <row r="69" spans="1:39" hidden="1"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hidden="1"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hidden="1"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hidden="1"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hidden="1"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hidden="1"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hidden="1"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2750</v>
      </c>
      <c r="AA77" s="7" t="s">
        <v>725</v>
      </c>
      <c r="AB77" s="23" t="str">
        <f>AM77</f>
        <v>463bf5e91ed14844b7cce6dafe61cf29</v>
      </c>
      <c r="AC77" s="23"/>
      <c r="AD77" s="23"/>
      <c r="AE77" s="23"/>
      <c r="AF77" s="23"/>
      <c r="AG77" t="s">
        <v>270</v>
      </c>
      <c r="AH77">
        <v>20000000</v>
      </c>
      <c r="AI77" s="3" t="s">
        <v>315</v>
      </c>
      <c r="AM77" s="21" t="s">
        <v>79</v>
      </c>
    </row>
    <row r="78" spans="1:39" hidden="1"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2759</v>
      </c>
      <c r="AA79" s="7" t="s">
        <v>335</v>
      </c>
      <c r="AB79" s="23" t="str">
        <f>AM79</f>
        <v>b25746bc73674469a979cd1218fc9355</v>
      </c>
      <c r="AC79" s="23"/>
      <c r="AD79" s="23"/>
      <c r="AE79" s="23"/>
      <c r="AF79" s="23"/>
      <c r="AG79" t="s">
        <v>270</v>
      </c>
      <c r="AH79">
        <v>2318357000</v>
      </c>
      <c r="AI79" s="3" t="s">
        <v>738</v>
      </c>
      <c r="AM79" s="21" t="s">
        <v>51</v>
      </c>
    </row>
    <row r="80" spans="1:39" hidden="1"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hidden="1"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2749</v>
      </c>
      <c r="AA82" s="7" t="s">
        <v>754</v>
      </c>
      <c r="AB82" s="23" t="str">
        <f>AM82</f>
        <v>896c5d8cf68641b1899f31ed76479743</v>
      </c>
      <c r="AC82" s="23"/>
      <c r="AD82" s="23"/>
      <c r="AE82" s="23"/>
      <c r="AF82" s="23"/>
      <c r="AG82" t="s">
        <v>270</v>
      </c>
      <c r="AH82">
        <v>27760264</v>
      </c>
      <c r="AI82" s="3" t="s">
        <v>755</v>
      </c>
      <c r="AM82" s="21" t="s">
        <v>131</v>
      </c>
    </row>
    <row r="83" spans="1:39" hidden="1"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2753</v>
      </c>
      <c r="AA85" s="7" t="s">
        <v>480</v>
      </c>
      <c r="AB85" s="23" t="str">
        <f>AM85</f>
        <v>79973950fccc4bf18841836cb416b80c</v>
      </c>
      <c r="AC85" s="23"/>
      <c r="AD85" s="23"/>
      <c r="AE85" s="23"/>
      <c r="AF85" s="23"/>
      <c r="AG85" t="s">
        <v>386</v>
      </c>
      <c r="AH85">
        <v>175592000</v>
      </c>
      <c r="AI85" s="3" t="s">
        <v>772</v>
      </c>
      <c r="AM85" s="21" t="s">
        <v>103</v>
      </c>
    </row>
    <row r="86" spans="1:39" hidden="1"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2755</v>
      </c>
      <c r="AA87" s="7" t="s">
        <v>320</v>
      </c>
      <c r="AB87" s="23" t="str">
        <f>AM87</f>
        <v>0861b552d06e4b9799ebc7a3b1aa7e2a</v>
      </c>
      <c r="AC87" s="23"/>
      <c r="AD87" s="23"/>
      <c r="AE87" s="23"/>
      <c r="AF87" s="23"/>
      <c r="AG87" t="s">
        <v>270</v>
      </c>
      <c r="AH87">
        <v>38184061</v>
      </c>
      <c r="AI87" s="3" t="s">
        <v>782</v>
      </c>
      <c r="AM87" s="21" t="s">
        <v>40</v>
      </c>
    </row>
    <row r="88" spans="1:39" hidden="1"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2748</v>
      </c>
      <c r="AA89" s="7" t="s">
        <v>798</v>
      </c>
      <c r="AB89" s="23" t="str">
        <f>AM89</f>
        <v>38a2706058d5487d82e4af8bb087ae84</v>
      </c>
      <c r="AC89" s="23"/>
      <c r="AD89" s="23"/>
      <c r="AE89" s="23"/>
      <c r="AF89" s="23"/>
      <c r="AG89" t="s">
        <v>345</v>
      </c>
      <c r="AH89">
        <v>502100000</v>
      </c>
      <c r="AI89" s="3" t="s">
        <v>799</v>
      </c>
      <c r="AM89" s="21" t="s">
        <v>137</v>
      </c>
    </row>
    <row r="90" spans="1:39"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hidden="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hidden="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hidden="1"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hidden="1"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hidden="1"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2746</v>
      </c>
      <c r="AA98" t="s">
        <v>854</v>
      </c>
      <c r="AB98" s="23" t="str">
        <f>AM98</f>
        <v>8dc563c540c1439a8c930ddbfada75ef</v>
      </c>
      <c r="AC98" s="23"/>
      <c r="AD98" s="23"/>
      <c r="AE98" s="23"/>
      <c r="AF98" s="23"/>
      <c r="AG98" t="s">
        <v>270</v>
      </c>
      <c r="AH98">
        <v>54000000</v>
      </c>
      <c r="AI98" s="3" t="s">
        <v>855</v>
      </c>
      <c r="AM98" s="23" t="s">
        <v>91</v>
      </c>
    </row>
    <row r="99" spans="1:39" hidden="1"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hidden="1"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2745</v>
      </c>
      <c r="AA101" t="s">
        <v>874</v>
      </c>
      <c r="AB101" s="23" t="str">
        <f>AM101</f>
        <v>56debb04f16d471a921ea472390c8779</v>
      </c>
      <c r="AC101" s="23"/>
      <c r="AD101" s="23"/>
      <c r="AE101" s="23"/>
      <c r="AF101" s="23"/>
      <c r="AG101" t="s">
        <v>260</v>
      </c>
      <c r="AH101">
        <v>138507000</v>
      </c>
      <c r="AI101" s="3" t="s">
        <v>875</v>
      </c>
      <c r="AM101" s="23" t="s">
        <v>165</v>
      </c>
    </row>
    <row r="102" spans="1:39" hidden="1"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hidden="1"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hidden="1"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hidden="1"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hidden="1"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2746</v>
      </c>
      <c r="AA108" t="s">
        <v>854</v>
      </c>
      <c r="AB108" s="23" t="str">
        <f>AM108</f>
        <v>8dc563c540c1439a8c930ddbfada75ef</v>
      </c>
      <c r="AC108" s="23"/>
      <c r="AD108" s="23"/>
      <c r="AE108" s="23"/>
      <c r="AF108" s="23"/>
      <c r="AG108" t="s">
        <v>591</v>
      </c>
      <c r="AH108">
        <v>5000000000</v>
      </c>
      <c r="AI108" s="3" t="s">
        <v>917</v>
      </c>
      <c r="AM108" s="23" t="s">
        <v>91</v>
      </c>
    </row>
    <row r="109" spans="1:39"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hidden="1"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hidden="1"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hidden="1"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hidden="1"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hidden="1"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hidden="1"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hidden="1"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hidden="1"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hidden="1"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2744</v>
      </c>
      <c r="AA120" t="s">
        <v>986</v>
      </c>
      <c r="AB120" s="23" t="str">
        <f>AM120</f>
        <v>f77734da4e7947ce9ee14e628edae0c0</v>
      </c>
      <c r="AC120" s="23"/>
      <c r="AD120" s="23"/>
      <c r="AE120" s="23"/>
      <c r="AF120" s="23"/>
      <c r="AG120" t="s">
        <v>270</v>
      </c>
      <c r="AH120">
        <v>100000000</v>
      </c>
      <c r="AI120" s="3" t="s">
        <v>987</v>
      </c>
      <c r="AM120" s="23" t="s">
        <v>155</v>
      </c>
    </row>
    <row r="121" spans="1:39" hidden="1"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hidden="1"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hidden="1"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hidden="1"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hidden="1"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2755</v>
      </c>
      <c r="AA126" t="s">
        <v>320</v>
      </c>
      <c r="AB126" s="23" t="str">
        <f>AM126</f>
        <v>0861b552d06e4b9799ebc7a3b1aa7e2a</v>
      </c>
      <c r="AC126" s="23"/>
      <c r="AD126" s="23"/>
      <c r="AE126" s="23"/>
      <c r="AF126" s="23"/>
      <c r="AG126" t="s">
        <v>270</v>
      </c>
      <c r="AH126">
        <v>30000000</v>
      </c>
      <c r="AI126" s="3" t="s">
        <v>602</v>
      </c>
      <c r="AM126" s="23" t="s">
        <v>40</v>
      </c>
    </row>
    <row r="127" spans="1:39"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2743</v>
      </c>
      <c r="AA127" t="s">
        <v>1024</v>
      </c>
      <c r="AB127" s="23" t="str">
        <f>AM127</f>
        <v>3bed31a8a09f4c65bf9b9e10a3a99d43</v>
      </c>
      <c r="AC127" s="23"/>
      <c r="AD127" s="23"/>
      <c r="AE127" s="23"/>
      <c r="AF127" s="23"/>
      <c r="AG127" t="s">
        <v>345</v>
      </c>
      <c r="AH127">
        <v>1100000000</v>
      </c>
      <c r="AI127" s="3" t="s">
        <v>1025</v>
      </c>
      <c r="AM127" s="23" t="s">
        <v>143</v>
      </c>
    </row>
    <row r="128" spans="1:39" s="9" customFormat="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hidden="1"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hidden="1"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2755</v>
      </c>
      <c r="AA131" t="s">
        <v>320</v>
      </c>
      <c r="AB131" s="23" t="str">
        <f>AM131</f>
        <v>0861b552d06e4b9799ebc7a3b1aa7e2a</v>
      </c>
      <c r="AC131" s="23"/>
      <c r="AD131" s="23"/>
      <c r="AE131" s="23"/>
      <c r="AF131" s="23"/>
      <c r="AG131" t="s">
        <v>270</v>
      </c>
      <c r="AH131">
        <v>15605522</v>
      </c>
      <c r="AI131" s="3" t="s">
        <v>1050</v>
      </c>
      <c r="AM131" s="23" t="s">
        <v>40</v>
      </c>
    </row>
    <row r="132" spans="1:39"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2757</v>
      </c>
      <c r="AA132" t="s">
        <v>427</v>
      </c>
      <c r="AB132" s="23" t="str">
        <f>AM132</f>
        <v>06916bad6f3d4631a2127d3f46ff766d</v>
      </c>
      <c r="AC132" s="23"/>
      <c r="AD132" s="23"/>
      <c r="AE132" s="23"/>
      <c r="AF132" s="23"/>
      <c r="AG132" t="s">
        <v>260</v>
      </c>
      <c r="AH132">
        <v>16000000</v>
      </c>
      <c r="AI132" s="3" t="s">
        <v>1054</v>
      </c>
      <c r="AM132" s="23" t="s">
        <v>74</v>
      </c>
    </row>
    <row r="133" spans="1:39"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2751</v>
      </c>
      <c r="AA133" t="s">
        <v>659</v>
      </c>
      <c r="AB133" s="23" t="str">
        <f>AM133</f>
        <v>a40381fb70654535ada4454c2ff5e808</v>
      </c>
      <c r="AC133" s="23"/>
      <c r="AD133" s="23"/>
      <c r="AE133" s="23"/>
      <c r="AF133" s="23"/>
      <c r="AG133" t="s">
        <v>270</v>
      </c>
      <c r="AH133">
        <v>250230000</v>
      </c>
      <c r="AI133" s="3" t="s">
        <v>1061</v>
      </c>
      <c r="AM133" s="23" t="s">
        <v>113</v>
      </c>
    </row>
    <row r="134" spans="1:39" hidden="1"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hidden="1"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hidden="1"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2752</v>
      </c>
      <c r="AA137" t="s">
        <v>646</v>
      </c>
      <c r="AB137" s="23" t="str">
        <f>AM137</f>
        <v>e6873103865949bdb9e863d906f83c74</v>
      </c>
      <c r="AC137" s="23"/>
      <c r="AD137" s="23"/>
      <c r="AE137" s="23"/>
      <c r="AF137" s="23"/>
      <c r="AG137" t="s">
        <v>647</v>
      </c>
      <c r="AH137">
        <v>6700000000</v>
      </c>
      <c r="AI137" s="3" t="s">
        <v>1078</v>
      </c>
      <c r="AM137" s="23" t="s">
        <v>60</v>
      </c>
    </row>
    <row r="138" spans="1:39" hidden="1"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2756</v>
      </c>
      <c r="AA139" t="s">
        <v>385</v>
      </c>
      <c r="AB139" s="23" t="str">
        <f>AM139</f>
        <v>46bc90cd9f664b57a297ff3b221857bd</v>
      </c>
      <c r="AC139" s="23"/>
      <c r="AD139" s="23"/>
      <c r="AE139" s="23"/>
      <c r="AF139" s="23"/>
      <c r="AG139" t="s">
        <v>386</v>
      </c>
      <c r="AH139">
        <v>80855000000</v>
      </c>
      <c r="AI139" s="3" t="s">
        <v>1089</v>
      </c>
      <c r="AM139" s="23" t="s">
        <v>128</v>
      </c>
    </row>
    <row r="140" spans="1:39" hidden="1"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hidden="1"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hidden="1"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hidden="1"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hidden="1"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2752</v>
      </c>
      <c r="AA145" t="s">
        <v>646</v>
      </c>
      <c r="AB145" s="23" t="str">
        <f t="shared" si="1"/>
        <v>e6873103865949bdb9e863d906f83c74</v>
      </c>
      <c r="AC145" s="23"/>
      <c r="AD145" s="23"/>
      <c r="AE145" s="23"/>
      <c r="AF145" s="23"/>
      <c r="AG145" t="s">
        <v>647</v>
      </c>
      <c r="AH145">
        <v>3000000000</v>
      </c>
      <c r="AI145" s="3" t="s">
        <v>1126</v>
      </c>
      <c r="AM145" s="23" t="s">
        <v>60</v>
      </c>
    </row>
    <row r="146" spans="1:39"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2746</v>
      </c>
      <c r="AA146" t="s">
        <v>854</v>
      </c>
      <c r="AB146" s="23" t="str">
        <f t="shared" si="1"/>
        <v>8dc563c540c1439a8c930ddbfada75ef</v>
      </c>
      <c r="AC146" s="23"/>
      <c r="AD146" s="23"/>
      <c r="AE146" s="23"/>
      <c r="AF146" s="23"/>
      <c r="AG146" t="s">
        <v>270</v>
      </c>
      <c r="AM146" s="23" t="s">
        <v>91</v>
      </c>
    </row>
    <row r="147" spans="1:39" s="14" customFormat="1" hidden="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hidden="1"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hidden="1"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hidden="1"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hidden="1"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2746</v>
      </c>
      <c r="AA153" t="s">
        <v>854</v>
      </c>
      <c r="AB153" s="23" t="str">
        <f>AM153</f>
        <v>8dc563c540c1439a8c930ddbfada75ef</v>
      </c>
      <c r="AC153" s="23"/>
      <c r="AD153" s="23"/>
      <c r="AE153" s="23"/>
      <c r="AF153" s="23"/>
      <c r="AG153" t="s">
        <v>308</v>
      </c>
      <c r="AH153">
        <v>200000000</v>
      </c>
      <c r="AI153" s="3" t="s">
        <v>1168</v>
      </c>
      <c r="AM153" s="23" t="s">
        <v>91</v>
      </c>
    </row>
    <row r="154" spans="1:39" hidden="1"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hidden="1"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hidden="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hidden="1"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hidden="1"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hidden="1"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hidden="1"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2742</v>
      </c>
      <c r="AA163" t="s">
        <v>1221</v>
      </c>
      <c r="AB163" s="23" t="str">
        <f>AM163</f>
        <v>966583712d874a15a4861b2f4a3ebaa5</v>
      </c>
      <c r="AC163" s="23"/>
      <c r="AD163" s="23"/>
      <c r="AE163" s="23"/>
      <c r="AF163" s="23"/>
      <c r="AG163" t="s">
        <v>345</v>
      </c>
      <c r="AH163">
        <v>2000000000</v>
      </c>
      <c r="AI163" s="3" t="s">
        <v>1222</v>
      </c>
      <c r="AM163" s="23" t="s">
        <v>149</v>
      </c>
    </row>
    <row r="164" spans="1:39" hidden="1"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2752</v>
      </c>
      <c r="AA165" t="s">
        <v>646</v>
      </c>
      <c r="AB165" s="23" t="str">
        <f>AM165</f>
        <v>e6873103865949bdb9e863d906f83c74</v>
      </c>
      <c r="AC165" s="23"/>
      <c r="AD165" s="23"/>
      <c r="AE165" s="23"/>
      <c r="AF165" s="23"/>
      <c r="AG165" t="s">
        <v>647</v>
      </c>
      <c r="AH165">
        <v>1500000000</v>
      </c>
      <c r="AI165" s="3" t="s">
        <v>1234</v>
      </c>
      <c r="AM165" s="23" t="s">
        <v>60</v>
      </c>
    </row>
    <row r="166" spans="1:39" hidden="1"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2741</v>
      </c>
      <c r="AA167" t="s">
        <v>1247</v>
      </c>
      <c r="AB167" s="23" t="str">
        <f t="shared" ref="AB167:AB174" si="2">AM167</f>
        <v>7e876d44cd22441faf1a62083a53b7ad</v>
      </c>
      <c r="AC167" s="23"/>
      <c r="AD167" s="23"/>
      <c r="AE167" s="23"/>
      <c r="AF167" s="23"/>
      <c r="AG167" t="s">
        <v>270</v>
      </c>
      <c r="AH167">
        <v>500000000</v>
      </c>
      <c r="AI167" s="3" t="s">
        <v>922</v>
      </c>
      <c r="AM167" s="23" t="s">
        <v>179</v>
      </c>
    </row>
    <row r="168" spans="1:39"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2752</v>
      </c>
      <c r="AA168" t="s">
        <v>646</v>
      </c>
      <c r="AB168" s="23" t="str">
        <f t="shared" si="2"/>
        <v>e6873103865949bdb9e863d906f83c74</v>
      </c>
      <c r="AC168" s="23"/>
      <c r="AD168" s="23"/>
      <c r="AE168" s="23"/>
      <c r="AF168" s="23"/>
      <c r="AG168" t="s">
        <v>647</v>
      </c>
      <c r="AM168" s="23" t="s">
        <v>60</v>
      </c>
    </row>
    <row r="169" spans="1:39" hidden="1"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2740</v>
      </c>
      <c r="AA170" t="s">
        <v>1258</v>
      </c>
      <c r="AB170" s="23" t="str">
        <f t="shared" si="2"/>
        <v>f9ddf8d55aab4e4298b72383891943eb</v>
      </c>
      <c r="AC170" s="23"/>
      <c r="AD170" s="23"/>
      <c r="AE170" s="23"/>
      <c r="AF170" s="23"/>
      <c r="AG170" t="s">
        <v>270</v>
      </c>
      <c r="AH170">
        <v>750000000</v>
      </c>
      <c r="AI170" s="3" t="s">
        <v>1259</v>
      </c>
      <c r="AM170" s="23" t="s">
        <v>134</v>
      </c>
    </row>
    <row r="171" spans="1:39"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hidden="1"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2739</v>
      </c>
      <c r="AA174" t="s">
        <v>1281</v>
      </c>
      <c r="AB174" s="23" t="str">
        <f t="shared" si="2"/>
        <v>d6700b8c707544c78fa5f4e5a0b6c1e4</v>
      </c>
      <c r="AC174" s="23"/>
      <c r="AD174" s="23"/>
      <c r="AE174" s="23"/>
      <c r="AF174" s="23"/>
      <c r="AG174" t="s">
        <v>1282</v>
      </c>
      <c r="AH174">
        <v>25725000</v>
      </c>
      <c r="AI174" s="3" t="s">
        <v>1283</v>
      </c>
      <c r="AM174" s="23" t="s">
        <v>209</v>
      </c>
    </row>
    <row r="175" spans="1:39" hidden="1"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hidden="1"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2738</v>
      </c>
      <c r="AA177" t="s">
        <v>1294</v>
      </c>
      <c r="AB177" s="23" t="str">
        <f>AM177</f>
        <v>74105bd6a7dd421e81b4531e21ef74af</v>
      </c>
      <c r="AC177" s="23"/>
      <c r="AD177" s="23"/>
      <c r="AE177" s="23"/>
      <c r="AF177" s="23"/>
      <c r="AG177" t="s">
        <v>270</v>
      </c>
      <c r="AH177">
        <v>80000000</v>
      </c>
      <c r="AI177" s="3" t="s">
        <v>1295</v>
      </c>
      <c r="AM177" s="23" t="s">
        <v>167</v>
      </c>
    </row>
    <row r="178" spans="1:39"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2755</v>
      </c>
      <c r="AA178" t="s">
        <v>320</v>
      </c>
      <c r="AB178" s="23" t="str">
        <f>AM178</f>
        <v>0861b552d06e4b9799ebc7a3b1aa7e2a</v>
      </c>
      <c r="AC178" s="23"/>
      <c r="AD178" s="23"/>
      <c r="AE178" s="23"/>
      <c r="AF178" s="23"/>
      <c r="AG178" t="s">
        <v>270</v>
      </c>
      <c r="AH178">
        <v>48971674</v>
      </c>
      <c r="AI178" s="3" t="s">
        <v>1300</v>
      </c>
      <c r="AM178" s="23" t="s">
        <v>40</v>
      </c>
    </row>
    <row r="179" spans="1:39" hidden="1"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hidden="1"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hidden="1"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2750</v>
      </c>
      <c r="AA182" t="s">
        <v>725</v>
      </c>
      <c r="AB182" s="23" t="str">
        <f>AM182</f>
        <v>463bf5e91ed14844b7cce6dafe61cf29</v>
      </c>
      <c r="AC182" s="23"/>
      <c r="AD182" s="23"/>
      <c r="AE182" s="23"/>
      <c r="AF182" s="23"/>
      <c r="AG182" t="s">
        <v>270</v>
      </c>
      <c r="AH182">
        <v>40000000</v>
      </c>
      <c r="AI182" s="3" t="s">
        <v>1321</v>
      </c>
      <c r="AM182" s="23" t="s">
        <v>79</v>
      </c>
    </row>
    <row r="183" spans="1:39" hidden="1"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hidden="1"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hidden="1"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2755</v>
      </c>
      <c r="AA186" t="s">
        <v>320</v>
      </c>
      <c r="AB186" s="23" t="str">
        <f>AM186</f>
        <v>0861b552d06e4b9799ebc7a3b1aa7e2a</v>
      </c>
      <c r="AC186" s="23"/>
      <c r="AD186" s="23"/>
      <c r="AE186" s="23"/>
      <c r="AF186" s="23"/>
      <c r="AG186" t="s">
        <v>270</v>
      </c>
      <c r="AH186">
        <v>29917476</v>
      </c>
      <c r="AI186" s="3" t="s">
        <v>1343</v>
      </c>
      <c r="AM186" s="23" t="s">
        <v>40</v>
      </c>
    </row>
    <row r="187" spans="1:39" hidden="1"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hidden="1"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hidden="1"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hidden="1"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hidden="1"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2755</v>
      </c>
      <c r="AA192" t="s">
        <v>320</v>
      </c>
      <c r="AB192" s="23" t="str">
        <f>AM192</f>
        <v>0861b552d06e4b9799ebc7a3b1aa7e2a</v>
      </c>
      <c r="AC192" s="23"/>
      <c r="AD192" s="23"/>
      <c r="AE192" s="23"/>
      <c r="AF192" s="23"/>
      <c r="AG192" t="s">
        <v>270</v>
      </c>
      <c r="AH192">
        <v>20697951</v>
      </c>
      <c r="AI192" s="3" t="s">
        <v>1379</v>
      </c>
      <c r="AM192" s="23" t="s">
        <v>40</v>
      </c>
    </row>
    <row r="193" spans="1:39" hidden="1"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hidden="1"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hidden="1"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hidden="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hidden="1"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hidden="1"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hidden="1"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hidden="1"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hidden="1"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hidden="1"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hidden="1"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hidden="1"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2759</v>
      </c>
      <c r="AA205" t="s">
        <v>335</v>
      </c>
      <c r="AB205" s="23" t="str">
        <f t="shared" si="3"/>
        <v>b25746bc73674469a979cd1218fc9355</v>
      </c>
      <c r="AC205" s="23"/>
      <c r="AD205" s="23"/>
      <c r="AE205" s="23"/>
      <c r="AF205" s="23"/>
      <c r="AG205" t="s">
        <v>830</v>
      </c>
      <c r="AH205">
        <v>1269017000</v>
      </c>
      <c r="AI205" s="3" t="s">
        <v>1448</v>
      </c>
      <c r="AM205" s="23" t="s">
        <v>51</v>
      </c>
    </row>
    <row r="206" spans="1:39"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2739</v>
      </c>
      <c r="AA206" t="s">
        <v>1281</v>
      </c>
      <c r="AB206" s="23" t="str">
        <f t="shared" si="3"/>
        <v>d6700b8c707544c78fa5f4e5a0b6c1e4</v>
      </c>
      <c r="AC206" s="23"/>
      <c r="AD206" s="23"/>
      <c r="AE206" s="23"/>
      <c r="AF206" s="23"/>
      <c r="AG206" t="s">
        <v>1282</v>
      </c>
      <c r="AM206" s="23" t="s">
        <v>209</v>
      </c>
    </row>
    <row r="207" spans="1:39"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2759</v>
      </c>
      <c r="AA207" t="s">
        <v>335</v>
      </c>
      <c r="AB207" s="23" t="str">
        <f t="shared" si="3"/>
        <v>b25746bc73674469a979cd1218fc9355</v>
      </c>
      <c r="AC207" s="23"/>
      <c r="AD207" s="23"/>
      <c r="AE207" s="23"/>
      <c r="AF207" s="23"/>
      <c r="AG207" t="s">
        <v>830</v>
      </c>
      <c r="AH207">
        <v>1954685000</v>
      </c>
      <c r="AI207" s="3" t="s">
        <v>1455</v>
      </c>
      <c r="AM207" s="23" t="s">
        <v>51</v>
      </c>
    </row>
    <row r="208" spans="1:39"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2755</v>
      </c>
      <c r="AA208" t="s">
        <v>320</v>
      </c>
      <c r="AB208" s="23" t="str">
        <f t="shared" si="3"/>
        <v>0861b552d06e4b9799ebc7a3b1aa7e2a</v>
      </c>
      <c r="AC208" s="23"/>
      <c r="AD208" s="23"/>
      <c r="AE208" s="23"/>
      <c r="AF208" s="23"/>
      <c r="AG208" t="s">
        <v>270</v>
      </c>
      <c r="AH208">
        <v>12502792</v>
      </c>
      <c r="AI208" s="3" t="s">
        <v>1459</v>
      </c>
      <c r="AM208" s="23" t="s">
        <v>40</v>
      </c>
    </row>
    <row r="209" spans="1:39"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2737</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2755</v>
      </c>
      <c r="AA211" t="s">
        <v>320</v>
      </c>
      <c r="AB211" s="23" t="str">
        <f t="shared" si="3"/>
        <v>0861b552d06e4b9799ebc7a3b1aa7e2a</v>
      </c>
      <c r="AC211" s="23"/>
      <c r="AD211" s="23"/>
      <c r="AE211" s="23"/>
      <c r="AF211" s="23"/>
      <c r="AG211" t="s">
        <v>270</v>
      </c>
      <c r="AH211">
        <v>15196669</v>
      </c>
      <c r="AI211" s="3" t="s">
        <v>1480</v>
      </c>
      <c r="AM211" s="23" t="s">
        <v>40</v>
      </c>
    </row>
    <row r="212" spans="1:39" hidden="1"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hidden="1"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hidden="1"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hidden="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hidden="1"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hidden="1"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hidden="1"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2739</v>
      </c>
      <c r="AA222" t="s">
        <v>1281</v>
      </c>
      <c r="AB222" s="23" t="str">
        <f t="shared" si="4"/>
        <v>d6700b8c707544c78fa5f4e5a0b6c1e4</v>
      </c>
      <c r="AC222" s="23"/>
      <c r="AD222" s="23"/>
      <c r="AE222" s="23"/>
      <c r="AF222" s="23"/>
      <c r="AG222" t="s">
        <v>1282</v>
      </c>
      <c r="AH222">
        <v>30870000</v>
      </c>
      <c r="AI222" s="3" t="s">
        <v>1545</v>
      </c>
      <c r="AM222" s="23" t="s">
        <v>209</v>
      </c>
    </row>
    <row r="223" spans="1:39"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2747</v>
      </c>
      <c r="AA223" t="s">
        <v>1550</v>
      </c>
      <c r="AB223" s="23" t="str">
        <f t="shared" si="4"/>
        <v>540e3b9e7ad24ec29091bc6c98dbbc0a</v>
      </c>
      <c r="AC223" s="23"/>
      <c r="AD223" s="23"/>
      <c r="AE223" s="23"/>
      <c r="AF223" s="23"/>
      <c r="AG223" t="s">
        <v>647</v>
      </c>
      <c r="AH223">
        <v>14443000000</v>
      </c>
      <c r="AI223" s="3" t="s">
        <v>1551</v>
      </c>
      <c r="AM223" s="23" t="s">
        <v>161</v>
      </c>
    </row>
    <row r="224" spans="1:39" s="14" customFormat="1" hidden="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hidden="1"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hidden="1"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hidden="1"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hidden="1"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hidden="1"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2755</v>
      </c>
      <c r="AA231" t="s">
        <v>320</v>
      </c>
      <c r="AB231" s="23" t="str">
        <f>AM231</f>
        <v>0861b552d06e4b9799ebc7a3b1aa7e2a</v>
      </c>
      <c r="AC231" s="23"/>
      <c r="AD231" s="23"/>
      <c r="AE231" s="23"/>
      <c r="AF231" s="23"/>
      <c r="AG231" t="s">
        <v>270</v>
      </c>
      <c r="AH231">
        <v>73432000</v>
      </c>
      <c r="AI231" s="3" t="s">
        <v>1588</v>
      </c>
      <c r="AM231" s="23" t="s">
        <v>40</v>
      </c>
    </row>
    <row r="232" spans="1:39" hidden="1"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hidden="1"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2753</v>
      </c>
      <c r="AA234" t="s">
        <v>480</v>
      </c>
      <c r="AB234" s="23" t="str">
        <f>AM234</f>
        <v>79973950fccc4bf18841836cb416b80c</v>
      </c>
      <c r="AC234" s="23"/>
      <c r="AD234" s="23"/>
      <c r="AE234" s="23"/>
      <c r="AF234" s="23"/>
      <c r="AG234" t="s">
        <v>386</v>
      </c>
      <c r="AM234" s="23" t="s">
        <v>103</v>
      </c>
    </row>
    <row r="235" spans="1:39" hidden="1"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hidden="1"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hidden="1"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hidden="1"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hidden="1"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hidden="1"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hidden="1"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2736</v>
      </c>
      <c r="AA243" t="s">
        <v>1660</v>
      </c>
      <c r="AB243" s="23" t="str">
        <f>AM243</f>
        <v>23874d9911cb4bc4b0376a3d29a0a700</v>
      </c>
      <c r="AC243" s="23"/>
      <c r="AD243" s="23"/>
      <c r="AE243" s="23"/>
      <c r="AF243" s="23"/>
      <c r="AG243" t="s">
        <v>270</v>
      </c>
      <c r="AH243">
        <v>1200000000</v>
      </c>
      <c r="AI243" s="3" t="s">
        <v>1661</v>
      </c>
      <c r="AM243" s="23" t="s">
        <v>191</v>
      </c>
    </row>
    <row r="244" spans="1:42" hidden="1"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hidden="1"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2752</v>
      </c>
      <c r="AA247" t="s">
        <v>646</v>
      </c>
      <c r="AB247" s="23" t="str">
        <f>AM247</f>
        <v>e6873103865949bdb9e863d906f83c74</v>
      </c>
      <c r="AC247" s="23"/>
      <c r="AD247" s="23"/>
      <c r="AE247" s="23"/>
      <c r="AF247" s="23"/>
      <c r="AG247" t="s">
        <v>647</v>
      </c>
      <c r="AH247">
        <v>8625000000</v>
      </c>
      <c r="AI247" s="3" t="s">
        <v>1681</v>
      </c>
      <c r="AM247" s="23" t="s">
        <v>60</v>
      </c>
    </row>
    <row r="248" spans="1:42" hidden="1"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hidden="1"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2755</v>
      </c>
      <c r="AA250" t="s">
        <v>320</v>
      </c>
      <c r="AB250" s="23" t="str">
        <f>AM250</f>
        <v>0861b552d06e4b9799ebc7a3b1aa7e2a</v>
      </c>
      <c r="AC250" s="23"/>
      <c r="AD250" s="23"/>
      <c r="AE250" s="23"/>
      <c r="AF250" s="23"/>
      <c r="AG250" t="s">
        <v>270</v>
      </c>
      <c r="AH250">
        <v>60000000</v>
      </c>
      <c r="AI250" s="3" t="s">
        <v>271</v>
      </c>
      <c r="AM250" s="23" t="s">
        <v>40</v>
      </c>
    </row>
    <row r="251" spans="1:42" hidden="1"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2740</v>
      </c>
      <c r="AA252" t="s">
        <v>1258</v>
      </c>
      <c r="AB252" s="23" t="str">
        <f>AM252</f>
        <v>f9ddf8d55aab4e4298b72383891943eb</v>
      </c>
      <c r="AC252" s="23"/>
      <c r="AD252" s="23"/>
      <c r="AE252" s="23"/>
      <c r="AF252" s="23"/>
      <c r="AG252" t="s">
        <v>270</v>
      </c>
      <c r="AH252">
        <v>700000000</v>
      </c>
      <c r="AI252" s="3" t="s">
        <v>585</v>
      </c>
      <c r="AM252" s="23" t="s">
        <v>134</v>
      </c>
    </row>
    <row r="253" spans="1:42"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hidden="1"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hidden="1"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hidden="1"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hidden="1"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2749</v>
      </c>
      <c r="AA260" t="s">
        <v>754</v>
      </c>
      <c r="AB260" s="23" t="str">
        <f>AM260</f>
        <v>896c5d8cf68641b1899f31ed76479743</v>
      </c>
      <c r="AC260" s="23"/>
      <c r="AD260" s="23"/>
      <c r="AE260" s="23"/>
      <c r="AF260" s="23"/>
      <c r="AG260" t="s">
        <v>270</v>
      </c>
      <c r="AH260">
        <v>48300000</v>
      </c>
      <c r="AI260" s="3" t="s">
        <v>1754</v>
      </c>
      <c r="AM260" s="23" t="s">
        <v>131</v>
      </c>
    </row>
    <row r="261" spans="1:39"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2750</v>
      </c>
      <c r="AA261" t="s">
        <v>725</v>
      </c>
      <c r="AB261" s="23" t="str">
        <f>AM261</f>
        <v>463bf5e91ed14844b7cce6dafe61cf29</v>
      </c>
      <c r="AC261" s="23"/>
      <c r="AD261" s="23"/>
      <c r="AE261" s="23"/>
      <c r="AF261" s="23"/>
      <c r="AG261" t="s">
        <v>270</v>
      </c>
      <c r="AM261" s="23" t="s">
        <v>79</v>
      </c>
    </row>
    <row r="262" spans="1:39" hidden="1"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2757</v>
      </c>
      <c r="AA263" t="s">
        <v>427</v>
      </c>
      <c r="AB263" s="23" t="str">
        <f>AM263</f>
        <v>06916bad6f3d4631a2127d3f46ff766d</v>
      </c>
      <c r="AC263" s="23"/>
      <c r="AD263" s="23"/>
      <c r="AE263" s="23"/>
      <c r="AF263" s="23"/>
      <c r="AG263" t="s">
        <v>260</v>
      </c>
      <c r="AH263">
        <v>300000000</v>
      </c>
      <c r="AI263" s="3" t="s">
        <v>1765</v>
      </c>
      <c r="AM263" s="23" t="s">
        <v>74</v>
      </c>
    </row>
    <row r="264" spans="1:39" hidden="1"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hidden="1"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hidden="1"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hidden="1"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2752</v>
      </c>
      <c r="AA268" t="s">
        <v>646</v>
      </c>
      <c r="AB268" s="23" t="str">
        <f>AM268</f>
        <v>e6873103865949bdb9e863d906f83c74</v>
      </c>
      <c r="AC268" s="23"/>
      <c r="AD268" s="23"/>
      <c r="AE268" s="23"/>
      <c r="AF268" s="23"/>
      <c r="AG268" t="s">
        <v>647</v>
      </c>
      <c r="AH268">
        <v>3375000000</v>
      </c>
      <c r="AI268" s="3" t="s">
        <v>1789</v>
      </c>
      <c r="AM268" s="23" t="s">
        <v>60</v>
      </c>
    </row>
    <row r="269" spans="1:39"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2735</v>
      </c>
      <c r="AA269" t="s">
        <v>1795</v>
      </c>
      <c r="AB269" s="23" t="str">
        <f>AM269</f>
        <v>b49dc523ef1442c78e3ef719dbf815cc</v>
      </c>
      <c r="AC269" s="23"/>
      <c r="AD269" s="23"/>
      <c r="AE269" s="23"/>
      <c r="AF269" s="23"/>
      <c r="AG269" t="s">
        <v>386</v>
      </c>
      <c r="AH269">
        <v>200000000000</v>
      </c>
      <c r="AI269" s="3" t="s">
        <v>1796</v>
      </c>
      <c r="AM269" s="23" t="s">
        <v>139</v>
      </c>
    </row>
    <row r="270" spans="1:39" s="14" customFormat="1" hidden="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hidden="1"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2757</v>
      </c>
      <c r="AA272" t="s">
        <v>427</v>
      </c>
      <c r="AB272" s="23" t="str">
        <f>AM272</f>
        <v>06916bad6f3d4631a2127d3f46ff766d</v>
      </c>
      <c r="AC272" s="23"/>
      <c r="AD272" s="23"/>
      <c r="AE272" s="23"/>
      <c r="AF272" s="23"/>
      <c r="AG272" t="s">
        <v>260</v>
      </c>
      <c r="AH272">
        <v>64000000</v>
      </c>
      <c r="AI272" s="3" t="s">
        <v>1810</v>
      </c>
      <c r="AM272" s="23" t="s">
        <v>74</v>
      </c>
    </row>
    <row r="273" spans="1:39" hidden="1"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hidden="1"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hidden="1"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hidden="1"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hidden="1"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hidden="1"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hidden="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hidden="1"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hidden="1"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hidden="1"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2734</v>
      </c>
      <c r="AA284" t="s">
        <v>1879</v>
      </c>
      <c r="AB284" s="23" t="str">
        <f>AM284</f>
        <v>616bf483456a4f2584a515fd255ad176</v>
      </c>
      <c r="AC284" s="23"/>
      <c r="AD284" s="23"/>
      <c r="AE284" s="23"/>
      <c r="AF284" s="23"/>
      <c r="AG284" t="s">
        <v>647</v>
      </c>
      <c r="AH284">
        <v>50000000000</v>
      </c>
      <c r="AI284" s="3" t="s">
        <v>1880</v>
      </c>
      <c r="AM284" s="23" t="s">
        <v>203</v>
      </c>
    </row>
    <row r="285" spans="1:39" hidden="1"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hidden="1"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hidden="1"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2739</v>
      </c>
      <c r="AA288" t="s">
        <v>1281</v>
      </c>
      <c r="AB288" s="23" t="str">
        <f>AM288</f>
        <v>d6700b8c707544c78fa5f4e5a0b6c1e4</v>
      </c>
      <c r="AC288" s="23"/>
      <c r="AD288" s="23"/>
      <c r="AE288" s="23"/>
      <c r="AF288" s="23"/>
      <c r="AG288" t="s">
        <v>1282</v>
      </c>
      <c r="AH288">
        <v>46305000</v>
      </c>
      <c r="AI288" s="3" t="s">
        <v>1898</v>
      </c>
      <c r="AM288" s="23" t="s">
        <v>209</v>
      </c>
    </row>
    <row r="289" spans="1:39"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hidden="1"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hidden="1"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hidden="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hidden="1"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hidden="1"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hidden="1"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2755</v>
      </c>
      <c r="AA298" t="s">
        <v>320</v>
      </c>
      <c r="AB298" s="23" t="str">
        <f>AM298</f>
        <v>0861b552d06e4b9799ebc7a3b1aa7e2a</v>
      </c>
      <c r="AC298" s="23"/>
      <c r="AD298" s="23"/>
      <c r="AE298" s="23"/>
      <c r="AF298" s="23"/>
      <c r="AG298" t="s">
        <v>270</v>
      </c>
      <c r="AH298">
        <v>50000000</v>
      </c>
      <c r="AI298" s="3" t="s">
        <v>353</v>
      </c>
      <c r="AM298" s="23" t="s">
        <v>40</v>
      </c>
    </row>
    <row r="299" spans="1:39" hidden="1"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85A19-0C0B-2647-A79E-73819E9B1CF4}">
  <dimension ref="A1:R292"/>
  <sheetViews>
    <sheetView workbookViewId="0">
      <selection activeCell="B2" sqref="B2"/>
    </sheetView>
  </sheetViews>
  <sheetFormatPr baseColWidth="10" defaultRowHeight="16" x14ac:dyDescent="0.2"/>
  <cols>
    <col min="1" max="1" width="18.6640625" customWidth="1"/>
    <col min="2" max="2" width="43.1640625" customWidth="1"/>
    <col min="3" max="3" width="24" bestFit="1" customWidth="1"/>
    <col min="4" max="4" width="13.6640625" bestFit="1" customWidth="1"/>
    <col min="8" max="8" width="19.1640625" customWidth="1"/>
    <col min="9" max="9" width="43.1640625" customWidth="1"/>
    <col min="10" max="10" width="24" customWidth="1"/>
    <col min="11" max="11" width="13.6640625" bestFit="1" customWidth="1"/>
  </cols>
  <sheetData>
    <row r="1" spans="1:11" x14ac:dyDescent="0.2">
      <c r="A1" s="50" t="s">
        <v>1949</v>
      </c>
      <c r="B1" s="51" t="s">
        <v>1951</v>
      </c>
      <c r="H1" s="50" t="s">
        <v>1949</v>
      </c>
      <c r="I1" s="51" t="s">
        <v>1951</v>
      </c>
    </row>
    <row r="2" spans="1:11" x14ac:dyDescent="0.2">
      <c r="A2" s="50" t="s">
        <v>215</v>
      </c>
      <c r="B2" s="51" t="s">
        <v>1951</v>
      </c>
      <c r="H2" s="50" t="s">
        <v>215</v>
      </c>
      <c r="I2" s="51" t="s">
        <v>1951</v>
      </c>
    </row>
    <row r="3" spans="1:11" x14ac:dyDescent="0.2">
      <c r="A3" s="50" t="s">
        <v>216</v>
      </c>
      <c r="B3" s="51" t="s">
        <v>1951</v>
      </c>
      <c r="H3" s="50" t="s">
        <v>216</v>
      </c>
      <c r="I3" s="51" t="s">
        <v>1951</v>
      </c>
    </row>
    <row r="4" spans="1:11" x14ac:dyDescent="0.2">
      <c r="A4" s="50" t="s">
        <v>217</v>
      </c>
      <c r="B4" s="51" t="s">
        <v>1951</v>
      </c>
      <c r="H4" s="50" t="s">
        <v>217</v>
      </c>
      <c r="I4" s="51" t="s">
        <v>1951</v>
      </c>
    </row>
    <row r="5" spans="1:11" x14ac:dyDescent="0.2">
      <c r="A5" s="50" t="s">
        <v>218</v>
      </c>
      <c r="B5" s="51" t="s">
        <v>1951</v>
      </c>
      <c r="H5" s="50" t="s">
        <v>218</v>
      </c>
      <c r="I5" s="51" t="s">
        <v>1951</v>
      </c>
    </row>
    <row r="6" spans="1:11" x14ac:dyDescent="0.2">
      <c r="A6" s="50" t="s">
        <v>219</v>
      </c>
      <c r="B6" s="51" t="s">
        <v>1951</v>
      </c>
      <c r="H6" s="50" t="s">
        <v>219</v>
      </c>
      <c r="I6" s="51" t="s">
        <v>1951</v>
      </c>
    </row>
    <row r="8" spans="1:11" x14ac:dyDescent="0.2">
      <c r="A8" s="39" t="s">
        <v>1952</v>
      </c>
      <c r="B8" s="40"/>
      <c r="C8" s="40"/>
      <c r="D8" s="41"/>
      <c r="H8" s="39" t="s">
        <v>1952</v>
      </c>
      <c r="I8" s="40"/>
      <c r="J8" s="40"/>
      <c r="K8" s="41"/>
    </row>
    <row r="9" spans="1:11" x14ac:dyDescent="0.2">
      <c r="A9" s="39" t="s">
        <v>221</v>
      </c>
      <c r="B9" s="39" t="s">
        <v>224</v>
      </c>
      <c r="C9" s="39" t="s">
        <v>1953</v>
      </c>
      <c r="D9" s="41" t="s">
        <v>1954</v>
      </c>
      <c r="H9" s="39" t="s">
        <v>221</v>
      </c>
      <c r="I9" s="39" t="s">
        <v>224</v>
      </c>
      <c r="J9" s="39" t="s">
        <v>1953</v>
      </c>
      <c r="K9" s="41" t="s">
        <v>1954</v>
      </c>
    </row>
    <row r="10" spans="1:11" x14ac:dyDescent="0.2">
      <c r="A10" s="42">
        <v>0</v>
      </c>
      <c r="B10" s="42" t="s">
        <v>1413</v>
      </c>
      <c r="C10" s="42" t="s">
        <v>1986</v>
      </c>
      <c r="D10" s="43">
        <v>234513925</v>
      </c>
      <c r="H10" s="42">
        <v>0</v>
      </c>
      <c r="I10" s="42" t="s">
        <v>1413</v>
      </c>
      <c r="J10" s="42" t="s">
        <v>1986</v>
      </c>
      <c r="K10" s="43">
        <v>234513925</v>
      </c>
    </row>
    <row r="11" spans="1:11" x14ac:dyDescent="0.2">
      <c r="A11" s="44"/>
      <c r="B11" s="44"/>
      <c r="C11" s="45" t="s">
        <v>1955</v>
      </c>
      <c r="D11" s="46">
        <v>234513925</v>
      </c>
      <c r="H11" s="44"/>
      <c r="I11" s="44"/>
      <c r="J11" s="45" t="s">
        <v>1955</v>
      </c>
      <c r="K11" s="46">
        <v>234513925</v>
      </c>
    </row>
    <row r="12" spans="1:11" x14ac:dyDescent="0.2">
      <c r="A12" s="44"/>
      <c r="B12" s="44"/>
      <c r="C12" s="45" t="s">
        <v>1994</v>
      </c>
      <c r="D12" s="46">
        <v>149346662</v>
      </c>
      <c r="H12" s="44"/>
      <c r="I12" s="44"/>
      <c r="J12" s="45" t="s">
        <v>1994</v>
      </c>
      <c r="K12" s="46">
        <v>149346662</v>
      </c>
    </row>
    <row r="13" spans="1:11" x14ac:dyDescent="0.2">
      <c r="A13" s="44"/>
      <c r="B13" s="44"/>
      <c r="C13" s="45" t="s">
        <v>1956</v>
      </c>
      <c r="D13" s="46">
        <v>149346662</v>
      </c>
      <c r="H13" s="44"/>
      <c r="I13" s="44"/>
      <c r="J13" s="45" t="s">
        <v>1956</v>
      </c>
      <c r="K13" s="46">
        <v>149346662</v>
      </c>
    </row>
    <row r="14" spans="1:11" x14ac:dyDescent="0.2">
      <c r="A14" s="44"/>
      <c r="B14" s="42" t="s">
        <v>649</v>
      </c>
      <c r="C14" s="42" t="s">
        <v>1957</v>
      </c>
      <c r="D14" s="43">
        <v>740000000</v>
      </c>
      <c r="H14" s="44"/>
      <c r="I14" s="42" t="s">
        <v>649</v>
      </c>
      <c r="J14" s="42" t="s">
        <v>1957</v>
      </c>
      <c r="K14" s="43">
        <v>740000000</v>
      </c>
    </row>
    <row r="15" spans="1:11" x14ac:dyDescent="0.2">
      <c r="A15" s="44"/>
      <c r="B15" s="44"/>
      <c r="C15" s="45" t="s">
        <v>1986</v>
      </c>
      <c r="D15" s="46">
        <v>50000000</v>
      </c>
      <c r="H15" s="44"/>
      <c r="I15" s="44"/>
      <c r="J15" s="45" t="s">
        <v>1986</v>
      </c>
      <c r="K15" s="46">
        <v>50000000</v>
      </c>
    </row>
    <row r="16" spans="1:11" x14ac:dyDescent="0.2">
      <c r="A16" s="44"/>
      <c r="B16" s="44"/>
      <c r="C16" s="45" t="s">
        <v>1955</v>
      </c>
      <c r="D16" s="46">
        <v>50000000</v>
      </c>
      <c r="H16" s="44"/>
      <c r="I16" s="44"/>
      <c r="J16" s="45" t="s">
        <v>1955</v>
      </c>
      <c r="K16" s="46">
        <v>50000000</v>
      </c>
    </row>
    <row r="17" spans="1:11" x14ac:dyDescent="0.2">
      <c r="A17" s="44"/>
      <c r="B17" s="44"/>
      <c r="C17" s="45" t="s">
        <v>2017</v>
      </c>
      <c r="D17" s="46">
        <v>740000000</v>
      </c>
      <c r="H17" s="44"/>
      <c r="I17" s="44"/>
      <c r="J17" s="45" t="s">
        <v>2017</v>
      </c>
      <c r="K17" s="46">
        <v>740000000</v>
      </c>
    </row>
    <row r="18" spans="1:11" x14ac:dyDescent="0.2">
      <c r="A18" s="44"/>
      <c r="B18" s="44"/>
      <c r="C18" s="45" t="s">
        <v>1994</v>
      </c>
      <c r="D18" s="46">
        <v>416100000</v>
      </c>
      <c r="H18" s="44"/>
      <c r="I18" s="44"/>
      <c r="J18" s="45" t="s">
        <v>1994</v>
      </c>
      <c r="K18" s="46">
        <v>416100000</v>
      </c>
    </row>
    <row r="19" spans="1:11" x14ac:dyDescent="0.2">
      <c r="A19" s="44"/>
      <c r="B19" s="44"/>
      <c r="C19" s="45" t="s">
        <v>1956</v>
      </c>
      <c r="D19" s="46">
        <v>416100000</v>
      </c>
      <c r="H19" s="44"/>
      <c r="I19" s="44"/>
      <c r="J19" s="45" t="s">
        <v>1956</v>
      </c>
      <c r="K19" s="46">
        <v>416100000</v>
      </c>
    </row>
    <row r="20" spans="1:11" x14ac:dyDescent="0.2">
      <c r="A20" s="44"/>
      <c r="B20" s="42" t="s">
        <v>1068</v>
      </c>
      <c r="C20" s="42" t="s">
        <v>2024</v>
      </c>
      <c r="D20" s="43">
        <v>25900000</v>
      </c>
      <c r="H20" s="44"/>
      <c r="I20" s="42" t="s">
        <v>1068</v>
      </c>
      <c r="J20" s="42" t="s">
        <v>2024</v>
      </c>
      <c r="K20" s="43">
        <v>25900000</v>
      </c>
    </row>
    <row r="21" spans="1:11" x14ac:dyDescent="0.2">
      <c r="A21" s="44"/>
      <c r="B21" s="44"/>
      <c r="C21" s="45" t="s">
        <v>1957</v>
      </c>
      <c r="D21" s="46">
        <v>888100000</v>
      </c>
      <c r="H21" s="44"/>
      <c r="I21" s="44"/>
      <c r="J21" s="45" t="s">
        <v>1957</v>
      </c>
      <c r="K21" s="46">
        <v>888100000</v>
      </c>
    </row>
    <row r="22" spans="1:11" x14ac:dyDescent="0.2">
      <c r="A22" s="44"/>
      <c r="B22" s="44"/>
      <c r="C22" s="45" t="s">
        <v>1965</v>
      </c>
      <c r="D22" s="46">
        <v>19200000</v>
      </c>
      <c r="H22" s="44"/>
      <c r="I22" s="44"/>
      <c r="J22" s="45" t="s">
        <v>1965</v>
      </c>
      <c r="K22" s="46">
        <v>19200000</v>
      </c>
    </row>
    <row r="23" spans="1:11" x14ac:dyDescent="0.2">
      <c r="A23" s="44"/>
      <c r="B23" s="44"/>
      <c r="C23" s="45" t="s">
        <v>1986</v>
      </c>
      <c r="D23" s="46">
        <v>1900000</v>
      </c>
      <c r="H23" s="44"/>
      <c r="I23" s="44"/>
      <c r="J23" s="45" t="s">
        <v>1986</v>
      </c>
      <c r="K23" s="46">
        <v>1900000</v>
      </c>
    </row>
    <row r="24" spans="1:11" x14ac:dyDescent="0.2">
      <c r="A24" s="44"/>
      <c r="B24" s="44"/>
      <c r="C24" s="45" t="s">
        <v>1960</v>
      </c>
      <c r="D24" s="46">
        <v>200000</v>
      </c>
      <c r="H24" s="44"/>
      <c r="I24" s="44"/>
      <c r="J24" s="45" t="s">
        <v>1960</v>
      </c>
      <c r="K24" s="46">
        <v>200000</v>
      </c>
    </row>
    <row r="25" spans="1:11" x14ac:dyDescent="0.2">
      <c r="A25" s="44"/>
      <c r="B25" s="44"/>
      <c r="C25" s="45" t="s">
        <v>1958</v>
      </c>
      <c r="D25" s="46">
        <v>25700000</v>
      </c>
      <c r="H25" s="44"/>
      <c r="I25" s="44"/>
      <c r="J25" s="45" t="s">
        <v>1958</v>
      </c>
      <c r="K25" s="46">
        <v>25700000</v>
      </c>
    </row>
    <row r="26" spans="1:11" x14ac:dyDescent="0.2">
      <c r="A26" s="44"/>
      <c r="B26" s="44"/>
      <c r="C26" s="45" t="s">
        <v>1955</v>
      </c>
      <c r="D26" s="46">
        <v>1900000</v>
      </c>
      <c r="H26" s="44"/>
      <c r="I26" s="44"/>
      <c r="J26" s="45" t="s">
        <v>1955</v>
      </c>
      <c r="K26" s="46">
        <v>1900000</v>
      </c>
    </row>
    <row r="27" spans="1:11" x14ac:dyDescent="0.2">
      <c r="A27" s="44"/>
      <c r="B27" s="44"/>
      <c r="C27" s="45" t="s">
        <v>2017</v>
      </c>
      <c r="D27" s="46">
        <v>888100000</v>
      </c>
      <c r="H27" s="44"/>
      <c r="I27" s="44"/>
      <c r="J27" s="45" t="s">
        <v>2017</v>
      </c>
      <c r="K27" s="46">
        <v>888100000</v>
      </c>
    </row>
    <row r="28" spans="1:11" x14ac:dyDescent="0.2">
      <c r="A28" s="44"/>
      <c r="B28" s="44"/>
      <c r="C28" s="45" t="s">
        <v>1994</v>
      </c>
      <c r="D28" s="46">
        <v>19200000</v>
      </c>
      <c r="H28" s="44"/>
      <c r="I28" s="44"/>
      <c r="J28" s="45" t="s">
        <v>1994</v>
      </c>
      <c r="K28" s="46">
        <v>19200000</v>
      </c>
    </row>
    <row r="29" spans="1:11" x14ac:dyDescent="0.2">
      <c r="A29" s="44"/>
      <c r="B29" s="42" t="s">
        <v>1070</v>
      </c>
      <c r="C29" s="42" t="s">
        <v>1986</v>
      </c>
      <c r="D29" s="43">
        <v>54586369</v>
      </c>
      <c r="H29" s="44"/>
      <c r="I29" s="42" t="s">
        <v>1070</v>
      </c>
      <c r="J29" s="42" t="s">
        <v>1986</v>
      </c>
      <c r="K29" s="43">
        <v>54586369</v>
      </c>
    </row>
    <row r="30" spans="1:11" x14ac:dyDescent="0.2">
      <c r="A30" s="44"/>
      <c r="B30" s="44"/>
      <c r="C30" s="45" t="s">
        <v>1955</v>
      </c>
      <c r="D30" s="46">
        <v>54586369</v>
      </c>
      <c r="H30" s="44"/>
      <c r="I30" s="44"/>
      <c r="J30" s="45" t="s">
        <v>1955</v>
      </c>
      <c r="K30" s="46">
        <v>54586369</v>
      </c>
    </row>
    <row r="31" spans="1:11" x14ac:dyDescent="0.2">
      <c r="A31" s="44"/>
      <c r="B31" s="42" t="s">
        <v>1554</v>
      </c>
      <c r="C31" s="42" t="s">
        <v>1986</v>
      </c>
      <c r="D31" s="43">
        <v>15104112</v>
      </c>
      <c r="H31" s="44"/>
      <c r="I31" s="42" t="s">
        <v>1554</v>
      </c>
      <c r="J31" s="42" t="s">
        <v>1986</v>
      </c>
      <c r="K31" s="43">
        <v>15104112</v>
      </c>
    </row>
    <row r="32" spans="1:11" x14ac:dyDescent="0.2">
      <c r="A32" s="44"/>
      <c r="B32" s="44"/>
      <c r="C32" s="45" t="s">
        <v>1955</v>
      </c>
      <c r="D32" s="46">
        <v>15104112</v>
      </c>
      <c r="H32" s="44"/>
      <c r="I32" s="44"/>
      <c r="J32" s="45" t="s">
        <v>1955</v>
      </c>
      <c r="K32" s="46">
        <v>15104112</v>
      </c>
    </row>
    <row r="33" spans="1:11" x14ac:dyDescent="0.2">
      <c r="A33" s="44"/>
      <c r="B33" s="42" t="s">
        <v>1034</v>
      </c>
      <c r="C33" s="42" t="s">
        <v>1986</v>
      </c>
      <c r="D33" s="43">
        <v>159759756</v>
      </c>
      <c r="H33" s="44"/>
      <c r="I33" s="42" t="s">
        <v>1034</v>
      </c>
      <c r="J33" s="42" t="s">
        <v>1986</v>
      </c>
      <c r="K33" s="43">
        <v>159759756</v>
      </c>
    </row>
    <row r="34" spans="1:11" x14ac:dyDescent="0.2">
      <c r="A34" s="44"/>
      <c r="B34" s="44"/>
      <c r="C34" s="45" t="s">
        <v>1955</v>
      </c>
      <c r="D34" s="46">
        <v>159759756</v>
      </c>
      <c r="H34" s="44"/>
      <c r="I34" s="44"/>
      <c r="J34" s="45" t="s">
        <v>1955</v>
      </c>
      <c r="K34" s="46">
        <v>159759756</v>
      </c>
    </row>
    <row r="35" spans="1:11" x14ac:dyDescent="0.2">
      <c r="A35" s="44"/>
      <c r="B35" s="42" t="s">
        <v>525</v>
      </c>
      <c r="C35" s="42" t="s">
        <v>2024</v>
      </c>
      <c r="D35" s="43">
        <v>96325288</v>
      </c>
      <c r="H35" s="44"/>
      <c r="I35" s="42" t="s">
        <v>525</v>
      </c>
      <c r="J35" s="42" t="s">
        <v>2024</v>
      </c>
      <c r="K35" s="43">
        <v>96325288</v>
      </c>
    </row>
    <row r="36" spans="1:11" x14ac:dyDescent="0.2">
      <c r="A36" s="44"/>
      <c r="B36" s="44"/>
      <c r="C36" s="45" t="s">
        <v>1957</v>
      </c>
      <c r="D36" s="46">
        <v>1989344</v>
      </c>
      <c r="H36" s="44"/>
      <c r="I36" s="44"/>
      <c r="J36" s="45" t="s">
        <v>1957</v>
      </c>
      <c r="K36" s="46">
        <v>1989344</v>
      </c>
    </row>
    <row r="37" spans="1:11" x14ac:dyDescent="0.2">
      <c r="A37" s="44"/>
      <c r="B37" s="44"/>
      <c r="C37" s="45" t="s">
        <v>1960</v>
      </c>
      <c r="D37" s="46">
        <v>48469368</v>
      </c>
      <c r="H37" s="44"/>
      <c r="I37" s="44"/>
      <c r="J37" s="45" t="s">
        <v>1960</v>
      </c>
      <c r="K37" s="46">
        <v>48469368</v>
      </c>
    </row>
    <row r="38" spans="1:11" x14ac:dyDescent="0.2">
      <c r="A38" s="44"/>
      <c r="B38" s="44"/>
      <c r="C38" s="45" t="s">
        <v>1961</v>
      </c>
      <c r="D38" s="46">
        <v>6323211</v>
      </c>
      <c r="H38" s="44"/>
      <c r="I38" s="44"/>
      <c r="J38" s="45" t="s">
        <v>1961</v>
      </c>
      <c r="K38" s="46">
        <v>6323211</v>
      </c>
    </row>
    <row r="39" spans="1:11" x14ac:dyDescent="0.2">
      <c r="A39" s="44"/>
      <c r="B39" s="44"/>
      <c r="C39" s="45" t="s">
        <v>1958</v>
      </c>
      <c r="D39" s="46">
        <v>96325288</v>
      </c>
      <c r="H39" s="44"/>
      <c r="I39" s="44"/>
      <c r="J39" s="45" t="s">
        <v>1958</v>
      </c>
      <c r="K39" s="46">
        <v>96325288</v>
      </c>
    </row>
    <row r="40" spans="1:11" x14ac:dyDescent="0.2">
      <c r="A40" s="44"/>
      <c r="B40" s="44"/>
      <c r="C40" s="45" t="s">
        <v>2074</v>
      </c>
      <c r="D40" s="46">
        <v>6323211</v>
      </c>
      <c r="H40" s="44"/>
      <c r="I40" s="44"/>
      <c r="J40" s="45" t="s">
        <v>2074</v>
      </c>
      <c r="K40" s="46">
        <v>6323211</v>
      </c>
    </row>
    <row r="41" spans="1:11" x14ac:dyDescent="0.2">
      <c r="A41" s="44"/>
      <c r="B41" s="44"/>
      <c r="C41" s="45" t="s">
        <v>441</v>
      </c>
      <c r="D41" s="46">
        <v>50458712</v>
      </c>
      <c r="H41" s="44"/>
      <c r="I41" s="44"/>
      <c r="J41" s="45" t="s">
        <v>441</v>
      </c>
      <c r="K41" s="46">
        <v>50458712</v>
      </c>
    </row>
    <row r="42" spans="1:11" x14ac:dyDescent="0.2">
      <c r="A42" s="44"/>
      <c r="B42" s="44"/>
      <c r="C42" s="45" t="s">
        <v>1962</v>
      </c>
      <c r="D42" s="46">
        <v>100000</v>
      </c>
      <c r="H42" s="44"/>
      <c r="I42" s="44"/>
      <c r="J42" s="45" t="s">
        <v>1962</v>
      </c>
      <c r="K42" s="46">
        <v>100000</v>
      </c>
    </row>
    <row r="43" spans="1:11" x14ac:dyDescent="0.2">
      <c r="A43" s="44"/>
      <c r="B43" s="44"/>
      <c r="C43" s="45" t="s">
        <v>2170</v>
      </c>
      <c r="D43" s="46">
        <v>100000</v>
      </c>
      <c r="H43" s="44"/>
      <c r="I43" s="44"/>
      <c r="J43" s="45" t="s">
        <v>2170</v>
      </c>
      <c r="K43" s="46">
        <v>100000</v>
      </c>
    </row>
    <row r="44" spans="1:11" x14ac:dyDescent="0.2">
      <c r="A44" s="44"/>
      <c r="B44" s="42" t="s">
        <v>1028</v>
      </c>
      <c r="C44" s="42" t="s">
        <v>1986</v>
      </c>
      <c r="D44" s="43">
        <v>7532830</v>
      </c>
      <c r="H44" s="44"/>
      <c r="I44" s="42" t="s">
        <v>1028</v>
      </c>
      <c r="J44" s="42" t="s">
        <v>1986</v>
      </c>
      <c r="K44" s="43">
        <v>7532830</v>
      </c>
    </row>
    <row r="45" spans="1:11" x14ac:dyDescent="0.2">
      <c r="A45" s="44"/>
      <c r="B45" s="44"/>
      <c r="C45" s="45" t="s">
        <v>1955</v>
      </c>
      <c r="D45" s="46">
        <v>7532830</v>
      </c>
      <c r="H45" s="44"/>
      <c r="I45" s="44"/>
      <c r="J45" s="45" t="s">
        <v>1955</v>
      </c>
      <c r="K45" s="46">
        <v>7532830</v>
      </c>
    </row>
    <row r="46" spans="1:11" x14ac:dyDescent="0.2">
      <c r="A46" s="44"/>
      <c r="B46" s="42" t="s">
        <v>1366</v>
      </c>
      <c r="C46" s="42" t="s">
        <v>2024</v>
      </c>
      <c r="D46" s="43">
        <v>321988</v>
      </c>
      <c r="H46" s="44"/>
      <c r="I46" s="42" t="s">
        <v>1366</v>
      </c>
      <c r="J46" s="42" t="s">
        <v>2024</v>
      </c>
      <c r="K46" s="43">
        <v>321988</v>
      </c>
    </row>
    <row r="47" spans="1:11" x14ac:dyDescent="0.2">
      <c r="A47" s="44"/>
      <c r="B47" s="44"/>
      <c r="C47" s="45" t="s">
        <v>1986</v>
      </c>
      <c r="D47" s="46">
        <v>6600000</v>
      </c>
      <c r="H47" s="44"/>
      <c r="I47" s="44"/>
      <c r="J47" s="45" t="s">
        <v>1986</v>
      </c>
      <c r="K47" s="46">
        <v>6600000</v>
      </c>
    </row>
    <row r="48" spans="1:11" x14ac:dyDescent="0.2">
      <c r="A48" s="44"/>
      <c r="B48" s="44"/>
      <c r="C48" s="45" t="s">
        <v>1960</v>
      </c>
      <c r="D48" s="46">
        <v>321988</v>
      </c>
      <c r="H48" s="44"/>
      <c r="I48" s="44"/>
      <c r="J48" s="45" t="s">
        <v>1960</v>
      </c>
      <c r="K48" s="46">
        <v>321988</v>
      </c>
    </row>
    <row r="49" spans="1:11" x14ac:dyDescent="0.2">
      <c r="A49" s="44"/>
      <c r="B49" s="44"/>
      <c r="C49" s="45" t="s">
        <v>441</v>
      </c>
      <c r="D49" s="46">
        <v>13200000</v>
      </c>
      <c r="H49" s="44"/>
      <c r="I49" s="44"/>
      <c r="J49" s="45" t="s">
        <v>441</v>
      </c>
      <c r="K49" s="46">
        <v>13200000</v>
      </c>
    </row>
    <row r="50" spans="1:11" x14ac:dyDescent="0.2">
      <c r="A50" s="44"/>
      <c r="B50" s="44"/>
      <c r="C50" s="45" t="s">
        <v>1955</v>
      </c>
      <c r="D50" s="46">
        <v>6600000</v>
      </c>
      <c r="H50" s="44"/>
      <c r="I50" s="44"/>
      <c r="J50" s="45" t="s">
        <v>1955</v>
      </c>
      <c r="K50" s="46">
        <v>6600000</v>
      </c>
    </row>
    <row r="51" spans="1:11" x14ac:dyDescent="0.2">
      <c r="A51" s="44"/>
      <c r="B51" s="44"/>
      <c r="C51" s="45" t="s">
        <v>1946</v>
      </c>
      <c r="D51" s="46">
        <v>46156024</v>
      </c>
      <c r="H51" s="44"/>
      <c r="I51" s="44"/>
      <c r="J51" s="45" t="s">
        <v>1946</v>
      </c>
      <c r="K51" s="46">
        <v>46156024</v>
      </c>
    </row>
    <row r="52" spans="1:11" x14ac:dyDescent="0.2">
      <c r="A52" s="44"/>
      <c r="B52" s="42" t="s">
        <v>930</v>
      </c>
      <c r="C52" s="42" t="s">
        <v>2024</v>
      </c>
      <c r="D52" s="43">
        <v>155605899</v>
      </c>
      <c r="H52" s="44"/>
      <c r="I52" s="42" t="s">
        <v>930</v>
      </c>
      <c r="J52" s="42" t="s">
        <v>2024</v>
      </c>
      <c r="K52" s="43">
        <v>155605899</v>
      </c>
    </row>
    <row r="53" spans="1:11" x14ac:dyDescent="0.2">
      <c r="A53" s="44"/>
      <c r="B53" s="44"/>
      <c r="C53" s="45" t="s">
        <v>1958</v>
      </c>
      <c r="D53" s="46">
        <v>155605899</v>
      </c>
      <c r="H53" s="44"/>
      <c r="I53" s="44"/>
      <c r="J53" s="45" t="s">
        <v>1958</v>
      </c>
      <c r="K53" s="46">
        <v>155605899</v>
      </c>
    </row>
    <row r="54" spans="1:11" x14ac:dyDescent="0.2">
      <c r="A54" s="44"/>
      <c r="B54" s="44"/>
      <c r="C54" s="45" t="s">
        <v>441</v>
      </c>
      <c r="D54" s="46">
        <v>140522930</v>
      </c>
      <c r="H54" s="44"/>
      <c r="I54" s="44"/>
      <c r="J54" s="45" t="s">
        <v>441</v>
      </c>
      <c r="K54" s="46">
        <v>140522930</v>
      </c>
    </row>
    <row r="55" spans="1:11" x14ac:dyDescent="0.2">
      <c r="A55" s="44"/>
      <c r="B55" s="42" t="s">
        <v>1718</v>
      </c>
      <c r="C55" s="42" t="s">
        <v>1986</v>
      </c>
      <c r="D55" s="43">
        <v>219270538</v>
      </c>
      <c r="H55" s="44"/>
      <c r="I55" s="42" t="s">
        <v>1718</v>
      </c>
      <c r="J55" s="42" t="s">
        <v>1986</v>
      </c>
      <c r="K55" s="43">
        <v>219270538</v>
      </c>
    </row>
    <row r="56" spans="1:11" x14ac:dyDescent="0.2">
      <c r="A56" s="44"/>
      <c r="B56" s="44"/>
      <c r="C56" s="45" t="s">
        <v>1955</v>
      </c>
      <c r="D56" s="46">
        <v>219270538</v>
      </c>
      <c r="H56" s="44"/>
      <c r="I56" s="44"/>
      <c r="J56" s="45" t="s">
        <v>1955</v>
      </c>
      <c r="K56" s="46">
        <v>219270538</v>
      </c>
    </row>
    <row r="57" spans="1:11" x14ac:dyDescent="0.2">
      <c r="A57" s="44"/>
      <c r="B57" s="42" t="s">
        <v>1423</v>
      </c>
      <c r="C57" s="42" t="s">
        <v>1986</v>
      </c>
      <c r="D57" s="43">
        <v>304150001</v>
      </c>
      <c r="H57" s="44"/>
      <c r="I57" s="42" t="s">
        <v>1423</v>
      </c>
      <c r="J57" s="42" t="s">
        <v>1986</v>
      </c>
      <c r="K57" s="43">
        <v>304150001</v>
      </c>
    </row>
    <row r="58" spans="1:11" x14ac:dyDescent="0.2">
      <c r="A58" s="44"/>
      <c r="B58" s="44"/>
      <c r="C58" s="45" t="s">
        <v>441</v>
      </c>
      <c r="D58" s="46">
        <v>608300002</v>
      </c>
      <c r="H58" s="44"/>
      <c r="I58" s="44"/>
      <c r="J58" s="45" t="s">
        <v>441</v>
      </c>
      <c r="K58" s="46">
        <v>608300002</v>
      </c>
    </row>
    <row r="59" spans="1:11" x14ac:dyDescent="0.2">
      <c r="A59" s="44"/>
      <c r="B59" s="44"/>
      <c r="C59" s="45" t="s">
        <v>1955</v>
      </c>
      <c r="D59" s="46">
        <v>304150001</v>
      </c>
      <c r="H59" s="44"/>
      <c r="I59" s="44"/>
      <c r="J59" s="45" t="s">
        <v>1955</v>
      </c>
      <c r="K59" s="46">
        <v>304150001</v>
      </c>
    </row>
    <row r="60" spans="1:11" x14ac:dyDescent="0.2">
      <c r="A60" s="44"/>
      <c r="B60" s="42" t="s">
        <v>1322</v>
      </c>
      <c r="C60" s="42" t="s">
        <v>1986</v>
      </c>
      <c r="D60" s="43">
        <v>23500000</v>
      </c>
      <c r="H60" s="44"/>
      <c r="I60" s="42" t="s">
        <v>1322</v>
      </c>
      <c r="J60" s="42" t="s">
        <v>1986</v>
      </c>
      <c r="K60" s="43">
        <v>23500000</v>
      </c>
    </row>
    <row r="61" spans="1:11" x14ac:dyDescent="0.2">
      <c r="A61" s="44"/>
      <c r="B61" s="44"/>
      <c r="C61" s="45" t="s">
        <v>441</v>
      </c>
      <c r="D61" s="46">
        <v>47000000</v>
      </c>
      <c r="H61" s="44"/>
      <c r="I61" s="44"/>
      <c r="J61" s="45" t="s">
        <v>441</v>
      </c>
      <c r="K61" s="46">
        <v>47000000</v>
      </c>
    </row>
    <row r="62" spans="1:11" x14ac:dyDescent="0.2">
      <c r="A62" s="44"/>
      <c r="B62" s="44"/>
      <c r="C62" s="45" t="s">
        <v>1955</v>
      </c>
      <c r="D62" s="46">
        <v>23500000</v>
      </c>
      <c r="H62" s="44"/>
      <c r="I62" s="44"/>
      <c r="J62" s="45" t="s">
        <v>1955</v>
      </c>
      <c r="K62" s="46">
        <v>23500000</v>
      </c>
    </row>
    <row r="63" spans="1:11" x14ac:dyDescent="0.2">
      <c r="A63" s="42" t="s">
        <v>582</v>
      </c>
      <c r="B63" s="42">
        <v>0</v>
      </c>
      <c r="C63" s="42" t="s">
        <v>2024</v>
      </c>
      <c r="D63" s="43">
        <v>2800000</v>
      </c>
      <c r="H63" s="42" t="s">
        <v>582</v>
      </c>
      <c r="I63" s="42">
        <v>0</v>
      </c>
      <c r="J63" s="42" t="s">
        <v>2024</v>
      </c>
      <c r="K63" s="43">
        <v>2800000</v>
      </c>
    </row>
    <row r="64" spans="1:11" x14ac:dyDescent="0.2">
      <c r="A64" s="44"/>
      <c r="B64" s="44"/>
      <c r="C64" s="45" t="s">
        <v>1986</v>
      </c>
      <c r="D64" s="46">
        <v>233333</v>
      </c>
      <c r="H64" s="44"/>
      <c r="I64" s="44"/>
      <c r="J64" s="45" t="s">
        <v>1986</v>
      </c>
      <c r="K64" s="46">
        <v>233333</v>
      </c>
    </row>
    <row r="65" spans="1:18" x14ac:dyDescent="0.2">
      <c r="A65" s="44"/>
      <c r="B65" s="44"/>
      <c r="C65" s="45" t="s">
        <v>1960</v>
      </c>
      <c r="D65" s="46">
        <v>2800000</v>
      </c>
      <c r="H65" s="44"/>
      <c r="I65" s="44"/>
      <c r="J65" s="45" t="s">
        <v>1960</v>
      </c>
      <c r="K65" s="46">
        <v>2800000</v>
      </c>
    </row>
    <row r="66" spans="1:18" x14ac:dyDescent="0.2">
      <c r="A66" s="44"/>
      <c r="B66" s="44"/>
      <c r="C66" s="45" t="s">
        <v>1961</v>
      </c>
      <c r="D66" s="46">
        <v>547000000</v>
      </c>
      <c r="H66" s="44"/>
      <c r="I66" s="44"/>
      <c r="J66" s="45" t="s">
        <v>1961</v>
      </c>
      <c r="K66" s="46">
        <v>547000000</v>
      </c>
    </row>
    <row r="67" spans="1:18" x14ac:dyDescent="0.2">
      <c r="A67" s="44"/>
      <c r="B67" s="44"/>
      <c r="C67" s="45" t="s">
        <v>2074</v>
      </c>
      <c r="D67" s="46">
        <v>547000000</v>
      </c>
      <c r="H67" s="44"/>
      <c r="I67" s="44"/>
      <c r="J67" s="45" t="s">
        <v>2074</v>
      </c>
      <c r="K67" s="46">
        <v>547000000</v>
      </c>
    </row>
    <row r="68" spans="1:18" x14ac:dyDescent="0.2">
      <c r="A68" s="44"/>
      <c r="B68" s="44"/>
      <c r="C68" s="45" t="s">
        <v>1962</v>
      </c>
      <c r="D68" s="46">
        <v>21100000</v>
      </c>
      <c r="H68" s="44"/>
      <c r="I68" s="44"/>
      <c r="J68" s="45" t="s">
        <v>1962</v>
      </c>
      <c r="K68" s="46">
        <v>21100000</v>
      </c>
    </row>
    <row r="69" spans="1:18" x14ac:dyDescent="0.2">
      <c r="A69" s="44"/>
      <c r="B69" s="44"/>
      <c r="C69" s="45" t="s">
        <v>1955</v>
      </c>
      <c r="D69" s="46">
        <v>233333</v>
      </c>
      <c r="H69" s="44"/>
      <c r="I69" s="44"/>
      <c r="J69" s="45" t="s">
        <v>1955</v>
      </c>
      <c r="K69" s="46">
        <v>233333</v>
      </c>
    </row>
    <row r="70" spans="1:18" x14ac:dyDescent="0.2">
      <c r="A70" s="44"/>
      <c r="B70" s="44"/>
      <c r="C70" s="45" t="s">
        <v>2170</v>
      </c>
      <c r="D70" s="46">
        <v>21100000</v>
      </c>
      <c r="H70" s="44"/>
      <c r="I70" s="44"/>
      <c r="J70" s="45" t="s">
        <v>2170</v>
      </c>
      <c r="K70" s="46">
        <v>21100000</v>
      </c>
    </row>
    <row r="71" spans="1:18" x14ac:dyDescent="0.2">
      <c r="A71" s="42" t="s">
        <v>1139</v>
      </c>
      <c r="B71" s="42">
        <v>0</v>
      </c>
      <c r="C71" s="42" t="s">
        <v>1986</v>
      </c>
      <c r="D71" s="43">
        <v>48000000</v>
      </c>
      <c r="H71" s="42" t="s">
        <v>1139</v>
      </c>
      <c r="I71" s="42">
        <v>0</v>
      </c>
      <c r="J71" s="42" t="s">
        <v>1986</v>
      </c>
      <c r="K71" s="43">
        <v>48000000</v>
      </c>
    </row>
    <row r="72" spans="1:18" x14ac:dyDescent="0.2">
      <c r="A72" s="44"/>
      <c r="B72" s="44"/>
      <c r="C72" s="45" t="s">
        <v>441</v>
      </c>
      <c r="D72" s="46">
        <v>96000000</v>
      </c>
      <c r="H72" s="44"/>
      <c r="I72" s="44"/>
      <c r="J72" s="45" t="s">
        <v>441</v>
      </c>
      <c r="K72" s="46">
        <v>96000000</v>
      </c>
    </row>
    <row r="73" spans="1:18" x14ac:dyDescent="0.2">
      <c r="A73" s="44"/>
      <c r="B73" s="44"/>
      <c r="C73" s="45" t="s">
        <v>1955</v>
      </c>
      <c r="D73" s="46">
        <v>48000000</v>
      </c>
      <c r="H73" s="44"/>
      <c r="I73" s="44"/>
      <c r="J73" s="45" t="s">
        <v>1955</v>
      </c>
      <c r="K73" s="46">
        <v>48000000</v>
      </c>
    </row>
    <row r="74" spans="1:18" x14ac:dyDescent="0.2">
      <c r="A74" s="42" t="s">
        <v>1664</v>
      </c>
      <c r="B74" s="42" t="s">
        <v>1665</v>
      </c>
      <c r="C74" s="42" t="s">
        <v>1986</v>
      </c>
      <c r="D74" s="43">
        <v>34689640</v>
      </c>
      <c r="H74" s="42" t="s">
        <v>1664</v>
      </c>
      <c r="I74" s="42" t="s">
        <v>1665</v>
      </c>
      <c r="J74" s="42" t="s">
        <v>1986</v>
      </c>
      <c r="K74" s="43">
        <v>34689640</v>
      </c>
    </row>
    <row r="75" spans="1:18" x14ac:dyDescent="0.2">
      <c r="A75" s="44"/>
      <c r="B75" s="44"/>
      <c r="C75" s="45" t="s">
        <v>1955</v>
      </c>
      <c r="D75" s="46">
        <v>34689640</v>
      </c>
      <c r="H75" s="44"/>
      <c r="I75" s="44"/>
      <c r="J75" s="45" t="s">
        <v>1955</v>
      </c>
      <c r="K75" s="46">
        <v>34689640</v>
      </c>
    </row>
    <row r="76" spans="1:18" x14ac:dyDescent="0.2">
      <c r="A76" s="42" t="s">
        <v>1575</v>
      </c>
      <c r="B76" s="42" t="s">
        <v>1576</v>
      </c>
      <c r="C76" s="42" t="s">
        <v>1986</v>
      </c>
      <c r="D76" s="43">
        <v>14876126</v>
      </c>
      <c r="H76" s="42" t="s">
        <v>1575</v>
      </c>
      <c r="I76" s="42" t="s">
        <v>1576</v>
      </c>
      <c r="J76" s="42" t="s">
        <v>1986</v>
      </c>
      <c r="K76" s="43">
        <v>14876126</v>
      </c>
    </row>
    <row r="77" spans="1:18" x14ac:dyDescent="0.2">
      <c r="A77" s="44"/>
      <c r="B77" s="44"/>
      <c r="C77" s="45" t="s">
        <v>1955</v>
      </c>
      <c r="D77" s="46">
        <v>14876126</v>
      </c>
      <c r="H77" s="44"/>
      <c r="I77" s="44"/>
      <c r="J77" s="45" t="s">
        <v>1955</v>
      </c>
      <c r="K77" s="46">
        <v>14876126</v>
      </c>
      <c r="Q77" t="s">
        <v>1963</v>
      </c>
      <c r="R77" t="s">
        <v>1964</v>
      </c>
    </row>
    <row r="78" spans="1:18" x14ac:dyDescent="0.2">
      <c r="A78" s="42" t="s">
        <v>878</v>
      </c>
      <c r="B78" s="42" t="s">
        <v>880</v>
      </c>
      <c r="C78" s="42" t="s">
        <v>2024</v>
      </c>
      <c r="D78" s="43">
        <v>0</v>
      </c>
      <c r="H78" s="42" t="s">
        <v>878</v>
      </c>
      <c r="I78" s="42" t="s">
        <v>880</v>
      </c>
      <c r="J78" s="42" t="s">
        <v>2024</v>
      </c>
      <c r="K78" s="43">
        <v>0</v>
      </c>
      <c r="R78" t="s">
        <v>54</v>
      </c>
    </row>
    <row r="79" spans="1:18" x14ac:dyDescent="0.2">
      <c r="A79" s="44"/>
      <c r="B79" s="44"/>
      <c r="C79" s="45" t="s">
        <v>1958</v>
      </c>
      <c r="D79" s="46">
        <v>0</v>
      </c>
      <c r="H79" s="44"/>
      <c r="I79" s="44"/>
      <c r="J79" s="45" t="s">
        <v>1958</v>
      </c>
      <c r="K79" s="46">
        <v>0</v>
      </c>
      <c r="R79" t="s">
        <v>55</v>
      </c>
    </row>
    <row r="80" spans="1:18" x14ac:dyDescent="0.2">
      <c r="A80" s="44"/>
      <c r="B80" s="44"/>
      <c r="C80" s="45" t="s">
        <v>1946</v>
      </c>
      <c r="D80" s="46">
        <v>0</v>
      </c>
      <c r="H80" s="44"/>
      <c r="I80" s="44"/>
      <c r="J80" s="45" t="s">
        <v>1946</v>
      </c>
      <c r="K80" s="46">
        <v>0</v>
      </c>
      <c r="R80" t="s">
        <v>56</v>
      </c>
    </row>
    <row r="81" spans="1:18" x14ac:dyDescent="0.2">
      <c r="A81" s="42" t="s">
        <v>610</v>
      </c>
      <c r="B81" s="42">
        <v>0</v>
      </c>
      <c r="C81" s="42" t="s">
        <v>1986</v>
      </c>
      <c r="D81" s="43">
        <v>25759589</v>
      </c>
      <c r="H81" s="42" t="s">
        <v>610</v>
      </c>
      <c r="I81" s="42">
        <v>0</v>
      </c>
      <c r="J81" s="42" t="s">
        <v>1986</v>
      </c>
      <c r="K81" s="43">
        <v>25759589</v>
      </c>
      <c r="R81" t="s">
        <v>57</v>
      </c>
    </row>
    <row r="82" spans="1:18" x14ac:dyDescent="0.2">
      <c r="A82" s="44"/>
      <c r="B82" s="44"/>
      <c r="C82" s="45" t="s">
        <v>1955</v>
      </c>
      <c r="D82" s="46">
        <v>25759589</v>
      </c>
      <c r="H82" s="44"/>
      <c r="I82" s="44"/>
      <c r="J82" s="45" t="s">
        <v>1955</v>
      </c>
      <c r="K82" s="46">
        <v>25759589</v>
      </c>
      <c r="R82" t="s">
        <v>58</v>
      </c>
    </row>
    <row r="83" spans="1:18" x14ac:dyDescent="0.2">
      <c r="A83" s="42" t="s">
        <v>972</v>
      </c>
      <c r="B83" s="42">
        <v>0</v>
      </c>
      <c r="C83" s="42" t="s">
        <v>1986</v>
      </c>
      <c r="D83" s="43">
        <v>4855349</v>
      </c>
      <c r="H83" s="42" t="s">
        <v>972</v>
      </c>
      <c r="I83" s="42">
        <v>0</v>
      </c>
      <c r="J83" s="42" t="s">
        <v>1986</v>
      </c>
      <c r="K83" s="43">
        <v>4855349</v>
      </c>
      <c r="R83" t="s">
        <v>59</v>
      </c>
    </row>
    <row r="84" spans="1:18" x14ac:dyDescent="0.2">
      <c r="A84" s="44"/>
      <c r="B84" s="44"/>
      <c r="C84" s="45" t="s">
        <v>441</v>
      </c>
      <c r="D84" s="46">
        <v>9710698</v>
      </c>
      <c r="H84" s="44"/>
      <c r="I84" s="44"/>
      <c r="J84" s="45" t="s">
        <v>441</v>
      </c>
      <c r="K84" s="46">
        <v>9710698</v>
      </c>
      <c r="R84" t="s">
        <v>1966</v>
      </c>
    </row>
    <row r="85" spans="1:18" x14ac:dyDescent="0.2">
      <c r="A85" s="44"/>
      <c r="B85" s="44"/>
      <c r="C85" s="45" t="s">
        <v>1955</v>
      </c>
      <c r="D85" s="46">
        <v>4855349</v>
      </c>
      <c r="H85" s="44"/>
      <c r="I85" s="44"/>
      <c r="J85" s="45" t="s">
        <v>1955</v>
      </c>
      <c r="K85" s="46">
        <v>4855349</v>
      </c>
      <c r="R85" t="s">
        <v>41</v>
      </c>
    </row>
    <row r="86" spans="1:18" x14ac:dyDescent="0.2">
      <c r="A86" s="42" t="s">
        <v>1002</v>
      </c>
      <c r="B86" s="42">
        <v>0</v>
      </c>
      <c r="C86" s="42" t="s">
        <v>1986</v>
      </c>
      <c r="D86" s="43">
        <v>11743934</v>
      </c>
      <c r="H86" s="42" t="s">
        <v>1002</v>
      </c>
      <c r="I86" s="42">
        <v>0</v>
      </c>
      <c r="J86" s="42" t="s">
        <v>1986</v>
      </c>
      <c r="K86" s="43">
        <v>11743934</v>
      </c>
      <c r="R86" t="s">
        <v>42</v>
      </c>
    </row>
    <row r="87" spans="1:18" x14ac:dyDescent="0.2">
      <c r="A87" s="44"/>
      <c r="B87" s="44"/>
      <c r="C87" s="45" t="s">
        <v>1955</v>
      </c>
      <c r="D87" s="46">
        <v>11743934</v>
      </c>
      <c r="H87" s="44"/>
      <c r="I87" s="44"/>
      <c r="J87" s="45" t="s">
        <v>1955</v>
      </c>
      <c r="K87" s="46">
        <v>11743934</v>
      </c>
      <c r="R87" t="s">
        <v>43</v>
      </c>
    </row>
    <row r="88" spans="1:18" x14ac:dyDescent="0.2">
      <c r="A88" s="42" t="s">
        <v>685</v>
      </c>
      <c r="B88" s="42">
        <v>0</v>
      </c>
      <c r="C88" s="42" t="s">
        <v>1994</v>
      </c>
      <c r="D88" s="43">
        <v>13687380</v>
      </c>
      <c r="H88" s="42" t="s">
        <v>685</v>
      </c>
      <c r="I88" s="42">
        <v>0</v>
      </c>
      <c r="J88" s="42" t="s">
        <v>1994</v>
      </c>
      <c r="K88" s="43">
        <v>13687380</v>
      </c>
      <c r="R88" t="s">
        <v>44</v>
      </c>
    </row>
    <row r="89" spans="1:18" x14ac:dyDescent="0.2">
      <c r="A89" s="44"/>
      <c r="B89" s="44"/>
      <c r="C89" s="45" t="s">
        <v>1956</v>
      </c>
      <c r="D89" s="46">
        <v>13687380</v>
      </c>
      <c r="H89" s="44"/>
      <c r="I89" s="44"/>
      <c r="J89" s="45" t="s">
        <v>1956</v>
      </c>
      <c r="K89" s="46">
        <v>13687380</v>
      </c>
      <c r="R89" t="s">
        <v>45</v>
      </c>
    </row>
    <row r="90" spans="1:18" x14ac:dyDescent="0.2">
      <c r="A90" s="42" t="s">
        <v>410</v>
      </c>
      <c r="B90" s="42" t="s">
        <v>412</v>
      </c>
      <c r="C90" s="42" t="s">
        <v>1986</v>
      </c>
      <c r="D90" s="43">
        <v>32656921</v>
      </c>
      <c r="H90" s="42" t="s">
        <v>410</v>
      </c>
      <c r="I90" s="42" t="s">
        <v>412</v>
      </c>
      <c r="J90" s="42" t="s">
        <v>1986</v>
      </c>
      <c r="K90" s="43">
        <v>32656921</v>
      </c>
      <c r="R90" t="s">
        <v>46</v>
      </c>
    </row>
    <row r="91" spans="1:18" x14ac:dyDescent="0.2">
      <c r="A91" s="44"/>
      <c r="B91" s="44"/>
      <c r="C91" s="45" t="s">
        <v>441</v>
      </c>
      <c r="D91" s="46">
        <v>65313842</v>
      </c>
      <c r="H91" s="44"/>
      <c r="I91" s="44"/>
      <c r="J91" s="45" t="s">
        <v>441</v>
      </c>
      <c r="K91" s="46">
        <v>65313842</v>
      </c>
      <c r="R91" t="s">
        <v>1967</v>
      </c>
    </row>
    <row r="92" spans="1:18" x14ac:dyDescent="0.2">
      <c r="A92" s="44"/>
      <c r="B92" s="44"/>
      <c r="C92" s="45" t="s">
        <v>1955</v>
      </c>
      <c r="D92" s="46">
        <v>32656921</v>
      </c>
      <c r="H92" s="44"/>
      <c r="I92" s="44"/>
      <c r="J92" s="45" t="s">
        <v>1955</v>
      </c>
      <c r="K92" s="46">
        <v>32656921</v>
      </c>
      <c r="R92" t="s">
        <v>1968</v>
      </c>
    </row>
    <row r="93" spans="1:18" x14ac:dyDescent="0.2">
      <c r="A93" s="42" t="s">
        <v>439</v>
      </c>
      <c r="B93" s="42">
        <v>0</v>
      </c>
      <c r="C93" s="42" t="s">
        <v>1961</v>
      </c>
      <c r="D93" s="43">
        <v>323289088</v>
      </c>
      <c r="H93" s="42" t="s">
        <v>439</v>
      </c>
      <c r="I93" s="42">
        <v>0</v>
      </c>
      <c r="J93" s="42" t="s">
        <v>1961</v>
      </c>
      <c r="K93" s="43">
        <v>323289088</v>
      </c>
      <c r="R93" t="s">
        <v>78</v>
      </c>
    </row>
    <row r="94" spans="1:18" x14ac:dyDescent="0.2">
      <c r="A94" s="44"/>
      <c r="B94" s="44"/>
      <c r="C94" s="45" t="s">
        <v>2074</v>
      </c>
      <c r="D94" s="46">
        <v>323289088</v>
      </c>
      <c r="H94" s="44"/>
      <c r="I94" s="44"/>
      <c r="J94" s="45" t="s">
        <v>2074</v>
      </c>
      <c r="K94" s="46">
        <v>323289088</v>
      </c>
      <c r="R94" t="s">
        <v>75</v>
      </c>
    </row>
    <row r="95" spans="1:18" x14ac:dyDescent="0.2">
      <c r="A95" s="42" t="s">
        <v>250</v>
      </c>
      <c r="B95" s="42">
        <v>0</v>
      </c>
      <c r="C95" s="42" t="s">
        <v>1986</v>
      </c>
      <c r="D95" s="43">
        <v>65152642</v>
      </c>
      <c r="H95" s="42" t="s">
        <v>250</v>
      </c>
      <c r="I95" s="42">
        <v>0</v>
      </c>
      <c r="J95" s="42" t="s">
        <v>1986</v>
      </c>
      <c r="K95" s="43">
        <v>65152642</v>
      </c>
      <c r="R95" t="s">
        <v>76</v>
      </c>
    </row>
    <row r="96" spans="1:18" x14ac:dyDescent="0.2">
      <c r="A96" s="44"/>
      <c r="B96" s="44"/>
      <c r="C96" s="45" t="s">
        <v>441</v>
      </c>
      <c r="D96" s="46">
        <v>130305284</v>
      </c>
      <c r="H96" s="44"/>
      <c r="I96" s="44"/>
      <c r="J96" s="45" t="s">
        <v>441</v>
      </c>
      <c r="K96" s="46">
        <v>130305284</v>
      </c>
      <c r="R96" t="s">
        <v>77</v>
      </c>
    </row>
    <row r="97" spans="1:18" x14ac:dyDescent="0.2">
      <c r="A97" s="44"/>
      <c r="B97" s="44"/>
      <c r="C97" s="45" t="s">
        <v>1955</v>
      </c>
      <c r="D97" s="46">
        <v>65152642</v>
      </c>
      <c r="H97" s="44"/>
      <c r="I97" s="44"/>
      <c r="J97" s="45" t="s">
        <v>1955</v>
      </c>
      <c r="K97" s="46">
        <v>65152642</v>
      </c>
      <c r="R97" t="s">
        <v>170</v>
      </c>
    </row>
    <row r="98" spans="1:18" x14ac:dyDescent="0.2">
      <c r="A98" s="42" t="s">
        <v>202</v>
      </c>
      <c r="B98" s="42">
        <v>0</v>
      </c>
      <c r="C98" s="42" t="s">
        <v>1986</v>
      </c>
      <c r="D98" s="43">
        <v>26644849</v>
      </c>
      <c r="H98" s="42" t="s">
        <v>202</v>
      </c>
      <c r="I98" s="42">
        <v>0</v>
      </c>
      <c r="J98" s="42" t="s">
        <v>1986</v>
      </c>
      <c r="K98" s="43">
        <v>26644849</v>
      </c>
      <c r="R98" t="s">
        <v>1969</v>
      </c>
    </row>
    <row r="99" spans="1:18" x14ac:dyDescent="0.2">
      <c r="A99" s="44"/>
      <c r="B99" s="44"/>
      <c r="C99" s="45" t="s">
        <v>1955</v>
      </c>
      <c r="D99" s="46">
        <v>26644849</v>
      </c>
      <c r="H99" s="44"/>
      <c r="I99" s="44"/>
      <c r="J99" s="45" t="s">
        <v>1955</v>
      </c>
      <c r="K99" s="46">
        <v>26644849</v>
      </c>
      <c r="R99" t="s">
        <v>89</v>
      </c>
    </row>
    <row r="100" spans="1:18" x14ac:dyDescent="0.2">
      <c r="A100" s="42" t="s">
        <v>1496</v>
      </c>
      <c r="B100" s="42">
        <v>0</v>
      </c>
      <c r="C100" s="42" t="s">
        <v>1986</v>
      </c>
      <c r="D100" s="43">
        <v>14620773</v>
      </c>
      <c r="H100" s="42" t="s">
        <v>1496</v>
      </c>
      <c r="I100" s="42">
        <v>0</v>
      </c>
      <c r="J100" s="42" t="s">
        <v>1986</v>
      </c>
      <c r="K100" s="43">
        <v>14620773</v>
      </c>
      <c r="R100" t="s">
        <v>90</v>
      </c>
    </row>
    <row r="101" spans="1:18" x14ac:dyDescent="0.2">
      <c r="A101" s="44"/>
      <c r="B101" s="44"/>
      <c r="C101" s="45" t="s">
        <v>441</v>
      </c>
      <c r="D101" s="46">
        <v>29241546</v>
      </c>
      <c r="H101" s="44"/>
      <c r="I101" s="44"/>
      <c r="J101" s="45" t="s">
        <v>441</v>
      </c>
      <c r="K101" s="46">
        <v>29241546</v>
      </c>
      <c r="R101" t="s">
        <v>104</v>
      </c>
    </row>
    <row r="102" spans="1:18" x14ac:dyDescent="0.2">
      <c r="A102" s="44"/>
      <c r="B102" s="44"/>
      <c r="C102" s="45" t="s">
        <v>1955</v>
      </c>
      <c r="D102" s="46">
        <v>14620773</v>
      </c>
      <c r="H102" s="44"/>
      <c r="I102" s="44"/>
      <c r="J102" s="45" t="s">
        <v>1955</v>
      </c>
      <c r="K102" s="46">
        <v>14620773</v>
      </c>
      <c r="R102" t="s">
        <v>105</v>
      </c>
    </row>
    <row r="103" spans="1:18" x14ac:dyDescent="0.2">
      <c r="A103" s="42" t="s">
        <v>741</v>
      </c>
      <c r="B103" s="42">
        <v>0</v>
      </c>
      <c r="C103" s="42" t="s">
        <v>1961</v>
      </c>
      <c r="D103" s="43">
        <v>208416</v>
      </c>
      <c r="H103" s="42" t="s">
        <v>741</v>
      </c>
      <c r="I103" s="42">
        <v>0</v>
      </c>
      <c r="J103" s="42" t="s">
        <v>1961</v>
      </c>
      <c r="K103" s="43">
        <v>208416</v>
      </c>
      <c r="R103" t="s">
        <v>106</v>
      </c>
    </row>
    <row r="104" spans="1:18" x14ac:dyDescent="0.2">
      <c r="A104" s="44"/>
      <c r="B104" s="44"/>
      <c r="C104" s="45" t="s">
        <v>2074</v>
      </c>
      <c r="D104" s="46">
        <v>208416</v>
      </c>
      <c r="H104" s="44"/>
      <c r="I104" s="44"/>
      <c r="J104" s="45" t="s">
        <v>2074</v>
      </c>
      <c r="K104" s="46">
        <v>208416</v>
      </c>
      <c r="R104" t="s">
        <v>126</v>
      </c>
    </row>
    <row r="105" spans="1:18" x14ac:dyDescent="0.2">
      <c r="A105" s="42" t="s">
        <v>1699</v>
      </c>
      <c r="B105" s="42">
        <v>0</v>
      </c>
      <c r="C105" s="42" t="s">
        <v>2024</v>
      </c>
      <c r="D105" s="43">
        <v>932190</v>
      </c>
      <c r="H105" s="42" t="s">
        <v>1699</v>
      </c>
      <c r="I105" s="42">
        <v>0</v>
      </c>
      <c r="J105" s="42" t="s">
        <v>2024</v>
      </c>
      <c r="K105" s="43">
        <v>932190</v>
      </c>
      <c r="R105" t="s">
        <v>127</v>
      </c>
    </row>
    <row r="106" spans="1:18" x14ac:dyDescent="0.2">
      <c r="A106" s="44"/>
      <c r="B106" s="44"/>
      <c r="C106" s="45" t="s">
        <v>1958</v>
      </c>
      <c r="D106" s="46">
        <v>932190</v>
      </c>
      <c r="H106" s="44"/>
      <c r="I106" s="44"/>
      <c r="J106" s="45" t="s">
        <v>1958</v>
      </c>
      <c r="K106" s="46">
        <v>932190</v>
      </c>
      <c r="R106" t="s">
        <v>61</v>
      </c>
    </row>
    <row r="107" spans="1:18" x14ac:dyDescent="0.2">
      <c r="A107" s="42" t="s">
        <v>371</v>
      </c>
      <c r="B107" s="42" t="s">
        <v>372</v>
      </c>
      <c r="C107" s="42" t="s">
        <v>1986</v>
      </c>
      <c r="D107" s="43">
        <v>4266666</v>
      </c>
      <c r="H107" s="42" t="s">
        <v>371</v>
      </c>
      <c r="I107" s="42" t="s">
        <v>372</v>
      </c>
      <c r="J107" s="42" t="s">
        <v>1986</v>
      </c>
      <c r="K107" s="43">
        <v>4266666</v>
      </c>
      <c r="R107" t="s">
        <v>62</v>
      </c>
    </row>
    <row r="108" spans="1:18" x14ac:dyDescent="0.2">
      <c r="A108" s="44"/>
      <c r="B108" s="44"/>
      <c r="C108" s="45" t="s">
        <v>441</v>
      </c>
      <c r="D108" s="46">
        <v>8533332</v>
      </c>
      <c r="H108" s="44"/>
      <c r="I108" s="44"/>
      <c r="J108" s="45" t="s">
        <v>441</v>
      </c>
      <c r="K108" s="46">
        <v>8533332</v>
      </c>
      <c r="R108" t="s">
        <v>63</v>
      </c>
    </row>
    <row r="109" spans="1:18" x14ac:dyDescent="0.2">
      <c r="A109" s="44"/>
      <c r="B109" s="44"/>
      <c r="C109" s="45" t="s">
        <v>1955</v>
      </c>
      <c r="D109" s="46">
        <v>4266666</v>
      </c>
      <c r="H109" s="44"/>
      <c r="I109" s="44"/>
      <c r="J109" s="45" t="s">
        <v>1955</v>
      </c>
      <c r="K109" s="46">
        <v>4266666</v>
      </c>
      <c r="R109" t="s">
        <v>64</v>
      </c>
    </row>
    <row r="110" spans="1:18" x14ac:dyDescent="0.2">
      <c r="A110" s="42" t="s">
        <v>1597</v>
      </c>
      <c r="B110" s="42">
        <v>0</v>
      </c>
      <c r="C110" s="42" t="s">
        <v>441</v>
      </c>
      <c r="D110" s="43">
        <v>238524612</v>
      </c>
      <c r="H110" s="42" t="s">
        <v>1597</v>
      </c>
      <c r="I110" s="42">
        <v>0</v>
      </c>
      <c r="J110" s="42" t="s">
        <v>441</v>
      </c>
      <c r="K110" s="43">
        <v>238524612</v>
      </c>
      <c r="R110" t="s">
        <v>65</v>
      </c>
    </row>
    <row r="111" spans="1:18" x14ac:dyDescent="0.2">
      <c r="A111" s="44"/>
      <c r="B111" s="44"/>
      <c r="C111" s="45" t="s">
        <v>1994</v>
      </c>
      <c r="D111" s="46">
        <v>119262306</v>
      </c>
      <c r="H111" s="44"/>
      <c r="I111" s="44"/>
      <c r="J111" s="45" t="s">
        <v>1994</v>
      </c>
      <c r="K111" s="46">
        <v>119262306</v>
      </c>
      <c r="R111" t="s">
        <v>66</v>
      </c>
    </row>
    <row r="112" spans="1:18" x14ac:dyDescent="0.2">
      <c r="A112" s="44"/>
      <c r="B112" s="44"/>
      <c r="C112" s="45" t="s">
        <v>1956</v>
      </c>
      <c r="D112" s="46">
        <v>119262306</v>
      </c>
      <c r="H112" s="44"/>
      <c r="I112" s="44"/>
      <c r="J112" s="45" t="s">
        <v>1956</v>
      </c>
      <c r="K112" s="46">
        <v>119262306</v>
      </c>
      <c r="R112" t="s">
        <v>67</v>
      </c>
    </row>
    <row r="113" spans="1:18" x14ac:dyDescent="0.2">
      <c r="A113" s="42" t="s">
        <v>514</v>
      </c>
      <c r="B113" s="42" t="s">
        <v>516</v>
      </c>
      <c r="C113" s="42" t="s">
        <v>1986</v>
      </c>
      <c r="D113" s="43">
        <v>35235513</v>
      </c>
      <c r="H113" s="42" t="s">
        <v>514</v>
      </c>
      <c r="I113" s="42" t="s">
        <v>516</v>
      </c>
      <c r="J113" s="42" t="s">
        <v>1986</v>
      </c>
      <c r="K113" s="43">
        <v>35235513</v>
      </c>
      <c r="R113" t="s">
        <v>114</v>
      </c>
    </row>
    <row r="114" spans="1:18" x14ac:dyDescent="0.2">
      <c r="A114" s="44"/>
      <c r="B114" s="44"/>
      <c r="C114" s="45" t="s">
        <v>441</v>
      </c>
      <c r="D114" s="46">
        <v>70471026</v>
      </c>
      <c r="H114" s="44"/>
      <c r="I114" s="44"/>
      <c r="J114" s="45" t="s">
        <v>441</v>
      </c>
      <c r="K114" s="46">
        <v>70471026</v>
      </c>
      <c r="R114" t="s">
        <v>115</v>
      </c>
    </row>
    <row r="115" spans="1:18" x14ac:dyDescent="0.2">
      <c r="A115" s="44"/>
      <c r="B115" s="44"/>
      <c r="C115" s="45" t="s">
        <v>1955</v>
      </c>
      <c r="D115" s="46">
        <v>35235513</v>
      </c>
      <c r="H115" s="44"/>
      <c r="I115" s="44"/>
      <c r="J115" s="45" t="s">
        <v>1955</v>
      </c>
      <c r="K115" s="46">
        <v>35235513</v>
      </c>
      <c r="R115" t="s">
        <v>160</v>
      </c>
    </row>
    <row r="116" spans="1:18" x14ac:dyDescent="0.2">
      <c r="A116" s="42" t="s">
        <v>1774</v>
      </c>
      <c r="B116" s="42">
        <v>0</v>
      </c>
      <c r="C116" s="42" t="s">
        <v>1986</v>
      </c>
      <c r="D116" s="43">
        <v>133008850</v>
      </c>
      <c r="H116" s="42" t="s">
        <v>1774</v>
      </c>
      <c r="I116" s="42">
        <v>0</v>
      </c>
      <c r="J116" s="42" t="s">
        <v>1986</v>
      </c>
      <c r="K116" s="43">
        <v>133008850</v>
      </c>
      <c r="R116" t="s">
        <v>80</v>
      </c>
    </row>
    <row r="117" spans="1:18" x14ac:dyDescent="0.2">
      <c r="A117" s="44"/>
      <c r="B117" s="44"/>
      <c r="C117" s="45" t="s">
        <v>1955</v>
      </c>
      <c r="D117" s="46">
        <v>133008850</v>
      </c>
      <c r="H117" s="44"/>
      <c r="I117" s="44"/>
      <c r="J117" s="45" t="s">
        <v>1955</v>
      </c>
      <c r="K117" s="46">
        <v>133008850</v>
      </c>
      <c r="R117" t="s">
        <v>81</v>
      </c>
    </row>
    <row r="118" spans="1:18" x14ac:dyDescent="0.2">
      <c r="A118" s="42" t="s">
        <v>785</v>
      </c>
      <c r="B118" s="42">
        <v>0</v>
      </c>
      <c r="C118" s="42" t="s">
        <v>1986</v>
      </c>
      <c r="D118" s="43">
        <v>228411346</v>
      </c>
      <c r="H118" s="42" t="s">
        <v>785</v>
      </c>
      <c r="I118" s="42">
        <v>0</v>
      </c>
      <c r="J118" s="42" t="s">
        <v>1986</v>
      </c>
      <c r="K118" s="43">
        <v>228411346</v>
      </c>
      <c r="R118" t="s">
        <v>82</v>
      </c>
    </row>
    <row r="119" spans="1:18" x14ac:dyDescent="0.2">
      <c r="A119" s="44"/>
      <c r="B119" s="44"/>
      <c r="C119" s="45" t="s">
        <v>441</v>
      </c>
      <c r="D119" s="46">
        <v>77016385</v>
      </c>
      <c r="H119" s="44"/>
      <c r="I119" s="44"/>
      <c r="J119" s="45" t="s">
        <v>441</v>
      </c>
      <c r="K119" s="46">
        <v>77016385</v>
      </c>
      <c r="R119" t="s">
        <v>132</v>
      </c>
    </row>
    <row r="120" spans="1:18" x14ac:dyDescent="0.2">
      <c r="A120" s="44"/>
      <c r="B120" s="44"/>
      <c r="C120" s="45" t="s">
        <v>1955</v>
      </c>
      <c r="D120" s="46">
        <v>151394961</v>
      </c>
      <c r="H120" s="44"/>
      <c r="I120" s="44"/>
      <c r="J120" s="45" t="s">
        <v>1955</v>
      </c>
      <c r="K120" s="46">
        <v>151394961</v>
      </c>
      <c r="R120" t="s">
        <v>133</v>
      </c>
    </row>
    <row r="121" spans="1:18" x14ac:dyDescent="0.2">
      <c r="A121" s="42" t="s">
        <v>959</v>
      </c>
      <c r="B121" s="42">
        <v>0</v>
      </c>
      <c r="C121" s="42" t="s">
        <v>1986</v>
      </c>
      <c r="D121" s="43">
        <v>13821390</v>
      </c>
      <c r="H121" s="42" t="s">
        <v>959</v>
      </c>
      <c r="I121" s="42">
        <v>0</v>
      </c>
      <c r="J121" s="42" t="s">
        <v>1986</v>
      </c>
      <c r="K121" s="43">
        <v>13821390</v>
      </c>
    </row>
    <row r="122" spans="1:18" x14ac:dyDescent="0.2">
      <c r="A122" s="44"/>
      <c r="B122" s="44"/>
      <c r="C122" s="45" t="s">
        <v>1955</v>
      </c>
      <c r="D122" s="46">
        <v>13821390</v>
      </c>
      <c r="H122" s="44"/>
      <c r="I122" s="44"/>
      <c r="J122" s="45" t="s">
        <v>1955</v>
      </c>
      <c r="K122" s="46">
        <v>13821390</v>
      </c>
    </row>
    <row r="123" spans="1:18" x14ac:dyDescent="0.2">
      <c r="A123" s="42" t="s">
        <v>363</v>
      </c>
      <c r="B123" s="42">
        <v>0</v>
      </c>
      <c r="C123" s="42" t="s">
        <v>441</v>
      </c>
      <c r="D123" s="43">
        <v>99872758</v>
      </c>
      <c r="H123" s="42" t="s">
        <v>363</v>
      </c>
      <c r="I123" s="42">
        <v>0</v>
      </c>
      <c r="J123" s="42" t="s">
        <v>441</v>
      </c>
      <c r="K123" s="43">
        <v>99872758</v>
      </c>
    </row>
    <row r="124" spans="1:18" x14ac:dyDescent="0.2">
      <c r="A124" s="44"/>
      <c r="B124" s="44"/>
      <c r="C124" s="45" t="s">
        <v>1994</v>
      </c>
      <c r="D124" s="46">
        <v>49936379</v>
      </c>
      <c r="H124" s="44"/>
      <c r="I124" s="44"/>
      <c r="J124" s="45" t="s">
        <v>1994</v>
      </c>
      <c r="K124" s="46">
        <v>49936379</v>
      </c>
    </row>
    <row r="125" spans="1:18" x14ac:dyDescent="0.2">
      <c r="A125" s="44"/>
      <c r="B125" s="44"/>
      <c r="C125" s="45" t="s">
        <v>1956</v>
      </c>
      <c r="D125" s="46">
        <v>49936379</v>
      </c>
      <c r="H125" s="44"/>
      <c r="I125" s="44"/>
      <c r="J125" s="45" t="s">
        <v>1956</v>
      </c>
      <c r="K125" s="46">
        <v>49936379</v>
      </c>
    </row>
    <row r="126" spans="1:18" x14ac:dyDescent="0.2">
      <c r="A126" s="42" t="s">
        <v>630</v>
      </c>
      <c r="B126" s="42">
        <v>0</v>
      </c>
      <c r="C126" s="42" t="s">
        <v>1962</v>
      </c>
      <c r="D126" s="43">
        <v>4895000</v>
      </c>
      <c r="H126" s="42" t="s">
        <v>630</v>
      </c>
      <c r="I126" s="42">
        <v>0</v>
      </c>
      <c r="J126" s="42" t="s">
        <v>1962</v>
      </c>
      <c r="K126" s="43">
        <v>4895000</v>
      </c>
    </row>
    <row r="127" spans="1:18" x14ac:dyDescent="0.2">
      <c r="A127" s="44"/>
      <c r="B127" s="44"/>
      <c r="C127" s="45" t="s">
        <v>1994</v>
      </c>
      <c r="D127" s="46">
        <v>4895000</v>
      </c>
      <c r="H127" s="44"/>
      <c r="I127" s="44"/>
      <c r="J127" s="45" t="s">
        <v>1994</v>
      </c>
      <c r="K127" s="46">
        <v>4895000</v>
      </c>
    </row>
    <row r="128" spans="1:18" x14ac:dyDescent="0.2">
      <c r="A128" s="42" t="s">
        <v>1483</v>
      </c>
      <c r="B128" s="42" t="s">
        <v>1484</v>
      </c>
      <c r="C128" s="42" t="s">
        <v>1986</v>
      </c>
      <c r="D128" s="43">
        <v>3733333</v>
      </c>
      <c r="H128" s="42" t="s">
        <v>1483</v>
      </c>
      <c r="I128" s="42" t="s">
        <v>1484</v>
      </c>
      <c r="J128" s="42" t="s">
        <v>1986</v>
      </c>
      <c r="K128" s="43">
        <v>3733333</v>
      </c>
    </row>
    <row r="129" spans="1:11" x14ac:dyDescent="0.2">
      <c r="A129" s="44"/>
      <c r="B129" s="44"/>
      <c r="C129" s="45" t="s">
        <v>441</v>
      </c>
      <c r="D129" s="46">
        <v>7466666</v>
      </c>
      <c r="H129" s="44"/>
      <c r="I129" s="44"/>
      <c r="J129" s="45" t="s">
        <v>441</v>
      </c>
      <c r="K129" s="46">
        <v>7466666</v>
      </c>
    </row>
    <row r="130" spans="1:11" x14ac:dyDescent="0.2">
      <c r="A130" s="44"/>
      <c r="B130" s="44"/>
      <c r="C130" s="45" t="s">
        <v>1955</v>
      </c>
      <c r="D130" s="46">
        <v>3733333</v>
      </c>
      <c r="H130" s="44"/>
      <c r="I130" s="44"/>
      <c r="J130" s="45" t="s">
        <v>1955</v>
      </c>
      <c r="K130" s="46">
        <v>3733333</v>
      </c>
    </row>
    <row r="131" spans="1:11" x14ac:dyDescent="0.2">
      <c r="A131" s="42" t="s">
        <v>1871</v>
      </c>
      <c r="B131" s="42">
        <v>0</v>
      </c>
      <c r="C131" s="42" t="s">
        <v>1986</v>
      </c>
      <c r="D131" s="43">
        <v>51284404</v>
      </c>
      <c r="H131" s="42" t="s">
        <v>1871</v>
      </c>
      <c r="I131" s="42">
        <v>0</v>
      </c>
      <c r="J131" s="42" t="s">
        <v>1986</v>
      </c>
      <c r="K131" s="43">
        <v>51284404</v>
      </c>
    </row>
    <row r="132" spans="1:11" x14ac:dyDescent="0.2">
      <c r="A132" s="44"/>
      <c r="B132" s="44"/>
      <c r="C132" s="45" t="s">
        <v>1955</v>
      </c>
      <c r="D132" s="46">
        <v>51284404</v>
      </c>
      <c r="H132" s="44"/>
      <c r="I132" s="44"/>
      <c r="J132" s="45" t="s">
        <v>1955</v>
      </c>
      <c r="K132" s="46">
        <v>51284404</v>
      </c>
    </row>
    <row r="133" spans="1:11" x14ac:dyDescent="0.2">
      <c r="A133" s="42" t="s">
        <v>670</v>
      </c>
      <c r="B133" s="42">
        <v>0</v>
      </c>
      <c r="C133" s="42" t="s">
        <v>1986</v>
      </c>
      <c r="D133" s="43">
        <v>118751087</v>
      </c>
      <c r="H133" s="42" t="s">
        <v>670</v>
      </c>
      <c r="I133" s="42">
        <v>0</v>
      </c>
      <c r="J133" s="42" t="s">
        <v>1986</v>
      </c>
      <c r="K133" s="43">
        <v>118751087</v>
      </c>
    </row>
    <row r="134" spans="1:11" x14ac:dyDescent="0.2">
      <c r="A134" s="44"/>
      <c r="B134" s="44"/>
      <c r="C134" s="45" t="s">
        <v>1955</v>
      </c>
      <c r="D134" s="46">
        <v>118751087</v>
      </c>
      <c r="H134" s="44"/>
      <c r="I134" s="44"/>
      <c r="J134" s="45" t="s">
        <v>1955</v>
      </c>
      <c r="K134" s="46">
        <v>118751087</v>
      </c>
    </row>
    <row r="135" spans="1:11" x14ac:dyDescent="0.2">
      <c r="A135" s="42" t="s">
        <v>542</v>
      </c>
      <c r="B135" s="42">
        <v>0</v>
      </c>
      <c r="C135" s="42" t="s">
        <v>1986</v>
      </c>
      <c r="D135" s="43">
        <v>67094434</v>
      </c>
      <c r="H135" s="42" t="s">
        <v>542</v>
      </c>
      <c r="I135" s="42">
        <v>0</v>
      </c>
      <c r="J135" s="42" t="s">
        <v>1986</v>
      </c>
      <c r="K135" s="43">
        <v>67094434</v>
      </c>
    </row>
    <row r="136" spans="1:11" x14ac:dyDescent="0.2">
      <c r="A136" s="44"/>
      <c r="B136" s="44"/>
      <c r="C136" s="45" t="s">
        <v>1955</v>
      </c>
      <c r="D136" s="46">
        <v>67094434</v>
      </c>
      <c r="H136" s="44"/>
      <c r="I136" s="44"/>
      <c r="J136" s="45" t="s">
        <v>1955</v>
      </c>
      <c r="K136" s="46">
        <v>67094434</v>
      </c>
    </row>
    <row r="137" spans="1:11" x14ac:dyDescent="0.2">
      <c r="A137" s="42" t="s">
        <v>1768</v>
      </c>
      <c r="B137" s="42">
        <v>0</v>
      </c>
      <c r="C137" s="42" t="s">
        <v>1986</v>
      </c>
      <c r="D137" s="43">
        <v>18730651</v>
      </c>
      <c r="H137" s="42" t="s">
        <v>1768</v>
      </c>
      <c r="I137" s="42">
        <v>0</v>
      </c>
      <c r="J137" s="42" t="s">
        <v>1986</v>
      </c>
      <c r="K137" s="43">
        <v>18730651</v>
      </c>
    </row>
    <row r="138" spans="1:11" x14ac:dyDescent="0.2">
      <c r="A138" s="44"/>
      <c r="B138" s="44"/>
      <c r="C138" s="45" t="s">
        <v>1955</v>
      </c>
      <c r="D138" s="46">
        <v>18730651</v>
      </c>
      <c r="H138" s="44"/>
      <c r="I138" s="44"/>
      <c r="J138" s="45" t="s">
        <v>1955</v>
      </c>
      <c r="K138" s="46">
        <v>18730651</v>
      </c>
    </row>
    <row r="139" spans="1:11" x14ac:dyDescent="0.2">
      <c r="A139" s="42" t="s">
        <v>1038</v>
      </c>
      <c r="B139" s="42" t="s">
        <v>1040</v>
      </c>
      <c r="C139" s="42" t="s">
        <v>1986</v>
      </c>
      <c r="D139" s="43">
        <v>107423938</v>
      </c>
      <c r="H139" s="42" t="s">
        <v>1038</v>
      </c>
      <c r="I139" s="42" t="s">
        <v>1040</v>
      </c>
      <c r="J139" s="42" t="s">
        <v>1986</v>
      </c>
      <c r="K139" s="43">
        <v>107423938</v>
      </c>
    </row>
    <row r="140" spans="1:11" x14ac:dyDescent="0.2">
      <c r="A140" s="44"/>
      <c r="B140" s="44"/>
      <c r="C140" s="45" t="s">
        <v>1955</v>
      </c>
      <c r="D140" s="46">
        <v>107423938</v>
      </c>
      <c r="H140" s="44"/>
      <c r="I140" s="44"/>
      <c r="J140" s="45" t="s">
        <v>1955</v>
      </c>
      <c r="K140" s="46">
        <v>107423938</v>
      </c>
    </row>
    <row r="141" spans="1:11" x14ac:dyDescent="0.2">
      <c r="A141" s="42" t="s">
        <v>1684</v>
      </c>
      <c r="B141" s="42" t="s">
        <v>1686</v>
      </c>
      <c r="C141" s="42" t="s">
        <v>1986</v>
      </c>
      <c r="D141" s="43">
        <v>73343293</v>
      </c>
      <c r="H141" s="42" t="s">
        <v>1684</v>
      </c>
      <c r="I141" s="42" t="s">
        <v>1686</v>
      </c>
      <c r="J141" s="42" t="s">
        <v>1986</v>
      </c>
      <c r="K141" s="43">
        <v>73343293</v>
      </c>
    </row>
    <row r="142" spans="1:11" x14ac:dyDescent="0.2">
      <c r="A142" s="44"/>
      <c r="B142" s="44"/>
      <c r="C142" s="45" t="s">
        <v>1955</v>
      </c>
      <c r="D142" s="46">
        <v>73343293</v>
      </c>
      <c r="H142" s="44"/>
      <c r="I142" s="44"/>
      <c r="J142" s="45" t="s">
        <v>1955</v>
      </c>
      <c r="K142" s="46">
        <v>73343293</v>
      </c>
    </row>
    <row r="143" spans="1:11" x14ac:dyDescent="0.2">
      <c r="A143" s="42" t="s">
        <v>100</v>
      </c>
      <c r="B143" s="42" t="s">
        <v>1510</v>
      </c>
      <c r="C143" s="42" t="s">
        <v>1986</v>
      </c>
      <c r="D143" s="43">
        <v>132046342</v>
      </c>
      <c r="H143" s="42" t="s">
        <v>100</v>
      </c>
      <c r="I143" s="42" t="s">
        <v>1510</v>
      </c>
      <c r="J143" s="42" t="s">
        <v>1986</v>
      </c>
      <c r="K143" s="43">
        <v>132046342</v>
      </c>
    </row>
    <row r="144" spans="1:11" x14ac:dyDescent="0.2">
      <c r="A144" s="44"/>
      <c r="B144" s="44"/>
      <c r="C144" s="45" t="s">
        <v>1955</v>
      </c>
      <c r="D144" s="46">
        <v>132046342</v>
      </c>
      <c r="H144" s="44"/>
      <c r="I144" s="44"/>
      <c r="J144" s="45" t="s">
        <v>1955</v>
      </c>
      <c r="K144" s="46">
        <v>132046342</v>
      </c>
    </row>
    <row r="145" spans="1:11" x14ac:dyDescent="0.2">
      <c r="A145" s="42" t="s">
        <v>101</v>
      </c>
      <c r="B145" s="42" t="s">
        <v>1396</v>
      </c>
      <c r="C145" s="42" t="s">
        <v>1986</v>
      </c>
      <c r="D145" s="43">
        <v>12599671</v>
      </c>
      <c r="H145" s="42" t="s">
        <v>101</v>
      </c>
      <c r="I145" s="42" t="s">
        <v>1396</v>
      </c>
      <c r="J145" s="42" t="s">
        <v>1986</v>
      </c>
      <c r="K145" s="43">
        <v>12599671</v>
      </c>
    </row>
    <row r="146" spans="1:11" x14ac:dyDescent="0.2">
      <c r="A146" s="44"/>
      <c r="B146" s="44"/>
      <c r="C146" s="45" t="s">
        <v>1955</v>
      </c>
      <c r="D146" s="46">
        <v>12599671</v>
      </c>
      <c r="H146" s="44"/>
      <c r="I146" s="44"/>
      <c r="J146" s="45" t="s">
        <v>1955</v>
      </c>
      <c r="K146" s="46">
        <v>12599671</v>
      </c>
    </row>
    <row r="147" spans="1:11" x14ac:dyDescent="0.2">
      <c r="A147" s="42" t="s">
        <v>102</v>
      </c>
      <c r="B147" s="42">
        <v>0</v>
      </c>
      <c r="C147" s="42" t="s">
        <v>1986</v>
      </c>
      <c r="D147" s="43">
        <v>88824005</v>
      </c>
      <c r="H147" s="42" t="s">
        <v>102</v>
      </c>
      <c r="I147" s="42">
        <v>0</v>
      </c>
      <c r="J147" s="42" t="s">
        <v>1986</v>
      </c>
      <c r="K147" s="43">
        <v>88824005</v>
      </c>
    </row>
    <row r="148" spans="1:11" x14ac:dyDescent="0.2">
      <c r="A148" s="44"/>
      <c r="B148" s="44"/>
      <c r="C148" s="45" t="s">
        <v>1955</v>
      </c>
      <c r="D148" s="46">
        <v>88824005</v>
      </c>
      <c r="H148" s="44"/>
      <c r="I148" s="44"/>
      <c r="J148" s="45" t="s">
        <v>1955</v>
      </c>
      <c r="K148" s="46">
        <v>88824005</v>
      </c>
    </row>
    <row r="149" spans="1:11" x14ac:dyDescent="0.2">
      <c r="A149" s="42" t="s">
        <v>206</v>
      </c>
      <c r="B149" s="42">
        <v>0</v>
      </c>
      <c r="C149" s="42" t="s">
        <v>1994</v>
      </c>
      <c r="D149" s="43">
        <v>58974061</v>
      </c>
      <c r="H149" s="42" t="s">
        <v>206</v>
      </c>
      <c r="I149" s="42">
        <v>0</v>
      </c>
      <c r="J149" s="42" t="s">
        <v>1994</v>
      </c>
      <c r="K149" s="43">
        <v>58974061</v>
      </c>
    </row>
    <row r="150" spans="1:11" x14ac:dyDescent="0.2">
      <c r="A150" s="44"/>
      <c r="B150" s="44"/>
      <c r="C150" s="45" t="s">
        <v>1956</v>
      </c>
      <c r="D150" s="46">
        <v>58974061</v>
      </c>
      <c r="H150" s="44"/>
      <c r="I150" s="44"/>
      <c r="J150" s="45" t="s">
        <v>1956</v>
      </c>
      <c r="K150" s="46">
        <v>58974061</v>
      </c>
    </row>
    <row r="151" spans="1:11" x14ac:dyDescent="0.2">
      <c r="A151" s="42" t="s">
        <v>196</v>
      </c>
      <c r="B151" s="42">
        <v>0</v>
      </c>
      <c r="C151" s="42" t="s">
        <v>1986</v>
      </c>
      <c r="D151" s="43">
        <v>7031151</v>
      </c>
      <c r="H151" s="42" t="s">
        <v>196</v>
      </c>
      <c r="I151" s="42">
        <v>0</v>
      </c>
      <c r="J151" s="42" t="s">
        <v>1986</v>
      </c>
      <c r="K151" s="43">
        <v>7031151</v>
      </c>
    </row>
    <row r="152" spans="1:11" x14ac:dyDescent="0.2">
      <c r="A152" s="44"/>
      <c r="B152" s="44"/>
      <c r="C152" s="45" t="s">
        <v>1955</v>
      </c>
      <c r="D152" s="46">
        <v>7031151</v>
      </c>
      <c r="H152" s="44"/>
      <c r="I152" s="44"/>
      <c r="J152" s="45" t="s">
        <v>1955</v>
      </c>
      <c r="K152" s="46">
        <v>7031151</v>
      </c>
    </row>
    <row r="153" spans="1:11" x14ac:dyDescent="0.2">
      <c r="A153" s="44"/>
      <c r="B153" s="44"/>
      <c r="C153" s="45" t="s">
        <v>1994</v>
      </c>
      <c r="D153" s="46">
        <v>74475181</v>
      </c>
      <c r="H153" s="44"/>
      <c r="I153" s="44"/>
      <c r="J153" s="45" t="s">
        <v>1994</v>
      </c>
      <c r="K153" s="46">
        <v>74475181</v>
      </c>
    </row>
    <row r="154" spans="1:11" x14ac:dyDescent="0.2">
      <c r="A154" s="44"/>
      <c r="B154" s="44"/>
      <c r="C154" s="45" t="s">
        <v>1956</v>
      </c>
      <c r="D154" s="46">
        <v>74475181</v>
      </c>
      <c r="H154" s="44"/>
      <c r="I154" s="44"/>
      <c r="J154" s="45" t="s">
        <v>1956</v>
      </c>
      <c r="K154" s="46">
        <v>74475181</v>
      </c>
    </row>
    <row r="155" spans="1:11" x14ac:dyDescent="0.2">
      <c r="A155" s="42" t="s">
        <v>182</v>
      </c>
      <c r="B155" s="42">
        <v>0</v>
      </c>
      <c r="C155" s="42" t="s">
        <v>1958</v>
      </c>
      <c r="D155" s="43">
        <v>25241154</v>
      </c>
      <c r="H155" s="42" t="s">
        <v>182</v>
      </c>
      <c r="I155" s="42">
        <v>0</v>
      </c>
      <c r="J155" s="42" t="s">
        <v>1958</v>
      </c>
      <c r="K155" s="43">
        <v>25241154</v>
      </c>
    </row>
    <row r="156" spans="1:11" x14ac:dyDescent="0.2">
      <c r="A156" s="44"/>
      <c r="B156" s="44"/>
      <c r="C156" s="45" t="s">
        <v>2145</v>
      </c>
      <c r="D156" s="46">
        <v>25241154</v>
      </c>
      <c r="H156" s="44"/>
      <c r="I156" s="44"/>
      <c r="J156" s="45" t="s">
        <v>2145</v>
      </c>
      <c r="K156" s="46">
        <v>25241154</v>
      </c>
    </row>
    <row r="157" spans="1:11" x14ac:dyDescent="0.2">
      <c r="A157" s="44"/>
      <c r="B157" s="44"/>
      <c r="C157" s="45" t="s">
        <v>441</v>
      </c>
      <c r="D157" s="46">
        <v>50482308</v>
      </c>
      <c r="H157" s="44"/>
      <c r="I157" s="44"/>
      <c r="J157" s="45" t="s">
        <v>441</v>
      </c>
      <c r="K157" s="46">
        <v>50482308</v>
      </c>
    </row>
    <row r="158" spans="1:11" x14ac:dyDescent="0.2">
      <c r="A158" s="42" t="s">
        <v>198</v>
      </c>
      <c r="B158" s="42">
        <v>0</v>
      </c>
      <c r="C158" s="42" t="s">
        <v>2024</v>
      </c>
      <c r="D158" s="43">
        <v>5697507</v>
      </c>
      <c r="H158" s="42" t="s">
        <v>198</v>
      </c>
      <c r="I158" s="42">
        <v>0</v>
      </c>
      <c r="J158" s="42" t="s">
        <v>2024</v>
      </c>
      <c r="K158" s="43">
        <v>5697507</v>
      </c>
    </row>
    <row r="159" spans="1:11" x14ac:dyDescent="0.2">
      <c r="A159" s="44"/>
      <c r="B159" s="44"/>
      <c r="C159" s="45" t="s">
        <v>1957</v>
      </c>
      <c r="D159" s="46">
        <v>29416223</v>
      </c>
      <c r="H159" s="44"/>
      <c r="I159" s="44"/>
      <c r="J159" s="45" t="s">
        <v>1957</v>
      </c>
      <c r="K159" s="46">
        <v>29416223</v>
      </c>
    </row>
    <row r="160" spans="1:11" x14ac:dyDescent="0.2">
      <c r="A160" s="44"/>
      <c r="B160" s="44"/>
      <c r="C160" s="45" t="s">
        <v>1986</v>
      </c>
      <c r="D160" s="46">
        <v>49782451</v>
      </c>
      <c r="H160" s="44"/>
      <c r="I160" s="44"/>
      <c r="J160" s="45" t="s">
        <v>1986</v>
      </c>
      <c r="K160" s="46">
        <v>49782451</v>
      </c>
    </row>
    <row r="161" spans="1:11" x14ac:dyDescent="0.2">
      <c r="A161" s="44"/>
      <c r="B161" s="44"/>
      <c r="C161" s="45" t="s">
        <v>1960</v>
      </c>
      <c r="D161" s="46">
        <v>24460759</v>
      </c>
      <c r="H161" s="44"/>
      <c r="I161" s="44"/>
      <c r="J161" s="45" t="s">
        <v>1960</v>
      </c>
      <c r="K161" s="46">
        <v>24460759</v>
      </c>
    </row>
    <row r="162" spans="1:11" x14ac:dyDescent="0.2">
      <c r="A162" s="44"/>
      <c r="B162" s="44"/>
      <c r="C162" s="45" t="s">
        <v>1958</v>
      </c>
      <c r="D162" s="46">
        <v>3851521</v>
      </c>
      <c r="H162" s="44"/>
      <c r="I162" s="44"/>
      <c r="J162" s="45" t="s">
        <v>1958</v>
      </c>
      <c r="K162" s="46">
        <v>3851521</v>
      </c>
    </row>
    <row r="163" spans="1:11" x14ac:dyDescent="0.2">
      <c r="A163" s="44"/>
      <c r="B163" s="44"/>
      <c r="C163" s="45" t="s">
        <v>441</v>
      </c>
      <c r="D163" s="46">
        <v>22614773</v>
      </c>
      <c r="H163" s="44"/>
      <c r="I163" s="44"/>
      <c r="J163" s="45" t="s">
        <v>441</v>
      </c>
      <c r="K163" s="46">
        <v>22614773</v>
      </c>
    </row>
    <row r="164" spans="1:11" x14ac:dyDescent="0.2">
      <c r="A164" s="44"/>
      <c r="B164" s="44"/>
      <c r="C164" s="45" t="s">
        <v>1962</v>
      </c>
      <c r="D164" s="46">
        <v>3323255</v>
      </c>
      <c r="H164" s="44"/>
      <c r="I164" s="44"/>
      <c r="J164" s="45" t="s">
        <v>1962</v>
      </c>
      <c r="K164" s="46">
        <v>3323255</v>
      </c>
    </row>
    <row r="165" spans="1:11" x14ac:dyDescent="0.2">
      <c r="A165" s="44"/>
      <c r="B165" s="44"/>
      <c r="C165" s="45" t="s">
        <v>1955</v>
      </c>
      <c r="D165" s="46">
        <v>49782451</v>
      </c>
      <c r="H165" s="44"/>
      <c r="I165" s="44"/>
      <c r="J165" s="45" t="s">
        <v>1955</v>
      </c>
      <c r="K165" s="46">
        <v>49782451</v>
      </c>
    </row>
    <row r="166" spans="1:11" x14ac:dyDescent="0.2">
      <c r="A166" s="44"/>
      <c r="B166" s="44"/>
      <c r="C166" s="45" t="s">
        <v>2017</v>
      </c>
      <c r="D166" s="46">
        <v>29416223</v>
      </c>
      <c r="H166" s="44"/>
      <c r="I166" s="44"/>
      <c r="J166" s="45" t="s">
        <v>2017</v>
      </c>
      <c r="K166" s="46">
        <v>29416223</v>
      </c>
    </row>
    <row r="167" spans="1:11" x14ac:dyDescent="0.2">
      <c r="A167" s="44"/>
      <c r="B167" s="44"/>
      <c r="C167" s="45" t="s">
        <v>2170</v>
      </c>
      <c r="D167" s="46">
        <v>3323255</v>
      </c>
      <c r="H167" s="44"/>
      <c r="I167" s="44"/>
      <c r="J167" s="45" t="s">
        <v>2170</v>
      </c>
      <c r="K167" s="46">
        <v>3323255</v>
      </c>
    </row>
    <row r="168" spans="1:11" x14ac:dyDescent="0.2">
      <c r="A168" s="44"/>
      <c r="B168" s="44"/>
      <c r="C168" s="45" t="s">
        <v>1994</v>
      </c>
      <c r="D168" s="46">
        <v>109017</v>
      </c>
      <c r="H168" s="44"/>
      <c r="I168" s="44"/>
      <c r="J168" s="45" t="s">
        <v>1994</v>
      </c>
      <c r="K168" s="46">
        <v>109017</v>
      </c>
    </row>
    <row r="169" spans="1:11" x14ac:dyDescent="0.2">
      <c r="A169" s="44"/>
      <c r="B169" s="44"/>
      <c r="C169" s="45" t="s">
        <v>1956</v>
      </c>
      <c r="D169" s="46">
        <v>109017</v>
      </c>
      <c r="H169" s="44"/>
      <c r="I169" s="44"/>
      <c r="J169" s="45" t="s">
        <v>1956</v>
      </c>
      <c r="K169" s="46">
        <v>109017</v>
      </c>
    </row>
    <row r="170" spans="1:11" x14ac:dyDescent="0.2">
      <c r="A170" s="42" t="s">
        <v>556</v>
      </c>
      <c r="B170" s="42">
        <v>0</v>
      </c>
      <c r="C170" s="42" t="s">
        <v>2024</v>
      </c>
      <c r="D170" s="43">
        <v>51135805</v>
      </c>
      <c r="H170" s="42" t="s">
        <v>556</v>
      </c>
      <c r="I170" s="42">
        <v>0</v>
      </c>
      <c r="J170" s="42" t="s">
        <v>2024</v>
      </c>
      <c r="K170" s="43">
        <v>51135805</v>
      </c>
    </row>
    <row r="171" spans="1:11" x14ac:dyDescent="0.2">
      <c r="A171" s="44"/>
      <c r="B171" s="44"/>
      <c r="C171" s="45" t="s">
        <v>1986</v>
      </c>
      <c r="D171" s="46">
        <v>63204417</v>
      </c>
      <c r="H171" s="44"/>
      <c r="I171" s="44"/>
      <c r="J171" s="45" t="s">
        <v>1986</v>
      </c>
      <c r="K171" s="46">
        <v>63204417</v>
      </c>
    </row>
    <row r="172" spans="1:11" x14ac:dyDescent="0.2">
      <c r="A172" s="44"/>
      <c r="B172" s="44"/>
      <c r="C172" s="45" t="s">
        <v>1958</v>
      </c>
      <c r="D172" s="46">
        <v>51135805</v>
      </c>
      <c r="H172" s="44"/>
      <c r="I172" s="44"/>
      <c r="J172" s="45" t="s">
        <v>1958</v>
      </c>
      <c r="K172" s="46">
        <v>51135805</v>
      </c>
    </row>
    <row r="173" spans="1:11" x14ac:dyDescent="0.2">
      <c r="A173" s="44"/>
      <c r="B173" s="44"/>
      <c r="C173" s="45" t="s">
        <v>1955</v>
      </c>
      <c r="D173" s="46">
        <v>63204417</v>
      </c>
      <c r="H173" s="44"/>
      <c r="I173" s="44"/>
      <c r="J173" s="45" t="s">
        <v>1955</v>
      </c>
      <c r="K173" s="46">
        <v>63204417</v>
      </c>
    </row>
    <row r="174" spans="1:11" x14ac:dyDescent="0.2">
      <c r="A174" s="42" t="s">
        <v>1408</v>
      </c>
      <c r="B174" s="42">
        <v>0</v>
      </c>
      <c r="C174" s="42" t="s">
        <v>2024</v>
      </c>
      <c r="D174" s="43">
        <v>31349936</v>
      </c>
      <c r="H174" s="42" t="s">
        <v>1408</v>
      </c>
      <c r="I174" s="42">
        <v>0</v>
      </c>
      <c r="J174" s="42" t="s">
        <v>2024</v>
      </c>
      <c r="K174" s="43">
        <v>31349936</v>
      </c>
    </row>
    <row r="175" spans="1:11" x14ac:dyDescent="0.2">
      <c r="A175" s="44"/>
      <c r="B175" s="44"/>
      <c r="C175" s="45" t="s">
        <v>1986</v>
      </c>
      <c r="D175" s="46">
        <v>72878977</v>
      </c>
      <c r="H175" s="44"/>
      <c r="I175" s="44"/>
      <c r="J175" s="45" t="s">
        <v>1986</v>
      </c>
      <c r="K175" s="46">
        <v>72878977</v>
      </c>
    </row>
    <row r="176" spans="1:11" x14ac:dyDescent="0.2">
      <c r="A176" s="44"/>
      <c r="B176" s="44"/>
      <c r="C176" s="45" t="s">
        <v>1960</v>
      </c>
      <c r="D176" s="46">
        <v>11527083</v>
      </c>
      <c r="H176" s="44"/>
      <c r="I176" s="44"/>
      <c r="J176" s="45" t="s">
        <v>1960</v>
      </c>
      <c r="K176" s="46">
        <v>11527083</v>
      </c>
    </row>
    <row r="177" spans="1:11" x14ac:dyDescent="0.2">
      <c r="A177" s="44"/>
      <c r="B177" s="44"/>
      <c r="C177" s="45" t="s">
        <v>1958</v>
      </c>
      <c r="D177" s="46">
        <v>31349936</v>
      </c>
      <c r="H177" s="44"/>
      <c r="I177" s="44"/>
      <c r="J177" s="45" t="s">
        <v>1958</v>
      </c>
      <c r="K177" s="46">
        <v>31349936</v>
      </c>
    </row>
    <row r="178" spans="1:11" x14ac:dyDescent="0.2">
      <c r="A178" s="44"/>
      <c r="B178" s="44"/>
      <c r="C178" s="45" t="s">
        <v>1955</v>
      </c>
      <c r="D178" s="46">
        <v>61351894</v>
      </c>
      <c r="H178" s="44"/>
      <c r="I178" s="44"/>
      <c r="J178" s="45" t="s">
        <v>1955</v>
      </c>
      <c r="K178" s="46">
        <v>61351894</v>
      </c>
    </row>
    <row r="179" spans="1:11" x14ac:dyDescent="0.2">
      <c r="A179" s="42" t="s">
        <v>1418</v>
      </c>
      <c r="B179" s="42">
        <v>0</v>
      </c>
      <c r="C179" s="42" t="s">
        <v>2024</v>
      </c>
      <c r="D179" s="43">
        <v>144487137</v>
      </c>
      <c r="H179" s="42" t="s">
        <v>1418</v>
      </c>
      <c r="I179" s="42">
        <v>0</v>
      </c>
      <c r="J179" s="42" t="s">
        <v>2024</v>
      </c>
      <c r="K179" s="43">
        <v>144487137</v>
      </c>
    </row>
    <row r="180" spans="1:11" x14ac:dyDescent="0.2">
      <c r="A180" s="44"/>
      <c r="B180" s="44"/>
      <c r="C180" s="45" t="s">
        <v>1960</v>
      </c>
      <c r="D180" s="46">
        <v>7540033</v>
      </c>
      <c r="H180" s="44"/>
      <c r="I180" s="44"/>
      <c r="J180" s="45" t="s">
        <v>1960</v>
      </c>
      <c r="K180" s="46">
        <v>7540033</v>
      </c>
    </row>
    <row r="181" spans="1:11" x14ac:dyDescent="0.2">
      <c r="A181" s="44"/>
      <c r="B181" s="44"/>
      <c r="C181" s="45" t="s">
        <v>1958</v>
      </c>
      <c r="D181" s="46">
        <v>144487137</v>
      </c>
      <c r="H181" s="44"/>
      <c r="I181" s="44"/>
      <c r="J181" s="45" t="s">
        <v>1958</v>
      </c>
      <c r="K181" s="46">
        <v>144487137</v>
      </c>
    </row>
    <row r="182" spans="1:11" x14ac:dyDescent="0.2">
      <c r="A182" s="44"/>
      <c r="B182" s="44"/>
      <c r="C182" s="45" t="s">
        <v>441</v>
      </c>
      <c r="D182" s="46">
        <v>116302493</v>
      </c>
      <c r="H182" s="44"/>
      <c r="I182" s="44"/>
      <c r="J182" s="45" t="s">
        <v>441</v>
      </c>
      <c r="K182" s="46">
        <v>116302493</v>
      </c>
    </row>
    <row r="183" spans="1:11" x14ac:dyDescent="0.2">
      <c r="A183" s="44"/>
      <c r="B183" s="44"/>
      <c r="C183" s="45" t="s">
        <v>1946</v>
      </c>
      <c r="D183" s="46">
        <v>108762460</v>
      </c>
      <c r="H183" s="44"/>
      <c r="I183" s="44"/>
      <c r="J183" s="45" t="s">
        <v>1946</v>
      </c>
      <c r="K183" s="46">
        <v>108762460</v>
      </c>
    </row>
    <row r="184" spans="1:11" x14ac:dyDescent="0.2">
      <c r="A184" s="42" t="s">
        <v>158</v>
      </c>
      <c r="B184" s="42" t="s">
        <v>1348</v>
      </c>
      <c r="C184" s="42" t="s">
        <v>1957</v>
      </c>
      <c r="D184" s="43">
        <v>30651450</v>
      </c>
      <c r="H184" s="42" t="s">
        <v>158</v>
      </c>
      <c r="I184" s="42" t="s">
        <v>1348</v>
      </c>
      <c r="J184" s="42" t="s">
        <v>1957</v>
      </c>
      <c r="K184" s="43">
        <v>30651450</v>
      </c>
    </row>
    <row r="185" spans="1:11" x14ac:dyDescent="0.2">
      <c r="A185" s="44"/>
      <c r="B185" s="44"/>
      <c r="C185" s="45" t="s">
        <v>1986</v>
      </c>
      <c r="D185" s="46">
        <v>3437856</v>
      </c>
      <c r="H185" s="44"/>
      <c r="I185" s="44"/>
      <c r="J185" s="45" t="s">
        <v>1986</v>
      </c>
      <c r="K185" s="46">
        <v>3437856</v>
      </c>
    </row>
    <row r="186" spans="1:11" x14ac:dyDescent="0.2">
      <c r="A186" s="44"/>
      <c r="B186" s="44"/>
      <c r="C186" s="45" t="s">
        <v>1960</v>
      </c>
      <c r="D186" s="46">
        <v>3437856</v>
      </c>
      <c r="H186" s="44"/>
      <c r="I186" s="44"/>
      <c r="J186" s="45" t="s">
        <v>1960</v>
      </c>
      <c r="K186" s="46">
        <v>3437856</v>
      </c>
    </row>
    <row r="187" spans="1:11" x14ac:dyDescent="0.2">
      <c r="A187" s="44"/>
      <c r="B187" s="44"/>
      <c r="C187" s="45" t="s">
        <v>2017</v>
      </c>
      <c r="D187" s="46">
        <v>30651450</v>
      </c>
      <c r="H187" s="44"/>
      <c r="I187" s="44"/>
      <c r="J187" s="45" t="s">
        <v>2017</v>
      </c>
      <c r="K187" s="46">
        <v>30651450</v>
      </c>
    </row>
    <row r="188" spans="1:11" x14ac:dyDescent="0.2">
      <c r="A188" s="44"/>
      <c r="B188" s="44"/>
      <c r="C188" s="45" t="s">
        <v>1994</v>
      </c>
      <c r="D188" s="46">
        <v>18782708</v>
      </c>
      <c r="H188" s="44"/>
      <c r="I188" s="44"/>
      <c r="J188" s="45" t="s">
        <v>1994</v>
      </c>
      <c r="K188" s="46">
        <v>18782708</v>
      </c>
    </row>
    <row r="189" spans="1:11" x14ac:dyDescent="0.2">
      <c r="A189" s="44"/>
      <c r="B189" s="44"/>
      <c r="C189" s="45" t="s">
        <v>1956</v>
      </c>
      <c r="D189" s="46">
        <v>18782708</v>
      </c>
      <c r="H189" s="44"/>
      <c r="I189" s="44"/>
      <c r="J189" s="45" t="s">
        <v>1956</v>
      </c>
      <c r="K189" s="46">
        <v>18782708</v>
      </c>
    </row>
    <row r="190" spans="1:11" x14ac:dyDescent="0.2">
      <c r="A190" s="42" t="s">
        <v>186</v>
      </c>
      <c r="B190" s="42" t="s">
        <v>1227</v>
      </c>
      <c r="C190" s="42" t="s">
        <v>1957</v>
      </c>
      <c r="D190" s="43">
        <v>66580267</v>
      </c>
      <c r="H190" s="42" t="s">
        <v>186</v>
      </c>
      <c r="I190" s="42" t="s">
        <v>1227</v>
      </c>
      <c r="J190" s="42" t="s">
        <v>1957</v>
      </c>
      <c r="K190" s="43">
        <v>66580267</v>
      </c>
    </row>
    <row r="191" spans="1:11" x14ac:dyDescent="0.2">
      <c r="A191" s="44"/>
      <c r="B191" s="44"/>
      <c r="C191" s="45" t="s">
        <v>1986</v>
      </c>
      <c r="D191" s="46">
        <v>14962717</v>
      </c>
      <c r="H191" s="44"/>
      <c r="I191" s="44"/>
      <c r="J191" s="45" t="s">
        <v>1986</v>
      </c>
      <c r="K191" s="46">
        <v>14962717</v>
      </c>
    </row>
    <row r="192" spans="1:11" x14ac:dyDescent="0.2">
      <c r="A192" s="44"/>
      <c r="B192" s="44"/>
      <c r="C192" s="45" t="s">
        <v>1960</v>
      </c>
      <c r="D192" s="46">
        <v>14962717</v>
      </c>
      <c r="H192" s="44"/>
      <c r="I192" s="44"/>
      <c r="J192" s="45" t="s">
        <v>1960</v>
      </c>
      <c r="K192" s="46">
        <v>14962717</v>
      </c>
    </row>
    <row r="193" spans="1:11" x14ac:dyDescent="0.2">
      <c r="A193" s="44"/>
      <c r="B193" s="44"/>
      <c r="C193" s="45" t="s">
        <v>441</v>
      </c>
      <c r="D193" s="46">
        <v>37520556</v>
      </c>
      <c r="H193" s="44"/>
      <c r="I193" s="44"/>
      <c r="J193" s="45" t="s">
        <v>441</v>
      </c>
      <c r="K193" s="46">
        <v>37520556</v>
      </c>
    </row>
    <row r="194" spans="1:11" x14ac:dyDescent="0.2">
      <c r="A194" s="44"/>
      <c r="B194" s="44"/>
      <c r="C194" s="45" t="s">
        <v>1946</v>
      </c>
      <c r="D194" s="46">
        <v>7595122</v>
      </c>
      <c r="H194" s="44"/>
      <c r="I194" s="44"/>
      <c r="J194" s="45" t="s">
        <v>1946</v>
      </c>
      <c r="K194" s="46">
        <v>7595122</v>
      </c>
    </row>
    <row r="195" spans="1:11" x14ac:dyDescent="0.2">
      <c r="A195" s="44"/>
      <c r="B195" s="44"/>
      <c r="C195" s="45" t="s">
        <v>2017</v>
      </c>
      <c r="D195" s="46">
        <v>66580267</v>
      </c>
      <c r="H195" s="44"/>
      <c r="I195" s="44"/>
      <c r="J195" s="45" t="s">
        <v>2017</v>
      </c>
      <c r="K195" s="46">
        <v>66580267</v>
      </c>
    </row>
    <row r="196" spans="1:11" x14ac:dyDescent="0.2">
      <c r="A196" s="44"/>
      <c r="B196" s="44"/>
      <c r="C196" s="45" t="s">
        <v>1994</v>
      </c>
      <c r="D196" s="46">
        <v>18559453</v>
      </c>
      <c r="H196" s="44"/>
      <c r="I196" s="44"/>
      <c r="J196" s="45" t="s">
        <v>1994</v>
      </c>
      <c r="K196" s="46">
        <v>18559453</v>
      </c>
    </row>
    <row r="197" spans="1:11" x14ac:dyDescent="0.2">
      <c r="A197" s="44"/>
      <c r="B197" s="44"/>
      <c r="C197" s="45" t="s">
        <v>1956</v>
      </c>
      <c r="D197" s="46">
        <v>18559453</v>
      </c>
      <c r="H197" s="44"/>
      <c r="I197" s="44"/>
      <c r="J197" s="45" t="s">
        <v>1956</v>
      </c>
      <c r="K197" s="46">
        <v>18559453</v>
      </c>
    </row>
    <row r="198" spans="1:11" x14ac:dyDescent="0.2">
      <c r="A198" s="42" t="s">
        <v>200</v>
      </c>
      <c r="B198" s="42" t="s">
        <v>1852</v>
      </c>
      <c r="C198" s="42" t="s">
        <v>1994</v>
      </c>
      <c r="D198" s="43">
        <v>135023957</v>
      </c>
      <c r="H198" s="42" t="s">
        <v>200</v>
      </c>
      <c r="I198" s="42" t="s">
        <v>1852</v>
      </c>
      <c r="J198" s="42" t="s">
        <v>1994</v>
      </c>
      <c r="K198" s="43">
        <v>135023957</v>
      </c>
    </row>
    <row r="199" spans="1:11" x14ac:dyDescent="0.2">
      <c r="A199" s="44"/>
      <c r="B199" s="44"/>
      <c r="C199" s="45" t="s">
        <v>1956</v>
      </c>
      <c r="D199" s="46">
        <v>135023957</v>
      </c>
      <c r="H199" s="44"/>
      <c r="I199" s="44"/>
      <c r="J199" s="45" t="s">
        <v>1956</v>
      </c>
      <c r="K199" s="46">
        <v>135023957</v>
      </c>
    </row>
    <row r="200" spans="1:11" x14ac:dyDescent="0.2">
      <c r="A200" s="42" t="s">
        <v>108</v>
      </c>
      <c r="B200" s="42">
        <v>0</v>
      </c>
      <c r="C200" s="42" t="s">
        <v>1961</v>
      </c>
      <c r="D200" s="43">
        <v>128887743</v>
      </c>
      <c r="H200" s="42" t="s">
        <v>108</v>
      </c>
      <c r="I200" s="42">
        <v>0</v>
      </c>
      <c r="J200" s="42" t="s">
        <v>1961</v>
      </c>
      <c r="K200" s="43">
        <v>128887743</v>
      </c>
    </row>
    <row r="201" spans="1:11" x14ac:dyDescent="0.2">
      <c r="A201" s="44"/>
      <c r="B201" s="44"/>
      <c r="C201" s="45" t="s">
        <v>2074</v>
      </c>
      <c r="D201" s="46">
        <v>128887743</v>
      </c>
      <c r="H201" s="44"/>
      <c r="I201" s="44"/>
      <c r="J201" s="45" t="s">
        <v>2074</v>
      </c>
      <c r="K201" s="46">
        <v>128887743</v>
      </c>
    </row>
    <row r="202" spans="1:11" x14ac:dyDescent="0.2">
      <c r="A202" s="42" t="s">
        <v>109</v>
      </c>
      <c r="B202" s="42">
        <v>0</v>
      </c>
      <c r="C202" s="42" t="s">
        <v>1986</v>
      </c>
      <c r="D202" s="43">
        <v>17240845</v>
      </c>
      <c r="H202" s="42" t="s">
        <v>109</v>
      </c>
      <c r="I202" s="42">
        <v>0</v>
      </c>
      <c r="J202" s="42" t="s">
        <v>1986</v>
      </c>
      <c r="K202" s="43">
        <v>17240845</v>
      </c>
    </row>
    <row r="203" spans="1:11" x14ac:dyDescent="0.2">
      <c r="A203" s="44"/>
      <c r="B203" s="44"/>
      <c r="C203" s="45" t="s">
        <v>1961</v>
      </c>
      <c r="D203" s="46">
        <v>62073232</v>
      </c>
      <c r="H203" s="44"/>
      <c r="I203" s="44"/>
      <c r="J203" s="45" t="s">
        <v>1961</v>
      </c>
      <c r="K203" s="46">
        <v>62073232</v>
      </c>
    </row>
    <row r="204" spans="1:11" x14ac:dyDescent="0.2">
      <c r="A204" s="44"/>
      <c r="B204" s="44"/>
      <c r="C204" s="45" t="s">
        <v>2074</v>
      </c>
      <c r="D204" s="46">
        <v>62073232</v>
      </c>
      <c r="H204" s="44"/>
      <c r="I204" s="44"/>
      <c r="J204" s="45" t="s">
        <v>2074</v>
      </c>
      <c r="K204" s="46">
        <v>62073232</v>
      </c>
    </row>
    <row r="205" spans="1:11" x14ac:dyDescent="0.2">
      <c r="A205" s="44"/>
      <c r="B205" s="44"/>
      <c r="C205" s="45" t="s">
        <v>1955</v>
      </c>
      <c r="D205" s="46">
        <v>17240845</v>
      </c>
      <c r="H205" s="44"/>
      <c r="I205" s="44"/>
      <c r="J205" s="45" t="s">
        <v>1955</v>
      </c>
      <c r="K205" s="46">
        <v>17240845</v>
      </c>
    </row>
    <row r="206" spans="1:11" x14ac:dyDescent="0.2">
      <c r="A206" s="42" t="s">
        <v>174</v>
      </c>
      <c r="B206" s="42">
        <v>0</v>
      </c>
      <c r="C206" s="42" t="s">
        <v>1986</v>
      </c>
      <c r="D206" s="43">
        <v>9743775</v>
      </c>
      <c r="H206" s="42" t="s">
        <v>174</v>
      </c>
      <c r="I206" s="42">
        <v>0</v>
      </c>
      <c r="J206" s="42" t="s">
        <v>1986</v>
      </c>
      <c r="K206" s="43">
        <v>9743775</v>
      </c>
    </row>
    <row r="207" spans="1:11" x14ac:dyDescent="0.2">
      <c r="A207" s="44"/>
      <c r="B207" s="44"/>
      <c r="C207" s="45" t="s">
        <v>1960</v>
      </c>
      <c r="D207" s="46">
        <v>6069467</v>
      </c>
      <c r="H207" s="44"/>
      <c r="I207" s="44"/>
      <c r="J207" s="45" t="s">
        <v>1960</v>
      </c>
      <c r="K207" s="46">
        <v>6069467</v>
      </c>
    </row>
    <row r="208" spans="1:11" x14ac:dyDescent="0.2">
      <c r="A208" s="44"/>
      <c r="B208" s="44"/>
      <c r="C208" s="45" t="s">
        <v>1961</v>
      </c>
      <c r="D208" s="46">
        <v>119858451</v>
      </c>
      <c r="H208" s="44"/>
      <c r="I208" s="44"/>
      <c r="J208" s="45" t="s">
        <v>1961</v>
      </c>
      <c r="K208" s="46">
        <v>119858451</v>
      </c>
    </row>
    <row r="209" spans="1:11" x14ac:dyDescent="0.2">
      <c r="A209" s="44"/>
      <c r="B209" s="44"/>
      <c r="C209" s="45" t="s">
        <v>2074</v>
      </c>
      <c r="D209" s="46">
        <v>119858451</v>
      </c>
      <c r="H209" s="44"/>
      <c r="I209" s="44"/>
      <c r="J209" s="45" t="s">
        <v>2074</v>
      </c>
      <c r="K209" s="46">
        <v>119858451</v>
      </c>
    </row>
    <row r="210" spans="1:11" x14ac:dyDescent="0.2">
      <c r="A210" s="44"/>
      <c r="B210" s="44"/>
      <c r="C210" s="45" t="s">
        <v>1955</v>
      </c>
      <c r="D210" s="46">
        <v>3674308</v>
      </c>
      <c r="H210" s="44"/>
      <c r="I210" s="44"/>
      <c r="J210" s="45" t="s">
        <v>1955</v>
      </c>
      <c r="K210" s="46">
        <v>3674308</v>
      </c>
    </row>
    <row r="211" spans="1:11" x14ac:dyDescent="0.2">
      <c r="A211" s="44"/>
      <c r="B211" s="44"/>
      <c r="C211" s="45" t="s">
        <v>1994</v>
      </c>
      <c r="D211" s="46">
        <v>1140223</v>
      </c>
      <c r="H211" s="44"/>
      <c r="I211" s="44"/>
      <c r="J211" s="45" t="s">
        <v>1994</v>
      </c>
      <c r="K211" s="46">
        <v>1140223</v>
      </c>
    </row>
    <row r="212" spans="1:11" x14ac:dyDescent="0.2">
      <c r="A212" s="44"/>
      <c r="B212" s="44"/>
      <c r="C212" s="45" t="s">
        <v>1956</v>
      </c>
      <c r="D212" s="46">
        <v>1140223</v>
      </c>
      <c r="H212" s="44"/>
      <c r="I212" s="44"/>
      <c r="J212" s="45" t="s">
        <v>1956</v>
      </c>
      <c r="K212" s="46">
        <v>1140223</v>
      </c>
    </row>
    <row r="213" spans="1:11" x14ac:dyDescent="0.2">
      <c r="A213" s="42" t="s">
        <v>164</v>
      </c>
      <c r="B213" s="42">
        <v>0</v>
      </c>
      <c r="C213" s="42" t="s">
        <v>1986</v>
      </c>
      <c r="D213" s="43">
        <v>30000000</v>
      </c>
      <c r="H213" s="42" t="s">
        <v>164</v>
      </c>
      <c r="I213" s="42">
        <v>0</v>
      </c>
      <c r="J213" s="42" t="s">
        <v>1986</v>
      </c>
      <c r="K213" s="43">
        <v>30000000</v>
      </c>
    </row>
    <row r="214" spans="1:11" x14ac:dyDescent="0.2">
      <c r="A214" s="44"/>
      <c r="B214" s="44"/>
      <c r="C214" s="45" t="s">
        <v>1955</v>
      </c>
      <c r="D214" s="46">
        <v>30000000</v>
      </c>
      <c r="H214" s="44"/>
      <c r="I214" s="44"/>
      <c r="J214" s="45" t="s">
        <v>1955</v>
      </c>
      <c r="K214" s="46">
        <v>30000000</v>
      </c>
    </row>
    <row r="215" spans="1:11" x14ac:dyDescent="0.2">
      <c r="A215" s="42" t="s">
        <v>146</v>
      </c>
      <c r="B215" s="42">
        <v>0</v>
      </c>
      <c r="C215" s="42" t="s">
        <v>1960</v>
      </c>
      <c r="D215" s="43">
        <v>26361196</v>
      </c>
      <c r="H215" s="42" t="s">
        <v>146</v>
      </c>
      <c r="I215" s="42">
        <v>0</v>
      </c>
      <c r="J215" s="42" t="s">
        <v>1960</v>
      </c>
      <c r="K215" s="43">
        <v>26361196</v>
      </c>
    </row>
    <row r="216" spans="1:11" x14ac:dyDescent="0.2">
      <c r="A216" s="44"/>
      <c r="B216" s="44"/>
      <c r="C216" s="45" t="s">
        <v>2145</v>
      </c>
      <c r="D216" s="46">
        <v>26361196</v>
      </c>
      <c r="H216" s="44"/>
      <c r="I216" s="44"/>
      <c r="J216" s="45" t="s">
        <v>2145</v>
      </c>
      <c r="K216" s="46">
        <v>26361196</v>
      </c>
    </row>
    <row r="217" spans="1:11" x14ac:dyDescent="0.2">
      <c r="A217" s="44"/>
      <c r="B217" s="44"/>
      <c r="C217" s="45" t="s">
        <v>441</v>
      </c>
      <c r="D217" s="46">
        <v>61349690</v>
      </c>
      <c r="H217" s="44"/>
      <c r="I217" s="44"/>
      <c r="J217" s="45" t="s">
        <v>441</v>
      </c>
      <c r="K217" s="46">
        <v>61349690</v>
      </c>
    </row>
    <row r="218" spans="1:11" x14ac:dyDescent="0.2">
      <c r="A218" s="44"/>
      <c r="B218" s="44"/>
      <c r="C218" s="45" t="s">
        <v>1994</v>
      </c>
      <c r="D218" s="46">
        <v>4313649</v>
      </c>
      <c r="H218" s="44"/>
      <c r="I218" s="44"/>
      <c r="J218" s="45" t="s">
        <v>1994</v>
      </c>
      <c r="K218" s="46">
        <v>4313649</v>
      </c>
    </row>
    <row r="219" spans="1:11" x14ac:dyDescent="0.2">
      <c r="A219" s="44"/>
      <c r="B219" s="44"/>
      <c r="C219" s="45" t="s">
        <v>1956</v>
      </c>
      <c r="D219" s="46">
        <v>4313649</v>
      </c>
      <c r="H219" s="44"/>
      <c r="I219" s="44"/>
      <c r="J219" s="45" t="s">
        <v>1956</v>
      </c>
      <c r="K219" s="46">
        <v>4313649</v>
      </c>
    </row>
    <row r="220" spans="1:11" x14ac:dyDescent="0.2">
      <c r="A220" s="42" t="s">
        <v>841</v>
      </c>
      <c r="B220" s="42">
        <v>0</v>
      </c>
      <c r="C220" s="42" t="s">
        <v>1986</v>
      </c>
      <c r="D220" s="43">
        <v>449998776</v>
      </c>
      <c r="H220" s="42" t="s">
        <v>841</v>
      </c>
      <c r="I220" s="42">
        <v>0</v>
      </c>
      <c r="J220" s="42" t="s">
        <v>1986</v>
      </c>
      <c r="K220" s="43">
        <v>449998776</v>
      </c>
    </row>
    <row r="221" spans="1:11" x14ac:dyDescent="0.2">
      <c r="A221" s="44"/>
      <c r="B221" s="44"/>
      <c r="C221" s="45" t="s">
        <v>441</v>
      </c>
      <c r="D221" s="46">
        <v>899997552</v>
      </c>
      <c r="H221" s="44"/>
      <c r="I221" s="44"/>
      <c r="J221" s="45" t="s">
        <v>441</v>
      </c>
      <c r="K221" s="46">
        <v>899997552</v>
      </c>
    </row>
    <row r="222" spans="1:11" x14ac:dyDescent="0.2">
      <c r="A222" s="44"/>
      <c r="B222" s="44"/>
      <c r="C222" s="45" t="s">
        <v>1955</v>
      </c>
      <c r="D222" s="46">
        <v>449998776</v>
      </c>
      <c r="H222" s="44"/>
      <c r="I222" s="44"/>
      <c r="J222" s="45" t="s">
        <v>1955</v>
      </c>
      <c r="K222" s="46">
        <v>449998776</v>
      </c>
    </row>
    <row r="223" spans="1:11" x14ac:dyDescent="0.2">
      <c r="A223" s="42" t="s">
        <v>1889</v>
      </c>
      <c r="B223" s="42">
        <v>0</v>
      </c>
      <c r="C223" s="42" t="s">
        <v>2024</v>
      </c>
      <c r="D223" s="43">
        <v>42017476</v>
      </c>
      <c r="H223" s="42" t="s">
        <v>1889</v>
      </c>
      <c r="I223" s="42">
        <v>0</v>
      </c>
      <c r="J223" s="42" t="s">
        <v>2024</v>
      </c>
      <c r="K223" s="43">
        <v>42017476</v>
      </c>
    </row>
    <row r="224" spans="1:11" x14ac:dyDescent="0.2">
      <c r="A224" s="44"/>
      <c r="B224" s="44"/>
      <c r="C224" s="45" t="s">
        <v>1959</v>
      </c>
      <c r="D224" s="46">
        <v>42017476</v>
      </c>
      <c r="H224" s="44"/>
      <c r="I224" s="44"/>
      <c r="J224" s="45" t="s">
        <v>1959</v>
      </c>
      <c r="K224" s="46">
        <v>42017476</v>
      </c>
    </row>
    <row r="225" spans="1:11" x14ac:dyDescent="0.2">
      <c r="A225" s="44"/>
      <c r="B225" s="44"/>
      <c r="C225" s="45" t="s">
        <v>1961</v>
      </c>
      <c r="D225" s="46">
        <v>650363229</v>
      </c>
      <c r="H225" s="44"/>
      <c r="I225" s="44"/>
      <c r="J225" s="45" t="s">
        <v>1961</v>
      </c>
      <c r="K225" s="46">
        <v>650363229</v>
      </c>
    </row>
    <row r="226" spans="1:11" x14ac:dyDescent="0.2">
      <c r="A226" s="44"/>
      <c r="B226" s="44"/>
      <c r="C226" s="45" t="s">
        <v>2074</v>
      </c>
      <c r="D226" s="46">
        <v>650363229</v>
      </c>
      <c r="H226" s="44"/>
      <c r="I226" s="44"/>
      <c r="J226" s="45" t="s">
        <v>2074</v>
      </c>
      <c r="K226" s="46">
        <v>650363229</v>
      </c>
    </row>
    <row r="227" spans="1:11" x14ac:dyDescent="0.2">
      <c r="A227" s="44"/>
      <c r="B227" s="44"/>
      <c r="C227" s="45" t="s">
        <v>1994</v>
      </c>
      <c r="D227" s="46">
        <v>22644893</v>
      </c>
      <c r="H227" s="44"/>
      <c r="I227" s="44"/>
      <c r="J227" s="45" t="s">
        <v>1994</v>
      </c>
      <c r="K227" s="46">
        <v>22644893</v>
      </c>
    </row>
    <row r="228" spans="1:11" x14ac:dyDescent="0.2">
      <c r="A228" s="44"/>
      <c r="B228" s="44"/>
      <c r="C228" s="45" t="s">
        <v>1956</v>
      </c>
      <c r="D228" s="46">
        <v>22644893</v>
      </c>
      <c r="H228" s="44"/>
      <c r="I228" s="44"/>
      <c r="J228" s="45" t="s">
        <v>1956</v>
      </c>
      <c r="K228" s="46">
        <v>22644893</v>
      </c>
    </row>
    <row r="229" spans="1:11" x14ac:dyDescent="0.2">
      <c r="A229" s="42" t="s">
        <v>172</v>
      </c>
      <c r="B229" s="42" t="s">
        <v>1471</v>
      </c>
      <c r="C229" s="42" t="s">
        <v>1959</v>
      </c>
      <c r="D229" s="43">
        <v>328670000</v>
      </c>
      <c r="H229" s="42" t="s">
        <v>172</v>
      </c>
      <c r="I229" s="42" t="s">
        <v>1471</v>
      </c>
      <c r="J229" s="42" t="s">
        <v>1959</v>
      </c>
      <c r="K229" s="43">
        <v>328670000</v>
      </c>
    </row>
    <row r="230" spans="1:11" x14ac:dyDescent="0.2">
      <c r="A230" s="44"/>
      <c r="B230" s="44"/>
      <c r="C230" s="45" t="s">
        <v>1986</v>
      </c>
      <c r="D230" s="46">
        <v>5970000</v>
      </c>
      <c r="H230" s="44"/>
      <c r="I230" s="44"/>
      <c r="J230" s="45" t="s">
        <v>1986</v>
      </c>
      <c r="K230" s="46">
        <v>5970000</v>
      </c>
    </row>
    <row r="231" spans="1:11" x14ac:dyDescent="0.2">
      <c r="A231" s="44"/>
      <c r="B231" s="44"/>
      <c r="C231" s="45" t="s">
        <v>441</v>
      </c>
      <c r="D231" s="46">
        <v>25860000</v>
      </c>
      <c r="H231" s="44"/>
      <c r="I231" s="44"/>
      <c r="J231" s="45" t="s">
        <v>441</v>
      </c>
      <c r="K231" s="46">
        <v>25860000</v>
      </c>
    </row>
    <row r="232" spans="1:11" x14ac:dyDescent="0.2">
      <c r="A232" s="44"/>
      <c r="B232" s="44"/>
      <c r="C232" s="45" t="s">
        <v>1955</v>
      </c>
      <c r="D232" s="46">
        <v>5970000</v>
      </c>
      <c r="H232" s="44"/>
      <c r="I232" s="44"/>
      <c r="J232" s="45" t="s">
        <v>1955</v>
      </c>
      <c r="K232" s="46">
        <v>5970000</v>
      </c>
    </row>
    <row r="233" spans="1:11" x14ac:dyDescent="0.2">
      <c r="A233" s="44"/>
      <c r="B233" s="44"/>
      <c r="C233" s="45" t="s">
        <v>2170</v>
      </c>
      <c r="D233" s="46">
        <v>328670000</v>
      </c>
      <c r="H233" s="44"/>
      <c r="I233" s="44"/>
      <c r="J233" s="45" t="s">
        <v>2170</v>
      </c>
      <c r="K233" s="46">
        <v>328670000</v>
      </c>
    </row>
    <row r="234" spans="1:11" x14ac:dyDescent="0.2">
      <c r="A234" s="44"/>
      <c r="B234" s="44"/>
      <c r="C234" s="45" t="s">
        <v>1956</v>
      </c>
      <c r="D234" s="46">
        <v>25860000</v>
      </c>
      <c r="H234" s="44"/>
      <c r="I234" s="44"/>
      <c r="J234" s="45" t="s">
        <v>1956</v>
      </c>
      <c r="K234" s="46">
        <v>25860000</v>
      </c>
    </row>
    <row r="235" spans="1:11" x14ac:dyDescent="0.2">
      <c r="A235" s="42" t="s">
        <v>1643</v>
      </c>
      <c r="B235" s="42">
        <v>0</v>
      </c>
      <c r="C235" s="42" t="s">
        <v>1986</v>
      </c>
      <c r="D235" s="43">
        <v>262664000</v>
      </c>
      <c r="H235" s="42" t="s">
        <v>1643</v>
      </c>
      <c r="I235" s="42">
        <v>0</v>
      </c>
      <c r="J235" s="42" t="s">
        <v>1986</v>
      </c>
      <c r="K235" s="43">
        <v>262664000</v>
      </c>
    </row>
    <row r="236" spans="1:11" x14ac:dyDescent="0.2">
      <c r="A236" s="44"/>
      <c r="B236" s="44"/>
      <c r="C236" s="45" t="s">
        <v>1955</v>
      </c>
      <c r="D236" s="46">
        <v>262664000</v>
      </c>
      <c r="H236" s="44"/>
      <c r="I236" s="44"/>
      <c r="J236" s="45" t="s">
        <v>1955</v>
      </c>
      <c r="K236" s="46">
        <v>262664000</v>
      </c>
    </row>
    <row r="237" spans="1:11" x14ac:dyDescent="0.2">
      <c r="A237" s="42" t="s">
        <v>123</v>
      </c>
      <c r="B237" s="42">
        <v>0</v>
      </c>
      <c r="C237" s="42" t="s">
        <v>2024</v>
      </c>
      <c r="D237" s="43">
        <v>7877038</v>
      </c>
      <c r="H237" s="42" t="s">
        <v>123</v>
      </c>
      <c r="I237" s="42">
        <v>0</v>
      </c>
      <c r="J237" s="42" t="s">
        <v>2024</v>
      </c>
      <c r="K237" s="43">
        <v>7877038</v>
      </c>
    </row>
    <row r="238" spans="1:11" x14ac:dyDescent="0.2">
      <c r="A238" s="44"/>
      <c r="B238" s="44"/>
      <c r="C238" s="45" t="s">
        <v>1959</v>
      </c>
      <c r="D238" s="46">
        <v>1009000</v>
      </c>
      <c r="H238" s="44"/>
      <c r="I238" s="44"/>
      <c r="J238" s="45" t="s">
        <v>1959</v>
      </c>
      <c r="K238" s="46">
        <v>1009000</v>
      </c>
    </row>
    <row r="239" spans="1:11" x14ac:dyDescent="0.2">
      <c r="A239" s="44"/>
      <c r="B239" s="44"/>
      <c r="C239" s="45" t="s">
        <v>441</v>
      </c>
      <c r="D239" s="46">
        <v>1009000</v>
      </c>
      <c r="H239" s="44"/>
      <c r="I239" s="44"/>
      <c r="J239" s="45" t="s">
        <v>441</v>
      </c>
      <c r="K239" s="46">
        <v>1009000</v>
      </c>
    </row>
    <row r="240" spans="1:11" x14ac:dyDescent="0.2">
      <c r="A240" s="44"/>
      <c r="B240" s="44"/>
      <c r="C240" s="45" t="s">
        <v>1962</v>
      </c>
      <c r="D240" s="46">
        <v>136000</v>
      </c>
      <c r="H240" s="44"/>
      <c r="I240" s="44"/>
      <c r="J240" s="45" t="s">
        <v>1962</v>
      </c>
      <c r="K240" s="46">
        <v>136000</v>
      </c>
    </row>
    <row r="241" spans="1:11" x14ac:dyDescent="0.2">
      <c r="A241" s="44"/>
      <c r="B241" s="44"/>
      <c r="C241" s="45" t="s">
        <v>1955</v>
      </c>
      <c r="D241" s="46">
        <v>7741038</v>
      </c>
      <c r="H241" s="44"/>
      <c r="I241" s="44"/>
      <c r="J241" s="45" t="s">
        <v>1955</v>
      </c>
      <c r="K241" s="46">
        <v>7741038</v>
      </c>
    </row>
    <row r="242" spans="1:11" x14ac:dyDescent="0.2">
      <c r="A242" s="44"/>
      <c r="B242" s="44"/>
      <c r="C242" s="45" t="s">
        <v>1994</v>
      </c>
      <c r="D242" s="46">
        <v>4789000</v>
      </c>
      <c r="H242" s="44"/>
      <c r="I242" s="44"/>
      <c r="J242" s="45" t="s">
        <v>1994</v>
      </c>
      <c r="K242" s="46">
        <v>4789000</v>
      </c>
    </row>
    <row r="243" spans="1:11" x14ac:dyDescent="0.2">
      <c r="A243" s="44"/>
      <c r="B243" s="44"/>
      <c r="C243" s="45" t="s">
        <v>1956</v>
      </c>
      <c r="D243" s="46">
        <v>4789000</v>
      </c>
      <c r="H243" s="44"/>
      <c r="I243" s="44"/>
      <c r="J243" s="45" t="s">
        <v>1956</v>
      </c>
      <c r="K243" s="46">
        <v>4789000</v>
      </c>
    </row>
    <row r="244" spans="1:11" x14ac:dyDescent="0.2">
      <c r="A244" s="42" t="s">
        <v>124</v>
      </c>
      <c r="B244" s="42">
        <v>0</v>
      </c>
      <c r="C244" s="42" t="s">
        <v>2024</v>
      </c>
      <c r="D244" s="43">
        <v>46206781</v>
      </c>
      <c r="H244" s="42" t="s">
        <v>124</v>
      </c>
      <c r="I244" s="42">
        <v>0</v>
      </c>
      <c r="J244" s="42" t="s">
        <v>2024</v>
      </c>
      <c r="K244" s="43">
        <v>46206781</v>
      </c>
    </row>
    <row r="245" spans="1:11" x14ac:dyDescent="0.2">
      <c r="A245" s="44"/>
      <c r="B245" s="44"/>
      <c r="C245" s="45" t="s">
        <v>1957</v>
      </c>
      <c r="D245" s="46">
        <v>23858720</v>
      </c>
      <c r="H245" s="44"/>
      <c r="I245" s="44"/>
      <c r="J245" s="45" t="s">
        <v>1957</v>
      </c>
      <c r="K245" s="46">
        <v>23858720</v>
      </c>
    </row>
    <row r="246" spans="1:11" x14ac:dyDescent="0.2">
      <c r="A246" s="44"/>
      <c r="B246" s="44"/>
      <c r="C246" s="45" t="s">
        <v>1965</v>
      </c>
      <c r="D246" s="46">
        <v>7683000</v>
      </c>
      <c r="H246" s="44"/>
      <c r="I246" s="44"/>
      <c r="J246" s="45" t="s">
        <v>1965</v>
      </c>
      <c r="K246" s="46">
        <v>7683000</v>
      </c>
    </row>
    <row r="247" spans="1:11" x14ac:dyDescent="0.2">
      <c r="A247" s="44"/>
      <c r="B247" s="44"/>
      <c r="C247" s="45" t="s">
        <v>1959</v>
      </c>
      <c r="D247" s="46">
        <v>3643000</v>
      </c>
      <c r="H247" s="44"/>
      <c r="I247" s="44"/>
      <c r="J247" s="45" t="s">
        <v>1959</v>
      </c>
      <c r="K247" s="46">
        <v>3643000</v>
      </c>
    </row>
    <row r="248" spans="1:11" x14ac:dyDescent="0.2">
      <c r="A248" s="44"/>
      <c r="B248" s="44"/>
      <c r="C248" s="45" t="s">
        <v>1986</v>
      </c>
      <c r="D248" s="46">
        <v>2593229</v>
      </c>
      <c r="H248" s="44"/>
      <c r="I248" s="44"/>
      <c r="J248" s="45" t="s">
        <v>1986</v>
      </c>
      <c r="K248" s="46">
        <v>2593229</v>
      </c>
    </row>
    <row r="249" spans="1:11" x14ac:dyDescent="0.2">
      <c r="A249" s="44"/>
      <c r="B249" s="44"/>
      <c r="C249" s="45" t="s">
        <v>1960</v>
      </c>
      <c r="D249" s="46">
        <v>31502091</v>
      </c>
      <c r="H249" s="44"/>
      <c r="I249" s="44"/>
      <c r="J249" s="45" t="s">
        <v>1960</v>
      </c>
      <c r="K249" s="46">
        <v>31502091</v>
      </c>
    </row>
    <row r="250" spans="1:11" x14ac:dyDescent="0.2">
      <c r="A250" s="44"/>
      <c r="B250" s="44"/>
      <c r="C250" s="45" t="s">
        <v>1961</v>
      </c>
      <c r="D250" s="46">
        <v>288050517</v>
      </c>
      <c r="H250" s="44"/>
      <c r="I250" s="44"/>
      <c r="J250" s="45" t="s">
        <v>1961</v>
      </c>
      <c r="K250" s="46">
        <v>288050517</v>
      </c>
    </row>
    <row r="251" spans="1:11" x14ac:dyDescent="0.2">
      <c r="A251" s="44"/>
      <c r="B251" s="44"/>
      <c r="C251" s="45" t="s">
        <v>2074</v>
      </c>
      <c r="D251" s="46">
        <v>288050517</v>
      </c>
      <c r="H251" s="44"/>
      <c r="I251" s="44"/>
      <c r="J251" s="45" t="s">
        <v>2074</v>
      </c>
      <c r="K251" s="46">
        <v>288050517</v>
      </c>
    </row>
    <row r="252" spans="1:11" x14ac:dyDescent="0.2">
      <c r="A252" s="44"/>
      <c r="B252" s="44"/>
      <c r="C252" s="45" t="s">
        <v>441</v>
      </c>
      <c r="D252" s="46">
        <v>56214230</v>
      </c>
      <c r="H252" s="44"/>
      <c r="I252" s="44"/>
      <c r="J252" s="45" t="s">
        <v>441</v>
      </c>
      <c r="K252" s="46">
        <v>56214230</v>
      </c>
    </row>
    <row r="253" spans="1:11" x14ac:dyDescent="0.2">
      <c r="A253" s="44"/>
      <c r="B253" s="44"/>
      <c r="C253" s="45" t="s">
        <v>1962</v>
      </c>
      <c r="D253" s="46">
        <v>14917690</v>
      </c>
      <c r="H253" s="44"/>
      <c r="I253" s="44"/>
      <c r="J253" s="45" t="s">
        <v>1962</v>
      </c>
      <c r="K253" s="46">
        <v>14917690</v>
      </c>
    </row>
    <row r="254" spans="1:11" x14ac:dyDescent="0.2">
      <c r="A254" s="44"/>
      <c r="B254" s="44"/>
      <c r="C254" s="45" t="s">
        <v>1955</v>
      </c>
      <c r="D254" s="46">
        <v>2518229</v>
      </c>
      <c r="H254" s="44"/>
      <c r="I254" s="44"/>
      <c r="J254" s="45" t="s">
        <v>1955</v>
      </c>
      <c r="K254" s="46">
        <v>2518229</v>
      </c>
    </row>
    <row r="255" spans="1:11" x14ac:dyDescent="0.2">
      <c r="A255" s="44"/>
      <c r="B255" s="44"/>
      <c r="C255" s="45" t="s">
        <v>2017</v>
      </c>
      <c r="D255" s="46">
        <v>23858720</v>
      </c>
      <c r="H255" s="44"/>
      <c r="I255" s="44"/>
      <c r="J255" s="45" t="s">
        <v>2017</v>
      </c>
      <c r="K255" s="46">
        <v>23858720</v>
      </c>
    </row>
    <row r="256" spans="1:11" x14ac:dyDescent="0.2">
      <c r="A256" s="44"/>
      <c r="B256" s="44"/>
      <c r="C256" s="45" t="s">
        <v>2170</v>
      </c>
      <c r="D256" s="46">
        <v>1750705</v>
      </c>
      <c r="H256" s="44"/>
      <c r="I256" s="44"/>
      <c r="J256" s="45" t="s">
        <v>2170</v>
      </c>
      <c r="K256" s="46">
        <v>1750705</v>
      </c>
    </row>
    <row r="257" spans="1:11" x14ac:dyDescent="0.2">
      <c r="A257" s="44"/>
      <c r="B257" s="44"/>
      <c r="C257" s="45" t="s">
        <v>1994</v>
      </c>
      <c r="D257" s="46">
        <v>6681784</v>
      </c>
      <c r="H257" s="44"/>
      <c r="I257" s="44"/>
      <c r="J257" s="45" t="s">
        <v>1994</v>
      </c>
      <c r="K257" s="46">
        <v>6681784</v>
      </c>
    </row>
    <row r="258" spans="1:11" x14ac:dyDescent="0.2">
      <c r="A258" s="44"/>
      <c r="B258" s="44"/>
      <c r="C258" s="45" t="s">
        <v>1956</v>
      </c>
      <c r="D258" s="46">
        <v>8432489</v>
      </c>
      <c r="H258" s="44"/>
      <c r="I258" s="44"/>
      <c r="J258" s="45" t="s">
        <v>1956</v>
      </c>
      <c r="K258" s="46">
        <v>8432489</v>
      </c>
    </row>
    <row r="259" spans="1:11" x14ac:dyDescent="0.2">
      <c r="A259" s="42" t="s">
        <v>152</v>
      </c>
      <c r="B259" s="42" t="s">
        <v>1132</v>
      </c>
      <c r="C259" s="42" t="s">
        <v>1957</v>
      </c>
      <c r="D259" s="43">
        <v>51124278</v>
      </c>
      <c r="H259" s="42" t="s">
        <v>152</v>
      </c>
      <c r="I259" s="42" t="s">
        <v>1132</v>
      </c>
      <c r="J259" s="42" t="s">
        <v>1957</v>
      </c>
      <c r="K259" s="43">
        <v>51124278</v>
      </c>
    </row>
    <row r="260" spans="1:11" x14ac:dyDescent="0.2">
      <c r="A260" s="44"/>
      <c r="B260" s="44"/>
      <c r="C260" s="45" t="s">
        <v>441</v>
      </c>
      <c r="D260" s="46">
        <v>7974372</v>
      </c>
      <c r="H260" s="44"/>
      <c r="I260" s="44"/>
      <c r="J260" s="45" t="s">
        <v>441</v>
      </c>
      <c r="K260" s="46">
        <v>7974372</v>
      </c>
    </row>
    <row r="261" spans="1:11" x14ac:dyDescent="0.2">
      <c r="A261" s="44"/>
      <c r="B261" s="44"/>
      <c r="C261" s="45" t="s">
        <v>2017</v>
      </c>
      <c r="D261" s="46">
        <v>51124278</v>
      </c>
      <c r="H261" s="44"/>
      <c r="I261" s="44"/>
      <c r="J261" s="45" t="s">
        <v>2017</v>
      </c>
      <c r="K261" s="46">
        <v>51124278</v>
      </c>
    </row>
    <row r="262" spans="1:11" x14ac:dyDescent="0.2">
      <c r="A262" s="42" t="s">
        <v>184</v>
      </c>
      <c r="B262" s="42">
        <v>0</v>
      </c>
      <c r="C262" s="42" t="s">
        <v>1986</v>
      </c>
      <c r="D262" s="43">
        <v>1107607123</v>
      </c>
      <c r="H262" s="42" t="s">
        <v>184</v>
      </c>
      <c r="I262" s="42">
        <v>0</v>
      </c>
      <c r="J262" s="42" t="s">
        <v>1986</v>
      </c>
      <c r="K262" s="43">
        <v>1107607123</v>
      </c>
    </row>
    <row r="263" spans="1:11" x14ac:dyDescent="0.2">
      <c r="A263" s="44"/>
      <c r="B263" s="44"/>
      <c r="C263" s="45" t="s">
        <v>441</v>
      </c>
      <c r="D263" s="46">
        <v>2215214246</v>
      </c>
      <c r="H263" s="44"/>
      <c r="I263" s="44"/>
      <c r="J263" s="45" t="s">
        <v>441</v>
      </c>
      <c r="K263" s="46">
        <v>2215214246</v>
      </c>
    </row>
    <row r="264" spans="1:11" x14ac:dyDescent="0.2">
      <c r="A264" s="44"/>
      <c r="B264" s="44"/>
      <c r="C264" s="45" t="s">
        <v>1955</v>
      </c>
      <c r="D264" s="46">
        <v>1107607123</v>
      </c>
      <c r="H264" s="44"/>
      <c r="I264" s="44"/>
      <c r="J264" s="45" t="s">
        <v>1955</v>
      </c>
      <c r="K264" s="46">
        <v>1107607123</v>
      </c>
    </row>
    <row r="265" spans="1:11" x14ac:dyDescent="0.2">
      <c r="A265" s="42" t="s">
        <v>1831</v>
      </c>
      <c r="B265" s="42">
        <v>0</v>
      </c>
      <c r="C265" s="42" t="s">
        <v>1986</v>
      </c>
      <c r="D265" s="43">
        <v>498937208</v>
      </c>
      <c r="H265" s="42" t="s">
        <v>1831</v>
      </c>
      <c r="I265" s="42">
        <v>0</v>
      </c>
      <c r="J265" s="42" t="s">
        <v>1986</v>
      </c>
      <c r="K265" s="43">
        <v>498937208</v>
      </c>
    </row>
    <row r="266" spans="1:11" x14ac:dyDescent="0.2">
      <c r="A266" s="44"/>
      <c r="B266" s="44"/>
      <c r="C266" s="45" t="s">
        <v>1955</v>
      </c>
      <c r="D266" s="46">
        <v>498937208</v>
      </c>
      <c r="H266" s="44"/>
      <c r="I266" s="44"/>
      <c r="J266" s="45" t="s">
        <v>1955</v>
      </c>
      <c r="K266" s="46">
        <v>498937208</v>
      </c>
    </row>
    <row r="267" spans="1:11" x14ac:dyDescent="0.2">
      <c r="A267" s="42" t="s">
        <v>1842</v>
      </c>
      <c r="B267" s="42">
        <v>0</v>
      </c>
      <c r="C267" s="42" t="s">
        <v>1960</v>
      </c>
      <c r="D267" s="43">
        <v>14432120</v>
      </c>
      <c r="H267" s="42" t="s">
        <v>1842</v>
      </c>
      <c r="I267" s="42">
        <v>0</v>
      </c>
      <c r="J267" s="42" t="s">
        <v>1960</v>
      </c>
      <c r="K267" s="43">
        <v>14432120</v>
      </c>
    </row>
    <row r="268" spans="1:11" x14ac:dyDescent="0.2">
      <c r="A268" s="44"/>
      <c r="B268" s="44"/>
      <c r="C268" s="45" t="s">
        <v>1961</v>
      </c>
      <c r="D268" s="46">
        <v>445065299</v>
      </c>
      <c r="H268" s="44"/>
      <c r="I268" s="44"/>
      <c r="J268" s="45" t="s">
        <v>1961</v>
      </c>
      <c r="K268" s="46">
        <v>445065299</v>
      </c>
    </row>
    <row r="269" spans="1:11" x14ac:dyDescent="0.2">
      <c r="A269" s="44"/>
      <c r="B269" s="44"/>
      <c r="C269" s="45" t="s">
        <v>2074</v>
      </c>
      <c r="D269" s="46">
        <v>482457622</v>
      </c>
      <c r="H269" s="44"/>
      <c r="I269" s="44"/>
      <c r="J269" s="45" t="s">
        <v>2074</v>
      </c>
      <c r="K269" s="46">
        <v>482457622</v>
      </c>
    </row>
    <row r="270" spans="1:11" x14ac:dyDescent="0.2">
      <c r="A270" s="44"/>
      <c r="B270" s="44"/>
      <c r="C270" s="45" t="s">
        <v>441</v>
      </c>
      <c r="D270" s="46">
        <v>1005651182</v>
      </c>
      <c r="H270" s="44"/>
      <c r="I270" s="44"/>
      <c r="J270" s="45" t="s">
        <v>441</v>
      </c>
      <c r="K270" s="46">
        <v>1005651182</v>
      </c>
    </row>
    <row r="271" spans="1:11" x14ac:dyDescent="0.2">
      <c r="A271" s="44"/>
      <c r="B271" s="44"/>
      <c r="C271" s="45" t="s">
        <v>1962</v>
      </c>
      <c r="D271" s="46">
        <v>37392323</v>
      </c>
      <c r="H271" s="44"/>
      <c r="I271" s="44"/>
      <c r="J271" s="45" t="s">
        <v>1962</v>
      </c>
      <c r="K271" s="46">
        <v>37392323</v>
      </c>
    </row>
    <row r="272" spans="1:11" x14ac:dyDescent="0.2">
      <c r="A272" s="44"/>
      <c r="B272" s="44"/>
      <c r="C272" s="45" t="s">
        <v>2017</v>
      </c>
      <c r="D272" s="46">
        <v>8780938</v>
      </c>
      <c r="H272" s="44"/>
      <c r="I272" s="44"/>
      <c r="J272" s="45" t="s">
        <v>2017</v>
      </c>
      <c r="K272" s="46">
        <v>8780938</v>
      </c>
    </row>
    <row r="273" spans="1:11" x14ac:dyDescent="0.2">
      <c r="A273" s="44"/>
      <c r="B273" s="44"/>
      <c r="C273" s="45" t="s">
        <v>1994</v>
      </c>
      <c r="D273" s="46">
        <v>3110258</v>
      </c>
      <c r="H273" s="44"/>
      <c r="I273" s="44"/>
      <c r="J273" s="45" t="s">
        <v>1994</v>
      </c>
      <c r="K273" s="46">
        <v>3110258</v>
      </c>
    </row>
    <row r="274" spans="1:11" x14ac:dyDescent="0.2">
      <c r="A274" s="44"/>
      <c r="B274" s="44"/>
      <c r="C274" s="45" t="s">
        <v>1956</v>
      </c>
      <c r="D274" s="46">
        <v>3110258</v>
      </c>
      <c r="H274" s="44"/>
      <c r="I274" s="44"/>
      <c r="J274" s="45" t="s">
        <v>1956</v>
      </c>
      <c r="K274" s="46">
        <v>3110258</v>
      </c>
    </row>
    <row r="275" spans="1:11" x14ac:dyDescent="0.2">
      <c r="A275" s="42" t="s">
        <v>72</v>
      </c>
      <c r="B275" s="42">
        <v>0</v>
      </c>
      <c r="C275" s="42" t="s">
        <v>1986</v>
      </c>
      <c r="D275" s="43">
        <v>144584365</v>
      </c>
      <c r="H275" s="42" t="s">
        <v>72</v>
      </c>
      <c r="I275" s="42">
        <v>0</v>
      </c>
      <c r="J275" s="42" t="s">
        <v>1986</v>
      </c>
      <c r="K275" s="43">
        <v>144584365</v>
      </c>
    </row>
    <row r="276" spans="1:11" x14ac:dyDescent="0.2">
      <c r="A276" s="44"/>
      <c r="B276" s="44"/>
      <c r="C276" s="45" t="s">
        <v>1955</v>
      </c>
      <c r="D276" s="46">
        <v>144584365</v>
      </c>
      <c r="H276" s="44"/>
      <c r="I276" s="44"/>
      <c r="J276" s="45" t="s">
        <v>1955</v>
      </c>
      <c r="K276" s="46">
        <v>144584365</v>
      </c>
    </row>
    <row r="277" spans="1:11" x14ac:dyDescent="0.2">
      <c r="A277" s="44"/>
      <c r="B277" s="44"/>
      <c r="C277" s="45" t="s">
        <v>1994</v>
      </c>
      <c r="D277" s="46">
        <v>173046630</v>
      </c>
      <c r="H277" s="44"/>
      <c r="I277" s="44"/>
      <c r="J277" s="45" t="s">
        <v>1994</v>
      </c>
      <c r="K277" s="46">
        <v>173046630</v>
      </c>
    </row>
    <row r="278" spans="1:11" x14ac:dyDescent="0.2">
      <c r="A278" s="44"/>
      <c r="B278" s="44"/>
      <c r="C278" s="45" t="s">
        <v>1956</v>
      </c>
      <c r="D278" s="46">
        <v>173046630</v>
      </c>
      <c r="H278" s="44"/>
      <c r="I278" s="44"/>
      <c r="J278" s="45" t="s">
        <v>1956</v>
      </c>
      <c r="K278" s="46">
        <v>173046630</v>
      </c>
    </row>
    <row r="279" spans="1:11" x14ac:dyDescent="0.2">
      <c r="A279" s="42" t="s">
        <v>2764</v>
      </c>
      <c r="B279" s="42" t="s">
        <v>2764</v>
      </c>
      <c r="C279" s="42" t="s">
        <v>2024</v>
      </c>
      <c r="D279" s="43">
        <v>39082863</v>
      </c>
      <c r="H279" s="42" t="s">
        <v>2764</v>
      </c>
      <c r="I279" s="42" t="s">
        <v>2764</v>
      </c>
      <c r="J279" s="42" t="s">
        <v>2024</v>
      </c>
      <c r="K279" s="43">
        <v>39082863</v>
      </c>
    </row>
    <row r="280" spans="1:11" x14ac:dyDescent="0.2">
      <c r="A280" s="44"/>
      <c r="B280" s="44"/>
      <c r="C280" s="45" t="s">
        <v>1986</v>
      </c>
      <c r="D280" s="46">
        <v>748145585</v>
      </c>
      <c r="H280" s="44"/>
      <c r="I280" s="44"/>
      <c r="J280" s="45" t="s">
        <v>1986</v>
      </c>
      <c r="K280" s="46">
        <v>748145585</v>
      </c>
    </row>
    <row r="281" spans="1:11" x14ac:dyDescent="0.2">
      <c r="A281" s="44"/>
      <c r="B281" s="44"/>
      <c r="C281" s="45" t="s">
        <v>1960</v>
      </c>
      <c r="D281" s="46">
        <v>39152293</v>
      </c>
      <c r="H281" s="44"/>
      <c r="I281" s="44"/>
      <c r="J281" s="45" t="s">
        <v>1960</v>
      </c>
      <c r="K281" s="46">
        <v>39152293</v>
      </c>
    </row>
    <row r="282" spans="1:11" x14ac:dyDescent="0.2">
      <c r="A282" s="44"/>
      <c r="B282" s="44"/>
      <c r="C282" s="45" t="s">
        <v>1961</v>
      </c>
      <c r="D282" s="46">
        <v>28006662</v>
      </c>
      <c r="H282" s="44"/>
      <c r="I282" s="44"/>
      <c r="J282" s="45" t="s">
        <v>1961</v>
      </c>
      <c r="K282" s="46">
        <v>28006662</v>
      </c>
    </row>
    <row r="283" spans="1:11" x14ac:dyDescent="0.2">
      <c r="A283" s="44"/>
      <c r="B283" s="44"/>
      <c r="C283" s="45" t="s">
        <v>1958</v>
      </c>
      <c r="D283" s="46">
        <v>39082863</v>
      </c>
      <c r="H283" s="44"/>
      <c r="I283" s="44"/>
      <c r="J283" s="45" t="s">
        <v>1958</v>
      </c>
      <c r="K283" s="46">
        <v>39082863</v>
      </c>
    </row>
    <row r="284" spans="1:11" x14ac:dyDescent="0.2">
      <c r="A284" s="44"/>
      <c r="B284" s="44"/>
      <c r="C284" s="45" t="s">
        <v>2145</v>
      </c>
      <c r="D284" s="46">
        <v>5415249</v>
      </c>
      <c r="H284" s="44"/>
      <c r="I284" s="44"/>
      <c r="J284" s="45" t="s">
        <v>2145</v>
      </c>
      <c r="K284" s="46">
        <v>5415249</v>
      </c>
    </row>
    <row r="285" spans="1:11" x14ac:dyDescent="0.2">
      <c r="A285" s="44"/>
      <c r="B285" s="44"/>
      <c r="C285" s="45" t="s">
        <v>2074</v>
      </c>
      <c r="D285" s="46">
        <v>28006662</v>
      </c>
      <c r="H285" s="44"/>
      <c r="I285" s="44"/>
      <c r="J285" s="45" t="s">
        <v>2074</v>
      </c>
      <c r="K285" s="46">
        <v>28006662</v>
      </c>
    </row>
    <row r="286" spans="1:11" x14ac:dyDescent="0.2">
      <c r="A286" s="44"/>
      <c r="B286" s="44"/>
      <c r="C286" s="45" t="s">
        <v>441</v>
      </c>
      <c r="D286" s="46">
        <v>246718314</v>
      </c>
      <c r="H286" s="44"/>
      <c r="I286" s="44"/>
      <c r="J286" s="45" t="s">
        <v>441</v>
      </c>
      <c r="K286" s="46">
        <v>246718314</v>
      </c>
    </row>
    <row r="287" spans="1:11" x14ac:dyDescent="0.2">
      <c r="A287" s="44"/>
      <c r="B287" s="44"/>
      <c r="C287" s="45" t="s">
        <v>1962</v>
      </c>
      <c r="D287" s="46">
        <v>6721294</v>
      </c>
      <c r="H287" s="44"/>
      <c r="I287" s="44"/>
      <c r="J287" s="45" t="s">
        <v>1962</v>
      </c>
      <c r="K287" s="46">
        <v>6721294</v>
      </c>
    </row>
    <row r="288" spans="1:11" x14ac:dyDescent="0.2">
      <c r="A288" s="44"/>
      <c r="B288" s="44"/>
      <c r="C288" s="45" t="s">
        <v>1955</v>
      </c>
      <c r="D288" s="46">
        <v>708993292</v>
      </c>
      <c r="H288" s="44"/>
      <c r="I288" s="44"/>
      <c r="J288" s="45" t="s">
        <v>1955</v>
      </c>
      <c r="K288" s="46">
        <v>708993292</v>
      </c>
    </row>
    <row r="289" spans="1:11" x14ac:dyDescent="0.2">
      <c r="A289" s="44"/>
      <c r="B289" s="44"/>
      <c r="C289" s="45" t="s">
        <v>2170</v>
      </c>
      <c r="D289" s="46">
        <v>1306045</v>
      </c>
      <c r="H289" s="44"/>
      <c r="I289" s="44"/>
      <c r="J289" s="45" t="s">
        <v>2170</v>
      </c>
      <c r="K289" s="46">
        <v>1306045</v>
      </c>
    </row>
    <row r="290" spans="1:11" x14ac:dyDescent="0.2">
      <c r="A290" s="44"/>
      <c r="B290" s="44"/>
      <c r="C290" s="45" t="s">
        <v>1994</v>
      </c>
      <c r="D290" s="46">
        <v>948019</v>
      </c>
      <c r="H290" s="44"/>
      <c r="I290" s="44"/>
      <c r="J290" s="45" t="s">
        <v>1994</v>
      </c>
      <c r="K290" s="46">
        <v>948019</v>
      </c>
    </row>
    <row r="291" spans="1:11" x14ac:dyDescent="0.2">
      <c r="A291" s="44"/>
      <c r="B291" s="44"/>
      <c r="C291" s="45" t="s">
        <v>1956</v>
      </c>
      <c r="D291" s="46">
        <v>948019</v>
      </c>
      <c r="H291" s="44"/>
      <c r="I291" s="44"/>
      <c r="J291" s="45" t="s">
        <v>1956</v>
      </c>
      <c r="K291" s="46">
        <v>948019</v>
      </c>
    </row>
    <row r="292" spans="1:11" x14ac:dyDescent="0.2">
      <c r="A292" s="47" t="s">
        <v>212</v>
      </c>
      <c r="B292" s="48"/>
      <c r="C292" s="48"/>
      <c r="D292" s="49">
        <v>32182085838</v>
      </c>
      <c r="H292" s="47" t="s">
        <v>212</v>
      </c>
      <c r="I292" s="48"/>
      <c r="J292" s="48"/>
      <c r="K292" s="49">
        <v>32182085838</v>
      </c>
    </row>
  </sheetData>
  <pageMargins left="0.7" right="0.7" top="0.75" bottom="0.75" header="0.3" footer="0.3"/>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topLeftCell="F1" zoomScale="133" workbookViewId="0">
      <selection activeCell="N2" sqref="N2:N321"/>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1970</v>
      </c>
      <c r="L2" t="s">
        <v>1971</v>
      </c>
      <c r="M2" t="s">
        <v>1949</v>
      </c>
      <c r="N2" t="s">
        <v>1953</v>
      </c>
      <c r="Q2" t="s">
        <v>1972</v>
      </c>
      <c r="R2" t="s">
        <v>1973</v>
      </c>
      <c r="S2" t="s">
        <v>1974</v>
      </c>
      <c r="T2" t="s">
        <v>1975</v>
      </c>
      <c r="U2" t="s">
        <v>1976</v>
      </c>
      <c r="V2" t="s">
        <v>1977</v>
      </c>
      <c r="W2" s="27" t="s">
        <v>1978</v>
      </c>
      <c r="X2" t="s">
        <v>1979</v>
      </c>
      <c r="Y2" t="s">
        <v>1980</v>
      </c>
      <c r="Z2" t="s">
        <v>1981</v>
      </c>
      <c r="AA2" t="s">
        <v>1982</v>
      </c>
      <c r="AB2" t="s">
        <v>1983</v>
      </c>
      <c r="AC2" t="s">
        <v>1984</v>
      </c>
    </row>
    <row r="3" spans="1:29" hidden="1" x14ac:dyDescent="0.2">
      <c r="A3" t="b">
        <v>1</v>
      </c>
      <c r="B3" t="b">
        <v>0</v>
      </c>
      <c r="C3" t="b">
        <v>1</v>
      </c>
      <c r="D3" t="b">
        <v>0</v>
      </c>
      <c r="E3" t="b">
        <v>0</v>
      </c>
      <c r="F3" t="s">
        <v>361</v>
      </c>
      <c r="G3" t="s">
        <v>559</v>
      </c>
      <c r="H3" t="s">
        <v>556</v>
      </c>
      <c r="I3">
        <v>0</v>
      </c>
      <c r="J3">
        <v>0</v>
      </c>
      <c r="K3" t="s">
        <v>554</v>
      </c>
      <c r="L3" t="s">
        <v>557</v>
      </c>
      <c r="M3" t="s">
        <v>1985</v>
      </c>
      <c r="N3" t="s">
        <v>1986</v>
      </c>
      <c r="Q3" t="s">
        <v>1987</v>
      </c>
      <c r="R3" t="s">
        <v>1988</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1955</v>
      </c>
      <c r="Q4" t="s">
        <v>1989</v>
      </c>
      <c r="R4" t="s">
        <v>1988</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1985</v>
      </c>
      <c r="N5" t="s">
        <v>1994</v>
      </c>
      <c r="Q5" t="s">
        <v>1987</v>
      </c>
      <c r="R5" t="s">
        <v>1990</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1956</v>
      </c>
      <c r="Q6" t="s">
        <v>1989</v>
      </c>
      <c r="R6" t="s">
        <v>1990</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1985</v>
      </c>
      <c r="N7" t="s">
        <v>1986</v>
      </c>
      <c r="Q7" t="s">
        <v>1987</v>
      </c>
      <c r="R7" t="s">
        <v>1991</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1960</v>
      </c>
      <c r="Q8" t="s">
        <v>1989</v>
      </c>
      <c r="R8" t="s">
        <v>1991</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1985</v>
      </c>
      <c r="N9" t="s">
        <v>2017</v>
      </c>
      <c r="Q9" t="s">
        <v>1987</v>
      </c>
      <c r="R9" t="s">
        <v>1992</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1957</v>
      </c>
      <c r="Q10" t="s">
        <v>1989</v>
      </c>
      <c r="R10" t="s">
        <v>1992</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1985</v>
      </c>
      <c r="N11" t="s">
        <v>2024</v>
      </c>
      <c r="Q11" t="s">
        <v>1987</v>
      </c>
      <c r="R11" t="s">
        <v>1993</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1958</v>
      </c>
      <c r="Q12" t="s">
        <v>1989</v>
      </c>
      <c r="R12" t="s">
        <v>1993</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1985</v>
      </c>
      <c r="N13" t="s">
        <v>1986</v>
      </c>
      <c r="Q13" t="s">
        <v>1995</v>
      </c>
      <c r="R13" t="s">
        <v>1996</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1997</v>
      </c>
      <c r="R14" t="s">
        <v>1996</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1955</v>
      </c>
      <c r="Q15" t="s">
        <v>1998</v>
      </c>
      <c r="R15" t="s">
        <v>1999</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1985</v>
      </c>
      <c r="N16" t="s">
        <v>1986</v>
      </c>
      <c r="Q16" t="s">
        <v>2000</v>
      </c>
      <c r="R16" t="s">
        <v>1999</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1955</v>
      </c>
      <c r="Q17" t="s">
        <v>2001</v>
      </c>
      <c r="R17" t="s">
        <v>2002</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1960</v>
      </c>
      <c r="Q18" t="s">
        <v>2000</v>
      </c>
      <c r="R18" t="s">
        <v>2002</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1985</v>
      </c>
      <c r="N19" t="s">
        <v>2024</v>
      </c>
      <c r="Q19" t="s">
        <v>2003</v>
      </c>
      <c r="R19" t="s">
        <v>2004</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1958</v>
      </c>
      <c r="Q20" t="s">
        <v>2005</v>
      </c>
      <c r="R20" t="s">
        <v>2004</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1985</v>
      </c>
      <c r="N21" t="s">
        <v>2024</v>
      </c>
      <c r="Q21" t="s">
        <v>1998</v>
      </c>
      <c r="R21" t="s">
        <v>2006</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1958</v>
      </c>
      <c r="Q22" t="s">
        <v>2000</v>
      </c>
      <c r="R22" t="s">
        <v>2006</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1985</v>
      </c>
      <c r="N23" t="s">
        <v>1986</v>
      </c>
      <c r="Q23" t="s">
        <v>1995</v>
      </c>
      <c r="R23" t="s">
        <v>2007</v>
      </c>
      <c r="S23" t="s">
        <v>343</v>
      </c>
      <c r="T23" s="1">
        <v>42735</v>
      </c>
      <c r="U23" s="1">
        <v>42735</v>
      </c>
      <c r="V23" t="s">
        <v>345</v>
      </c>
      <c r="W23">
        <v>21000000</v>
      </c>
      <c r="X23">
        <v>610359</v>
      </c>
      <c r="Y23" t="s">
        <v>345</v>
      </c>
      <c r="Z23">
        <v>610359</v>
      </c>
      <c r="AA23">
        <v>32271</v>
      </c>
      <c r="AB23" t="b">
        <v>0</v>
      </c>
      <c r="AC23">
        <v>0.21</v>
      </c>
    </row>
    <row r="24" spans="1:29" x14ac:dyDescent="0.2">
      <c r="A24" t="b">
        <v>1</v>
      </c>
      <c r="B24" t="b">
        <v>0</v>
      </c>
      <c r="C24" t="b">
        <v>1</v>
      </c>
      <c r="D24" t="s">
        <v>522</v>
      </c>
      <c r="E24" t="b">
        <v>0</v>
      </c>
      <c r="F24" t="b">
        <v>0</v>
      </c>
      <c r="G24" t="s">
        <v>577</v>
      </c>
      <c r="H24" t="s">
        <v>184</v>
      </c>
      <c r="I24" t="s">
        <v>572</v>
      </c>
      <c r="J24">
        <v>0</v>
      </c>
      <c r="K24" t="s">
        <v>570</v>
      </c>
      <c r="L24" t="s">
        <v>574</v>
      </c>
      <c r="M24" t="s">
        <v>1950</v>
      </c>
      <c r="N24" t="s">
        <v>1955</v>
      </c>
      <c r="Q24" t="s">
        <v>1997</v>
      </c>
      <c r="R24" t="s">
        <v>2007</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2063</v>
      </c>
      <c r="N25" t="s">
        <v>441</v>
      </c>
      <c r="Q25" t="s">
        <v>2003</v>
      </c>
      <c r="R25" t="s">
        <v>2008</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2064</v>
      </c>
      <c r="N26" t="s">
        <v>441</v>
      </c>
      <c r="Q26" t="s">
        <v>2005</v>
      </c>
      <c r="R26" t="s">
        <v>2008</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1985</v>
      </c>
      <c r="N27" t="s">
        <v>1994</v>
      </c>
      <c r="Q27" t="s">
        <v>1995</v>
      </c>
      <c r="R27" t="s">
        <v>2009</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1956</v>
      </c>
      <c r="Q28" t="s">
        <v>1997</v>
      </c>
      <c r="R28" t="s">
        <v>2009</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1985</v>
      </c>
      <c r="N29" t="s">
        <v>2074</v>
      </c>
      <c r="Q29" t="s">
        <v>1995</v>
      </c>
      <c r="R29" t="s">
        <v>2010</v>
      </c>
      <c r="S29" t="s">
        <v>343</v>
      </c>
      <c r="T29" s="1">
        <v>42735</v>
      </c>
      <c r="U29" s="1">
        <v>42735</v>
      </c>
      <c r="V29" t="s">
        <v>345</v>
      </c>
      <c r="W29">
        <v>13500000</v>
      </c>
      <c r="X29">
        <v>7487784</v>
      </c>
      <c r="Y29" t="s">
        <v>345</v>
      </c>
      <c r="Z29">
        <v>7487784</v>
      </c>
      <c r="AA29">
        <v>395894</v>
      </c>
      <c r="AB29" t="b">
        <v>0</v>
      </c>
      <c r="AC29">
        <v>0.13</v>
      </c>
    </row>
    <row r="30" spans="1:29" x14ac:dyDescent="0.2">
      <c r="A30" t="b">
        <v>1</v>
      </c>
      <c r="B30" t="b">
        <v>0</v>
      </c>
      <c r="C30" t="b">
        <v>1</v>
      </c>
      <c r="D30" t="s">
        <v>522</v>
      </c>
      <c r="E30" t="b">
        <v>0</v>
      </c>
      <c r="F30" t="b">
        <v>0</v>
      </c>
      <c r="G30" t="s">
        <v>905</v>
      </c>
      <c r="H30" t="s">
        <v>108</v>
      </c>
      <c r="I30">
        <v>0</v>
      </c>
      <c r="J30">
        <v>0</v>
      </c>
      <c r="K30" t="s">
        <v>1712</v>
      </c>
      <c r="L30" t="s">
        <v>1714</v>
      </c>
      <c r="M30" t="s">
        <v>1950</v>
      </c>
      <c r="N30" t="s">
        <v>1961</v>
      </c>
      <c r="Q30" t="s">
        <v>1997</v>
      </c>
      <c r="R30" t="s">
        <v>2010</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1985</v>
      </c>
      <c r="N31" t="s">
        <v>2074</v>
      </c>
      <c r="Q31" t="s">
        <v>1998</v>
      </c>
      <c r="R31" t="s">
        <v>2011</v>
      </c>
      <c r="S31" t="s">
        <v>343</v>
      </c>
      <c r="T31" s="1">
        <v>42735</v>
      </c>
      <c r="U31" s="1">
        <v>42735</v>
      </c>
      <c r="V31" t="s">
        <v>345</v>
      </c>
      <c r="W31">
        <v>6350000</v>
      </c>
      <c r="X31">
        <v>3222523</v>
      </c>
      <c r="Y31" t="s">
        <v>345</v>
      </c>
      <c r="Z31">
        <v>3222523</v>
      </c>
      <c r="AA31">
        <v>170381</v>
      </c>
      <c r="AB31" t="b">
        <v>0</v>
      </c>
      <c r="AC31">
        <v>0.26</v>
      </c>
    </row>
    <row r="32" spans="1:29" x14ac:dyDescent="0.2">
      <c r="A32" t="b">
        <v>1</v>
      </c>
      <c r="B32" t="b">
        <v>0</v>
      </c>
      <c r="C32" t="b">
        <v>1</v>
      </c>
      <c r="D32" t="s">
        <v>522</v>
      </c>
      <c r="E32" t="b">
        <v>0</v>
      </c>
      <c r="F32" t="b">
        <v>0</v>
      </c>
      <c r="G32" t="s">
        <v>905</v>
      </c>
      <c r="H32" t="s">
        <v>109</v>
      </c>
      <c r="I32">
        <v>0</v>
      </c>
      <c r="J32">
        <v>0</v>
      </c>
      <c r="K32" t="s">
        <v>901</v>
      </c>
      <c r="L32" t="s">
        <v>903</v>
      </c>
      <c r="M32" t="s">
        <v>1950</v>
      </c>
      <c r="N32" t="s">
        <v>1961</v>
      </c>
      <c r="Q32" t="s">
        <v>2000</v>
      </c>
      <c r="R32" t="s">
        <v>2011</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2086</v>
      </c>
      <c r="M33" t="s">
        <v>1985</v>
      </c>
      <c r="N33" t="s">
        <v>1986</v>
      </c>
      <c r="Q33" t="s">
        <v>2003</v>
      </c>
      <c r="R33" t="s">
        <v>2012</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2086</v>
      </c>
      <c r="M34" t="s">
        <v>1950</v>
      </c>
      <c r="N34" t="s">
        <v>1955</v>
      </c>
      <c r="Q34" t="s">
        <v>2005</v>
      </c>
      <c r="R34" t="s">
        <v>2012</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2111</v>
      </c>
      <c r="L35" t="s">
        <v>2112</v>
      </c>
      <c r="M35" t="s">
        <v>1985</v>
      </c>
      <c r="N35" t="s">
        <v>2074</v>
      </c>
      <c r="Q35" t="s">
        <v>1995</v>
      </c>
      <c r="R35" t="s">
        <v>2013</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2111</v>
      </c>
      <c r="L36" t="s">
        <v>2112</v>
      </c>
      <c r="M36" t="s">
        <v>1950</v>
      </c>
      <c r="N36" t="s">
        <v>1961</v>
      </c>
      <c r="Q36" t="s">
        <v>1997</v>
      </c>
      <c r="R36" t="s">
        <v>2013</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2114</v>
      </c>
      <c r="L37" t="s">
        <v>2115</v>
      </c>
      <c r="M37" t="s">
        <v>1985</v>
      </c>
      <c r="N37" t="s">
        <v>1986</v>
      </c>
      <c r="Q37" t="s">
        <v>2014</v>
      </c>
      <c r="R37" t="s">
        <v>2015</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2114</v>
      </c>
      <c r="L38" t="s">
        <v>2115</v>
      </c>
      <c r="M38" t="s">
        <v>1950</v>
      </c>
      <c r="N38" t="s">
        <v>1960</v>
      </c>
      <c r="Q38" t="s">
        <v>2016</v>
      </c>
      <c r="R38" t="s">
        <v>2015</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1985</v>
      </c>
      <c r="N39" t="s">
        <v>1986</v>
      </c>
      <c r="Q39" t="s">
        <v>2018</v>
      </c>
      <c r="R39" t="s">
        <v>2019</v>
      </c>
      <c r="S39" t="s">
        <v>343</v>
      </c>
      <c r="T39" s="1">
        <v>42735</v>
      </c>
      <c r="U39" s="1">
        <v>42735</v>
      </c>
      <c r="V39" t="s">
        <v>345</v>
      </c>
      <c r="W39">
        <v>186825339</v>
      </c>
      <c r="X39">
        <v>158786066</v>
      </c>
      <c r="Y39" t="s">
        <v>345</v>
      </c>
      <c r="Z39">
        <v>158786066</v>
      </c>
      <c r="AA39">
        <v>8395339</v>
      </c>
      <c r="AB39" t="b">
        <v>0</v>
      </c>
      <c r="AC39">
        <v>0.18</v>
      </c>
    </row>
    <row r="40" spans="1:29" x14ac:dyDescent="0.2">
      <c r="A40" t="b">
        <v>1</v>
      </c>
      <c r="B40" t="b">
        <v>0</v>
      </c>
      <c r="C40" t="b">
        <v>1</v>
      </c>
      <c r="D40" t="s">
        <v>522</v>
      </c>
      <c r="E40" t="b">
        <v>0</v>
      </c>
      <c r="F40" t="b">
        <v>0</v>
      </c>
      <c r="G40" t="s">
        <v>1518</v>
      </c>
      <c r="H40" t="s">
        <v>164</v>
      </c>
      <c r="I40" t="s">
        <v>1515</v>
      </c>
      <c r="J40">
        <v>0</v>
      </c>
      <c r="K40" t="s">
        <v>1513</v>
      </c>
      <c r="L40" t="s">
        <v>1516</v>
      </c>
      <c r="M40" t="s">
        <v>1950</v>
      </c>
      <c r="N40" t="s">
        <v>1955</v>
      </c>
      <c r="Q40" t="s">
        <v>2018</v>
      </c>
      <c r="R40" t="s">
        <v>2019</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1985</v>
      </c>
      <c r="N41" t="s">
        <v>1986</v>
      </c>
      <c r="Q41" t="s">
        <v>2020</v>
      </c>
      <c r="R41" t="s">
        <v>2021</v>
      </c>
      <c r="S41" t="s">
        <v>343</v>
      </c>
      <c r="T41" s="1">
        <v>42735</v>
      </c>
      <c r="U41" s="1">
        <v>42735</v>
      </c>
      <c r="V41" t="s">
        <v>345</v>
      </c>
      <c r="W41">
        <v>328125000</v>
      </c>
      <c r="X41">
        <v>328125000</v>
      </c>
      <c r="Y41" t="s">
        <v>345</v>
      </c>
      <c r="Z41">
        <v>328125000</v>
      </c>
      <c r="AA41">
        <v>17348630</v>
      </c>
      <c r="AB41" t="b">
        <v>1</v>
      </c>
    </row>
    <row r="42" spans="1:29" x14ac:dyDescent="0.2">
      <c r="A42" t="b">
        <v>1</v>
      </c>
      <c r="B42" t="b">
        <v>0</v>
      </c>
      <c r="C42" t="b">
        <v>1</v>
      </c>
      <c r="D42" t="s">
        <v>522</v>
      </c>
      <c r="E42" t="b">
        <v>0</v>
      </c>
      <c r="F42" t="b">
        <v>0</v>
      </c>
      <c r="G42" t="s">
        <v>1316</v>
      </c>
      <c r="H42" t="s">
        <v>72</v>
      </c>
      <c r="I42" t="s">
        <v>1314</v>
      </c>
      <c r="J42">
        <v>0</v>
      </c>
      <c r="K42" t="s">
        <v>1312</v>
      </c>
      <c r="L42" t="s">
        <v>1315</v>
      </c>
      <c r="M42" t="s">
        <v>1950</v>
      </c>
      <c r="N42" t="s">
        <v>1955</v>
      </c>
      <c r="Q42" t="s">
        <v>2022</v>
      </c>
      <c r="R42" t="s">
        <v>2021</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1985</v>
      </c>
      <c r="N43" t="s">
        <v>1994</v>
      </c>
      <c r="Q43" t="s">
        <v>2018</v>
      </c>
      <c r="R43" t="s">
        <v>2023</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1962</v>
      </c>
      <c r="Q44" t="s">
        <v>2018</v>
      </c>
      <c r="R44" t="s">
        <v>2023</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1985</v>
      </c>
      <c r="N45" t="s">
        <v>1986</v>
      </c>
      <c r="Q45" t="s">
        <v>2025</v>
      </c>
      <c r="R45" t="s">
        <v>2026</v>
      </c>
      <c r="S45" t="s">
        <v>384</v>
      </c>
      <c r="T45" s="1">
        <v>42709</v>
      </c>
      <c r="U45" s="1">
        <v>42709</v>
      </c>
      <c r="V45" t="s">
        <v>386</v>
      </c>
      <c r="W45">
        <v>78711188000</v>
      </c>
      <c r="X45">
        <v>78711188000</v>
      </c>
      <c r="Y45" t="s">
        <v>386</v>
      </c>
      <c r="Z45">
        <v>78711188000</v>
      </c>
      <c r="AA45">
        <v>25713871</v>
      </c>
      <c r="AB45" t="b">
        <v>0</v>
      </c>
      <c r="AC45">
        <v>0.92</v>
      </c>
    </row>
    <row r="46" spans="1:29" x14ac:dyDescent="0.2">
      <c r="A46" t="b">
        <v>1</v>
      </c>
      <c r="B46" t="b">
        <v>0</v>
      </c>
      <c r="C46" t="b">
        <v>1</v>
      </c>
      <c r="D46" t="s">
        <v>522</v>
      </c>
      <c r="E46" t="b">
        <v>0</v>
      </c>
      <c r="F46" t="b">
        <v>0</v>
      </c>
      <c r="G46" t="s">
        <v>905</v>
      </c>
      <c r="H46" t="s">
        <v>109</v>
      </c>
      <c r="I46">
        <v>0</v>
      </c>
      <c r="J46">
        <v>0</v>
      </c>
      <c r="K46" t="s">
        <v>901</v>
      </c>
      <c r="L46" t="s">
        <v>903</v>
      </c>
      <c r="M46" t="s">
        <v>1950</v>
      </c>
      <c r="N46" t="s">
        <v>1955</v>
      </c>
      <c r="Q46" t="s">
        <v>2025</v>
      </c>
      <c r="R46" t="s">
        <v>2026</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1985</v>
      </c>
      <c r="N47" t="s">
        <v>1986</v>
      </c>
      <c r="Q47" t="s">
        <v>2025</v>
      </c>
      <c r="R47" t="s">
        <v>2027</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1955</v>
      </c>
      <c r="Q48" t="s">
        <v>2025</v>
      </c>
      <c r="R48" t="s">
        <v>2027</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2063</v>
      </c>
      <c r="N49" t="s">
        <v>441</v>
      </c>
      <c r="Q49" t="s">
        <v>1987</v>
      </c>
      <c r="R49" t="s">
        <v>2028</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2064</v>
      </c>
      <c r="N50" t="s">
        <v>441</v>
      </c>
      <c r="Q50" t="s">
        <v>2029</v>
      </c>
      <c r="R50" t="s">
        <v>2028</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1985</v>
      </c>
      <c r="N51" t="s">
        <v>441</v>
      </c>
      <c r="Q51" t="s">
        <v>2025</v>
      </c>
      <c r="R51" t="s">
        <v>2030</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1960</v>
      </c>
      <c r="Q52" t="s">
        <v>2025</v>
      </c>
      <c r="R52" t="s">
        <v>2030</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2063</v>
      </c>
      <c r="N53" t="s">
        <v>441</v>
      </c>
      <c r="Q53" t="s">
        <v>2031</v>
      </c>
      <c r="R53" t="s">
        <v>2032</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2064</v>
      </c>
      <c r="N54" t="s">
        <v>441</v>
      </c>
      <c r="Q54" t="s">
        <v>1989</v>
      </c>
      <c r="R54" t="s">
        <v>2032</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2139</v>
      </c>
      <c r="L55" t="s">
        <v>2140</v>
      </c>
      <c r="M55" t="s">
        <v>1985</v>
      </c>
      <c r="N55" t="s">
        <v>2024</v>
      </c>
      <c r="Q55" t="s">
        <v>2025</v>
      </c>
      <c r="R55" t="s">
        <v>2033</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2139</v>
      </c>
      <c r="L56" t="s">
        <v>2140</v>
      </c>
      <c r="M56" t="s">
        <v>1950</v>
      </c>
      <c r="N56" t="s">
        <v>1958</v>
      </c>
      <c r="Q56" t="s">
        <v>2025</v>
      </c>
      <c r="R56" t="s">
        <v>2033</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2139</v>
      </c>
      <c r="L57" t="s">
        <v>2140</v>
      </c>
      <c r="M57" t="s">
        <v>2063</v>
      </c>
      <c r="N57" t="s">
        <v>441</v>
      </c>
      <c r="Q57" t="s">
        <v>1987</v>
      </c>
      <c r="R57" t="s">
        <v>2034</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2139</v>
      </c>
      <c r="L58" t="s">
        <v>2140</v>
      </c>
      <c r="M58" t="s">
        <v>2064</v>
      </c>
      <c r="N58" t="s">
        <v>441</v>
      </c>
      <c r="Q58" t="s">
        <v>1989</v>
      </c>
      <c r="R58" t="s">
        <v>2034</v>
      </c>
      <c r="S58" t="s">
        <v>384</v>
      </c>
      <c r="T58" s="1">
        <v>43299</v>
      </c>
      <c r="U58" s="1">
        <v>43299</v>
      </c>
      <c r="V58" t="s">
        <v>386</v>
      </c>
      <c r="W58">
        <v>86848745982</v>
      </c>
      <c r="X58">
        <v>86848745982</v>
      </c>
      <c r="Y58" t="s">
        <v>386</v>
      </c>
      <c r="Z58">
        <v>86848745982</v>
      </c>
      <c r="AA58">
        <v>30173835</v>
      </c>
      <c r="AB58" t="b">
        <v>1</v>
      </c>
      <c r="AC58">
        <v>0.98</v>
      </c>
    </row>
    <row r="59" spans="1:29" x14ac:dyDescent="0.2">
      <c r="A59" t="b">
        <v>1</v>
      </c>
      <c r="B59" t="b">
        <v>0</v>
      </c>
      <c r="C59" t="b">
        <v>1</v>
      </c>
      <c r="D59" t="s">
        <v>522</v>
      </c>
      <c r="E59" t="b">
        <v>0</v>
      </c>
      <c r="F59" t="b">
        <v>0</v>
      </c>
      <c r="G59" t="s">
        <v>1846</v>
      </c>
      <c r="H59" t="s">
        <v>1842</v>
      </c>
      <c r="I59" t="s">
        <v>1843</v>
      </c>
      <c r="J59">
        <v>0</v>
      </c>
      <c r="K59" t="s">
        <v>1840</v>
      </c>
      <c r="L59" t="s">
        <v>1844</v>
      </c>
      <c r="M59" t="s">
        <v>1950</v>
      </c>
      <c r="N59" t="s">
        <v>1960</v>
      </c>
      <c r="Q59" t="s">
        <v>1987</v>
      </c>
      <c r="R59" t="s">
        <v>2035</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2063</v>
      </c>
      <c r="N60" t="s">
        <v>441</v>
      </c>
      <c r="Q60" t="s">
        <v>2036</v>
      </c>
      <c r="R60" t="s">
        <v>2035</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2064</v>
      </c>
      <c r="N61" t="s">
        <v>441</v>
      </c>
      <c r="Q61" t="s">
        <v>2001</v>
      </c>
      <c r="R61" t="s">
        <v>2037</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1985</v>
      </c>
      <c r="N62" t="s">
        <v>1994</v>
      </c>
      <c r="Q62" t="s">
        <v>2031</v>
      </c>
      <c r="R62" t="s">
        <v>2038</v>
      </c>
      <c r="S62" t="s">
        <v>257</v>
      </c>
      <c r="T62" s="1">
        <v>43669</v>
      </c>
      <c r="U62" s="1">
        <v>43920</v>
      </c>
      <c r="V62" t="s">
        <v>260</v>
      </c>
      <c r="W62">
        <v>15500000</v>
      </c>
      <c r="X62">
        <v>15500000</v>
      </c>
      <c r="Y62" t="s">
        <v>260</v>
      </c>
      <c r="Z62">
        <v>15500000</v>
      </c>
      <c r="AA62">
        <v>2984385</v>
      </c>
      <c r="AB62" t="b">
        <v>1</v>
      </c>
      <c r="AC62">
        <v>0.1</v>
      </c>
    </row>
    <row r="63" spans="1:29" x14ac:dyDescent="0.2">
      <c r="A63" t="b">
        <v>1</v>
      </c>
      <c r="B63" t="b">
        <v>0</v>
      </c>
      <c r="C63" t="b">
        <v>1</v>
      </c>
      <c r="D63" t="s">
        <v>522</v>
      </c>
      <c r="E63" t="b">
        <v>0</v>
      </c>
      <c r="F63" t="b">
        <v>0</v>
      </c>
      <c r="G63" t="s">
        <v>809</v>
      </c>
      <c r="H63" t="s">
        <v>146</v>
      </c>
      <c r="I63" t="s">
        <v>805</v>
      </c>
      <c r="J63">
        <v>0</v>
      </c>
      <c r="K63" t="s">
        <v>803</v>
      </c>
      <c r="L63" t="s">
        <v>806</v>
      </c>
      <c r="M63" t="s">
        <v>1950</v>
      </c>
      <c r="N63" t="s">
        <v>1956</v>
      </c>
      <c r="Q63" t="s">
        <v>1989</v>
      </c>
      <c r="R63" t="s">
        <v>2038</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2063</v>
      </c>
      <c r="N64" t="s">
        <v>441</v>
      </c>
      <c r="Q64" t="s">
        <v>2039</v>
      </c>
      <c r="R64" t="s">
        <v>2037</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2064</v>
      </c>
      <c r="N65" t="s">
        <v>441</v>
      </c>
      <c r="Q65" t="s">
        <v>2040</v>
      </c>
      <c r="R65" t="s">
        <v>2041</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1985</v>
      </c>
      <c r="N66" t="s">
        <v>2145</v>
      </c>
      <c r="Q66" t="s">
        <v>1989</v>
      </c>
      <c r="R66" t="s">
        <v>2041</v>
      </c>
      <c r="S66" t="s">
        <v>384</v>
      </c>
      <c r="T66" s="1">
        <v>43299</v>
      </c>
      <c r="U66" s="1">
        <v>43299</v>
      </c>
      <c r="V66" t="s">
        <v>386</v>
      </c>
      <c r="W66">
        <v>3415400123</v>
      </c>
      <c r="X66">
        <v>3415400123</v>
      </c>
      <c r="Y66" t="s">
        <v>386</v>
      </c>
      <c r="Z66">
        <v>3415400123</v>
      </c>
      <c r="AA66">
        <v>1186611</v>
      </c>
      <c r="AB66" t="b">
        <v>1</v>
      </c>
      <c r="AC66">
        <v>0.98</v>
      </c>
    </row>
    <row r="67" spans="1:29" x14ac:dyDescent="0.2">
      <c r="A67" t="b">
        <v>1</v>
      </c>
      <c r="B67" t="b">
        <v>0</v>
      </c>
      <c r="C67" t="b">
        <v>1</v>
      </c>
      <c r="D67" t="s">
        <v>522</v>
      </c>
      <c r="E67" t="b">
        <v>0</v>
      </c>
      <c r="F67" t="b">
        <v>0</v>
      </c>
      <c r="G67" t="s">
        <v>809</v>
      </c>
      <c r="H67" t="s">
        <v>146</v>
      </c>
      <c r="I67" t="s">
        <v>805</v>
      </c>
      <c r="J67">
        <v>0</v>
      </c>
      <c r="K67" t="s">
        <v>803</v>
      </c>
      <c r="L67" t="s">
        <v>806</v>
      </c>
      <c r="M67" t="s">
        <v>1950</v>
      </c>
      <c r="N67" t="s">
        <v>1960</v>
      </c>
      <c r="Q67" t="s">
        <v>2031</v>
      </c>
      <c r="R67" t="s">
        <v>2042</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1985</v>
      </c>
      <c r="N68" t="s">
        <v>2074</v>
      </c>
      <c r="Q68" t="s">
        <v>1989</v>
      </c>
      <c r="R68" t="s">
        <v>2042</v>
      </c>
      <c r="S68" t="s">
        <v>257</v>
      </c>
      <c r="T68" s="1">
        <v>43669</v>
      </c>
      <c r="U68" s="1">
        <v>43920</v>
      </c>
      <c r="V68" t="s">
        <v>260</v>
      </c>
      <c r="W68">
        <v>6200000</v>
      </c>
      <c r="X68">
        <v>6200000</v>
      </c>
      <c r="Y68" t="s">
        <v>260</v>
      </c>
      <c r="Z68">
        <v>6200000</v>
      </c>
      <c r="AA68">
        <v>1193754</v>
      </c>
      <c r="AB68" t="b">
        <v>1</v>
      </c>
      <c r="AC68">
        <v>0.04</v>
      </c>
    </row>
    <row r="69" spans="1:29" x14ac:dyDescent="0.2">
      <c r="A69" t="b">
        <v>1</v>
      </c>
      <c r="B69" t="b">
        <v>0</v>
      </c>
      <c r="C69" t="b">
        <v>1</v>
      </c>
      <c r="D69" t="s">
        <v>522</v>
      </c>
      <c r="E69" t="b">
        <v>0</v>
      </c>
      <c r="F69" t="b">
        <v>0</v>
      </c>
      <c r="G69" t="s">
        <v>1846</v>
      </c>
      <c r="H69" t="s">
        <v>1842</v>
      </c>
      <c r="I69" t="s">
        <v>1843</v>
      </c>
      <c r="J69">
        <v>0</v>
      </c>
      <c r="K69" t="s">
        <v>1840</v>
      </c>
      <c r="L69" t="s">
        <v>1844</v>
      </c>
      <c r="M69" t="s">
        <v>1950</v>
      </c>
      <c r="N69" t="s">
        <v>1961</v>
      </c>
      <c r="Q69" t="s">
        <v>2043</v>
      </c>
      <c r="R69" t="s">
        <v>2044</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2139</v>
      </c>
      <c r="L70" t="s">
        <v>2140</v>
      </c>
      <c r="M70" t="s">
        <v>1985</v>
      </c>
      <c r="N70" t="s">
        <v>2145</v>
      </c>
      <c r="Q70" t="s">
        <v>2043</v>
      </c>
      <c r="R70" t="s">
        <v>2044</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2139</v>
      </c>
      <c r="L71" t="s">
        <v>2140</v>
      </c>
      <c r="M71" t="s">
        <v>1950</v>
      </c>
      <c r="N71" t="s">
        <v>1962</v>
      </c>
      <c r="Q71" t="s">
        <v>2043</v>
      </c>
      <c r="R71" t="s">
        <v>2045</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1985</v>
      </c>
      <c r="N72" t="s">
        <v>1994</v>
      </c>
      <c r="Q72" t="s">
        <v>2043</v>
      </c>
      <c r="R72" t="s">
        <v>2045</v>
      </c>
      <c r="S72" t="s">
        <v>384</v>
      </c>
      <c r="T72" s="1">
        <v>43299</v>
      </c>
      <c r="U72" s="1">
        <v>43299</v>
      </c>
      <c r="V72" t="s">
        <v>386</v>
      </c>
      <c r="W72">
        <v>19315551438</v>
      </c>
      <c r="X72">
        <v>19315551438</v>
      </c>
      <c r="Y72" t="s">
        <v>386</v>
      </c>
      <c r="Z72">
        <v>19315551438</v>
      </c>
      <c r="AA72">
        <v>6710796</v>
      </c>
      <c r="AB72" t="b">
        <v>1</v>
      </c>
      <c r="AC72">
        <v>0.98</v>
      </c>
    </row>
    <row r="73" spans="1:29" x14ac:dyDescent="0.2">
      <c r="A73" t="b">
        <v>1</v>
      </c>
      <c r="B73" t="b">
        <v>0</v>
      </c>
      <c r="C73" t="b">
        <v>1</v>
      </c>
      <c r="D73" t="s">
        <v>522</v>
      </c>
      <c r="E73" t="b">
        <v>0</v>
      </c>
      <c r="F73" t="b">
        <v>0</v>
      </c>
      <c r="G73" t="s">
        <v>1316</v>
      </c>
      <c r="H73" t="s">
        <v>72</v>
      </c>
      <c r="I73" t="s">
        <v>1314</v>
      </c>
      <c r="J73">
        <v>0</v>
      </c>
      <c r="K73" t="s">
        <v>1312</v>
      </c>
      <c r="L73" t="s">
        <v>1315</v>
      </c>
      <c r="M73" t="s">
        <v>1950</v>
      </c>
      <c r="N73" t="s">
        <v>1956</v>
      </c>
      <c r="Q73" t="s">
        <v>2043</v>
      </c>
      <c r="R73" t="s">
        <v>2046</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1985</v>
      </c>
      <c r="N74" t="s">
        <v>1946</v>
      </c>
      <c r="Q74" t="s">
        <v>2043</v>
      </c>
      <c r="R74" t="s">
        <v>2046</v>
      </c>
      <c r="S74" t="s">
        <v>384</v>
      </c>
      <c r="T74" s="1">
        <v>43299</v>
      </c>
      <c r="U74" s="1">
        <v>43299</v>
      </c>
      <c r="V74" t="s">
        <v>386</v>
      </c>
      <c r="W74">
        <v>29274858197</v>
      </c>
      <c r="X74">
        <v>29274858197</v>
      </c>
      <c r="Y74" t="s">
        <v>386</v>
      </c>
      <c r="Z74">
        <v>29274858197</v>
      </c>
      <c r="AA74">
        <v>10170956</v>
      </c>
      <c r="AB74" t="b">
        <v>1</v>
      </c>
      <c r="AC74">
        <v>0.98</v>
      </c>
    </row>
    <row r="75" spans="1:29" x14ac:dyDescent="0.2">
      <c r="A75" t="b">
        <v>1</v>
      </c>
      <c r="B75" t="b">
        <v>0</v>
      </c>
      <c r="C75" t="b">
        <v>1</v>
      </c>
      <c r="D75" t="s">
        <v>522</v>
      </c>
      <c r="E75" t="b">
        <v>0</v>
      </c>
      <c r="F75" t="b">
        <v>0</v>
      </c>
      <c r="G75" t="s">
        <v>1369</v>
      </c>
      <c r="H75">
        <v>0</v>
      </c>
      <c r="I75">
        <v>0</v>
      </c>
      <c r="J75" t="s">
        <v>1366</v>
      </c>
      <c r="K75" t="s">
        <v>1364</v>
      </c>
      <c r="L75" t="s">
        <v>1367</v>
      </c>
      <c r="M75" t="s">
        <v>1950</v>
      </c>
      <c r="N75" t="s">
        <v>1946</v>
      </c>
      <c r="Q75" t="s">
        <v>2043</v>
      </c>
      <c r="R75" t="s">
        <v>2047</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2139</v>
      </c>
      <c r="L76" t="s">
        <v>2140</v>
      </c>
      <c r="M76" t="s">
        <v>1985</v>
      </c>
      <c r="N76" t="s">
        <v>2170</v>
      </c>
      <c r="Q76" t="s">
        <v>2043</v>
      </c>
      <c r="R76" t="s">
        <v>2047</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1985</v>
      </c>
      <c r="N77" t="s">
        <v>2017</v>
      </c>
      <c r="Q77" t="s">
        <v>2043</v>
      </c>
      <c r="R77" t="s">
        <v>2048</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1985</v>
      </c>
      <c r="N78" t="s">
        <v>1986</v>
      </c>
      <c r="Q78" t="s">
        <v>2043</v>
      </c>
      <c r="R78" t="s">
        <v>2048</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1955</v>
      </c>
      <c r="Q79" t="s">
        <v>2043</v>
      </c>
      <c r="R79" t="s">
        <v>2049</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1985</v>
      </c>
      <c r="N80" t="s">
        <v>1994</v>
      </c>
      <c r="Q80" t="s">
        <v>2043</v>
      </c>
      <c r="R80" t="s">
        <v>2049</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1956</v>
      </c>
      <c r="Q81" t="s">
        <v>2025</v>
      </c>
      <c r="R81" t="s">
        <v>2050</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1985</v>
      </c>
      <c r="N82" t="s">
        <v>1994</v>
      </c>
      <c r="Q82" t="s">
        <v>2025</v>
      </c>
      <c r="R82" t="s">
        <v>2050</v>
      </c>
      <c r="S82" t="s">
        <v>384</v>
      </c>
      <c r="T82" s="1">
        <v>43665</v>
      </c>
      <c r="U82" s="1">
        <v>43665</v>
      </c>
      <c r="V82" t="s">
        <v>386</v>
      </c>
      <c r="W82">
        <v>30000000000</v>
      </c>
      <c r="X82">
        <v>30000000000</v>
      </c>
      <c r="Y82" t="s">
        <v>386</v>
      </c>
      <c r="Z82">
        <v>30000000000</v>
      </c>
      <c r="AA82">
        <v>9425041</v>
      </c>
      <c r="AB82" t="b">
        <v>1</v>
      </c>
      <c r="AC82">
        <v>0.97</v>
      </c>
    </row>
    <row r="83" spans="1:29" x14ac:dyDescent="0.2">
      <c r="A83" t="b">
        <v>1</v>
      </c>
      <c r="B83" t="b">
        <v>0</v>
      </c>
      <c r="C83" t="b">
        <v>1</v>
      </c>
      <c r="D83" t="s">
        <v>522</v>
      </c>
      <c r="E83" t="b">
        <v>0</v>
      </c>
      <c r="F83" t="b">
        <v>0</v>
      </c>
      <c r="G83" t="s">
        <v>816</v>
      </c>
      <c r="H83" t="s">
        <v>206</v>
      </c>
      <c r="I83">
        <v>0</v>
      </c>
      <c r="J83">
        <v>0</v>
      </c>
      <c r="K83" t="s">
        <v>813</v>
      </c>
      <c r="L83" t="s">
        <v>815</v>
      </c>
      <c r="M83" t="s">
        <v>1950</v>
      </c>
      <c r="N83" t="s">
        <v>1956</v>
      </c>
      <c r="Q83" t="s">
        <v>2025</v>
      </c>
      <c r="R83" t="s">
        <v>2051</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1985</v>
      </c>
      <c r="N84" t="s">
        <v>2017</v>
      </c>
      <c r="Q84" t="s">
        <v>2025</v>
      </c>
      <c r="R84" t="s">
        <v>2051</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1957</v>
      </c>
      <c r="Q85" t="s">
        <v>2043</v>
      </c>
      <c r="R85" t="s">
        <v>2052</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1985</v>
      </c>
      <c r="N86" t="s">
        <v>2024</v>
      </c>
      <c r="Q86" t="s">
        <v>2043</v>
      </c>
      <c r="R86" t="s">
        <v>2052</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1959</v>
      </c>
      <c r="Q87" t="s">
        <v>2043</v>
      </c>
      <c r="R87" t="s">
        <v>2053</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1985</v>
      </c>
      <c r="N88" t="s">
        <v>1994</v>
      </c>
      <c r="Q88" t="s">
        <v>2043</v>
      </c>
      <c r="R88" t="s">
        <v>2053</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1956</v>
      </c>
      <c r="Q89" t="s">
        <v>2043</v>
      </c>
      <c r="R89" t="s">
        <v>2054</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1985</v>
      </c>
      <c r="N90" t="s">
        <v>2074</v>
      </c>
      <c r="Q90" t="s">
        <v>2043</v>
      </c>
      <c r="R90" t="s">
        <v>2054</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1961</v>
      </c>
      <c r="Q91" t="s">
        <v>2025</v>
      </c>
      <c r="R91" t="s">
        <v>2055</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2232</v>
      </c>
      <c r="L92" t="s">
        <v>2233</v>
      </c>
      <c r="M92" t="s">
        <v>1985</v>
      </c>
      <c r="N92" t="s">
        <v>2024</v>
      </c>
      <c r="Q92" t="s">
        <v>2025</v>
      </c>
      <c r="R92" t="s">
        <v>2055</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2232</v>
      </c>
      <c r="L93" t="s">
        <v>2233</v>
      </c>
      <c r="M93" t="s">
        <v>1950</v>
      </c>
      <c r="N93" t="s">
        <v>1958</v>
      </c>
      <c r="Q93" t="s">
        <v>2025</v>
      </c>
      <c r="R93" t="s">
        <v>2056</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2232</v>
      </c>
      <c r="L94" t="s">
        <v>2233</v>
      </c>
      <c r="M94" t="s">
        <v>2063</v>
      </c>
      <c r="N94" t="s">
        <v>441</v>
      </c>
      <c r="Q94" t="s">
        <v>2025</v>
      </c>
      <c r="R94" t="s">
        <v>2056</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2232</v>
      </c>
      <c r="L95" t="s">
        <v>2233</v>
      </c>
      <c r="M95" t="s">
        <v>2064</v>
      </c>
      <c r="N95" t="s">
        <v>441</v>
      </c>
      <c r="Q95" t="s">
        <v>2025</v>
      </c>
      <c r="R95" t="s">
        <v>2057</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1985</v>
      </c>
      <c r="N96" t="s">
        <v>1946</v>
      </c>
      <c r="Q96" t="s">
        <v>2025</v>
      </c>
      <c r="R96" t="s">
        <v>2057</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2025</v>
      </c>
      <c r="R97" t="s">
        <v>2058</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1985</v>
      </c>
      <c r="N98" t="s">
        <v>2024</v>
      </c>
      <c r="Q98" t="s">
        <v>2025</v>
      </c>
      <c r="R98" t="s">
        <v>2058</v>
      </c>
      <c r="S98" t="s">
        <v>384</v>
      </c>
      <c r="T98" s="1">
        <v>43665</v>
      </c>
      <c r="U98" s="1">
        <v>43665</v>
      </c>
      <c r="V98" t="s">
        <v>386</v>
      </c>
      <c r="W98">
        <v>30000000000</v>
      </c>
      <c r="X98">
        <v>30000000000</v>
      </c>
      <c r="Y98" t="s">
        <v>386</v>
      </c>
      <c r="Z98">
        <v>30000000000</v>
      </c>
      <c r="AA98">
        <v>9425041</v>
      </c>
      <c r="AB98" t="b">
        <v>1</v>
      </c>
      <c r="AC98">
        <v>0.97</v>
      </c>
    </row>
    <row r="99" spans="1:29" x14ac:dyDescent="0.2">
      <c r="A99" t="b">
        <v>1</v>
      </c>
      <c r="B99" t="b">
        <v>0</v>
      </c>
      <c r="C99" t="b">
        <v>1</v>
      </c>
      <c r="D99" t="s">
        <v>522</v>
      </c>
      <c r="E99" t="b">
        <v>0</v>
      </c>
      <c r="F99" t="b">
        <v>0</v>
      </c>
      <c r="G99" t="s">
        <v>1369</v>
      </c>
      <c r="H99">
        <v>0</v>
      </c>
      <c r="I99">
        <v>0</v>
      </c>
      <c r="J99" t="s">
        <v>1366</v>
      </c>
      <c r="K99" t="s">
        <v>1364</v>
      </c>
      <c r="L99" t="s">
        <v>1367</v>
      </c>
      <c r="M99" t="s">
        <v>1950</v>
      </c>
      <c r="N99" t="s">
        <v>1960</v>
      </c>
      <c r="Q99" t="s">
        <v>2043</v>
      </c>
      <c r="R99" t="s">
        <v>2059</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1985</v>
      </c>
      <c r="N100" t="s">
        <v>1986</v>
      </c>
      <c r="Q100" t="s">
        <v>2043</v>
      </c>
      <c r="R100" t="s">
        <v>2059</v>
      </c>
      <c r="S100" t="s">
        <v>384</v>
      </c>
      <c r="T100" s="1">
        <v>43665</v>
      </c>
      <c r="U100" s="1">
        <v>43665</v>
      </c>
      <c r="V100" t="s">
        <v>386</v>
      </c>
      <c r="W100">
        <v>13269000000</v>
      </c>
      <c r="X100">
        <v>13269000000</v>
      </c>
      <c r="Y100" t="s">
        <v>386</v>
      </c>
      <c r="Z100">
        <v>13269000000</v>
      </c>
      <c r="AA100">
        <v>4168696</v>
      </c>
      <c r="AB100" t="b">
        <v>0</v>
      </c>
    </row>
    <row r="101" spans="1:29" x14ac:dyDescent="0.2">
      <c r="A101" t="b">
        <v>1</v>
      </c>
      <c r="B101" t="b">
        <v>0</v>
      </c>
      <c r="C101" t="b">
        <v>1</v>
      </c>
      <c r="D101" t="s">
        <v>522</v>
      </c>
      <c r="E101" t="b">
        <v>0</v>
      </c>
      <c r="F101" t="b">
        <v>0</v>
      </c>
      <c r="G101" t="s">
        <v>1369</v>
      </c>
      <c r="H101">
        <v>0</v>
      </c>
      <c r="I101">
        <v>0</v>
      </c>
      <c r="J101" t="s">
        <v>1366</v>
      </c>
      <c r="K101" t="s">
        <v>1364</v>
      </c>
      <c r="L101" t="s">
        <v>1367</v>
      </c>
      <c r="M101" t="s">
        <v>1950</v>
      </c>
      <c r="N101" t="s">
        <v>1955</v>
      </c>
      <c r="Q101" t="s">
        <v>2025</v>
      </c>
      <c r="R101" t="s">
        <v>2060</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2063</v>
      </c>
      <c r="N102" t="s">
        <v>441</v>
      </c>
      <c r="Q102" t="s">
        <v>2025</v>
      </c>
      <c r="R102" t="s">
        <v>2060</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2064</v>
      </c>
      <c r="N103" t="s">
        <v>441</v>
      </c>
      <c r="Q103" t="s">
        <v>2025</v>
      </c>
      <c r="R103" t="s">
        <v>2061</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1985</v>
      </c>
      <c r="N104" t="s">
        <v>1986</v>
      </c>
      <c r="Q104" t="s">
        <v>2025</v>
      </c>
      <c r="R104" t="s">
        <v>2061</v>
      </c>
      <c r="S104" t="s">
        <v>384</v>
      </c>
      <c r="T104" s="1">
        <v>43665</v>
      </c>
      <c r="U104" s="1">
        <v>43665</v>
      </c>
      <c r="V104" t="s">
        <v>386</v>
      </c>
      <c r="W104">
        <v>20000000000</v>
      </c>
      <c r="X104">
        <v>20000000000</v>
      </c>
      <c r="Y104" t="s">
        <v>386</v>
      </c>
      <c r="Z104">
        <v>20000000000</v>
      </c>
      <c r="AA104">
        <v>6283361</v>
      </c>
      <c r="AB104" t="b">
        <v>0</v>
      </c>
    </row>
    <row r="105" spans="1:29" x14ac:dyDescent="0.2">
      <c r="A105" t="b">
        <v>1</v>
      </c>
      <c r="B105" t="b">
        <v>0</v>
      </c>
      <c r="C105" t="b">
        <v>1</v>
      </c>
      <c r="D105" t="s">
        <v>522</v>
      </c>
      <c r="E105" t="b">
        <v>0</v>
      </c>
      <c r="F105" t="b">
        <v>0</v>
      </c>
      <c r="G105" t="s">
        <v>1398</v>
      </c>
      <c r="H105" t="s">
        <v>100</v>
      </c>
      <c r="I105" t="s">
        <v>1509</v>
      </c>
      <c r="J105" t="s">
        <v>1510</v>
      </c>
      <c r="K105" t="s">
        <v>1507</v>
      </c>
      <c r="L105" t="s">
        <v>1511</v>
      </c>
      <c r="M105" t="s">
        <v>1950</v>
      </c>
      <c r="N105" t="s">
        <v>1955</v>
      </c>
      <c r="Q105" t="s">
        <v>2031</v>
      </c>
      <c r="R105" t="s">
        <v>2062</v>
      </c>
      <c r="S105" t="s">
        <v>257</v>
      </c>
      <c r="T105" s="1">
        <v>43220</v>
      </c>
      <c r="U105" s="1">
        <v>42865</v>
      </c>
      <c r="V105" t="s">
        <v>260</v>
      </c>
      <c r="W105">
        <v>487465891</v>
      </c>
      <c r="X105">
        <v>487465891</v>
      </c>
      <c r="Y105" t="s">
        <v>270</v>
      </c>
      <c r="Z105">
        <v>153016885</v>
      </c>
      <c r="AA105">
        <v>153016885</v>
      </c>
      <c r="AB105" t="b">
        <v>1</v>
      </c>
      <c r="AC105">
        <v>0.61</v>
      </c>
    </row>
    <row r="106" spans="1:29" hidden="1" x14ac:dyDescent="0.2">
      <c r="A106" t="b">
        <v>1</v>
      </c>
      <c r="B106" t="b">
        <v>1</v>
      </c>
      <c r="C106" t="b">
        <v>1</v>
      </c>
      <c r="D106" t="b">
        <v>0</v>
      </c>
      <c r="E106" t="b">
        <v>0</v>
      </c>
      <c r="F106" t="b">
        <v>0</v>
      </c>
      <c r="G106" t="s">
        <v>288</v>
      </c>
      <c r="H106" t="s">
        <v>196</v>
      </c>
      <c r="I106">
        <v>0</v>
      </c>
      <c r="J106">
        <v>0</v>
      </c>
      <c r="K106" t="s">
        <v>282</v>
      </c>
      <c r="L106" t="s">
        <v>284</v>
      </c>
      <c r="M106" t="s">
        <v>1985</v>
      </c>
      <c r="N106" t="s">
        <v>1994</v>
      </c>
      <c r="Q106" t="s">
        <v>1989</v>
      </c>
      <c r="R106" t="s">
        <v>2062</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1985</v>
      </c>
      <c r="N107" t="s">
        <v>1986</v>
      </c>
      <c r="Q107" t="s">
        <v>2029</v>
      </c>
      <c r="R107" t="s">
        <v>2062</v>
      </c>
      <c r="S107" t="s">
        <v>257</v>
      </c>
      <c r="T107" s="1">
        <v>43220</v>
      </c>
      <c r="U107" s="1">
        <v>42865</v>
      </c>
      <c r="V107" t="s">
        <v>260</v>
      </c>
      <c r="W107">
        <v>487465891</v>
      </c>
      <c r="X107">
        <v>487465891</v>
      </c>
      <c r="Y107" t="s">
        <v>270</v>
      </c>
      <c r="Z107">
        <v>153016885</v>
      </c>
      <c r="AA107">
        <v>153016885</v>
      </c>
      <c r="AB107" t="b">
        <v>1</v>
      </c>
      <c r="AC107">
        <v>0.61</v>
      </c>
    </row>
    <row r="108" spans="1:29" x14ac:dyDescent="0.2">
      <c r="A108" t="b">
        <v>1</v>
      </c>
      <c r="B108" t="b">
        <v>0</v>
      </c>
      <c r="C108" t="b">
        <v>1</v>
      </c>
      <c r="D108" t="s">
        <v>522</v>
      </c>
      <c r="E108" t="b">
        <v>0</v>
      </c>
      <c r="F108" t="b">
        <v>0</v>
      </c>
      <c r="G108" t="s">
        <v>1072</v>
      </c>
      <c r="H108">
        <v>0</v>
      </c>
      <c r="I108">
        <v>0</v>
      </c>
      <c r="J108" t="s">
        <v>1070</v>
      </c>
      <c r="K108" t="s">
        <v>275</v>
      </c>
      <c r="L108" t="s">
        <v>1071</v>
      </c>
      <c r="M108" t="s">
        <v>1950</v>
      </c>
      <c r="N108" t="s">
        <v>1955</v>
      </c>
      <c r="Q108" t="s">
        <v>2029</v>
      </c>
      <c r="R108" t="s">
        <v>2062</v>
      </c>
      <c r="S108" t="s">
        <v>257</v>
      </c>
      <c r="T108" s="1">
        <v>43220</v>
      </c>
      <c r="U108" s="1">
        <v>42865</v>
      </c>
      <c r="V108" t="s">
        <v>260</v>
      </c>
      <c r="W108">
        <v>487465891</v>
      </c>
      <c r="X108">
        <v>487465891</v>
      </c>
      <c r="Y108" t="s">
        <v>270</v>
      </c>
      <c r="Z108">
        <v>153016885</v>
      </c>
      <c r="AA108">
        <v>153016885</v>
      </c>
      <c r="AB108" t="b">
        <v>1</v>
      </c>
      <c r="AC108">
        <v>0.61</v>
      </c>
    </row>
    <row r="109" spans="1:29" hidden="1" x14ac:dyDescent="0.2">
      <c r="A109" t="b">
        <v>1</v>
      </c>
      <c r="B109" t="b">
        <v>1</v>
      </c>
      <c r="C109" t="b">
        <v>1</v>
      </c>
      <c r="D109" t="b">
        <v>0</v>
      </c>
      <c r="E109" t="b">
        <v>0</v>
      </c>
      <c r="F109" t="b">
        <v>0</v>
      </c>
      <c r="G109" t="s">
        <v>288</v>
      </c>
      <c r="H109" t="s">
        <v>196</v>
      </c>
      <c r="I109">
        <v>0</v>
      </c>
      <c r="J109">
        <v>0</v>
      </c>
      <c r="K109" t="s">
        <v>282</v>
      </c>
      <c r="L109" t="s">
        <v>284</v>
      </c>
      <c r="M109" t="s">
        <v>1950</v>
      </c>
      <c r="N109" t="s">
        <v>1956</v>
      </c>
      <c r="Q109" t="s">
        <v>2031</v>
      </c>
      <c r="R109" t="s">
        <v>2065</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1985</v>
      </c>
      <c r="N110" t="s">
        <v>1986</v>
      </c>
      <c r="Q110" t="s">
        <v>1989</v>
      </c>
      <c r="R110" t="s">
        <v>2065</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1960</v>
      </c>
      <c r="Q111" t="s">
        <v>1998</v>
      </c>
      <c r="R111" t="s">
        <v>2066</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2063</v>
      </c>
      <c r="N112" t="s">
        <v>441</v>
      </c>
      <c r="Q112" t="s">
        <v>2067</v>
      </c>
      <c r="R112" t="s">
        <v>2066</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2064</v>
      </c>
      <c r="N113" t="s">
        <v>441</v>
      </c>
      <c r="Q113" t="s">
        <v>2029</v>
      </c>
      <c r="R113" t="s">
        <v>2065</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1985</v>
      </c>
      <c r="N114" t="s">
        <v>1946</v>
      </c>
      <c r="Q114" t="s">
        <v>2029</v>
      </c>
      <c r="R114" t="s">
        <v>2065</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2031</v>
      </c>
      <c r="R115" t="s">
        <v>2068</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1985</v>
      </c>
      <c r="N116" t="s">
        <v>1986</v>
      </c>
      <c r="Q116" t="s">
        <v>1989</v>
      </c>
      <c r="R116" t="s">
        <v>2068</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1955</v>
      </c>
      <c r="Q117" t="s">
        <v>2031</v>
      </c>
      <c r="R117" t="s">
        <v>2069</v>
      </c>
      <c r="S117" t="s">
        <v>257</v>
      </c>
      <c r="T117" s="1">
        <v>43669</v>
      </c>
      <c r="U117" s="1">
        <v>43920</v>
      </c>
      <c r="V117" t="s">
        <v>260</v>
      </c>
      <c r="W117">
        <v>20700000</v>
      </c>
      <c r="X117">
        <v>16600000</v>
      </c>
      <c r="Y117" t="s">
        <v>260</v>
      </c>
      <c r="Z117">
        <v>16600000</v>
      </c>
      <c r="AA117">
        <v>3196180</v>
      </c>
      <c r="AB117" t="b">
        <v>1</v>
      </c>
      <c r="AC117">
        <v>0.13</v>
      </c>
    </row>
    <row r="118" spans="1:29" hidden="1" x14ac:dyDescent="0.2">
      <c r="A118" t="b">
        <v>1</v>
      </c>
      <c r="B118" t="b">
        <v>1</v>
      </c>
      <c r="C118" t="b">
        <v>1</v>
      </c>
      <c r="D118" t="b">
        <v>0</v>
      </c>
      <c r="E118" t="b">
        <v>0</v>
      </c>
      <c r="F118" t="b">
        <v>0</v>
      </c>
      <c r="G118" t="s">
        <v>288</v>
      </c>
      <c r="H118" t="s">
        <v>196</v>
      </c>
      <c r="I118">
        <v>0</v>
      </c>
      <c r="J118">
        <v>0</v>
      </c>
      <c r="K118" t="s">
        <v>282</v>
      </c>
      <c r="L118" t="s">
        <v>284</v>
      </c>
      <c r="M118" t="s">
        <v>1985</v>
      </c>
      <c r="N118" t="s">
        <v>1986</v>
      </c>
      <c r="Q118" t="s">
        <v>1989</v>
      </c>
      <c r="R118" t="s">
        <v>2069</v>
      </c>
      <c r="S118" t="s">
        <v>257</v>
      </c>
      <c r="T118" s="1">
        <v>43669</v>
      </c>
      <c r="U118" s="1">
        <v>43920</v>
      </c>
      <c r="V118" t="s">
        <v>260</v>
      </c>
      <c r="W118">
        <v>20700000</v>
      </c>
      <c r="X118">
        <v>16600000</v>
      </c>
      <c r="Y118" t="s">
        <v>260</v>
      </c>
      <c r="Z118">
        <v>16600000</v>
      </c>
      <c r="AA118">
        <v>3196180</v>
      </c>
      <c r="AB118" t="b">
        <v>1</v>
      </c>
      <c r="AC118">
        <v>0.13</v>
      </c>
    </row>
    <row r="119" spans="1:29" hidden="1" x14ac:dyDescent="0.2">
      <c r="A119" t="b">
        <v>1</v>
      </c>
      <c r="B119" t="b">
        <v>1</v>
      </c>
      <c r="C119" t="b">
        <v>1</v>
      </c>
      <c r="D119" t="b">
        <v>0</v>
      </c>
      <c r="E119" t="b">
        <v>0</v>
      </c>
      <c r="F119" t="b">
        <v>0</v>
      </c>
      <c r="G119" t="s">
        <v>288</v>
      </c>
      <c r="H119" t="s">
        <v>196</v>
      </c>
      <c r="I119">
        <v>0</v>
      </c>
      <c r="J119">
        <v>0</v>
      </c>
      <c r="K119" t="s">
        <v>282</v>
      </c>
      <c r="L119" t="s">
        <v>284</v>
      </c>
      <c r="M119" t="s">
        <v>1950</v>
      </c>
      <c r="N119" t="s">
        <v>1955</v>
      </c>
      <c r="Q119" t="s">
        <v>2031</v>
      </c>
      <c r="R119" t="s">
        <v>2070</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1985</v>
      </c>
      <c r="N120" t="s">
        <v>1986</v>
      </c>
      <c r="Q120" t="s">
        <v>1989</v>
      </c>
      <c r="R120" t="s">
        <v>2070</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1955</v>
      </c>
      <c r="Q121" t="s">
        <v>2031</v>
      </c>
      <c r="R121" t="s">
        <v>2071</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1985</v>
      </c>
      <c r="N122" t="s">
        <v>2074</v>
      </c>
      <c r="Q122" t="s">
        <v>1989</v>
      </c>
      <c r="R122" t="s">
        <v>2071</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1961</v>
      </c>
      <c r="Q123" t="s">
        <v>2029</v>
      </c>
      <c r="R123" t="s">
        <v>2071</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1985</v>
      </c>
      <c r="N124" t="s">
        <v>1986</v>
      </c>
      <c r="Q124" t="s">
        <v>2029</v>
      </c>
      <c r="R124" t="s">
        <v>2071</v>
      </c>
      <c r="S124" t="s">
        <v>257</v>
      </c>
      <c r="T124" s="1">
        <v>43220</v>
      </c>
      <c r="U124" s="1">
        <v>42866</v>
      </c>
      <c r="V124" t="s">
        <v>260</v>
      </c>
      <c r="W124">
        <v>391625072</v>
      </c>
      <c r="X124">
        <v>391625072</v>
      </c>
      <c r="Y124" t="s">
        <v>270</v>
      </c>
      <c r="Z124">
        <v>122932188</v>
      </c>
      <c r="AA124">
        <v>122932188</v>
      </c>
      <c r="AB124" t="b">
        <v>1</v>
      </c>
      <c r="AC124">
        <v>0.45</v>
      </c>
    </row>
    <row r="125" spans="1:29" x14ac:dyDescent="0.2">
      <c r="A125" t="b">
        <v>1</v>
      </c>
      <c r="B125" t="b">
        <v>0</v>
      </c>
      <c r="C125" t="b">
        <v>1</v>
      </c>
      <c r="D125" t="s">
        <v>522</v>
      </c>
      <c r="E125" t="b">
        <v>0</v>
      </c>
      <c r="F125" t="b">
        <v>0</v>
      </c>
      <c r="G125" t="s">
        <v>1398</v>
      </c>
      <c r="H125" t="s">
        <v>101</v>
      </c>
      <c r="I125" t="s">
        <v>1395</v>
      </c>
      <c r="J125" t="s">
        <v>1396</v>
      </c>
      <c r="K125" t="s">
        <v>1393</v>
      </c>
      <c r="L125" t="s">
        <v>1397</v>
      </c>
      <c r="M125" t="s">
        <v>1950</v>
      </c>
      <c r="N125" t="s">
        <v>1955</v>
      </c>
      <c r="Q125" t="s">
        <v>2031</v>
      </c>
      <c r="R125" t="s">
        <v>2072</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1985</v>
      </c>
      <c r="N126" t="s">
        <v>2074</v>
      </c>
      <c r="Q126" t="s">
        <v>1989</v>
      </c>
      <c r="R126" t="s">
        <v>2072</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1961</v>
      </c>
      <c r="Q127" t="s">
        <v>2029</v>
      </c>
      <c r="R127" t="s">
        <v>2072</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1985</v>
      </c>
      <c r="N128" t="s">
        <v>2170</v>
      </c>
      <c r="Q128" t="s">
        <v>2029</v>
      </c>
      <c r="R128" t="s">
        <v>2072</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1962</v>
      </c>
      <c r="Q129" t="s">
        <v>2031</v>
      </c>
      <c r="R129" t="s">
        <v>2073</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1985</v>
      </c>
      <c r="N130" t="s">
        <v>2024</v>
      </c>
      <c r="Q130" t="s">
        <v>1989</v>
      </c>
      <c r="R130" t="s">
        <v>2073</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1960</v>
      </c>
      <c r="Q131" t="s">
        <v>2029</v>
      </c>
      <c r="R131" t="s">
        <v>2073</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1985</v>
      </c>
      <c r="N132" t="s">
        <v>1986</v>
      </c>
      <c r="Q132" t="s">
        <v>2029</v>
      </c>
      <c r="R132" t="s">
        <v>2073</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1955</v>
      </c>
      <c r="Q133" t="s">
        <v>2075</v>
      </c>
      <c r="R133" t="s">
        <v>2076</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1985</v>
      </c>
      <c r="N134" t="s">
        <v>1986</v>
      </c>
      <c r="Q134" t="s">
        <v>2075</v>
      </c>
      <c r="R134" t="s">
        <v>2076</v>
      </c>
      <c r="S134" t="s">
        <v>343</v>
      </c>
      <c r="T134" s="1">
        <v>43396</v>
      </c>
      <c r="U134" s="1">
        <v>43496</v>
      </c>
      <c r="V134" t="s">
        <v>345</v>
      </c>
      <c r="W134">
        <v>1311000000</v>
      </c>
      <c r="X134">
        <v>1311000000</v>
      </c>
      <c r="Y134" t="s">
        <v>345</v>
      </c>
      <c r="Z134">
        <v>1311000000</v>
      </c>
      <c r="AA134">
        <v>67507723</v>
      </c>
      <c r="AB134" t="b">
        <v>1</v>
      </c>
      <c r="AC134">
        <v>0.8</v>
      </c>
    </row>
    <row r="135" spans="1:29" x14ac:dyDescent="0.2">
      <c r="A135" t="b">
        <v>1</v>
      </c>
      <c r="B135" t="b">
        <v>0</v>
      </c>
      <c r="C135" t="b">
        <v>1</v>
      </c>
      <c r="D135" t="s">
        <v>522</v>
      </c>
      <c r="E135" t="b">
        <v>0</v>
      </c>
      <c r="F135" t="b">
        <v>0</v>
      </c>
      <c r="G135" t="s">
        <v>1142</v>
      </c>
      <c r="H135" t="s">
        <v>1139</v>
      </c>
      <c r="I135">
        <v>0</v>
      </c>
      <c r="J135">
        <v>0</v>
      </c>
      <c r="K135" t="s">
        <v>1137</v>
      </c>
      <c r="L135" t="s">
        <v>1140</v>
      </c>
      <c r="M135" t="s">
        <v>1950</v>
      </c>
      <c r="N135" t="s">
        <v>1955</v>
      </c>
      <c r="Q135" t="s">
        <v>2075</v>
      </c>
      <c r="R135" t="s">
        <v>2077</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2063</v>
      </c>
      <c r="N136" t="s">
        <v>441</v>
      </c>
      <c r="Q136" t="s">
        <v>2075</v>
      </c>
      <c r="R136" t="s">
        <v>2077</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2064</v>
      </c>
      <c r="N137" t="s">
        <v>441</v>
      </c>
      <c r="Q137" t="s">
        <v>2075</v>
      </c>
      <c r="R137" t="s">
        <v>2078</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1985</v>
      </c>
      <c r="N138" t="s">
        <v>1986</v>
      </c>
      <c r="Q138" t="s">
        <v>2075</v>
      </c>
      <c r="R138" t="s">
        <v>2078</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1955</v>
      </c>
      <c r="Q139" t="s">
        <v>2075</v>
      </c>
      <c r="R139" t="s">
        <v>2079</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1985</v>
      </c>
      <c r="N140" t="s">
        <v>1986</v>
      </c>
      <c r="Q140" t="s">
        <v>2075</v>
      </c>
      <c r="R140" t="s">
        <v>2079</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1955</v>
      </c>
      <c r="Q141" t="s">
        <v>2080</v>
      </c>
      <c r="R141" t="s">
        <v>2081</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1985</v>
      </c>
      <c r="N142" t="s">
        <v>2145</v>
      </c>
      <c r="Q142" t="s">
        <v>2082</v>
      </c>
      <c r="R142" t="s">
        <v>2081</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1958</v>
      </c>
      <c r="Q143" t="s">
        <v>2075</v>
      </c>
      <c r="R143" t="s">
        <v>2083</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2063</v>
      </c>
      <c r="N144" t="s">
        <v>441</v>
      </c>
      <c r="Q144" t="s">
        <v>2075</v>
      </c>
      <c r="R144" t="s">
        <v>2083</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2064</v>
      </c>
      <c r="N145" t="s">
        <v>441</v>
      </c>
      <c r="Q145" t="s">
        <v>2075</v>
      </c>
      <c r="R145" t="s">
        <v>2084</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1985</v>
      </c>
      <c r="N146" t="s">
        <v>2074</v>
      </c>
      <c r="Q146" t="s">
        <v>2075</v>
      </c>
      <c r="R146" t="s">
        <v>2084</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1961</v>
      </c>
      <c r="Q147" t="s">
        <v>2031</v>
      </c>
      <c r="R147" t="s">
        <v>2085</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1985</v>
      </c>
      <c r="N148" t="s">
        <v>1994</v>
      </c>
      <c r="Q148" t="s">
        <v>1989</v>
      </c>
      <c r="R148" t="s">
        <v>2085</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1956</v>
      </c>
      <c r="Q149" t="s">
        <v>2087</v>
      </c>
      <c r="R149" t="s">
        <v>2088</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2063</v>
      </c>
      <c r="N150" t="s">
        <v>441</v>
      </c>
      <c r="Q150" t="s">
        <v>2087</v>
      </c>
      <c r="R150" t="s">
        <v>2088</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2064</v>
      </c>
      <c r="N151" t="s">
        <v>441</v>
      </c>
      <c r="Q151" t="s">
        <v>1987</v>
      </c>
      <c r="R151" t="s">
        <v>2089</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1985</v>
      </c>
      <c r="N152" t="s">
        <v>1994</v>
      </c>
      <c r="Q152" t="s">
        <v>1989</v>
      </c>
      <c r="R152" t="s">
        <v>2089</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1956</v>
      </c>
      <c r="Q153" t="s">
        <v>1987</v>
      </c>
      <c r="R153" t="s">
        <v>2090</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2063</v>
      </c>
      <c r="N154" t="s">
        <v>441</v>
      </c>
      <c r="Q154" t="s">
        <v>1989</v>
      </c>
      <c r="R154" t="s">
        <v>2090</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2064</v>
      </c>
      <c r="N155" t="s">
        <v>441</v>
      </c>
      <c r="Q155" t="s">
        <v>1987</v>
      </c>
      <c r="R155" t="s">
        <v>2091</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1985</v>
      </c>
      <c r="N156" t="s">
        <v>1986</v>
      </c>
      <c r="Q156" t="s">
        <v>1989</v>
      </c>
      <c r="R156" t="s">
        <v>2091</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1955</v>
      </c>
      <c r="Q157" t="s">
        <v>1987</v>
      </c>
      <c r="R157" t="s">
        <v>2092</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1985</v>
      </c>
      <c r="N158" t="s">
        <v>2074</v>
      </c>
      <c r="Q158" t="s">
        <v>1989</v>
      </c>
      <c r="R158" t="s">
        <v>2092</v>
      </c>
      <c r="S158" t="s">
        <v>351</v>
      </c>
      <c r="T158" s="1">
        <v>43829</v>
      </c>
      <c r="U158" s="1">
        <v>43829</v>
      </c>
      <c r="V158" t="s">
        <v>270</v>
      </c>
      <c r="W158">
        <v>43741535.009999998</v>
      </c>
      <c r="X158">
        <v>43741535.009999998</v>
      </c>
      <c r="Y158" t="s">
        <v>270</v>
      </c>
      <c r="Z158">
        <v>43741535.009999998</v>
      </c>
      <c r="AA158">
        <v>43741535</v>
      </c>
      <c r="AB158" t="b">
        <v>0</v>
      </c>
      <c r="AC158">
        <v>0.1</v>
      </c>
    </row>
    <row r="159" spans="1:29" x14ac:dyDescent="0.2">
      <c r="A159" t="b">
        <v>1</v>
      </c>
      <c r="B159" t="b">
        <v>0</v>
      </c>
      <c r="C159" t="b">
        <v>1</v>
      </c>
      <c r="D159" t="s">
        <v>522</v>
      </c>
      <c r="E159" t="b">
        <v>0</v>
      </c>
      <c r="F159" t="b">
        <v>0</v>
      </c>
      <c r="G159" t="s">
        <v>1191</v>
      </c>
      <c r="H159" t="s">
        <v>124</v>
      </c>
      <c r="I159" t="s">
        <v>1188</v>
      </c>
      <c r="J159">
        <v>0</v>
      </c>
      <c r="K159" t="s">
        <v>1186</v>
      </c>
      <c r="L159" t="s">
        <v>1189</v>
      </c>
      <c r="M159" t="s">
        <v>1950</v>
      </c>
      <c r="N159" t="s">
        <v>1961</v>
      </c>
      <c r="Q159" t="s">
        <v>1987</v>
      </c>
      <c r="R159" t="s">
        <v>2093</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1985</v>
      </c>
      <c r="N160" t="s">
        <v>1994</v>
      </c>
      <c r="Q160" t="s">
        <v>1989</v>
      </c>
      <c r="R160" t="s">
        <v>2093</v>
      </c>
      <c r="S160" t="s">
        <v>351</v>
      </c>
      <c r="T160" s="1">
        <v>43829</v>
      </c>
      <c r="U160" s="1">
        <v>43829</v>
      </c>
      <c r="V160" t="s">
        <v>270</v>
      </c>
      <c r="W160">
        <v>94864266.329999998</v>
      </c>
      <c r="X160">
        <v>94864266.329999998</v>
      </c>
      <c r="Y160" t="s">
        <v>270</v>
      </c>
      <c r="Z160">
        <v>94864266.329999998</v>
      </c>
      <c r="AA160">
        <v>94864266</v>
      </c>
      <c r="AB160" t="b">
        <v>0</v>
      </c>
      <c r="AC160">
        <v>0.9</v>
      </c>
    </row>
    <row r="161" spans="1:29" x14ac:dyDescent="0.2">
      <c r="A161" t="b">
        <v>1</v>
      </c>
      <c r="B161" t="b">
        <v>0</v>
      </c>
      <c r="C161" t="b">
        <v>1</v>
      </c>
      <c r="D161" t="s">
        <v>522</v>
      </c>
      <c r="E161" t="b">
        <v>0</v>
      </c>
      <c r="F161" t="b">
        <v>0</v>
      </c>
      <c r="G161" t="s">
        <v>1191</v>
      </c>
      <c r="H161" t="s">
        <v>123</v>
      </c>
      <c r="I161" t="s">
        <v>1799</v>
      </c>
      <c r="J161">
        <v>0</v>
      </c>
      <c r="K161" t="s">
        <v>1797</v>
      </c>
      <c r="L161" t="s">
        <v>1800</v>
      </c>
      <c r="M161" t="s">
        <v>1950</v>
      </c>
      <c r="N161" t="s">
        <v>1956</v>
      </c>
      <c r="Q161" t="s">
        <v>1987</v>
      </c>
      <c r="R161" t="s">
        <v>2094</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1985</v>
      </c>
      <c r="N162" t="s">
        <v>441</v>
      </c>
      <c r="Q162" t="s">
        <v>1989</v>
      </c>
      <c r="R162" t="s">
        <v>2094</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1985</v>
      </c>
      <c r="N163" t="s">
        <v>441</v>
      </c>
      <c r="Q163" t="s">
        <v>1987</v>
      </c>
      <c r="R163" t="s">
        <v>2095</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1985</v>
      </c>
      <c r="N164" t="s">
        <v>1986</v>
      </c>
      <c r="Q164" t="s">
        <v>1989</v>
      </c>
      <c r="R164" t="s">
        <v>2095</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1955</v>
      </c>
      <c r="Q165" t="s">
        <v>1987</v>
      </c>
      <c r="R165" t="s">
        <v>2096</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1985</v>
      </c>
      <c r="N166" t="s">
        <v>1986</v>
      </c>
      <c r="Q166" t="s">
        <v>1989</v>
      </c>
      <c r="R166" t="s">
        <v>2096</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1955</v>
      </c>
      <c r="Q167" t="s">
        <v>1987</v>
      </c>
      <c r="R167" t="s">
        <v>2097</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2063</v>
      </c>
      <c r="N168" t="s">
        <v>441</v>
      </c>
      <c r="Q168" t="s">
        <v>1989</v>
      </c>
      <c r="R168" t="s">
        <v>2097</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2064</v>
      </c>
      <c r="N169" t="s">
        <v>441</v>
      </c>
      <c r="Q169" t="s">
        <v>1987</v>
      </c>
      <c r="R169" t="s">
        <v>2098</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1985</v>
      </c>
      <c r="N170" t="s">
        <v>1986</v>
      </c>
      <c r="Q170" t="s">
        <v>1989</v>
      </c>
      <c r="R170" t="s">
        <v>2098</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1955</v>
      </c>
      <c r="Q171" t="s">
        <v>1987</v>
      </c>
      <c r="R171" t="s">
        <v>2099</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2063</v>
      </c>
      <c r="N172" t="s">
        <v>441</v>
      </c>
      <c r="Q172" t="s">
        <v>1989</v>
      </c>
      <c r="R172" t="s">
        <v>2099</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2064</v>
      </c>
      <c r="N173" t="s">
        <v>441</v>
      </c>
      <c r="Q173" t="s">
        <v>2031</v>
      </c>
      <c r="R173" t="s">
        <v>2100</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1985</v>
      </c>
      <c r="N174" t="s">
        <v>1986</v>
      </c>
      <c r="Q174" t="s">
        <v>1989</v>
      </c>
      <c r="R174" t="s">
        <v>2100</v>
      </c>
      <c r="S174" t="s">
        <v>351</v>
      </c>
      <c r="T174" s="1">
        <v>43829</v>
      </c>
      <c r="U174" s="1">
        <v>43829</v>
      </c>
      <c r="V174" t="s">
        <v>270</v>
      </c>
      <c r="W174">
        <v>5558893.71</v>
      </c>
      <c r="X174">
        <v>5558893.71</v>
      </c>
      <c r="Y174" t="s">
        <v>270</v>
      </c>
      <c r="Z174">
        <v>5558893.71</v>
      </c>
      <c r="AA174">
        <v>5558893</v>
      </c>
      <c r="AB174" t="b">
        <v>0</v>
      </c>
      <c r="AC174">
        <v>0.5</v>
      </c>
    </row>
    <row r="175" spans="1:29" x14ac:dyDescent="0.2">
      <c r="A175" t="b">
        <v>1</v>
      </c>
      <c r="B175" t="b">
        <v>0</v>
      </c>
      <c r="C175" t="b">
        <v>1</v>
      </c>
      <c r="D175" t="s">
        <v>522</v>
      </c>
      <c r="E175" t="b">
        <v>0</v>
      </c>
      <c r="F175" t="b">
        <v>0</v>
      </c>
      <c r="G175" t="s">
        <v>1556</v>
      </c>
      <c r="H175">
        <v>0</v>
      </c>
      <c r="I175">
        <v>0</v>
      </c>
      <c r="J175" t="s">
        <v>1554</v>
      </c>
      <c r="K175" t="s">
        <v>1552</v>
      </c>
      <c r="L175" t="s">
        <v>1555</v>
      </c>
      <c r="M175" t="s">
        <v>1950</v>
      </c>
      <c r="N175" t="s">
        <v>1955</v>
      </c>
      <c r="Q175" t="s">
        <v>2031</v>
      </c>
      <c r="R175" t="s">
        <v>2101</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2336</v>
      </c>
      <c r="L176" t="s">
        <v>2337</v>
      </c>
      <c r="M176" t="s">
        <v>1985</v>
      </c>
      <c r="N176" t="s">
        <v>1986</v>
      </c>
      <c r="Q176" t="s">
        <v>1989</v>
      </c>
      <c r="R176" t="s">
        <v>2101</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2336</v>
      </c>
      <c r="L177" t="s">
        <v>2337</v>
      </c>
      <c r="M177" t="s">
        <v>1950</v>
      </c>
      <c r="N177" t="s">
        <v>1955</v>
      </c>
      <c r="Q177" t="s">
        <v>2031</v>
      </c>
      <c r="R177" t="s">
        <v>2102</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1985</v>
      </c>
      <c r="N178" t="s">
        <v>2024</v>
      </c>
      <c r="Q178" t="s">
        <v>1989</v>
      </c>
      <c r="R178" t="s">
        <v>2102</v>
      </c>
      <c r="S178" t="s">
        <v>257</v>
      </c>
      <c r="T178" s="1">
        <v>43220</v>
      </c>
      <c r="U178" s="1">
        <v>42869</v>
      </c>
      <c r="V178" t="s">
        <v>260</v>
      </c>
      <c r="W178">
        <v>420491626</v>
      </c>
      <c r="X178">
        <v>420491626</v>
      </c>
      <c r="Y178" t="s">
        <v>270</v>
      </c>
      <c r="Z178">
        <v>131993479</v>
      </c>
      <c r="AA178">
        <v>131993479</v>
      </c>
      <c r="AB178" t="b">
        <v>0</v>
      </c>
      <c r="AC178">
        <v>0.49</v>
      </c>
    </row>
    <row r="179" spans="1:29" x14ac:dyDescent="0.2">
      <c r="A179" t="b">
        <v>1</v>
      </c>
      <c r="B179" t="b">
        <v>0</v>
      </c>
      <c r="C179" t="b">
        <v>1</v>
      </c>
      <c r="D179" t="s">
        <v>522</v>
      </c>
      <c r="E179" t="b">
        <v>0</v>
      </c>
      <c r="F179" t="b">
        <v>0</v>
      </c>
      <c r="G179" t="s">
        <v>529</v>
      </c>
      <c r="H179">
        <v>0</v>
      </c>
      <c r="I179" t="s">
        <v>524</v>
      </c>
      <c r="J179" t="s">
        <v>525</v>
      </c>
      <c r="K179" s="4" t="s">
        <v>521</v>
      </c>
      <c r="L179" t="s">
        <v>526</v>
      </c>
      <c r="M179" t="s">
        <v>1950</v>
      </c>
      <c r="N179" t="s">
        <v>1958</v>
      </c>
      <c r="Q179" t="s">
        <v>2029</v>
      </c>
      <c r="R179" t="s">
        <v>2102</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1985</v>
      </c>
      <c r="N180" t="s">
        <v>441</v>
      </c>
      <c r="Q180" t="s">
        <v>2029</v>
      </c>
      <c r="R180" t="s">
        <v>2102</v>
      </c>
      <c r="S180" t="s">
        <v>257</v>
      </c>
      <c r="T180" s="1">
        <v>43220</v>
      </c>
      <c r="U180" s="1">
        <v>42869</v>
      </c>
      <c r="V180" t="s">
        <v>260</v>
      </c>
      <c r="W180">
        <v>420491626</v>
      </c>
      <c r="X180">
        <v>420491626</v>
      </c>
      <c r="Y180" t="s">
        <v>270</v>
      </c>
      <c r="Z180">
        <v>131993479</v>
      </c>
      <c r="AA180">
        <v>131993479</v>
      </c>
      <c r="AB180" t="b">
        <v>0</v>
      </c>
      <c r="AC180">
        <v>0.49</v>
      </c>
    </row>
    <row r="181" spans="1:29" x14ac:dyDescent="0.2">
      <c r="A181" t="b">
        <v>1</v>
      </c>
      <c r="B181" t="b">
        <v>0</v>
      </c>
      <c r="C181" t="b">
        <v>1</v>
      </c>
      <c r="D181" t="s">
        <v>522</v>
      </c>
      <c r="E181" t="b">
        <v>0</v>
      </c>
      <c r="F181" t="b">
        <v>0</v>
      </c>
      <c r="G181" t="s">
        <v>529</v>
      </c>
      <c r="H181">
        <v>0</v>
      </c>
      <c r="I181" t="s">
        <v>524</v>
      </c>
      <c r="J181" t="s">
        <v>525</v>
      </c>
      <c r="K181" s="4" t="s">
        <v>521</v>
      </c>
      <c r="L181" t="s">
        <v>526</v>
      </c>
      <c r="M181" t="s">
        <v>1950</v>
      </c>
      <c r="N181" t="s">
        <v>1960</v>
      </c>
      <c r="Q181" t="s">
        <v>2031</v>
      </c>
      <c r="R181" t="s">
        <v>2103</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1985</v>
      </c>
      <c r="N182" t="s">
        <v>2074</v>
      </c>
      <c r="Q182" t="s">
        <v>1989</v>
      </c>
      <c r="R182" t="s">
        <v>2103</v>
      </c>
      <c r="S182" t="s">
        <v>257</v>
      </c>
      <c r="T182" s="1">
        <v>43220</v>
      </c>
      <c r="U182" s="1">
        <v>42871</v>
      </c>
      <c r="V182" t="s">
        <v>260</v>
      </c>
      <c r="W182">
        <v>95000000</v>
      </c>
      <c r="X182">
        <v>95000000</v>
      </c>
      <c r="Y182" t="s">
        <v>270</v>
      </c>
      <c r="Z182">
        <v>29820762</v>
      </c>
      <c r="AA182">
        <v>29820762</v>
      </c>
      <c r="AB182" t="b">
        <v>1</v>
      </c>
      <c r="AC182">
        <v>0.42</v>
      </c>
    </row>
    <row r="183" spans="1:29" x14ac:dyDescent="0.2">
      <c r="A183" t="b">
        <v>1</v>
      </c>
      <c r="B183" t="b">
        <v>0</v>
      </c>
      <c r="C183" t="b">
        <v>1</v>
      </c>
      <c r="D183" t="s">
        <v>522</v>
      </c>
      <c r="E183" t="b">
        <v>0</v>
      </c>
      <c r="F183" t="b">
        <v>0</v>
      </c>
      <c r="G183" t="s">
        <v>529</v>
      </c>
      <c r="H183">
        <v>0</v>
      </c>
      <c r="I183" t="s">
        <v>524</v>
      </c>
      <c r="J183" t="s">
        <v>525</v>
      </c>
      <c r="K183" s="4" t="s">
        <v>521</v>
      </c>
      <c r="L183" t="s">
        <v>526</v>
      </c>
      <c r="M183" t="s">
        <v>1950</v>
      </c>
      <c r="N183" t="s">
        <v>1961</v>
      </c>
      <c r="Q183" t="s">
        <v>2029</v>
      </c>
      <c r="R183" t="s">
        <v>2103</v>
      </c>
      <c r="S183" t="s">
        <v>257</v>
      </c>
      <c r="T183" s="1">
        <v>43220</v>
      </c>
      <c r="U183" s="1">
        <v>42871</v>
      </c>
      <c r="V183" t="s">
        <v>260</v>
      </c>
      <c r="W183">
        <v>95000000</v>
      </c>
      <c r="X183">
        <v>95000000</v>
      </c>
      <c r="Y183" t="s">
        <v>270</v>
      </c>
      <c r="Z183">
        <v>29820762</v>
      </c>
      <c r="AA183">
        <v>29820762</v>
      </c>
      <c r="AB183" t="b">
        <v>1</v>
      </c>
      <c r="AC183">
        <v>0.42</v>
      </c>
    </row>
    <row r="184" spans="1:29" x14ac:dyDescent="0.2">
      <c r="A184" t="b">
        <v>1</v>
      </c>
      <c r="B184" t="b">
        <v>0</v>
      </c>
      <c r="C184" t="b">
        <v>1</v>
      </c>
      <c r="D184" t="s">
        <v>522</v>
      </c>
      <c r="E184" t="b">
        <v>0</v>
      </c>
      <c r="F184" t="b">
        <v>0</v>
      </c>
      <c r="G184" t="s">
        <v>529</v>
      </c>
      <c r="H184">
        <v>0</v>
      </c>
      <c r="I184" t="s">
        <v>524</v>
      </c>
      <c r="J184" t="s">
        <v>525</v>
      </c>
      <c r="K184" s="4" t="s">
        <v>521</v>
      </c>
      <c r="L184" t="s">
        <v>526</v>
      </c>
      <c r="M184" t="s">
        <v>1950</v>
      </c>
      <c r="N184" t="s">
        <v>1957</v>
      </c>
      <c r="Q184" t="s">
        <v>2029</v>
      </c>
      <c r="R184" t="s">
        <v>2103</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1985</v>
      </c>
      <c r="N185" t="s">
        <v>2170</v>
      </c>
      <c r="Q185" t="s">
        <v>2031</v>
      </c>
      <c r="R185" t="s">
        <v>2104</v>
      </c>
      <c r="S185" t="s">
        <v>257</v>
      </c>
      <c r="T185" s="1">
        <v>43220</v>
      </c>
      <c r="U185" s="1">
        <v>42870</v>
      </c>
      <c r="V185" t="s">
        <v>260</v>
      </c>
      <c r="W185">
        <v>656046750</v>
      </c>
      <c r="X185">
        <v>656046750</v>
      </c>
      <c r="Y185" t="s">
        <v>270</v>
      </c>
      <c r="Z185">
        <v>205934881</v>
      </c>
      <c r="AA185">
        <v>205934881</v>
      </c>
      <c r="AB185" t="b">
        <v>1</v>
      </c>
      <c r="AC185">
        <v>0.55000000000000004</v>
      </c>
    </row>
    <row r="186" spans="1:29" x14ac:dyDescent="0.2">
      <c r="A186" t="b">
        <v>1</v>
      </c>
      <c r="B186" t="b">
        <v>0</v>
      </c>
      <c r="C186" t="b">
        <v>1</v>
      </c>
      <c r="D186" t="s">
        <v>522</v>
      </c>
      <c r="E186" t="b">
        <v>0</v>
      </c>
      <c r="F186" t="b">
        <v>0</v>
      </c>
      <c r="G186" t="s">
        <v>529</v>
      </c>
      <c r="H186">
        <v>0</v>
      </c>
      <c r="I186" t="s">
        <v>524</v>
      </c>
      <c r="J186" t="s">
        <v>525</v>
      </c>
      <c r="K186" s="4" t="s">
        <v>521</v>
      </c>
      <c r="L186" t="s">
        <v>526</v>
      </c>
      <c r="M186" t="s">
        <v>1950</v>
      </c>
      <c r="N186" t="s">
        <v>1962</v>
      </c>
      <c r="Q186" t="s">
        <v>1989</v>
      </c>
      <c r="R186" t="s">
        <v>2104</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1985</v>
      </c>
      <c r="N187" t="s">
        <v>1986</v>
      </c>
      <c r="Q187" t="s">
        <v>2031</v>
      </c>
      <c r="R187" t="s">
        <v>2105</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1955</v>
      </c>
      <c r="Q188" t="s">
        <v>1989</v>
      </c>
      <c r="R188" t="s">
        <v>2105</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1985</v>
      </c>
      <c r="N189" t="s">
        <v>1986</v>
      </c>
      <c r="Q189" t="s">
        <v>2031</v>
      </c>
      <c r="R189" t="s">
        <v>2106</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1955</v>
      </c>
      <c r="Q190" t="s">
        <v>1989</v>
      </c>
      <c r="R190" t="s">
        <v>2106</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2063</v>
      </c>
      <c r="N191" t="s">
        <v>441</v>
      </c>
      <c r="Q191" t="s">
        <v>2031</v>
      </c>
      <c r="R191" t="s">
        <v>2107</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2064</v>
      </c>
      <c r="N192" t="s">
        <v>441</v>
      </c>
      <c r="Q192" t="s">
        <v>1989</v>
      </c>
      <c r="R192" t="s">
        <v>2107</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1985</v>
      </c>
      <c r="N193" t="s">
        <v>1986</v>
      </c>
      <c r="Q193" t="s">
        <v>2031</v>
      </c>
      <c r="R193" t="s">
        <v>2108</v>
      </c>
      <c r="S193" t="s">
        <v>351</v>
      </c>
      <c r="T193" s="1">
        <v>43829</v>
      </c>
      <c r="U193" s="1">
        <v>43829</v>
      </c>
      <c r="V193" t="s">
        <v>270</v>
      </c>
      <c r="W193">
        <v>26075240.469999999</v>
      </c>
      <c r="X193">
        <v>26075240.469999999</v>
      </c>
      <c r="Y193" t="s">
        <v>270</v>
      </c>
      <c r="Z193">
        <v>26075240.469999999</v>
      </c>
      <c r="AA193">
        <v>26075240</v>
      </c>
      <c r="AB193" t="b">
        <v>0</v>
      </c>
      <c r="AC193">
        <v>0.9</v>
      </c>
    </row>
    <row r="194" spans="1:29" x14ac:dyDescent="0.2">
      <c r="A194" t="b">
        <v>1</v>
      </c>
      <c r="B194" t="b">
        <v>0</v>
      </c>
      <c r="C194" t="b">
        <v>1</v>
      </c>
      <c r="D194" t="s">
        <v>522</v>
      </c>
      <c r="E194" t="b">
        <v>0</v>
      </c>
      <c r="F194" t="b">
        <v>0</v>
      </c>
      <c r="G194" t="s">
        <v>651</v>
      </c>
      <c r="H194">
        <v>0</v>
      </c>
      <c r="I194">
        <v>0</v>
      </c>
      <c r="J194" t="s">
        <v>649</v>
      </c>
      <c r="K194" t="s">
        <v>465</v>
      </c>
      <c r="L194" t="s">
        <v>650</v>
      </c>
      <c r="M194" t="s">
        <v>1950</v>
      </c>
      <c r="N194" t="s">
        <v>1955</v>
      </c>
      <c r="Q194" t="s">
        <v>1989</v>
      </c>
      <c r="R194" t="s">
        <v>2108</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1985</v>
      </c>
      <c r="N195" t="s">
        <v>2017</v>
      </c>
      <c r="Q195" t="s">
        <v>2031</v>
      </c>
      <c r="R195" t="s">
        <v>2109</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1985</v>
      </c>
      <c r="N196" t="s">
        <v>1986</v>
      </c>
      <c r="Q196" t="s">
        <v>1989</v>
      </c>
      <c r="R196" t="s">
        <v>2109</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1955</v>
      </c>
      <c r="Q197" t="s">
        <v>2031</v>
      </c>
      <c r="R197" t="s">
        <v>2110</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2063</v>
      </c>
      <c r="N198" t="s">
        <v>441</v>
      </c>
      <c r="Q198" t="s">
        <v>1989</v>
      </c>
      <c r="R198" t="s">
        <v>2110</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2064</v>
      </c>
      <c r="N199" t="s">
        <v>441</v>
      </c>
      <c r="Q199" t="s">
        <v>2075</v>
      </c>
      <c r="R199" t="s">
        <v>2113</v>
      </c>
      <c r="S199" t="s">
        <v>257</v>
      </c>
      <c r="T199" s="1">
        <v>44305</v>
      </c>
      <c r="U199" s="1">
        <v>44305</v>
      </c>
      <c r="V199" t="s">
        <v>260</v>
      </c>
      <c r="W199">
        <v>150000000</v>
      </c>
      <c r="X199">
        <v>150000000</v>
      </c>
      <c r="Y199" t="s">
        <v>260</v>
      </c>
      <c r="Z199">
        <v>150000000</v>
      </c>
      <c r="AA199">
        <v>27048129</v>
      </c>
      <c r="AB199" t="b">
        <v>0</v>
      </c>
      <c r="AC199">
        <v>1</v>
      </c>
    </row>
    <row r="200" spans="1:29" x14ac:dyDescent="0.2">
      <c r="A200" t="b">
        <v>1</v>
      </c>
      <c r="B200" t="b">
        <v>0</v>
      </c>
      <c r="C200" t="b">
        <v>1</v>
      </c>
      <c r="D200" t="s">
        <v>522</v>
      </c>
      <c r="E200" t="b">
        <v>0</v>
      </c>
      <c r="F200" t="b">
        <v>0</v>
      </c>
      <c r="G200" t="s">
        <v>651</v>
      </c>
      <c r="H200">
        <v>0</v>
      </c>
      <c r="I200">
        <v>0</v>
      </c>
      <c r="J200" t="s">
        <v>649</v>
      </c>
      <c r="K200" t="s">
        <v>465</v>
      </c>
      <c r="L200" t="s">
        <v>650</v>
      </c>
      <c r="M200" t="s">
        <v>1950</v>
      </c>
      <c r="N200" t="s">
        <v>1957</v>
      </c>
      <c r="Q200" t="s">
        <v>2075</v>
      </c>
      <c r="R200" t="s">
        <v>2113</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1985</v>
      </c>
      <c r="N201" t="s">
        <v>1986</v>
      </c>
      <c r="Q201" t="s">
        <v>2040</v>
      </c>
      <c r="R201" t="s">
        <v>2116</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1955</v>
      </c>
      <c r="Q202" t="s">
        <v>2117</v>
      </c>
      <c r="R202" t="s">
        <v>2116</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2063</v>
      </c>
      <c r="N203" t="s">
        <v>441</v>
      </c>
      <c r="Q203" t="s">
        <v>1987</v>
      </c>
      <c r="R203" t="s">
        <v>2118</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2064</v>
      </c>
      <c r="N204" t="s">
        <v>441</v>
      </c>
      <c r="Q204" t="s">
        <v>1989</v>
      </c>
      <c r="R204" t="s">
        <v>2118</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1985</v>
      </c>
      <c r="N205" t="s">
        <v>1994</v>
      </c>
      <c r="Q205" t="s">
        <v>2031</v>
      </c>
      <c r="R205" t="s">
        <v>2119</v>
      </c>
      <c r="S205" t="s">
        <v>2120</v>
      </c>
      <c r="T205" s="1">
        <v>43770</v>
      </c>
      <c r="U205" s="1">
        <v>43983</v>
      </c>
      <c r="V205" t="s">
        <v>270</v>
      </c>
      <c r="W205">
        <v>31351256</v>
      </c>
      <c r="X205">
        <v>31351256</v>
      </c>
      <c r="Y205" t="s">
        <v>270</v>
      </c>
      <c r="Z205">
        <v>31351256</v>
      </c>
      <c r="AA205">
        <v>31351256</v>
      </c>
      <c r="AB205" t="b">
        <v>1</v>
      </c>
      <c r="AC205">
        <v>0.52</v>
      </c>
    </row>
    <row r="206" spans="1:29" x14ac:dyDescent="0.2">
      <c r="A206" t="b">
        <v>1</v>
      </c>
      <c r="B206" t="b">
        <v>0</v>
      </c>
      <c r="C206" t="b">
        <v>1</v>
      </c>
      <c r="D206" t="s">
        <v>522</v>
      </c>
      <c r="E206" t="b">
        <v>0</v>
      </c>
      <c r="F206" t="b">
        <v>0</v>
      </c>
      <c r="G206" t="s">
        <v>651</v>
      </c>
      <c r="H206">
        <v>0</v>
      </c>
      <c r="I206">
        <v>0</v>
      </c>
      <c r="J206" t="s">
        <v>649</v>
      </c>
      <c r="K206" t="s">
        <v>465</v>
      </c>
      <c r="L206" t="s">
        <v>650</v>
      </c>
      <c r="M206" t="s">
        <v>1950</v>
      </c>
      <c r="N206" t="s">
        <v>1956</v>
      </c>
      <c r="Q206" t="s">
        <v>1989</v>
      </c>
      <c r="R206" t="s">
        <v>2119</v>
      </c>
      <c r="S206" t="s">
        <v>2120</v>
      </c>
      <c r="T206" s="1">
        <v>43770</v>
      </c>
      <c r="U206" s="1">
        <v>43983</v>
      </c>
      <c r="V206" t="s">
        <v>270</v>
      </c>
      <c r="W206">
        <v>31351256</v>
      </c>
      <c r="X206">
        <v>31351256</v>
      </c>
      <c r="Y206" t="s">
        <v>270</v>
      </c>
      <c r="Z206">
        <v>31351256</v>
      </c>
      <c r="AA206">
        <v>31351256</v>
      </c>
      <c r="AB206" t="b">
        <v>1</v>
      </c>
      <c r="AC206">
        <v>0.52</v>
      </c>
    </row>
    <row r="207" spans="1:29" x14ac:dyDescent="0.2">
      <c r="A207" t="b">
        <v>1</v>
      </c>
      <c r="B207" t="b">
        <v>0</v>
      </c>
      <c r="C207" t="b">
        <v>1</v>
      </c>
      <c r="D207" t="s">
        <v>522</v>
      </c>
      <c r="E207" t="b">
        <v>0</v>
      </c>
      <c r="F207" t="b">
        <v>0</v>
      </c>
      <c r="G207" t="s">
        <v>1191</v>
      </c>
      <c r="H207" t="s">
        <v>124</v>
      </c>
      <c r="I207" t="s">
        <v>1188</v>
      </c>
      <c r="J207">
        <v>0</v>
      </c>
      <c r="K207" t="s">
        <v>1186</v>
      </c>
      <c r="L207" t="s">
        <v>1189</v>
      </c>
      <c r="M207" t="s">
        <v>1950</v>
      </c>
      <c r="N207" t="s">
        <v>1959</v>
      </c>
      <c r="Q207" t="s">
        <v>2031</v>
      </c>
      <c r="R207" t="s">
        <v>2121</v>
      </c>
      <c r="S207" t="s">
        <v>2120</v>
      </c>
      <c r="T207" s="1">
        <v>43771</v>
      </c>
      <c r="U207" s="1">
        <v>43983</v>
      </c>
      <c r="V207" t="s">
        <v>270</v>
      </c>
      <c r="W207">
        <v>15566263.92</v>
      </c>
      <c r="X207">
        <v>15566264</v>
      </c>
      <c r="Y207" t="s">
        <v>270</v>
      </c>
      <c r="Z207">
        <v>15566264</v>
      </c>
      <c r="AA207">
        <v>15566264</v>
      </c>
      <c r="AB207" t="b">
        <v>1</v>
      </c>
      <c r="AC207">
        <v>0.65</v>
      </c>
    </row>
    <row r="208" spans="1:29" x14ac:dyDescent="0.2">
      <c r="A208" t="b">
        <v>1</v>
      </c>
      <c r="B208" t="b">
        <v>0</v>
      </c>
      <c r="C208" t="b">
        <v>1</v>
      </c>
      <c r="D208" t="s">
        <v>522</v>
      </c>
      <c r="E208" t="b">
        <v>0</v>
      </c>
      <c r="F208" t="b">
        <v>0</v>
      </c>
      <c r="G208" t="s">
        <v>1191</v>
      </c>
      <c r="H208" t="s">
        <v>123</v>
      </c>
      <c r="I208" t="s">
        <v>1799</v>
      </c>
      <c r="J208">
        <v>0</v>
      </c>
      <c r="K208" t="s">
        <v>1797</v>
      </c>
      <c r="L208" t="s">
        <v>1800</v>
      </c>
      <c r="M208" t="s">
        <v>1950</v>
      </c>
      <c r="N208" t="s">
        <v>1959</v>
      </c>
      <c r="Q208" t="s">
        <v>1989</v>
      </c>
      <c r="R208" t="s">
        <v>2121</v>
      </c>
      <c r="S208" t="s">
        <v>2120</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1985</v>
      </c>
      <c r="N209" t="s">
        <v>2024</v>
      </c>
      <c r="Q209" t="s">
        <v>1987</v>
      </c>
      <c r="R209" t="s">
        <v>2122</v>
      </c>
      <c r="S209" t="s">
        <v>2120</v>
      </c>
      <c r="T209" s="1">
        <v>43772</v>
      </c>
      <c r="U209" s="1">
        <v>43983</v>
      </c>
      <c r="V209" t="s">
        <v>270</v>
      </c>
      <c r="W209">
        <v>17584107</v>
      </c>
      <c r="X209">
        <v>17584107</v>
      </c>
      <c r="Y209" t="s">
        <v>270</v>
      </c>
      <c r="Z209">
        <v>17584107</v>
      </c>
      <c r="AA209">
        <v>17584107</v>
      </c>
      <c r="AB209" t="b">
        <v>1</v>
      </c>
      <c r="AC209">
        <v>0.53</v>
      </c>
    </row>
    <row r="210" spans="1:29" x14ac:dyDescent="0.2">
      <c r="A210" t="b">
        <v>1</v>
      </c>
      <c r="B210" t="b">
        <v>0</v>
      </c>
      <c r="C210" t="b">
        <v>1</v>
      </c>
      <c r="D210" t="s">
        <v>522</v>
      </c>
      <c r="E210" t="b">
        <v>0</v>
      </c>
      <c r="F210" t="b">
        <v>0</v>
      </c>
      <c r="G210" t="s">
        <v>1191</v>
      </c>
      <c r="H210" t="s">
        <v>124</v>
      </c>
      <c r="I210" t="s">
        <v>1188</v>
      </c>
      <c r="J210">
        <v>0</v>
      </c>
      <c r="K210" t="s">
        <v>1186</v>
      </c>
      <c r="L210" t="s">
        <v>1189</v>
      </c>
      <c r="M210" t="s">
        <v>1950</v>
      </c>
      <c r="N210" t="s">
        <v>1962</v>
      </c>
      <c r="Q210" t="s">
        <v>1989</v>
      </c>
      <c r="R210" t="s">
        <v>2122</v>
      </c>
      <c r="S210" t="s">
        <v>2120</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1985</v>
      </c>
      <c r="N211" t="s">
        <v>1994</v>
      </c>
      <c r="Q211" t="s">
        <v>2031</v>
      </c>
      <c r="R211" t="s">
        <v>2123</v>
      </c>
      <c r="S211" t="s">
        <v>2124</v>
      </c>
      <c r="T211" s="1">
        <v>43773</v>
      </c>
      <c r="U211" s="1">
        <v>43983</v>
      </c>
      <c r="V211" t="s">
        <v>270</v>
      </c>
      <c r="W211">
        <v>25559634.34</v>
      </c>
      <c r="X211">
        <v>25559634</v>
      </c>
      <c r="Y211" t="s">
        <v>270</v>
      </c>
      <c r="Z211">
        <v>25559634</v>
      </c>
      <c r="AA211">
        <v>25559634</v>
      </c>
      <c r="AB211" t="b">
        <v>1</v>
      </c>
      <c r="AC211">
        <v>0.36</v>
      </c>
    </row>
    <row r="212" spans="1:29" x14ac:dyDescent="0.2">
      <c r="A212" t="b">
        <v>1</v>
      </c>
      <c r="B212" t="b">
        <v>0</v>
      </c>
      <c r="C212" t="b">
        <v>1</v>
      </c>
      <c r="D212" t="s">
        <v>522</v>
      </c>
      <c r="E212" t="b">
        <v>0</v>
      </c>
      <c r="F212" t="b">
        <v>0</v>
      </c>
      <c r="G212" t="s">
        <v>1191</v>
      </c>
      <c r="H212" t="s">
        <v>124</v>
      </c>
      <c r="I212" t="s">
        <v>1188</v>
      </c>
      <c r="J212">
        <v>0</v>
      </c>
      <c r="K212" t="s">
        <v>1186</v>
      </c>
      <c r="L212" t="s">
        <v>1189</v>
      </c>
      <c r="M212" t="s">
        <v>1950</v>
      </c>
      <c r="N212" t="s">
        <v>1956</v>
      </c>
      <c r="Q212" t="s">
        <v>1989</v>
      </c>
      <c r="R212" t="s">
        <v>2123</v>
      </c>
      <c r="S212" t="s">
        <v>2124</v>
      </c>
      <c r="T212" s="1">
        <v>43773</v>
      </c>
      <c r="U212" s="1">
        <v>43983</v>
      </c>
      <c r="V212" t="s">
        <v>270</v>
      </c>
      <c r="W212">
        <v>25559634.34</v>
      </c>
      <c r="X212">
        <v>25559634</v>
      </c>
      <c r="Y212" t="s">
        <v>270</v>
      </c>
      <c r="Z212">
        <v>25559634</v>
      </c>
      <c r="AA212">
        <v>25559634</v>
      </c>
      <c r="AB212" t="b">
        <v>1</v>
      </c>
      <c r="AC212">
        <v>0.36</v>
      </c>
    </row>
    <row r="213" spans="1:29" x14ac:dyDescent="0.2">
      <c r="A213" t="b">
        <v>1</v>
      </c>
      <c r="B213" t="b">
        <v>0</v>
      </c>
      <c r="C213" t="b">
        <v>1</v>
      </c>
      <c r="D213" t="s">
        <v>522</v>
      </c>
      <c r="E213" t="b">
        <v>0</v>
      </c>
      <c r="F213" t="b">
        <v>0</v>
      </c>
      <c r="G213" t="s">
        <v>1191</v>
      </c>
      <c r="H213" t="s">
        <v>124</v>
      </c>
      <c r="I213" t="s">
        <v>1188</v>
      </c>
      <c r="J213">
        <v>0</v>
      </c>
      <c r="K213" t="s">
        <v>1186</v>
      </c>
      <c r="L213" t="s">
        <v>1189</v>
      </c>
      <c r="M213" t="s">
        <v>1950</v>
      </c>
      <c r="N213" t="s">
        <v>1965</v>
      </c>
      <c r="Q213" t="s">
        <v>1987</v>
      </c>
      <c r="R213" t="s">
        <v>2125</v>
      </c>
      <c r="S213" t="s">
        <v>2124</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1985</v>
      </c>
      <c r="N214" t="s">
        <v>1986</v>
      </c>
      <c r="Q214" t="s">
        <v>1989</v>
      </c>
      <c r="R214" t="s">
        <v>2125</v>
      </c>
      <c r="S214" t="s">
        <v>2124</v>
      </c>
      <c r="T214" s="1">
        <v>43774</v>
      </c>
      <c r="U214" s="1">
        <v>43983</v>
      </c>
      <c r="V214" t="s">
        <v>270</v>
      </c>
      <c r="W214">
        <v>30160104.18</v>
      </c>
      <c r="X214">
        <v>30160104</v>
      </c>
      <c r="Y214" t="s">
        <v>270</v>
      </c>
      <c r="Z214">
        <v>30160104</v>
      </c>
      <c r="AA214">
        <v>30160104</v>
      </c>
      <c r="AB214" t="b">
        <v>1</v>
      </c>
      <c r="AC214">
        <v>0.82</v>
      </c>
    </row>
    <row r="215" spans="1:29" x14ac:dyDescent="0.2">
      <c r="A215" t="b">
        <v>1</v>
      </c>
      <c r="B215" t="b">
        <v>0</v>
      </c>
      <c r="C215" t="b">
        <v>1</v>
      </c>
      <c r="D215" t="s">
        <v>522</v>
      </c>
      <c r="E215" t="b">
        <v>0</v>
      </c>
      <c r="F215" t="b">
        <v>0</v>
      </c>
      <c r="G215" t="s">
        <v>1324</v>
      </c>
      <c r="H215">
        <v>0</v>
      </c>
      <c r="I215">
        <v>0</v>
      </c>
      <c r="J215" t="s">
        <v>1322</v>
      </c>
      <c r="K215" t="s">
        <v>397</v>
      </c>
      <c r="L215" t="s">
        <v>1323</v>
      </c>
      <c r="M215" t="s">
        <v>1950</v>
      </c>
      <c r="N215" t="s">
        <v>1955</v>
      </c>
      <c r="Q215" t="s">
        <v>2029</v>
      </c>
      <c r="R215" t="s">
        <v>2104</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2063</v>
      </c>
      <c r="N216" t="s">
        <v>441</v>
      </c>
      <c r="Q216" t="s">
        <v>2029</v>
      </c>
      <c r="R216" t="s">
        <v>2104</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2064</v>
      </c>
      <c r="N217" t="s">
        <v>441</v>
      </c>
      <c r="Q217" t="s">
        <v>1998</v>
      </c>
      <c r="R217" t="s">
        <v>2126</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1985</v>
      </c>
      <c r="N218" t="s">
        <v>1986</v>
      </c>
      <c r="Q218" t="s">
        <v>2127</v>
      </c>
      <c r="R218" t="s">
        <v>2126</v>
      </c>
      <c r="S218" t="s">
        <v>257</v>
      </c>
      <c r="T218" s="1">
        <v>43713</v>
      </c>
      <c r="U218" s="1">
        <v>43708</v>
      </c>
      <c r="V218" t="s">
        <v>260</v>
      </c>
      <c r="W218">
        <v>20000000</v>
      </c>
      <c r="X218">
        <v>20000000</v>
      </c>
      <c r="Y218" t="s">
        <v>260</v>
      </c>
      <c r="Z218">
        <v>20000000</v>
      </c>
      <c r="AA218">
        <v>4895000</v>
      </c>
      <c r="AB218" t="b">
        <v>1</v>
      </c>
      <c r="AC218">
        <v>0.92</v>
      </c>
    </row>
    <row r="219" spans="1:29" x14ac:dyDescent="0.2">
      <c r="A219" t="b">
        <v>1</v>
      </c>
      <c r="B219" t="b">
        <v>0</v>
      </c>
      <c r="C219" t="b">
        <v>1</v>
      </c>
      <c r="D219" t="s">
        <v>522</v>
      </c>
      <c r="E219" t="b">
        <v>0</v>
      </c>
      <c r="F219" t="b">
        <v>0</v>
      </c>
      <c r="G219" t="s">
        <v>1415</v>
      </c>
      <c r="H219">
        <v>0</v>
      </c>
      <c r="I219">
        <v>0</v>
      </c>
      <c r="J219" t="s">
        <v>1413</v>
      </c>
      <c r="K219" t="s">
        <v>504</v>
      </c>
      <c r="L219" t="s">
        <v>1414</v>
      </c>
      <c r="M219" t="s">
        <v>1950</v>
      </c>
      <c r="N219" t="s">
        <v>1955</v>
      </c>
      <c r="Q219" t="s">
        <v>2128</v>
      </c>
      <c r="R219" t="s">
        <v>2129</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1985</v>
      </c>
      <c r="N220" t="s">
        <v>1994</v>
      </c>
      <c r="Q220" t="s">
        <v>1989</v>
      </c>
      <c r="R220" t="s">
        <v>2129</v>
      </c>
      <c r="S220" t="s">
        <v>343</v>
      </c>
      <c r="T220" s="1">
        <v>43791</v>
      </c>
      <c r="U220" s="1">
        <v>44157</v>
      </c>
      <c r="V220" t="s">
        <v>345</v>
      </c>
      <c r="W220">
        <v>334300000</v>
      </c>
      <c r="X220">
        <v>334300000</v>
      </c>
      <c r="Y220" t="s">
        <v>345</v>
      </c>
      <c r="Z220">
        <v>334300000</v>
      </c>
      <c r="AA220">
        <v>17240845</v>
      </c>
      <c r="AB220" t="b">
        <v>1</v>
      </c>
      <c r="AC220">
        <v>0.8</v>
      </c>
    </row>
    <row r="221" spans="1:29" x14ac:dyDescent="0.2">
      <c r="A221" t="b">
        <v>1</v>
      </c>
      <c r="B221" t="b">
        <v>0</v>
      </c>
      <c r="C221" t="b">
        <v>1</v>
      </c>
      <c r="D221" t="s">
        <v>522</v>
      </c>
      <c r="E221" t="b">
        <v>0</v>
      </c>
      <c r="F221" t="b">
        <v>0</v>
      </c>
      <c r="G221" t="s">
        <v>1415</v>
      </c>
      <c r="H221">
        <v>0</v>
      </c>
      <c r="I221">
        <v>0</v>
      </c>
      <c r="J221" t="s">
        <v>1413</v>
      </c>
      <c r="K221" t="s">
        <v>504</v>
      </c>
      <c r="L221" t="s">
        <v>1414</v>
      </c>
      <c r="M221" t="s">
        <v>1950</v>
      </c>
      <c r="N221" t="s">
        <v>1956</v>
      </c>
      <c r="Q221" t="s">
        <v>2031</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1985</v>
      </c>
      <c r="N222" t="s">
        <v>1986</v>
      </c>
      <c r="Q222" t="s">
        <v>2031</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1955</v>
      </c>
      <c r="Q223" t="s">
        <v>2031</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2063</v>
      </c>
      <c r="N224" t="s">
        <v>441</v>
      </c>
      <c r="Q224" t="s">
        <v>2031</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2064</v>
      </c>
      <c r="N225" t="s">
        <v>441</v>
      </c>
      <c r="Q225" t="s">
        <v>2031</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1985</v>
      </c>
      <c r="N226" t="s">
        <v>1994</v>
      </c>
      <c r="Q226" t="s">
        <v>1989</v>
      </c>
      <c r="R226" t="s">
        <v>1425</v>
      </c>
      <c r="S226" t="s">
        <v>343</v>
      </c>
      <c r="T226" s="1">
        <v>43616</v>
      </c>
      <c r="U226" s="1">
        <v>43616</v>
      </c>
      <c r="V226" t="s">
        <v>270</v>
      </c>
      <c r="W226">
        <v>8990334</v>
      </c>
      <c r="X226">
        <v>8990334</v>
      </c>
      <c r="Y226" t="s">
        <v>270</v>
      </c>
      <c r="Z226">
        <v>8990334</v>
      </c>
      <c r="AA226">
        <v>8990334</v>
      </c>
      <c r="AB226" t="b">
        <v>0</v>
      </c>
      <c r="AC226">
        <v>0.75</v>
      </c>
    </row>
    <row r="227" spans="1:29" x14ac:dyDescent="0.2">
      <c r="A227" t="b">
        <v>1</v>
      </c>
      <c r="B227" t="b">
        <v>0</v>
      </c>
      <c r="C227" t="b">
        <v>1</v>
      </c>
      <c r="D227" t="s">
        <v>522</v>
      </c>
      <c r="E227" t="b">
        <v>0</v>
      </c>
      <c r="F227" t="b">
        <v>0</v>
      </c>
      <c r="G227" t="s">
        <v>1855</v>
      </c>
      <c r="H227" t="s">
        <v>200</v>
      </c>
      <c r="I227" t="s">
        <v>1851</v>
      </c>
      <c r="J227" t="s">
        <v>1852</v>
      </c>
      <c r="K227" t="s">
        <v>1849</v>
      </c>
      <c r="L227" t="s">
        <v>1853</v>
      </c>
      <c r="M227" t="s">
        <v>1950</v>
      </c>
      <c r="N227" t="s">
        <v>1956</v>
      </c>
      <c r="Q227" t="s">
        <v>1989</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1985</v>
      </c>
      <c r="N228" t="s">
        <v>2017</v>
      </c>
      <c r="Q228" t="s">
        <v>1989</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1957</v>
      </c>
      <c r="Q229" t="s">
        <v>1989</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1985</v>
      </c>
      <c r="N230" t="s">
        <v>2024</v>
      </c>
      <c r="Q230" t="s">
        <v>1989</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1960</v>
      </c>
      <c r="Q231" t="s">
        <v>2029</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1985</v>
      </c>
      <c r="N232" t="s">
        <v>1986</v>
      </c>
      <c r="Q232" t="s">
        <v>2029</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1955</v>
      </c>
      <c r="Q233" t="s">
        <v>2029</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1958</v>
      </c>
      <c r="Q234" t="s">
        <v>2029</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1985</v>
      </c>
      <c r="N235" t="s">
        <v>1994</v>
      </c>
      <c r="Q235" t="s">
        <v>2029</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1965</v>
      </c>
      <c r="Q236" t="s">
        <v>2029</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1985</v>
      </c>
      <c r="N237" t="s">
        <v>1994</v>
      </c>
      <c r="Q237" t="s">
        <v>2029</v>
      </c>
      <c r="R237" t="s">
        <v>1425</v>
      </c>
      <c r="S237" t="s">
        <v>343</v>
      </c>
      <c r="T237" s="1">
        <v>43524</v>
      </c>
      <c r="U237" s="1">
        <v>43524</v>
      </c>
      <c r="V237" t="s">
        <v>270</v>
      </c>
      <c r="W237">
        <v>56964986</v>
      </c>
      <c r="X237">
        <v>56964986</v>
      </c>
      <c r="Y237" t="s">
        <v>270</v>
      </c>
      <c r="Z237">
        <v>56964986</v>
      </c>
      <c r="AA237">
        <v>56964986</v>
      </c>
      <c r="AB237" t="b">
        <v>0</v>
      </c>
      <c r="AC237">
        <v>0.75</v>
      </c>
    </row>
    <row r="238" spans="1:29" x14ac:dyDescent="0.2">
      <c r="A238" t="b">
        <v>1</v>
      </c>
      <c r="B238" t="b">
        <v>0</v>
      </c>
      <c r="C238" t="b">
        <v>1</v>
      </c>
      <c r="D238" t="s">
        <v>522</v>
      </c>
      <c r="E238" t="b">
        <v>0</v>
      </c>
      <c r="F238" t="b">
        <v>0</v>
      </c>
      <c r="G238" t="s">
        <v>1638</v>
      </c>
      <c r="H238" t="s">
        <v>198</v>
      </c>
      <c r="I238">
        <v>0</v>
      </c>
      <c r="J238">
        <v>0</v>
      </c>
      <c r="K238" t="s">
        <v>1633</v>
      </c>
      <c r="L238" t="s">
        <v>1636</v>
      </c>
      <c r="M238" t="s">
        <v>1950</v>
      </c>
      <c r="N238" t="s">
        <v>1956</v>
      </c>
      <c r="Q238" t="s">
        <v>2029</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1985</v>
      </c>
      <c r="N239" t="s">
        <v>2024</v>
      </c>
      <c r="Q239" t="s">
        <v>2029</v>
      </c>
      <c r="R239" t="s">
        <v>1425</v>
      </c>
      <c r="S239" t="s">
        <v>343</v>
      </c>
      <c r="T239" s="1">
        <v>43343</v>
      </c>
      <c r="U239" s="1">
        <v>43343</v>
      </c>
      <c r="V239" t="s">
        <v>270</v>
      </c>
      <c r="W239">
        <v>86742146</v>
      </c>
      <c r="X239">
        <v>86742146</v>
      </c>
      <c r="Y239" t="s">
        <v>270</v>
      </c>
      <c r="Z239">
        <v>86742146</v>
      </c>
      <c r="AA239">
        <v>86742146</v>
      </c>
      <c r="AB239" t="b">
        <v>0</v>
      </c>
      <c r="AC239">
        <v>0.75</v>
      </c>
    </row>
    <row r="240" spans="1:29" x14ac:dyDescent="0.2">
      <c r="A240" t="b">
        <v>1</v>
      </c>
      <c r="B240" t="b">
        <v>0</v>
      </c>
      <c r="C240" t="b">
        <v>1</v>
      </c>
      <c r="D240" t="s">
        <v>522</v>
      </c>
      <c r="E240" t="b">
        <v>0</v>
      </c>
      <c r="F240" t="b">
        <v>0</v>
      </c>
      <c r="G240" t="s">
        <v>1638</v>
      </c>
      <c r="H240" t="s">
        <v>198</v>
      </c>
      <c r="I240">
        <v>0</v>
      </c>
      <c r="J240">
        <v>0</v>
      </c>
      <c r="K240" t="s">
        <v>1633</v>
      </c>
      <c r="L240" t="s">
        <v>1636</v>
      </c>
      <c r="M240" t="s">
        <v>1950</v>
      </c>
      <c r="N240" t="s">
        <v>1958</v>
      </c>
      <c r="Q240" t="s">
        <v>2029</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1985</v>
      </c>
      <c r="N241" t="s">
        <v>441</v>
      </c>
      <c r="Q241" t="s">
        <v>2031</v>
      </c>
      <c r="R241" t="s">
        <v>2130</v>
      </c>
      <c r="S241" t="s">
        <v>257</v>
      </c>
      <c r="T241" s="1">
        <v>43669</v>
      </c>
      <c r="U241" s="1">
        <v>43920</v>
      </c>
      <c r="V241" t="s">
        <v>260</v>
      </c>
      <c r="W241">
        <v>15500000</v>
      </c>
      <c r="X241">
        <v>15500000</v>
      </c>
      <c r="Y241" t="s">
        <v>260</v>
      </c>
      <c r="Z241">
        <v>15500000</v>
      </c>
      <c r="AA241">
        <v>2984385</v>
      </c>
      <c r="AB241" t="b">
        <v>1</v>
      </c>
      <c r="AC241">
        <v>0.1</v>
      </c>
    </row>
    <row r="242" spans="1:29" x14ac:dyDescent="0.2">
      <c r="A242" t="b">
        <v>1</v>
      </c>
      <c r="B242" t="b">
        <v>0</v>
      </c>
      <c r="C242" t="b">
        <v>1</v>
      </c>
      <c r="D242" t="s">
        <v>522</v>
      </c>
      <c r="E242" t="b">
        <v>0</v>
      </c>
      <c r="F242" t="b">
        <v>0</v>
      </c>
      <c r="G242" t="s">
        <v>1638</v>
      </c>
      <c r="H242" t="s">
        <v>198</v>
      </c>
      <c r="I242">
        <v>0</v>
      </c>
      <c r="J242">
        <v>0</v>
      </c>
      <c r="K242" t="s">
        <v>1633</v>
      </c>
      <c r="L242" t="s">
        <v>1636</v>
      </c>
      <c r="M242" t="s">
        <v>1950</v>
      </c>
      <c r="N242" t="s">
        <v>1960</v>
      </c>
      <c r="Q242" t="s">
        <v>1989</v>
      </c>
      <c r="R242" t="s">
        <v>2130</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1985</v>
      </c>
      <c r="N243" t="s">
        <v>1986</v>
      </c>
      <c r="Q243" t="s">
        <v>2031</v>
      </c>
      <c r="R243" t="s">
        <v>2131</v>
      </c>
      <c r="S243" t="s">
        <v>257</v>
      </c>
      <c r="T243" s="1">
        <v>43669</v>
      </c>
      <c r="U243" s="1">
        <v>43920</v>
      </c>
      <c r="V243" t="s">
        <v>260</v>
      </c>
      <c r="W243">
        <v>15500000</v>
      </c>
      <c r="X243">
        <v>15500000</v>
      </c>
      <c r="Y243" t="s">
        <v>260</v>
      </c>
      <c r="Z243">
        <v>15500000</v>
      </c>
      <c r="AA243">
        <v>2984385</v>
      </c>
      <c r="AB243" t="b">
        <v>1</v>
      </c>
      <c r="AC243">
        <v>0.1</v>
      </c>
    </row>
    <row r="244" spans="1:29" x14ac:dyDescent="0.2">
      <c r="A244" t="b">
        <v>1</v>
      </c>
      <c r="B244" t="b">
        <v>0</v>
      </c>
      <c r="C244" t="b">
        <v>1</v>
      </c>
      <c r="D244" t="s">
        <v>522</v>
      </c>
      <c r="E244" t="b">
        <v>0</v>
      </c>
      <c r="F244" t="b">
        <v>0</v>
      </c>
      <c r="G244" t="s">
        <v>1638</v>
      </c>
      <c r="H244" t="s">
        <v>198</v>
      </c>
      <c r="I244">
        <v>0</v>
      </c>
      <c r="J244">
        <v>0</v>
      </c>
      <c r="K244" t="s">
        <v>1633</v>
      </c>
      <c r="L244" t="s">
        <v>1636</v>
      </c>
      <c r="M244" t="s">
        <v>1950</v>
      </c>
      <c r="N244" t="s">
        <v>1955</v>
      </c>
      <c r="Q244" t="s">
        <v>1989</v>
      </c>
      <c r="R244" t="s">
        <v>2131</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1985</v>
      </c>
      <c r="N245" t="s">
        <v>2017</v>
      </c>
      <c r="Q245" t="s">
        <v>2025</v>
      </c>
      <c r="R245" t="s">
        <v>2132</v>
      </c>
      <c r="S245" t="s">
        <v>384</v>
      </c>
      <c r="T245" s="1">
        <v>43665</v>
      </c>
      <c r="U245" s="1">
        <v>43665</v>
      </c>
      <c r="V245" t="s">
        <v>386</v>
      </c>
      <c r="W245">
        <v>92000000000</v>
      </c>
      <c r="X245">
        <v>92000000000</v>
      </c>
      <c r="Y245" t="s">
        <v>386</v>
      </c>
      <c r="Z245">
        <v>92000000000</v>
      </c>
      <c r="AA245">
        <v>28903459</v>
      </c>
      <c r="AB245" t="b">
        <v>0</v>
      </c>
    </row>
    <row r="246" spans="1:29" x14ac:dyDescent="0.2">
      <c r="A246" t="b">
        <v>1</v>
      </c>
      <c r="B246" t="b">
        <v>0</v>
      </c>
      <c r="C246" t="b">
        <v>1</v>
      </c>
      <c r="D246" t="s">
        <v>522</v>
      </c>
      <c r="E246" t="b">
        <v>0</v>
      </c>
      <c r="F246" t="b">
        <v>0</v>
      </c>
      <c r="G246" t="s">
        <v>1638</v>
      </c>
      <c r="H246" t="s">
        <v>198</v>
      </c>
      <c r="I246">
        <v>0</v>
      </c>
      <c r="J246">
        <v>0</v>
      </c>
      <c r="K246" t="s">
        <v>1633</v>
      </c>
      <c r="L246" t="s">
        <v>1636</v>
      </c>
      <c r="M246" t="s">
        <v>1950</v>
      </c>
      <c r="N246" t="s">
        <v>1957</v>
      </c>
      <c r="Q246" t="s">
        <v>2025</v>
      </c>
      <c r="R246" t="s">
        <v>2132</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1985</v>
      </c>
      <c r="N247" t="s">
        <v>1986</v>
      </c>
      <c r="Q247" t="s">
        <v>2029</v>
      </c>
      <c r="R247" t="s">
        <v>2133</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1955</v>
      </c>
      <c r="Q248" t="s">
        <v>2036</v>
      </c>
      <c r="R248" t="s">
        <v>2133</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1985</v>
      </c>
      <c r="N249" t="s">
        <v>1986</v>
      </c>
      <c r="Q249" t="s">
        <v>2031</v>
      </c>
      <c r="R249" t="s">
        <v>2134</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1955</v>
      </c>
      <c r="Q250" t="s">
        <v>1989</v>
      </c>
      <c r="R250" t="s">
        <v>2134</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1985</v>
      </c>
      <c r="N251" t="s">
        <v>1986</v>
      </c>
      <c r="Q251" t="s">
        <v>2031</v>
      </c>
      <c r="R251" t="s">
        <v>2135</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1955</v>
      </c>
      <c r="Q252" t="s">
        <v>1989</v>
      </c>
      <c r="R252" t="s">
        <v>2135</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1985</v>
      </c>
      <c r="N253" t="s">
        <v>1986</v>
      </c>
      <c r="Q253" t="s">
        <v>2029</v>
      </c>
      <c r="R253" t="s">
        <v>2136</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1955</v>
      </c>
      <c r="Q254" t="s">
        <v>2036</v>
      </c>
      <c r="R254" t="s">
        <v>2136</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1985</v>
      </c>
      <c r="N255" t="s">
        <v>1986</v>
      </c>
      <c r="Q255" t="s">
        <v>2029</v>
      </c>
      <c r="R255" t="s">
        <v>2137</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1955</v>
      </c>
      <c r="Q256" t="s">
        <v>2029</v>
      </c>
      <c r="R256" t="s">
        <v>2137</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1985</v>
      </c>
      <c r="N257" t="s">
        <v>1986</v>
      </c>
      <c r="Q257" t="s">
        <v>2031</v>
      </c>
      <c r="R257" t="s">
        <v>2138</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1955</v>
      </c>
      <c r="Q258" t="s">
        <v>1989</v>
      </c>
      <c r="R258" t="s">
        <v>2138</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1985</v>
      </c>
      <c r="N259" t="s">
        <v>2170</v>
      </c>
      <c r="Q259" t="s">
        <v>2141</v>
      </c>
      <c r="R259" t="s">
        <v>2142</v>
      </c>
      <c r="S259" t="s">
        <v>287</v>
      </c>
      <c r="T259" s="1">
        <v>43602</v>
      </c>
      <c r="U259" s="1">
        <v>43465</v>
      </c>
      <c r="V259" t="s">
        <v>270</v>
      </c>
      <c r="W259">
        <v>11397764</v>
      </c>
      <c r="X259">
        <v>11397764</v>
      </c>
      <c r="Y259" t="s">
        <v>290</v>
      </c>
      <c r="Z259">
        <v>411</v>
      </c>
      <c r="AA259">
        <v>11397764</v>
      </c>
      <c r="AB259" t="b">
        <v>0</v>
      </c>
      <c r="AC259">
        <v>1</v>
      </c>
    </row>
    <row r="260" spans="1:29" x14ac:dyDescent="0.2">
      <c r="A260" t="b">
        <v>1</v>
      </c>
      <c r="B260" t="b">
        <v>0</v>
      </c>
      <c r="C260" t="b">
        <v>1</v>
      </c>
      <c r="D260" t="s">
        <v>522</v>
      </c>
      <c r="E260" t="b">
        <v>0</v>
      </c>
      <c r="F260" t="b">
        <v>0</v>
      </c>
      <c r="G260" t="s">
        <v>1638</v>
      </c>
      <c r="H260" t="s">
        <v>198</v>
      </c>
      <c r="I260">
        <v>0</v>
      </c>
      <c r="J260">
        <v>0</v>
      </c>
      <c r="K260" t="s">
        <v>1633</v>
      </c>
      <c r="L260" t="s">
        <v>1636</v>
      </c>
      <c r="M260" t="s">
        <v>1950</v>
      </c>
      <c r="N260" t="s">
        <v>1962</v>
      </c>
      <c r="Q260" t="s">
        <v>2141</v>
      </c>
      <c r="R260" t="s">
        <v>2142</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2445</v>
      </c>
      <c r="L261" t="s">
        <v>2446</v>
      </c>
      <c r="M261" t="s">
        <v>1985</v>
      </c>
      <c r="N261" t="s">
        <v>1986</v>
      </c>
      <c r="Q261" t="s">
        <v>2025</v>
      </c>
      <c r="R261" t="s">
        <v>2142</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2445</v>
      </c>
      <c r="L262" t="s">
        <v>2446</v>
      </c>
      <c r="M262" t="s">
        <v>1950</v>
      </c>
      <c r="N262" t="s">
        <v>1955</v>
      </c>
      <c r="Q262" t="s">
        <v>2025</v>
      </c>
      <c r="R262" t="s">
        <v>2142</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2445</v>
      </c>
      <c r="L263" t="s">
        <v>2446</v>
      </c>
      <c r="M263" t="s">
        <v>2063</v>
      </c>
      <c r="N263" t="s">
        <v>441</v>
      </c>
      <c r="Q263" t="s">
        <v>2029</v>
      </c>
      <c r="R263" t="s">
        <v>2142</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2445</v>
      </c>
      <c r="L264" t="s">
        <v>2446</v>
      </c>
      <c r="M264" t="s">
        <v>2064</v>
      </c>
      <c r="N264" t="s">
        <v>441</v>
      </c>
      <c r="Q264" t="s">
        <v>2029</v>
      </c>
      <c r="R264" t="s">
        <v>2142</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1985</v>
      </c>
      <c r="N265" t="s">
        <v>2024</v>
      </c>
      <c r="Q265" t="s">
        <v>2029</v>
      </c>
      <c r="R265" t="s">
        <v>2142</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1958</v>
      </c>
      <c r="Q266" t="s">
        <v>2029</v>
      </c>
      <c r="R266" t="s">
        <v>2142</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1985</v>
      </c>
      <c r="N267" t="s">
        <v>1946</v>
      </c>
      <c r="Q267" t="s">
        <v>2117</v>
      </c>
      <c r="R267" t="s">
        <v>2143</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2029</v>
      </c>
      <c r="R268" t="s">
        <v>2143</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1985</v>
      </c>
      <c r="N269" t="s">
        <v>2024</v>
      </c>
      <c r="Q269" t="s">
        <v>2029</v>
      </c>
      <c r="R269" t="s">
        <v>2143</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1958</v>
      </c>
      <c r="Q270" t="s">
        <v>1998</v>
      </c>
      <c r="R270" t="s">
        <v>2144</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1985</v>
      </c>
      <c r="N271" t="s">
        <v>1986</v>
      </c>
      <c r="Q271" t="s">
        <v>2067</v>
      </c>
      <c r="R271" t="s">
        <v>2144</v>
      </c>
      <c r="S271" t="s">
        <v>808</v>
      </c>
      <c r="T271" s="1">
        <v>43374</v>
      </c>
      <c r="U271" s="1">
        <v>42735</v>
      </c>
      <c r="V271" t="s">
        <v>270</v>
      </c>
      <c r="W271">
        <v>2396472</v>
      </c>
      <c r="X271">
        <v>2396472</v>
      </c>
      <c r="Y271" t="s">
        <v>811</v>
      </c>
      <c r="Z271">
        <v>7812498</v>
      </c>
      <c r="AA271">
        <v>2396472</v>
      </c>
      <c r="AB271" t="b">
        <v>1</v>
      </c>
      <c r="AC271">
        <v>1</v>
      </c>
    </row>
    <row r="272" spans="1:29" x14ac:dyDescent="0.2">
      <c r="A272" t="b">
        <v>1</v>
      </c>
      <c r="B272" t="b">
        <v>0</v>
      </c>
      <c r="C272" t="b">
        <v>1</v>
      </c>
      <c r="D272" t="s">
        <v>522</v>
      </c>
      <c r="E272" t="b">
        <v>0</v>
      </c>
      <c r="F272" t="b">
        <v>0</v>
      </c>
      <c r="G272" t="s">
        <v>1191</v>
      </c>
      <c r="H272" t="s">
        <v>124</v>
      </c>
      <c r="I272" t="s">
        <v>1188</v>
      </c>
      <c r="J272">
        <v>0</v>
      </c>
      <c r="K272" t="s">
        <v>1186</v>
      </c>
      <c r="L272" t="s">
        <v>1189</v>
      </c>
      <c r="M272" t="s">
        <v>1950</v>
      </c>
      <c r="N272" t="s">
        <v>1955</v>
      </c>
      <c r="Q272" t="s">
        <v>2029</v>
      </c>
      <c r="R272" t="s">
        <v>2144</v>
      </c>
      <c r="S272" t="s">
        <v>808</v>
      </c>
      <c r="T272" s="1">
        <v>43374</v>
      </c>
      <c r="U272" s="1">
        <v>42735</v>
      </c>
      <c r="V272" t="s">
        <v>270</v>
      </c>
      <c r="W272">
        <v>2396472</v>
      </c>
      <c r="X272">
        <v>2396472</v>
      </c>
      <c r="Y272" t="s">
        <v>811</v>
      </c>
      <c r="Z272">
        <v>7812498</v>
      </c>
      <c r="AA272">
        <v>2396472</v>
      </c>
      <c r="AB272" t="b">
        <v>1</v>
      </c>
      <c r="AC272">
        <v>1</v>
      </c>
    </row>
    <row r="273" spans="1:29" x14ac:dyDescent="0.2">
      <c r="A273" t="b">
        <v>1</v>
      </c>
      <c r="B273" t="b">
        <v>0</v>
      </c>
      <c r="C273" t="b">
        <v>1</v>
      </c>
      <c r="D273" t="s">
        <v>522</v>
      </c>
      <c r="E273" t="b">
        <v>0</v>
      </c>
      <c r="F273" t="b">
        <v>0</v>
      </c>
      <c r="G273" t="s">
        <v>1191</v>
      </c>
      <c r="H273" t="s">
        <v>124</v>
      </c>
      <c r="I273" t="s">
        <v>1188</v>
      </c>
      <c r="J273">
        <v>0</v>
      </c>
      <c r="K273" t="s">
        <v>1186</v>
      </c>
      <c r="L273" t="s">
        <v>1189</v>
      </c>
      <c r="M273" t="s">
        <v>1950</v>
      </c>
      <c r="N273" t="s">
        <v>1960</v>
      </c>
      <c r="Q273" t="s">
        <v>2029</v>
      </c>
      <c r="R273" t="s">
        <v>2144</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2139</v>
      </c>
      <c r="L274" t="s">
        <v>2140</v>
      </c>
      <c r="M274" t="s">
        <v>1985</v>
      </c>
      <c r="N274" t="s">
        <v>1994</v>
      </c>
      <c r="Q274" t="s">
        <v>2146</v>
      </c>
      <c r="R274" t="s">
        <v>2147</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2139</v>
      </c>
      <c r="L275" t="s">
        <v>2140</v>
      </c>
      <c r="M275" t="s">
        <v>1950</v>
      </c>
      <c r="N275" t="s">
        <v>1956</v>
      </c>
      <c r="Q275" t="s">
        <v>2036</v>
      </c>
      <c r="R275" t="s">
        <v>2147</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2139</v>
      </c>
      <c r="L276" t="s">
        <v>2140</v>
      </c>
      <c r="M276" t="s">
        <v>1985</v>
      </c>
      <c r="N276" t="s">
        <v>2074</v>
      </c>
      <c r="Q276" t="s">
        <v>2029</v>
      </c>
      <c r="R276" t="s">
        <v>2147</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2139</v>
      </c>
      <c r="L277" t="s">
        <v>2140</v>
      </c>
      <c r="M277" t="s">
        <v>1950</v>
      </c>
      <c r="N277" t="s">
        <v>1961</v>
      </c>
      <c r="Q277" t="s">
        <v>2031</v>
      </c>
      <c r="R277" t="s">
        <v>2148</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1985</v>
      </c>
      <c r="N278" t="s">
        <v>1986</v>
      </c>
      <c r="Q278" t="s">
        <v>1989</v>
      </c>
      <c r="R278" t="s">
        <v>2148</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1955</v>
      </c>
      <c r="Q279" t="s">
        <v>2087</v>
      </c>
      <c r="R279" t="s">
        <v>2149</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2063</v>
      </c>
      <c r="N280" t="s">
        <v>441</v>
      </c>
      <c r="Q280" t="s">
        <v>2087</v>
      </c>
      <c r="R280" t="s">
        <v>2149</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2064</v>
      </c>
      <c r="N281" t="s">
        <v>441</v>
      </c>
      <c r="Q281" t="s">
        <v>2087</v>
      </c>
      <c r="R281" t="s">
        <v>2150</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1985</v>
      </c>
      <c r="N282" t="s">
        <v>1994</v>
      </c>
      <c r="Q282" t="s">
        <v>2087</v>
      </c>
      <c r="R282" t="s">
        <v>2150</v>
      </c>
      <c r="S282" t="s">
        <v>257</v>
      </c>
      <c r="T282" s="1">
        <v>43669</v>
      </c>
      <c r="U282" s="1">
        <v>43920</v>
      </c>
      <c r="V282" t="s">
        <v>260</v>
      </c>
      <c r="W282">
        <v>36200000</v>
      </c>
      <c r="X282">
        <v>36200000</v>
      </c>
      <c r="Y282" t="s">
        <v>260</v>
      </c>
      <c r="Z282">
        <v>36200000</v>
      </c>
      <c r="AA282">
        <v>6969983</v>
      </c>
      <c r="AB282" t="b">
        <v>1</v>
      </c>
      <c r="AC282">
        <v>7.0000000000000007E-2</v>
      </c>
    </row>
    <row r="283" spans="1:29" x14ac:dyDescent="0.2">
      <c r="A283" t="b">
        <v>1</v>
      </c>
      <c r="B283" t="b">
        <v>0</v>
      </c>
      <c r="C283" t="b">
        <v>1</v>
      </c>
      <c r="D283" t="s">
        <v>522</v>
      </c>
      <c r="E283" t="b">
        <v>0</v>
      </c>
      <c r="F283" t="b">
        <v>0</v>
      </c>
      <c r="G283" t="s">
        <v>1846</v>
      </c>
      <c r="H283" t="s">
        <v>1842</v>
      </c>
      <c r="I283" t="s">
        <v>1843</v>
      </c>
      <c r="J283">
        <v>0</v>
      </c>
      <c r="K283" t="s">
        <v>1840</v>
      </c>
      <c r="L283" t="s">
        <v>1844</v>
      </c>
      <c r="M283" t="s">
        <v>1950</v>
      </c>
      <c r="N283" t="s">
        <v>1956</v>
      </c>
      <c r="Q283" t="s">
        <v>2080</v>
      </c>
      <c r="R283" t="s">
        <v>2151</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1985</v>
      </c>
      <c r="N284" t="s">
        <v>441</v>
      </c>
      <c r="Q284" t="s">
        <v>2080</v>
      </c>
      <c r="R284" t="s">
        <v>2151</v>
      </c>
      <c r="S284" t="s">
        <v>287</v>
      </c>
      <c r="T284" s="1">
        <v>42829</v>
      </c>
      <c r="U284" s="1">
        <v>42735</v>
      </c>
      <c r="V284" t="s">
        <v>270</v>
      </c>
      <c r="W284">
        <v>3955503</v>
      </c>
      <c r="X284">
        <v>3955503</v>
      </c>
      <c r="Y284" t="s">
        <v>270</v>
      </c>
      <c r="Z284">
        <v>3955503</v>
      </c>
      <c r="AA284">
        <v>3955503</v>
      </c>
      <c r="AB284" t="b">
        <v>0</v>
      </c>
      <c r="AC284">
        <v>1</v>
      </c>
    </row>
    <row r="285" spans="1:29" x14ac:dyDescent="0.2">
      <c r="A285" t="b">
        <v>1</v>
      </c>
      <c r="B285" t="b">
        <v>0</v>
      </c>
      <c r="C285" t="b">
        <v>1</v>
      </c>
      <c r="D285" t="s">
        <v>522</v>
      </c>
      <c r="E285" t="b">
        <v>0</v>
      </c>
      <c r="F285" t="b">
        <v>0</v>
      </c>
      <c r="G285" t="s">
        <v>1846</v>
      </c>
      <c r="H285" t="s">
        <v>1842</v>
      </c>
      <c r="I285" t="s">
        <v>1843</v>
      </c>
      <c r="J285">
        <v>0</v>
      </c>
      <c r="K285" t="s">
        <v>1840</v>
      </c>
      <c r="L285" t="s">
        <v>1844</v>
      </c>
      <c r="M285" t="s">
        <v>1950</v>
      </c>
      <c r="N285" t="s">
        <v>1962</v>
      </c>
      <c r="Q285" t="s">
        <v>2082</v>
      </c>
      <c r="R285" t="s">
        <v>2151</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1985</v>
      </c>
      <c r="N286" t="s">
        <v>1986</v>
      </c>
      <c r="Q286" t="s">
        <v>2082</v>
      </c>
      <c r="R286" t="s">
        <v>2151</v>
      </c>
      <c r="S286" t="s">
        <v>287</v>
      </c>
      <c r="T286" s="1">
        <v>42829</v>
      </c>
      <c r="U286" s="1">
        <v>42735</v>
      </c>
      <c r="V286" t="s">
        <v>270</v>
      </c>
      <c r="W286">
        <v>3955503</v>
      </c>
      <c r="X286">
        <v>3955503</v>
      </c>
      <c r="Y286" t="s">
        <v>270</v>
      </c>
      <c r="Z286">
        <v>3955503</v>
      </c>
      <c r="AA286">
        <v>3955503</v>
      </c>
      <c r="AB286" t="b">
        <v>0</v>
      </c>
      <c r="AC286">
        <v>1</v>
      </c>
    </row>
    <row r="287" spans="1:29" x14ac:dyDescent="0.2">
      <c r="A287" t="b">
        <v>1</v>
      </c>
      <c r="B287" t="b">
        <v>0</v>
      </c>
      <c r="C287" t="b">
        <v>1</v>
      </c>
      <c r="D287" t="s">
        <v>522</v>
      </c>
      <c r="E287" t="b">
        <v>0</v>
      </c>
      <c r="F287" t="b">
        <v>0</v>
      </c>
      <c r="G287" t="s">
        <v>1398</v>
      </c>
      <c r="H287" t="s">
        <v>102</v>
      </c>
      <c r="I287" t="s">
        <v>1911</v>
      </c>
      <c r="J287">
        <v>0</v>
      </c>
      <c r="K287" t="s">
        <v>1909</v>
      </c>
      <c r="L287" t="s">
        <v>1912</v>
      </c>
      <c r="M287" t="s">
        <v>1950</v>
      </c>
      <c r="N287" t="s">
        <v>1955</v>
      </c>
      <c r="Q287" t="s">
        <v>2029</v>
      </c>
      <c r="R287" t="s">
        <v>2151</v>
      </c>
      <c r="S287" t="s">
        <v>287</v>
      </c>
      <c r="T287" s="1">
        <v>42829</v>
      </c>
      <c r="U287" s="1">
        <v>43465</v>
      </c>
      <c r="V287" t="s">
        <v>270</v>
      </c>
      <c r="W287">
        <v>1549647</v>
      </c>
      <c r="X287">
        <v>1549647</v>
      </c>
      <c r="Y287" t="s">
        <v>270</v>
      </c>
      <c r="Z287">
        <v>1549647</v>
      </c>
      <c r="AA287">
        <v>1549647</v>
      </c>
      <c r="AB287" t="b">
        <v>0</v>
      </c>
      <c r="AC287">
        <v>1</v>
      </c>
    </row>
    <row r="288" spans="1:29"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2029</v>
      </c>
      <c r="R288" t="s">
        <v>2151</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1985</v>
      </c>
      <c r="N289" t="s">
        <v>2024</v>
      </c>
      <c r="Q289" t="s">
        <v>2029</v>
      </c>
      <c r="R289" t="s">
        <v>2151</v>
      </c>
      <c r="S289" t="s">
        <v>287</v>
      </c>
      <c r="T289" s="1">
        <v>42829</v>
      </c>
      <c r="U289" s="1">
        <v>43465</v>
      </c>
      <c r="V289" t="s">
        <v>270</v>
      </c>
      <c r="W289">
        <v>1549647</v>
      </c>
      <c r="X289">
        <v>1549647</v>
      </c>
      <c r="Y289" t="s">
        <v>270</v>
      </c>
      <c r="Z289">
        <v>1549647</v>
      </c>
      <c r="AA289">
        <v>1549647</v>
      </c>
      <c r="AB289" t="b">
        <v>0</v>
      </c>
      <c r="AC289">
        <v>1</v>
      </c>
    </row>
    <row r="290" spans="1:29" x14ac:dyDescent="0.2">
      <c r="A290" t="b">
        <v>1</v>
      </c>
      <c r="B290" t="b">
        <v>0</v>
      </c>
      <c r="C290" t="b">
        <v>1</v>
      </c>
      <c r="D290" t="s">
        <v>522</v>
      </c>
      <c r="E290" t="b">
        <v>0</v>
      </c>
      <c r="F290" t="b">
        <v>0</v>
      </c>
      <c r="G290" t="s">
        <v>1191</v>
      </c>
      <c r="H290" t="s">
        <v>123</v>
      </c>
      <c r="I290" t="s">
        <v>1799</v>
      </c>
      <c r="J290">
        <v>0</v>
      </c>
      <c r="K290" t="s">
        <v>1797</v>
      </c>
      <c r="L290" t="s">
        <v>1800</v>
      </c>
      <c r="M290" t="s">
        <v>1950</v>
      </c>
      <c r="N290" t="s">
        <v>1962</v>
      </c>
      <c r="Q290" t="s">
        <v>2029</v>
      </c>
      <c r="R290" t="s">
        <v>2151</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1985</v>
      </c>
      <c r="N291" t="s">
        <v>2017</v>
      </c>
      <c r="Q291" t="s">
        <v>2146</v>
      </c>
      <c r="R291" t="s">
        <v>2152</v>
      </c>
      <c r="S291" t="s">
        <v>287</v>
      </c>
      <c r="T291" s="1">
        <v>43602</v>
      </c>
      <c r="U291" s="1">
        <v>43465</v>
      </c>
      <c r="V291" t="s">
        <v>270</v>
      </c>
      <c r="W291">
        <v>4052828</v>
      </c>
      <c r="X291">
        <v>4052828</v>
      </c>
      <c r="Y291" t="s">
        <v>290</v>
      </c>
      <c r="Z291">
        <v>146</v>
      </c>
      <c r="AA291">
        <v>4052828</v>
      </c>
      <c r="AB291" t="b">
        <v>0</v>
      </c>
      <c r="AC291">
        <v>1</v>
      </c>
    </row>
    <row r="292" spans="1:29" x14ac:dyDescent="0.2">
      <c r="A292" t="b">
        <v>1</v>
      </c>
      <c r="B292" t="b">
        <v>0</v>
      </c>
      <c r="C292" t="b">
        <v>1</v>
      </c>
      <c r="D292" t="s">
        <v>522</v>
      </c>
      <c r="E292" t="b">
        <v>0</v>
      </c>
      <c r="F292" t="b">
        <v>0</v>
      </c>
      <c r="G292" t="s">
        <v>1191</v>
      </c>
      <c r="H292" t="s">
        <v>124</v>
      </c>
      <c r="I292" t="s">
        <v>1188</v>
      </c>
      <c r="J292">
        <v>0</v>
      </c>
      <c r="K292" t="s">
        <v>1186</v>
      </c>
      <c r="L292" t="s">
        <v>1189</v>
      </c>
      <c r="M292" t="s">
        <v>1950</v>
      </c>
      <c r="N292" t="s">
        <v>1957</v>
      </c>
      <c r="Q292" t="s">
        <v>2146</v>
      </c>
      <c r="R292" t="s">
        <v>2152</v>
      </c>
      <c r="S292" t="s">
        <v>287</v>
      </c>
      <c r="T292" s="1">
        <v>43602</v>
      </c>
      <c r="U292" s="1">
        <v>43830</v>
      </c>
      <c r="V292" t="s">
        <v>270</v>
      </c>
      <c r="W292">
        <v>1362421</v>
      </c>
      <c r="X292">
        <v>1362421</v>
      </c>
      <c r="Y292" t="s">
        <v>290</v>
      </c>
      <c r="Z292">
        <v>49</v>
      </c>
      <c r="AA292">
        <v>1362421</v>
      </c>
      <c r="AB292" t="b">
        <v>0</v>
      </c>
      <c r="AC292">
        <v>1</v>
      </c>
    </row>
    <row r="293" spans="1:29" x14ac:dyDescent="0.2">
      <c r="A293" t="b">
        <v>1</v>
      </c>
      <c r="B293" t="b">
        <v>0</v>
      </c>
      <c r="C293" t="b">
        <v>1</v>
      </c>
      <c r="D293" t="s">
        <v>522</v>
      </c>
      <c r="E293" t="b">
        <v>0</v>
      </c>
      <c r="F293" t="b">
        <v>0</v>
      </c>
      <c r="G293" t="s">
        <v>1191</v>
      </c>
      <c r="H293" t="s">
        <v>123</v>
      </c>
      <c r="I293" t="s">
        <v>1799</v>
      </c>
      <c r="J293">
        <v>0</v>
      </c>
      <c r="K293" t="s">
        <v>1797</v>
      </c>
      <c r="L293" t="s">
        <v>1800</v>
      </c>
      <c r="M293" t="s">
        <v>1950</v>
      </c>
      <c r="N293" t="s">
        <v>1955</v>
      </c>
      <c r="Q293" t="s">
        <v>2127</v>
      </c>
      <c r="R293" t="s">
        <v>2152</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1985</v>
      </c>
      <c r="N294" t="s">
        <v>2170</v>
      </c>
      <c r="Q294" t="s">
        <v>2127</v>
      </c>
      <c r="R294" t="s">
        <v>2152</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1985</v>
      </c>
      <c r="N295" t="s">
        <v>2017</v>
      </c>
      <c r="Q295" t="s">
        <v>2087</v>
      </c>
      <c r="R295" t="s">
        <v>2153</v>
      </c>
      <c r="S295" t="s">
        <v>257</v>
      </c>
      <c r="T295" s="1">
        <v>43669</v>
      </c>
      <c r="U295" s="1">
        <v>43920</v>
      </c>
      <c r="V295" t="s">
        <v>260</v>
      </c>
      <c r="W295">
        <v>62100000</v>
      </c>
      <c r="X295">
        <v>35000000</v>
      </c>
      <c r="Y295" t="s">
        <v>260</v>
      </c>
      <c r="Z295">
        <v>35000000</v>
      </c>
      <c r="AA295">
        <v>6738934</v>
      </c>
      <c r="AB295" t="b">
        <v>1</v>
      </c>
      <c r="AC295">
        <v>0.06</v>
      </c>
    </row>
    <row r="296" spans="1:29" x14ac:dyDescent="0.2">
      <c r="A296" t="b">
        <v>1</v>
      </c>
      <c r="B296" t="b">
        <v>0</v>
      </c>
      <c r="C296" t="b">
        <v>1</v>
      </c>
      <c r="D296" t="s">
        <v>522</v>
      </c>
      <c r="E296" t="b">
        <v>0</v>
      </c>
      <c r="F296" t="b">
        <v>0</v>
      </c>
      <c r="G296" t="s">
        <v>1135</v>
      </c>
      <c r="H296" t="s">
        <v>152</v>
      </c>
      <c r="I296" t="s">
        <v>1131</v>
      </c>
      <c r="J296" t="s">
        <v>1132</v>
      </c>
      <c r="K296" t="s">
        <v>1129</v>
      </c>
      <c r="L296" t="s">
        <v>1133</v>
      </c>
      <c r="M296" t="s">
        <v>1950</v>
      </c>
      <c r="N296" t="s">
        <v>1957</v>
      </c>
      <c r="Q296" t="s">
        <v>2087</v>
      </c>
      <c r="R296" t="s">
        <v>2153</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2063</v>
      </c>
      <c r="N297" t="s">
        <v>441</v>
      </c>
      <c r="Q297" t="s">
        <v>2087</v>
      </c>
      <c r="R297" t="s">
        <v>2154</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2064</v>
      </c>
      <c r="N298" t="s">
        <v>441</v>
      </c>
      <c r="Q298" t="s">
        <v>2087</v>
      </c>
      <c r="R298" t="s">
        <v>2154</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1985</v>
      </c>
      <c r="N299" t="s">
        <v>1986</v>
      </c>
      <c r="Q299" t="s">
        <v>2087</v>
      </c>
      <c r="R299" t="s">
        <v>2155</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1955</v>
      </c>
      <c r="Q300" t="s">
        <v>2087</v>
      </c>
      <c r="R300" t="s">
        <v>2155</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1985</v>
      </c>
      <c r="N301" t="s">
        <v>2074</v>
      </c>
      <c r="Q301" t="s">
        <v>2087</v>
      </c>
      <c r="R301" t="s">
        <v>2156</v>
      </c>
      <c r="S301" t="s">
        <v>257</v>
      </c>
      <c r="T301" s="1">
        <v>43669</v>
      </c>
      <c r="U301" s="1">
        <v>43920</v>
      </c>
      <c r="V301" t="s">
        <v>260</v>
      </c>
      <c r="W301">
        <v>113900000</v>
      </c>
      <c r="X301">
        <v>76600000</v>
      </c>
      <c r="Y301" t="s">
        <v>260</v>
      </c>
      <c r="Z301">
        <v>76600000</v>
      </c>
      <c r="AA301">
        <v>14748638</v>
      </c>
      <c r="AB301" t="b">
        <v>1</v>
      </c>
      <c r="AC301">
        <v>0.06</v>
      </c>
    </row>
    <row r="302" spans="1:29" x14ac:dyDescent="0.2">
      <c r="A302" t="b">
        <v>1</v>
      </c>
      <c r="B302" t="b">
        <v>0</v>
      </c>
      <c r="C302" t="b">
        <v>1</v>
      </c>
      <c r="D302" t="s">
        <v>522</v>
      </c>
      <c r="E302" t="b">
        <v>0</v>
      </c>
      <c r="F302" t="b">
        <v>0</v>
      </c>
      <c r="G302" t="s">
        <v>1065</v>
      </c>
      <c r="H302" t="s">
        <v>174</v>
      </c>
      <c r="I302">
        <v>0</v>
      </c>
      <c r="J302">
        <v>0</v>
      </c>
      <c r="K302" t="s">
        <v>1062</v>
      </c>
      <c r="L302" t="s">
        <v>1064</v>
      </c>
      <c r="M302" t="s">
        <v>1950</v>
      </c>
      <c r="N302" t="s">
        <v>1961</v>
      </c>
      <c r="Q302" t="s">
        <v>2087</v>
      </c>
      <c r="R302" t="s">
        <v>2156</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1985</v>
      </c>
      <c r="N303" t="s">
        <v>1994</v>
      </c>
      <c r="Q303" t="s">
        <v>2031</v>
      </c>
      <c r="R303" t="s">
        <v>2157</v>
      </c>
      <c r="S303" t="s">
        <v>279</v>
      </c>
      <c r="T303" s="1">
        <v>43775</v>
      </c>
      <c r="U303" s="1">
        <v>43983</v>
      </c>
      <c r="V303" t="s">
        <v>270</v>
      </c>
      <c r="W303">
        <v>24363000</v>
      </c>
      <c r="X303">
        <v>24363000</v>
      </c>
      <c r="Y303" t="s">
        <v>270</v>
      </c>
      <c r="Z303">
        <v>24363000</v>
      </c>
      <c r="AA303">
        <v>24363000</v>
      </c>
      <c r="AB303" t="b">
        <v>1</v>
      </c>
      <c r="AC303">
        <v>0.81</v>
      </c>
    </row>
    <row r="304" spans="1:29" x14ac:dyDescent="0.2">
      <c r="A304" t="b">
        <v>1</v>
      </c>
      <c r="B304" t="b">
        <v>0</v>
      </c>
      <c r="C304" t="b">
        <v>1</v>
      </c>
      <c r="D304" t="s">
        <v>522</v>
      </c>
      <c r="E304" t="b">
        <v>0</v>
      </c>
      <c r="F304" t="b">
        <v>0</v>
      </c>
      <c r="G304" t="s">
        <v>1065</v>
      </c>
      <c r="H304" t="s">
        <v>174</v>
      </c>
      <c r="I304">
        <v>0</v>
      </c>
      <c r="J304">
        <v>0</v>
      </c>
      <c r="K304" t="s">
        <v>1062</v>
      </c>
      <c r="L304" t="s">
        <v>1064</v>
      </c>
      <c r="M304" t="s">
        <v>1950</v>
      </c>
      <c r="N304" t="s">
        <v>1956</v>
      </c>
      <c r="Q304" t="s">
        <v>1989</v>
      </c>
      <c r="R304" t="s">
        <v>2157</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1985</v>
      </c>
      <c r="N305" t="s">
        <v>1986</v>
      </c>
      <c r="Q305" t="s">
        <v>1998</v>
      </c>
      <c r="R305" t="s">
        <v>2158</v>
      </c>
      <c r="S305" t="s">
        <v>351</v>
      </c>
      <c r="T305" s="1">
        <v>43776</v>
      </c>
      <c r="U305" s="1">
        <v>43983</v>
      </c>
      <c r="V305" t="s">
        <v>270</v>
      </c>
      <c r="W305">
        <v>25243410.280000001</v>
      </c>
      <c r="X305">
        <v>25243410</v>
      </c>
      <c r="Y305" t="s">
        <v>270</v>
      </c>
      <c r="Z305">
        <v>25243410</v>
      </c>
      <c r="AA305">
        <v>25243410</v>
      </c>
      <c r="AB305" t="b">
        <v>1</v>
      </c>
      <c r="AC305">
        <v>0.71</v>
      </c>
    </row>
    <row r="306" spans="1:29" x14ac:dyDescent="0.2">
      <c r="A306" t="b">
        <v>1</v>
      </c>
      <c r="B306" t="b">
        <v>0</v>
      </c>
      <c r="C306" t="b">
        <v>1</v>
      </c>
      <c r="D306" t="s">
        <v>522</v>
      </c>
      <c r="E306" t="b">
        <v>0</v>
      </c>
      <c r="F306" t="b">
        <v>0</v>
      </c>
      <c r="G306" t="s">
        <v>1065</v>
      </c>
      <c r="H306" t="s">
        <v>174</v>
      </c>
      <c r="I306">
        <v>0</v>
      </c>
      <c r="J306">
        <v>0</v>
      </c>
      <c r="K306" t="s">
        <v>1062</v>
      </c>
      <c r="L306" t="s">
        <v>1064</v>
      </c>
      <c r="M306" t="s">
        <v>1950</v>
      </c>
      <c r="N306" t="s">
        <v>1955</v>
      </c>
      <c r="Q306" t="s">
        <v>2067</v>
      </c>
      <c r="R306" t="s">
        <v>2158</v>
      </c>
      <c r="S306" t="s">
        <v>351</v>
      </c>
      <c r="T306" s="1">
        <v>43776</v>
      </c>
      <c r="U306" s="1">
        <v>43983</v>
      </c>
      <c r="V306" t="s">
        <v>270</v>
      </c>
      <c r="W306">
        <v>25243410.280000001</v>
      </c>
      <c r="X306">
        <v>25243410</v>
      </c>
      <c r="Y306" t="s">
        <v>270</v>
      </c>
      <c r="Z306">
        <v>25243410</v>
      </c>
      <c r="AA306">
        <v>25243410</v>
      </c>
      <c r="AB306" t="b">
        <v>1</v>
      </c>
      <c r="AC306">
        <v>0.71</v>
      </c>
    </row>
    <row r="307" spans="1:29" x14ac:dyDescent="0.2">
      <c r="A307" t="b">
        <v>1</v>
      </c>
      <c r="B307" t="b">
        <v>0</v>
      </c>
      <c r="C307" t="b">
        <v>1</v>
      </c>
      <c r="D307" t="s">
        <v>522</v>
      </c>
      <c r="E307" t="b">
        <v>0</v>
      </c>
      <c r="F307" t="b">
        <v>0</v>
      </c>
      <c r="G307" t="s">
        <v>1065</v>
      </c>
      <c r="H307" t="s">
        <v>174</v>
      </c>
      <c r="I307">
        <v>0</v>
      </c>
      <c r="J307">
        <v>0</v>
      </c>
      <c r="K307" t="s">
        <v>1062</v>
      </c>
      <c r="L307" t="s">
        <v>1064</v>
      </c>
      <c r="M307" t="s">
        <v>1950</v>
      </c>
      <c r="N307" t="s">
        <v>1960</v>
      </c>
      <c r="Q307" t="s">
        <v>2003</v>
      </c>
      <c r="R307" t="s">
        <v>2159</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1985</v>
      </c>
      <c r="N308" t="s">
        <v>1986</v>
      </c>
      <c r="Q308" t="s">
        <v>2000</v>
      </c>
      <c r="R308" t="s">
        <v>2159</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1955</v>
      </c>
      <c r="Q309" t="s">
        <v>1998</v>
      </c>
      <c r="R309" t="s">
        <v>2160</v>
      </c>
      <c r="S309" t="s">
        <v>2161</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1985</v>
      </c>
      <c r="N310" t="s">
        <v>1986</v>
      </c>
      <c r="Q310" t="s">
        <v>2067</v>
      </c>
      <c r="R310" t="s">
        <v>2160</v>
      </c>
      <c r="S310" t="s">
        <v>2161</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1955</v>
      </c>
      <c r="Q311" t="s">
        <v>1998</v>
      </c>
      <c r="R311" t="s">
        <v>2162</v>
      </c>
      <c r="S311" t="s">
        <v>2124</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2063</v>
      </c>
      <c r="N312" t="s">
        <v>441</v>
      </c>
      <c r="Q312" t="s">
        <v>2000</v>
      </c>
      <c r="R312" t="s">
        <v>2162</v>
      </c>
      <c r="S312" t="s">
        <v>2124</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2064</v>
      </c>
      <c r="N313" t="s">
        <v>441</v>
      </c>
      <c r="Q313" t="s">
        <v>1998</v>
      </c>
      <c r="R313" t="s">
        <v>2163</v>
      </c>
      <c r="S313" t="s">
        <v>2124</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1985</v>
      </c>
      <c r="N314" t="s">
        <v>2170</v>
      </c>
      <c r="Q314" t="s">
        <v>2067</v>
      </c>
      <c r="R314" t="s">
        <v>2163</v>
      </c>
      <c r="S314" t="s">
        <v>2124</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1959</v>
      </c>
      <c r="Q315" t="s">
        <v>1998</v>
      </c>
      <c r="R315" t="s">
        <v>2164</v>
      </c>
      <c r="S315" t="s">
        <v>2120</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1985</v>
      </c>
      <c r="N316" t="s">
        <v>441</v>
      </c>
      <c r="Q316" t="s">
        <v>2067</v>
      </c>
      <c r="R316" t="s">
        <v>2164</v>
      </c>
      <c r="S316" t="s">
        <v>2120</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1956</v>
      </c>
      <c r="Q317" t="s">
        <v>2165</v>
      </c>
      <c r="R317" t="s">
        <v>2166</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1985</v>
      </c>
      <c r="N318" t="s">
        <v>1986</v>
      </c>
      <c r="Q318" t="s">
        <v>2165</v>
      </c>
      <c r="R318" t="s">
        <v>2166</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1955</v>
      </c>
      <c r="Q319" t="s">
        <v>2087</v>
      </c>
      <c r="R319" t="s">
        <v>2167</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1985</v>
      </c>
      <c r="N320" t="s">
        <v>2024</v>
      </c>
      <c r="Q320" t="s">
        <v>2087</v>
      </c>
      <c r="R320" t="s">
        <v>2167</v>
      </c>
      <c r="S320" t="s">
        <v>257</v>
      </c>
      <c r="T320" s="1">
        <v>43669</v>
      </c>
      <c r="U320" s="1">
        <v>43920</v>
      </c>
      <c r="V320" t="s">
        <v>260</v>
      </c>
      <c r="W320">
        <v>106700000</v>
      </c>
      <c r="X320">
        <v>106600000</v>
      </c>
      <c r="Y320" t="s">
        <v>260</v>
      </c>
      <c r="Z320">
        <v>106600000</v>
      </c>
      <c r="AA320">
        <v>20524867</v>
      </c>
      <c r="AB320" t="b">
        <v>1</v>
      </c>
      <c r="AC320">
        <v>0.19</v>
      </c>
    </row>
    <row r="321" spans="1:29" x14ac:dyDescent="0.2">
      <c r="A321" t="b">
        <v>1</v>
      </c>
      <c r="B321" t="b">
        <v>0</v>
      </c>
      <c r="C321" t="b">
        <v>1</v>
      </c>
      <c r="D321" t="s">
        <v>522</v>
      </c>
      <c r="E321" t="b">
        <v>0</v>
      </c>
      <c r="F321" t="b">
        <v>0</v>
      </c>
      <c r="G321" t="s">
        <v>933</v>
      </c>
      <c r="H321">
        <v>0</v>
      </c>
      <c r="I321">
        <v>0</v>
      </c>
      <c r="J321" t="s">
        <v>930</v>
      </c>
      <c r="K321" t="s">
        <v>928</v>
      </c>
      <c r="L321" t="s">
        <v>931</v>
      </c>
      <c r="M321" t="s">
        <v>1950</v>
      </c>
      <c r="N321" t="s">
        <v>1958</v>
      </c>
      <c r="Q321" t="s">
        <v>2029</v>
      </c>
      <c r="R321" t="s">
        <v>2152</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1985</v>
      </c>
      <c r="N322" t="s">
        <v>1986</v>
      </c>
      <c r="Q322" t="s">
        <v>2029</v>
      </c>
      <c r="R322" t="s">
        <v>2152</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1955</v>
      </c>
      <c r="Q323" t="s">
        <v>2029</v>
      </c>
      <c r="R323" t="s">
        <v>2152</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2063</v>
      </c>
      <c r="N324" t="s">
        <v>441</v>
      </c>
      <c r="Q324" t="s">
        <v>2029</v>
      </c>
      <c r="R324" t="s">
        <v>2152</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2064</v>
      </c>
      <c r="N325" t="s">
        <v>441</v>
      </c>
      <c r="Q325" t="s">
        <v>2080</v>
      </c>
      <c r="R325" t="s">
        <v>2168</v>
      </c>
      <c r="S325" t="s">
        <v>287</v>
      </c>
      <c r="T325" s="1">
        <v>42829</v>
      </c>
      <c r="U325" s="1">
        <v>43465</v>
      </c>
      <c r="V325" t="s">
        <v>270</v>
      </c>
      <c r="W325">
        <v>71602906</v>
      </c>
      <c r="X325">
        <v>71602906</v>
      </c>
      <c r="Y325" t="s">
        <v>270</v>
      </c>
      <c r="Z325">
        <v>71602906</v>
      </c>
      <c r="AA325">
        <v>71602906</v>
      </c>
      <c r="AB325" t="b">
        <v>0</v>
      </c>
      <c r="AC325">
        <v>1</v>
      </c>
    </row>
    <row r="326" spans="1:29" x14ac:dyDescent="0.2">
      <c r="Q326" t="s">
        <v>2080</v>
      </c>
      <c r="R326" t="s">
        <v>2168</v>
      </c>
      <c r="S326" t="s">
        <v>287</v>
      </c>
      <c r="T326" s="1">
        <v>42829</v>
      </c>
      <c r="U326" s="1">
        <v>42735</v>
      </c>
      <c r="V326" t="s">
        <v>270</v>
      </c>
      <c r="W326">
        <v>185459222</v>
      </c>
      <c r="X326">
        <v>185459222</v>
      </c>
      <c r="Y326" t="s">
        <v>270</v>
      </c>
      <c r="Z326">
        <v>185459222</v>
      </c>
      <c r="AA326">
        <v>185459222</v>
      </c>
      <c r="AB326" t="b">
        <v>0</v>
      </c>
      <c r="AC326">
        <v>1</v>
      </c>
    </row>
    <row r="327" spans="1:29" x14ac:dyDescent="0.2">
      <c r="Q327" t="s">
        <v>2169</v>
      </c>
      <c r="R327" t="s">
        <v>2168</v>
      </c>
      <c r="S327" t="s">
        <v>287</v>
      </c>
      <c r="T327" s="1">
        <v>42829</v>
      </c>
      <c r="U327" s="1">
        <v>43465</v>
      </c>
      <c r="V327" t="s">
        <v>270</v>
      </c>
      <c r="W327">
        <v>71602906</v>
      </c>
      <c r="X327">
        <v>71602906</v>
      </c>
      <c r="Y327" t="s">
        <v>270</v>
      </c>
      <c r="Z327">
        <v>71602906</v>
      </c>
      <c r="AA327">
        <v>71602906</v>
      </c>
      <c r="AB327" t="b">
        <v>0</v>
      </c>
      <c r="AC327">
        <v>1</v>
      </c>
    </row>
    <row r="328" spans="1:29" x14ac:dyDescent="0.2">
      <c r="Q328" t="s">
        <v>2169</v>
      </c>
      <c r="R328" t="s">
        <v>2168</v>
      </c>
      <c r="S328" t="s">
        <v>287</v>
      </c>
      <c r="T328" s="1">
        <v>42829</v>
      </c>
      <c r="U328" s="1">
        <v>42735</v>
      </c>
      <c r="V328" t="s">
        <v>270</v>
      </c>
      <c r="W328">
        <v>185459222</v>
      </c>
      <c r="X328">
        <v>185459222</v>
      </c>
      <c r="Y328" t="s">
        <v>270</v>
      </c>
      <c r="Z328">
        <v>185459222</v>
      </c>
      <c r="AA328">
        <v>185459222</v>
      </c>
      <c r="AB328" t="b">
        <v>0</v>
      </c>
      <c r="AC328">
        <v>1</v>
      </c>
    </row>
    <row r="329" spans="1:29" x14ac:dyDescent="0.2">
      <c r="Q329" t="s">
        <v>2029</v>
      </c>
      <c r="R329" t="s">
        <v>2168</v>
      </c>
      <c r="S329" t="s">
        <v>287</v>
      </c>
      <c r="T329" s="1">
        <v>42829</v>
      </c>
      <c r="U329" s="1">
        <v>43465</v>
      </c>
      <c r="V329" t="s">
        <v>270</v>
      </c>
      <c r="W329">
        <v>71602906</v>
      </c>
      <c r="X329">
        <v>71602906</v>
      </c>
      <c r="Y329" t="s">
        <v>270</v>
      </c>
      <c r="Z329">
        <v>71602906</v>
      </c>
      <c r="AA329">
        <v>71602906</v>
      </c>
      <c r="AB329" t="b">
        <v>0</v>
      </c>
      <c r="AC329">
        <v>1</v>
      </c>
    </row>
    <row r="330" spans="1:29" x14ac:dyDescent="0.2">
      <c r="Q330" t="s">
        <v>2029</v>
      </c>
      <c r="R330" t="s">
        <v>2168</v>
      </c>
      <c r="S330" t="s">
        <v>287</v>
      </c>
      <c r="T330" s="1">
        <v>42829</v>
      </c>
      <c r="U330" s="1">
        <v>42735</v>
      </c>
      <c r="V330" t="s">
        <v>270</v>
      </c>
      <c r="W330">
        <v>185459222</v>
      </c>
      <c r="X330">
        <v>185459222</v>
      </c>
      <c r="Y330" t="s">
        <v>270</v>
      </c>
      <c r="Z330">
        <v>185459222</v>
      </c>
      <c r="AA330">
        <v>185459222</v>
      </c>
      <c r="AB330" t="b">
        <v>0</v>
      </c>
      <c r="AC330">
        <v>1</v>
      </c>
    </row>
    <row r="331" spans="1:29" x14ac:dyDescent="0.2">
      <c r="Q331" t="s">
        <v>2029</v>
      </c>
      <c r="R331" t="s">
        <v>2168</v>
      </c>
      <c r="S331" t="s">
        <v>287</v>
      </c>
      <c r="T331" s="1">
        <v>42829</v>
      </c>
      <c r="U331" s="1">
        <v>43465</v>
      </c>
      <c r="V331" t="s">
        <v>270</v>
      </c>
      <c r="W331">
        <v>71602906</v>
      </c>
      <c r="X331">
        <v>71602906</v>
      </c>
      <c r="Y331" t="s">
        <v>270</v>
      </c>
      <c r="Z331">
        <v>71602906</v>
      </c>
      <c r="AA331">
        <v>71602906</v>
      </c>
      <c r="AB331" t="b">
        <v>0</v>
      </c>
      <c r="AC331">
        <v>1</v>
      </c>
    </row>
    <row r="332" spans="1:29" x14ac:dyDescent="0.2">
      <c r="Q332" t="s">
        <v>2029</v>
      </c>
      <c r="R332" t="s">
        <v>2168</v>
      </c>
      <c r="S332" t="s">
        <v>287</v>
      </c>
      <c r="T332" s="1">
        <v>42829</v>
      </c>
      <c r="U332" s="1">
        <v>42735</v>
      </c>
      <c r="V332" t="s">
        <v>270</v>
      </c>
      <c r="W332">
        <v>185459222</v>
      </c>
      <c r="X332">
        <v>185459222</v>
      </c>
      <c r="Y332" t="s">
        <v>270</v>
      </c>
      <c r="Z332">
        <v>185459222</v>
      </c>
      <c r="AA332">
        <v>185459222</v>
      </c>
      <c r="AB332" t="b">
        <v>0</v>
      </c>
      <c r="AC332">
        <v>1</v>
      </c>
    </row>
    <row r="333" spans="1:29" x14ac:dyDescent="0.2">
      <c r="Q333" t="s">
        <v>2171</v>
      </c>
      <c r="R333" t="s">
        <v>2172</v>
      </c>
      <c r="S333" t="s">
        <v>287</v>
      </c>
      <c r="T333" s="1">
        <v>43602</v>
      </c>
      <c r="U333" s="1">
        <v>43465</v>
      </c>
      <c r="V333" t="s">
        <v>270</v>
      </c>
      <c r="W333">
        <v>167523</v>
      </c>
      <c r="X333">
        <v>167523</v>
      </c>
      <c r="Y333" t="s">
        <v>290</v>
      </c>
      <c r="Z333">
        <v>6</v>
      </c>
      <c r="AA333">
        <v>167523</v>
      </c>
      <c r="AB333" t="b">
        <v>0</v>
      </c>
      <c r="AC333">
        <v>1</v>
      </c>
    </row>
    <row r="334" spans="1:29" x14ac:dyDescent="0.2">
      <c r="Q334" t="s">
        <v>2171</v>
      </c>
      <c r="R334" t="s">
        <v>2172</v>
      </c>
      <c r="S334" t="s">
        <v>287</v>
      </c>
      <c r="T334" s="1">
        <v>43602</v>
      </c>
      <c r="U334" s="1">
        <v>43830</v>
      </c>
      <c r="V334" t="s">
        <v>270</v>
      </c>
      <c r="W334">
        <v>1030267</v>
      </c>
      <c r="X334">
        <v>1030267</v>
      </c>
      <c r="Y334" t="s">
        <v>290</v>
      </c>
      <c r="Z334">
        <v>37</v>
      </c>
      <c r="AA334">
        <v>1030267</v>
      </c>
      <c r="AB334" t="b">
        <v>0</v>
      </c>
      <c r="AC334">
        <v>1</v>
      </c>
    </row>
    <row r="335" spans="1:29" x14ac:dyDescent="0.2">
      <c r="Q335" t="s">
        <v>2171</v>
      </c>
      <c r="R335" t="s">
        <v>2172</v>
      </c>
      <c r="S335" t="s">
        <v>287</v>
      </c>
      <c r="T335" s="1">
        <v>43602</v>
      </c>
      <c r="U335" s="1">
        <v>44196</v>
      </c>
      <c r="V335" t="s">
        <v>270</v>
      </c>
      <c r="W335">
        <v>108255</v>
      </c>
      <c r="X335">
        <v>108255</v>
      </c>
      <c r="Y335" t="s">
        <v>290</v>
      </c>
      <c r="Z335">
        <v>4</v>
      </c>
      <c r="AA335">
        <v>108255</v>
      </c>
      <c r="AB335" t="b">
        <v>0</v>
      </c>
      <c r="AC335">
        <v>1</v>
      </c>
    </row>
    <row r="336" spans="1:29" x14ac:dyDescent="0.2">
      <c r="Q336" t="s">
        <v>2173</v>
      </c>
      <c r="R336" t="s">
        <v>2172</v>
      </c>
      <c r="S336" t="s">
        <v>287</v>
      </c>
      <c r="T336" s="1">
        <v>43602</v>
      </c>
      <c r="U336" s="1">
        <v>43465</v>
      </c>
      <c r="V336" t="s">
        <v>270</v>
      </c>
      <c r="W336">
        <v>167523</v>
      </c>
      <c r="X336">
        <v>167523</v>
      </c>
      <c r="Y336" t="s">
        <v>290</v>
      </c>
      <c r="Z336">
        <v>6</v>
      </c>
      <c r="AA336">
        <v>167523</v>
      </c>
      <c r="AB336" t="b">
        <v>0</v>
      </c>
      <c r="AC336">
        <v>1</v>
      </c>
    </row>
    <row r="337" spans="17:29" x14ac:dyDescent="0.2">
      <c r="Q337" t="s">
        <v>2173</v>
      </c>
      <c r="R337" t="s">
        <v>2172</v>
      </c>
      <c r="S337" t="s">
        <v>287</v>
      </c>
      <c r="T337" s="1">
        <v>43602</v>
      </c>
      <c r="U337" s="1">
        <v>43830</v>
      </c>
      <c r="V337" t="s">
        <v>270</v>
      </c>
      <c r="W337">
        <v>1030267</v>
      </c>
      <c r="X337">
        <v>1030267</v>
      </c>
      <c r="Y337" t="s">
        <v>290</v>
      </c>
      <c r="Z337">
        <v>37</v>
      </c>
      <c r="AA337">
        <v>1030267</v>
      </c>
      <c r="AB337" t="b">
        <v>0</v>
      </c>
      <c r="AC337">
        <v>1</v>
      </c>
    </row>
    <row r="338" spans="17:29" x14ac:dyDescent="0.2">
      <c r="Q338" t="s">
        <v>2173</v>
      </c>
      <c r="R338" t="s">
        <v>2172</v>
      </c>
      <c r="S338" t="s">
        <v>287</v>
      </c>
      <c r="T338" s="1">
        <v>43602</v>
      </c>
      <c r="U338" s="1">
        <v>44196</v>
      </c>
      <c r="V338" t="s">
        <v>270</v>
      </c>
      <c r="W338">
        <v>108255</v>
      </c>
      <c r="X338">
        <v>108255</v>
      </c>
      <c r="Y338" t="s">
        <v>290</v>
      </c>
      <c r="Z338">
        <v>4</v>
      </c>
      <c r="AA338">
        <v>108255</v>
      </c>
      <c r="AB338" t="b">
        <v>0</v>
      </c>
      <c r="AC338">
        <v>1</v>
      </c>
    </row>
    <row r="339" spans="17:29" x14ac:dyDescent="0.2">
      <c r="Q339" t="s">
        <v>2029</v>
      </c>
      <c r="R339" t="s">
        <v>2172</v>
      </c>
      <c r="S339" t="s">
        <v>287</v>
      </c>
      <c r="T339" s="1">
        <v>43602</v>
      </c>
      <c r="U339" s="1">
        <v>43465</v>
      </c>
      <c r="V339" t="s">
        <v>270</v>
      </c>
      <c r="W339">
        <v>167523</v>
      </c>
      <c r="X339">
        <v>167523</v>
      </c>
      <c r="Y339" t="s">
        <v>290</v>
      </c>
      <c r="Z339">
        <v>6</v>
      </c>
      <c r="AA339">
        <v>167523</v>
      </c>
      <c r="AB339" t="b">
        <v>0</v>
      </c>
      <c r="AC339">
        <v>1</v>
      </c>
    </row>
    <row r="340" spans="17:29" x14ac:dyDescent="0.2">
      <c r="Q340" t="s">
        <v>2029</v>
      </c>
      <c r="R340" t="s">
        <v>2172</v>
      </c>
      <c r="S340" t="s">
        <v>287</v>
      </c>
      <c r="T340" s="1">
        <v>43602</v>
      </c>
      <c r="U340" s="1">
        <v>43830</v>
      </c>
      <c r="V340" t="s">
        <v>270</v>
      </c>
      <c r="W340">
        <v>1030267</v>
      </c>
      <c r="X340">
        <v>1030267</v>
      </c>
      <c r="Y340" t="s">
        <v>290</v>
      </c>
      <c r="Z340">
        <v>37</v>
      </c>
      <c r="AA340">
        <v>1030267</v>
      </c>
      <c r="AB340" t="b">
        <v>0</v>
      </c>
      <c r="AC340">
        <v>1</v>
      </c>
    </row>
    <row r="341" spans="17:29" x14ac:dyDescent="0.2">
      <c r="Q341" t="s">
        <v>2029</v>
      </c>
      <c r="R341" t="s">
        <v>2172</v>
      </c>
      <c r="S341" t="s">
        <v>287</v>
      </c>
      <c r="T341" s="1">
        <v>43602</v>
      </c>
      <c r="U341" s="1">
        <v>44196</v>
      </c>
      <c r="V341" t="s">
        <v>270</v>
      </c>
      <c r="W341">
        <v>108255</v>
      </c>
      <c r="X341">
        <v>108255</v>
      </c>
      <c r="Y341" t="s">
        <v>290</v>
      </c>
      <c r="Z341">
        <v>4</v>
      </c>
      <c r="AA341">
        <v>108255</v>
      </c>
      <c r="AB341" t="b">
        <v>0</v>
      </c>
      <c r="AC341">
        <v>1</v>
      </c>
    </row>
    <row r="342" spans="17:29" x14ac:dyDescent="0.2">
      <c r="Q342" t="s">
        <v>2029</v>
      </c>
      <c r="R342" t="s">
        <v>2172</v>
      </c>
      <c r="S342" t="s">
        <v>287</v>
      </c>
      <c r="T342" s="1">
        <v>43602</v>
      </c>
      <c r="U342" s="1">
        <v>43465</v>
      </c>
      <c r="V342" t="s">
        <v>270</v>
      </c>
      <c r="W342">
        <v>167523</v>
      </c>
      <c r="X342">
        <v>167523</v>
      </c>
      <c r="Y342" t="s">
        <v>290</v>
      </c>
      <c r="Z342">
        <v>6</v>
      </c>
      <c r="AA342">
        <v>167523</v>
      </c>
      <c r="AB342" t="b">
        <v>0</v>
      </c>
      <c r="AC342">
        <v>1</v>
      </c>
    </row>
    <row r="343" spans="17:29" x14ac:dyDescent="0.2">
      <c r="Q343" t="s">
        <v>2029</v>
      </c>
      <c r="R343" t="s">
        <v>2172</v>
      </c>
      <c r="S343" t="s">
        <v>287</v>
      </c>
      <c r="T343" s="1">
        <v>43602</v>
      </c>
      <c r="U343" s="1">
        <v>43830</v>
      </c>
      <c r="V343" t="s">
        <v>270</v>
      </c>
      <c r="W343">
        <v>1030267</v>
      </c>
      <c r="X343">
        <v>1030267</v>
      </c>
      <c r="Y343" t="s">
        <v>290</v>
      </c>
      <c r="Z343">
        <v>37</v>
      </c>
      <c r="AA343">
        <v>1030267</v>
      </c>
      <c r="AB343" t="b">
        <v>0</v>
      </c>
      <c r="AC343">
        <v>1</v>
      </c>
    </row>
    <row r="344" spans="17:29" x14ac:dyDescent="0.2">
      <c r="Q344" t="s">
        <v>2029</v>
      </c>
      <c r="R344" t="s">
        <v>2172</v>
      </c>
      <c r="S344" t="s">
        <v>287</v>
      </c>
      <c r="T344" s="1">
        <v>43602</v>
      </c>
      <c r="U344" s="1">
        <v>44196</v>
      </c>
      <c r="V344" t="s">
        <v>270</v>
      </c>
      <c r="W344">
        <v>108255</v>
      </c>
      <c r="X344">
        <v>108255</v>
      </c>
      <c r="Y344" t="s">
        <v>290</v>
      </c>
      <c r="Z344">
        <v>4</v>
      </c>
      <c r="AA344">
        <v>108255</v>
      </c>
      <c r="AB344" t="b">
        <v>0</v>
      </c>
      <c r="AC344">
        <v>1</v>
      </c>
    </row>
    <row r="345" spans="17:29" x14ac:dyDescent="0.2">
      <c r="Q345" t="s">
        <v>2080</v>
      </c>
      <c r="R345" t="s">
        <v>2174</v>
      </c>
      <c r="S345" t="s">
        <v>257</v>
      </c>
      <c r="T345" s="1">
        <v>42829</v>
      </c>
      <c r="U345" s="1">
        <v>43465</v>
      </c>
      <c r="V345" t="s">
        <v>270</v>
      </c>
      <c r="W345">
        <v>55626577</v>
      </c>
      <c r="X345">
        <v>55626577</v>
      </c>
      <c r="Y345" t="s">
        <v>270</v>
      </c>
      <c r="Z345">
        <v>55626577</v>
      </c>
      <c r="AA345">
        <v>55626577</v>
      </c>
      <c r="AB345" t="b">
        <v>0</v>
      </c>
      <c r="AC345">
        <v>1</v>
      </c>
    </row>
    <row r="346" spans="17:29" x14ac:dyDescent="0.2">
      <c r="Q346" t="s">
        <v>2080</v>
      </c>
      <c r="R346" t="s">
        <v>2174</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2169</v>
      </c>
      <c r="R347" t="s">
        <v>2174</v>
      </c>
      <c r="S347" t="s">
        <v>257</v>
      </c>
      <c r="T347" s="1">
        <v>42829</v>
      </c>
      <c r="U347" s="1">
        <v>43465</v>
      </c>
      <c r="V347" t="s">
        <v>270</v>
      </c>
      <c r="W347">
        <v>55626577</v>
      </c>
      <c r="X347">
        <v>55626577</v>
      </c>
      <c r="Y347" t="s">
        <v>270</v>
      </c>
      <c r="Z347">
        <v>55626577</v>
      </c>
      <c r="AA347">
        <v>55626577</v>
      </c>
      <c r="AB347" t="b">
        <v>0</v>
      </c>
      <c r="AC347">
        <v>1</v>
      </c>
    </row>
    <row r="348" spans="17:29" x14ac:dyDescent="0.2">
      <c r="Q348" t="s">
        <v>2169</v>
      </c>
      <c r="R348" t="s">
        <v>2174</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2029</v>
      </c>
      <c r="R349" t="s">
        <v>2174</v>
      </c>
      <c r="S349" t="s">
        <v>257</v>
      </c>
      <c r="T349" s="1">
        <v>42829</v>
      </c>
      <c r="U349" s="1">
        <v>43465</v>
      </c>
      <c r="V349" t="s">
        <v>270</v>
      </c>
      <c r="W349">
        <v>55626577</v>
      </c>
      <c r="X349">
        <v>55626577</v>
      </c>
      <c r="Y349" t="s">
        <v>270</v>
      </c>
      <c r="Z349">
        <v>55626577</v>
      </c>
      <c r="AA349">
        <v>55626577</v>
      </c>
      <c r="AB349" t="b">
        <v>0</v>
      </c>
      <c r="AC349">
        <v>1</v>
      </c>
    </row>
    <row r="350" spans="17:29" x14ac:dyDescent="0.2">
      <c r="Q350" t="s">
        <v>2029</v>
      </c>
      <c r="R350" t="s">
        <v>2174</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2029</v>
      </c>
      <c r="R351" t="s">
        <v>2174</v>
      </c>
      <c r="S351" t="s">
        <v>257</v>
      </c>
      <c r="T351" s="1">
        <v>42829</v>
      </c>
      <c r="U351" s="1">
        <v>43465</v>
      </c>
      <c r="V351" t="s">
        <v>270</v>
      </c>
      <c r="W351">
        <v>55626577</v>
      </c>
      <c r="X351">
        <v>55626577</v>
      </c>
      <c r="Y351" t="s">
        <v>270</v>
      </c>
      <c r="Z351">
        <v>55626577</v>
      </c>
      <c r="AA351">
        <v>55626577</v>
      </c>
      <c r="AB351" t="b">
        <v>0</v>
      </c>
      <c r="AC351">
        <v>1</v>
      </c>
    </row>
    <row r="352" spans="17:29" x14ac:dyDescent="0.2">
      <c r="Q352" t="s">
        <v>2029</v>
      </c>
      <c r="R352" t="s">
        <v>2174</v>
      </c>
      <c r="S352" t="s">
        <v>257</v>
      </c>
      <c r="T352" s="1">
        <v>42829</v>
      </c>
      <c r="U352" s="1">
        <v>42735</v>
      </c>
      <c r="V352" t="s">
        <v>270</v>
      </c>
      <c r="W352">
        <v>124688404</v>
      </c>
      <c r="X352">
        <v>124688404</v>
      </c>
      <c r="Y352" t="s">
        <v>270</v>
      </c>
      <c r="Z352">
        <v>124688404</v>
      </c>
      <c r="AA352">
        <v>124688404</v>
      </c>
      <c r="AB352" t="b">
        <v>0</v>
      </c>
      <c r="AC352">
        <v>1</v>
      </c>
    </row>
    <row r="353" spans="17:29" x14ac:dyDescent="0.2">
      <c r="Q353" t="s">
        <v>2175</v>
      </c>
      <c r="R353" t="s">
        <v>2143</v>
      </c>
      <c r="S353" t="s">
        <v>257</v>
      </c>
      <c r="T353" s="1">
        <v>42829</v>
      </c>
      <c r="U353" s="1">
        <v>42735</v>
      </c>
      <c r="V353" t="s">
        <v>270</v>
      </c>
      <c r="W353">
        <v>8780938</v>
      </c>
      <c r="X353">
        <v>8780938</v>
      </c>
      <c r="Y353" t="s">
        <v>270</v>
      </c>
      <c r="Z353">
        <v>8780938</v>
      </c>
      <c r="AA353">
        <v>8780938</v>
      </c>
      <c r="AB353" t="b">
        <v>0</v>
      </c>
      <c r="AC353">
        <v>1</v>
      </c>
    </row>
    <row r="354" spans="17:29" x14ac:dyDescent="0.2">
      <c r="Q354" t="s">
        <v>2029</v>
      </c>
      <c r="R354" t="s">
        <v>2147</v>
      </c>
      <c r="S354" t="s">
        <v>808</v>
      </c>
      <c r="T354" s="1">
        <v>43374</v>
      </c>
      <c r="U354" s="1">
        <v>42735</v>
      </c>
      <c r="V354" t="s">
        <v>270</v>
      </c>
      <c r="W354">
        <v>26361196</v>
      </c>
      <c r="X354">
        <v>26361196</v>
      </c>
      <c r="Y354" t="s">
        <v>811</v>
      </c>
      <c r="Z354">
        <v>85937498</v>
      </c>
      <c r="AA354">
        <v>26361196</v>
      </c>
      <c r="AB354" t="b">
        <v>1</v>
      </c>
      <c r="AC354">
        <v>1</v>
      </c>
    </row>
    <row r="355" spans="17:29" x14ac:dyDescent="0.2">
      <c r="Q355" t="s">
        <v>1998</v>
      </c>
      <c r="R355" t="s">
        <v>2176</v>
      </c>
      <c r="S355" t="s">
        <v>808</v>
      </c>
      <c r="T355" s="1">
        <v>43374</v>
      </c>
      <c r="U355" s="1">
        <v>42735</v>
      </c>
      <c r="V355" t="s">
        <v>270</v>
      </c>
      <c r="W355">
        <v>319529</v>
      </c>
      <c r="X355">
        <v>319529</v>
      </c>
      <c r="Y355" t="s">
        <v>811</v>
      </c>
      <c r="Z355">
        <v>1041664</v>
      </c>
      <c r="AA355">
        <v>319529</v>
      </c>
      <c r="AB355" t="b">
        <v>1</v>
      </c>
      <c r="AC355">
        <v>1</v>
      </c>
    </row>
    <row r="356" spans="17:29" x14ac:dyDescent="0.2">
      <c r="Q356" t="s">
        <v>2067</v>
      </c>
      <c r="R356" t="s">
        <v>2176</v>
      </c>
      <c r="S356" t="s">
        <v>808</v>
      </c>
      <c r="T356" s="1">
        <v>43374</v>
      </c>
      <c r="U356" s="1">
        <v>42735</v>
      </c>
      <c r="V356" t="s">
        <v>270</v>
      </c>
      <c r="W356">
        <v>319529</v>
      </c>
      <c r="X356">
        <v>319529</v>
      </c>
      <c r="Y356" t="s">
        <v>811</v>
      </c>
      <c r="Z356">
        <v>1041664</v>
      </c>
      <c r="AA356">
        <v>319529</v>
      </c>
      <c r="AB356" t="b">
        <v>1</v>
      </c>
      <c r="AC356">
        <v>1</v>
      </c>
    </row>
    <row r="357" spans="17:29" x14ac:dyDescent="0.2">
      <c r="Q357" t="s">
        <v>2029</v>
      </c>
      <c r="R357" t="s">
        <v>2176</v>
      </c>
      <c r="S357" t="s">
        <v>808</v>
      </c>
      <c r="T357" s="1">
        <v>43374</v>
      </c>
      <c r="U357" s="1">
        <v>42735</v>
      </c>
      <c r="V357" t="s">
        <v>270</v>
      </c>
      <c r="W357">
        <v>319529</v>
      </c>
      <c r="X357">
        <v>319529</v>
      </c>
      <c r="Y357" t="s">
        <v>811</v>
      </c>
      <c r="Z357">
        <v>1041664</v>
      </c>
      <c r="AA357">
        <v>319529</v>
      </c>
      <c r="AB357" t="b">
        <v>1</v>
      </c>
      <c r="AC357">
        <v>1</v>
      </c>
    </row>
    <row r="358" spans="17:29" x14ac:dyDescent="0.2">
      <c r="Q358" t="s">
        <v>2029</v>
      </c>
      <c r="R358" t="s">
        <v>2176</v>
      </c>
      <c r="S358" t="s">
        <v>808</v>
      </c>
      <c r="T358" s="1">
        <v>43374</v>
      </c>
      <c r="U358" s="1">
        <v>42735</v>
      </c>
      <c r="V358" t="s">
        <v>270</v>
      </c>
      <c r="W358">
        <v>319529</v>
      </c>
      <c r="X358">
        <v>319529</v>
      </c>
      <c r="Y358" t="s">
        <v>811</v>
      </c>
      <c r="Z358">
        <v>1041664</v>
      </c>
      <c r="AA358">
        <v>319529</v>
      </c>
      <c r="AB358" t="b">
        <v>1</v>
      </c>
      <c r="AC358">
        <v>1</v>
      </c>
    </row>
    <row r="359" spans="17:29" x14ac:dyDescent="0.2">
      <c r="Q359" t="s">
        <v>1998</v>
      </c>
      <c r="R359" t="s">
        <v>2177</v>
      </c>
      <c r="S359" t="s">
        <v>808</v>
      </c>
      <c r="T359" s="1">
        <v>43374</v>
      </c>
      <c r="U359" s="1">
        <v>42735</v>
      </c>
      <c r="V359" t="s">
        <v>270</v>
      </c>
      <c r="W359">
        <v>1597648</v>
      </c>
      <c r="X359">
        <v>1597648</v>
      </c>
      <c r="Y359" t="s">
        <v>811</v>
      </c>
      <c r="Z359">
        <v>5208332</v>
      </c>
      <c r="AA359">
        <v>1597648</v>
      </c>
      <c r="AB359" t="b">
        <v>1</v>
      </c>
      <c r="AC359">
        <v>1</v>
      </c>
    </row>
    <row r="360" spans="17:29" x14ac:dyDescent="0.2">
      <c r="Q360" t="s">
        <v>2067</v>
      </c>
      <c r="R360" t="s">
        <v>2177</v>
      </c>
      <c r="S360" t="s">
        <v>808</v>
      </c>
      <c r="T360" s="1">
        <v>43374</v>
      </c>
      <c r="U360" s="1">
        <v>42735</v>
      </c>
      <c r="V360" t="s">
        <v>270</v>
      </c>
      <c r="W360">
        <v>1597648</v>
      </c>
      <c r="X360">
        <v>1597648</v>
      </c>
      <c r="Y360" t="s">
        <v>811</v>
      </c>
      <c r="Z360">
        <v>5208332</v>
      </c>
      <c r="AA360">
        <v>1597648</v>
      </c>
      <c r="AB360" t="b">
        <v>1</v>
      </c>
      <c r="AC360">
        <v>1</v>
      </c>
    </row>
    <row r="361" spans="17:29" x14ac:dyDescent="0.2">
      <c r="Q361" t="s">
        <v>2029</v>
      </c>
      <c r="R361" t="s">
        <v>2177</v>
      </c>
      <c r="S361" t="s">
        <v>808</v>
      </c>
      <c r="T361" s="1">
        <v>43374</v>
      </c>
      <c r="U361" s="1">
        <v>42735</v>
      </c>
      <c r="V361" t="s">
        <v>270</v>
      </c>
      <c r="W361">
        <v>1597648</v>
      </c>
      <c r="X361">
        <v>1597648</v>
      </c>
      <c r="Y361" t="s">
        <v>811</v>
      </c>
      <c r="Z361">
        <v>5208332</v>
      </c>
      <c r="AA361">
        <v>1597648</v>
      </c>
      <c r="AB361" t="b">
        <v>1</v>
      </c>
      <c r="AC361">
        <v>1</v>
      </c>
    </row>
    <row r="362" spans="17:29" x14ac:dyDescent="0.2">
      <c r="Q362" t="s">
        <v>2029</v>
      </c>
      <c r="R362" t="s">
        <v>2177</v>
      </c>
      <c r="S362" t="s">
        <v>808</v>
      </c>
      <c r="T362" s="1">
        <v>43374</v>
      </c>
      <c r="U362" s="1">
        <v>42735</v>
      </c>
      <c r="V362" t="s">
        <v>270</v>
      </c>
      <c r="W362">
        <v>1597648</v>
      </c>
      <c r="X362">
        <v>1597648</v>
      </c>
      <c r="Y362" t="s">
        <v>811</v>
      </c>
      <c r="Z362">
        <v>5208332</v>
      </c>
      <c r="AA362">
        <v>1597648</v>
      </c>
      <c r="AB362" t="b">
        <v>1</v>
      </c>
      <c r="AC362">
        <v>1</v>
      </c>
    </row>
    <row r="363" spans="17:29" x14ac:dyDescent="0.2">
      <c r="Q363" t="s">
        <v>2087</v>
      </c>
      <c r="R363" t="s">
        <v>2178</v>
      </c>
      <c r="S363" t="s">
        <v>257</v>
      </c>
      <c r="T363" s="1">
        <v>43669</v>
      </c>
      <c r="U363" s="1">
        <v>43920</v>
      </c>
      <c r="V363" t="s">
        <v>260</v>
      </c>
      <c r="W363">
        <v>77700000</v>
      </c>
      <c r="X363">
        <v>77700000</v>
      </c>
      <c r="Y363" t="s">
        <v>260</v>
      </c>
      <c r="Z363">
        <v>77700000</v>
      </c>
      <c r="AA363">
        <v>14960433</v>
      </c>
      <c r="AB363" t="b">
        <v>1</v>
      </c>
      <c r="AC363">
        <v>0.9</v>
      </c>
    </row>
    <row r="364" spans="17:29" x14ac:dyDescent="0.2">
      <c r="Q364" t="s">
        <v>2087</v>
      </c>
      <c r="R364" t="s">
        <v>2178</v>
      </c>
      <c r="S364" t="s">
        <v>257</v>
      </c>
      <c r="T364" s="1">
        <v>43669</v>
      </c>
      <c r="U364" s="1">
        <v>43920</v>
      </c>
      <c r="V364" t="s">
        <v>260</v>
      </c>
      <c r="W364">
        <v>77700000</v>
      </c>
      <c r="X364">
        <v>77700000</v>
      </c>
      <c r="Y364" t="s">
        <v>260</v>
      </c>
      <c r="Z364">
        <v>77700000</v>
      </c>
      <c r="AA364">
        <v>14960433</v>
      </c>
      <c r="AB364" t="b">
        <v>1</v>
      </c>
      <c r="AC364">
        <v>0.9</v>
      </c>
    </row>
    <row r="365" spans="17:29" x14ac:dyDescent="0.2">
      <c r="Q365" t="s">
        <v>2087</v>
      </c>
      <c r="R365" t="s">
        <v>2179</v>
      </c>
      <c r="S365" t="s">
        <v>257</v>
      </c>
      <c r="T365" s="1">
        <v>43669</v>
      </c>
      <c r="U365" s="1">
        <v>43920</v>
      </c>
      <c r="V365" t="s">
        <v>260</v>
      </c>
      <c r="W365">
        <v>75600000</v>
      </c>
      <c r="X365">
        <v>75600000</v>
      </c>
      <c r="Y365" t="s">
        <v>260</v>
      </c>
      <c r="Z365">
        <v>75600000</v>
      </c>
      <c r="AA365">
        <v>14556097</v>
      </c>
      <c r="AB365" t="b">
        <v>1</v>
      </c>
      <c r="AC365">
        <v>0.8</v>
      </c>
    </row>
    <row r="366" spans="17:29" x14ac:dyDescent="0.2">
      <c r="Q366" t="s">
        <v>2087</v>
      </c>
      <c r="R366" t="s">
        <v>2179</v>
      </c>
      <c r="S366" t="s">
        <v>257</v>
      </c>
      <c r="T366" s="1">
        <v>43669</v>
      </c>
      <c r="U366" s="1">
        <v>43920</v>
      </c>
      <c r="V366" t="s">
        <v>260</v>
      </c>
      <c r="W366">
        <v>75600000</v>
      </c>
      <c r="X366">
        <v>75600000</v>
      </c>
      <c r="Y366" t="s">
        <v>260</v>
      </c>
      <c r="Z366">
        <v>75600000</v>
      </c>
      <c r="AA366">
        <v>14556097</v>
      </c>
      <c r="AB366" t="b">
        <v>1</v>
      </c>
      <c r="AC366">
        <v>0.8</v>
      </c>
    </row>
    <row r="367" spans="17:29" x14ac:dyDescent="0.2">
      <c r="Q367" t="s">
        <v>2087</v>
      </c>
      <c r="R367" t="s">
        <v>2180</v>
      </c>
      <c r="S367" t="s">
        <v>257</v>
      </c>
      <c r="T367" s="1">
        <v>43669</v>
      </c>
      <c r="U367" s="1">
        <v>43920</v>
      </c>
      <c r="V367" t="s">
        <v>260</v>
      </c>
      <c r="W367">
        <v>26900000</v>
      </c>
      <c r="X367">
        <v>26900000</v>
      </c>
      <c r="Y367" t="s">
        <v>260</v>
      </c>
      <c r="Z367">
        <v>26900000</v>
      </c>
      <c r="AA367">
        <v>5179352</v>
      </c>
      <c r="AB367" t="b">
        <v>1</v>
      </c>
      <c r="AC367">
        <v>0.33</v>
      </c>
    </row>
    <row r="368" spans="17:29" x14ac:dyDescent="0.2">
      <c r="Q368" t="s">
        <v>2087</v>
      </c>
      <c r="R368" t="s">
        <v>2180</v>
      </c>
      <c r="S368" t="s">
        <v>257</v>
      </c>
      <c r="T368" s="1">
        <v>43669</v>
      </c>
      <c r="U368" s="1">
        <v>43920</v>
      </c>
      <c r="V368" t="s">
        <v>260</v>
      </c>
      <c r="W368">
        <v>26900000</v>
      </c>
      <c r="X368">
        <v>26900000</v>
      </c>
      <c r="Y368" t="s">
        <v>260</v>
      </c>
      <c r="Z368">
        <v>26900000</v>
      </c>
      <c r="AA368">
        <v>5179352</v>
      </c>
      <c r="AB368" t="b">
        <v>1</v>
      </c>
      <c r="AC368">
        <v>0.33</v>
      </c>
    </row>
    <row r="369" spans="17:29" x14ac:dyDescent="0.2">
      <c r="Q369" t="s">
        <v>2087</v>
      </c>
      <c r="R369" t="s">
        <v>2181</v>
      </c>
      <c r="S369" t="s">
        <v>257</v>
      </c>
      <c r="T369" s="1">
        <v>44196</v>
      </c>
      <c r="U369" s="1">
        <v>44196</v>
      </c>
      <c r="V369" t="s">
        <v>260</v>
      </c>
      <c r="W369">
        <v>44700000</v>
      </c>
      <c r="X369">
        <v>44700000</v>
      </c>
      <c r="Y369" t="s">
        <v>260</v>
      </c>
      <c r="Z369">
        <v>44700000</v>
      </c>
      <c r="AA369">
        <v>10178190</v>
      </c>
      <c r="AB369" t="b">
        <v>1</v>
      </c>
      <c r="AC369">
        <v>0.48</v>
      </c>
    </row>
    <row r="370" spans="17:29" x14ac:dyDescent="0.2">
      <c r="Q370" t="s">
        <v>2087</v>
      </c>
      <c r="R370" t="s">
        <v>2181</v>
      </c>
      <c r="S370" t="s">
        <v>257</v>
      </c>
      <c r="T370" s="1">
        <v>43875</v>
      </c>
      <c r="U370" s="1">
        <v>43875</v>
      </c>
      <c r="V370" t="s">
        <v>260</v>
      </c>
      <c r="W370">
        <v>16000000</v>
      </c>
      <c r="X370">
        <v>16000000</v>
      </c>
      <c r="Y370" t="s">
        <v>260</v>
      </c>
      <c r="Z370">
        <v>16000000</v>
      </c>
      <c r="AA370">
        <v>3643200</v>
      </c>
      <c r="AB370" t="b">
        <v>1</v>
      </c>
      <c r="AC370">
        <v>0.48</v>
      </c>
    </row>
    <row r="371" spans="17:29" x14ac:dyDescent="0.2">
      <c r="Q371" t="s">
        <v>2087</v>
      </c>
      <c r="R371" t="s">
        <v>2181</v>
      </c>
      <c r="S371" t="s">
        <v>257</v>
      </c>
      <c r="T371" s="1">
        <v>44196</v>
      </c>
      <c r="U371" s="1">
        <v>44196</v>
      </c>
      <c r="V371" t="s">
        <v>260</v>
      </c>
      <c r="W371">
        <v>44700000</v>
      </c>
      <c r="X371">
        <v>44700000</v>
      </c>
      <c r="Y371" t="s">
        <v>260</v>
      </c>
      <c r="Z371">
        <v>44700000</v>
      </c>
      <c r="AA371">
        <v>10178190</v>
      </c>
      <c r="AB371" t="b">
        <v>1</v>
      </c>
      <c r="AC371">
        <v>0.48</v>
      </c>
    </row>
    <row r="372" spans="17:29" x14ac:dyDescent="0.2">
      <c r="Q372" t="s">
        <v>2087</v>
      </c>
      <c r="R372" t="s">
        <v>2181</v>
      </c>
      <c r="S372" t="s">
        <v>257</v>
      </c>
      <c r="T372" s="1">
        <v>43875</v>
      </c>
      <c r="U372" s="1">
        <v>43875</v>
      </c>
      <c r="V372" t="s">
        <v>260</v>
      </c>
      <c r="W372">
        <v>16000000</v>
      </c>
      <c r="X372">
        <v>16000000</v>
      </c>
      <c r="Y372" t="s">
        <v>260</v>
      </c>
      <c r="Z372">
        <v>16000000</v>
      </c>
      <c r="AA372">
        <v>3643200</v>
      </c>
      <c r="AB372" t="b">
        <v>1</v>
      </c>
      <c r="AC372">
        <v>0.48</v>
      </c>
    </row>
    <row r="373" spans="17:29" x14ac:dyDescent="0.2">
      <c r="Q373" t="s">
        <v>1995</v>
      </c>
      <c r="R373" t="s">
        <v>2182</v>
      </c>
      <c r="S373" t="s">
        <v>343</v>
      </c>
      <c r="T373" s="1">
        <v>43100</v>
      </c>
      <c r="U373" s="1">
        <v>43100</v>
      </c>
      <c r="V373" t="s">
        <v>345</v>
      </c>
      <c r="W373">
        <v>13200000</v>
      </c>
      <c r="X373">
        <v>10457618</v>
      </c>
      <c r="Y373" t="s">
        <v>345</v>
      </c>
      <c r="Z373">
        <v>10457618</v>
      </c>
      <c r="AA373">
        <v>543273</v>
      </c>
      <c r="AB373" t="b">
        <v>0</v>
      </c>
      <c r="AC373">
        <v>0.53</v>
      </c>
    </row>
    <row r="374" spans="17:29" x14ac:dyDescent="0.2">
      <c r="Q374" t="s">
        <v>1997</v>
      </c>
      <c r="R374" t="s">
        <v>2182</v>
      </c>
      <c r="S374" t="s">
        <v>343</v>
      </c>
      <c r="T374" s="1">
        <v>43100</v>
      </c>
      <c r="U374" s="1">
        <v>43100</v>
      </c>
      <c r="V374" t="s">
        <v>345</v>
      </c>
      <c r="W374">
        <v>13200000</v>
      </c>
      <c r="X374">
        <v>10457618</v>
      </c>
      <c r="Y374" t="s">
        <v>345</v>
      </c>
      <c r="Z374">
        <v>10457618</v>
      </c>
      <c r="AA374">
        <v>543273</v>
      </c>
      <c r="AB374" t="b">
        <v>0</v>
      </c>
      <c r="AC374">
        <v>0.53</v>
      </c>
    </row>
    <row r="375" spans="17:29" x14ac:dyDescent="0.2">
      <c r="Q375" t="s">
        <v>1995</v>
      </c>
      <c r="R375" t="s">
        <v>2183</v>
      </c>
      <c r="S375" t="s">
        <v>343</v>
      </c>
      <c r="T375" s="1">
        <v>43100</v>
      </c>
      <c r="U375" s="1">
        <v>43100</v>
      </c>
      <c r="V375" t="s">
        <v>345</v>
      </c>
      <c r="W375">
        <v>3000000</v>
      </c>
      <c r="X375">
        <v>2645243</v>
      </c>
      <c r="Y375" t="s">
        <v>345</v>
      </c>
      <c r="Z375">
        <v>2645243</v>
      </c>
      <c r="AA375">
        <v>137420</v>
      </c>
      <c r="AB375" t="b">
        <v>0</v>
      </c>
      <c r="AC375">
        <v>0.59</v>
      </c>
    </row>
    <row r="376" spans="17:29" x14ac:dyDescent="0.2">
      <c r="Q376" t="s">
        <v>1997</v>
      </c>
      <c r="R376" t="s">
        <v>2183</v>
      </c>
      <c r="S376" t="s">
        <v>343</v>
      </c>
      <c r="T376" s="1">
        <v>43100</v>
      </c>
      <c r="U376" s="1">
        <v>43100</v>
      </c>
      <c r="V376" t="s">
        <v>345</v>
      </c>
      <c r="W376">
        <v>3000000</v>
      </c>
      <c r="X376">
        <v>2645243</v>
      </c>
      <c r="Y376" t="s">
        <v>345</v>
      </c>
      <c r="Z376">
        <v>2645243</v>
      </c>
      <c r="AA376">
        <v>137420</v>
      </c>
      <c r="AB376" t="b">
        <v>0</v>
      </c>
      <c r="AC376">
        <v>0.59</v>
      </c>
    </row>
    <row r="377" spans="17:29" x14ac:dyDescent="0.2">
      <c r="Q377" t="s">
        <v>1998</v>
      </c>
      <c r="R377" t="s">
        <v>2184</v>
      </c>
      <c r="S377" t="s">
        <v>287</v>
      </c>
      <c r="T377" s="1">
        <v>43465</v>
      </c>
      <c r="U377" s="1">
        <v>43465</v>
      </c>
      <c r="V377" t="s">
        <v>2185</v>
      </c>
      <c r="W377">
        <v>9537286278</v>
      </c>
      <c r="X377">
        <v>9537286278</v>
      </c>
      <c r="Y377" t="s">
        <v>290</v>
      </c>
      <c r="Z377">
        <v>345983</v>
      </c>
      <c r="AA377">
        <v>13709104</v>
      </c>
      <c r="AB377" t="b">
        <v>1</v>
      </c>
      <c r="AC377">
        <v>0.53</v>
      </c>
    </row>
    <row r="378" spans="17:29" x14ac:dyDescent="0.2">
      <c r="Q378" t="s">
        <v>2000</v>
      </c>
      <c r="R378" t="s">
        <v>2184</v>
      </c>
      <c r="S378" t="s">
        <v>287</v>
      </c>
      <c r="T378" s="1">
        <v>43465</v>
      </c>
      <c r="U378" s="1">
        <v>43465</v>
      </c>
      <c r="V378" t="s">
        <v>2185</v>
      </c>
      <c r="W378">
        <v>9537286278</v>
      </c>
      <c r="X378">
        <v>9537286278</v>
      </c>
      <c r="Y378" t="s">
        <v>290</v>
      </c>
      <c r="Z378">
        <v>345983</v>
      </c>
      <c r="AA378">
        <v>13709104</v>
      </c>
      <c r="AB378" t="b">
        <v>1</v>
      </c>
      <c r="AC378">
        <v>0.53</v>
      </c>
    </row>
    <row r="379" spans="17:29" x14ac:dyDescent="0.2">
      <c r="Q379" t="s">
        <v>2001</v>
      </c>
      <c r="R379" t="s">
        <v>2186</v>
      </c>
      <c r="S379" t="s">
        <v>287</v>
      </c>
      <c r="T379" s="1">
        <v>43465</v>
      </c>
      <c r="U379" s="1">
        <v>43465</v>
      </c>
      <c r="V379" t="s">
        <v>2185</v>
      </c>
      <c r="W379">
        <v>10311559976</v>
      </c>
      <c r="X379">
        <v>10311559976</v>
      </c>
      <c r="Y379" t="s">
        <v>290</v>
      </c>
      <c r="Z379">
        <v>374071</v>
      </c>
      <c r="AA379">
        <v>14822062</v>
      </c>
      <c r="AB379" t="b">
        <v>1</v>
      </c>
      <c r="AC379">
        <v>0.91</v>
      </c>
    </row>
    <row r="380" spans="17:29" x14ac:dyDescent="0.2">
      <c r="Q380" t="s">
        <v>2000</v>
      </c>
      <c r="R380" t="s">
        <v>2186</v>
      </c>
      <c r="S380" t="s">
        <v>287</v>
      </c>
      <c r="T380" s="1">
        <v>43465</v>
      </c>
      <c r="U380" s="1">
        <v>43465</v>
      </c>
      <c r="V380" t="s">
        <v>2185</v>
      </c>
      <c r="W380">
        <v>10311559976</v>
      </c>
      <c r="X380">
        <v>10311559976</v>
      </c>
      <c r="Y380" t="s">
        <v>290</v>
      </c>
      <c r="Z380">
        <v>374071</v>
      </c>
      <c r="AA380">
        <v>14822062</v>
      </c>
      <c r="AB380" t="b">
        <v>1</v>
      </c>
      <c r="AC380">
        <v>0.91</v>
      </c>
    </row>
    <row r="381" spans="17:29" x14ac:dyDescent="0.2">
      <c r="Q381" t="s">
        <v>2001</v>
      </c>
      <c r="R381" t="s">
        <v>2187</v>
      </c>
      <c r="S381" t="s">
        <v>287</v>
      </c>
      <c r="T381" s="1">
        <v>43465</v>
      </c>
      <c r="U381" s="1">
        <v>43465</v>
      </c>
      <c r="V381" t="s">
        <v>2185</v>
      </c>
      <c r="W381">
        <v>10244333941</v>
      </c>
      <c r="X381">
        <v>10244333941</v>
      </c>
      <c r="Y381" t="s">
        <v>290</v>
      </c>
      <c r="Z381">
        <v>371632</v>
      </c>
      <c r="AA381">
        <v>14725429</v>
      </c>
      <c r="AB381" t="b">
        <v>1</v>
      </c>
      <c r="AC381">
        <v>0.13</v>
      </c>
    </row>
    <row r="382" spans="17:29" x14ac:dyDescent="0.2">
      <c r="Q382" t="s">
        <v>2000</v>
      </c>
      <c r="R382" t="s">
        <v>2187</v>
      </c>
      <c r="S382" t="s">
        <v>287</v>
      </c>
      <c r="T382" s="1">
        <v>43465</v>
      </c>
      <c r="U382" s="1">
        <v>43465</v>
      </c>
      <c r="V382" t="s">
        <v>2185</v>
      </c>
      <c r="W382">
        <v>10244333941</v>
      </c>
      <c r="X382">
        <v>10244333941</v>
      </c>
      <c r="Y382" t="s">
        <v>290</v>
      </c>
      <c r="Z382">
        <v>371632</v>
      </c>
      <c r="AA382">
        <v>14725429</v>
      </c>
      <c r="AB382" t="b">
        <v>1</v>
      </c>
      <c r="AC382">
        <v>0.13</v>
      </c>
    </row>
    <row r="383" spans="17:29" x14ac:dyDescent="0.2">
      <c r="Q383" t="s">
        <v>1998</v>
      </c>
      <c r="R383" t="s">
        <v>2188</v>
      </c>
      <c r="S383" t="s">
        <v>287</v>
      </c>
      <c r="T383" s="1">
        <v>43465</v>
      </c>
      <c r="U383" s="1">
        <v>43465</v>
      </c>
      <c r="V383" t="s">
        <v>2185</v>
      </c>
      <c r="W383">
        <v>1981245132</v>
      </c>
      <c r="X383">
        <v>1981245132</v>
      </c>
      <c r="Y383" t="s">
        <v>290</v>
      </c>
      <c r="Z383">
        <v>71873</v>
      </c>
      <c r="AA383">
        <v>2847885</v>
      </c>
      <c r="AB383" t="b">
        <v>1</v>
      </c>
      <c r="AC383">
        <v>0.89</v>
      </c>
    </row>
    <row r="384" spans="17:29" x14ac:dyDescent="0.2">
      <c r="Q384" t="s">
        <v>2067</v>
      </c>
      <c r="R384" t="s">
        <v>2188</v>
      </c>
      <c r="S384" t="s">
        <v>287</v>
      </c>
      <c r="T384" s="1">
        <v>43465</v>
      </c>
      <c r="U384" s="1">
        <v>43465</v>
      </c>
      <c r="V384" t="s">
        <v>2185</v>
      </c>
      <c r="W384">
        <v>1981245132</v>
      </c>
      <c r="X384">
        <v>1981245132</v>
      </c>
      <c r="Y384" t="s">
        <v>290</v>
      </c>
      <c r="Z384">
        <v>71873</v>
      </c>
      <c r="AA384">
        <v>2847885</v>
      </c>
      <c r="AB384" t="b">
        <v>1</v>
      </c>
      <c r="AC384">
        <v>0.89</v>
      </c>
    </row>
    <row r="385" spans="17:29" x14ac:dyDescent="0.2">
      <c r="Q385" t="s">
        <v>1998</v>
      </c>
      <c r="R385" t="s">
        <v>2189</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2005</v>
      </c>
      <c r="R386" t="s">
        <v>2189</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1995</v>
      </c>
      <c r="R387" t="s">
        <v>2190</v>
      </c>
      <c r="S387" t="s">
        <v>343</v>
      </c>
      <c r="T387" s="1">
        <v>43100</v>
      </c>
      <c r="U387" s="1">
        <v>43100</v>
      </c>
      <c r="V387" t="s">
        <v>345</v>
      </c>
      <c r="W387">
        <v>20000000</v>
      </c>
      <c r="X387">
        <v>19393862</v>
      </c>
      <c r="Y387" t="s">
        <v>345</v>
      </c>
      <c r="Z387">
        <v>19393862</v>
      </c>
      <c r="AA387">
        <v>1007511</v>
      </c>
      <c r="AB387" t="b">
        <v>0</v>
      </c>
      <c r="AC387">
        <v>0.8</v>
      </c>
    </row>
    <row r="388" spans="17:29" x14ac:dyDescent="0.2">
      <c r="Q388" t="s">
        <v>1997</v>
      </c>
      <c r="R388" t="s">
        <v>2190</v>
      </c>
      <c r="S388" t="s">
        <v>343</v>
      </c>
      <c r="T388" s="1">
        <v>43100</v>
      </c>
      <c r="U388" s="1">
        <v>43100</v>
      </c>
      <c r="V388" t="s">
        <v>345</v>
      </c>
      <c r="W388">
        <v>20000000</v>
      </c>
      <c r="X388">
        <v>19393862</v>
      </c>
      <c r="Y388" t="s">
        <v>345</v>
      </c>
      <c r="Z388">
        <v>19393862</v>
      </c>
      <c r="AA388">
        <v>1007511</v>
      </c>
      <c r="AB388" t="b">
        <v>0</v>
      </c>
      <c r="AC388">
        <v>0.8</v>
      </c>
    </row>
    <row r="389" spans="17:29" x14ac:dyDescent="0.2">
      <c r="Q389" t="s">
        <v>1995</v>
      </c>
      <c r="R389" t="s">
        <v>2191</v>
      </c>
      <c r="S389" t="s">
        <v>343</v>
      </c>
      <c r="T389" s="1">
        <v>43100</v>
      </c>
      <c r="U389" s="1">
        <v>43100</v>
      </c>
      <c r="V389" t="s">
        <v>345</v>
      </c>
      <c r="W389">
        <v>10000000</v>
      </c>
      <c r="X389">
        <v>2914137</v>
      </c>
      <c r="Y389" t="s">
        <v>345</v>
      </c>
      <c r="Z389">
        <v>2914137</v>
      </c>
      <c r="AA389">
        <v>151389</v>
      </c>
      <c r="AB389" t="b">
        <v>0</v>
      </c>
      <c r="AC389">
        <v>0.05</v>
      </c>
    </row>
    <row r="390" spans="17:29" x14ac:dyDescent="0.2">
      <c r="Q390" t="s">
        <v>1997</v>
      </c>
      <c r="R390" t="s">
        <v>2191</v>
      </c>
      <c r="S390" t="s">
        <v>343</v>
      </c>
      <c r="T390" s="1">
        <v>43100</v>
      </c>
      <c r="U390" s="1">
        <v>43100</v>
      </c>
      <c r="V390" t="s">
        <v>345</v>
      </c>
      <c r="W390">
        <v>10000000</v>
      </c>
      <c r="X390">
        <v>2914137</v>
      </c>
      <c r="Y390" t="s">
        <v>345</v>
      </c>
      <c r="Z390">
        <v>2914137</v>
      </c>
      <c r="AA390">
        <v>151389</v>
      </c>
      <c r="AB390" t="b">
        <v>0</v>
      </c>
      <c r="AC390">
        <v>0.05</v>
      </c>
    </row>
    <row r="391" spans="17:29" x14ac:dyDescent="0.2">
      <c r="Q391" t="s">
        <v>1998</v>
      </c>
      <c r="R391" t="s">
        <v>2192</v>
      </c>
      <c r="S391" t="s">
        <v>343</v>
      </c>
      <c r="T391" s="1">
        <v>43100</v>
      </c>
      <c r="U391" s="1">
        <v>43100</v>
      </c>
      <c r="V391" t="s">
        <v>345</v>
      </c>
      <c r="W391">
        <v>50000000</v>
      </c>
      <c r="X391">
        <v>47245432</v>
      </c>
      <c r="Y391" t="s">
        <v>345</v>
      </c>
      <c r="Z391">
        <v>47245432</v>
      </c>
      <c r="AA391">
        <v>2454400</v>
      </c>
      <c r="AB391" t="b">
        <v>0</v>
      </c>
      <c r="AC391">
        <v>0.53</v>
      </c>
    </row>
    <row r="392" spans="17:29" x14ac:dyDescent="0.2">
      <c r="Q392" t="s">
        <v>2005</v>
      </c>
      <c r="R392" t="s">
        <v>2192</v>
      </c>
      <c r="S392" t="s">
        <v>343</v>
      </c>
      <c r="T392" s="1">
        <v>43100</v>
      </c>
      <c r="U392" s="1">
        <v>43100</v>
      </c>
      <c r="V392" t="s">
        <v>345</v>
      </c>
      <c r="W392">
        <v>50000000</v>
      </c>
      <c r="X392">
        <v>47245432</v>
      </c>
      <c r="Y392" t="s">
        <v>345</v>
      </c>
      <c r="Z392">
        <v>47245432</v>
      </c>
      <c r="AA392">
        <v>2454400</v>
      </c>
      <c r="AB392" t="b">
        <v>0</v>
      </c>
      <c r="AC392">
        <v>0.53</v>
      </c>
    </row>
    <row r="393" spans="17:29" x14ac:dyDescent="0.2">
      <c r="Q393" t="s">
        <v>1995</v>
      </c>
      <c r="R393" t="s">
        <v>2193</v>
      </c>
      <c r="S393" t="s">
        <v>343</v>
      </c>
      <c r="T393" s="1">
        <v>43100</v>
      </c>
      <c r="U393" s="1">
        <v>43100</v>
      </c>
      <c r="V393" t="s">
        <v>345</v>
      </c>
      <c r="W393">
        <v>6000000</v>
      </c>
      <c r="X393">
        <v>5818966</v>
      </c>
      <c r="Y393" t="s">
        <v>345</v>
      </c>
      <c r="Z393">
        <v>5818966</v>
      </c>
      <c r="AA393">
        <v>302295</v>
      </c>
      <c r="AB393" t="b">
        <v>0</v>
      </c>
      <c r="AC393">
        <v>0.61</v>
      </c>
    </row>
    <row r="394" spans="17:29" x14ac:dyDescent="0.2">
      <c r="Q394" t="s">
        <v>1997</v>
      </c>
      <c r="R394" t="s">
        <v>2193</v>
      </c>
      <c r="S394" t="s">
        <v>343</v>
      </c>
      <c r="T394" s="1">
        <v>43100</v>
      </c>
      <c r="U394" s="1">
        <v>43100</v>
      </c>
      <c r="V394" t="s">
        <v>345</v>
      </c>
      <c r="W394">
        <v>6000000</v>
      </c>
      <c r="X394">
        <v>5818966</v>
      </c>
      <c r="Y394" t="s">
        <v>345</v>
      </c>
      <c r="Z394">
        <v>5818966</v>
      </c>
      <c r="AA394">
        <v>302295</v>
      </c>
      <c r="AB394" t="b">
        <v>0</v>
      </c>
      <c r="AC394">
        <v>0.61</v>
      </c>
    </row>
    <row r="395" spans="17:29" x14ac:dyDescent="0.2">
      <c r="Q395" t="s">
        <v>1995</v>
      </c>
      <c r="R395" t="s">
        <v>2194</v>
      </c>
      <c r="S395" t="s">
        <v>343</v>
      </c>
      <c r="T395" s="1">
        <v>43100</v>
      </c>
      <c r="U395" s="1">
        <v>43100</v>
      </c>
      <c r="V395" t="s">
        <v>345</v>
      </c>
      <c r="W395">
        <v>44000000</v>
      </c>
      <c r="X395">
        <v>15287212</v>
      </c>
      <c r="Y395" t="s">
        <v>345</v>
      </c>
      <c r="Z395">
        <v>15287212</v>
      </c>
      <c r="AA395">
        <v>794171</v>
      </c>
      <c r="AB395" t="b">
        <v>0</v>
      </c>
      <c r="AC395">
        <v>0.12</v>
      </c>
    </row>
    <row r="396" spans="17:29" x14ac:dyDescent="0.2">
      <c r="Q396" t="s">
        <v>1997</v>
      </c>
      <c r="R396" t="s">
        <v>2194</v>
      </c>
      <c r="S396" t="s">
        <v>343</v>
      </c>
      <c r="T396" s="1">
        <v>43100</v>
      </c>
      <c r="U396" s="1">
        <v>43100</v>
      </c>
      <c r="V396" t="s">
        <v>345</v>
      </c>
      <c r="W396">
        <v>44000000</v>
      </c>
      <c r="X396">
        <v>15287212</v>
      </c>
      <c r="Y396" t="s">
        <v>345</v>
      </c>
      <c r="Z396">
        <v>15287212</v>
      </c>
      <c r="AA396">
        <v>794171</v>
      </c>
      <c r="AB396" t="b">
        <v>0</v>
      </c>
      <c r="AC396">
        <v>0.12</v>
      </c>
    </row>
    <row r="397" spans="17:29" x14ac:dyDescent="0.2">
      <c r="Q397" t="s">
        <v>2020</v>
      </c>
      <c r="R397" t="s">
        <v>2195</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2022</v>
      </c>
      <c r="R398" t="s">
        <v>2195</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1998</v>
      </c>
      <c r="R399" t="s">
        <v>2196</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2005</v>
      </c>
      <c r="R400" t="s">
        <v>2196</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1995</v>
      </c>
      <c r="R401" t="s">
        <v>2197</v>
      </c>
      <c r="S401" t="s">
        <v>343</v>
      </c>
      <c r="T401" s="1">
        <v>43100</v>
      </c>
      <c r="U401" s="1">
        <v>43100</v>
      </c>
      <c r="V401" t="s">
        <v>345</v>
      </c>
      <c r="W401">
        <v>9350772</v>
      </c>
      <c r="X401">
        <v>9012781</v>
      </c>
      <c r="Y401" t="s">
        <v>345</v>
      </c>
      <c r="Z401">
        <v>9012781</v>
      </c>
      <c r="AA401">
        <v>468214</v>
      </c>
      <c r="AB401" t="b">
        <v>0</v>
      </c>
      <c r="AC401">
        <v>0.23</v>
      </c>
    </row>
    <row r="402" spans="17:29" x14ac:dyDescent="0.2">
      <c r="Q402" t="s">
        <v>1997</v>
      </c>
      <c r="R402" t="s">
        <v>2197</v>
      </c>
      <c r="S402" t="s">
        <v>343</v>
      </c>
      <c r="T402" s="1">
        <v>43100</v>
      </c>
      <c r="U402" s="1">
        <v>43100</v>
      </c>
      <c r="V402" t="s">
        <v>345</v>
      </c>
      <c r="W402">
        <v>9350772</v>
      </c>
      <c r="X402">
        <v>9012781</v>
      </c>
      <c r="Y402" t="s">
        <v>345</v>
      </c>
      <c r="Z402">
        <v>9012781</v>
      </c>
      <c r="AA402">
        <v>468214</v>
      </c>
      <c r="AB402" t="b">
        <v>0</v>
      </c>
      <c r="AC402">
        <v>0.23</v>
      </c>
    </row>
    <row r="403" spans="17:29" x14ac:dyDescent="0.2">
      <c r="Q403" t="s">
        <v>1998</v>
      </c>
      <c r="R403" t="s">
        <v>2198</v>
      </c>
      <c r="S403" t="s">
        <v>343</v>
      </c>
      <c r="T403" s="1">
        <v>43100</v>
      </c>
      <c r="U403" s="1">
        <v>43100</v>
      </c>
      <c r="V403" t="s">
        <v>345</v>
      </c>
      <c r="W403">
        <v>13508630</v>
      </c>
      <c r="X403">
        <v>13508630</v>
      </c>
      <c r="Y403" t="s">
        <v>345</v>
      </c>
      <c r="Z403">
        <v>13508630</v>
      </c>
      <c r="AA403">
        <v>701773</v>
      </c>
      <c r="AB403" t="b">
        <v>0</v>
      </c>
      <c r="AC403">
        <v>0.19</v>
      </c>
    </row>
    <row r="404" spans="17:29" x14ac:dyDescent="0.2">
      <c r="Q404" t="s">
        <v>2005</v>
      </c>
      <c r="R404" t="s">
        <v>2198</v>
      </c>
      <c r="S404" t="s">
        <v>343</v>
      </c>
      <c r="T404" s="1">
        <v>43100</v>
      </c>
      <c r="U404" s="1">
        <v>43100</v>
      </c>
      <c r="V404" t="s">
        <v>345</v>
      </c>
      <c r="W404">
        <v>13508630</v>
      </c>
      <c r="X404">
        <v>13508630</v>
      </c>
      <c r="Y404" t="s">
        <v>345</v>
      </c>
      <c r="Z404">
        <v>13508630</v>
      </c>
      <c r="AA404">
        <v>701773</v>
      </c>
      <c r="AB404" t="b">
        <v>0</v>
      </c>
      <c r="AC404">
        <v>0.19</v>
      </c>
    </row>
    <row r="405" spans="17:29" x14ac:dyDescent="0.2">
      <c r="Q405" t="s">
        <v>1998</v>
      </c>
      <c r="R405" t="s">
        <v>2199</v>
      </c>
      <c r="S405" t="s">
        <v>343</v>
      </c>
      <c r="T405" s="1">
        <v>43100</v>
      </c>
      <c r="U405" s="1">
        <v>43100</v>
      </c>
      <c r="V405" t="s">
        <v>345</v>
      </c>
      <c r="W405">
        <v>17834454</v>
      </c>
      <c r="X405">
        <v>17834454</v>
      </c>
      <c r="Y405" t="s">
        <v>345</v>
      </c>
      <c r="Z405">
        <v>17834454</v>
      </c>
      <c r="AA405">
        <v>926500</v>
      </c>
      <c r="AB405" t="b">
        <v>0</v>
      </c>
      <c r="AC405">
        <v>0.22</v>
      </c>
    </row>
    <row r="406" spans="17:29" x14ac:dyDescent="0.2">
      <c r="Q406" t="s">
        <v>2005</v>
      </c>
      <c r="R406" t="s">
        <v>2199</v>
      </c>
      <c r="S406" t="s">
        <v>343</v>
      </c>
      <c r="T406" s="1">
        <v>43100</v>
      </c>
      <c r="U406" s="1">
        <v>43100</v>
      </c>
      <c r="V406" t="s">
        <v>345</v>
      </c>
      <c r="W406">
        <v>17834454</v>
      </c>
      <c r="X406">
        <v>17834454</v>
      </c>
      <c r="Y406" t="s">
        <v>345</v>
      </c>
      <c r="Z406">
        <v>17834454</v>
      </c>
      <c r="AA406">
        <v>926500</v>
      </c>
      <c r="AB406" t="b">
        <v>0</v>
      </c>
      <c r="AC406">
        <v>0.22</v>
      </c>
    </row>
    <row r="407" spans="17:29" x14ac:dyDescent="0.2">
      <c r="Q407" t="s">
        <v>1998</v>
      </c>
      <c r="R407" t="s">
        <v>2200</v>
      </c>
      <c r="S407" t="s">
        <v>343</v>
      </c>
      <c r="T407" s="1">
        <v>43100</v>
      </c>
      <c r="U407" s="1">
        <v>43100</v>
      </c>
      <c r="V407" t="s">
        <v>345</v>
      </c>
      <c r="W407">
        <v>14103024</v>
      </c>
      <c r="X407">
        <v>14103024</v>
      </c>
      <c r="Y407" t="s">
        <v>345</v>
      </c>
      <c r="Z407">
        <v>14103024</v>
      </c>
      <c r="AA407">
        <v>732652</v>
      </c>
      <c r="AB407" t="b">
        <v>0</v>
      </c>
      <c r="AC407">
        <v>0.38</v>
      </c>
    </row>
    <row r="408" spans="17:29" x14ac:dyDescent="0.2">
      <c r="Q408" t="s">
        <v>2005</v>
      </c>
      <c r="R408" t="s">
        <v>2200</v>
      </c>
      <c r="S408" t="s">
        <v>343</v>
      </c>
      <c r="T408" s="1">
        <v>43100</v>
      </c>
      <c r="U408" s="1">
        <v>43100</v>
      </c>
      <c r="V408" t="s">
        <v>345</v>
      </c>
      <c r="W408">
        <v>14103024</v>
      </c>
      <c r="X408">
        <v>14103024</v>
      </c>
      <c r="Y408" t="s">
        <v>345</v>
      </c>
      <c r="Z408">
        <v>14103024</v>
      </c>
      <c r="AA408">
        <v>732652</v>
      </c>
      <c r="AB408" t="b">
        <v>0</v>
      </c>
      <c r="AC408">
        <v>0.38</v>
      </c>
    </row>
    <row r="409" spans="17:29" x14ac:dyDescent="0.2">
      <c r="Q409" t="s">
        <v>1995</v>
      </c>
      <c r="R409" t="s">
        <v>2201</v>
      </c>
      <c r="S409" t="s">
        <v>343</v>
      </c>
      <c r="T409" s="1">
        <v>43100</v>
      </c>
      <c r="U409" s="1">
        <v>43100</v>
      </c>
      <c r="V409" t="s">
        <v>345</v>
      </c>
      <c r="W409">
        <v>15876126</v>
      </c>
      <c r="X409">
        <v>15876126</v>
      </c>
      <c r="Y409" t="s">
        <v>345</v>
      </c>
      <c r="Z409">
        <v>15876126</v>
      </c>
      <c r="AA409">
        <v>824765</v>
      </c>
      <c r="AB409" t="b">
        <v>0</v>
      </c>
      <c r="AC409">
        <v>0.26</v>
      </c>
    </row>
    <row r="410" spans="17:29" x14ac:dyDescent="0.2">
      <c r="Q410" t="s">
        <v>1997</v>
      </c>
      <c r="R410" t="s">
        <v>2201</v>
      </c>
      <c r="S410" t="s">
        <v>343</v>
      </c>
      <c r="T410" s="1">
        <v>43100</v>
      </c>
      <c r="U410" s="1">
        <v>43100</v>
      </c>
      <c r="V410" t="s">
        <v>345</v>
      </c>
      <c r="W410">
        <v>15876126</v>
      </c>
      <c r="X410">
        <v>15876126</v>
      </c>
      <c r="Y410" t="s">
        <v>345</v>
      </c>
      <c r="Z410">
        <v>15876126</v>
      </c>
      <c r="AA410">
        <v>824765</v>
      </c>
      <c r="AB410" t="b">
        <v>0</v>
      </c>
      <c r="AC410">
        <v>0.26</v>
      </c>
    </row>
    <row r="411" spans="17:29" x14ac:dyDescent="0.2">
      <c r="Q411" t="s">
        <v>2020</v>
      </c>
      <c r="R411" t="s">
        <v>2202</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2022</v>
      </c>
      <c r="R412" t="s">
        <v>2202</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2020</v>
      </c>
      <c r="R413" t="s">
        <v>2203</v>
      </c>
      <c r="S413" t="s">
        <v>343</v>
      </c>
      <c r="T413" s="1">
        <v>43100</v>
      </c>
      <c r="U413" s="1">
        <v>43100</v>
      </c>
      <c r="V413" t="s">
        <v>345</v>
      </c>
      <c r="W413">
        <v>197397542</v>
      </c>
      <c r="X413">
        <v>92454000</v>
      </c>
      <c r="Y413" t="s">
        <v>345</v>
      </c>
      <c r="Z413">
        <v>92454000</v>
      </c>
      <c r="AA413">
        <v>4802985</v>
      </c>
      <c r="AB413" t="b">
        <v>1</v>
      </c>
      <c r="AC413">
        <v>0.03</v>
      </c>
    </row>
    <row r="414" spans="17:29" x14ac:dyDescent="0.2">
      <c r="Q414" t="s">
        <v>2022</v>
      </c>
      <c r="R414" t="s">
        <v>2203</v>
      </c>
      <c r="S414" t="s">
        <v>343</v>
      </c>
      <c r="T414" s="1">
        <v>43100</v>
      </c>
      <c r="U414" s="1">
        <v>43100</v>
      </c>
      <c r="V414" t="s">
        <v>345</v>
      </c>
      <c r="W414">
        <v>197397542</v>
      </c>
      <c r="X414">
        <v>92454000</v>
      </c>
      <c r="Y414" t="s">
        <v>345</v>
      </c>
      <c r="Z414">
        <v>92454000</v>
      </c>
      <c r="AA414">
        <v>4802985</v>
      </c>
      <c r="AB414" t="b">
        <v>1</v>
      </c>
      <c r="AC414">
        <v>0.03</v>
      </c>
    </row>
    <row r="415" spans="17:29" x14ac:dyDescent="0.2">
      <c r="Q415" t="s">
        <v>2141</v>
      </c>
      <c r="R415" t="s">
        <v>2204</v>
      </c>
      <c r="S415" t="s">
        <v>257</v>
      </c>
      <c r="T415" s="1">
        <v>43800</v>
      </c>
      <c r="U415" s="1">
        <v>43800</v>
      </c>
      <c r="V415" t="s">
        <v>260</v>
      </c>
      <c r="W415">
        <v>9085926</v>
      </c>
      <c r="X415">
        <v>9085926</v>
      </c>
      <c r="Y415" t="s">
        <v>270</v>
      </c>
      <c r="Z415">
        <v>2804298.15</v>
      </c>
      <c r="AA415">
        <v>2804298</v>
      </c>
      <c r="AB415" t="b">
        <v>0</v>
      </c>
      <c r="AC415">
        <v>1</v>
      </c>
    </row>
    <row r="416" spans="17:29" x14ac:dyDescent="0.2">
      <c r="Q416" t="s">
        <v>2141</v>
      </c>
      <c r="R416" t="s">
        <v>2204</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2141</v>
      </c>
      <c r="R417" t="s">
        <v>2204</v>
      </c>
      <c r="S417" t="s">
        <v>257</v>
      </c>
      <c r="T417" s="1">
        <v>42705</v>
      </c>
      <c r="U417" s="1">
        <v>42705</v>
      </c>
      <c r="V417" t="s">
        <v>260</v>
      </c>
      <c r="W417">
        <v>39303000</v>
      </c>
      <c r="X417">
        <v>39303000</v>
      </c>
      <c r="Y417" t="s">
        <v>270</v>
      </c>
      <c r="Z417">
        <v>12163968.93</v>
      </c>
      <c r="AA417">
        <v>12163968</v>
      </c>
      <c r="AB417" t="b">
        <v>0</v>
      </c>
      <c r="AC417">
        <v>1</v>
      </c>
    </row>
    <row r="418" spans="17:29" x14ac:dyDescent="0.2">
      <c r="Q418" t="s">
        <v>2117</v>
      </c>
      <c r="R418" t="s">
        <v>2204</v>
      </c>
      <c r="S418" t="s">
        <v>257</v>
      </c>
      <c r="T418" s="1">
        <v>43800</v>
      </c>
      <c r="U418" s="1">
        <v>43800</v>
      </c>
      <c r="V418" t="s">
        <v>260</v>
      </c>
      <c r="W418">
        <v>9085926</v>
      </c>
      <c r="X418">
        <v>9085926</v>
      </c>
      <c r="Y418" t="s">
        <v>270</v>
      </c>
      <c r="Z418">
        <v>2804298.15</v>
      </c>
      <c r="AA418">
        <v>2804298</v>
      </c>
      <c r="AB418" t="b">
        <v>0</v>
      </c>
      <c r="AC418">
        <v>1</v>
      </c>
    </row>
    <row r="419" spans="17:29" x14ac:dyDescent="0.2">
      <c r="Q419" t="s">
        <v>2117</v>
      </c>
      <c r="R419" t="s">
        <v>2204</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2117</v>
      </c>
      <c r="R420" t="s">
        <v>2204</v>
      </c>
      <c r="S420" t="s">
        <v>257</v>
      </c>
      <c r="T420" s="1">
        <v>42705</v>
      </c>
      <c r="U420" s="1">
        <v>42705</v>
      </c>
      <c r="V420" t="s">
        <v>260</v>
      </c>
      <c r="W420">
        <v>39303000</v>
      </c>
      <c r="X420">
        <v>39303000</v>
      </c>
      <c r="Y420" t="s">
        <v>270</v>
      </c>
      <c r="Z420">
        <v>12163968.93</v>
      </c>
      <c r="AA420">
        <v>12163968</v>
      </c>
      <c r="AB420" t="b">
        <v>0</v>
      </c>
      <c r="AC420">
        <v>1</v>
      </c>
    </row>
    <row r="421" spans="17:29" x14ac:dyDescent="0.2">
      <c r="Q421" t="s">
        <v>1998</v>
      </c>
      <c r="R421" t="s">
        <v>2205</v>
      </c>
      <c r="S421" t="s">
        <v>257</v>
      </c>
      <c r="T421" s="1">
        <v>42795</v>
      </c>
      <c r="U421" s="1">
        <v>42795</v>
      </c>
      <c r="V421" t="s">
        <v>260</v>
      </c>
      <c r="W421">
        <v>7706</v>
      </c>
      <c r="X421">
        <v>7706</v>
      </c>
      <c r="Y421" t="s">
        <v>270</v>
      </c>
      <c r="Z421">
        <v>2384.9499999999998</v>
      </c>
      <c r="AA421">
        <v>2384</v>
      </c>
      <c r="AB421" t="b">
        <v>0</v>
      </c>
      <c r="AC421">
        <v>1</v>
      </c>
    </row>
    <row r="422" spans="17:29" x14ac:dyDescent="0.2">
      <c r="Q422" t="s">
        <v>1998</v>
      </c>
      <c r="R422" t="s">
        <v>2205</v>
      </c>
      <c r="S422" t="s">
        <v>257</v>
      </c>
      <c r="T422" s="1">
        <v>42705</v>
      </c>
      <c r="U422" s="1">
        <v>42705</v>
      </c>
      <c r="V422" t="s">
        <v>260</v>
      </c>
      <c r="W422">
        <v>2676000</v>
      </c>
      <c r="X422">
        <v>2676000</v>
      </c>
      <c r="Y422" t="s">
        <v>270</v>
      </c>
      <c r="Z422">
        <v>828200.92</v>
      </c>
      <c r="AA422">
        <v>828200</v>
      </c>
      <c r="AB422" t="b">
        <v>0</v>
      </c>
      <c r="AC422">
        <v>1</v>
      </c>
    </row>
    <row r="423" spans="17:29" x14ac:dyDescent="0.2">
      <c r="Q423" t="s">
        <v>2067</v>
      </c>
      <c r="R423" t="s">
        <v>2205</v>
      </c>
      <c r="S423" t="s">
        <v>257</v>
      </c>
      <c r="T423" s="1">
        <v>42795</v>
      </c>
      <c r="U423" s="1">
        <v>42795</v>
      </c>
      <c r="V423" t="s">
        <v>260</v>
      </c>
      <c r="W423">
        <v>7706</v>
      </c>
      <c r="X423">
        <v>7706</v>
      </c>
      <c r="Y423" t="s">
        <v>270</v>
      </c>
      <c r="Z423">
        <v>2384.9499999999998</v>
      </c>
      <c r="AA423">
        <v>2384</v>
      </c>
      <c r="AB423" t="b">
        <v>0</v>
      </c>
      <c r="AC423">
        <v>1</v>
      </c>
    </row>
    <row r="424" spans="17:29" x14ac:dyDescent="0.2">
      <c r="Q424" t="s">
        <v>2067</v>
      </c>
      <c r="R424" t="s">
        <v>2205</v>
      </c>
      <c r="S424" t="s">
        <v>257</v>
      </c>
      <c r="T424" s="1">
        <v>42705</v>
      </c>
      <c r="U424" s="1">
        <v>42705</v>
      </c>
      <c r="V424" t="s">
        <v>260</v>
      </c>
      <c r="W424">
        <v>2676000</v>
      </c>
      <c r="X424">
        <v>2676000</v>
      </c>
      <c r="Y424" t="s">
        <v>270</v>
      </c>
      <c r="Z424">
        <v>828200.92</v>
      </c>
      <c r="AA424">
        <v>828200</v>
      </c>
      <c r="AB424" t="b">
        <v>0</v>
      </c>
      <c r="AC424">
        <v>1</v>
      </c>
    </row>
    <row r="425" spans="17:29" x14ac:dyDescent="0.2">
      <c r="Q425" t="s">
        <v>1998</v>
      </c>
      <c r="R425" t="s">
        <v>2206</v>
      </c>
      <c r="S425" t="s">
        <v>257</v>
      </c>
      <c r="T425" s="1">
        <v>43800</v>
      </c>
      <c r="U425" s="1">
        <v>43800</v>
      </c>
      <c r="V425" t="s">
        <v>260</v>
      </c>
      <c r="W425">
        <v>1150179</v>
      </c>
      <c r="X425">
        <v>1150179</v>
      </c>
      <c r="Y425" t="s">
        <v>270</v>
      </c>
      <c r="Z425">
        <v>354993.52</v>
      </c>
      <c r="AA425">
        <v>354993</v>
      </c>
      <c r="AB425" t="b">
        <v>0</v>
      </c>
      <c r="AC425">
        <v>1</v>
      </c>
    </row>
    <row r="426" spans="17:29" x14ac:dyDescent="0.2">
      <c r="Q426" t="s">
        <v>1998</v>
      </c>
      <c r="R426" t="s">
        <v>2206</v>
      </c>
      <c r="S426" t="s">
        <v>257</v>
      </c>
      <c r="T426" s="1">
        <v>42795</v>
      </c>
      <c r="U426" s="1">
        <v>42795</v>
      </c>
      <c r="V426" t="s">
        <v>260</v>
      </c>
      <c r="W426">
        <v>43949801</v>
      </c>
      <c r="X426">
        <v>43949801</v>
      </c>
      <c r="Y426" t="s">
        <v>270</v>
      </c>
      <c r="Z426">
        <v>13602117.24</v>
      </c>
      <c r="AA426">
        <v>13602117</v>
      </c>
      <c r="AB426" t="b">
        <v>0</v>
      </c>
      <c r="AC426">
        <v>1</v>
      </c>
    </row>
    <row r="427" spans="17:29" x14ac:dyDescent="0.2">
      <c r="Q427" t="s">
        <v>1998</v>
      </c>
      <c r="R427" t="s">
        <v>2206</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1998</v>
      </c>
      <c r="R428" t="s">
        <v>2206</v>
      </c>
      <c r="S428" t="s">
        <v>257</v>
      </c>
      <c r="T428" s="1">
        <v>42339</v>
      </c>
      <c r="U428" s="1">
        <v>42339</v>
      </c>
      <c r="V428" t="s">
        <v>260</v>
      </c>
      <c r="W428">
        <v>575000</v>
      </c>
      <c r="X428">
        <v>575000</v>
      </c>
      <c r="Y428" t="s">
        <v>270</v>
      </c>
      <c r="Z428">
        <v>177957.97</v>
      </c>
      <c r="AA428">
        <v>177957</v>
      </c>
      <c r="AB428" t="b">
        <v>0</v>
      </c>
      <c r="AC428">
        <v>1</v>
      </c>
    </row>
    <row r="429" spans="17:29" x14ac:dyDescent="0.2">
      <c r="Q429" t="s">
        <v>2067</v>
      </c>
      <c r="R429" t="s">
        <v>2206</v>
      </c>
      <c r="S429" t="s">
        <v>257</v>
      </c>
      <c r="T429" s="1">
        <v>43800</v>
      </c>
      <c r="U429" s="1">
        <v>43800</v>
      </c>
      <c r="V429" t="s">
        <v>260</v>
      </c>
      <c r="W429">
        <v>1150179</v>
      </c>
      <c r="X429">
        <v>1150179</v>
      </c>
      <c r="Y429" t="s">
        <v>270</v>
      </c>
      <c r="Z429">
        <v>354993.52</v>
      </c>
      <c r="AA429">
        <v>354993</v>
      </c>
      <c r="AB429" t="b">
        <v>0</v>
      </c>
      <c r="AC429">
        <v>1</v>
      </c>
    </row>
    <row r="430" spans="17:29" x14ac:dyDescent="0.2">
      <c r="Q430" t="s">
        <v>2067</v>
      </c>
      <c r="R430" t="s">
        <v>2206</v>
      </c>
      <c r="S430" t="s">
        <v>257</v>
      </c>
      <c r="T430" s="1">
        <v>42795</v>
      </c>
      <c r="U430" s="1">
        <v>42795</v>
      </c>
      <c r="V430" t="s">
        <v>260</v>
      </c>
      <c r="W430">
        <v>43949801</v>
      </c>
      <c r="X430">
        <v>43949801</v>
      </c>
      <c r="Y430" t="s">
        <v>270</v>
      </c>
      <c r="Z430">
        <v>13602117.24</v>
      </c>
      <c r="AA430">
        <v>13602117</v>
      </c>
      <c r="AB430" t="b">
        <v>0</v>
      </c>
      <c r="AC430">
        <v>1</v>
      </c>
    </row>
    <row r="431" spans="17:29" x14ac:dyDescent="0.2">
      <c r="Q431" t="s">
        <v>2067</v>
      </c>
      <c r="R431" t="s">
        <v>2206</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2067</v>
      </c>
      <c r="R432" t="s">
        <v>2206</v>
      </c>
      <c r="S432" t="s">
        <v>257</v>
      </c>
      <c r="T432" s="1">
        <v>42339</v>
      </c>
      <c r="U432" s="1">
        <v>42339</v>
      </c>
      <c r="V432" t="s">
        <v>260</v>
      </c>
      <c r="W432">
        <v>575000</v>
      </c>
      <c r="X432">
        <v>575000</v>
      </c>
      <c r="Y432" t="s">
        <v>270</v>
      </c>
      <c r="Z432">
        <v>177957.97</v>
      </c>
      <c r="AA432">
        <v>177957</v>
      </c>
      <c r="AB432" t="b">
        <v>0</v>
      </c>
      <c r="AC432">
        <v>1</v>
      </c>
    </row>
    <row r="433" spans="17:29" x14ac:dyDescent="0.2">
      <c r="Q433" t="s">
        <v>1998</v>
      </c>
      <c r="R433" t="s">
        <v>2207</v>
      </c>
      <c r="S433" t="s">
        <v>257</v>
      </c>
      <c r="T433" s="1">
        <v>43070</v>
      </c>
      <c r="U433" s="1">
        <v>43070</v>
      </c>
      <c r="V433" t="s">
        <v>260</v>
      </c>
      <c r="W433">
        <v>71404</v>
      </c>
      <c r="X433">
        <v>71404</v>
      </c>
      <c r="Y433" t="s">
        <v>270</v>
      </c>
      <c r="Z433">
        <v>22098.98</v>
      </c>
      <c r="AA433">
        <v>22098</v>
      </c>
      <c r="AB433" t="b">
        <v>0</v>
      </c>
      <c r="AC433">
        <v>1</v>
      </c>
    </row>
    <row r="434" spans="17:29" x14ac:dyDescent="0.2">
      <c r="Q434" t="s">
        <v>1998</v>
      </c>
      <c r="R434" t="s">
        <v>2207</v>
      </c>
      <c r="S434" t="s">
        <v>257</v>
      </c>
      <c r="T434" s="1">
        <v>42705</v>
      </c>
      <c r="U434" s="1">
        <v>42705</v>
      </c>
      <c r="V434" t="s">
        <v>260</v>
      </c>
      <c r="W434">
        <v>1358000</v>
      </c>
      <c r="X434">
        <v>1358000</v>
      </c>
      <c r="Y434" t="s">
        <v>270</v>
      </c>
      <c r="Z434">
        <v>420290.3</v>
      </c>
      <c r="AA434">
        <v>420290</v>
      </c>
      <c r="AB434" t="b">
        <v>0</v>
      </c>
      <c r="AC434">
        <v>1</v>
      </c>
    </row>
    <row r="435" spans="17:29" x14ac:dyDescent="0.2">
      <c r="Q435" t="s">
        <v>2067</v>
      </c>
      <c r="R435" t="s">
        <v>2207</v>
      </c>
      <c r="S435" t="s">
        <v>257</v>
      </c>
      <c r="T435" s="1">
        <v>43070</v>
      </c>
      <c r="U435" s="1">
        <v>43070</v>
      </c>
      <c r="V435" t="s">
        <v>260</v>
      </c>
      <c r="W435">
        <v>71404</v>
      </c>
      <c r="X435">
        <v>71404</v>
      </c>
      <c r="Y435" t="s">
        <v>270</v>
      </c>
      <c r="Z435">
        <v>22098.98</v>
      </c>
      <c r="AA435">
        <v>22098</v>
      </c>
      <c r="AB435" t="b">
        <v>0</v>
      </c>
      <c r="AC435">
        <v>1</v>
      </c>
    </row>
    <row r="436" spans="17:29" x14ac:dyDescent="0.2">
      <c r="Q436" t="s">
        <v>2067</v>
      </c>
      <c r="R436" t="s">
        <v>2207</v>
      </c>
      <c r="S436" t="s">
        <v>257</v>
      </c>
      <c r="T436" s="1">
        <v>42705</v>
      </c>
      <c r="U436" s="1">
        <v>42705</v>
      </c>
      <c r="V436" t="s">
        <v>260</v>
      </c>
      <c r="W436">
        <v>1358000</v>
      </c>
      <c r="X436">
        <v>1358000</v>
      </c>
      <c r="Y436" t="s">
        <v>270</v>
      </c>
      <c r="Z436">
        <v>420290.3</v>
      </c>
      <c r="AA436">
        <v>420290</v>
      </c>
      <c r="AB436" t="b">
        <v>0</v>
      </c>
      <c r="AC436">
        <v>1</v>
      </c>
    </row>
    <row r="437" spans="17:29" x14ac:dyDescent="0.2">
      <c r="Q437" t="s">
        <v>2208</v>
      </c>
      <c r="R437" t="s">
        <v>2209</v>
      </c>
      <c r="S437" t="s">
        <v>257</v>
      </c>
      <c r="T437" s="1">
        <v>43070</v>
      </c>
      <c r="U437" s="1">
        <v>43070</v>
      </c>
      <c r="V437" t="s">
        <v>260</v>
      </c>
      <c r="W437">
        <v>4356311</v>
      </c>
      <c r="X437">
        <v>4356311</v>
      </c>
      <c r="Y437" t="s">
        <v>270</v>
      </c>
      <c r="Z437">
        <v>1348243.94</v>
      </c>
      <c r="AA437">
        <v>1348243</v>
      </c>
      <c r="AB437" t="b">
        <v>0</v>
      </c>
      <c r="AC437">
        <v>1</v>
      </c>
    </row>
    <row r="438" spans="17:29" x14ac:dyDescent="0.2">
      <c r="Q438" t="s">
        <v>2208</v>
      </c>
      <c r="R438" t="s">
        <v>2209</v>
      </c>
      <c r="S438" t="s">
        <v>257</v>
      </c>
      <c r="T438" s="1">
        <v>42705</v>
      </c>
      <c r="U438" s="1">
        <v>42705</v>
      </c>
      <c r="V438" t="s">
        <v>260</v>
      </c>
      <c r="W438">
        <v>2660000</v>
      </c>
      <c r="X438">
        <v>2660000</v>
      </c>
      <c r="Y438" t="s">
        <v>270</v>
      </c>
      <c r="Z438">
        <v>823249.05</v>
      </c>
      <c r="AA438">
        <v>823249</v>
      </c>
      <c r="AB438" t="b">
        <v>0</v>
      </c>
      <c r="AC438">
        <v>1</v>
      </c>
    </row>
    <row r="439" spans="17:29" x14ac:dyDescent="0.2">
      <c r="Q439" t="s">
        <v>2208</v>
      </c>
      <c r="R439" t="s">
        <v>2209</v>
      </c>
      <c r="S439" t="s">
        <v>257</v>
      </c>
      <c r="T439" s="1">
        <v>42339</v>
      </c>
      <c r="U439" s="1">
        <v>42339</v>
      </c>
      <c r="V439" t="s">
        <v>260</v>
      </c>
      <c r="W439">
        <v>883000</v>
      </c>
      <c r="X439">
        <v>883000</v>
      </c>
      <c r="Y439" t="s">
        <v>270</v>
      </c>
      <c r="Z439">
        <v>273281.53999999998</v>
      </c>
      <c r="AA439">
        <v>273281</v>
      </c>
      <c r="AB439" t="b">
        <v>0</v>
      </c>
      <c r="AC439">
        <v>1</v>
      </c>
    </row>
    <row r="440" spans="17:29" x14ac:dyDescent="0.2">
      <c r="Q440" t="s">
        <v>2210</v>
      </c>
      <c r="R440" t="s">
        <v>2209</v>
      </c>
      <c r="S440" t="s">
        <v>257</v>
      </c>
      <c r="T440" s="1">
        <v>43070</v>
      </c>
      <c r="U440" s="1">
        <v>43070</v>
      </c>
      <c r="V440" t="s">
        <v>260</v>
      </c>
      <c r="W440">
        <v>4356311</v>
      </c>
      <c r="X440">
        <v>4356311</v>
      </c>
      <c r="Y440" t="s">
        <v>270</v>
      </c>
      <c r="Z440">
        <v>1348243.94</v>
      </c>
      <c r="AA440">
        <v>1348243</v>
      </c>
      <c r="AB440" t="b">
        <v>0</v>
      </c>
      <c r="AC440">
        <v>1</v>
      </c>
    </row>
    <row r="441" spans="17:29" x14ac:dyDescent="0.2">
      <c r="Q441" t="s">
        <v>2210</v>
      </c>
      <c r="R441" t="s">
        <v>2209</v>
      </c>
      <c r="S441" t="s">
        <v>257</v>
      </c>
      <c r="T441" s="1">
        <v>42705</v>
      </c>
      <c r="U441" s="1">
        <v>42705</v>
      </c>
      <c r="V441" t="s">
        <v>260</v>
      </c>
      <c r="W441">
        <v>2660000</v>
      </c>
      <c r="X441">
        <v>2660000</v>
      </c>
      <c r="Y441" t="s">
        <v>270</v>
      </c>
      <c r="Z441">
        <v>823249.05</v>
      </c>
      <c r="AA441">
        <v>823249</v>
      </c>
      <c r="AB441" t="b">
        <v>0</v>
      </c>
      <c r="AC441">
        <v>1</v>
      </c>
    </row>
    <row r="442" spans="17:29" x14ac:dyDescent="0.2">
      <c r="Q442" t="s">
        <v>2210</v>
      </c>
      <c r="R442" t="s">
        <v>2209</v>
      </c>
      <c r="S442" t="s">
        <v>257</v>
      </c>
      <c r="T442" s="1">
        <v>42339</v>
      </c>
      <c r="U442" s="1">
        <v>42339</v>
      </c>
      <c r="V442" t="s">
        <v>260</v>
      </c>
      <c r="W442">
        <v>883000</v>
      </c>
      <c r="X442">
        <v>883000</v>
      </c>
      <c r="Y442" t="s">
        <v>270</v>
      </c>
      <c r="Z442">
        <v>273281.53999999998</v>
      </c>
      <c r="AA442">
        <v>273281</v>
      </c>
      <c r="AB442" t="b">
        <v>0</v>
      </c>
      <c r="AC442">
        <v>1</v>
      </c>
    </row>
    <row r="443" spans="17:29" x14ac:dyDescent="0.2">
      <c r="Q443" t="s">
        <v>2208</v>
      </c>
      <c r="R443" t="s">
        <v>2211</v>
      </c>
      <c r="S443" t="s">
        <v>257</v>
      </c>
      <c r="T443" s="1">
        <v>43070</v>
      </c>
      <c r="U443" s="1">
        <v>43070</v>
      </c>
      <c r="V443" t="s">
        <v>260</v>
      </c>
      <c r="W443">
        <v>2473285</v>
      </c>
      <c r="X443">
        <v>2473285</v>
      </c>
      <c r="Y443" t="s">
        <v>270</v>
      </c>
      <c r="Z443">
        <v>765462.23</v>
      </c>
      <c r="AA443">
        <v>765462</v>
      </c>
      <c r="AB443" t="b">
        <v>0</v>
      </c>
      <c r="AC443">
        <v>1</v>
      </c>
    </row>
    <row r="444" spans="17:29" x14ac:dyDescent="0.2">
      <c r="Q444" t="s">
        <v>2208</v>
      </c>
      <c r="R444" t="s">
        <v>2211</v>
      </c>
      <c r="S444" t="s">
        <v>257</v>
      </c>
      <c r="T444" s="1">
        <v>42705</v>
      </c>
      <c r="U444" s="1">
        <v>42705</v>
      </c>
      <c r="V444" t="s">
        <v>260</v>
      </c>
      <c r="W444">
        <v>4790000</v>
      </c>
      <c r="X444">
        <v>4790000</v>
      </c>
      <c r="Y444" t="s">
        <v>270</v>
      </c>
      <c r="Z444">
        <v>1482467.27</v>
      </c>
      <c r="AA444">
        <v>1482467</v>
      </c>
      <c r="AB444" t="b">
        <v>0</v>
      </c>
      <c r="AC444">
        <v>1</v>
      </c>
    </row>
    <row r="445" spans="17:29" x14ac:dyDescent="0.2">
      <c r="Q445" t="s">
        <v>2208</v>
      </c>
      <c r="R445" t="s">
        <v>2211</v>
      </c>
      <c r="S445" t="s">
        <v>257</v>
      </c>
      <c r="T445" s="1">
        <v>42339</v>
      </c>
      <c r="U445" s="1">
        <v>42339</v>
      </c>
      <c r="V445" t="s">
        <v>260</v>
      </c>
      <c r="W445">
        <v>5321000</v>
      </c>
      <c r="X445">
        <v>5321000</v>
      </c>
      <c r="Y445" t="s">
        <v>270</v>
      </c>
      <c r="Z445">
        <v>1646807.59</v>
      </c>
      <c r="AA445">
        <v>1646807</v>
      </c>
      <c r="AB445" t="b">
        <v>0</v>
      </c>
      <c r="AC445">
        <v>1</v>
      </c>
    </row>
    <row r="446" spans="17:29" x14ac:dyDescent="0.2">
      <c r="Q446" t="s">
        <v>2210</v>
      </c>
      <c r="R446" t="s">
        <v>2211</v>
      </c>
      <c r="S446" t="s">
        <v>257</v>
      </c>
      <c r="T446" s="1">
        <v>43070</v>
      </c>
      <c r="U446" s="1">
        <v>43070</v>
      </c>
      <c r="V446" t="s">
        <v>260</v>
      </c>
      <c r="W446">
        <v>2473285</v>
      </c>
      <c r="X446">
        <v>2473285</v>
      </c>
      <c r="Y446" t="s">
        <v>270</v>
      </c>
      <c r="Z446">
        <v>765462.23</v>
      </c>
      <c r="AA446">
        <v>765462</v>
      </c>
      <c r="AB446" t="b">
        <v>0</v>
      </c>
      <c r="AC446">
        <v>1</v>
      </c>
    </row>
    <row r="447" spans="17:29" x14ac:dyDescent="0.2">
      <c r="Q447" t="s">
        <v>2210</v>
      </c>
      <c r="R447" t="s">
        <v>2211</v>
      </c>
      <c r="S447" t="s">
        <v>257</v>
      </c>
      <c r="T447" s="1">
        <v>42705</v>
      </c>
      <c r="U447" s="1">
        <v>42705</v>
      </c>
      <c r="V447" t="s">
        <v>260</v>
      </c>
      <c r="W447">
        <v>4790000</v>
      </c>
      <c r="X447">
        <v>4790000</v>
      </c>
      <c r="Y447" t="s">
        <v>270</v>
      </c>
      <c r="Z447">
        <v>1482467.27</v>
      </c>
      <c r="AA447">
        <v>1482467</v>
      </c>
      <c r="AB447" t="b">
        <v>0</v>
      </c>
      <c r="AC447">
        <v>1</v>
      </c>
    </row>
    <row r="448" spans="17:29" x14ac:dyDescent="0.2">
      <c r="Q448" t="s">
        <v>2210</v>
      </c>
      <c r="R448" t="s">
        <v>2211</v>
      </c>
      <c r="S448" t="s">
        <v>257</v>
      </c>
      <c r="T448" s="1">
        <v>42339</v>
      </c>
      <c r="U448" s="1">
        <v>42339</v>
      </c>
      <c r="V448" t="s">
        <v>260</v>
      </c>
      <c r="W448">
        <v>5321000</v>
      </c>
      <c r="X448">
        <v>5321000</v>
      </c>
      <c r="Y448" t="s">
        <v>270</v>
      </c>
      <c r="Z448">
        <v>1646807.59</v>
      </c>
      <c r="AA448">
        <v>1646807</v>
      </c>
      <c r="AB448" t="b">
        <v>0</v>
      </c>
      <c r="AC448">
        <v>1</v>
      </c>
    </row>
    <row r="449" spans="17:29" x14ac:dyDescent="0.2">
      <c r="Q449" t="s">
        <v>2080</v>
      </c>
      <c r="R449" t="s">
        <v>2212</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2080</v>
      </c>
      <c r="R450" t="s">
        <v>2212</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2080</v>
      </c>
      <c r="R451" t="s">
        <v>2212</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2080</v>
      </c>
      <c r="R452" t="s">
        <v>2212</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2080</v>
      </c>
      <c r="R453" t="s">
        <v>2212</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2082</v>
      </c>
      <c r="R454" t="s">
        <v>2212</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2082</v>
      </c>
      <c r="R455" t="s">
        <v>2212</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2082</v>
      </c>
      <c r="R456" t="s">
        <v>2212</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2082</v>
      </c>
      <c r="R457" t="s">
        <v>2212</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2082</v>
      </c>
      <c r="R458" t="s">
        <v>2212</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2080</v>
      </c>
      <c r="R459" t="s">
        <v>2213</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2082</v>
      </c>
      <c r="R460" t="s">
        <v>2213</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2208</v>
      </c>
      <c r="R461" t="s">
        <v>2214</v>
      </c>
      <c r="S461" t="s">
        <v>257</v>
      </c>
      <c r="T461" s="1">
        <v>43070</v>
      </c>
      <c r="U461" s="1">
        <v>43070</v>
      </c>
      <c r="V461" t="s">
        <v>260</v>
      </c>
      <c r="W461">
        <v>488334</v>
      </c>
      <c r="X461">
        <v>488334</v>
      </c>
      <c r="Y461" t="s">
        <v>270</v>
      </c>
      <c r="Z461">
        <v>151135.53</v>
      </c>
      <c r="AA461">
        <v>151135</v>
      </c>
      <c r="AB461" t="b">
        <v>0</v>
      </c>
      <c r="AC461">
        <v>1</v>
      </c>
    </row>
    <row r="462" spans="17:29" x14ac:dyDescent="0.2">
      <c r="Q462" t="s">
        <v>2210</v>
      </c>
      <c r="R462" t="s">
        <v>2214</v>
      </c>
      <c r="S462" t="s">
        <v>257</v>
      </c>
      <c r="T462" s="1">
        <v>43070</v>
      </c>
      <c r="U462" s="1">
        <v>43070</v>
      </c>
      <c r="V462" t="s">
        <v>260</v>
      </c>
      <c r="W462">
        <v>488334</v>
      </c>
      <c r="X462">
        <v>488334</v>
      </c>
      <c r="Y462" t="s">
        <v>270</v>
      </c>
      <c r="Z462">
        <v>151135.53</v>
      </c>
      <c r="AA462">
        <v>151135</v>
      </c>
      <c r="AB462" t="b">
        <v>0</v>
      </c>
      <c r="AC462">
        <v>1</v>
      </c>
    </row>
    <row r="463" spans="17:29" x14ac:dyDescent="0.2">
      <c r="Q463" t="s">
        <v>1998</v>
      </c>
      <c r="R463" t="s">
        <v>2215</v>
      </c>
      <c r="S463" t="s">
        <v>287</v>
      </c>
      <c r="T463" s="1">
        <v>43465</v>
      </c>
      <c r="U463" s="1">
        <v>43465</v>
      </c>
      <c r="V463" t="s">
        <v>2185</v>
      </c>
      <c r="W463">
        <v>3480517319</v>
      </c>
      <c r="X463">
        <v>3480517319</v>
      </c>
      <c r="Y463" t="s">
        <v>290</v>
      </c>
      <c r="Z463">
        <v>126262</v>
      </c>
      <c r="AA463">
        <v>5002972</v>
      </c>
      <c r="AB463" t="b">
        <v>1</v>
      </c>
      <c r="AC463">
        <v>0.52</v>
      </c>
    </row>
    <row r="464" spans="17:29" x14ac:dyDescent="0.2">
      <c r="Q464" t="s">
        <v>2018</v>
      </c>
      <c r="R464" t="s">
        <v>2216</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2018</v>
      </c>
      <c r="R465" t="s">
        <v>2216</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1998</v>
      </c>
      <c r="R466" t="s">
        <v>2217</v>
      </c>
      <c r="S466" t="s">
        <v>343</v>
      </c>
      <c r="T466" s="1">
        <v>43100</v>
      </c>
      <c r="U466" s="1">
        <v>43100</v>
      </c>
      <c r="V466" t="s">
        <v>345</v>
      </c>
      <c r="W466">
        <v>24330000</v>
      </c>
      <c r="X466">
        <v>24330000</v>
      </c>
      <c r="Y466" t="s">
        <v>345</v>
      </c>
      <c r="Z466">
        <v>24330000</v>
      </c>
      <c r="AA466">
        <v>1263943</v>
      </c>
      <c r="AB466" t="b">
        <v>1</v>
      </c>
      <c r="AC466">
        <v>0.41</v>
      </c>
    </row>
    <row r="467" spans="17:29" x14ac:dyDescent="0.2">
      <c r="Q467" t="s">
        <v>2005</v>
      </c>
      <c r="R467" t="s">
        <v>2217</v>
      </c>
      <c r="S467" t="s">
        <v>343</v>
      </c>
      <c r="T467" s="1">
        <v>43100</v>
      </c>
      <c r="U467" s="1">
        <v>43100</v>
      </c>
      <c r="V467" t="s">
        <v>345</v>
      </c>
      <c r="W467">
        <v>24330000</v>
      </c>
      <c r="X467">
        <v>24330000</v>
      </c>
      <c r="Y467" t="s">
        <v>345</v>
      </c>
      <c r="Z467">
        <v>24330000</v>
      </c>
      <c r="AA467">
        <v>1263943</v>
      </c>
      <c r="AB467" t="b">
        <v>1</v>
      </c>
      <c r="AC467">
        <v>0.41</v>
      </c>
    </row>
    <row r="468" spans="17:29" x14ac:dyDescent="0.2">
      <c r="Q468" t="s">
        <v>1995</v>
      </c>
      <c r="R468" t="s">
        <v>2218</v>
      </c>
      <c r="S468" t="s">
        <v>343</v>
      </c>
      <c r="T468" s="1">
        <v>43100</v>
      </c>
      <c r="U468" s="1">
        <v>43100</v>
      </c>
      <c r="V468" t="s">
        <v>345</v>
      </c>
      <c r="W468">
        <v>36495000</v>
      </c>
      <c r="X468">
        <v>36495000</v>
      </c>
      <c r="Y468" t="s">
        <v>345</v>
      </c>
      <c r="Z468">
        <v>36495000</v>
      </c>
      <c r="AA468">
        <v>1895915</v>
      </c>
      <c r="AB468" t="b">
        <v>1</v>
      </c>
      <c r="AC468">
        <v>0.13</v>
      </c>
    </row>
    <row r="469" spans="17:29" x14ac:dyDescent="0.2">
      <c r="Q469" t="s">
        <v>1997</v>
      </c>
      <c r="R469" t="s">
        <v>2218</v>
      </c>
      <c r="S469" t="s">
        <v>343</v>
      </c>
      <c r="T469" s="1">
        <v>43100</v>
      </c>
      <c r="U469" s="1">
        <v>43100</v>
      </c>
      <c r="V469" t="s">
        <v>345</v>
      </c>
      <c r="W469">
        <v>36495000</v>
      </c>
      <c r="X469">
        <v>36495000</v>
      </c>
      <c r="Y469" t="s">
        <v>345</v>
      </c>
      <c r="Z469">
        <v>36495000</v>
      </c>
      <c r="AA469">
        <v>1895915</v>
      </c>
      <c r="AB469" t="b">
        <v>1</v>
      </c>
      <c r="AC469">
        <v>0.13</v>
      </c>
    </row>
    <row r="470" spans="17:29" x14ac:dyDescent="0.2">
      <c r="Q470" t="s">
        <v>1995</v>
      </c>
      <c r="R470" t="s">
        <v>2219</v>
      </c>
      <c r="S470" t="s">
        <v>343</v>
      </c>
      <c r="T470" s="1">
        <v>43100</v>
      </c>
      <c r="U470" s="1">
        <v>43100</v>
      </c>
      <c r="V470" t="s">
        <v>345</v>
      </c>
      <c r="W470">
        <v>25546500</v>
      </c>
      <c r="X470">
        <v>25546500</v>
      </c>
      <c r="Y470" t="s">
        <v>345</v>
      </c>
      <c r="Z470">
        <v>25546500</v>
      </c>
      <c r="AA470">
        <v>1327141</v>
      </c>
      <c r="AB470" t="b">
        <v>1</v>
      </c>
      <c r="AC470">
        <v>0.48</v>
      </c>
    </row>
    <row r="471" spans="17:29" x14ac:dyDescent="0.2">
      <c r="Q471" t="s">
        <v>1997</v>
      </c>
      <c r="R471" t="s">
        <v>2219</v>
      </c>
      <c r="S471" t="s">
        <v>343</v>
      </c>
      <c r="T471" s="1">
        <v>43100</v>
      </c>
      <c r="U471" s="1">
        <v>43100</v>
      </c>
      <c r="V471" t="s">
        <v>345</v>
      </c>
      <c r="W471">
        <v>25546500</v>
      </c>
      <c r="X471">
        <v>25546500</v>
      </c>
      <c r="Y471" t="s">
        <v>345</v>
      </c>
      <c r="Z471">
        <v>25546500</v>
      </c>
      <c r="AA471">
        <v>1327141</v>
      </c>
      <c r="AB471" t="b">
        <v>1</v>
      </c>
      <c r="AC471">
        <v>0.48</v>
      </c>
    </row>
    <row r="472" spans="17:29" x14ac:dyDescent="0.2">
      <c r="Q472" t="s">
        <v>1995</v>
      </c>
      <c r="R472" t="s">
        <v>2220</v>
      </c>
      <c r="S472" t="s">
        <v>343</v>
      </c>
      <c r="T472" s="1">
        <v>43100</v>
      </c>
      <c r="U472" s="1">
        <v>43100</v>
      </c>
      <c r="V472" t="s">
        <v>345</v>
      </c>
      <c r="W472">
        <v>8515500</v>
      </c>
      <c r="X472">
        <v>8515500</v>
      </c>
      <c r="Y472" t="s">
        <v>345</v>
      </c>
      <c r="Z472">
        <v>8515500</v>
      </c>
      <c r="AA472">
        <v>442380</v>
      </c>
      <c r="AB472" t="b">
        <v>1</v>
      </c>
      <c r="AC472">
        <v>0.24</v>
      </c>
    </row>
    <row r="473" spans="17:29" x14ac:dyDescent="0.2">
      <c r="Q473" t="s">
        <v>1997</v>
      </c>
      <c r="R473" t="s">
        <v>2220</v>
      </c>
      <c r="S473" t="s">
        <v>343</v>
      </c>
      <c r="T473" s="1">
        <v>43100</v>
      </c>
      <c r="U473" s="1">
        <v>43100</v>
      </c>
      <c r="V473" t="s">
        <v>345</v>
      </c>
      <c r="W473">
        <v>8515500</v>
      </c>
      <c r="X473">
        <v>8515500</v>
      </c>
      <c r="Y473" t="s">
        <v>345</v>
      </c>
      <c r="Z473">
        <v>8515500</v>
      </c>
      <c r="AA473">
        <v>442380</v>
      </c>
      <c r="AB473" t="b">
        <v>1</v>
      </c>
      <c r="AC473">
        <v>0.24</v>
      </c>
    </row>
    <row r="474" spans="17:29" x14ac:dyDescent="0.2">
      <c r="Q474" t="s">
        <v>2003</v>
      </c>
      <c r="R474" t="s">
        <v>2221</v>
      </c>
      <c r="S474" t="s">
        <v>343</v>
      </c>
      <c r="T474" s="1">
        <v>43100</v>
      </c>
      <c r="U474" s="1">
        <v>43100</v>
      </c>
      <c r="V474" t="s">
        <v>345</v>
      </c>
      <c r="W474">
        <v>3649500</v>
      </c>
      <c r="X474">
        <v>3649500</v>
      </c>
      <c r="Y474" t="s">
        <v>345</v>
      </c>
      <c r="Z474">
        <v>3649500</v>
      </c>
      <c r="AA474">
        <v>189592</v>
      </c>
      <c r="AB474" t="b">
        <v>1</v>
      </c>
      <c r="AC474">
        <v>0.04</v>
      </c>
    </row>
    <row r="475" spans="17:29" x14ac:dyDescent="0.2">
      <c r="Q475" t="s">
        <v>2000</v>
      </c>
      <c r="R475" t="s">
        <v>2221</v>
      </c>
      <c r="S475" t="s">
        <v>343</v>
      </c>
      <c r="T475" s="1">
        <v>43100</v>
      </c>
      <c r="U475" s="1">
        <v>43100</v>
      </c>
      <c r="V475" t="s">
        <v>345</v>
      </c>
      <c r="W475">
        <v>3649500</v>
      </c>
      <c r="X475">
        <v>3649500</v>
      </c>
      <c r="Y475" t="s">
        <v>345</v>
      </c>
      <c r="Z475">
        <v>3649500</v>
      </c>
      <c r="AA475">
        <v>189592</v>
      </c>
      <c r="AB475" t="b">
        <v>1</v>
      </c>
      <c r="AC475">
        <v>0.04</v>
      </c>
    </row>
    <row r="476" spans="17:29" x14ac:dyDescent="0.2">
      <c r="Q476" t="s">
        <v>1998</v>
      </c>
      <c r="R476" t="s">
        <v>2222</v>
      </c>
      <c r="S476" t="s">
        <v>343</v>
      </c>
      <c r="T476" s="1">
        <v>43100</v>
      </c>
      <c r="U476" s="1">
        <v>43100</v>
      </c>
      <c r="V476" t="s">
        <v>345</v>
      </c>
      <c r="W476">
        <v>2433000</v>
      </c>
      <c r="X476">
        <v>2433000</v>
      </c>
      <c r="Y476" t="s">
        <v>345</v>
      </c>
      <c r="Z476">
        <v>2433000</v>
      </c>
      <c r="AA476">
        <v>126394</v>
      </c>
      <c r="AB476" t="b">
        <v>1</v>
      </c>
      <c r="AC476">
        <v>0.22</v>
      </c>
    </row>
    <row r="477" spans="17:29" x14ac:dyDescent="0.2">
      <c r="Q477" t="s">
        <v>2005</v>
      </c>
      <c r="R477" t="s">
        <v>2222</v>
      </c>
      <c r="S477" t="s">
        <v>343</v>
      </c>
      <c r="T477" s="1">
        <v>43100</v>
      </c>
      <c r="U477" s="1">
        <v>43100</v>
      </c>
      <c r="V477" t="s">
        <v>345</v>
      </c>
      <c r="W477">
        <v>2433000</v>
      </c>
      <c r="X477">
        <v>2433000</v>
      </c>
      <c r="Y477" t="s">
        <v>345</v>
      </c>
      <c r="Z477">
        <v>2433000</v>
      </c>
      <c r="AA477">
        <v>126394</v>
      </c>
      <c r="AB477" t="b">
        <v>1</v>
      </c>
      <c r="AC477">
        <v>0.22</v>
      </c>
    </row>
    <row r="478" spans="17:29" x14ac:dyDescent="0.2">
      <c r="Q478" t="s">
        <v>2067</v>
      </c>
      <c r="R478" t="s">
        <v>2215</v>
      </c>
      <c r="S478" t="s">
        <v>287</v>
      </c>
      <c r="T478" s="1">
        <v>43465</v>
      </c>
      <c r="U478" s="1">
        <v>43465</v>
      </c>
      <c r="V478" t="s">
        <v>2185</v>
      </c>
      <c r="W478">
        <v>3480517319</v>
      </c>
      <c r="X478">
        <v>3480517319</v>
      </c>
      <c r="Y478" t="s">
        <v>290</v>
      </c>
      <c r="Z478">
        <v>126262</v>
      </c>
      <c r="AA478">
        <v>5002972</v>
      </c>
      <c r="AB478" t="b">
        <v>1</v>
      </c>
      <c r="AC478">
        <v>0.52</v>
      </c>
    </row>
    <row r="479" spans="17:29" x14ac:dyDescent="0.2">
      <c r="Q479" t="s">
        <v>1998</v>
      </c>
      <c r="R479" t="s">
        <v>2223</v>
      </c>
      <c r="S479" t="s">
        <v>287</v>
      </c>
      <c r="T479" s="1">
        <v>43465</v>
      </c>
      <c r="U479" s="1">
        <v>43465</v>
      </c>
      <c r="V479" t="s">
        <v>2185</v>
      </c>
      <c r="W479">
        <v>5031390055</v>
      </c>
      <c r="X479">
        <v>5031390055</v>
      </c>
      <c r="Y479" t="s">
        <v>290</v>
      </c>
      <c r="Z479">
        <v>182523</v>
      </c>
      <c r="AA479">
        <v>7232230</v>
      </c>
      <c r="AB479" t="b">
        <v>1</v>
      </c>
      <c r="AC479">
        <v>0.66</v>
      </c>
    </row>
    <row r="480" spans="17:29" x14ac:dyDescent="0.2">
      <c r="Q480" t="s">
        <v>1995</v>
      </c>
      <c r="R480" t="s">
        <v>2224</v>
      </c>
      <c r="S480" t="s">
        <v>343</v>
      </c>
      <c r="T480" s="1">
        <v>43100</v>
      </c>
      <c r="U480" s="1">
        <v>43100</v>
      </c>
      <c r="V480" t="s">
        <v>345</v>
      </c>
      <c r="W480">
        <v>9732000</v>
      </c>
      <c r="X480">
        <v>9732000</v>
      </c>
      <c r="Y480" t="s">
        <v>345</v>
      </c>
      <c r="Z480">
        <v>9732000</v>
      </c>
      <c r="AA480">
        <v>505577</v>
      </c>
      <c r="AB480" t="b">
        <v>1</v>
      </c>
      <c r="AC480">
        <v>0.04</v>
      </c>
    </row>
    <row r="481" spans="17:29" x14ac:dyDescent="0.2">
      <c r="Q481" t="s">
        <v>1997</v>
      </c>
      <c r="R481" t="s">
        <v>2224</v>
      </c>
      <c r="S481" t="s">
        <v>343</v>
      </c>
      <c r="T481" s="1">
        <v>43100</v>
      </c>
      <c r="U481" s="1">
        <v>43100</v>
      </c>
      <c r="V481" t="s">
        <v>345</v>
      </c>
      <c r="W481">
        <v>9732000</v>
      </c>
      <c r="X481">
        <v>9732000</v>
      </c>
      <c r="Y481" t="s">
        <v>345</v>
      </c>
      <c r="Z481">
        <v>9732000</v>
      </c>
      <c r="AA481">
        <v>505577</v>
      </c>
      <c r="AB481" t="b">
        <v>1</v>
      </c>
      <c r="AC481">
        <v>0.04</v>
      </c>
    </row>
    <row r="482" spans="17:29" x14ac:dyDescent="0.2">
      <c r="Q482" t="s">
        <v>1995</v>
      </c>
      <c r="R482" t="s">
        <v>2225</v>
      </c>
      <c r="S482" t="s">
        <v>343</v>
      </c>
      <c r="T482" s="1">
        <v>43100</v>
      </c>
      <c r="U482" s="1">
        <v>43100</v>
      </c>
      <c r="V482" t="s">
        <v>345</v>
      </c>
      <c r="W482">
        <v>8515500</v>
      </c>
      <c r="X482">
        <v>8515500</v>
      </c>
      <c r="Y482" t="s">
        <v>345</v>
      </c>
      <c r="Z482">
        <v>8515500</v>
      </c>
      <c r="AA482">
        <v>442380</v>
      </c>
      <c r="AB482" t="b">
        <v>1</v>
      </c>
      <c r="AC482">
        <v>0.13</v>
      </c>
    </row>
    <row r="483" spans="17:29" x14ac:dyDescent="0.2">
      <c r="Q483" t="s">
        <v>1997</v>
      </c>
      <c r="R483" t="s">
        <v>2225</v>
      </c>
      <c r="S483" t="s">
        <v>343</v>
      </c>
      <c r="T483" s="1">
        <v>43100</v>
      </c>
      <c r="U483" s="1">
        <v>43100</v>
      </c>
      <c r="V483" t="s">
        <v>345</v>
      </c>
      <c r="W483">
        <v>8515500</v>
      </c>
      <c r="X483">
        <v>8515500</v>
      </c>
      <c r="Y483" t="s">
        <v>345</v>
      </c>
      <c r="Z483">
        <v>8515500</v>
      </c>
      <c r="AA483">
        <v>442380</v>
      </c>
      <c r="AB483" t="b">
        <v>1</v>
      </c>
      <c r="AC483">
        <v>0.13</v>
      </c>
    </row>
    <row r="484" spans="17:29" x14ac:dyDescent="0.2">
      <c r="Q484" t="s">
        <v>1995</v>
      </c>
      <c r="R484" t="s">
        <v>2226</v>
      </c>
      <c r="S484" t="s">
        <v>343</v>
      </c>
      <c r="T484" s="1">
        <v>43100</v>
      </c>
      <c r="U484" s="1">
        <v>43100</v>
      </c>
      <c r="V484" t="s">
        <v>345</v>
      </c>
      <c r="W484">
        <v>7299000</v>
      </c>
      <c r="X484">
        <v>7299000</v>
      </c>
      <c r="Y484" t="s">
        <v>345</v>
      </c>
      <c r="Z484">
        <v>7299000</v>
      </c>
      <c r="AA484">
        <v>379183</v>
      </c>
      <c r="AB484" t="b">
        <v>1</v>
      </c>
      <c r="AC484">
        <v>0.01</v>
      </c>
    </row>
    <row r="485" spans="17:29" x14ac:dyDescent="0.2">
      <c r="Q485" t="s">
        <v>1997</v>
      </c>
      <c r="R485" t="s">
        <v>2226</v>
      </c>
      <c r="S485" t="s">
        <v>343</v>
      </c>
      <c r="T485" s="1">
        <v>43100</v>
      </c>
      <c r="U485" s="1">
        <v>43100</v>
      </c>
      <c r="V485" t="s">
        <v>345</v>
      </c>
      <c r="W485">
        <v>7299000</v>
      </c>
      <c r="X485">
        <v>7299000</v>
      </c>
      <c r="Y485" t="s">
        <v>345</v>
      </c>
      <c r="Z485">
        <v>7299000</v>
      </c>
      <c r="AA485">
        <v>379183</v>
      </c>
      <c r="AB485" t="b">
        <v>1</v>
      </c>
      <c r="AC485">
        <v>0.01</v>
      </c>
    </row>
    <row r="486" spans="17:29" x14ac:dyDescent="0.2">
      <c r="Q486" t="s">
        <v>1998</v>
      </c>
      <c r="R486" t="s">
        <v>2227</v>
      </c>
      <c r="S486" t="s">
        <v>343</v>
      </c>
      <c r="T486" s="1">
        <v>43100</v>
      </c>
      <c r="U486" s="1">
        <v>43100</v>
      </c>
      <c r="V486" t="s">
        <v>345</v>
      </c>
      <c r="W486">
        <v>4866000</v>
      </c>
      <c r="X486">
        <v>4866000</v>
      </c>
      <c r="Y486" t="s">
        <v>345</v>
      </c>
      <c r="Z486">
        <v>4866000</v>
      </c>
      <c r="AA486">
        <v>252789</v>
      </c>
      <c r="AB486" t="b">
        <v>1</v>
      </c>
      <c r="AC486">
        <v>0.02</v>
      </c>
    </row>
    <row r="487" spans="17:29" x14ac:dyDescent="0.2">
      <c r="Q487" t="s">
        <v>2000</v>
      </c>
      <c r="R487" t="s">
        <v>2227</v>
      </c>
      <c r="S487" t="s">
        <v>343</v>
      </c>
      <c r="T487" s="1">
        <v>43100</v>
      </c>
      <c r="U487" s="1">
        <v>43100</v>
      </c>
      <c r="V487" t="s">
        <v>345</v>
      </c>
      <c r="W487">
        <v>4866000</v>
      </c>
      <c r="X487">
        <v>4866000</v>
      </c>
      <c r="Y487" t="s">
        <v>345</v>
      </c>
      <c r="Z487">
        <v>4866000</v>
      </c>
      <c r="AA487">
        <v>252789</v>
      </c>
      <c r="AB487" t="b">
        <v>1</v>
      </c>
      <c r="AC487">
        <v>0.02</v>
      </c>
    </row>
    <row r="488" spans="17:29" x14ac:dyDescent="0.2">
      <c r="Q488" t="s">
        <v>2001</v>
      </c>
      <c r="R488" t="s">
        <v>2228</v>
      </c>
      <c r="S488" t="s">
        <v>343</v>
      </c>
      <c r="T488" s="1">
        <v>43100</v>
      </c>
      <c r="U488" s="1">
        <v>43100</v>
      </c>
      <c r="V488" t="s">
        <v>345</v>
      </c>
      <c r="W488">
        <v>6082500</v>
      </c>
      <c r="X488">
        <v>6082500</v>
      </c>
      <c r="Y488" t="s">
        <v>345</v>
      </c>
      <c r="Z488">
        <v>6082500</v>
      </c>
      <c r="AA488">
        <v>315986</v>
      </c>
      <c r="AB488" t="b">
        <v>1</v>
      </c>
      <c r="AC488">
        <v>0.02</v>
      </c>
    </row>
    <row r="489" spans="17:29" x14ac:dyDescent="0.2">
      <c r="Q489" t="s">
        <v>2000</v>
      </c>
      <c r="R489" t="s">
        <v>2228</v>
      </c>
      <c r="S489" t="s">
        <v>343</v>
      </c>
      <c r="T489" s="1">
        <v>43100</v>
      </c>
      <c r="U489" s="1">
        <v>43100</v>
      </c>
      <c r="V489" t="s">
        <v>345</v>
      </c>
      <c r="W489">
        <v>6082500</v>
      </c>
      <c r="X489">
        <v>6082500</v>
      </c>
      <c r="Y489" t="s">
        <v>345</v>
      </c>
      <c r="Z489">
        <v>6082500</v>
      </c>
      <c r="AA489">
        <v>315986</v>
      </c>
      <c r="AB489" t="b">
        <v>1</v>
      </c>
      <c r="AC489">
        <v>0.02</v>
      </c>
    </row>
    <row r="490" spans="17:29" x14ac:dyDescent="0.2">
      <c r="Q490" t="s">
        <v>1998</v>
      </c>
      <c r="R490" t="s">
        <v>2229</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2000</v>
      </c>
      <c r="R491" t="s">
        <v>2229</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2018</v>
      </c>
      <c r="R492" t="s">
        <v>2230</v>
      </c>
      <c r="S492" t="s">
        <v>343</v>
      </c>
      <c r="T492" s="1">
        <v>43100</v>
      </c>
      <c r="U492" s="1">
        <v>43100</v>
      </c>
      <c r="V492" t="s">
        <v>345</v>
      </c>
      <c r="W492">
        <v>36495000</v>
      </c>
      <c r="X492">
        <v>36495000</v>
      </c>
      <c r="Y492" t="s">
        <v>345</v>
      </c>
      <c r="Z492">
        <v>36495000</v>
      </c>
      <c r="AA492">
        <v>1895915</v>
      </c>
      <c r="AB492" t="b">
        <v>1</v>
      </c>
      <c r="AC492">
        <v>0.13</v>
      </c>
    </row>
    <row r="493" spans="17:29" x14ac:dyDescent="0.2">
      <c r="Q493" t="s">
        <v>2018</v>
      </c>
      <c r="R493" t="s">
        <v>2230</v>
      </c>
      <c r="S493" t="s">
        <v>343</v>
      </c>
      <c r="T493" s="1">
        <v>43100</v>
      </c>
      <c r="U493" s="1">
        <v>43100</v>
      </c>
      <c r="V493" t="s">
        <v>345</v>
      </c>
      <c r="W493">
        <v>36495000</v>
      </c>
      <c r="X493">
        <v>36495000</v>
      </c>
      <c r="Y493" t="s">
        <v>345</v>
      </c>
      <c r="Z493">
        <v>36495000</v>
      </c>
      <c r="AA493">
        <v>1895915</v>
      </c>
      <c r="AB493" t="b">
        <v>1</v>
      </c>
      <c r="AC493">
        <v>0.13</v>
      </c>
    </row>
    <row r="494" spans="17:29" x14ac:dyDescent="0.2">
      <c r="Q494" t="s">
        <v>2018</v>
      </c>
      <c r="R494" t="s">
        <v>2231</v>
      </c>
      <c r="S494" t="s">
        <v>343</v>
      </c>
      <c r="T494" s="1">
        <v>43100</v>
      </c>
      <c r="U494" s="1">
        <v>43100</v>
      </c>
      <c r="V494" t="s">
        <v>345</v>
      </c>
      <c r="W494">
        <v>145979999</v>
      </c>
      <c r="X494">
        <v>145979999</v>
      </c>
      <c r="Y494" t="s">
        <v>345</v>
      </c>
      <c r="Z494">
        <v>145979999</v>
      </c>
      <c r="AA494">
        <v>7583661</v>
      </c>
      <c r="AB494" t="b">
        <v>1</v>
      </c>
      <c r="AC494">
        <v>0.81</v>
      </c>
    </row>
    <row r="495" spans="17:29" x14ac:dyDescent="0.2">
      <c r="Q495" t="s">
        <v>2018</v>
      </c>
      <c r="R495" t="s">
        <v>2231</v>
      </c>
      <c r="S495" t="s">
        <v>343</v>
      </c>
      <c r="T495" s="1">
        <v>43100</v>
      </c>
      <c r="U495" s="1">
        <v>43100</v>
      </c>
      <c r="V495" t="s">
        <v>345</v>
      </c>
      <c r="W495">
        <v>145979999</v>
      </c>
      <c r="X495">
        <v>145979999</v>
      </c>
      <c r="Y495" t="s">
        <v>345</v>
      </c>
      <c r="Z495">
        <v>145979999</v>
      </c>
      <c r="AA495">
        <v>7583661</v>
      </c>
      <c r="AB495" t="b">
        <v>1</v>
      </c>
      <c r="AC495">
        <v>0.81</v>
      </c>
    </row>
    <row r="496" spans="17:29" x14ac:dyDescent="0.2">
      <c r="Q496" t="s">
        <v>2067</v>
      </c>
      <c r="R496" t="s">
        <v>2223</v>
      </c>
      <c r="S496" t="s">
        <v>287</v>
      </c>
      <c r="T496" s="1">
        <v>43465</v>
      </c>
      <c r="U496" s="1">
        <v>43465</v>
      </c>
      <c r="V496" t="s">
        <v>2185</v>
      </c>
      <c r="W496">
        <v>5031390055</v>
      </c>
      <c r="X496">
        <v>5031390055</v>
      </c>
      <c r="Y496" t="s">
        <v>290</v>
      </c>
      <c r="Z496">
        <v>182523</v>
      </c>
      <c r="AA496">
        <v>7232230</v>
      </c>
      <c r="AB496" t="b">
        <v>1</v>
      </c>
      <c r="AC496">
        <v>0.66</v>
      </c>
    </row>
    <row r="497" spans="17:29" x14ac:dyDescent="0.2">
      <c r="Q497" t="s">
        <v>2025</v>
      </c>
      <c r="R497" t="s">
        <v>2234</v>
      </c>
      <c r="S497" t="s">
        <v>269</v>
      </c>
      <c r="T497" s="1">
        <v>43810</v>
      </c>
      <c r="U497" s="1">
        <v>43082</v>
      </c>
      <c r="V497" t="s">
        <v>270</v>
      </c>
      <c r="W497">
        <v>3858055</v>
      </c>
      <c r="X497">
        <v>3858055</v>
      </c>
      <c r="Y497" t="s">
        <v>270</v>
      </c>
      <c r="Z497">
        <v>3858055</v>
      </c>
      <c r="AA497">
        <v>3858055</v>
      </c>
      <c r="AB497" t="b">
        <v>0</v>
      </c>
      <c r="AC497">
        <v>0.21</v>
      </c>
    </row>
    <row r="498" spans="17:29" x14ac:dyDescent="0.2">
      <c r="Q498" t="s">
        <v>2025</v>
      </c>
      <c r="R498" t="s">
        <v>2234</v>
      </c>
      <c r="S498" t="s">
        <v>269</v>
      </c>
      <c r="T498" s="1">
        <v>43810</v>
      </c>
      <c r="U498" s="1">
        <v>43082</v>
      </c>
      <c r="V498" t="s">
        <v>270</v>
      </c>
      <c r="W498">
        <v>3858055</v>
      </c>
      <c r="X498">
        <v>3858055</v>
      </c>
      <c r="Y498" t="s">
        <v>270</v>
      </c>
      <c r="Z498">
        <v>3858055</v>
      </c>
      <c r="AA498">
        <v>3858055</v>
      </c>
      <c r="AB498" t="b">
        <v>0</v>
      </c>
      <c r="AC498">
        <v>0.21</v>
      </c>
    </row>
    <row r="499" spans="17:29" x14ac:dyDescent="0.2">
      <c r="Q499" t="s">
        <v>2029</v>
      </c>
      <c r="R499" t="s">
        <v>2234</v>
      </c>
      <c r="S499" t="s">
        <v>269</v>
      </c>
      <c r="T499" s="1">
        <v>43810</v>
      </c>
      <c r="U499" s="1">
        <v>43082</v>
      </c>
      <c r="V499" t="s">
        <v>270</v>
      </c>
      <c r="W499">
        <v>3858055</v>
      </c>
      <c r="X499">
        <v>3858055</v>
      </c>
      <c r="Y499" t="s">
        <v>270</v>
      </c>
      <c r="Z499">
        <v>3858055</v>
      </c>
      <c r="AA499">
        <v>3858055</v>
      </c>
      <c r="AB499" t="b">
        <v>0</v>
      </c>
      <c r="AC499">
        <v>0.21</v>
      </c>
    </row>
    <row r="500" spans="17:29" x14ac:dyDescent="0.2">
      <c r="Q500" t="s">
        <v>2029</v>
      </c>
      <c r="R500" t="s">
        <v>2234</v>
      </c>
      <c r="S500" t="s">
        <v>269</v>
      </c>
      <c r="T500" s="1">
        <v>43810</v>
      </c>
      <c r="U500" s="1">
        <v>43082</v>
      </c>
      <c r="V500" t="s">
        <v>270</v>
      </c>
      <c r="W500">
        <v>3858055</v>
      </c>
      <c r="X500">
        <v>3858055</v>
      </c>
      <c r="Y500" t="s">
        <v>270</v>
      </c>
      <c r="Z500">
        <v>3858055</v>
      </c>
      <c r="AA500">
        <v>3858055</v>
      </c>
      <c r="AB500" t="b">
        <v>0</v>
      </c>
      <c r="AC500">
        <v>0.21</v>
      </c>
    </row>
    <row r="501" spans="17:29" x14ac:dyDescent="0.2">
      <c r="Q501" t="s">
        <v>2165</v>
      </c>
      <c r="R501" t="s">
        <v>2137</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2165</v>
      </c>
      <c r="R502" t="s">
        <v>2137</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2141</v>
      </c>
      <c r="R503" t="s">
        <v>2235</v>
      </c>
      <c r="S503" t="s">
        <v>269</v>
      </c>
      <c r="T503" s="1">
        <v>44042</v>
      </c>
      <c r="U503" s="1">
        <v>43830</v>
      </c>
      <c r="V503" t="s">
        <v>270</v>
      </c>
      <c r="W503">
        <v>321988</v>
      </c>
      <c r="X503">
        <v>321988</v>
      </c>
      <c r="Y503" t="s">
        <v>270</v>
      </c>
      <c r="Z503">
        <v>321988</v>
      </c>
      <c r="AA503">
        <v>321988</v>
      </c>
      <c r="AB503" t="b">
        <v>1</v>
      </c>
      <c r="AC503">
        <v>1</v>
      </c>
    </row>
    <row r="504" spans="17:29" x14ac:dyDescent="0.2">
      <c r="Q504" t="s">
        <v>2016</v>
      </c>
      <c r="R504" t="s">
        <v>2235</v>
      </c>
      <c r="S504" t="s">
        <v>269</v>
      </c>
      <c r="T504" s="1">
        <v>44042</v>
      </c>
      <c r="U504" s="1">
        <v>43830</v>
      </c>
      <c r="V504" t="s">
        <v>270</v>
      </c>
      <c r="W504">
        <v>321988</v>
      </c>
      <c r="X504">
        <v>321988</v>
      </c>
      <c r="Y504" t="s">
        <v>270</v>
      </c>
      <c r="Z504">
        <v>321988</v>
      </c>
      <c r="AA504">
        <v>321988</v>
      </c>
      <c r="AB504" t="b">
        <v>1</v>
      </c>
      <c r="AC504">
        <v>1</v>
      </c>
    </row>
    <row r="505" spans="17:29" x14ac:dyDescent="0.2">
      <c r="Q505" t="s">
        <v>2031</v>
      </c>
      <c r="R505" t="s">
        <v>2236</v>
      </c>
      <c r="S505" t="s">
        <v>269</v>
      </c>
      <c r="T505" s="1">
        <v>44042</v>
      </c>
      <c r="U505" s="1">
        <v>43846</v>
      </c>
      <c r="V505" t="s">
        <v>270</v>
      </c>
      <c r="W505">
        <v>6600000</v>
      </c>
      <c r="X505">
        <v>6600000</v>
      </c>
      <c r="Y505" t="s">
        <v>270</v>
      </c>
      <c r="Z505">
        <v>6600000</v>
      </c>
      <c r="AA505">
        <v>6600000</v>
      </c>
      <c r="AB505" t="b">
        <v>1</v>
      </c>
      <c r="AC505">
        <v>1</v>
      </c>
    </row>
    <row r="506" spans="17:29" x14ac:dyDescent="0.2">
      <c r="Q506" t="s">
        <v>1989</v>
      </c>
      <c r="R506" t="s">
        <v>2236</v>
      </c>
      <c r="S506" t="s">
        <v>269</v>
      </c>
      <c r="T506" s="1">
        <v>44042</v>
      </c>
      <c r="U506" s="1">
        <v>43846</v>
      </c>
      <c r="V506" t="s">
        <v>270</v>
      </c>
      <c r="W506">
        <v>6600000</v>
      </c>
      <c r="X506">
        <v>6600000</v>
      </c>
      <c r="Y506" t="s">
        <v>270</v>
      </c>
      <c r="Z506">
        <v>6600000</v>
      </c>
      <c r="AA506">
        <v>6600000</v>
      </c>
      <c r="AB506" t="b">
        <v>1</v>
      </c>
      <c r="AC506">
        <v>1</v>
      </c>
    </row>
    <row r="507" spans="17:29" x14ac:dyDescent="0.2">
      <c r="Q507" t="s">
        <v>2029</v>
      </c>
      <c r="R507" t="s">
        <v>2236</v>
      </c>
      <c r="S507" t="s">
        <v>269</v>
      </c>
      <c r="T507" s="1">
        <v>44042</v>
      </c>
      <c r="U507" s="1">
        <v>43846</v>
      </c>
      <c r="V507" t="s">
        <v>270</v>
      </c>
      <c r="W507">
        <v>6600000</v>
      </c>
      <c r="X507">
        <v>6600000</v>
      </c>
      <c r="Y507" t="s">
        <v>270</v>
      </c>
      <c r="Z507">
        <v>6600000</v>
      </c>
      <c r="AA507">
        <v>6600000</v>
      </c>
      <c r="AB507" t="b">
        <v>1</v>
      </c>
      <c r="AC507">
        <v>1</v>
      </c>
    </row>
    <row r="508" spans="17:29" x14ac:dyDescent="0.2">
      <c r="Q508" t="s">
        <v>2029</v>
      </c>
      <c r="R508" t="s">
        <v>2236</v>
      </c>
      <c r="S508" t="s">
        <v>269</v>
      </c>
      <c r="T508" s="1">
        <v>44042</v>
      </c>
      <c r="U508" s="1">
        <v>43846</v>
      </c>
      <c r="V508" t="s">
        <v>270</v>
      </c>
      <c r="W508">
        <v>6600000</v>
      </c>
      <c r="X508">
        <v>6600000</v>
      </c>
      <c r="Y508" t="s">
        <v>270</v>
      </c>
      <c r="Z508">
        <v>6600000</v>
      </c>
      <c r="AA508">
        <v>6600000</v>
      </c>
      <c r="AB508" t="b">
        <v>1</v>
      </c>
      <c r="AC508">
        <v>1</v>
      </c>
    </row>
    <row r="509" spans="17:29" x14ac:dyDescent="0.2">
      <c r="Q509" t="s">
        <v>2087</v>
      </c>
      <c r="R509" t="s">
        <v>2237</v>
      </c>
      <c r="S509" t="s">
        <v>257</v>
      </c>
      <c r="T509" s="1">
        <v>44172</v>
      </c>
      <c r="U509" s="1">
        <v>44561</v>
      </c>
      <c r="V509" t="s">
        <v>260</v>
      </c>
      <c r="W509">
        <v>39276551</v>
      </c>
      <c r="X509">
        <v>39276551</v>
      </c>
      <c r="Y509" t="s">
        <v>260</v>
      </c>
      <c r="Z509">
        <v>39276551</v>
      </c>
      <c r="AA509">
        <v>7699473</v>
      </c>
      <c r="AB509" t="b">
        <v>0</v>
      </c>
      <c r="AC509">
        <v>0.13</v>
      </c>
    </row>
    <row r="510" spans="17:29" x14ac:dyDescent="0.2">
      <c r="Q510" t="s">
        <v>2087</v>
      </c>
      <c r="R510" t="s">
        <v>2237</v>
      </c>
      <c r="S510" t="s">
        <v>257</v>
      </c>
      <c r="T510" s="1">
        <v>44172</v>
      </c>
      <c r="U510" s="1">
        <v>44561</v>
      </c>
      <c r="V510" t="s">
        <v>260</v>
      </c>
      <c r="W510">
        <v>39276551</v>
      </c>
      <c r="X510">
        <v>39276551</v>
      </c>
      <c r="Y510" t="s">
        <v>260</v>
      </c>
      <c r="Z510">
        <v>39276551</v>
      </c>
      <c r="AA510">
        <v>7699473</v>
      </c>
      <c r="AB510" t="b">
        <v>0</v>
      </c>
      <c r="AC510">
        <v>0.13</v>
      </c>
    </row>
    <row r="511" spans="17:29" x14ac:dyDescent="0.2">
      <c r="Q511" t="s">
        <v>2087</v>
      </c>
      <c r="R511" t="s">
        <v>2238</v>
      </c>
      <c r="S511" t="s">
        <v>257</v>
      </c>
      <c r="T511" s="1">
        <v>44172</v>
      </c>
      <c r="U511" s="1">
        <v>44561</v>
      </c>
      <c r="V511" t="s">
        <v>260</v>
      </c>
      <c r="W511">
        <v>35955218</v>
      </c>
      <c r="X511">
        <v>30921487</v>
      </c>
      <c r="Y511" t="s">
        <v>260</v>
      </c>
      <c r="Z511">
        <v>30921487</v>
      </c>
      <c r="AA511">
        <v>6061610</v>
      </c>
      <c r="AB511" t="b">
        <v>0</v>
      </c>
      <c r="AC511">
        <v>0.09</v>
      </c>
    </row>
    <row r="512" spans="17:29" x14ac:dyDescent="0.2">
      <c r="Q512" t="s">
        <v>2087</v>
      </c>
      <c r="R512" t="s">
        <v>2238</v>
      </c>
      <c r="S512" t="s">
        <v>257</v>
      </c>
      <c r="T512" s="1">
        <v>44172</v>
      </c>
      <c r="U512" s="1">
        <v>44561</v>
      </c>
      <c r="V512" t="s">
        <v>260</v>
      </c>
      <c r="W512">
        <v>35955218</v>
      </c>
      <c r="X512">
        <v>30921487</v>
      </c>
      <c r="Y512" t="s">
        <v>260</v>
      </c>
      <c r="Z512">
        <v>30921487</v>
      </c>
      <c r="AA512">
        <v>6061610</v>
      </c>
      <c r="AB512" t="b">
        <v>0</v>
      </c>
      <c r="AC512">
        <v>0.09</v>
      </c>
    </row>
    <row r="513" spans="17:29" x14ac:dyDescent="0.2">
      <c r="Q513" t="s">
        <v>2087</v>
      </c>
      <c r="R513" t="s">
        <v>2239</v>
      </c>
      <c r="S513" t="s">
        <v>257</v>
      </c>
      <c r="T513" s="1">
        <v>44172</v>
      </c>
      <c r="U513" s="1">
        <v>44561</v>
      </c>
      <c r="V513" t="s">
        <v>260</v>
      </c>
      <c r="W513">
        <v>5251275</v>
      </c>
      <c r="X513">
        <v>5251275</v>
      </c>
      <c r="Y513" t="s">
        <v>260</v>
      </c>
      <c r="Z513">
        <v>5251275</v>
      </c>
      <c r="AA513">
        <v>1029420</v>
      </c>
      <c r="AB513" t="b">
        <v>0</v>
      </c>
      <c r="AC513">
        <v>0.04</v>
      </c>
    </row>
    <row r="514" spans="17:29" x14ac:dyDescent="0.2">
      <c r="Q514" t="s">
        <v>2087</v>
      </c>
      <c r="R514" t="s">
        <v>2239</v>
      </c>
      <c r="S514" t="s">
        <v>257</v>
      </c>
      <c r="T514" s="1">
        <v>44172</v>
      </c>
      <c r="U514" s="1">
        <v>44561</v>
      </c>
      <c r="V514" t="s">
        <v>260</v>
      </c>
      <c r="W514">
        <v>5251275</v>
      </c>
      <c r="X514">
        <v>5251275</v>
      </c>
      <c r="Y514" t="s">
        <v>260</v>
      </c>
      <c r="Z514">
        <v>5251275</v>
      </c>
      <c r="AA514">
        <v>1029420</v>
      </c>
      <c r="AB514" t="b">
        <v>0</v>
      </c>
      <c r="AC514">
        <v>0.04</v>
      </c>
    </row>
    <row r="515" spans="17:29" x14ac:dyDescent="0.2">
      <c r="Q515" t="s">
        <v>2087</v>
      </c>
      <c r="R515" t="s">
        <v>2240</v>
      </c>
      <c r="S515" t="s">
        <v>257</v>
      </c>
      <c r="T515" s="1">
        <v>44172</v>
      </c>
      <c r="U515" s="1">
        <v>44561</v>
      </c>
      <c r="V515" t="s">
        <v>260</v>
      </c>
      <c r="W515">
        <v>21102617</v>
      </c>
      <c r="X515">
        <v>21102617</v>
      </c>
      <c r="Y515" t="s">
        <v>260</v>
      </c>
      <c r="Z515">
        <v>21102617</v>
      </c>
      <c r="AA515">
        <v>4136795</v>
      </c>
      <c r="AB515" t="b">
        <v>0</v>
      </c>
      <c r="AC515">
        <v>0.09</v>
      </c>
    </row>
    <row r="516" spans="17:29" x14ac:dyDescent="0.2">
      <c r="Q516" t="s">
        <v>2087</v>
      </c>
      <c r="R516" t="s">
        <v>2240</v>
      </c>
      <c r="S516" t="s">
        <v>257</v>
      </c>
      <c r="T516" s="1">
        <v>44172</v>
      </c>
      <c r="U516" s="1">
        <v>44561</v>
      </c>
      <c r="V516" t="s">
        <v>260</v>
      </c>
      <c r="W516">
        <v>21102617</v>
      </c>
      <c r="X516">
        <v>21102617</v>
      </c>
      <c r="Y516" t="s">
        <v>260</v>
      </c>
      <c r="Z516">
        <v>21102617</v>
      </c>
      <c r="AA516">
        <v>4136795</v>
      </c>
      <c r="AB516" t="b">
        <v>0</v>
      </c>
      <c r="AC516">
        <v>0.09</v>
      </c>
    </row>
    <row r="517" spans="17:29" x14ac:dyDescent="0.2">
      <c r="Q517" t="s">
        <v>2087</v>
      </c>
      <c r="R517" t="s">
        <v>2241</v>
      </c>
      <c r="S517" t="s">
        <v>257</v>
      </c>
      <c r="T517" s="1">
        <v>44172</v>
      </c>
      <c r="U517" s="1">
        <v>44561</v>
      </c>
      <c r="V517" t="s">
        <v>260</v>
      </c>
      <c r="W517">
        <v>99582514</v>
      </c>
      <c r="X517">
        <v>99582514</v>
      </c>
      <c r="Y517" t="s">
        <v>260</v>
      </c>
      <c r="Z517">
        <v>99582514</v>
      </c>
      <c r="AA517">
        <v>19521390</v>
      </c>
      <c r="AB517" t="b">
        <v>0</v>
      </c>
      <c r="AC517">
        <v>0.17</v>
      </c>
    </row>
    <row r="518" spans="17:29" x14ac:dyDescent="0.2">
      <c r="Q518" t="s">
        <v>2087</v>
      </c>
      <c r="R518" t="s">
        <v>2241</v>
      </c>
      <c r="S518" t="s">
        <v>257</v>
      </c>
      <c r="T518" s="1">
        <v>44172</v>
      </c>
      <c r="U518" s="1">
        <v>44561</v>
      </c>
      <c r="V518" t="s">
        <v>260</v>
      </c>
      <c r="W518">
        <v>99582514</v>
      </c>
      <c r="X518">
        <v>99582514</v>
      </c>
      <c r="Y518" t="s">
        <v>260</v>
      </c>
      <c r="Z518">
        <v>99582514</v>
      </c>
      <c r="AA518">
        <v>19521390</v>
      </c>
      <c r="AB518" t="b">
        <v>0</v>
      </c>
      <c r="AC518">
        <v>0.17</v>
      </c>
    </row>
    <row r="519" spans="17:29" x14ac:dyDescent="0.2">
      <c r="Q519" t="s">
        <v>2087</v>
      </c>
      <c r="R519" t="s">
        <v>2242</v>
      </c>
      <c r="S519" t="s">
        <v>257</v>
      </c>
      <c r="T519" s="1">
        <v>44172</v>
      </c>
      <c r="U519" s="1">
        <v>44561</v>
      </c>
      <c r="V519" t="s">
        <v>260</v>
      </c>
      <c r="W519">
        <v>18916826</v>
      </c>
      <c r="X519">
        <v>18916826</v>
      </c>
      <c r="Y519" t="s">
        <v>260</v>
      </c>
      <c r="Z519">
        <v>18916826</v>
      </c>
      <c r="AA519">
        <v>3708309</v>
      </c>
      <c r="AB519" t="b">
        <v>0</v>
      </c>
      <c r="AC519">
        <v>0.06</v>
      </c>
    </row>
    <row r="520" spans="17:29" x14ac:dyDescent="0.2">
      <c r="Q520" t="s">
        <v>2087</v>
      </c>
      <c r="R520" t="s">
        <v>2242</v>
      </c>
      <c r="S520" t="s">
        <v>257</v>
      </c>
      <c r="T520" s="1">
        <v>44172</v>
      </c>
      <c r="U520" s="1">
        <v>44561</v>
      </c>
      <c r="V520" t="s">
        <v>260</v>
      </c>
      <c r="W520">
        <v>18916826</v>
      </c>
      <c r="X520">
        <v>18916826</v>
      </c>
      <c r="Y520" t="s">
        <v>260</v>
      </c>
      <c r="Z520">
        <v>18916826</v>
      </c>
      <c r="AA520">
        <v>3708309</v>
      </c>
      <c r="AB520" t="b">
        <v>0</v>
      </c>
      <c r="AC520">
        <v>0.06</v>
      </c>
    </row>
    <row r="521" spans="17:29" x14ac:dyDescent="0.2">
      <c r="Q521" t="s">
        <v>1998</v>
      </c>
      <c r="R521" t="s">
        <v>2243</v>
      </c>
      <c r="S521" t="s">
        <v>287</v>
      </c>
      <c r="T521" s="1">
        <v>43465</v>
      </c>
      <c r="U521" s="1">
        <v>43465</v>
      </c>
      <c r="V521" t="s">
        <v>2185</v>
      </c>
      <c r="W521">
        <v>35741549</v>
      </c>
      <c r="X521">
        <v>35741549</v>
      </c>
      <c r="Y521" t="s">
        <v>290</v>
      </c>
      <c r="Z521">
        <v>1297</v>
      </c>
      <c r="AA521">
        <v>51376</v>
      </c>
      <c r="AB521" t="b">
        <v>1</v>
      </c>
      <c r="AC521">
        <v>0.01</v>
      </c>
    </row>
    <row r="522" spans="17:29" x14ac:dyDescent="0.2">
      <c r="Q522" t="s">
        <v>2067</v>
      </c>
      <c r="R522" t="s">
        <v>2243</v>
      </c>
      <c r="S522" t="s">
        <v>287</v>
      </c>
      <c r="T522" s="1">
        <v>43465</v>
      </c>
      <c r="U522" s="1">
        <v>43465</v>
      </c>
      <c r="V522" t="s">
        <v>2185</v>
      </c>
      <c r="W522">
        <v>35741549</v>
      </c>
      <c r="X522">
        <v>35741549</v>
      </c>
      <c r="Y522" t="s">
        <v>290</v>
      </c>
      <c r="Z522">
        <v>1297</v>
      </c>
      <c r="AA522">
        <v>51376</v>
      </c>
      <c r="AB522" t="b">
        <v>1</v>
      </c>
      <c r="AC522">
        <v>0.01</v>
      </c>
    </row>
    <row r="523" spans="17:29" x14ac:dyDescent="0.2">
      <c r="Q523" t="s">
        <v>1998</v>
      </c>
      <c r="R523" t="s">
        <v>2244</v>
      </c>
      <c r="S523" t="s">
        <v>287</v>
      </c>
      <c r="T523" s="1">
        <v>43465</v>
      </c>
      <c r="U523" s="1">
        <v>43465</v>
      </c>
      <c r="V523" t="s">
        <v>2185</v>
      </c>
      <c r="W523">
        <v>405589296</v>
      </c>
      <c r="X523">
        <v>405589296</v>
      </c>
      <c r="Y523" t="s">
        <v>290</v>
      </c>
      <c r="Z523">
        <v>14714</v>
      </c>
      <c r="AA523">
        <v>583003</v>
      </c>
      <c r="AB523" t="b">
        <v>1</v>
      </c>
      <c r="AC523">
        <v>0.11</v>
      </c>
    </row>
    <row r="524" spans="17:29" x14ac:dyDescent="0.2">
      <c r="Q524" t="s">
        <v>2067</v>
      </c>
      <c r="R524" t="s">
        <v>2244</v>
      </c>
      <c r="S524" t="s">
        <v>287</v>
      </c>
      <c r="T524" s="1">
        <v>43465</v>
      </c>
      <c r="U524" s="1">
        <v>43465</v>
      </c>
      <c r="V524" t="s">
        <v>2185</v>
      </c>
      <c r="W524">
        <v>405589296</v>
      </c>
      <c r="X524">
        <v>405589296</v>
      </c>
      <c r="Y524" t="s">
        <v>290</v>
      </c>
      <c r="Z524">
        <v>14714</v>
      </c>
      <c r="AA524">
        <v>583003</v>
      </c>
      <c r="AB524" t="b">
        <v>1</v>
      </c>
      <c r="AC524">
        <v>0.11</v>
      </c>
    </row>
    <row r="525" spans="17:29" x14ac:dyDescent="0.2">
      <c r="Q525" t="s">
        <v>1998</v>
      </c>
      <c r="R525" t="s">
        <v>2245</v>
      </c>
      <c r="S525" t="s">
        <v>287</v>
      </c>
      <c r="T525" s="1">
        <v>43830</v>
      </c>
      <c r="U525" s="1">
        <v>43830</v>
      </c>
      <c r="V525" t="s">
        <v>2185</v>
      </c>
      <c r="W525">
        <v>1538934285</v>
      </c>
      <c r="X525">
        <v>1538934285</v>
      </c>
      <c r="Y525" t="s">
        <v>290</v>
      </c>
      <c r="Z525">
        <v>54360</v>
      </c>
      <c r="AA525">
        <v>2066738</v>
      </c>
      <c r="AB525" t="b">
        <v>0</v>
      </c>
      <c r="AC525">
        <v>0.09</v>
      </c>
    </row>
    <row r="526" spans="17:29" x14ac:dyDescent="0.2">
      <c r="Q526" t="s">
        <v>1987</v>
      </c>
      <c r="R526" t="s">
        <v>2246</v>
      </c>
      <c r="S526" t="s">
        <v>2120</v>
      </c>
      <c r="T526" s="1">
        <v>43734</v>
      </c>
      <c r="U526" s="1">
        <v>43007</v>
      </c>
      <c r="V526" t="s">
        <v>270</v>
      </c>
      <c r="W526">
        <v>13000000</v>
      </c>
      <c r="X526">
        <v>13000000</v>
      </c>
      <c r="Y526" t="s">
        <v>270</v>
      </c>
      <c r="Z526">
        <v>13000000</v>
      </c>
      <c r="AA526">
        <v>13000000</v>
      </c>
      <c r="AB526" t="b">
        <v>1</v>
      </c>
      <c r="AC526">
        <v>0.6</v>
      </c>
    </row>
    <row r="527" spans="17:29" x14ac:dyDescent="0.2">
      <c r="Q527" t="s">
        <v>2117</v>
      </c>
      <c r="R527" t="s">
        <v>2246</v>
      </c>
      <c r="S527" t="s">
        <v>2120</v>
      </c>
      <c r="T527" s="1">
        <v>43734</v>
      </c>
      <c r="U527" s="1">
        <v>43007</v>
      </c>
      <c r="V527" t="s">
        <v>270</v>
      </c>
      <c r="W527">
        <v>13000000</v>
      </c>
      <c r="X527">
        <v>13000000</v>
      </c>
      <c r="Y527" t="s">
        <v>270</v>
      </c>
      <c r="Z527">
        <v>13000000</v>
      </c>
      <c r="AA527">
        <v>13000000</v>
      </c>
      <c r="AB527" t="b">
        <v>1</v>
      </c>
      <c r="AC527">
        <v>0.6</v>
      </c>
    </row>
    <row r="528" spans="17:29" x14ac:dyDescent="0.2">
      <c r="Q528" t="s">
        <v>2128</v>
      </c>
      <c r="R528" t="s">
        <v>2247</v>
      </c>
      <c r="S528" t="s">
        <v>269</v>
      </c>
      <c r="T528" s="1">
        <v>43734</v>
      </c>
      <c r="U528" s="1">
        <v>43291</v>
      </c>
      <c r="V528" t="s">
        <v>270</v>
      </c>
      <c r="W528">
        <v>6782527</v>
      </c>
      <c r="X528">
        <v>6782527</v>
      </c>
      <c r="Y528" t="s">
        <v>270</v>
      </c>
      <c r="Z528">
        <v>6782527</v>
      </c>
      <c r="AA528">
        <v>6782527</v>
      </c>
      <c r="AB528" t="b">
        <v>1</v>
      </c>
      <c r="AC528">
        <v>0.27</v>
      </c>
    </row>
    <row r="529" spans="17:29" x14ac:dyDescent="0.2">
      <c r="Q529" t="s">
        <v>2128</v>
      </c>
      <c r="R529" t="s">
        <v>2247</v>
      </c>
      <c r="S529" t="s">
        <v>269</v>
      </c>
      <c r="T529" s="1">
        <v>43734</v>
      </c>
      <c r="U529" s="1">
        <v>43567</v>
      </c>
      <c r="V529" t="s">
        <v>270</v>
      </c>
      <c r="W529">
        <v>1120661</v>
      </c>
      <c r="X529">
        <v>1120661</v>
      </c>
      <c r="Y529" t="s">
        <v>270</v>
      </c>
      <c r="Z529">
        <v>1120661</v>
      </c>
      <c r="AA529">
        <v>1120661</v>
      </c>
      <c r="AB529" t="b">
        <v>1</v>
      </c>
      <c r="AC529">
        <v>0.27</v>
      </c>
    </row>
    <row r="530" spans="17:29" x14ac:dyDescent="0.2">
      <c r="Q530" t="s">
        <v>2128</v>
      </c>
      <c r="R530" t="s">
        <v>2247</v>
      </c>
      <c r="S530" t="s">
        <v>269</v>
      </c>
      <c r="T530" s="1">
        <v>43734</v>
      </c>
      <c r="U530" s="1">
        <v>43385</v>
      </c>
      <c r="V530" t="s">
        <v>270</v>
      </c>
      <c r="W530">
        <v>4240259</v>
      </c>
      <c r="X530">
        <v>4240259</v>
      </c>
      <c r="Y530" t="s">
        <v>270</v>
      </c>
      <c r="Z530">
        <v>4240259</v>
      </c>
      <c r="AA530">
        <v>4240259</v>
      </c>
      <c r="AB530" t="b">
        <v>1</v>
      </c>
      <c r="AC530">
        <v>0.27</v>
      </c>
    </row>
    <row r="531" spans="17:29" x14ac:dyDescent="0.2">
      <c r="Q531" t="s">
        <v>2128</v>
      </c>
      <c r="R531" t="s">
        <v>2247</v>
      </c>
      <c r="S531" t="s">
        <v>269</v>
      </c>
      <c r="T531" s="1">
        <v>43734</v>
      </c>
      <c r="U531" s="1">
        <v>43291</v>
      </c>
      <c r="V531" t="s">
        <v>270</v>
      </c>
      <c r="W531">
        <v>1439570</v>
      </c>
      <c r="X531">
        <v>1439570</v>
      </c>
      <c r="Y531" t="s">
        <v>270</v>
      </c>
      <c r="Z531">
        <v>1439570</v>
      </c>
      <c r="AA531">
        <v>1439570</v>
      </c>
      <c r="AB531" t="b">
        <v>1</v>
      </c>
      <c r="AC531">
        <v>0.27</v>
      </c>
    </row>
    <row r="532" spans="17:29" x14ac:dyDescent="0.2">
      <c r="Q532" t="s">
        <v>2117</v>
      </c>
      <c r="R532" t="s">
        <v>2247</v>
      </c>
      <c r="S532" t="s">
        <v>269</v>
      </c>
      <c r="T532" s="1">
        <v>43734</v>
      </c>
      <c r="U532" s="1">
        <v>43291</v>
      </c>
      <c r="V532" t="s">
        <v>270</v>
      </c>
      <c r="W532">
        <v>6782527</v>
      </c>
      <c r="X532">
        <v>6782527</v>
      </c>
      <c r="Y532" t="s">
        <v>270</v>
      </c>
      <c r="Z532">
        <v>6782527</v>
      </c>
      <c r="AA532">
        <v>6782527</v>
      </c>
      <c r="AB532" t="b">
        <v>1</v>
      </c>
      <c r="AC532">
        <v>0.27</v>
      </c>
    </row>
    <row r="533" spans="17:29" x14ac:dyDescent="0.2">
      <c r="Q533" t="s">
        <v>2117</v>
      </c>
      <c r="R533" t="s">
        <v>2247</v>
      </c>
      <c r="S533" t="s">
        <v>269</v>
      </c>
      <c r="T533" s="1">
        <v>43734</v>
      </c>
      <c r="U533" s="1">
        <v>43567</v>
      </c>
      <c r="V533" t="s">
        <v>270</v>
      </c>
      <c r="W533">
        <v>1120661</v>
      </c>
      <c r="X533">
        <v>1120661</v>
      </c>
      <c r="Y533" t="s">
        <v>270</v>
      </c>
      <c r="Z533">
        <v>1120661</v>
      </c>
      <c r="AA533">
        <v>1120661</v>
      </c>
      <c r="AB533" t="b">
        <v>1</v>
      </c>
      <c r="AC533">
        <v>0.27</v>
      </c>
    </row>
    <row r="534" spans="17:29" x14ac:dyDescent="0.2">
      <c r="Q534" t="s">
        <v>2117</v>
      </c>
      <c r="R534" t="s">
        <v>2247</v>
      </c>
      <c r="S534" t="s">
        <v>269</v>
      </c>
      <c r="T534" s="1">
        <v>43734</v>
      </c>
      <c r="U534" s="1">
        <v>43385</v>
      </c>
      <c r="V534" t="s">
        <v>270</v>
      </c>
      <c r="W534">
        <v>4240259</v>
      </c>
      <c r="X534">
        <v>4240259</v>
      </c>
      <c r="Y534" t="s">
        <v>270</v>
      </c>
      <c r="Z534">
        <v>4240259</v>
      </c>
      <c r="AA534">
        <v>4240259</v>
      </c>
      <c r="AB534" t="b">
        <v>1</v>
      </c>
      <c r="AC534">
        <v>0.27</v>
      </c>
    </row>
    <row r="535" spans="17:29" x14ac:dyDescent="0.2">
      <c r="Q535" t="s">
        <v>2117</v>
      </c>
      <c r="R535" t="s">
        <v>2247</v>
      </c>
      <c r="S535" t="s">
        <v>269</v>
      </c>
      <c r="T535" s="1">
        <v>43734</v>
      </c>
      <c r="U535" s="1">
        <v>43291</v>
      </c>
      <c r="V535" t="s">
        <v>270</v>
      </c>
      <c r="W535">
        <v>1439570</v>
      </c>
      <c r="X535">
        <v>1439570</v>
      </c>
      <c r="Y535" t="s">
        <v>270</v>
      </c>
      <c r="Z535">
        <v>1439570</v>
      </c>
      <c r="AA535">
        <v>1439570</v>
      </c>
      <c r="AB535" t="b">
        <v>1</v>
      </c>
      <c r="AC535">
        <v>0.27</v>
      </c>
    </row>
    <row r="536" spans="17:29" x14ac:dyDescent="0.2">
      <c r="Q536" t="s">
        <v>2000</v>
      </c>
      <c r="R536" t="s">
        <v>2245</v>
      </c>
      <c r="S536" t="s">
        <v>287</v>
      </c>
      <c r="T536" s="1">
        <v>43830</v>
      </c>
      <c r="U536" s="1">
        <v>43830</v>
      </c>
      <c r="V536" t="s">
        <v>2185</v>
      </c>
      <c r="W536" s="27">
        <v>1538934285</v>
      </c>
      <c r="X536">
        <v>1538934285</v>
      </c>
      <c r="Y536" t="s">
        <v>290</v>
      </c>
      <c r="Z536">
        <v>54360</v>
      </c>
      <c r="AA536">
        <v>2066738</v>
      </c>
      <c r="AB536" t="b">
        <v>0</v>
      </c>
      <c r="AC536">
        <v>0.09</v>
      </c>
    </row>
    <row r="537" spans="17:29" x14ac:dyDescent="0.2">
      <c r="Q537" t="s">
        <v>2001</v>
      </c>
      <c r="R537" t="s">
        <v>2248</v>
      </c>
      <c r="S537" t="s">
        <v>287</v>
      </c>
      <c r="T537" s="1">
        <v>43830</v>
      </c>
      <c r="U537" s="1">
        <v>43830</v>
      </c>
      <c r="V537" t="s">
        <v>2185</v>
      </c>
      <c r="W537">
        <v>180764729</v>
      </c>
      <c r="X537">
        <v>180764729</v>
      </c>
      <c r="Y537" t="s">
        <v>290</v>
      </c>
      <c r="Z537">
        <v>6385</v>
      </c>
      <c r="AA537">
        <v>242761</v>
      </c>
      <c r="AB537" t="b">
        <v>1</v>
      </c>
      <c r="AC537">
        <v>0.02</v>
      </c>
    </row>
    <row r="538" spans="17:29" x14ac:dyDescent="0.2">
      <c r="Q538" t="s">
        <v>2000</v>
      </c>
      <c r="R538" t="s">
        <v>2248</v>
      </c>
      <c r="S538" t="s">
        <v>287</v>
      </c>
      <c r="T538" s="1">
        <v>43830</v>
      </c>
      <c r="U538" s="1">
        <v>43830</v>
      </c>
      <c r="V538" t="s">
        <v>2185</v>
      </c>
      <c r="W538" s="27">
        <v>180764729</v>
      </c>
      <c r="X538">
        <v>180764729</v>
      </c>
      <c r="Y538" t="s">
        <v>290</v>
      </c>
      <c r="Z538">
        <v>6385</v>
      </c>
      <c r="AA538">
        <v>242761</v>
      </c>
      <c r="AB538" t="b">
        <v>1</v>
      </c>
      <c r="AC538">
        <v>0.02</v>
      </c>
    </row>
    <row r="539" spans="17:29" x14ac:dyDescent="0.2">
      <c r="Q539" t="s">
        <v>2001</v>
      </c>
      <c r="R539" t="s">
        <v>2249</v>
      </c>
      <c r="S539" t="s">
        <v>287</v>
      </c>
      <c r="T539" s="1">
        <v>43830</v>
      </c>
      <c r="U539" s="1">
        <v>43830</v>
      </c>
      <c r="V539" t="s">
        <v>2185</v>
      </c>
      <c r="W539">
        <v>42141136459</v>
      </c>
      <c r="X539">
        <v>42141136459</v>
      </c>
      <c r="Y539" t="s">
        <v>290</v>
      </c>
      <c r="Z539">
        <v>1488563</v>
      </c>
      <c r="AA539">
        <v>56594151</v>
      </c>
      <c r="AB539" t="b">
        <v>1</v>
      </c>
      <c r="AC539">
        <v>0.51</v>
      </c>
    </row>
    <row r="540" spans="17:29" x14ac:dyDescent="0.2">
      <c r="Q540" t="s">
        <v>2014</v>
      </c>
      <c r="R540" t="s">
        <v>2250</v>
      </c>
      <c r="S540" t="s">
        <v>343</v>
      </c>
      <c r="T540" s="1">
        <v>43100</v>
      </c>
      <c r="U540" s="1">
        <v>43100</v>
      </c>
      <c r="V540" t="s">
        <v>345</v>
      </c>
      <c r="W540">
        <v>80000000</v>
      </c>
      <c r="X540">
        <v>288021499</v>
      </c>
      <c r="Y540" t="s">
        <v>345</v>
      </c>
      <c r="Z540">
        <v>288021499</v>
      </c>
      <c r="AA540">
        <v>14962717</v>
      </c>
      <c r="AB540" t="b">
        <v>1</v>
      </c>
      <c r="AC540">
        <v>0.12</v>
      </c>
    </row>
    <row r="541" spans="17:29" x14ac:dyDescent="0.2">
      <c r="Q541" t="s">
        <v>2016</v>
      </c>
      <c r="R541" t="s">
        <v>2250</v>
      </c>
      <c r="S541" t="s">
        <v>343</v>
      </c>
      <c r="T541" s="1">
        <v>43100</v>
      </c>
      <c r="U541" s="1">
        <v>43100</v>
      </c>
      <c r="V541" t="s">
        <v>345</v>
      </c>
      <c r="W541">
        <v>80000000</v>
      </c>
      <c r="X541">
        <v>288021499</v>
      </c>
      <c r="Y541" t="s">
        <v>345</v>
      </c>
      <c r="Z541">
        <v>288021499</v>
      </c>
      <c r="AA541">
        <v>14962717</v>
      </c>
      <c r="AB541" t="b">
        <v>1</v>
      </c>
      <c r="AC541">
        <v>0.12</v>
      </c>
    </row>
    <row r="542" spans="17:29" x14ac:dyDescent="0.2">
      <c r="Q542" t="s">
        <v>2000</v>
      </c>
      <c r="R542" t="s">
        <v>2249</v>
      </c>
      <c r="S542" t="s">
        <v>287</v>
      </c>
      <c r="T542" s="1">
        <v>43830</v>
      </c>
      <c r="U542" s="1">
        <v>43830</v>
      </c>
      <c r="V542" t="s">
        <v>2185</v>
      </c>
      <c r="W542" s="27">
        <v>42141136459</v>
      </c>
      <c r="X542">
        <v>42141136459</v>
      </c>
      <c r="Y542" t="s">
        <v>290</v>
      </c>
      <c r="Z542">
        <v>1488563</v>
      </c>
      <c r="AA542">
        <v>56594151</v>
      </c>
      <c r="AB542" t="b">
        <v>1</v>
      </c>
      <c r="AC542">
        <v>0.51</v>
      </c>
    </row>
    <row r="543" spans="17:29" x14ac:dyDescent="0.2">
      <c r="Q543" t="s">
        <v>1998</v>
      </c>
      <c r="R543" t="s">
        <v>2251</v>
      </c>
      <c r="S543" t="s">
        <v>287</v>
      </c>
      <c r="T543" s="1">
        <v>43830</v>
      </c>
      <c r="U543" s="1">
        <v>43830</v>
      </c>
      <c r="V543" t="s">
        <v>2185</v>
      </c>
      <c r="W543">
        <v>2408835374</v>
      </c>
      <c r="X543">
        <v>2408835374</v>
      </c>
      <c r="Y543" t="s">
        <v>290</v>
      </c>
      <c r="Z543">
        <v>85088</v>
      </c>
      <c r="AA543">
        <v>3234986</v>
      </c>
      <c r="AB543" t="b">
        <v>1</v>
      </c>
      <c r="AC543">
        <v>0.36</v>
      </c>
    </row>
    <row r="544" spans="17:29" x14ac:dyDescent="0.2">
      <c r="Q544" t="s">
        <v>2067</v>
      </c>
      <c r="R544" t="s">
        <v>2251</v>
      </c>
      <c r="S544" t="s">
        <v>287</v>
      </c>
      <c r="T544" s="1">
        <v>43830</v>
      </c>
      <c r="U544" s="1">
        <v>43830</v>
      </c>
      <c r="V544" t="s">
        <v>2185</v>
      </c>
      <c r="W544" s="27">
        <v>2408835374</v>
      </c>
      <c r="X544">
        <v>2408835374</v>
      </c>
      <c r="Y544" t="s">
        <v>290</v>
      </c>
      <c r="Z544">
        <v>85088</v>
      </c>
      <c r="AA544">
        <v>3234986</v>
      </c>
      <c r="AB544" t="b">
        <v>1</v>
      </c>
      <c r="AC544">
        <v>0.36</v>
      </c>
    </row>
    <row r="545" spans="17:29" x14ac:dyDescent="0.2">
      <c r="Q545" t="s">
        <v>1998</v>
      </c>
      <c r="R545" t="s">
        <v>2252</v>
      </c>
      <c r="S545" t="s">
        <v>287</v>
      </c>
      <c r="T545" s="1">
        <v>43830</v>
      </c>
      <c r="U545" s="1">
        <v>43830</v>
      </c>
      <c r="V545" t="s">
        <v>2185</v>
      </c>
      <c r="W545">
        <v>1230293413</v>
      </c>
      <c r="X545">
        <v>1230293413</v>
      </c>
      <c r="Y545" t="s">
        <v>290</v>
      </c>
      <c r="Z545">
        <v>43458</v>
      </c>
      <c r="AA545">
        <v>1652243</v>
      </c>
      <c r="AB545" t="b">
        <v>1</v>
      </c>
      <c r="AC545">
        <v>0.16</v>
      </c>
    </row>
    <row r="546" spans="17:29" x14ac:dyDescent="0.2">
      <c r="Q546" t="s">
        <v>2029</v>
      </c>
      <c r="R546" t="s">
        <v>2250</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2029</v>
      </c>
      <c r="R547" t="s">
        <v>2250</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2029</v>
      </c>
      <c r="R548" t="s">
        <v>2253</v>
      </c>
      <c r="S548" t="s">
        <v>343</v>
      </c>
      <c r="T548" s="1">
        <v>43100</v>
      </c>
      <c r="U548" s="1">
        <v>43100</v>
      </c>
      <c r="V548" t="s">
        <v>345</v>
      </c>
      <c r="W548">
        <v>73100308</v>
      </c>
      <c r="X548">
        <v>73100308</v>
      </c>
      <c r="Y548" t="s">
        <v>345</v>
      </c>
      <c r="Z548">
        <v>73100308</v>
      </c>
      <c r="AA548">
        <v>3797561</v>
      </c>
      <c r="AB548" t="b">
        <v>0</v>
      </c>
      <c r="AC548">
        <v>1</v>
      </c>
    </row>
    <row r="549" spans="17:29" x14ac:dyDescent="0.2">
      <c r="Q549" t="s">
        <v>2029</v>
      </c>
      <c r="R549" t="s">
        <v>2253</v>
      </c>
      <c r="S549" t="s">
        <v>343</v>
      </c>
      <c r="T549" s="1">
        <v>43100</v>
      </c>
      <c r="U549" s="1">
        <v>43100</v>
      </c>
      <c r="V549" t="s">
        <v>345</v>
      </c>
      <c r="W549">
        <v>73100308</v>
      </c>
      <c r="X549">
        <v>73100308</v>
      </c>
      <c r="Y549" t="s">
        <v>345</v>
      </c>
      <c r="Z549">
        <v>73100308</v>
      </c>
      <c r="AA549">
        <v>3797561</v>
      </c>
      <c r="AB549" t="b">
        <v>0</v>
      </c>
      <c r="AC549">
        <v>1</v>
      </c>
    </row>
    <row r="550" spans="17:29" x14ac:dyDescent="0.2">
      <c r="Q550" t="s">
        <v>2165</v>
      </c>
      <c r="R550" t="s">
        <v>2253</v>
      </c>
      <c r="S550" t="s">
        <v>343</v>
      </c>
      <c r="T550" s="1">
        <v>43100</v>
      </c>
      <c r="U550" s="1">
        <v>43100</v>
      </c>
      <c r="V550" t="s">
        <v>345</v>
      </c>
      <c r="W550">
        <v>73100308</v>
      </c>
      <c r="X550">
        <v>73100308</v>
      </c>
      <c r="Y550" t="s">
        <v>345</v>
      </c>
      <c r="Z550">
        <v>73100308</v>
      </c>
      <c r="AA550">
        <v>3797561</v>
      </c>
      <c r="AB550" t="b">
        <v>0</v>
      </c>
      <c r="AC550">
        <v>1</v>
      </c>
    </row>
    <row r="551" spans="17:29" x14ac:dyDescent="0.2">
      <c r="Q551" t="s">
        <v>2165</v>
      </c>
      <c r="R551" t="s">
        <v>2253</v>
      </c>
      <c r="S551" t="s">
        <v>343</v>
      </c>
      <c r="T551" s="1">
        <v>43100</v>
      </c>
      <c r="U551" s="1">
        <v>43100</v>
      </c>
      <c r="V551" t="s">
        <v>345</v>
      </c>
      <c r="W551">
        <v>73100308</v>
      </c>
      <c r="X551">
        <v>73100308</v>
      </c>
      <c r="Y551" t="s">
        <v>345</v>
      </c>
      <c r="Z551">
        <v>73100308</v>
      </c>
      <c r="AA551">
        <v>3797561</v>
      </c>
      <c r="AB551" t="b">
        <v>0</v>
      </c>
      <c r="AC551">
        <v>1</v>
      </c>
    </row>
    <row r="552" spans="17:29" x14ac:dyDescent="0.2">
      <c r="Q552" t="s">
        <v>2025</v>
      </c>
      <c r="R552" t="s">
        <v>2254</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2025</v>
      </c>
      <c r="R553" t="s">
        <v>2254</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2029</v>
      </c>
      <c r="R554" t="s">
        <v>2254</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2029</v>
      </c>
      <c r="R555" t="s">
        <v>2254</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2087</v>
      </c>
      <c r="R556" t="s">
        <v>2255</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2087</v>
      </c>
      <c r="R557" t="s">
        <v>2255</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2087</v>
      </c>
      <c r="R558" t="s">
        <v>2256</v>
      </c>
      <c r="S558" t="s">
        <v>257</v>
      </c>
      <c r="T558" s="1">
        <v>43205</v>
      </c>
      <c r="U558" s="1">
        <v>43830</v>
      </c>
      <c r="V558" t="s">
        <v>260</v>
      </c>
      <c r="W558">
        <v>65116725</v>
      </c>
      <c r="X558">
        <v>65116725</v>
      </c>
      <c r="Y558" t="s">
        <v>260</v>
      </c>
      <c r="Z558">
        <v>65116725</v>
      </c>
      <c r="AA558">
        <v>12531846</v>
      </c>
      <c r="AB558" t="b">
        <v>0</v>
      </c>
      <c r="AC558">
        <v>0.16</v>
      </c>
    </row>
    <row r="559" spans="17:29" x14ac:dyDescent="0.2">
      <c r="Q559" t="s">
        <v>2087</v>
      </c>
      <c r="R559" t="s">
        <v>2256</v>
      </c>
      <c r="S559" t="s">
        <v>257</v>
      </c>
      <c r="T559" s="1">
        <v>43205</v>
      </c>
      <c r="U559" s="1">
        <v>43830</v>
      </c>
      <c r="V559" t="s">
        <v>260</v>
      </c>
      <c r="W559">
        <v>65116725</v>
      </c>
      <c r="X559">
        <v>65116725</v>
      </c>
      <c r="Y559" t="s">
        <v>260</v>
      </c>
      <c r="Z559">
        <v>65116725</v>
      </c>
      <c r="AA559">
        <v>12531846</v>
      </c>
      <c r="AB559" t="b">
        <v>0</v>
      </c>
      <c r="AC559">
        <v>0.16</v>
      </c>
    </row>
    <row r="560" spans="17:29" x14ac:dyDescent="0.2">
      <c r="Q560" t="s">
        <v>2087</v>
      </c>
      <c r="R560" t="s">
        <v>2257</v>
      </c>
      <c r="S560" t="s">
        <v>257</v>
      </c>
      <c r="T560" s="1">
        <v>43205</v>
      </c>
      <c r="U560" s="1">
        <v>43830</v>
      </c>
      <c r="V560" t="s">
        <v>260</v>
      </c>
      <c r="W560">
        <v>19280912</v>
      </c>
      <c r="X560">
        <v>19280912</v>
      </c>
      <c r="Y560" t="s">
        <v>260</v>
      </c>
      <c r="Z560">
        <v>19280912</v>
      </c>
      <c r="AA560">
        <v>3710651</v>
      </c>
      <c r="AB560" t="b">
        <v>0</v>
      </c>
      <c r="AC560">
        <v>0.15</v>
      </c>
    </row>
    <row r="561" spans="17:29" x14ac:dyDescent="0.2">
      <c r="Q561" t="s">
        <v>2087</v>
      </c>
      <c r="R561" t="s">
        <v>2257</v>
      </c>
      <c r="S561" t="s">
        <v>257</v>
      </c>
      <c r="T561" s="1">
        <v>43205</v>
      </c>
      <c r="U561" s="1">
        <v>43830</v>
      </c>
      <c r="V561" t="s">
        <v>260</v>
      </c>
      <c r="W561">
        <v>19280912</v>
      </c>
      <c r="X561">
        <v>19280912</v>
      </c>
      <c r="Y561" t="s">
        <v>260</v>
      </c>
      <c r="Z561">
        <v>19280912</v>
      </c>
      <c r="AA561">
        <v>3710651</v>
      </c>
      <c r="AB561" t="b">
        <v>0</v>
      </c>
      <c r="AC561">
        <v>0.15</v>
      </c>
    </row>
    <row r="562" spans="17:29" x14ac:dyDescent="0.2">
      <c r="Q562" t="s">
        <v>2087</v>
      </c>
      <c r="R562" t="s">
        <v>2258</v>
      </c>
      <c r="S562" t="s">
        <v>257</v>
      </c>
      <c r="T562" s="1">
        <v>43205</v>
      </c>
      <c r="U562" s="1">
        <v>43830</v>
      </c>
      <c r="V562" t="s">
        <v>260</v>
      </c>
      <c r="W562">
        <v>21332682</v>
      </c>
      <c r="X562">
        <v>21332682</v>
      </c>
      <c r="Y562" t="s">
        <v>260</v>
      </c>
      <c r="Z562">
        <v>21332682</v>
      </c>
      <c r="AA562">
        <v>4105518</v>
      </c>
      <c r="AB562" t="b">
        <v>0</v>
      </c>
      <c r="AC562">
        <v>0.16</v>
      </c>
    </row>
    <row r="563" spans="17:29" x14ac:dyDescent="0.2">
      <c r="Q563" t="s">
        <v>2087</v>
      </c>
      <c r="R563" t="s">
        <v>2258</v>
      </c>
      <c r="S563" t="s">
        <v>257</v>
      </c>
      <c r="T563" s="1">
        <v>43205</v>
      </c>
      <c r="U563" s="1">
        <v>43830</v>
      </c>
      <c r="V563" t="s">
        <v>260</v>
      </c>
      <c r="W563">
        <v>21332682</v>
      </c>
      <c r="X563">
        <v>21332682</v>
      </c>
      <c r="Y563" t="s">
        <v>260</v>
      </c>
      <c r="Z563">
        <v>21332682</v>
      </c>
      <c r="AA563">
        <v>4105518</v>
      </c>
      <c r="AB563" t="b">
        <v>0</v>
      </c>
      <c r="AC563">
        <v>0.16</v>
      </c>
    </row>
    <row r="564" spans="17:29" x14ac:dyDescent="0.2">
      <c r="Q564" t="s">
        <v>2087</v>
      </c>
      <c r="R564" t="s">
        <v>2259</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2025</v>
      </c>
      <c r="R565" t="s">
        <v>2260</v>
      </c>
      <c r="S565" t="s">
        <v>269</v>
      </c>
      <c r="T565" s="1">
        <v>43810</v>
      </c>
      <c r="U565" s="1">
        <v>43082</v>
      </c>
      <c r="V565" t="s">
        <v>270</v>
      </c>
      <c r="W565">
        <v>7492105</v>
      </c>
      <c r="X565">
        <v>7492105</v>
      </c>
      <c r="Y565" t="s">
        <v>270</v>
      </c>
      <c r="Z565">
        <v>7492105</v>
      </c>
      <c r="AA565">
        <v>7492105</v>
      </c>
      <c r="AB565" t="b">
        <v>0</v>
      </c>
      <c r="AC565">
        <v>0.39</v>
      </c>
    </row>
    <row r="566" spans="17:29" x14ac:dyDescent="0.2">
      <c r="Q566" t="s">
        <v>2025</v>
      </c>
      <c r="R566" t="s">
        <v>2260</v>
      </c>
      <c r="S566" t="s">
        <v>269</v>
      </c>
      <c r="T566" s="1">
        <v>43810</v>
      </c>
      <c r="U566" s="1">
        <v>43082</v>
      </c>
      <c r="V566" t="s">
        <v>270</v>
      </c>
      <c r="W566">
        <v>7492105</v>
      </c>
      <c r="X566">
        <v>7492105</v>
      </c>
      <c r="Y566" t="s">
        <v>270</v>
      </c>
      <c r="Z566">
        <v>7492105</v>
      </c>
      <c r="AA566">
        <v>7492105</v>
      </c>
      <c r="AB566" t="b">
        <v>0</v>
      </c>
      <c r="AC566">
        <v>0.39</v>
      </c>
    </row>
    <row r="567" spans="17:29" x14ac:dyDescent="0.2">
      <c r="Q567" t="s">
        <v>2029</v>
      </c>
      <c r="R567" t="s">
        <v>2260</v>
      </c>
      <c r="S567" t="s">
        <v>269</v>
      </c>
      <c r="T567" s="1">
        <v>43810</v>
      </c>
      <c r="U567" s="1">
        <v>43082</v>
      </c>
      <c r="V567" t="s">
        <v>270</v>
      </c>
      <c r="W567">
        <v>7492105</v>
      </c>
      <c r="X567">
        <v>7492105</v>
      </c>
      <c r="Y567" t="s">
        <v>270</v>
      </c>
      <c r="Z567">
        <v>7492105</v>
      </c>
      <c r="AA567">
        <v>7492105</v>
      </c>
      <c r="AB567" t="b">
        <v>0</v>
      </c>
      <c r="AC567">
        <v>0.39</v>
      </c>
    </row>
    <row r="568" spans="17:29" x14ac:dyDescent="0.2">
      <c r="Q568" t="s">
        <v>2029</v>
      </c>
      <c r="R568" t="s">
        <v>2260</v>
      </c>
      <c r="S568" t="s">
        <v>269</v>
      </c>
      <c r="T568" s="1">
        <v>43810</v>
      </c>
      <c r="U568" s="1">
        <v>43082</v>
      </c>
      <c r="V568" t="s">
        <v>270</v>
      </c>
      <c r="W568">
        <v>7492105</v>
      </c>
      <c r="X568">
        <v>7492105</v>
      </c>
      <c r="Y568" t="s">
        <v>270</v>
      </c>
      <c r="Z568">
        <v>7492105</v>
      </c>
      <c r="AA568">
        <v>7492105</v>
      </c>
      <c r="AB568" t="b">
        <v>0</v>
      </c>
      <c r="AC568">
        <v>0.39</v>
      </c>
    </row>
    <row r="569" spans="17:29" x14ac:dyDescent="0.2">
      <c r="Q569" t="s">
        <v>2025</v>
      </c>
      <c r="R569" t="s">
        <v>2261</v>
      </c>
      <c r="S569" t="s">
        <v>269</v>
      </c>
      <c r="T569" s="1">
        <v>43810</v>
      </c>
      <c r="U569" s="1">
        <v>43082</v>
      </c>
      <c r="V569" t="s">
        <v>270</v>
      </c>
      <c r="W569">
        <v>13029618</v>
      </c>
      <c r="X569">
        <v>13029618</v>
      </c>
      <c r="Y569" t="s">
        <v>270</v>
      </c>
      <c r="Z569">
        <v>13029618</v>
      </c>
      <c r="AA569">
        <v>13029618</v>
      </c>
      <c r="AB569" t="b">
        <v>0</v>
      </c>
      <c r="AC569">
        <v>0.25</v>
      </c>
    </row>
    <row r="570" spans="17:29" x14ac:dyDescent="0.2">
      <c r="Q570" t="s">
        <v>2025</v>
      </c>
      <c r="R570" t="s">
        <v>2261</v>
      </c>
      <c r="S570" t="s">
        <v>269</v>
      </c>
      <c r="T570" s="1">
        <v>43810</v>
      </c>
      <c r="U570" s="1">
        <v>43082</v>
      </c>
      <c r="V570" t="s">
        <v>270</v>
      </c>
      <c r="W570">
        <v>13029618</v>
      </c>
      <c r="X570">
        <v>13029618</v>
      </c>
      <c r="Y570" t="s">
        <v>270</v>
      </c>
      <c r="Z570">
        <v>13029618</v>
      </c>
      <c r="AA570">
        <v>13029618</v>
      </c>
      <c r="AB570" t="b">
        <v>0</v>
      </c>
      <c r="AC570">
        <v>0.25</v>
      </c>
    </row>
    <row r="571" spans="17:29" x14ac:dyDescent="0.2">
      <c r="Q571" t="s">
        <v>2029</v>
      </c>
      <c r="R571" t="s">
        <v>2261</v>
      </c>
      <c r="S571" t="s">
        <v>269</v>
      </c>
      <c r="T571" s="1">
        <v>43810</v>
      </c>
      <c r="U571" s="1">
        <v>43082</v>
      </c>
      <c r="V571" t="s">
        <v>270</v>
      </c>
      <c r="W571">
        <v>13029618</v>
      </c>
      <c r="X571">
        <v>13029618</v>
      </c>
      <c r="Y571" t="s">
        <v>270</v>
      </c>
      <c r="Z571">
        <v>13029618</v>
      </c>
      <c r="AA571">
        <v>13029618</v>
      </c>
      <c r="AB571" t="b">
        <v>0</v>
      </c>
      <c r="AC571">
        <v>0.25</v>
      </c>
    </row>
    <row r="572" spans="17:29" x14ac:dyDescent="0.2">
      <c r="Q572" t="s">
        <v>2029</v>
      </c>
      <c r="R572" t="s">
        <v>2261</v>
      </c>
      <c r="S572" t="s">
        <v>269</v>
      </c>
      <c r="T572" s="1">
        <v>43810</v>
      </c>
      <c r="U572" s="1">
        <v>43082</v>
      </c>
      <c r="V572" t="s">
        <v>270</v>
      </c>
      <c r="W572">
        <v>13029618</v>
      </c>
      <c r="X572">
        <v>13029618</v>
      </c>
      <c r="Y572" t="s">
        <v>270</v>
      </c>
      <c r="Z572">
        <v>13029618</v>
      </c>
      <c r="AA572">
        <v>13029618</v>
      </c>
      <c r="AB572" t="b">
        <v>0</v>
      </c>
      <c r="AC572">
        <v>0.25</v>
      </c>
    </row>
    <row r="573" spans="17:29" x14ac:dyDescent="0.2">
      <c r="Q573" t="s">
        <v>2025</v>
      </c>
      <c r="R573" t="s">
        <v>2262</v>
      </c>
      <c r="S573" t="s">
        <v>269</v>
      </c>
      <c r="T573" s="1">
        <v>43810</v>
      </c>
      <c r="U573" s="1">
        <v>43082</v>
      </c>
      <c r="V573" t="s">
        <v>270</v>
      </c>
      <c r="W573">
        <v>1214296</v>
      </c>
      <c r="X573">
        <v>1214296</v>
      </c>
      <c r="Y573" t="s">
        <v>270</v>
      </c>
      <c r="Z573">
        <v>1214296</v>
      </c>
      <c r="AA573">
        <v>1214296</v>
      </c>
      <c r="AB573" t="b">
        <v>0</v>
      </c>
      <c r="AC573">
        <v>0.05</v>
      </c>
    </row>
    <row r="574" spans="17:29" x14ac:dyDescent="0.2">
      <c r="Q574" t="s">
        <v>2025</v>
      </c>
      <c r="R574" t="s">
        <v>2262</v>
      </c>
      <c r="S574" t="s">
        <v>269</v>
      </c>
      <c r="T574" s="1">
        <v>43810</v>
      </c>
      <c r="U574" s="1">
        <v>43082</v>
      </c>
      <c r="V574" t="s">
        <v>270</v>
      </c>
      <c r="W574">
        <v>1214296</v>
      </c>
      <c r="X574">
        <v>1214296</v>
      </c>
      <c r="Y574" t="s">
        <v>270</v>
      </c>
      <c r="Z574">
        <v>1214296</v>
      </c>
      <c r="AA574">
        <v>1214296</v>
      </c>
      <c r="AB574" t="b">
        <v>0</v>
      </c>
      <c r="AC574">
        <v>0.05</v>
      </c>
    </row>
    <row r="575" spans="17:29" x14ac:dyDescent="0.2">
      <c r="Q575" t="s">
        <v>2029</v>
      </c>
      <c r="R575" t="s">
        <v>2262</v>
      </c>
      <c r="S575" t="s">
        <v>269</v>
      </c>
      <c r="T575" s="1">
        <v>43810</v>
      </c>
      <c r="U575" s="1">
        <v>43082</v>
      </c>
      <c r="V575" t="s">
        <v>270</v>
      </c>
      <c r="W575">
        <v>1214296</v>
      </c>
      <c r="X575">
        <v>1214296</v>
      </c>
      <c r="Y575" t="s">
        <v>270</v>
      </c>
      <c r="Z575">
        <v>1214296</v>
      </c>
      <c r="AA575">
        <v>1214296</v>
      </c>
      <c r="AB575" t="b">
        <v>0</v>
      </c>
      <c r="AC575">
        <v>0.05</v>
      </c>
    </row>
    <row r="576" spans="17:29" x14ac:dyDescent="0.2">
      <c r="Q576" t="s">
        <v>2029</v>
      </c>
      <c r="R576" t="s">
        <v>2262</v>
      </c>
      <c r="S576" t="s">
        <v>269</v>
      </c>
      <c r="T576" s="1">
        <v>43810</v>
      </c>
      <c r="U576" s="1">
        <v>43082</v>
      </c>
      <c r="V576" t="s">
        <v>270</v>
      </c>
      <c r="W576">
        <v>1214296</v>
      </c>
      <c r="X576">
        <v>1214296</v>
      </c>
      <c r="Y576" t="s">
        <v>270</v>
      </c>
      <c r="Z576">
        <v>1214296</v>
      </c>
      <c r="AA576">
        <v>1214296</v>
      </c>
      <c r="AB576" t="b">
        <v>0</v>
      </c>
      <c r="AC576">
        <v>0.05</v>
      </c>
    </row>
    <row r="577" spans="17:29" x14ac:dyDescent="0.2">
      <c r="Q577" t="s">
        <v>2087</v>
      </c>
      <c r="R577" t="s">
        <v>2259</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2087</v>
      </c>
      <c r="R578" t="s">
        <v>2263</v>
      </c>
      <c r="S578" t="s">
        <v>257</v>
      </c>
      <c r="T578" s="1">
        <v>43205</v>
      </c>
      <c r="U578" s="1">
        <v>44196</v>
      </c>
      <c r="V578" t="s">
        <v>260</v>
      </c>
      <c r="W578">
        <v>113191521</v>
      </c>
      <c r="X578">
        <v>67500000</v>
      </c>
      <c r="Y578" t="s">
        <v>260</v>
      </c>
      <c r="Z578">
        <v>67500000</v>
      </c>
      <c r="AA578">
        <v>12990512</v>
      </c>
      <c r="AB578" t="b">
        <v>0</v>
      </c>
      <c r="AC578">
        <v>0.05</v>
      </c>
    </row>
    <row r="579" spans="17:29" x14ac:dyDescent="0.2">
      <c r="Q579" t="s">
        <v>2087</v>
      </c>
      <c r="R579" t="s">
        <v>2263</v>
      </c>
      <c r="S579" t="s">
        <v>257</v>
      </c>
      <c r="T579" s="1">
        <v>43205</v>
      </c>
      <c r="U579" s="1">
        <v>44196</v>
      </c>
      <c r="V579" t="s">
        <v>260</v>
      </c>
      <c r="W579">
        <v>113191521</v>
      </c>
      <c r="X579">
        <v>67500000</v>
      </c>
      <c r="Y579" t="s">
        <v>260</v>
      </c>
      <c r="Z579">
        <v>67500000</v>
      </c>
      <c r="AA579">
        <v>12990512</v>
      </c>
      <c r="AB579" t="b">
        <v>0</v>
      </c>
      <c r="AC579">
        <v>0.05</v>
      </c>
    </row>
    <row r="580" spans="17:29" x14ac:dyDescent="0.2">
      <c r="Q580" t="s">
        <v>2087</v>
      </c>
      <c r="R580" t="s">
        <v>2264</v>
      </c>
      <c r="S580" t="s">
        <v>257</v>
      </c>
      <c r="T580" s="1">
        <v>43205</v>
      </c>
      <c r="U580" s="1">
        <v>44196</v>
      </c>
      <c r="V580" t="s">
        <v>260</v>
      </c>
      <c r="W580">
        <v>70191323</v>
      </c>
      <c r="X580">
        <v>70191323</v>
      </c>
      <c r="Y580" t="s">
        <v>260</v>
      </c>
      <c r="Z580">
        <v>70191323</v>
      </c>
      <c r="AA580">
        <v>13508463</v>
      </c>
      <c r="AB580" t="b">
        <v>0</v>
      </c>
      <c r="AC580">
        <v>0.21</v>
      </c>
    </row>
    <row r="581" spans="17:29" x14ac:dyDescent="0.2">
      <c r="Q581" t="s">
        <v>2087</v>
      </c>
      <c r="R581" t="s">
        <v>2264</v>
      </c>
      <c r="S581" t="s">
        <v>257</v>
      </c>
      <c r="T581" s="1">
        <v>43205</v>
      </c>
      <c r="U581" s="1">
        <v>44196</v>
      </c>
      <c r="V581" t="s">
        <v>260</v>
      </c>
      <c r="W581">
        <v>70191323</v>
      </c>
      <c r="X581">
        <v>70191323</v>
      </c>
      <c r="Y581" t="s">
        <v>260</v>
      </c>
      <c r="Z581">
        <v>70191323</v>
      </c>
      <c r="AA581">
        <v>13508463</v>
      </c>
      <c r="AB581" t="b">
        <v>0</v>
      </c>
      <c r="AC581">
        <v>0.21</v>
      </c>
    </row>
    <row r="582" spans="17:29" x14ac:dyDescent="0.2">
      <c r="Q582" t="s">
        <v>2087</v>
      </c>
      <c r="R582" t="s">
        <v>2265</v>
      </c>
      <c r="S582" t="s">
        <v>257</v>
      </c>
      <c r="T582" s="1">
        <v>43205</v>
      </c>
      <c r="U582" s="1">
        <v>44196</v>
      </c>
      <c r="V582" t="s">
        <v>260</v>
      </c>
      <c r="W582">
        <v>103849342</v>
      </c>
      <c r="X582">
        <v>103849342</v>
      </c>
      <c r="Y582" t="s">
        <v>260</v>
      </c>
      <c r="Z582">
        <v>103849342</v>
      </c>
      <c r="AA582">
        <v>19986017</v>
      </c>
      <c r="AB582" t="b">
        <v>0</v>
      </c>
      <c r="AC582">
        <v>0.2</v>
      </c>
    </row>
    <row r="583" spans="17:29" x14ac:dyDescent="0.2">
      <c r="Q583" t="s">
        <v>2087</v>
      </c>
      <c r="R583" t="s">
        <v>2265</v>
      </c>
      <c r="S583" t="s">
        <v>257</v>
      </c>
      <c r="T583" s="1">
        <v>43205</v>
      </c>
      <c r="U583" s="1">
        <v>44196</v>
      </c>
      <c r="V583" t="s">
        <v>260</v>
      </c>
      <c r="W583">
        <v>103849342</v>
      </c>
      <c r="X583">
        <v>103849342</v>
      </c>
      <c r="Y583" t="s">
        <v>260</v>
      </c>
      <c r="Z583">
        <v>103849342</v>
      </c>
      <c r="AA583">
        <v>19986017</v>
      </c>
      <c r="AB583" t="b">
        <v>0</v>
      </c>
      <c r="AC583">
        <v>0.2</v>
      </c>
    </row>
    <row r="584" spans="17:29" x14ac:dyDescent="0.2">
      <c r="Q584" t="s">
        <v>2067</v>
      </c>
      <c r="R584" t="s">
        <v>2252</v>
      </c>
      <c r="S584" t="s">
        <v>287</v>
      </c>
      <c r="T584" s="1">
        <v>43830</v>
      </c>
      <c r="U584" s="1">
        <v>43830</v>
      </c>
      <c r="V584" t="s">
        <v>2185</v>
      </c>
      <c r="W584" s="27">
        <v>1230293413</v>
      </c>
      <c r="X584">
        <v>1230293413</v>
      </c>
      <c r="Y584" t="s">
        <v>290</v>
      </c>
      <c r="Z584">
        <v>43458</v>
      </c>
      <c r="AA584">
        <v>1652243</v>
      </c>
      <c r="AB584" t="b">
        <v>1</v>
      </c>
      <c r="AC584">
        <v>0.16</v>
      </c>
    </row>
    <row r="585" spans="17:29" x14ac:dyDescent="0.2">
      <c r="Q585" t="s">
        <v>1998</v>
      </c>
      <c r="R585" t="s">
        <v>2266</v>
      </c>
      <c r="S585" t="s">
        <v>287</v>
      </c>
      <c r="T585" s="1">
        <v>43830</v>
      </c>
      <c r="U585" s="1">
        <v>43830</v>
      </c>
      <c r="V585" t="s">
        <v>2185</v>
      </c>
      <c r="W585">
        <v>2679123486</v>
      </c>
      <c r="X585">
        <v>2679123486</v>
      </c>
      <c r="Y585" t="s">
        <v>290</v>
      </c>
      <c r="Z585">
        <v>94635</v>
      </c>
      <c r="AA585">
        <v>3597974</v>
      </c>
      <c r="AB585" t="b">
        <v>1</v>
      </c>
      <c r="AC585">
        <v>0.57999999999999996</v>
      </c>
    </row>
    <row r="586" spans="17:29" x14ac:dyDescent="0.2">
      <c r="Q586" t="s">
        <v>2067</v>
      </c>
      <c r="R586" t="s">
        <v>2266</v>
      </c>
      <c r="S586" t="s">
        <v>287</v>
      </c>
      <c r="T586" s="1">
        <v>43830</v>
      </c>
      <c r="U586" s="1">
        <v>43830</v>
      </c>
      <c r="V586" t="s">
        <v>2185</v>
      </c>
      <c r="W586" s="27">
        <v>2679123486</v>
      </c>
      <c r="X586">
        <v>2679123486</v>
      </c>
      <c r="Y586" t="s">
        <v>290</v>
      </c>
      <c r="Z586">
        <v>94635</v>
      </c>
      <c r="AA586">
        <v>3597974</v>
      </c>
      <c r="AB586" t="b">
        <v>1</v>
      </c>
      <c r="AC586">
        <v>0.57999999999999996</v>
      </c>
    </row>
    <row r="587" spans="17:29" x14ac:dyDescent="0.2">
      <c r="Q587" t="s">
        <v>1998</v>
      </c>
      <c r="R587" t="s">
        <v>2267</v>
      </c>
      <c r="S587" t="s">
        <v>287</v>
      </c>
      <c r="T587" s="1">
        <v>43830</v>
      </c>
      <c r="U587" s="1">
        <v>43830</v>
      </c>
      <c r="V587" t="s">
        <v>2185</v>
      </c>
      <c r="W587">
        <v>2673957119</v>
      </c>
      <c r="X587">
        <v>2673957119</v>
      </c>
      <c r="Y587" t="s">
        <v>290</v>
      </c>
      <c r="Z587">
        <v>94453</v>
      </c>
      <c r="AA587">
        <v>3591036</v>
      </c>
      <c r="AB587" t="b">
        <v>1</v>
      </c>
      <c r="AC587">
        <v>0.74</v>
      </c>
    </row>
    <row r="588" spans="17:29" x14ac:dyDescent="0.2">
      <c r="Q588" t="s">
        <v>2067</v>
      </c>
      <c r="R588" t="s">
        <v>2267</v>
      </c>
      <c r="S588" t="s">
        <v>287</v>
      </c>
      <c r="T588" s="1">
        <v>43830</v>
      </c>
      <c r="U588" s="1">
        <v>43830</v>
      </c>
      <c r="V588" t="s">
        <v>2185</v>
      </c>
      <c r="W588" s="27">
        <v>2673957119</v>
      </c>
      <c r="X588">
        <v>2673957119</v>
      </c>
      <c r="Y588" t="s">
        <v>290</v>
      </c>
      <c r="Z588">
        <v>94453</v>
      </c>
      <c r="AA588">
        <v>3591036</v>
      </c>
      <c r="AB588" t="b">
        <v>1</v>
      </c>
      <c r="AC588">
        <v>0.74</v>
      </c>
    </row>
    <row r="589" spans="17:29" x14ac:dyDescent="0.2">
      <c r="Q589" t="s">
        <v>1998</v>
      </c>
      <c r="R589" t="s">
        <v>2268</v>
      </c>
      <c r="S589" t="s">
        <v>287</v>
      </c>
      <c r="T589" s="1">
        <v>43830</v>
      </c>
      <c r="U589" s="1">
        <v>43830</v>
      </c>
      <c r="V589" t="s">
        <v>2185</v>
      </c>
      <c r="W589">
        <v>2602664365</v>
      </c>
      <c r="X589">
        <v>2602664365</v>
      </c>
      <c r="Y589" t="s">
        <v>290</v>
      </c>
      <c r="Z589">
        <v>91935</v>
      </c>
      <c r="AA589">
        <v>3495292</v>
      </c>
      <c r="AB589" t="b">
        <v>0</v>
      </c>
      <c r="AC589">
        <v>0.22</v>
      </c>
    </row>
    <row r="590" spans="17:29" x14ac:dyDescent="0.2">
      <c r="Q590" t="s">
        <v>2067</v>
      </c>
      <c r="R590" t="s">
        <v>2268</v>
      </c>
      <c r="S590" t="s">
        <v>287</v>
      </c>
      <c r="T590" s="1">
        <v>43830</v>
      </c>
      <c r="U590" s="1">
        <v>43830</v>
      </c>
      <c r="V590" t="s">
        <v>2185</v>
      </c>
      <c r="W590" s="27">
        <v>2602664365</v>
      </c>
      <c r="X590">
        <v>2602664365</v>
      </c>
      <c r="Y590" t="s">
        <v>290</v>
      </c>
      <c r="Z590">
        <v>91935</v>
      </c>
      <c r="AA590">
        <v>3495292</v>
      </c>
      <c r="AB590" t="b">
        <v>0</v>
      </c>
      <c r="AC590">
        <v>0.22</v>
      </c>
    </row>
    <row r="591" spans="17:29" x14ac:dyDescent="0.2">
      <c r="Q591" t="s">
        <v>2040</v>
      </c>
      <c r="R591" t="s">
        <v>2269</v>
      </c>
      <c r="S591" t="s">
        <v>287</v>
      </c>
      <c r="T591" s="1">
        <v>43830</v>
      </c>
      <c r="U591" s="1">
        <v>43830</v>
      </c>
      <c r="V591" t="s">
        <v>2185</v>
      </c>
      <c r="W591">
        <v>5235535493</v>
      </c>
      <c r="X591">
        <v>5235535493</v>
      </c>
      <c r="Y591" t="s">
        <v>290</v>
      </c>
      <c r="Z591">
        <v>184936</v>
      </c>
      <c r="AA591">
        <v>7031151</v>
      </c>
      <c r="AB591" t="b">
        <v>0</v>
      </c>
      <c r="AC591">
        <v>0.81</v>
      </c>
    </row>
    <row r="592" spans="17:29" x14ac:dyDescent="0.2">
      <c r="Q592" t="s">
        <v>1989</v>
      </c>
      <c r="R592" t="s">
        <v>2269</v>
      </c>
      <c r="S592" t="s">
        <v>287</v>
      </c>
      <c r="T592" s="1">
        <v>43830</v>
      </c>
      <c r="U592" s="1">
        <v>43830</v>
      </c>
      <c r="V592" t="s">
        <v>2185</v>
      </c>
      <c r="W592" s="27">
        <v>5235535493</v>
      </c>
      <c r="X592">
        <v>5235535493</v>
      </c>
      <c r="Y592" t="s">
        <v>290</v>
      </c>
      <c r="Z592">
        <v>184936</v>
      </c>
      <c r="AA592">
        <v>7031151</v>
      </c>
      <c r="AB592" t="b">
        <v>0</v>
      </c>
      <c r="AC592">
        <v>0.81</v>
      </c>
    </row>
    <row r="593" spans="17:29" x14ac:dyDescent="0.2">
      <c r="Q593" t="s">
        <v>2087</v>
      </c>
      <c r="R593" t="s">
        <v>2270</v>
      </c>
      <c r="S593" t="s">
        <v>257</v>
      </c>
      <c r="T593" s="1">
        <v>43449</v>
      </c>
      <c r="U593" s="1">
        <v>44196</v>
      </c>
      <c r="V593" t="s">
        <v>260</v>
      </c>
      <c r="W593">
        <v>56227650</v>
      </c>
      <c r="X593">
        <v>56227650</v>
      </c>
      <c r="Y593" t="s">
        <v>260</v>
      </c>
      <c r="Z593">
        <v>56227650</v>
      </c>
      <c r="AA593">
        <v>10821125</v>
      </c>
      <c r="AB593" t="b">
        <v>0</v>
      </c>
      <c r="AC593">
        <v>0.19</v>
      </c>
    </row>
    <row r="594" spans="17:29" x14ac:dyDescent="0.2">
      <c r="Q594" t="s">
        <v>2087</v>
      </c>
      <c r="R594" t="s">
        <v>2270</v>
      </c>
      <c r="S594" t="s">
        <v>257</v>
      </c>
      <c r="T594" s="1">
        <v>43449</v>
      </c>
      <c r="U594" s="1">
        <v>44196</v>
      </c>
      <c r="V594" t="s">
        <v>260</v>
      </c>
      <c r="W594">
        <v>56227650</v>
      </c>
      <c r="X594">
        <v>56227650</v>
      </c>
      <c r="Y594" t="s">
        <v>260</v>
      </c>
      <c r="Z594">
        <v>56227650</v>
      </c>
      <c r="AA594">
        <v>10821125</v>
      </c>
      <c r="AB594" t="b">
        <v>0</v>
      </c>
      <c r="AC594">
        <v>0.19</v>
      </c>
    </row>
    <row r="595" spans="17:29" x14ac:dyDescent="0.2">
      <c r="Q595" t="s">
        <v>2087</v>
      </c>
      <c r="R595" t="s">
        <v>2271</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2087</v>
      </c>
      <c r="R596" t="s">
        <v>2271</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2087</v>
      </c>
      <c r="R597" t="s">
        <v>2272</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2087</v>
      </c>
      <c r="R598" t="s">
        <v>2272</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2087</v>
      </c>
      <c r="R599" t="s">
        <v>2273</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2087</v>
      </c>
      <c r="R600" t="s">
        <v>2273</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2080</v>
      </c>
      <c r="R601" t="s">
        <v>2274</v>
      </c>
      <c r="S601" t="s">
        <v>257</v>
      </c>
      <c r="T601" s="1">
        <v>43070</v>
      </c>
      <c r="U601" s="1">
        <v>43070</v>
      </c>
      <c r="V601" t="s">
        <v>260</v>
      </c>
      <c r="W601">
        <v>297483000</v>
      </c>
      <c r="X601">
        <v>297483000</v>
      </c>
      <c r="Y601" t="s">
        <v>260</v>
      </c>
      <c r="Z601">
        <v>297483000</v>
      </c>
      <c r="AA601">
        <v>116733969</v>
      </c>
      <c r="AB601" t="b">
        <v>1</v>
      </c>
      <c r="AC601">
        <v>1</v>
      </c>
    </row>
    <row r="602" spans="17:29" x14ac:dyDescent="0.2">
      <c r="Q602" t="s">
        <v>2080</v>
      </c>
      <c r="R602" t="s">
        <v>2274</v>
      </c>
      <c r="S602" t="s">
        <v>257</v>
      </c>
      <c r="T602" s="1">
        <v>42705</v>
      </c>
      <c r="U602" s="1">
        <v>42705</v>
      </c>
      <c r="V602" t="s">
        <v>260</v>
      </c>
      <c r="W602">
        <v>333434000</v>
      </c>
      <c r="X602">
        <v>333434000</v>
      </c>
      <c r="Y602" t="s">
        <v>260</v>
      </c>
      <c r="Z602">
        <v>333434000</v>
      </c>
      <c r="AA602">
        <v>97893664</v>
      </c>
      <c r="AB602" t="b">
        <v>1</v>
      </c>
      <c r="AC602">
        <v>1</v>
      </c>
    </row>
    <row r="603" spans="17:29" x14ac:dyDescent="0.2">
      <c r="Q603" t="s">
        <v>2080</v>
      </c>
      <c r="R603" t="s">
        <v>2274</v>
      </c>
      <c r="S603" t="s">
        <v>257</v>
      </c>
      <c r="T603" s="1">
        <v>42339</v>
      </c>
      <c r="U603" s="1">
        <v>42339</v>
      </c>
      <c r="V603" t="s">
        <v>260</v>
      </c>
      <c r="W603">
        <v>356583000</v>
      </c>
      <c r="X603">
        <v>356583000</v>
      </c>
      <c r="Y603" t="s">
        <v>260</v>
      </c>
      <c r="Z603">
        <v>356583000</v>
      </c>
      <c r="AA603">
        <v>108661455</v>
      </c>
      <c r="AB603" t="b">
        <v>1</v>
      </c>
      <c r="AC603">
        <v>1</v>
      </c>
    </row>
    <row r="604" spans="17:29" x14ac:dyDescent="0.2">
      <c r="Q604" t="s">
        <v>2082</v>
      </c>
      <c r="R604" t="s">
        <v>2274</v>
      </c>
      <c r="S604" t="s">
        <v>257</v>
      </c>
      <c r="T604" s="1">
        <v>43070</v>
      </c>
      <c r="U604" s="1">
        <v>43070</v>
      </c>
      <c r="V604" t="s">
        <v>260</v>
      </c>
      <c r="W604">
        <v>297483000</v>
      </c>
      <c r="X604">
        <v>297483000</v>
      </c>
      <c r="Y604" t="s">
        <v>260</v>
      </c>
      <c r="Z604">
        <v>297483000</v>
      </c>
      <c r="AA604">
        <v>116733969</v>
      </c>
      <c r="AB604" t="b">
        <v>1</v>
      </c>
      <c r="AC604">
        <v>1</v>
      </c>
    </row>
    <row r="605" spans="17:29" x14ac:dyDescent="0.2">
      <c r="Q605" t="s">
        <v>2082</v>
      </c>
      <c r="R605" t="s">
        <v>2274</v>
      </c>
      <c r="S605" t="s">
        <v>257</v>
      </c>
      <c r="T605" s="1">
        <v>42705</v>
      </c>
      <c r="U605" s="1">
        <v>42705</v>
      </c>
      <c r="V605" t="s">
        <v>260</v>
      </c>
      <c r="W605">
        <v>333434000</v>
      </c>
      <c r="X605">
        <v>333434000</v>
      </c>
      <c r="Y605" t="s">
        <v>260</v>
      </c>
      <c r="Z605">
        <v>333434000</v>
      </c>
      <c r="AA605">
        <v>97893664</v>
      </c>
      <c r="AB605" t="b">
        <v>1</v>
      </c>
      <c r="AC605">
        <v>1</v>
      </c>
    </row>
    <row r="606" spans="17:29" x14ac:dyDescent="0.2">
      <c r="Q606" t="s">
        <v>2082</v>
      </c>
      <c r="R606" t="s">
        <v>2274</v>
      </c>
      <c r="S606" t="s">
        <v>257</v>
      </c>
      <c r="T606" s="1">
        <v>42339</v>
      </c>
      <c r="U606" s="1">
        <v>42339</v>
      </c>
      <c r="V606" t="s">
        <v>260</v>
      </c>
      <c r="W606">
        <v>356583000</v>
      </c>
      <c r="X606">
        <v>356583000</v>
      </c>
      <c r="Y606" t="s">
        <v>260</v>
      </c>
      <c r="Z606">
        <v>356583000</v>
      </c>
      <c r="AA606">
        <v>108661455</v>
      </c>
      <c r="AB606" t="b">
        <v>1</v>
      </c>
      <c r="AC606">
        <v>1</v>
      </c>
    </row>
    <row r="607" spans="17:29" x14ac:dyDescent="0.2">
      <c r="Q607" t="s">
        <v>2087</v>
      </c>
      <c r="R607" t="s">
        <v>2275</v>
      </c>
      <c r="S607" t="s">
        <v>257</v>
      </c>
      <c r="T607" s="1">
        <v>43449</v>
      </c>
      <c r="U607" s="1">
        <v>44255</v>
      </c>
      <c r="V607" t="s">
        <v>260</v>
      </c>
      <c r="W607">
        <v>81853158</v>
      </c>
      <c r="X607">
        <v>81853158</v>
      </c>
      <c r="Y607" t="s">
        <v>260</v>
      </c>
      <c r="Z607">
        <v>81853158</v>
      </c>
      <c r="AA607">
        <v>14453148</v>
      </c>
      <c r="AB607" t="b">
        <v>0</v>
      </c>
      <c r="AC607">
        <v>0.61</v>
      </c>
    </row>
    <row r="608" spans="17:29" x14ac:dyDescent="0.2">
      <c r="Q608" t="s">
        <v>2087</v>
      </c>
      <c r="R608" t="s">
        <v>2275</v>
      </c>
      <c r="S608" t="s">
        <v>257</v>
      </c>
      <c r="T608" s="1">
        <v>43449</v>
      </c>
      <c r="U608" s="1">
        <v>44255</v>
      </c>
      <c r="V608" t="s">
        <v>260</v>
      </c>
      <c r="W608">
        <v>81853158</v>
      </c>
      <c r="X608">
        <v>81853158</v>
      </c>
      <c r="Y608" t="s">
        <v>260</v>
      </c>
      <c r="Z608">
        <v>81853158</v>
      </c>
      <c r="AA608">
        <v>14453148</v>
      </c>
      <c r="AB608" t="b">
        <v>0</v>
      </c>
      <c r="AC608">
        <v>0.61</v>
      </c>
    </row>
    <row r="609" spans="17:29" x14ac:dyDescent="0.2">
      <c r="Q609" t="s">
        <v>2087</v>
      </c>
      <c r="R609" t="s">
        <v>2276</v>
      </c>
      <c r="S609" t="s">
        <v>257</v>
      </c>
      <c r="T609" s="1">
        <v>43449</v>
      </c>
      <c r="U609" s="1">
        <v>44196</v>
      </c>
      <c r="V609" t="s">
        <v>260</v>
      </c>
      <c r="W609">
        <v>1570269</v>
      </c>
      <c r="X609">
        <v>1570269</v>
      </c>
      <c r="Y609" t="s">
        <v>260</v>
      </c>
      <c r="Z609">
        <v>1570269</v>
      </c>
      <c r="AA609">
        <v>302201</v>
      </c>
      <c r="AB609" t="b">
        <v>0</v>
      </c>
      <c r="AC609">
        <v>0.01</v>
      </c>
    </row>
    <row r="610" spans="17:29" x14ac:dyDescent="0.2">
      <c r="Q610" t="s">
        <v>2087</v>
      </c>
      <c r="R610" t="s">
        <v>2276</v>
      </c>
      <c r="S610" t="s">
        <v>257</v>
      </c>
      <c r="T610" s="1">
        <v>43449</v>
      </c>
      <c r="U610" s="1">
        <v>44196</v>
      </c>
      <c r="V610" t="s">
        <v>260</v>
      </c>
      <c r="W610">
        <v>1570269</v>
      </c>
      <c r="X610">
        <v>1570269</v>
      </c>
      <c r="Y610" t="s">
        <v>260</v>
      </c>
      <c r="Z610">
        <v>1570269</v>
      </c>
      <c r="AA610">
        <v>302201</v>
      </c>
      <c r="AB610" t="b">
        <v>0</v>
      </c>
      <c r="AC610">
        <v>0.01</v>
      </c>
    </row>
    <row r="611" spans="17:29" x14ac:dyDescent="0.2">
      <c r="Q611" t="s">
        <v>2087</v>
      </c>
      <c r="R611" t="s">
        <v>2277</v>
      </c>
      <c r="S611" t="s">
        <v>257</v>
      </c>
      <c r="T611" s="1">
        <v>43449</v>
      </c>
      <c r="U611" s="1">
        <v>44196</v>
      </c>
      <c r="V611" t="s">
        <v>260</v>
      </c>
      <c r="W611">
        <v>12021913</v>
      </c>
      <c r="X611">
        <v>12021913</v>
      </c>
      <c r="Y611" t="s">
        <v>260</v>
      </c>
      <c r="Z611">
        <v>12021913</v>
      </c>
      <c r="AA611">
        <v>2313642</v>
      </c>
      <c r="AB611" t="b">
        <v>0</v>
      </c>
      <c r="AC611">
        <v>0.04</v>
      </c>
    </row>
    <row r="612" spans="17:29" x14ac:dyDescent="0.2">
      <c r="Q612" t="s">
        <v>2087</v>
      </c>
      <c r="R612" t="s">
        <v>2277</v>
      </c>
      <c r="S612" t="s">
        <v>257</v>
      </c>
      <c r="T612" s="1">
        <v>43449</v>
      </c>
      <c r="U612" s="1">
        <v>44196</v>
      </c>
      <c r="V612" t="s">
        <v>260</v>
      </c>
      <c r="W612">
        <v>12021913</v>
      </c>
      <c r="X612">
        <v>12021913</v>
      </c>
      <c r="Y612" t="s">
        <v>260</v>
      </c>
      <c r="Z612">
        <v>12021913</v>
      </c>
      <c r="AA612">
        <v>2313642</v>
      </c>
      <c r="AB612" t="b">
        <v>0</v>
      </c>
      <c r="AC612">
        <v>0.04</v>
      </c>
    </row>
    <row r="613" spans="17:29" x14ac:dyDescent="0.2">
      <c r="Q613" t="s">
        <v>2087</v>
      </c>
      <c r="R613" t="s">
        <v>2278</v>
      </c>
      <c r="S613" t="s">
        <v>257</v>
      </c>
      <c r="T613" s="1">
        <v>43449</v>
      </c>
      <c r="U613" s="1">
        <v>44196</v>
      </c>
      <c r="V613" t="s">
        <v>260</v>
      </c>
      <c r="W613">
        <v>17916338</v>
      </c>
      <c r="X613">
        <v>17916338</v>
      </c>
      <c r="Y613" t="s">
        <v>260</v>
      </c>
      <c r="Z613">
        <v>17916338</v>
      </c>
      <c r="AA613">
        <v>3448036</v>
      </c>
      <c r="AB613" t="b">
        <v>0</v>
      </c>
      <c r="AC613">
        <v>0.04</v>
      </c>
    </row>
    <row r="614" spans="17:29" x14ac:dyDescent="0.2">
      <c r="Q614" t="s">
        <v>2087</v>
      </c>
      <c r="R614" t="s">
        <v>2278</v>
      </c>
      <c r="S614" t="s">
        <v>257</v>
      </c>
      <c r="T614" s="1">
        <v>43449</v>
      </c>
      <c r="U614" s="1">
        <v>44196</v>
      </c>
      <c r="V614" t="s">
        <v>260</v>
      </c>
      <c r="W614">
        <v>17916338</v>
      </c>
      <c r="X614">
        <v>17916338</v>
      </c>
      <c r="Y614" t="s">
        <v>260</v>
      </c>
      <c r="Z614">
        <v>17916338</v>
      </c>
      <c r="AA614">
        <v>3448036</v>
      </c>
      <c r="AB614" t="b">
        <v>0</v>
      </c>
      <c r="AC614">
        <v>0.04</v>
      </c>
    </row>
    <row r="615" spans="17:29" x14ac:dyDescent="0.2">
      <c r="Q615" t="s">
        <v>2087</v>
      </c>
      <c r="R615" t="s">
        <v>2279</v>
      </c>
      <c r="S615" t="s">
        <v>257</v>
      </c>
      <c r="T615" s="1">
        <v>43449</v>
      </c>
      <c r="U615" s="1">
        <v>44196</v>
      </c>
      <c r="V615" t="s">
        <v>260</v>
      </c>
      <c r="W615">
        <v>33356821</v>
      </c>
      <c r="X615">
        <v>33356821</v>
      </c>
      <c r="Y615" t="s">
        <v>260</v>
      </c>
      <c r="Z615">
        <v>33356821</v>
      </c>
      <c r="AA615">
        <v>6419588</v>
      </c>
      <c r="AB615" t="b">
        <v>0</v>
      </c>
      <c r="AC615">
        <v>0.05</v>
      </c>
    </row>
    <row r="616" spans="17:29" x14ac:dyDescent="0.2">
      <c r="Q616" t="s">
        <v>2087</v>
      </c>
      <c r="R616" t="s">
        <v>2279</v>
      </c>
      <c r="S616" t="s">
        <v>257</v>
      </c>
      <c r="T616" s="1">
        <v>43449</v>
      </c>
      <c r="U616" s="1">
        <v>44196</v>
      </c>
      <c r="V616" t="s">
        <v>260</v>
      </c>
      <c r="W616">
        <v>33356821</v>
      </c>
      <c r="X616">
        <v>33356821</v>
      </c>
      <c r="Y616" t="s">
        <v>260</v>
      </c>
      <c r="Z616">
        <v>33356821</v>
      </c>
      <c r="AA616">
        <v>6419588</v>
      </c>
      <c r="AB616" t="b">
        <v>0</v>
      </c>
      <c r="AC616">
        <v>0.05</v>
      </c>
    </row>
    <row r="617" spans="17:29" x14ac:dyDescent="0.2">
      <c r="Q617" t="s">
        <v>2087</v>
      </c>
      <c r="R617" t="s">
        <v>2280</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2087</v>
      </c>
      <c r="R618" t="s">
        <v>2280</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2087</v>
      </c>
      <c r="R619" t="s">
        <v>2281</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2087</v>
      </c>
      <c r="R620" t="s">
        <v>2281</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2087</v>
      </c>
      <c r="R621" t="s">
        <v>2282</v>
      </c>
      <c r="S621" t="s">
        <v>257</v>
      </c>
      <c r="T621" s="1">
        <v>44172</v>
      </c>
      <c r="U621" s="1">
        <v>44561</v>
      </c>
      <c r="V621" t="s">
        <v>260</v>
      </c>
      <c r="W621">
        <v>27800000</v>
      </c>
      <c r="X621">
        <v>27800000</v>
      </c>
      <c r="Y621" t="s">
        <v>260</v>
      </c>
      <c r="Z621">
        <v>27800000</v>
      </c>
      <c r="AA621">
        <v>5449698</v>
      </c>
      <c r="AB621" t="b">
        <v>0</v>
      </c>
      <c r="AC621">
        <v>0.16</v>
      </c>
    </row>
    <row r="622" spans="17:29" x14ac:dyDescent="0.2">
      <c r="Q622" t="s">
        <v>2087</v>
      </c>
      <c r="R622" t="s">
        <v>2282</v>
      </c>
      <c r="S622" t="s">
        <v>257</v>
      </c>
      <c r="T622" s="1">
        <v>44172</v>
      </c>
      <c r="U622" s="1">
        <v>44561</v>
      </c>
      <c r="V622" t="s">
        <v>260</v>
      </c>
      <c r="W622">
        <v>27800000</v>
      </c>
      <c r="X622">
        <v>27800000</v>
      </c>
      <c r="Y622" t="s">
        <v>260</v>
      </c>
      <c r="Z622">
        <v>27800000</v>
      </c>
      <c r="AA622">
        <v>5449698</v>
      </c>
      <c r="AB622" t="b">
        <v>0</v>
      </c>
      <c r="AC622">
        <v>0.16</v>
      </c>
    </row>
    <row r="623" spans="17:29" x14ac:dyDescent="0.2">
      <c r="Q623" t="s">
        <v>2087</v>
      </c>
      <c r="R623" t="s">
        <v>2283</v>
      </c>
      <c r="S623" t="s">
        <v>257</v>
      </c>
      <c r="T623" s="1">
        <v>44237</v>
      </c>
      <c r="U623" s="1">
        <v>44561</v>
      </c>
      <c r="V623" t="s">
        <v>260</v>
      </c>
      <c r="W623">
        <v>268923564</v>
      </c>
      <c r="X623">
        <v>32270828</v>
      </c>
      <c r="Y623" t="s">
        <v>260</v>
      </c>
      <c r="Z623">
        <v>32270828</v>
      </c>
      <c r="AA623">
        <v>5974088</v>
      </c>
      <c r="AB623" t="b">
        <v>0</v>
      </c>
      <c r="AC623">
        <v>0.49</v>
      </c>
    </row>
    <row r="624" spans="17:29" x14ac:dyDescent="0.2">
      <c r="Q624" t="s">
        <v>2087</v>
      </c>
      <c r="R624" t="s">
        <v>2283</v>
      </c>
      <c r="S624" t="s">
        <v>257</v>
      </c>
      <c r="T624" s="1">
        <v>44237</v>
      </c>
      <c r="U624" s="1">
        <v>44561</v>
      </c>
      <c r="V624" t="s">
        <v>260</v>
      </c>
      <c r="W624">
        <v>268923564</v>
      </c>
      <c r="X624">
        <v>32270828</v>
      </c>
      <c r="Y624" t="s">
        <v>260</v>
      </c>
      <c r="Z624">
        <v>32270828</v>
      </c>
      <c r="AA624">
        <v>5974088</v>
      </c>
      <c r="AB624" t="b">
        <v>0</v>
      </c>
      <c r="AC624">
        <v>0.49</v>
      </c>
    </row>
    <row r="625" spans="17:29" x14ac:dyDescent="0.2">
      <c r="Q625" t="s">
        <v>2087</v>
      </c>
      <c r="R625" t="s">
        <v>2284</v>
      </c>
      <c r="S625" t="s">
        <v>257</v>
      </c>
      <c r="T625" s="1">
        <v>44237</v>
      </c>
      <c r="U625" s="1">
        <v>44561</v>
      </c>
      <c r="V625" t="s">
        <v>260</v>
      </c>
      <c r="W625">
        <v>325364312</v>
      </c>
      <c r="X625">
        <v>35790074</v>
      </c>
      <c r="Y625" t="s">
        <v>260</v>
      </c>
      <c r="Z625">
        <v>35790074</v>
      </c>
      <c r="AA625">
        <v>6625583</v>
      </c>
      <c r="AB625" t="b">
        <v>0</v>
      </c>
      <c r="AC625">
        <v>0.48</v>
      </c>
    </row>
    <row r="626" spans="17:29" x14ac:dyDescent="0.2">
      <c r="Q626" t="s">
        <v>2087</v>
      </c>
      <c r="R626" t="s">
        <v>2284</v>
      </c>
      <c r="S626" t="s">
        <v>257</v>
      </c>
      <c r="T626" s="1">
        <v>44237</v>
      </c>
      <c r="U626" s="1">
        <v>44561</v>
      </c>
      <c r="V626" t="s">
        <v>260</v>
      </c>
      <c r="W626">
        <v>325364312</v>
      </c>
      <c r="X626">
        <v>35790074</v>
      </c>
      <c r="Y626" t="s">
        <v>260</v>
      </c>
      <c r="Z626">
        <v>35790074</v>
      </c>
      <c r="AA626">
        <v>6625583</v>
      </c>
      <c r="AB626" t="b">
        <v>0</v>
      </c>
      <c r="AC626">
        <v>0.48</v>
      </c>
    </row>
    <row r="627" spans="17:29" x14ac:dyDescent="0.2">
      <c r="Q627" t="s">
        <v>2080</v>
      </c>
      <c r="R627" t="s">
        <v>2285</v>
      </c>
      <c r="S627" t="s">
        <v>257</v>
      </c>
      <c r="T627" s="1">
        <v>43800</v>
      </c>
      <c r="U627" s="1">
        <v>43800</v>
      </c>
      <c r="V627" t="s">
        <v>260</v>
      </c>
      <c r="W627">
        <v>41100000</v>
      </c>
      <c r="X627">
        <v>41100000</v>
      </c>
      <c r="Y627" t="s">
        <v>270</v>
      </c>
      <c r="Z627">
        <v>10400000</v>
      </c>
      <c r="AA627">
        <v>10400000</v>
      </c>
      <c r="AB627" t="b">
        <v>0</v>
      </c>
      <c r="AC627">
        <v>1</v>
      </c>
    </row>
    <row r="628" spans="17:29" x14ac:dyDescent="0.2">
      <c r="Q628" t="s">
        <v>2080</v>
      </c>
      <c r="R628" t="s">
        <v>2285</v>
      </c>
      <c r="S628" t="s">
        <v>257</v>
      </c>
      <c r="T628" s="1">
        <v>43435</v>
      </c>
      <c r="U628" s="1">
        <v>43435</v>
      </c>
      <c r="V628" t="s">
        <v>260</v>
      </c>
      <c r="W628">
        <v>60400000</v>
      </c>
      <c r="X628">
        <v>60400000</v>
      </c>
      <c r="Y628" t="s">
        <v>270</v>
      </c>
      <c r="Z628">
        <v>16500000</v>
      </c>
      <c r="AA628">
        <v>16500000</v>
      </c>
      <c r="AB628" t="b">
        <v>0</v>
      </c>
      <c r="AC628">
        <v>1</v>
      </c>
    </row>
    <row r="629" spans="17:29" x14ac:dyDescent="0.2">
      <c r="Q629" t="s">
        <v>2080</v>
      </c>
      <c r="R629" t="s">
        <v>2285</v>
      </c>
      <c r="S629" t="s">
        <v>257</v>
      </c>
      <c r="T629" s="1">
        <v>43070</v>
      </c>
      <c r="U629" s="1">
        <v>43070</v>
      </c>
      <c r="V629" t="s">
        <v>260</v>
      </c>
      <c r="W629">
        <v>66700000</v>
      </c>
      <c r="X629">
        <v>66700000</v>
      </c>
      <c r="Y629" t="s">
        <v>270</v>
      </c>
      <c r="Z629">
        <v>21100000</v>
      </c>
      <c r="AA629">
        <v>21100000</v>
      </c>
      <c r="AB629" t="b">
        <v>0</v>
      </c>
      <c r="AC629">
        <v>1</v>
      </c>
    </row>
    <row r="630" spans="17:29" x14ac:dyDescent="0.2">
      <c r="Q630" t="s">
        <v>2080</v>
      </c>
      <c r="R630" t="s">
        <v>2285</v>
      </c>
      <c r="S630" t="s">
        <v>257</v>
      </c>
      <c r="T630" s="1">
        <v>42705</v>
      </c>
      <c r="U630" s="1">
        <v>42705</v>
      </c>
      <c r="V630" t="s">
        <v>260</v>
      </c>
      <c r="W630">
        <v>66300000</v>
      </c>
      <c r="X630">
        <v>66300000</v>
      </c>
      <c r="Y630" t="s">
        <v>270</v>
      </c>
      <c r="Z630">
        <v>19000000</v>
      </c>
      <c r="AA630">
        <v>19000000</v>
      </c>
      <c r="AB630" t="b">
        <v>0</v>
      </c>
      <c r="AC630">
        <v>1</v>
      </c>
    </row>
    <row r="631" spans="17:29" x14ac:dyDescent="0.2">
      <c r="Q631" t="s">
        <v>2080</v>
      </c>
      <c r="R631" t="s">
        <v>2285</v>
      </c>
      <c r="S631" t="s">
        <v>257</v>
      </c>
      <c r="T631" s="1">
        <v>42339</v>
      </c>
      <c r="U631" s="1">
        <v>42339</v>
      </c>
      <c r="V631" t="s">
        <v>260</v>
      </c>
      <c r="W631">
        <v>35300000</v>
      </c>
      <c r="X631">
        <v>35300000</v>
      </c>
      <c r="Y631" t="s">
        <v>270</v>
      </c>
      <c r="Z631">
        <v>10600000</v>
      </c>
      <c r="AA631">
        <v>10600000</v>
      </c>
      <c r="AB631" t="b">
        <v>0</v>
      </c>
      <c r="AC631">
        <v>1</v>
      </c>
    </row>
    <row r="632" spans="17:29" x14ac:dyDescent="0.2">
      <c r="Q632" t="s">
        <v>2082</v>
      </c>
      <c r="R632" t="s">
        <v>2285</v>
      </c>
      <c r="S632" t="s">
        <v>257</v>
      </c>
      <c r="T632" s="1">
        <v>43800</v>
      </c>
      <c r="U632" s="1">
        <v>43800</v>
      </c>
      <c r="V632" t="s">
        <v>260</v>
      </c>
      <c r="W632">
        <v>41100000</v>
      </c>
      <c r="X632">
        <v>41100000</v>
      </c>
      <c r="Y632" t="s">
        <v>270</v>
      </c>
      <c r="Z632">
        <v>10400000</v>
      </c>
      <c r="AA632">
        <v>10400000</v>
      </c>
      <c r="AB632" t="b">
        <v>0</v>
      </c>
      <c r="AC632">
        <v>1</v>
      </c>
    </row>
    <row r="633" spans="17:29" x14ac:dyDescent="0.2">
      <c r="Q633" t="s">
        <v>2082</v>
      </c>
      <c r="R633" t="s">
        <v>2285</v>
      </c>
      <c r="S633" t="s">
        <v>257</v>
      </c>
      <c r="T633" s="1">
        <v>43435</v>
      </c>
      <c r="U633" s="1">
        <v>43435</v>
      </c>
      <c r="V633" t="s">
        <v>260</v>
      </c>
      <c r="W633">
        <v>60400000</v>
      </c>
      <c r="X633">
        <v>60400000</v>
      </c>
      <c r="Y633" t="s">
        <v>270</v>
      </c>
      <c r="Z633">
        <v>16500000</v>
      </c>
      <c r="AA633">
        <v>16500000</v>
      </c>
      <c r="AB633" t="b">
        <v>0</v>
      </c>
      <c r="AC633">
        <v>1</v>
      </c>
    </row>
    <row r="634" spans="17:29" x14ac:dyDescent="0.2">
      <c r="Q634" t="s">
        <v>2082</v>
      </c>
      <c r="R634" t="s">
        <v>2285</v>
      </c>
      <c r="S634" t="s">
        <v>257</v>
      </c>
      <c r="T634" s="1">
        <v>43070</v>
      </c>
      <c r="U634" s="1">
        <v>43070</v>
      </c>
      <c r="V634" t="s">
        <v>260</v>
      </c>
      <c r="W634">
        <v>66700000</v>
      </c>
      <c r="X634">
        <v>66700000</v>
      </c>
      <c r="Y634" t="s">
        <v>270</v>
      </c>
      <c r="Z634">
        <v>21100000</v>
      </c>
      <c r="AA634">
        <v>21100000</v>
      </c>
      <c r="AB634" t="b">
        <v>0</v>
      </c>
      <c r="AC634">
        <v>1</v>
      </c>
    </row>
    <row r="635" spans="17:29" x14ac:dyDescent="0.2">
      <c r="Q635" t="s">
        <v>2082</v>
      </c>
      <c r="R635" t="s">
        <v>2285</v>
      </c>
      <c r="S635" t="s">
        <v>257</v>
      </c>
      <c r="T635" s="1">
        <v>42705</v>
      </c>
      <c r="U635" s="1">
        <v>42705</v>
      </c>
      <c r="V635" t="s">
        <v>260</v>
      </c>
      <c r="W635">
        <v>66300000</v>
      </c>
      <c r="X635">
        <v>66300000</v>
      </c>
      <c r="Y635" t="s">
        <v>270</v>
      </c>
      <c r="Z635">
        <v>19000000</v>
      </c>
      <c r="AA635">
        <v>19000000</v>
      </c>
      <c r="AB635" t="b">
        <v>0</v>
      </c>
      <c r="AC635">
        <v>1</v>
      </c>
    </row>
    <row r="636" spans="17:29" x14ac:dyDescent="0.2">
      <c r="Q636" t="s">
        <v>2082</v>
      </c>
      <c r="R636" t="s">
        <v>2285</v>
      </c>
      <c r="S636" t="s">
        <v>257</v>
      </c>
      <c r="T636" s="1">
        <v>42339</v>
      </c>
      <c r="U636" s="1">
        <v>42339</v>
      </c>
      <c r="V636" t="s">
        <v>260</v>
      </c>
      <c r="W636">
        <v>35300000</v>
      </c>
      <c r="X636">
        <v>35300000</v>
      </c>
      <c r="Y636" t="s">
        <v>270</v>
      </c>
      <c r="Z636">
        <v>10600000</v>
      </c>
      <c r="AA636">
        <v>10600000</v>
      </c>
      <c r="AB636" t="b">
        <v>0</v>
      </c>
      <c r="AC636">
        <v>1</v>
      </c>
    </row>
    <row r="637" spans="17:29" x14ac:dyDescent="0.2">
      <c r="Q637" t="s">
        <v>2080</v>
      </c>
      <c r="R637" t="s">
        <v>2286</v>
      </c>
      <c r="S637" t="s">
        <v>257</v>
      </c>
      <c r="T637" s="1">
        <v>43800</v>
      </c>
      <c r="U637" s="1">
        <v>43800</v>
      </c>
      <c r="V637" t="s">
        <v>260</v>
      </c>
      <c r="W637">
        <v>97100000</v>
      </c>
      <c r="X637">
        <v>97100000</v>
      </c>
      <c r="Y637" t="s">
        <v>270</v>
      </c>
      <c r="Z637">
        <v>24600000</v>
      </c>
      <c r="AA637">
        <v>24600000</v>
      </c>
      <c r="AB637" t="b">
        <v>1</v>
      </c>
      <c r="AC637">
        <v>1</v>
      </c>
    </row>
    <row r="638" spans="17:29" x14ac:dyDescent="0.2">
      <c r="Q638" t="s">
        <v>2080</v>
      </c>
      <c r="R638" t="s">
        <v>2286</v>
      </c>
      <c r="S638" t="s">
        <v>257</v>
      </c>
      <c r="T638" s="1">
        <v>43435</v>
      </c>
      <c r="U638" s="1">
        <v>43435</v>
      </c>
      <c r="V638" t="s">
        <v>260</v>
      </c>
      <c r="W638">
        <v>139600000</v>
      </c>
      <c r="X638">
        <v>139600000</v>
      </c>
      <c r="Y638" t="s">
        <v>270</v>
      </c>
      <c r="Z638">
        <v>38200000</v>
      </c>
      <c r="AA638">
        <v>38200000</v>
      </c>
      <c r="AB638" t="b">
        <v>1</v>
      </c>
      <c r="AC638">
        <v>1</v>
      </c>
    </row>
    <row r="639" spans="17:29" x14ac:dyDescent="0.2">
      <c r="Q639" t="s">
        <v>2080</v>
      </c>
      <c r="R639" t="s">
        <v>2286</v>
      </c>
      <c r="S639" t="s">
        <v>257</v>
      </c>
      <c r="T639" s="1">
        <v>43070</v>
      </c>
      <c r="U639" s="1">
        <v>43070</v>
      </c>
      <c r="V639" t="s">
        <v>260</v>
      </c>
      <c r="W639">
        <v>134400000</v>
      </c>
      <c r="X639">
        <v>134400000</v>
      </c>
      <c r="Y639" t="s">
        <v>270</v>
      </c>
      <c r="Z639">
        <v>42100000</v>
      </c>
      <c r="AA639">
        <v>42100000</v>
      </c>
      <c r="AB639" t="b">
        <v>1</v>
      </c>
      <c r="AC639">
        <v>1</v>
      </c>
    </row>
    <row r="640" spans="17:29" x14ac:dyDescent="0.2">
      <c r="Q640" t="s">
        <v>2080</v>
      </c>
      <c r="R640" t="s">
        <v>2286</v>
      </c>
      <c r="S640" t="s">
        <v>257</v>
      </c>
      <c r="T640" s="1">
        <v>42705</v>
      </c>
      <c r="U640" s="1">
        <v>42705</v>
      </c>
      <c r="V640" t="s">
        <v>260</v>
      </c>
      <c r="W640">
        <v>128300000</v>
      </c>
      <c r="X640">
        <v>128300000</v>
      </c>
      <c r="Y640" t="s">
        <v>270</v>
      </c>
      <c r="Z640">
        <v>36800000</v>
      </c>
      <c r="AA640">
        <v>36800000</v>
      </c>
      <c r="AB640" t="b">
        <v>1</v>
      </c>
      <c r="AC640">
        <v>1</v>
      </c>
    </row>
    <row r="641" spans="17:29" x14ac:dyDescent="0.2">
      <c r="Q641" t="s">
        <v>2080</v>
      </c>
      <c r="R641" t="s">
        <v>2286</v>
      </c>
      <c r="S641" t="s">
        <v>257</v>
      </c>
      <c r="T641" s="1">
        <v>42339</v>
      </c>
      <c r="U641" s="1">
        <v>42339</v>
      </c>
      <c r="V641" t="s">
        <v>260</v>
      </c>
      <c r="W641">
        <v>118200000</v>
      </c>
      <c r="X641">
        <v>118200000</v>
      </c>
      <c r="Y641" t="s">
        <v>270</v>
      </c>
      <c r="Z641">
        <v>35400000</v>
      </c>
      <c r="AA641">
        <v>35400000</v>
      </c>
      <c r="AB641" t="b">
        <v>1</v>
      </c>
      <c r="AC641">
        <v>1</v>
      </c>
    </row>
    <row r="642" spans="17:29" x14ac:dyDescent="0.2">
      <c r="Q642" t="s">
        <v>2082</v>
      </c>
      <c r="R642" t="s">
        <v>2286</v>
      </c>
      <c r="S642" t="s">
        <v>257</v>
      </c>
      <c r="T642" s="1">
        <v>43800</v>
      </c>
      <c r="U642" s="1">
        <v>43800</v>
      </c>
      <c r="V642" t="s">
        <v>260</v>
      </c>
      <c r="W642">
        <v>97100000</v>
      </c>
      <c r="X642">
        <v>97100000</v>
      </c>
      <c r="Y642" t="s">
        <v>270</v>
      </c>
      <c r="Z642">
        <v>24600000</v>
      </c>
      <c r="AA642">
        <v>24600000</v>
      </c>
      <c r="AB642" t="b">
        <v>1</v>
      </c>
      <c r="AC642">
        <v>1</v>
      </c>
    </row>
    <row r="643" spans="17:29" x14ac:dyDescent="0.2">
      <c r="Q643" t="s">
        <v>2082</v>
      </c>
      <c r="R643" t="s">
        <v>2286</v>
      </c>
      <c r="S643" t="s">
        <v>257</v>
      </c>
      <c r="T643" s="1">
        <v>43435</v>
      </c>
      <c r="U643" s="1">
        <v>43435</v>
      </c>
      <c r="V643" t="s">
        <v>260</v>
      </c>
      <c r="W643">
        <v>139600000</v>
      </c>
      <c r="X643">
        <v>139600000</v>
      </c>
      <c r="Y643" t="s">
        <v>270</v>
      </c>
      <c r="Z643">
        <v>38200000</v>
      </c>
      <c r="AA643">
        <v>38200000</v>
      </c>
      <c r="AB643" t="b">
        <v>1</v>
      </c>
      <c r="AC643">
        <v>1</v>
      </c>
    </row>
    <row r="644" spans="17:29" x14ac:dyDescent="0.2">
      <c r="Q644" t="s">
        <v>2082</v>
      </c>
      <c r="R644" t="s">
        <v>2286</v>
      </c>
      <c r="S644" t="s">
        <v>257</v>
      </c>
      <c r="T644" s="1">
        <v>43070</v>
      </c>
      <c r="U644" s="1">
        <v>43070</v>
      </c>
      <c r="V644" t="s">
        <v>260</v>
      </c>
      <c r="W644">
        <v>134400000</v>
      </c>
      <c r="X644">
        <v>134400000</v>
      </c>
      <c r="Y644" t="s">
        <v>270</v>
      </c>
      <c r="Z644">
        <v>42100000</v>
      </c>
      <c r="AA644">
        <v>42100000</v>
      </c>
      <c r="AB644" t="b">
        <v>1</v>
      </c>
      <c r="AC644">
        <v>1</v>
      </c>
    </row>
    <row r="645" spans="17:29" x14ac:dyDescent="0.2">
      <c r="Q645" t="s">
        <v>2082</v>
      </c>
      <c r="R645" t="s">
        <v>2286</v>
      </c>
      <c r="S645" t="s">
        <v>257</v>
      </c>
      <c r="T645" s="1">
        <v>42705</v>
      </c>
      <c r="U645" s="1">
        <v>42705</v>
      </c>
      <c r="V645" t="s">
        <v>260</v>
      </c>
      <c r="W645">
        <v>128300000</v>
      </c>
      <c r="X645">
        <v>128300000</v>
      </c>
      <c r="Y645" t="s">
        <v>270</v>
      </c>
      <c r="Z645">
        <v>36800000</v>
      </c>
      <c r="AA645">
        <v>36800000</v>
      </c>
      <c r="AB645" t="b">
        <v>1</v>
      </c>
      <c r="AC645">
        <v>1</v>
      </c>
    </row>
    <row r="646" spans="17:29" x14ac:dyDescent="0.2">
      <c r="Q646" t="s">
        <v>2082</v>
      </c>
      <c r="R646" t="s">
        <v>2286</v>
      </c>
      <c r="S646" t="s">
        <v>257</v>
      </c>
      <c r="T646" s="1">
        <v>42339</v>
      </c>
      <c r="U646" s="1">
        <v>42339</v>
      </c>
      <c r="V646" t="s">
        <v>260</v>
      </c>
      <c r="W646">
        <v>118200000</v>
      </c>
      <c r="X646">
        <v>118200000</v>
      </c>
      <c r="Y646" t="s">
        <v>270</v>
      </c>
      <c r="Z646">
        <v>35400000</v>
      </c>
      <c r="AA646">
        <v>35400000</v>
      </c>
      <c r="AB646" t="b">
        <v>1</v>
      </c>
      <c r="AC646">
        <v>1</v>
      </c>
    </row>
    <row r="647" spans="17:29" x14ac:dyDescent="0.2">
      <c r="Q647" t="s">
        <v>2080</v>
      </c>
      <c r="R647" t="s">
        <v>2287</v>
      </c>
      <c r="S647" t="s">
        <v>257</v>
      </c>
      <c r="T647" s="1">
        <v>43800</v>
      </c>
      <c r="U647" s="1">
        <v>43800</v>
      </c>
      <c r="V647" t="s">
        <v>260</v>
      </c>
      <c r="W647">
        <v>185600000</v>
      </c>
      <c r="X647">
        <v>185600000</v>
      </c>
      <c r="Y647" t="s">
        <v>270</v>
      </c>
      <c r="Z647">
        <v>47000000</v>
      </c>
      <c r="AA647">
        <v>47000000</v>
      </c>
      <c r="AB647" t="b">
        <v>1</v>
      </c>
      <c r="AC647">
        <v>1</v>
      </c>
    </row>
    <row r="648" spans="17:29" x14ac:dyDescent="0.2">
      <c r="Q648" t="s">
        <v>2080</v>
      </c>
      <c r="R648" t="s">
        <v>2287</v>
      </c>
      <c r="S648" t="s">
        <v>257</v>
      </c>
      <c r="T648" s="1">
        <v>43435</v>
      </c>
      <c r="U648" s="1">
        <v>43435</v>
      </c>
      <c r="V648" t="s">
        <v>260</v>
      </c>
      <c r="W648">
        <v>199600000</v>
      </c>
      <c r="X648">
        <v>199600000</v>
      </c>
      <c r="Y648" t="s">
        <v>270</v>
      </c>
      <c r="Z648">
        <v>54600000</v>
      </c>
      <c r="AA648">
        <v>54600000</v>
      </c>
      <c r="AB648" t="b">
        <v>1</v>
      </c>
      <c r="AC648">
        <v>1</v>
      </c>
    </row>
    <row r="649" spans="17:29" x14ac:dyDescent="0.2">
      <c r="Q649" t="s">
        <v>2080</v>
      </c>
      <c r="R649" t="s">
        <v>2287</v>
      </c>
      <c r="S649" t="s">
        <v>257</v>
      </c>
      <c r="T649" s="1">
        <v>43070</v>
      </c>
      <c r="U649" s="1">
        <v>43070</v>
      </c>
      <c r="V649" t="s">
        <v>260</v>
      </c>
      <c r="W649">
        <v>100800000</v>
      </c>
      <c r="X649">
        <v>100800000</v>
      </c>
      <c r="Y649" t="s">
        <v>270</v>
      </c>
      <c r="Z649">
        <v>31600000</v>
      </c>
      <c r="AA649">
        <v>31600000</v>
      </c>
      <c r="AB649" t="b">
        <v>1</v>
      </c>
      <c r="AC649">
        <v>1</v>
      </c>
    </row>
    <row r="650" spans="17:29" x14ac:dyDescent="0.2">
      <c r="Q650" t="s">
        <v>2080</v>
      </c>
      <c r="R650" t="s">
        <v>2287</v>
      </c>
      <c r="S650" t="s">
        <v>257</v>
      </c>
      <c r="T650" s="1">
        <v>42705</v>
      </c>
      <c r="U650" s="1">
        <v>42705</v>
      </c>
      <c r="V650" t="s">
        <v>260</v>
      </c>
      <c r="W650">
        <v>288500000</v>
      </c>
      <c r="X650">
        <v>288500000</v>
      </c>
      <c r="Y650" t="s">
        <v>270</v>
      </c>
      <c r="Z650">
        <v>82800000</v>
      </c>
      <c r="AA650">
        <v>82800000</v>
      </c>
      <c r="AB650" t="b">
        <v>1</v>
      </c>
      <c r="AC650">
        <v>1</v>
      </c>
    </row>
    <row r="651" spans="17:29" x14ac:dyDescent="0.2">
      <c r="Q651" t="s">
        <v>2080</v>
      </c>
      <c r="R651" t="s">
        <v>2287</v>
      </c>
      <c r="S651" t="s">
        <v>257</v>
      </c>
      <c r="T651" s="1">
        <v>42339</v>
      </c>
      <c r="U651" s="1">
        <v>42339</v>
      </c>
      <c r="V651" t="s">
        <v>260</v>
      </c>
      <c r="W651">
        <v>235300000</v>
      </c>
      <c r="X651">
        <v>235300000</v>
      </c>
      <c r="Y651" t="s">
        <v>270</v>
      </c>
      <c r="Z651">
        <v>70500000</v>
      </c>
      <c r="AA651">
        <v>70500000</v>
      </c>
      <c r="AB651" t="b">
        <v>1</v>
      </c>
      <c r="AC651">
        <v>1</v>
      </c>
    </row>
    <row r="652" spans="17:29" x14ac:dyDescent="0.2">
      <c r="Q652" t="s">
        <v>2082</v>
      </c>
      <c r="R652" t="s">
        <v>2287</v>
      </c>
      <c r="S652" t="s">
        <v>257</v>
      </c>
      <c r="T652" s="1">
        <v>43800</v>
      </c>
      <c r="U652" s="1">
        <v>43800</v>
      </c>
      <c r="V652" t="s">
        <v>260</v>
      </c>
      <c r="W652">
        <v>185600000</v>
      </c>
      <c r="X652">
        <v>185600000</v>
      </c>
      <c r="Y652" t="s">
        <v>270</v>
      </c>
      <c r="Z652">
        <v>47000000</v>
      </c>
      <c r="AA652">
        <v>47000000</v>
      </c>
      <c r="AB652" t="b">
        <v>1</v>
      </c>
      <c r="AC652">
        <v>1</v>
      </c>
    </row>
    <row r="653" spans="17:29" x14ac:dyDescent="0.2">
      <c r="Q653" t="s">
        <v>2082</v>
      </c>
      <c r="R653" t="s">
        <v>2287</v>
      </c>
      <c r="S653" t="s">
        <v>257</v>
      </c>
      <c r="T653" s="1">
        <v>43435</v>
      </c>
      <c r="U653" s="1">
        <v>43435</v>
      </c>
      <c r="V653" t="s">
        <v>260</v>
      </c>
      <c r="W653">
        <v>199600000</v>
      </c>
      <c r="X653">
        <v>199600000</v>
      </c>
      <c r="Y653" t="s">
        <v>270</v>
      </c>
      <c r="Z653">
        <v>54600000</v>
      </c>
      <c r="AA653">
        <v>54600000</v>
      </c>
      <c r="AB653" t="b">
        <v>1</v>
      </c>
      <c r="AC653">
        <v>1</v>
      </c>
    </row>
    <row r="654" spans="17:29" x14ac:dyDescent="0.2">
      <c r="Q654" t="s">
        <v>2082</v>
      </c>
      <c r="R654" t="s">
        <v>2287</v>
      </c>
      <c r="S654" t="s">
        <v>257</v>
      </c>
      <c r="T654" s="1">
        <v>43070</v>
      </c>
      <c r="U654" s="1">
        <v>43070</v>
      </c>
      <c r="V654" t="s">
        <v>260</v>
      </c>
      <c r="W654">
        <v>100800000</v>
      </c>
      <c r="X654">
        <v>100800000</v>
      </c>
      <c r="Y654" t="s">
        <v>270</v>
      </c>
      <c r="Z654">
        <v>31600000</v>
      </c>
      <c r="AA654">
        <v>31600000</v>
      </c>
      <c r="AB654" t="b">
        <v>1</v>
      </c>
      <c r="AC654">
        <v>1</v>
      </c>
    </row>
    <row r="655" spans="17:29" x14ac:dyDescent="0.2">
      <c r="Q655" t="s">
        <v>2082</v>
      </c>
      <c r="R655" t="s">
        <v>2287</v>
      </c>
      <c r="S655" t="s">
        <v>257</v>
      </c>
      <c r="T655" s="1">
        <v>42705</v>
      </c>
      <c r="U655" s="1">
        <v>42705</v>
      </c>
      <c r="V655" t="s">
        <v>260</v>
      </c>
      <c r="W655">
        <v>288500000</v>
      </c>
      <c r="X655">
        <v>288500000</v>
      </c>
      <c r="Y655" t="s">
        <v>270</v>
      </c>
      <c r="Z655">
        <v>82800000</v>
      </c>
      <c r="AA655">
        <v>82800000</v>
      </c>
      <c r="AB655" t="b">
        <v>1</v>
      </c>
      <c r="AC655">
        <v>1</v>
      </c>
    </row>
    <row r="656" spans="17:29" x14ac:dyDescent="0.2">
      <c r="Q656" t="s">
        <v>2082</v>
      </c>
      <c r="R656" t="s">
        <v>2287</v>
      </c>
      <c r="S656" t="s">
        <v>257</v>
      </c>
      <c r="T656" s="1">
        <v>42339</v>
      </c>
      <c r="U656" s="1">
        <v>42339</v>
      </c>
      <c r="V656" t="s">
        <v>260</v>
      </c>
      <c r="W656">
        <v>235300000</v>
      </c>
      <c r="X656">
        <v>235300000</v>
      </c>
      <c r="Y656" t="s">
        <v>270</v>
      </c>
      <c r="Z656">
        <v>70500000</v>
      </c>
      <c r="AA656">
        <v>70500000</v>
      </c>
      <c r="AB656" t="b">
        <v>1</v>
      </c>
      <c r="AC656">
        <v>1</v>
      </c>
    </row>
    <row r="657" spans="17:29" x14ac:dyDescent="0.2">
      <c r="Q657" t="s">
        <v>2208</v>
      </c>
      <c r="R657" t="s">
        <v>2288</v>
      </c>
      <c r="S657" t="s">
        <v>257</v>
      </c>
      <c r="T657" s="1">
        <v>43800</v>
      </c>
      <c r="U657" s="1">
        <v>43800</v>
      </c>
      <c r="V657" t="s">
        <v>260</v>
      </c>
      <c r="W657">
        <v>800000</v>
      </c>
      <c r="X657">
        <v>800000</v>
      </c>
      <c r="Y657" t="s">
        <v>270</v>
      </c>
      <c r="Z657">
        <v>200000</v>
      </c>
      <c r="AA657">
        <v>200000</v>
      </c>
      <c r="AB657" t="b">
        <v>1</v>
      </c>
      <c r="AC657">
        <v>1</v>
      </c>
    </row>
    <row r="658" spans="17:29" x14ac:dyDescent="0.2">
      <c r="Q658" t="s">
        <v>2208</v>
      </c>
      <c r="R658" t="s">
        <v>2288</v>
      </c>
      <c r="S658" t="s">
        <v>257</v>
      </c>
      <c r="T658" s="1">
        <v>43435</v>
      </c>
      <c r="U658" s="1">
        <v>43435</v>
      </c>
      <c r="V658" t="s">
        <v>260</v>
      </c>
      <c r="W658">
        <v>2400000</v>
      </c>
      <c r="X658">
        <v>2400000</v>
      </c>
      <c r="Y658" t="s">
        <v>270</v>
      </c>
      <c r="Z658">
        <v>700000</v>
      </c>
      <c r="AA658">
        <v>700000</v>
      </c>
      <c r="AB658" t="b">
        <v>1</v>
      </c>
      <c r="AC658">
        <v>1</v>
      </c>
    </row>
    <row r="659" spans="17:29" x14ac:dyDescent="0.2">
      <c r="Q659" t="s">
        <v>2208</v>
      </c>
      <c r="R659" t="s">
        <v>2288</v>
      </c>
      <c r="S659" t="s">
        <v>257</v>
      </c>
      <c r="T659" s="1">
        <v>43070</v>
      </c>
      <c r="U659" s="1">
        <v>43070</v>
      </c>
      <c r="V659" t="s">
        <v>260</v>
      </c>
      <c r="W659">
        <v>3000000</v>
      </c>
      <c r="X659">
        <v>3000000</v>
      </c>
      <c r="Y659" t="s">
        <v>270</v>
      </c>
      <c r="Z659">
        <v>900000</v>
      </c>
      <c r="AA659">
        <v>900000</v>
      </c>
      <c r="AB659" t="b">
        <v>1</v>
      </c>
      <c r="AC659">
        <v>1</v>
      </c>
    </row>
    <row r="660" spans="17:29" x14ac:dyDescent="0.2">
      <c r="Q660" t="s">
        <v>2208</v>
      </c>
      <c r="R660" t="s">
        <v>2288</v>
      </c>
      <c r="S660" t="s">
        <v>257</v>
      </c>
      <c r="T660" s="1">
        <v>42705</v>
      </c>
      <c r="U660" s="1">
        <v>42705</v>
      </c>
      <c r="V660" t="s">
        <v>260</v>
      </c>
      <c r="W660">
        <v>4400000</v>
      </c>
      <c r="X660">
        <v>4400000</v>
      </c>
      <c r="Y660" t="s">
        <v>270</v>
      </c>
      <c r="Z660">
        <v>1300000</v>
      </c>
      <c r="AA660">
        <v>1300000</v>
      </c>
      <c r="AB660" t="b">
        <v>1</v>
      </c>
      <c r="AC660">
        <v>1</v>
      </c>
    </row>
    <row r="661" spans="17:29" x14ac:dyDescent="0.2">
      <c r="Q661" t="s">
        <v>2208</v>
      </c>
      <c r="R661" t="s">
        <v>2288</v>
      </c>
      <c r="S661" t="s">
        <v>257</v>
      </c>
      <c r="T661" s="1">
        <v>42339</v>
      </c>
      <c r="U661" s="1">
        <v>42339</v>
      </c>
      <c r="V661" t="s">
        <v>260</v>
      </c>
      <c r="W661">
        <v>4000000</v>
      </c>
      <c r="X661">
        <v>4000000</v>
      </c>
      <c r="Y661" t="s">
        <v>270</v>
      </c>
      <c r="Z661">
        <v>1200000</v>
      </c>
      <c r="AA661">
        <v>1200000</v>
      </c>
      <c r="AB661" t="b">
        <v>1</v>
      </c>
      <c r="AC661">
        <v>1</v>
      </c>
    </row>
    <row r="662" spans="17:29" x14ac:dyDescent="0.2">
      <c r="Q662" t="s">
        <v>2210</v>
      </c>
      <c r="R662" t="s">
        <v>2288</v>
      </c>
      <c r="S662" t="s">
        <v>257</v>
      </c>
      <c r="T662" s="1">
        <v>43800</v>
      </c>
      <c r="U662" s="1">
        <v>43800</v>
      </c>
      <c r="V662" t="s">
        <v>260</v>
      </c>
      <c r="W662">
        <v>800000</v>
      </c>
      <c r="X662">
        <v>800000</v>
      </c>
      <c r="Y662" t="s">
        <v>270</v>
      </c>
      <c r="Z662">
        <v>200000</v>
      </c>
      <c r="AA662">
        <v>200000</v>
      </c>
      <c r="AB662" t="b">
        <v>1</v>
      </c>
      <c r="AC662">
        <v>1</v>
      </c>
    </row>
    <row r="663" spans="17:29" x14ac:dyDescent="0.2">
      <c r="Q663" t="s">
        <v>2210</v>
      </c>
      <c r="R663" t="s">
        <v>2288</v>
      </c>
      <c r="S663" t="s">
        <v>257</v>
      </c>
      <c r="T663" s="1">
        <v>43435</v>
      </c>
      <c r="U663" s="1">
        <v>43435</v>
      </c>
      <c r="V663" t="s">
        <v>260</v>
      </c>
      <c r="W663">
        <v>2400000</v>
      </c>
      <c r="X663">
        <v>2400000</v>
      </c>
      <c r="Y663" t="s">
        <v>270</v>
      </c>
      <c r="Z663">
        <v>700000</v>
      </c>
      <c r="AA663">
        <v>700000</v>
      </c>
      <c r="AB663" t="b">
        <v>1</v>
      </c>
      <c r="AC663">
        <v>1</v>
      </c>
    </row>
    <row r="664" spans="17:29" x14ac:dyDescent="0.2">
      <c r="Q664" t="s">
        <v>2210</v>
      </c>
      <c r="R664" t="s">
        <v>2288</v>
      </c>
      <c r="S664" t="s">
        <v>257</v>
      </c>
      <c r="T664" s="1">
        <v>43070</v>
      </c>
      <c r="U664" s="1">
        <v>43070</v>
      </c>
      <c r="V664" t="s">
        <v>260</v>
      </c>
      <c r="W664">
        <v>3000000</v>
      </c>
      <c r="X664">
        <v>3000000</v>
      </c>
      <c r="Y664" t="s">
        <v>270</v>
      </c>
      <c r="Z664">
        <v>900000</v>
      </c>
      <c r="AA664">
        <v>900000</v>
      </c>
      <c r="AB664" t="b">
        <v>1</v>
      </c>
      <c r="AC664">
        <v>1</v>
      </c>
    </row>
    <row r="665" spans="17:29" x14ac:dyDescent="0.2">
      <c r="Q665" t="s">
        <v>2210</v>
      </c>
      <c r="R665" t="s">
        <v>2288</v>
      </c>
      <c r="S665" t="s">
        <v>257</v>
      </c>
      <c r="T665" s="1">
        <v>42705</v>
      </c>
      <c r="U665" s="1">
        <v>42705</v>
      </c>
      <c r="V665" t="s">
        <v>260</v>
      </c>
      <c r="W665">
        <v>4400000</v>
      </c>
      <c r="X665">
        <v>4400000</v>
      </c>
      <c r="Y665" t="s">
        <v>270</v>
      </c>
      <c r="Z665">
        <v>1300000</v>
      </c>
      <c r="AA665">
        <v>1300000</v>
      </c>
      <c r="AB665" t="b">
        <v>1</v>
      </c>
      <c r="AC665">
        <v>1</v>
      </c>
    </row>
    <row r="666" spans="17:29" x14ac:dyDescent="0.2">
      <c r="Q666" t="s">
        <v>2210</v>
      </c>
      <c r="R666" t="s">
        <v>2288</v>
      </c>
      <c r="S666" t="s">
        <v>257</v>
      </c>
      <c r="T666" s="1">
        <v>42339</v>
      </c>
      <c r="U666" s="1">
        <v>42339</v>
      </c>
      <c r="V666" t="s">
        <v>260</v>
      </c>
      <c r="W666">
        <v>4000000</v>
      </c>
      <c r="X666">
        <v>4000000</v>
      </c>
      <c r="Y666" t="s">
        <v>270</v>
      </c>
      <c r="Z666">
        <v>1200000</v>
      </c>
      <c r="AA666">
        <v>1200000</v>
      </c>
      <c r="AB666" t="b">
        <v>1</v>
      </c>
      <c r="AC666">
        <v>1</v>
      </c>
    </row>
    <row r="667" spans="17:29" x14ac:dyDescent="0.2">
      <c r="Q667" t="s">
        <v>2208</v>
      </c>
      <c r="R667" t="s">
        <v>2289</v>
      </c>
      <c r="S667" t="s">
        <v>257</v>
      </c>
      <c r="T667" s="1">
        <v>43800</v>
      </c>
      <c r="U667" s="1">
        <v>43800</v>
      </c>
      <c r="V667" t="s">
        <v>260</v>
      </c>
      <c r="W667">
        <v>2200000</v>
      </c>
      <c r="X667">
        <v>2200000</v>
      </c>
      <c r="Y667" t="s">
        <v>270</v>
      </c>
      <c r="Z667">
        <v>600000</v>
      </c>
      <c r="AA667">
        <v>600000</v>
      </c>
      <c r="AB667" t="b">
        <v>1</v>
      </c>
      <c r="AC667">
        <v>1</v>
      </c>
    </row>
    <row r="668" spans="17:29" x14ac:dyDescent="0.2">
      <c r="Q668" t="s">
        <v>2208</v>
      </c>
      <c r="R668" t="s">
        <v>2289</v>
      </c>
      <c r="S668" t="s">
        <v>257</v>
      </c>
      <c r="T668" s="1">
        <v>43435</v>
      </c>
      <c r="U668" s="1">
        <v>43435</v>
      </c>
      <c r="V668" t="s">
        <v>260</v>
      </c>
      <c r="W668">
        <v>900000</v>
      </c>
      <c r="X668">
        <v>900000</v>
      </c>
      <c r="Y668" t="s">
        <v>270</v>
      </c>
      <c r="Z668">
        <v>200000</v>
      </c>
      <c r="AA668">
        <v>200000</v>
      </c>
      <c r="AB668" t="b">
        <v>1</v>
      </c>
      <c r="AC668">
        <v>1</v>
      </c>
    </row>
    <row r="669" spans="17:29" x14ac:dyDescent="0.2">
      <c r="Q669" t="s">
        <v>2208</v>
      </c>
      <c r="R669" t="s">
        <v>2289</v>
      </c>
      <c r="S669" t="s">
        <v>257</v>
      </c>
      <c r="T669" s="1">
        <v>43070</v>
      </c>
      <c r="U669" s="1">
        <v>43070</v>
      </c>
      <c r="V669" t="s">
        <v>260</v>
      </c>
      <c r="W669">
        <v>1200000</v>
      </c>
      <c r="X669">
        <v>1200000</v>
      </c>
      <c r="Y669" t="s">
        <v>270</v>
      </c>
      <c r="Z669">
        <v>400000</v>
      </c>
      <c r="AA669">
        <v>400000</v>
      </c>
      <c r="AB669" t="b">
        <v>1</v>
      </c>
      <c r="AC669">
        <v>1</v>
      </c>
    </row>
    <row r="670" spans="17:29" x14ac:dyDescent="0.2">
      <c r="Q670" t="s">
        <v>2208</v>
      </c>
      <c r="R670" t="s">
        <v>2289</v>
      </c>
      <c r="S670" t="s">
        <v>257</v>
      </c>
      <c r="T670" s="1">
        <v>42705</v>
      </c>
      <c r="U670" s="1">
        <v>42705</v>
      </c>
      <c r="V670" t="s">
        <v>260</v>
      </c>
      <c r="W670">
        <v>700000</v>
      </c>
      <c r="X670">
        <v>700000</v>
      </c>
      <c r="Y670" t="s">
        <v>270</v>
      </c>
      <c r="Z670">
        <v>200000</v>
      </c>
      <c r="AA670">
        <v>200000</v>
      </c>
      <c r="AB670" t="b">
        <v>1</v>
      </c>
      <c r="AC670">
        <v>1</v>
      </c>
    </row>
    <row r="671" spans="17:29" x14ac:dyDescent="0.2">
      <c r="Q671" t="s">
        <v>2208</v>
      </c>
      <c r="R671" t="s">
        <v>2289</v>
      </c>
      <c r="S671" t="s">
        <v>257</v>
      </c>
      <c r="T671" s="1">
        <v>42339</v>
      </c>
      <c r="U671" s="1">
        <v>42339</v>
      </c>
      <c r="V671" t="s">
        <v>260</v>
      </c>
      <c r="W671">
        <v>300000</v>
      </c>
      <c r="X671">
        <v>300000</v>
      </c>
      <c r="Y671" t="s">
        <v>270</v>
      </c>
      <c r="Z671">
        <v>100000</v>
      </c>
      <c r="AA671">
        <v>100000</v>
      </c>
      <c r="AB671" t="b">
        <v>1</v>
      </c>
      <c r="AC671">
        <v>1</v>
      </c>
    </row>
    <row r="672" spans="17:29" x14ac:dyDescent="0.2">
      <c r="Q672" t="s">
        <v>2210</v>
      </c>
      <c r="R672" t="s">
        <v>2289</v>
      </c>
      <c r="S672" t="s">
        <v>257</v>
      </c>
      <c r="T672" s="1">
        <v>43800</v>
      </c>
      <c r="U672" s="1">
        <v>43800</v>
      </c>
      <c r="V672" t="s">
        <v>260</v>
      </c>
      <c r="W672">
        <v>2200000</v>
      </c>
      <c r="X672">
        <v>2200000</v>
      </c>
      <c r="Y672" t="s">
        <v>270</v>
      </c>
      <c r="Z672">
        <v>600000</v>
      </c>
      <c r="AA672">
        <v>600000</v>
      </c>
      <c r="AB672" t="b">
        <v>1</v>
      </c>
      <c r="AC672">
        <v>1</v>
      </c>
    </row>
    <row r="673" spans="17:29" x14ac:dyDescent="0.2">
      <c r="Q673" t="s">
        <v>2210</v>
      </c>
      <c r="R673" t="s">
        <v>2289</v>
      </c>
      <c r="S673" t="s">
        <v>257</v>
      </c>
      <c r="T673" s="1">
        <v>43435</v>
      </c>
      <c r="U673" s="1">
        <v>43435</v>
      </c>
      <c r="V673" t="s">
        <v>260</v>
      </c>
      <c r="W673">
        <v>900000</v>
      </c>
      <c r="X673">
        <v>900000</v>
      </c>
      <c r="Y673" t="s">
        <v>270</v>
      </c>
      <c r="Z673">
        <v>200000</v>
      </c>
      <c r="AA673">
        <v>200000</v>
      </c>
      <c r="AB673" t="b">
        <v>1</v>
      </c>
      <c r="AC673">
        <v>1</v>
      </c>
    </row>
    <row r="674" spans="17:29" x14ac:dyDescent="0.2">
      <c r="Q674" t="s">
        <v>2210</v>
      </c>
      <c r="R674" t="s">
        <v>2289</v>
      </c>
      <c r="S674" t="s">
        <v>257</v>
      </c>
      <c r="T674" s="1">
        <v>43070</v>
      </c>
      <c r="U674" s="1">
        <v>43070</v>
      </c>
      <c r="V674" t="s">
        <v>260</v>
      </c>
      <c r="W674">
        <v>1200000</v>
      </c>
      <c r="X674">
        <v>1200000</v>
      </c>
      <c r="Y674" t="s">
        <v>270</v>
      </c>
      <c r="Z674">
        <v>400000</v>
      </c>
      <c r="AA674">
        <v>400000</v>
      </c>
      <c r="AB674" t="b">
        <v>1</v>
      </c>
      <c r="AC674">
        <v>1</v>
      </c>
    </row>
    <row r="675" spans="17:29" x14ac:dyDescent="0.2">
      <c r="Q675" t="s">
        <v>2210</v>
      </c>
      <c r="R675" t="s">
        <v>2289</v>
      </c>
      <c r="S675" t="s">
        <v>257</v>
      </c>
      <c r="T675" s="1">
        <v>42705</v>
      </c>
      <c r="U675" s="1">
        <v>42705</v>
      </c>
      <c r="V675" t="s">
        <v>260</v>
      </c>
      <c r="W675">
        <v>700000</v>
      </c>
      <c r="X675">
        <v>700000</v>
      </c>
      <c r="Y675" t="s">
        <v>270</v>
      </c>
      <c r="Z675">
        <v>200000</v>
      </c>
      <c r="AA675">
        <v>200000</v>
      </c>
      <c r="AB675" t="b">
        <v>1</v>
      </c>
      <c r="AC675">
        <v>1</v>
      </c>
    </row>
    <row r="676" spans="17:29" x14ac:dyDescent="0.2">
      <c r="Q676" t="s">
        <v>2210</v>
      </c>
      <c r="R676" t="s">
        <v>2289</v>
      </c>
      <c r="S676" t="s">
        <v>257</v>
      </c>
      <c r="T676" s="1">
        <v>42339</v>
      </c>
      <c r="U676" s="1">
        <v>42339</v>
      </c>
      <c r="V676" t="s">
        <v>260</v>
      </c>
      <c r="W676">
        <v>300000</v>
      </c>
      <c r="X676">
        <v>300000</v>
      </c>
      <c r="Y676" t="s">
        <v>270</v>
      </c>
      <c r="Z676">
        <v>100000</v>
      </c>
      <c r="AA676">
        <v>100000</v>
      </c>
      <c r="AB676" t="b">
        <v>1</v>
      </c>
      <c r="AC676">
        <v>1</v>
      </c>
    </row>
    <row r="677" spans="17:29" x14ac:dyDescent="0.2">
      <c r="Q677" t="s">
        <v>2290</v>
      </c>
      <c r="R677" t="s">
        <v>2291</v>
      </c>
      <c r="S677" t="s">
        <v>257</v>
      </c>
      <c r="T677" s="1">
        <v>43800</v>
      </c>
      <c r="U677" s="1">
        <v>43800</v>
      </c>
      <c r="V677" t="s">
        <v>260</v>
      </c>
      <c r="W677">
        <v>16900000</v>
      </c>
      <c r="X677">
        <v>16900000</v>
      </c>
      <c r="Y677" t="s">
        <v>270</v>
      </c>
      <c r="Z677">
        <v>4300000</v>
      </c>
      <c r="AA677">
        <v>4300000</v>
      </c>
      <c r="AB677" t="b">
        <v>1</v>
      </c>
      <c r="AC677">
        <v>1</v>
      </c>
    </row>
    <row r="678" spans="17:29" x14ac:dyDescent="0.2">
      <c r="Q678" t="s">
        <v>2290</v>
      </c>
      <c r="R678" t="s">
        <v>2291</v>
      </c>
      <c r="S678" t="s">
        <v>257</v>
      </c>
      <c r="T678" s="1">
        <v>43435</v>
      </c>
      <c r="U678" s="1">
        <v>43435</v>
      </c>
      <c r="V678" t="s">
        <v>260</v>
      </c>
      <c r="W678">
        <v>2900000</v>
      </c>
      <c r="X678">
        <v>2900000</v>
      </c>
      <c r="Y678" t="s">
        <v>270</v>
      </c>
      <c r="Z678">
        <v>800000</v>
      </c>
      <c r="AA678">
        <v>800000</v>
      </c>
      <c r="AB678" t="b">
        <v>1</v>
      </c>
      <c r="AC678">
        <v>1</v>
      </c>
    </row>
    <row r="679" spans="17:29" x14ac:dyDescent="0.2">
      <c r="Q679" t="s">
        <v>2290</v>
      </c>
      <c r="R679" t="s">
        <v>2291</v>
      </c>
      <c r="S679" t="s">
        <v>257</v>
      </c>
      <c r="T679" s="1">
        <v>43070</v>
      </c>
      <c r="U679" s="1">
        <v>43070</v>
      </c>
      <c r="V679" t="s">
        <v>260</v>
      </c>
      <c r="W679">
        <v>46600000</v>
      </c>
      <c r="X679">
        <v>46600000</v>
      </c>
      <c r="Y679" t="s">
        <v>270</v>
      </c>
      <c r="Z679">
        <v>14600000</v>
      </c>
      <c r="AA679">
        <v>14600000</v>
      </c>
      <c r="AB679" t="b">
        <v>1</v>
      </c>
      <c r="AC679">
        <v>1</v>
      </c>
    </row>
    <row r="680" spans="17:29" x14ac:dyDescent="0.2">
      <c r="Q680" t="s">
        <v>2290</v>
      </c>
      <c r="R680" t="s">
        <v>2291</v>
      </c>
      <c r="S680" t="s">
        <v>257</v>
      </c>
      <c r="T680" s="1">
        <v>42705</v>
      </c>
      <c r="U680" s="1">
        <v>42705</v>
      </c>
      <c r="V680" t="s">
        <v>260</v>
      </c>
      <c r="W680">
        <v>4900000</v>
      </c>
      <c r="X680">
        <v>4900000</v>
      </c>
      <c r="Y680" t="s">
        <v>270</v>
      </c>
      <c r="Z680">
        <v>1400000</v>
      </c>
      <c r="AA680">
        <v>1400000</v>
      </c>
      <c r="AB680" t="b">
        <v>1</v>
      </c>
      <c r="AC680">
        <v>1</v>
      </c>
    </row>
    <row r="681" spans="17:29" x14ac:dyDescent="0.2">
      <c r="Q681" t="s">
        <v>2292</v>
      </c>
      <c r="R681" t="s">
        <v>2291</v>
      </c>
      <c r="S681" t="s">
        <v>257</v>
      </c>
      <c r="T681" s="1">
        <v>43800</v>
      </c>
      <c r="U681" s="1">
        <v>43800</v>
      </c>
      <c r="V681" t="s">
        <v>260</v>
      </c>
      <c r="W681">
        <v>16900000</v>
      </c>
      <c r="X681">
        <v>16900000</v>
      </c>
      <c r="Y681" t="s">
        <v>270</v>
      </c>
      <c r="Z681">
        <v>4300000</v>
      </c>
      <c r="AA681">
        <v>4300000</v>
      </c>
      <c r="AB681" t="b">
        <v>1</v>
      </c>
      <c r="AC681">
        <v>1</v>
      </c>
    </row>
    <row r="682" spans="17:29" x14ac:dyDescent="0.2">
      <c r="Q682" t="s">
        <v>2292</v>
      </c>
      <c r="R682" t="s">
        <v>2291</v>
      </c>
      <c r="S682" t="s">
        <v>257</v>
      </c>
      <c r="T682" s="1">
        <v>43435</v>
      </c>
      <c r="U682" s="1">
        <v>43435</v>
      </c>
      <c r="V682" t="s">
        <v>260</v>
      </c>
      <c r="W682">
        <v>2900000</v>
      </c>
      <c r="X682">
        <v>2900000</v>
      </c>
      <c r="Y682" t="s">
        <v>270</v>
      </c>
      <c r="Z682">
        <v>800000</v>
      </c>
      <c r="AA682">
        <v>800000</v>
      </c>
      <c r="AB682" t="b">
        <v>1</v>
      </c>
      <c r="AC682">
        <v>1</v>
      </c>
    </row>
    <row r="683" spans="17:29" x14ac:dyDescent="0.2">
      <c r="Q683" t="s">
        <v>2292</v>
      </c>
      <c r="R683" t="s">
        <v>2291</v>
      </c>
      <c r="S683" t="s">
        <v>257</v>
      </c>
      <c r="T683" s="1">
        <v>43070</v>
      </c>
      <c r="U683" s="1">
        <v>43070</v>
      </c>
      <c r="V683" t="s">
        <v>260</v>
      </c>
      <c r="W683">
        <v>46600000</v>
      </c>
      <c r="X683">
        <v>46600000</v>
      </c>
      <c r="Y683" t="s">
        <v>270</v>
      </c>
      <c r="Z683">
        <v>14600000</v>
      </c>
      <c r="AA683">
        <v>14600000</v>
      </c>
      <c r="AB683" t="b">
        <v>1</v>
      </c>
      <c r="AC683">
        <v>1</v>
      </c>
    </row>
    <row r="684" spans="17:29" x14ac:dyDescent="0.2">
      <c r="Q684" t="s">
        <v>2292</v>
      </c>
      <c r="R684" t="s">
        <v>2291</v>
      </c>
      <c r="S684" t="s">
        <v>257</v>
      </c>
      <c r="T684" s="1">
        <v>42705</v>
      </c>
      <c r="U684" s="1">
        <v>42705</v>
      </c>
      <c r="V684" t="s">
        <v>260</v>
      </c>
      <c r="W684">
        <v>4900000</v>
      </c>
      <c r="X684">
        <v>4900000</v>
      </c>
      <c r="Y684" t="s">
        <v>270</v>
      </c>
      <c r="Z684">
        <v>1400000</v>
      </c>
      <c r="AA684">
        <v>1400000</v>
      </c>
      <c r="AB684" t="b">
        <v>1</v>
      </c>
      <c r="AC684">
        <v>1</v>
      </c>
    </row>
    <row r="685" spans="17:29" x14ac:dyDescent="0.2">
      <c r="Q685" t="s">
        <v>2141</v>
      </c>
      <c r="R685" t="s">
        <v>2293</v>
      </c>
      <c r="S685" t="s">
        <v>257</v>
      </c>
      <c r="T685" s="1">
        <v>43800</v>
      </c>
      <c r="U685" s="1">
        <v>43800</v>
      </c>
      <c r="V685" t="s">
        <v>260</v>
      </c>
      <c r="W685">
        <v>7800000</v>
      </c>
      <c r="X685">
        <v>7800000</v>
      </c>
      <c r="Y685" t="s">
        <v>270</v>
      </c>
      <c r="Z685">
        <v>2000000</v>
      </c>
      <c r="AA685">
        <v>2000000</v>
      </c>
      <c r="AB685" t="b">
        <v>1</v>
      </c>
      <c r="AC685">
        <v>1</v>
      </c>
    </row>
    <row r="686" spans="17:29" x14ac:dyDescent="0.2">
      <c r="Q686" t="s">
        <v>2141</v>
      </c>
      <c r="R686" t="s">
        <v>2293</v>
      </c>
      <c r="S686" t="s">
        <v>257</v>
      </c>
      <c r="T686" s="1">
        <v>43435</v>
      </c>
      <c r="U686" s="1">
        <v>43435</v>
      </c>
      <c r="V686" t="s">
        <v>260</v>
      </c>
      <c r="W686">
        <v>600000</v>
      </c>
      <c r="X686">
        <v>600000</v>
      </c>
      <c r="Y686" t="s">
        <v>270</v>
      </c>
      <c r="Z686">
        <v>200000</v>
      </c>
      <c r="AA686">
        <v>200000</v>
      </c>
      <c r="AB686" t="b">
        <v>1</v>
      </c>
      <c r="AC686">
        <v>1</v>
      </c>
    </row>
    <row r="687" spans="17:29" x14ac:dyDescent="0.2">
      <c r="Q687" t="s">
        <v>2141</v>
      </c>
      <c r="R687" t="s">
        <v>2293</v>
      </c>
      <c r="S687" t="s">
        <v>257</v>
      </c>
      <c r="T687" s="1">
        <v>43070</v>
      </c>
      <c r="U687" s="1">
        <v>43070</v>
      </c>
      <c r="V687" t="s">
        <v>260</v>
      </c>
      <c r="W687">
        <v>900000</v>
      </c>
      <c r="X687">
        <v>900000</v>
      </c>
      <c r="Y687" t="s">
        <v>270</v>
      </c>
      <c r="Z687">
        <v>300000</v>
      </c>
      <c r="AA687">
        <v>300000</v>
      </c>
      <c r="AB687" t="b">
        <v>1</v>
      </c>
      <c r="AC687">
        <v>1</v>
      </c>
    </row>
    <row r="688" spans="17:29" x14ac:dyDescent="0.2">
      <c r="Q688" t="s">
        <v>2141</v>
      </c>
      <c r="R688" t="s">
        <v>2293</v>
      </c>
      <c r="S688" t="s">
        <v>257</v>
      </c>
      <c r="T688" s="1">
        <v>42705</v>
      </c>
      <c r="U688" s="1">
        <v>42705</v>
      </c>
      <c r="V688" t="s">
        <v>260</v>
      </c>
      <c r="W688">
        <v>900000</v>
      </c>
      <c r="X688">
        <v>900000</v>
      </c>
      <c r="Y688" t="s">
        <v>270</v>
      </c>
      <c r="Z688">
        <v>300000</v>
      </c>
      <c r="AA688">
        <v>300000</v>
      </c>
      <c r="AB688" t="b">
        <v>1</v>
      </c>
      <c r="AC688">
        <v>1</v>
      </c>
    </row>
    <row r="689" spans="17:29" x14ac:dyDescent="0.2">
      <c r="Q689" t="s">
        <v>2036</v>
      </c>
      <c r="R689" t="s">
        <v>2293</v>
      </c>
      <c r="S689" t="s">
        <v>257</v>
      </c>
      <c r="T689" s="1">
        <v>43800</v>
      </c>
      <c r="U689" s="1">
        <v>43800</v>
      </c>
      <c r="V689" t="s">
        <v>260</v>
      </c>
      <c r="W689">
        <v>7800000</v>
      </c>
      <c r="X689">
        <v>7800000</v>
      </c>
      <c r="Y689" t="s">
        <v>270</v>
      </c>
      <c r="Z689">
        <v>2000000</v>
      </c>
      <c r="AA689">
        <v>2000000</v>
      </c>
      <c r="AB689" t="b">
        <v>1</v>
      </c>
      <c r="AC689">
        <v>1</v>
      </c>
    </row>
    <row r="690" spans="17:29" x14ac:dyDescent="0.2">
      <c r="Q690" t="s">
        <v>2036</v>
      </c>
      <c r="R690" t="s">
        <v>2293</v>
      </c>
      <c r="S690" t="s">
        <v>257</v>
      </c>
      <c r="T690" s="1">
        <v>43435</v>
      </c>
      <c r="U690" s="1">
        <v>43435</v>
      </c>
      <c r="V690" t="s">
        <v>260</v>
      </c>
      <c r="W690">
        <v>600000</v>
      </c>
      <c r="X690">
        <v>600000</v>
      </c>
      <c r="Y690" t="s">
        <v>270</v>
      </c>
      <c r="Z690">
        <v>200000</v>
      </c>
      <c r="AA690">
        <v>200000</v>
      </c>
      <c r="AB690" t="b">
        <v>1</v>
      </c>
      <c r="AC690">
        <v>1</v>
      </c>
    </row>
    <row r="691" spans="17:29" x14ac:dyDescent="0.2">
      <c r="Q691" t="s">
        <v>2036</v>
      </c>
      <c r="R691" t="s">
        <v>2293</v>
      </c>
      <c r="S691" t="s">
        <v>257</v>
      </c>
      <c r="T691" s="1">
        <v>43070</v>
      </c>
      <c r="U691" s="1">
        <v>43070</v>
      </c>
      <c r="V691" t="s">
        <v>260</v>
      </c>
      <c r="W691">
        <v>900000</v>
      </c>
      <c r="X691">
        <v>900000</v>
      </c>
      <c r="Y691" t="s">
        <v>270</v>
      </c>
      <c r="Z691">
        <v>300000</v>
      </c>
      <c r="AA691">
        <v>300000</v>
      </c>
      <c r="AB691" t="b">
        <v>1</v>
      </c>
      <c r="AC691">
        <v>1</v>
      </c>
    </row>
    <row r="692" spans="17:29" x14ac:dyDescent="0.2">
      <c r="Q692" t="s">
        <v>2036</v>
      </c>
      <c r="R692" t="s">
        <v>2293</v>
      </c>
      <c r="S692" t="s">
        <v>257</v>
      </c>
      <c r="T692" s="1">
        <v>42705</v>
      </c>
      <c r="U692" s="1">
        <v>42705</v>
      </c>
      <c r="V692" t="s">
        <v>260</v>
      </c>
      <c r="W692">
        <v>900000</v>
      </c>
      <c r="X692">
        <v>900000</v>
      </c>
      <c r="Y692" t="s">
        <v>270</v>
      </c>
      <c r="Z692">
        <v>300000</v>
      </c>
      <c r="AA692">
        <v>300000</v>
      </c>
      <c r="AB692" t="b">
        <v>1</v>
      </c>
      <c r="AC692">
        <v>1</v>
      </c>
    </row>
    <row r="693" spans="17:29" x14ac:dyDescent="0.2">
      <c r="Q693" t="s">
        <v>2040</v>
      </c>
      <c r="R693" t="s">
        <v>2294</v>
      </c>
      <c r="S693" t="s">
        <v>257</v>
      </c>
      <c r="T693" s="1">
        <v>43070</v>
      </c>
      <c r="U693" s="1">
        <v>43070</v>
      </c>
      <c r="V693" t="s">
        <v>260</v>
      </c>
      <c r="W693">
        <v>100000</v>
      </c>
      <c r="X693">
        <v>100000</v>
      </c>
      <c r="Y693" t="s">
        <v>270</v>
      </c>
      <c r="Z693">
        <v>33333.33</v>
      </c>
      <c r="AA693">
        <v>33333</v>
      </c>
      <c r="AB693" t="b">
        <v>1</v>
      </c>
      <c r="AC693">
        <v>1</v>
      </c>
    </row>
    <row r="694" spans="17:29" x14ac:dyDescent="0.2">
      <c r="Q694" t="s">
        <v>2040</v>
      </c>
      <c r="R694" t="s">
        <v>2294</v>
      </c>
      <c r="S694" t="s">
        <v>257</v>
      </c>
      <c r="T694" s="1">
        <v>42705</v>
      </c>
      <c r="U694" s="1">
        <v>42705</v>
      </c>
      <c r="V694" t="s">
        <v>260</v>
      </c>
      <c r="W694">
        <v>700000</v>
      </c>
      <c r="X694">
        <v>700000</v>
      </c>
      <c r="Y694" t="s">
        <v>270</v>
      </c>
      <c r="Z694">
        <v>200000</v>
      </c>
      <c r="AA694">
        <v>200000</v>
      </c>
      <c r="AB694" t="b">
        <v>1</v>
      </c>
      <c r="AC694">
        <v>1</v>
      </c>
    </row>
    <row r="695" spans="17:29" x14ac:dyDescent="0.2">
      <c r="Q695" t="s">
        <v>1989</v>
      </c>
      <c r="R695" t="s">
        <v>2294</v>
      </c>
      <c r="S695" t="s">
        <v>257</v>
      </c>
      <c r="T695" s="1">
        <v>43070</v>
      </c>
      <c r="U695" s="1">
        <v>43070</v>
      </c>
      <c r="V695" t="s">
        <v>260</v>
      </c>
      <c r="W695">
        <v>100000</v>
      </c>
      <c r="X695">
        <v>100000</v>
      </c>
      <c r="Y695" t="s">
        <v>270</v>
      </c>
      <c r="Z695">
        <v>33333.33</v>
      </c>
      <c r="AA695">
        <v>33333</v>
      </c>
      <c r="AB695" t="b">
        <v>1</v>
      </c>
      <c r="AC695">
        <v>1</v>
      </c>
    </row>
    <row r="696" spans="17:29" x14ac:dyDescent="0.2">
      <c r="Q696" t="s">
        <v>1989</v>
      </c>
      <c r="R696" t="s">
        <v>2294</v>
      </c>
      <c r="S696" t="s">
        <v>257</v>
      </c>
      <c r="T696" s="1">
        <v>42705</v>
      </c>
      <c r="U696" s="1">
        <v>42705</v>
      </c>
      <c r="V696" t="s">
        <v>260</v>
      </c>
      <c r="W696">
        <v>700000</v>
      </c>
      <c r="X696">
        <v>700000</v>
      </c>
      <c r="Y696" t="s">
        <v>270</v>
      </c>
      <c r="Z696">
        <v>200000</v>
      </c>
      <c r="AA696">
        <v>200000</v>
      </c>
      <c r="AB696" t="b">
        <v>1</v>
      </c>
      <c r="AC696">
        <v>1</v>
      </c>
    </row>
    <row r="697" spans="17:29" x14ac:dyDescent="0.2">
      <c r="Q697" t="s">
        <v>2031</v>
      </c>
      <c r="R697" t="s">
        <v>2295</v>
      </c>
      <c r="S697" t="s">
        <v>269</v>
      </c>
      <c r="T697" s="1">
        <v>43921</v>
      </c>
      <c r="U697" s="1">
        <v>43921</v>
      </c>
      <c r="V697" t="s">
        <v>270</v>
      </c>
      <c r="W697">
        <v>48000000</v>
      </c>
      <c r="X697">
        <v>48000000</v>
      </c>
      <c r="Y697" t="s">
        <v>270</v>
      </c>
      <c r="Z697">
        <v>48000000</v>
      </c>
      <c r="AA697">
        <v>48000000</v>
      </c>
      <c r="AB697" t="b">
        <v>0</v>
      </c>
      <c r="AC697">
        <v>0.35</v>
      </c>
    </row>
    <row r="698" spans="17:29" x14ac:dyDescent="0.2">
      <c r="Q698" t="s">
        <v>1989</v>
      </c>
      <c r="R698" t="s">
        <v>2295</v>
      </c>
      <c r="S698" t="s">
        <v>269</v>
      </c>
      <c r="T698" s="1">
        <v>43921</v>
      </c>
      <c r="U698" s="1">
        <v>43921</v>
      </c>
      <c r="V698" t="s">
        <v>270</v>
      </c>
      <c r="W698">
        <v>48000000</v>
      </c>
      <c r="X698">
        <v>48000000</v>
      </c>
      <c r="Y698" t="s">
        <v>270</v>
      </c>
      <c r="Z698">
        <v>48000000</v>
      </c>
      <c r="AA698">
        <v>48000000</v>
      </c>
      <c r="AB698" t="b">
        <v>0</v>
      </c>
      <c r="AC698">
        <v>0.35</v>
      </c>
    </row>
    <row r="699" spans="17:29" x14ac:dyDescent="0.2">
      <c r="Q699" t="s">
        <v>2029</v>
      </c>
      <c r="R699" t="s">
        <v>2295</v>
      </c>
      <c r="S699" t="s">
        <v>269</v>
      </c>
      <c r="T699" s="1">
        <v>43921</v>
      </c>
      <c r="U699" s="1">
        <v>43921</v>
      </c>
      <c r="V699" t="s">
        <v>270</v>
      </c>
      <c r="W699">
        <v>48000000</v>
      </c>
      <c r="X699">
        <v>48000000</v>
      </c>
      <c r="Y699" t="s">
        <v>270</v>
      </c>
      <c r="Z699">
        <v>48000000</v>
      </c>
      <c r="AA699">
        <v>48000000</v>
      </c>
      <c r="AB699" t="b">
        <v>0</v>
      </c>
      <c r="AC699">
        <v>0.35</v>
      </c>
    </row>
    <row r="700" spans="17:29" x14ac:dyDescent="0.2">
      <c r="Q700" t="s">
        <v>2029</v>
      </c>
      <c r="R700" t="s">
        <v>2295</v>
      </c>
      <c r="S700" t="s">
        <v>269</v>
      </c>
      <c r="T700" s="1">
        <v>43921</v>
      </c>
      <c r="U700" s="1">
        <v>43921</v>
      </c>
      <c r="V700" t="s">
        <v>270</v>
      </c>
      <c r="W700">
        <v>48000000</v>
      </c>
      <c r="X700">
        <v>48000000</v>
      </c>
      <c r="Y700" t="s">
        <v>270</v>
      </c>
      <c r="Z700">
        <v>48000000</v>
      </c>
      <c r="AA700">
        <v>48000000</v>
      </c>
      <c r="AB700" t="b">
        <v>0</v>
      </c>
      <c r="AC700">
        <v>0.35</v>
      </c>
    </row>
    <row r="701" spans="17:29" x14ac:dyDescent="0.2">
      <c r="Q701" t="s">
        <v>2031</v>
      </c>
      <c r="R701" t="s">
        <v>2296</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1989</v>
      </c>
      <c r="R702" t="s">
        <v>2296</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2031</v>
      </c>
      <c r="R703" t="s">
        <v>2297</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1989</v>
      </c>
      <c r="R704" t="s">
        <v>2297</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2031</v>
      </c>
      <c r="R705" t="s">
        <v>2298</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1989</v>
      </c>
      <c r="R706" t="s">
        <v>2298</v>
      </c>
      <c r="S706" t="s">
        <v>269</v>
      </c>
      <c r="T706" s="1">
        <v>44085</v>
      </c>
      <c r="U706" s="1">
        <v>44076</v>
      </c>
      <c r="V706" t="s">
        <v>488</v>
      </c>
      <c r="W706">
        <v>641785861</v>
      </c>
      <c r="X706">
        <v>641785861</v>
      </c>
      <c r="Y706" t="s">
        <v>488</v>
      </c>
      <c r="Z706">
        <v>641785861</v>
      </c>
      <c r="AA706">
        <v>8673368</v>
      </c>
      <c r="AB706" t="b">
        <v>1</v>
      </c>
      <c r="AC706">
        <v>0.12</v>
      </c>
    </row>
    <row r="707" spans="17:29" x14ac:dyDescent="0.2">
      <c r="Q707" t="s">
        <v>2031</v>
      </c>
      <c r="R707" t="s">
        <v>2299</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1989</v>
      </c>
      <c r="R708" t="s">
        <v>2299</v>
      </c>
      <c r="S708" t="s">
        <v>269</v>
      </c>
      <c r="T708" s="1">
        <v>44098</v>
      </c>
      <c r="U708" s="1">
        <v>44076</v>
      </c>
      <c r="V708" t="s">
        <v>488</v>
      </c>
      <c r="W708">
        <v>458973114</v>
      </c>
      <c r="X708">
        <v>458973114</v>
      </c>
      <c r="Y708" t="s">
        <v>488</v>
      </c>
      <c r="Z708">
        <v>458973114</v>
      </c>
      <c r="AA708">
        <v>6202758</v>
      </c>
      <c r="AB708" t="b">
        <v>1</v>
      </c>
      <c r="AC708">
        <v>0.21</v>
      </c>
    </row>
    <row r="709" spans="17:29" x14ac:dyDescent="0.2">
      <c r="Q709" t="s">
        <v>2300</v>
      </c>
      <c r="R709" t="s">
        <v>2301</v>
      </c>
      <c r="S709" t="s">
        <v>287</v>
      </c>
      <c r="T709" s="1">
        <v>43830</v>
      </c>
      <c r="U709" s="1">
        <v>43830</v>
      </c>
      <c r="V709" t="s">
        <v>2185</v>
      </c>
      <c r="W709">
        <v>18899062000</v>
      </c>
      <c r="X709">
        <v>18899062000</v>
      </c>
      <c r="Y709" t="s">
        <v>290</v>
      </c>
      <c r="Z709">
        <v>672329</v>
      </c>
      <c r="AA709">
        <v>25241154</v>
      </c>
      <c r="AB709" t="b">
        <v>1</v>
      </c>
      <c r="AC709">
        <v>1</v>
      </c>
    </row>
    <row r="710" spans="17:29" x14ac:dyDescent="0.2">
      <c r="Q710" t="s">
        <v>2025</v>
      </c>
      <c r="R710" t="s">
        <v>2301</v>
      </c>
      <c r="S710" t="s">
        <v>287</v>
      </c>
      <c r="T710" s="1">
        <v>43830</v>
      </c>
      <c r="U710" s="1">
        <v>43830</v>
      </c>
      <c r="V710" t="s">
        <v>2185</v>
      </c>
      <c r="W710">
        <v>18899062000</v>
      </c>
      <c r="X710">
        <v>18899062000</v>
      </c>
      <c r="Y710" t="s">
        <v>290</v>
      </c>
      <c r="Z710">
        <v>672329</v>
      </c>
      <c r="AA710">
        <v>25241154</v>
      </c>
      <c r="AB710" t="b">
        <v>1</v>
      </c>
      <c r="AC710">
        <v>1</v>
      </c>
    </row>
    <row r="711" spans="17:29" x14ac:dyDescent="0.2">
      <c r="Q711" t="s">
        <v>2029</v>
      </c>
      <c r="R711" t="s">
        <v>2301</v>
      </c>
      <c r="S711" t="s">
        <v>287</v>
      </c>
      <c r="T711" s="1">
        <v>43830</v>
      </c>
      <c r="U711" s="1">
        <v>43830</v>
      </c>
      <c r="V711" t="s">
        <v>2185</v>
      </c>
      <c r="W711">
        <v>18899062000</v>
      </c>
      <c r="X711">
        <v>18899062000</v>
      </c>
      <c r="Y711" t="s">
        <v>290</v>
      </c>
      <c r="Z711">
        <v>672329</v>
      </c>
      <c r="AA711">
        <v>25241154</v>
      </c>
      <c r="AB711" t="b">
        <v>1</v>
      </c>
      <c r="AC711">
        <v>1</v>
      </c>
    </row>
    <row r="712" spans="17:29" x14ac:dyDescent="0.2">
      <c r="Q712" t="s">
        <v>2029</v>
      </c>
      <c r="R712" t="s">
        <v>2301</v>
      </c>
      <c r="S712" t="s">
        <v>287</v>
      </c>
      <c r="T712" s="1">
        <v>43830</v>
      </c>
      <c r="U712" s="1">
        <v>43830</v>
      </c>
      <c r="V712" t="s">
        <v>2185</v>
      </c>
      <c r="W712">
        <v>18899062000</v>
      </c>
      <c r="X712">
        <v>18899062000</v>
      </c>
      <c r="Y712" t="s">
        <v>290</v>
      </c>
      <c r="Z712">
        <v>672329</v>
      </c>
      <c r="AA712">
        <v>25241154</v>
      </c>
      <c r="AB712" t="b">
        <v>1</v>
      </c>
      <c r="AC712">
        <v>1</v>
      </c>
    </row>
    <row r="713" spans="17:29" x14ac:dyDescent="0.2">
      <c r="Q713" t="s">
        <v>2075</v>
      </c>
      <c r="R713" t="s">
        <v>2302</v>
      </c>
      <c r="S713" t="s">
        <v>257</v>
      </c>
      <c r="T713" s="1">
        <v>44175</v>
      </c>
      <c r="U713" s="1">
        <v>44175</v>
      </c>
      <c r="V713" t="s">
        <v>260</v>
      </c>
      <c r="W713">
        <v>424993</v>
      </c>
      <c r="X713">
        <v>424993</v>
      </c>
      <c r="Y713" t="s">
        <v>260</v>
      </c>
      <c r="Z713">
        <v>424993</v>
      </c>
      <c r="AA713">
        <v>84357</v>
      </c>
      <c r="AB713" t="b">
        <v>1</v>
      </c>
      <c r="AC713">
        <v>1</v>
      </c>
    </row>
    <row r="714" spans="17:29" x14ac:dyDescent="0.2">
      <c r="Q714" t="s">
        <v>2082</v>
      </c>
      <c r="R714" t="s">
        <v>2302</v>
      </c>
      <c r="S714" t="s">
        <v>257</v>
      </c>
      <c r="T714" s="1">
        <v>44175</v>
      </c>
      <c r="U714" s="1">
        <v>44175</v>
      </c>
      <c r="V714" t="s">
        <v>260</v>
      </c>
      <c r="W714">
        <v>424993</v>
      </c>
      <c r="X714">
        <v>424993</v>
      </c>
      <c r="Y714" t="s">
        <v>260</v>
      </c>
      <c r="Z714">
        <v>424993</v>
      </c>
      <c r="AA714">
        <v>84357</v>
      </c>
      <c r="AB714" t="b">
        <v>1</v>
      </c>
      <c r="AC714">
        <v>1</v>
      </c>
    </row>
    <row r="715" spans="17:29" x14ac:dyDescent="0.2">
      <c r="Q715" t="s">
        <v>2075</v>
      </c>
      <c r="R715" t="s">
        <v>2303</v>
      </c>
      <c r="S715" t="s">
        <v>257</v>
      </c>
      <c r="T715" s="1">
        <v>44175</v>
      </c>
      <c r="U715" s="1">
        <v>44175</v>
      </c>
      <c r="V715" t="s">
        <v>260</v>
      </c>
      <c r="W715">
        <v>72592</v>
      </c>
      <c r="X715">
        <v>72592</v>
      </c>
      <c r="Y715" t="s">
        <v>260</v>
      </c>
      <c r="Z715">
        <v>72592</v>
      </c>
      <c r="AA715">
        <v>14409</v>
      </c>
      <c r="AB715" t="b">
        <v>1</v>
      </c>
      <c r="AC715">
        <v>1</v>
      </c>
    </row>
    <row r="716" spans="17:29" x14ac:dyDescent="0.2">
      <c r="Q716" t="s">
        <v>2082</v>
      </c>
      <c r="R716" t="s">
        <v>2303</v>
      </c>
      <c r="S716" t="s">
        <v>257</v>
      </c>
      <c r="T716" s="1">
        <v>44175</v>
      </c>
      <c r="U716" s="1">
        <v>44175</v>
      </c>
      <c r="V716" t="s">
        <v>260</v>
      </c>
      <c r="W716">
        <v>72592</v>
      </c>
      <c r="X716">
        <v>72592</v>
      </c>
      <c r="Y716" t="s">
        <v>260</v>
      </c>
      <c r="Z716">
        <v>72592</v>
      </c>
      <c r="AA716">
        <v>14409</v>
      </c>
      <c r="AB716" t="b">
        <v>1</v>
      </c>
      <c r="AC716">
        <v>1</v>
      </c>
    </row>
    <row r="717" spans="17:29" x14ac:dyDescent="0.2">
      <c r="Q717" t="s">
        <v>2075</v>
      </c>
      <c r="R717" t="s">
        <v>2304</v>
      </c>
      <c r="S717" t="s">
        <v>257</v>
      </c>
      <c r="T717" s="1">
        <v>44175</v>
      </c>
      <c r="U717" s="1">
        <v>44175</v>
      </c>
      <c r="V717" t="s">
        <v>260</v>
      </c>
      <c r="W717">
        <v>101591</v>
      </c>
      <c r="X717">
        <v>101591</v>
      </c>
      <c r="Y717" t="s">
        <v>260</v>
      </c>
      <c r="Z717">
        <v>101591</v>
      </c>
      <c r="AA717">
        <v>20165</v>
      </c>
      <c r="AB717" t="b">
        <v>1</v>
      </c>
      <c r="AC717">
        <v>1</v>
      </c>
    </row>
    <row r="718" spans="17:29" x14ac:dyDescent="0.2">
      <c r="Q718" t="s">
        <v>2082</v>
      </c>
      <c r="R718" t="s">
        <v>2304</v>
      </c>
      <c r="S718" t="s">
        <v>257</v>
      </c>
      <c r="T718" s="1">
        <v>44175</v>
      </c>
      <c r="U718" s="1">
        <v>44175</v>
      </c>
      <c r="V718" t="s">
        <v>260</v>
      </c>
      <c r="W718">
        <v>101591</v>
      </c>
      <c r="X718">
        <v>101591</v>
      </c>
      <c r="Y718" t="s">
        <v>260</v>
      </c>
      <c r="Z718">
        <v>101591</v>
      </c>
      <c r="AA718">
        <v>20165</v>
      </c>
      <c r="AB718" t="b">
        <v>1</v>
      </c>
      <c r="AC718">
        <v>1</v>
      </c>
    </row>
    <row r="719" spans="17:29" x14ac:dyDescent="0.2">
      <c r="Q719" t="s">
        <v>2075</v>
      </c>
      <c r="R719" t="s">
        <v>2305</v>
      </c>
      <c r="S719" t="s">
        <v>257</v>
      </c>
      <c r="T719" s="1">
        <v>44175</v>
      </c>
      <c r="U719" s="1">
        <v>44175</v>
      </c>
      <c r="V719" t="s">
        <v>260</v>
      </c>
      <c r="W719">
        <v>204897</v>
      </c>
      <c r="X719">
        <v>204897</v>
      </c>
      <c r="Y719" t="s">
        <v>260</v>
      </c>
      <c r="Z719">
        <v>204897</v>
      </c>
      <c r="AA719">
        <v>40670</v>
      </c>
      <c r="AB719" t="b">
        <v>1</v>
      </c>
      <c r="AC719">
        <v>1</v>
      </c>
    </row>
    <row r="720" spans="17:29" x14ac:dyDescent="0.2">
      <c r="Q720" t="s">
        <v>2082</v>
      </c>
      <c r="R720" t="s">
        <v>2305</v>
      </c>
      <c r="S720" t="s">
        <v>257</v>
      </c>
      <c r="T720" s="1">
        <v>44175</v>
      </c>
      <c r="U720" s="1">
        <v>44175</v>
      </c>
      <c r="V720" t="s">
        <v>260</v>
      </c>
      <c r="W720">
        <v>204897</v>
      </c>
      <c r="X720">
        <v>204897</v>
      </c>
      <c r="Y720" t="s">
        <v>260</v>
      </c>
      <c r="Z720">
        <v>204897</v>
      </c>
      <c r="AA720">
        <v>40670</v>
      </c>
      <c r="AB720" t="b">
        <v>1</v>
      </c>
      <c r="AC720">
        <v>1</v>
      </c>
    </row>
    <row r="721" spans="17:29" x14ac:dyDescent="0.2">
      <c r="Q721" t="s">
        <v>2075</v>
      </c>
      <c r="R721" t="s">
        <v>2306</v>
      </c>
      <c r="S721" t="s">
        <v>257</v>
      </c>
      <c r="T721" s="1">
        <v>44175</v>
      </c>
      <c r="U721" s="1">
        <v>44175</v>
      </c>
      <c r="V721" t="s">
        <v>260</v>
      </c>
      <c r="W721">
        <v>110482</v>
      </c>
      <c r="X721">
        <v>110482</v>
      </c>
      <c r="Y721" t="s">
        <v>260</v>
      </c>
      <c r="Z721">
        <v>110482</v>
      </c>
      <c r="AA721">
        <v>21930</v>
      </c>
      <c r="AB721" t="b">
        <v>1</v>
      </c>
      <c r="AC721">
        <v>1</v>
      </c>
    </row>
    <row r="722" spans="17:29" x14ac:dyDescent="0.2">
      <c r="Q722" t="s">
        <v>2082</v>
      </c>
      <c r="R722" t="s">
        <v>2306</v>
      </c>
      <c r="S722" t="s">
        <v>257</v>
      </c>
      <c r="T722" s="1">
        <v>44175</v>
      </c>
      <c r="U722" s="1">
        <v>44175</v>
      </c>
      <c r="V722" t="s">
        <v>260</v>
      </c>
      <c r="W722">
        <v>110482</v>
      </c>
      <c r="X722">
        <v>110482</v>
      </c>
      <c r="Y722" t="s">
        <v>260</v>
      </c>
      <c r="Z722">
        <v>110482</v>
      </c>
      <c r="AA722">
        <v>21930</v>
      </c>
      <c r="AB722" t="b">
        <v>1</v>
      </c>
      <c r="AC722">
        <v>1</v>
      </c>
    </row>
    <row r="723" spans="17:29" x14ac:dyDescent="0.2">
      <c r="Q723" t="s">
        <v>2075</v>
      </c>
      <c r="R723" t="s">
        <v>2307</v>
      </c>
      <c r="S723" t="s">
        <v>257</v>
      </c>
      <c r="T723" s="1">
        <v>44175</v>
      </c>
      <c r="U723" s="1">
        <v>44175</v>
      </c>
      <c r="V723" t="s">
        <v>260</v>
      </c>
      <c r="W723">
        <v>135445</v>
      </c>
      <c r="X723">
        <v>135445</v>
      </c>
      <c r="Y723" t="s">
        <v>260</v>
      </c>
      <c r="Z723">
        <v>135445</v>
      </c>
      <c r="AA723">
        <v>26885</v>
      </c>
      <c r="AB723" t="b">
        <v>1</v>
      </c>
      <c r="AC723">
        <v>1</v>
      </c>
    </row>
    <row r="724" spans="17:29" x14ac:dyDescent="0.2">
      <c r="Q724" t="s">
        <v>2082</v>
      </c>
      <c r="R724" t="s">
        <v>2307</v>
      </c>
      <c r="S724" t="s">
        <v>257</v>
      </c>
      <c r="T724" s="1">
        <v>44175</v>
      </c>
      <c r="U724" s="1">
        <v>44175</v>
      </c>
      <c r="V724" t="s">
        <v>260</v>
      </c>
      <c r="W724">
        <v>135445</v>
      </c>
      <c r="X724">
        <v>135445</v>
      </c>
      <c r="Y724" t="s">
        <v>260</v>
      </c>
      <c r="Z724">
        <v>135445</v>
      </c>
      <c r="AA724">
        <v>26885</v>
      </c>
      <c r="AB724" t="b">
        <v>1</v>
      </c>
      <c r="AC724">
        <v>1</v>
      </c>
    </row>
    <row r="725" spans="17:29" x14ac:dyDescent="0.2">
      <c r="Q725" t="s">
        <v>2128</v>
      </c>
      <c r="R725" t="s">
        <v>2308</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2117</v>
      </c>
      <c r="R726" t="s">
        <v>2308</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2128</v>
      </c>
      <c r="R727" t="s">
        <v>2309</v>
      </c>
      <c r="S727" t="s">
        <v>287</v>
      </c>
      <c r="T727" s="1">
        <v>43889</v>
      </c>
      <c r="U727" s="1">
        <v>43028</v>
      </c>
      <c r="V727" t="s">
        <v>270</v>
      </c>
      <c r="W727">
        <v>1320816</v>
      </c>
      <c r="X727">
        <v>1320816</v>
      </c>
      <c r="Y727" t="s">
        <v>270</v>
      </c>
      <c r="Z727">
        <v>1320816</v>
      </c>
      <c r="AA727">
        <v>1320816</v>
      </c>
      <c r="AB727" t="b">
        <v>1</v>
      </c>
      <c r="AC727">
        <v>0.24</v>
      </c>
    </row>
    <row r="728" spans="17:29" x14ac:dyDescent="0.2">
      <c r="Q728" t="s">
        <v>2117</v>
      </c>
      <c r="R728" t="s">
        <v>2309</v>
      </c>
      <c r="S728" t="s">
        <v>287</v>
      </c>
      <c r="T728" s="1">
        <v>43889</v>
      </c>
      <c r="U728" s="1">
        <v>43028</v>
      </c>
      <c r="V728" t="s">
        <v>270</v>
      </c>
      <c r="W728">
        <v>1320816</v>
      </c>
      <c r="X728">
        <v>1320816</v>
      </c>
      <c r="Y728" t="s">
        <v>270</v>
      </c>
      <c r="Z728">
        <v>1320816</v>
      </c>
      <c r="AA728">
        <v>1320816</v>
      </c>
      <c r="AB728" t="b">
        <v>1</v>
      </c>
      <c r="AC728">
        <v>0.24</v>
      </c>
    </row>
    <row r="729" spans="17:29" x14ac:dyDescent="0.2">
      <c r="Q729" t="s">
        <v>2128</v>
      </c>
      <c r="R729" t="s">
        <v>2310</v>
      </c>
      <c r="S729" t="s">
        <v>279</v>
      </c>
      <c r="T729" s="1">
        <v>43817</v>
      </c>
      <c r="U729" s="1">
        <v>43250</v>
      </c>
      <c r="V729" t="s">
        <v>270</v>
      </c>
      <c r="W729">
        <v>1062286</v>
      </c>
      <c r="X729">
        <v>1062286</v>
      </c>
      <c r="Y729" t="s">
        <v>270</v>
      </c>
      <c r="Z729">
        <v>1062286</v>
      </c>
      <c r="AA729">
        <v>1062286</v>
      </c>
      <c r="AB729" t="b">
        <v>1</v>
      </c>
      <c r="AC729">
        <v>0.26</v>
      </c>
    </row>
    <row r="730" spans="17:29" x14ac:dyDescent="0.2">
      <c r="Q730" t="s">
        <v>2128</v>
      </c>
      <c r="R730" t="s">
        <v>2310</v>
      </c>
      <c r="S730" t="s">
        <v>279</v>
      </c>
      <c r="T730" s="1">
        <v>43817</v>
      </c>
      <c r="U730" s="1">
        <v>43187</v>
      </c>
      <c r="V730" t="s">
        <v>270</v>
      </c>
      <c r="W730">
        <v>3001894</v>
      </c>
      <c r="X730">
        <v>3001894</v>
      </c>
      <c r="Y730" t="s">
        <v>270</v>
      </c>
      <c r="Z730">
        <v>3001894</v>
      </c>
      <c r="AA730">
        <v>3001894</v>
      </c>
      <c r="AB730" t="b">
        <v>1</v>
      </c>
      <c r="AC730">
        <v>0.26</v>
      </c>
    </row>
    <row r="731" spans="17:29" x14ac:dyDescent="0.2">
      <c r="Q731" t="s">
        <v>2117</v>
      </c>
      <c r="R731" t="s">
        <v>2310</v>
      </c>
      <c r="S731" t="s">
        <v>279</v>
      </c>
      <c r="T731" s="1">
        <v>43817</v>
      </c>
      <c r="U731" s="1">
        <v>43250</v>
      </c>
      <c r="V731" t="s">
        <v>270</v>
      </c>
      <c r="W731">
        <v>1062286</v>
      </c>
      <c r="X731">
        <v>1062286</v>
      </c>
      <c r="Y731" t="s">
        <v>270</v>
      </c>
      <c r="Z731">
        <v>1062286</v>
      </c>
      <c r="AA731">
        <v>1062286</v>
      </c>
      <c r="AB731" t="b">
        <v>1</v>
      </c>
      <c r="AC731">
        <v>0.26</v>
      </c>
    </row>
    <row r="732" spans="17:29" x14ac:dyDescent="0.2">
      <c r="Q732" t="s">
        <v>2117</v>
      </c>
      <c r="R732" t="s">
        <v>2310</v>
      </c>
      <c r="S732" t="s">
        <v>279</v>
      </c>
      <c r="T732" s="1">
        <v>43817</v>
      </c>
      <c r="U732" s="1">
        <v>43187</v>
      </c>
      <c r="V732" t="s">
        <v>270</v>
      </c>
      <c r="W732">
        <v>3001894</v>
      </c>
      <c r="X732">
        <v>3001894</v>
      </c>
      <c r="Y732" t="s">
        <v>270</v>
      </c>
      <c r="Z732">
        <v>3001894</v>
      </c>
      <c r="AA732">
        <v>3001894</v>
      </c>
      <c r="AB732" t="b">
        <v>1</v>
      </c>
      <c r="AC732">
        <v>0.26</v>
      </c>
    </row>
    <row r="733" spans="17:29" x14ac:dyDescent="0.2">
      <c r="Q733" t="s">
        <v>2128</v>
      </c>
      <c r="R733" t="s">
        <v>2311</v>
      </c>
      <c r="S733" t="s">
        <v>2161</v>
      </c>
      <c r="T733" s="1">
        <v>44110</v>
      </c>
      <c r="U733" s="1">
        <v>43724</v>
      </c>
      <c r="V733" t="s">
        <v>270</v>
      </c>
      <c r="W733">
        <v>2237288</v>
      </c>
      <c r="X733">
        <v>2237288</v>
      </c>
      <c r="Y733" t="s">
        <v>270</v>
      </c>
      <c r="Z733">
        <v>2237288</v>
      </c>
      <c r="AA733">
        <v>2237288</v>
      </c>
      <c r="AB733" t="b">
        <v>1</v>
      </c>
      <c r="AC733">
        <v>0.09</v>
      </c>
    </row>
    <row r="734" spans="17:29" x14ac:dyDescent="0.2">
      <c r="Q734" t="s">
        <v>2128</v>
      </c>
      <c r="R734" t="s">
        <v>2311</v>
      </c>
      <c r="S734" t="s">
        <v>2161</v>
      </c>
      <c r="T734" s="1">
        <v>44069</v>
      </c>
      <c r="U734" s="1">
        <v>43808</v>
      </c>
      <c r="V734" t="s">
        <v>270</v>
      </c>
      <c r="W734">
        <v>1118644</v>
      </c>
      <c r="X734">
        <v>1118644</v>
      </c>
      <c r="Y734" t="s">
        <v>270</v>
      </c>
      <c r="Z734">
        <v>1118644</v>
      </c>
      <c r="AA734">
        <v>1118644</v>
      </c>
      <c r="AB734" t="b">
        <v>1</v>
      </c>
      <c r="AC734">
        <v>0.09</v>
      </c>
    </row>
    <row r="735" spans="17:29" x14ac:dyDescent="0.2">
      <c r="Q735" t="s">
        <v>2128</v>
      </c>
      <c r="R735" t="s">
        <v>2311</v>
      </c>
      <c r="S735" t="s">
        <v>2161</v>
      </c>
      <c r="T735" s="1">
        <v>43819</v>
      </c>
      <c r="U735" s="1">
        <v>43427</v>
      </c>
      <c r="V735" t="s">
        <v>270</v>
      </c>
      <c r="W735">
        <v>2500000</v>
      </c>
      <c r="X735">
        <v>2500000</v>
      </c>
      <c r="Y735" t="s">
        <v>270</v>
      </c>
      <c r="Z735">
        <v>2500000</v>
      </c>
      <c r="AA735">
        <v>2500000</v>
      </c>
      <c r="AB735" t="b">
        <v>1</v>
      </c>
      <c r="AC735">
        <v>0.09</v>
      </c>
    </row>
    <row r="736" spans="17:29" x14ac:dyDescent="0.2">
      <c r="Q736" t="s">
        <v>2128</v>
      </c>
      <c r="R736" t="s">
        <v>2311</v>
      </c>
      <c r="S736" t="s">
        <v>2161</v>
      </c>
      <c r="T736" s="1">
        <v>43819</v>
      </c>
      <c r="U736" s="1">
        <v>43427</v>
      </c>
      <c r="V736" t="s">
        <v>270</v>
      </c>
      <c r="W736">
        <v>2500000</v>
      </c>
      <c r="X736">
        <v>2500000</v>
      </c>
      <c r="Y736" t="s">
        <v>270</v>
      </c>
      <c r="Z736">
        <v>2500000</v>
      </c>
      <c r="AA736">
        <v>2500000</v>
      </c>
      <c r="AB736" t="b">
        <v>1</v>
      </c>
      <c r="AC736">
        <v>0.09</v>
      </c>
    </row>
    <row r="737" spans="17:29" x14ac:dyDescent="0.2">
      <c r="Q737" t="s">
        <v>2128</v>
      </c>
      <c r="R737" t="s">
        <v>2311</v>
      </c>
      <c r="S737" t="s">
        <v>2161</v>
      </c>
      <c r="T737" s="1">
        <v>43819</v>
      </c>
      <c r="U737" s="1">
        <v>43549</v>
      </c>
      <c r="V737" t="s">
        <v>270</v>
      </c>
      <c r="W737">
        <v>1016949</v>
      </c>
      <c r="X737">
        <v>1016949</v>
      </c>
      <c r="Y737" t="s">
        <v>270</v>
      </c>
      <c r="Z737">
        <v>1016949</v>
      </c>
      <c r="AA737">
        <v>1016949</v>
      </c>
      <c r="AB737" t="b">
        <v>1</v>
      </c>
      <c r="AC737">
        <v>0.09</v>
      </c>
    </row>
    <row r="738" spans="17:29" x14ac:dyDescent="0.2">
      <c r="Q738" t="s">
        <v>2128</v>
      </c>
      <c r="R738" t="s">
        <v>2311</v>
      </c>
      <c r="S738" t="s">
        <v>2161</v>
      </c>
      <c r="T738" s="1">
        <v>43817</v>
      </c>
      <c r="U738" s="1">
        <v>43437</v>
      </c>
      <c r="V738" t="s">
        <v>270</v>
      </c>
      <c r="W738">
        <v>3115561</v>
      </c>
      <c r="X738">
        <v>3115561</v>
      </c>
      <c r="Y738" t="s">
        <v>270</v>
      </c>
      <c r="Z738">
        <v>3115561</v>
      </c>
      <c r="AA738">
        <v>3115561</v>
      </c>
      <c r="AB738" t="b">
        <v>1</v>
      </c>
      <c r="AC738">
        <v>0.09</v>
      </c>
    </row>
    <row r="739" spans="17:29" x14ac:dyDescent="0.2">
      <c r="Q739" t="s">
        <v>2128</v>
      </c>
      <c r="R739" t="s">
        <v>2311</v>
      </c>
      <c r="S739" t="s">
        <v>2161</v>
      </c>
      <c r="T739" s="1">
        <v>43817</v>
      </c>
      <c r="U739" s="1">
        <v>43234</v>
      </c>
      <c r="V739" t="s">
        <v>270</v>
      </c>
      <c r="W739">
        <v>2511558</v>
      </c>
      <c r="X739">
        <v>2511558</v>
      </c>
      <c r="Y739" t="s">
        <v>270</v>
      </c>
      <c r="Z739">
        <v>2511558</v>
      </c>
      <c r="AA739">
        <v>2511558</v>
      </c>
      <c r="AB739" t="b">
        <v>1</v>
      </c>
      <c r="AC739">
        <v>0.09</v>
      </c>
    </row>
    <row r="740" spans="17:29" x14ac:dyDescent="0.2">
      <c r="Q740" t="s">
        <v>2117</v>
      </c>
      <c r="R740" t="s">
        <v>2311</v>
      </c>
      <c r="S740" t="s">
        <v>2161</v>
      </c>
      <c r="T740" s="1">
        <v>44110</v>
      </c>
      <c r="U740" s="1">
        <v>43724</v>
      </c>
      <c r="V740" t="s">
        <v>270</v>
      </c>
      <c r="W740">
        <v>2237288</v>
      </c>
      <c r="X740">
        <v>2237288</v>
      </c>
      <c r="Y740" t="s">
        <v>270</v>
      </c>
      <c r="Z740">
        <v>2237288</v>
      </c>
      <c r="AA740">
        <v>2237288</v>
      </c>
      <c r="AB740" t="b">
        <v>1</v>
      </c>
      <c r="AC740">
        <v>0.09</v>
      </c>
    </row>
    <row r="741" spans="17:29" x14ac:dyDescent="0.2">
      <c r="Q741" t="s">
        <v>2117</v>
      </c>
      <c r="R741" t="s">
        <v>2311</v>
      </c>
      <c r="S741" t="s">
        <v>2161</v>
      </c>
      <c r="T741" s="1">
        <v>44069</v>
      </c>
      <c r="U741" s="1">
        <v>43808</v>
      </c>
      <c r="V741" t="s">
        <v>270</v>
      </c>
      <c r="W741">
        <v>1118644</v>
      </c>
      <c r="X741">
        <v>1118644</v>
      </c>
      <c r="Y741" t="s">
        <v>270</v>
      </c>
      <c r="Z741">
        <v>1118644</v>
      </c>
      <c r="AA741">
        <v>1118644</v>
      </c>
      <c r="AB741" t="b">
        <v>1</v>
      </c>
      <c r="AC741">
        <v>0.09</v>
      </c>
    </row>
    <row r="742" spans="17:29" x14ac:dyDescent="0.2">
      <c r="Q742" t="s">
        <v>2117</v>
      </c>
      <c r="R742" t="s">
        <v>2311</v>
      </c>
      <c r="S742" t="s">
        <v>2161</v>
      </c>
      <c r="T742" s="1">
        <v>43819</v>
      </c>
      <c r="U742" s="1">
        <v>43427</v>
      </c>
      <c r="V742" t="s">
        <v>270</v>
      </c>
      <c r="W742">
        <v>2500000</v>
      </c>
      <c r="X742">
        <v>2500000</v>
      </c>
      <c r="Y742" t="s">
        <v>270</v>
      </c>
      <c r="Z742">
        <v>2500000</v>
      </c>
      <c r="AA742">
        <v>2500000</v>
      </c>
      <c r="AB742" t="b">
        <v>1</v>
      </c>
      <c r="AC742">
        <v>0.09</v>
      </c>
    </row>
    <row r="743" spans="17:29" x14ac:dyDescent="0.2">
      <c r="Q743" t="s">
        <v>2117</v>
      </c>
      <c r="R743" t="s">
        <v>2311</v>
      </c>
      <c r="S743" t="s">
        <v>2161</v>
      </c>
      <c r="T743" s="1">
        <v>43819</v>
      </c>
      <c r="U743" s="1">
        <v>43427</v>
      </c>
      <c r="V743" t="s">
        <v>270</v>
      </c>
      <c r="W743">
        <v>2500000</v>
      </c>
      <c r="X743">
        <v>2500000</v>
      </c>
      <c r="Y743" t="s">
        <v>270</v>
      </c>
      <c r="Z743">
        <v>2500000</v>
      </c>
      <c r="AA743">
        <v>2500000</v>
      </c>
      <c r="AB743" t="b">
        <v>1</v>
      </c>
      <c r="AC743">
        <v>0.09</v>
      </c>
    </row>
    <row r="744" spans="17:29" x14ac:dyDescent="0.2">
      <c r="Q744" t="s">
        <v>2117</v>
      </c>
      <c r="R744" t="s">
        <v>2311</v>
      </c>
      <c r="S744" t="s">
        <v>2161</v>
      </c>
      <c r="T744" s="1">
        <v>43819</v>
      </c>
      <c r="U744" s="1">
        <v>43549</v>
      </c>
      <c r="V744" t="s">
        <v>270</v>
      </c>
      <c r="W744">
        <v>1016949</v>
      </c>
      <c r="X744">
        <v>1016949</v>
      </c>
      <c r="Y744" t="s">
        <v>270</v>
      </c>
      <c r="Z744">
        <v>1016949</v>
      </c>
      <c r="AA744">
        <v>1016949</v>
      </c>
      <c r="AB744" t="b">
        <v>1</v>
      </c>
      <c r="AC744">
        <v>0.09</v>
      </c>
    </row>
    <row r="745" spans="17:29" x14ac:dyDescent="0.2">
      <c r="Q745" t="s">
        <v>2117</v>
      </c>
      <c r="R745" t="s">
        <v>2311</v>
      </c>
      <c r="S745" t="s">
        <v>2161</v>
      </c>
      <c r="T745" s="1">
        <v>43817</v>
      </c>
      <c r="U745" s="1">
        <v>43437</v>
      </c>
      <c r="V745" t="s">
        <v>270</v>
      </c>
      <c r="W745">
        <v>3115561</v>
      </c>
      <c r="X745">
        <v>3115561</v>
      </c>
      <c r="Y745" t="s">
        <v>270</v>
      </c>
      <c r="Z745">
        <v>3115561</v>
      </c>
      <c r="AA745">
        <v>3115561</v>
      </c>
      <c r="AB745" t="b">
        <v>1</v>
      </c>
      <c r="AC745">
        <v>0.09</v>
      </c>
    </row>
    <row r="746" spans="17:29" x14ac:dyDescent="0.2">
      <c r="Q746" t="s">
        <v>2117</v>
      </c>
      <c r="R746" t="s">
        <v>2311</v>
      </c>
      <c r="S746" t="s">
        <v>2161</v>
      </c>
      <c r="T746" s="1">
        <v>43817</v>
      </c>
      <c r="U746" s="1">
        <v>43234</v>
      </c>
      <c r="V746" t="s">
        <v>270</v>
      </c>
      <c r="W746">
        <v>2511558</v>
      </c>
      <c r="X746">
        <v>2511558</v>
      </c>
      <c r="Y746" t="s">
        <v>270</v>
      </c>
      <c r="Z746">
        <v>2511558</v>
      </c>
      <c r="AA746">
        <v>2511558</v>
      </c>
      <c r="AB746" t="b">
        <v>1</v>
      </c>
      <c r="AC746">
        <v>0.09</v>
      </c>
    </row>
    <row r="747" spans="17:29" x14ac:dyDescent="0.2">
      <c r="Q747" t="s">
        <v>2128</v>
      </c>
      <c r="R747" t="s">
        <v>2312</v>
      </c>
      <c r="S747" t="s">
        <v>279</v>
      </c>
      <c r="T747" s="1">
        <v>44132</v>
      </c>
      <c r="U747" s="1">
        <v>44076</v>
      </c>
      <c r="V747" t="s">
        <v>270</v>
      </c>
      <c r="W747">
        <v>6607713</v>
      </c>
      <c r="X747">
        <v>6607713</v>
      </c>
      <c r="Y747" t="s">
        <v>270</v>
      </c>
      <c r="Z747">
        <v>6607713</v>
      </c>
      <c r="AA747">
        <v>6607713</v>
      </c>
      <c r="AB747" t="b">
        <v>1</v>
      </c>
      <c r="AC747">
        <v>0.47</v>
      </c>
    </row>
    <row r="748" spans="17:29" x14ac:dyDescent="0.2">
      <c r="Q748" t="s">
        <v>2117</v>
      </c>
      <c r="R748" t="s">
        <v>2312</v>
      </c>
      <c r="S748" t="s">
        <v>279</v>
      </c>
      <c r="T748" s="1">
        <v>44132</v>
      </c>
      <c r="U748" s="1">
        <v>44076</v>
      </c>
      <c r="V748" t="s">
        <v>270</v>
      </c>
      <c r="W748">
        <v>6607713</v>
      </c>
      <c r="X748">
        <v>6607713</v>
      </c>
      <c r="Y748" t="s">
        <v>270</v>
      </c>
      <c r="Z748">
        <v>6607713</v>
      </c>
      <c r="AA748">
        <v>6607713</v>
      </c>
      <c r="AB748" t="b">
        <v>1</v>
      </c>
      <c r="AC748">
        <v>0.47</v>
      </c>
    </row>
    <row r="749" spans="17:29" x14ac:dyDescent="0.2">
      <c r="Q749" t="s">
        <v>1998</v>
      </c>
      <c r="R749" t="s">
        <v>2313</v>
      </c>
      <c r="S749" t="s">
        <v>257</v>
      </c>
      <c r="T749" s="1">
        <v>44027</v>
      </c>
      <c r="U749" s="1">
        <v>44043</v>
      </c>
      <c r="V749" t="s">
        <v>260</v>
      </c>
      <c r="W749">
        <v>620486000</v>
      </c>
      <c r="X749">
        <v>620486000</v>
      </c>
      <c r="Y749" t="s">
        <v>260</v>
      </c>
      <c r="Z749">
        <v>620486000</v>
      </c>
      <c r="AA749">
        <v>119262306</v>
      </c>
      <c r="AB749" t="b">
        <v>0</v>
      </c>
      <c r="AC749">
        <v>1</v>
      </c>
    </row>
    <row r="750" spans="17:29" x14ac:dyDescent="0.2">
      <c r="Q750" t="s">
        <v>2067</v>
      </c>
      <c r="R750" t="s">
        <v>2313</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2029</v>
      </c>
      <c r="R751" t="s">
        <v>2313</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2029</v>
      </c>
      <c r="R752" t="s">
        <v>2313</v>
      </c>
      <c r="S752" t="s">
        <v>257</v>
      </c>
      <c r="T752" s="1">
        <v>44027</v>
      </c>
      <c r="U752" s="1">
        <v>44043</v>
      </c>
      <c r="V752" t="s">
        <v>260</v>
      </c>
      <c r="W752">
        <v>620486000</v>
      </c>
      <c r="X752">
        <v>620486000</v>
      </c>
      <c r="Y752" t="s">
        <v>260</v>
      </c>
      <c r="Z752">
        <v>620486000</v>
      </c>
      <c r="AA752">
        <v>119262306</v>
      </c>
      <c r="AB752" t="b">
        <v>0</v>
      </c>
      <c r="AC752">
        <v>1</v>
      </c>
    </row>
    <row r="753" spans="17:29" x14ac:dyDescent="0.2">
      <c r="Q753" t="s">
        <v>1998</v>
      </c>
      <c r="R753" t="s">
        <v>2314</v>
      </c>
      <c r="S753" t="s">
        <v>257</v>
      </c>
      <c r="T753" s="1">
        <v>44027</v>
      </c>
      <c r="U753" s="1">
        <v>44043</v>
      </c>
      <c r="V753" t="s">
        <v>260</v>
      </c>
      <c r="W753">
        <v>259804000</v>
      </c>
      <c r="X753">
        <v>259804000</v>
      </c>
      <c r="Y753" t="s">
        <v>260</v>
      </c>
      <c r="Z753">
        <v>259804000</v>
      </c>
      <c r="AA753">
        <v>49936379</v>
      </c>
      <c r="AB753" t="b">
        <v>0</v>
      </c>
      <c r="AC753">
        <v>1</v>
      </c>
    </row>
    <row r="754" spans="17:29" x14ac:dyDescent="0.2">
      <c r="Q754" t="s">
        <v>2067</v>
      </c>
      <c r="R754" t="s">
        <v>2314</v>
      </c>
      <c r="S754" t="s">
        <v>257</v>
      </c>
      <c r="T754" s="1">
        <v>44027</v>
      </c>
      <c r="U754" s="1">
        <v>44043</v>
      </c>
      <c r="V754" t="s">
        <v>260</v>
      </c>
      <c r="W754">
        <v>259804000</v>
      </c>
      <c r="X754">
        <v>259804000</v>
      </c>
      <c r="Y754" t="s">
        <v>260</v>
      </c>
      <c r="Z754">
        <v>259804000</v>
      </c>
      <c r="AA754">
        <v>49936379</v>
      </c>
      <c r="AB754" t="b">
        <v>0</v>
      </c>
      <c r="AC754">
        <v>1</v>
      </c>
    </row>
    <row r="755" spans="17:29" x14ac:dyDescent="0.2">
      <c r="Q755" t="s">
        <v>2029</v>
      </c>
      <c r="R755" t="s">
        <v>2314</v>
      </c>
      <c r="S755" t="s">
        <v>257</v>
      </c>
      <c r="T755" s="1">
        <v>44027</v>
      </c>
      <c r="U755" s="1">
        <v>44043</v>
      </c>
      <c r="V755" t="s">
        <v>260</v>
      </c>
      <c r="W755">
        <v>259804000</v>
      </c>
      <c r="X755">
        <v>259804000</v>
      </c>
      <c r="Y755" t="s">
        <v>260</v>
      </c>
      <c r="Z755">
        <v>259804000</v>
      </c>
      <c r="AA755">
        <v>49936379</v>
      </c>
      <c r="AB755" t="b">
        <v>0</v>
      </c>
      <c r="AC755">
        <v>1</v>
      </c>
    </row>
    <row r="756" spans="17:29" x14ac:dyDescent="0.2">
      <c r="Q756" t="s">
        <v>2029</v>
      </c>
      <c r="R756" t="s">
        <v>2314</v>
      </c>
      <c r="S756" t="s">
        <v>257</v>
      </c>
      <c r="T756" s="1">
        <v>44027</v>
      </c>
      <c r="U756" s="1">
        <v>44043</v>
      </c>
      <c r="V756" t="s">
        <v>260</v>
      </c>
      <c r="W756">
        <v>259804000</v>
      </c>
      <c r="X756">
        <v>259804000</v>
      </c>
      <c r="Y756" t="s">
        <v>260</v>
      </c>
      <c r="Z756">
        <v>259804000</v>
      </c>
      <c r="AA756">
        <v>49936379</v>
      </c>
      <c r="AB756" t="b">
        <v>0</v>
      </c>
      <c r="AC756">
        <v>1</v>
      </c>
    </row>
    <row r="757" spans="17:29" x14ac:dyDescent="0.2">
      <c r="Q757" t="s">
        <v>2031</v>
      </c>
      <c r="R757" t="s">
        <v>2315</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1989</v>
      </c>
      <c r="R758" t="s">
        <v>2315</v>
      </c>
      <c r="S758" t="s">
        <v>279</v>
      </c>
      <c r="T758" s="1">
        <v>44183</v>
      </c>
      <c r="U758" s="1">
        <v>44183</v>
      </c>
      <c r="V758" t="s">
        <v>270</v>
      </c>
      <c r="W758">
        <v>262664000</v>
      </c>
      <c r="X758">
        <v>262664000</v>
      </c>
      <c r="Y758" t="s">
        <v>270</v>
      </c>
      <c r="Z758">
        <v>262664000</v>
      </c>
      <c r="AA758">
        <v>262664000</v>
      </c>
      <c r="AB758" t="b">
        <v>1</v>
      </c>
      <c r="AC758">
        <v>1</v>
      </c>
    </row>
    <row r="759" spans="17:29" x14ac:dyDescent="0.2">
      <c r="Q759" t="s">
        <v>2208</v>
      </c>
      <c r="R759" t="s">
        <v>2316</v>
      </c>
      <c r="S759" t="s">
        <v>257</v>
      </c>
      <c r="T759" s="1">
        <v>44197</v>
      </c>
      <c r="U759" s="1">
        <v>44197</v>
      </c>
      <c r="V759" t="s">
        <v>260</v>
      </c>
      <c r="W759">
        <v>663000</v>
      </c>
      <c r="X759">
        <v>663000</v>
      </c>
      <c r="Y759" t="s">
        <v>270</v>
      </c>
      <c r="Z759">
        <v>123000</v>
      </c>
      <c r="AA759">
        <v>123000</v>
      </c>
      <c r="AB759" t="b">
        <v>0</v>
      </c>
      <c r="AC759">
        <v>1</v>
      </c>
    </row>
    <row r="760" spans="17:29" x14ac:dyDescent="0.2">
      <c r="Q760" t="s">
        <v>2208</v>
      </c>
      <c r="R760" t="s">
        <v>2316</v>
      </c>
      <c r="S760" t="s">
        <v>257</v>
      </c>
      <c r="T760" s="1">
        <v>44013</v>
      </c>
      <c r="U760" s="1">
        <v>44013</v>
      </c>
      <c r="V760" t="s">
        <v>260</v>
      </c>
      <c r="W760">
        <v>631000</v>
      </c>
      <c r="X760">
        <v>631000</v>
      </c>
      <c r="Y760" t="s">
        <v>270</v>
      </c>
      <c r="Z760">
        <v>116000</v>
      </c>
      <c r="AA760">
        <v>116000</v>
      </c>
      <c r="AB760" t="b">
        <v>0</v>
      </c>
      <c r="AC760">
        <v>1</v>
      </c>
    </row>
    <row r="761" spans="17:29" x14ac:dyDescent="0.2">
      <c r="Q761" t="s">
        <v>2208</v>
      </c>
      <c r="R761" t="s">
        <v>2316</v>
      </c>
      <c r="S761" t="s">
        <v>257</v>
      </c>
      <c r="T761" s="1">
        <v>43831</v>
      </c>
      <c r="U761" s="1">
        <v>43831</v>
      </c>
      <c r="V761" t="s">
        <v>260</v>
      </c>
      <c r="W761">
        <v>380000</v>
      </c>
      <c r="X761">
        <v>380000</v>
      </c>
      <c r="Y761" t="s">
        <v>270</v>
      </c>
      <c r="Z761">
        <v>77000</v>
      </c>
      <c r="AA761">
        <v>77000</v>
      </c>
      <c r="AB761" t="b">
        <v>0</v>
      </c>
      <c r="AC761">
        <v>1</v>
      </c>
    </row>
    <row r="762" spans="17:29" x14ac:dyDescent="0.2">
      <c r="Q762" t="s">
        <v>2208</v>
      </c>
      <c r="R762" t="s">
        <v>2316</v>
      </c>
      <c r="S762" t="s">
        <v>257</v>
      </c>
      <c r="T762" s="1">
        <v>43647</v>
      </c>
      <c r="U762" s="1">
        <v>43647</v>
      </c>
      <c r="V762" t="s">
        <v>260</v>
      </c>
      <c r="W762">
        <v>697000</v>
      </c>
      <c r="X762">
        <v>697000</v>
      </c>
      <c r="Y762" t="s">
        <v>270</v>
      </c>
      <c r="Z762">
        <v>172000</v>
      </c>
      <c r="AA762">
        <v>172000</v>
      </c>
      <c r="AB762" t="b">
        <v>0</v>
      </c>
      <c r="AC762">
        <v>1</v>
      </c>
    </row>
    <row r="763" spans="17:29" x14ac:dyDescent="0.2">
      <c r="Q763" t="s">
        <v>2208</v>
      </c>
      <c r="R763" t="s">
        <v>2316</v>
      </c>
      <c r="S763" t="s">
        <v>257</v>
      </c>
      <c r="T763" s="1">
        <v>43466</v>
      </c>
      <c r="U763" s="1">
        <v>43466</v>
      </c>
      <c r="V763" t="s">
        <v>260</v>
      </c>
      <c r="W763">
        <v>455540</v>
      </c>
      <c r="X763">
        <v>455540</v>
      </c>
      <c r="Y763" t="s">
        <v>270</v>
      </c>
      <c r="Z763">
        <v>118450</v>
      </c>
      <c r="AA763">
        <v>118450</v>
      </c>
      <c r="AB763" t="b">
        <v>0</v>
      </c>
      <c r="AC763">
        <v>1</v>
      </c>
    </row>
    <row r="764" spans="17:29" x14ac:dyDescent="0.2">
      <c r="Q764" t="s">
        <v>2208</v>
      </c>
      <c r="R764" t="s">
        <v>2316</v>
      </c>
      <c r="S764" t="s">
        <v>257</v>
      </c>
      <c r="T764" s="1">
        <v>43282</v>
      </c>
      <c r="U764" s="1">
        <v>43282</v>
      </c>
      <c r="V764" t="s">
        <v>260</v>
      </c>
      <c r="W764">
        <v>406600</v>
      </c>
      <c r="X764">
        <v>406600</v>
      </c>
      <c r="Y764" t="s">
        <v>270</v>
      </c>
      <c r="Z764">
        <v>104780</v>
      </c>
      <c r="AA764">
        <v>104780</v>
      </c>
      <c r="AB764" t="b">
        <v>0</v>
      </c>
      <c r="AC764">
        <v>1</v>
      </c>
    </row>
    <row r="765" spans="17:29" x14ac:dyDescent="0.2">
      <c r="Q765" t="s">
        <v>2210</v>
      </c>
      <c r="R765" t="s">
        <v>2316</v>
      </c>
      <c r="S765" t="s">
        <v>257</v>
      </c>
      <c r="T765" s="1">
        <v>44197</v>
      </c>
      <c r="U765" s="1">
        <v>44197</v>
      </c>
      <c r="V765" t="s">
        <v>260</v>
      </c>
      <c r="W765">
        <v>663000</v>
      </c>
      <c r="X765">
        <v>663000</v>
      </c>
      <c r="Y765" t="s">
        <v>270</v>
      </c>
      <c r="Z765">
        <v>123000</v>
      </c>
      <c r="AA765">
        <v>123000</v>
      </c>
      <c r="AB765" t="b">
        <v>0</v>
      </c>
      <c r="AC765">
        <v>1</v>
      </c>
    </row>
    <row r="766" spans="17:29" x14ac:dyDescent="0.2">
      <c r="Q766" t="s">
        <v>2210</v>
      </c>
      <c r="R766" t="s">
        <v>2316</v>
      </c>
      <c r="S766" t="s">
        <v>257</v>
      </c>
      <c r="T766" s="1">
        <v>44013</v>
      </c>
      <c r="U766" s="1">
        <v>44013</v>
      </c>
      <c r="V766" t="s">
        <v>260</v>
      </c>
      <c r="W766">
        <v>631000</v>
      </c>
      <c r="X766">
        <v>631000</v>
      </c>
      <c r="Y766" t="s">
        <v>270</v>
      </c>
      <c r="Z766">
        <v>116000</v>
      </c>
      <c r="AA766">
        <v>116000</v>
      </c>
      <c r="AB766" t="b">
        <v>0</v>
      </c>
      <c r="AC766">
        <v>1</v>
      </c>
    </row>
    <row r="767" spans="17:29" x14ac:dyDescent="0.2">
      <c r="Q767" t="s">
        <v>2210</v>
      </c>
      <c r="R767" t="s">
        <v>2316</v>
      </c>
      <c r="S767" t="s">
        <v>257</v>
      </c>
      <c r="T767" s="1">
        <v>43831</v>
      </c>
      <c r="U767" s="1">
        <v>43831</v>
      </c>
      <c r="V767" t="s">
        <v>260</v>
      </c>
      <c r="W767">
        <v>380000</v>
      </c>
      <c r="X767">
        <v>380000</v>
      </c>
      <c r="Y767" t="s">
        <v>270</v>
      </c>
      <c r="Z767">
        <v>77000</v>
      </c>
      <c r="AA767">
        <v>77000</v>
      </c>
      <c r="AB767" t="b">
        <v>0</v>
      </c>
      <c r="AC767">
        <v>1</v>
      </c>
    </row>
    <row r="768" spans="17:29" x14ac:dyDescent="0.2">
      <c r="Q768" t="s">
        <v>2210</v>
      </c>
      <c r="R768" t="s">
        <v>2316</v>
      </c>
      <c r="S768" t="s">
        <v>257</v>
      </c>
      <c r="T768" s="1">
        <v>43647</v>
      </c>
      <c r="U768" s="1">
        <v>43647</v>
      </c>
      <c r="V768" t="s">
        <v>260</v>
      </c>
      <c r="W768">
        <v>697000</v>
      </c>
      <c r="X768">
        <v>697000</v>
      </c>
      <c r="Y768" t="s">
        <v>270</v>
      </c>
      <c r="Z768">
        <v>172000</v>
      </c>
      <c r="AA768">
        <v>172000</v>
      </c>
      <c r="AB768" t="b">
        <v>0</v>
      </c>
      <c r="AC768">
        <v>1</v>
      </c>
    </row>
    <row r="769" spans="17:29" x14ac:dyDescent="0.2">
      <c r="Q769" t="s">
        <v>2210</v>
      </c>
      <c r="R769" t="s">
        <v>2316</v>
      </c>
      <c r="S769" t="s">
        <v>257</v>
      </c>
      <c r="T769" s="1">
        <v>43466</v>
      </c>
      <c r="U769" s="1">
        <v>43466</v>
      </c>
      <c r="V769" t="s">
        <v>260</v>
      </c>
      <c r="W769">
        <v>455540</v>
      </c>
      <c r="X769">
        <v>455540</v>
      </c>
      <c r="Y769" t="s">
        <v>270</v>
      </c>
      <c r="Z769">
        <v>118450</v>
      </c>
      <c r="AA769">
        <v>118450</v>
      </c>
      <c r="AB769" t="b">
        <v>0</v>
      </c>
      <c r="AC769">
        <v>1</v>
      </c>
    </row>
    <row r="770" spans="17:29" x14ac:dyDescent="0.2">
      <c r="Q770" t="s">
        <v>2210</v>
      </c>
      <c r="R770" t="s">
        <v>2316</v>
      </c>
      <c r="S770" t="s">
        <v>257</v>
      </c>
      <c r="T770" s="1">
        <v>43282</v>
      </c>
      <c r="U770" s="1">
        <v>43282</v>
      </c>
      <c r="V770" t="s">
        <v>260</v>
      </c>
      <c r="W770">
        <v>406600</v>
      </c>
      <c r="X770">
        <v>406600</v>
      </c>
      <c r="Y770" t="s">
        <v>270</v>
      </c>
      <c r="Z770">
        <v>104780</v>
      </c>
      <c r="AA770">
        <v>104780</v>
      </c>
      <c r="AB770" t="b">
        <v>0</v>
      </c>
      <c r="AC770">
        <v>1</v>
      </c>
    </row>
    <row r="771" spans="17:29" x14ac:dyDescent="0.2">
      <c r="Q771" t="s">
        <v>2208</v>
      </c>
      <c r="R771" t="s">
        <v>2317</v>
      </c>
      <c r="S771" t="s">
        <v>257</v>
      </c>
      <c r="T771" s="1">
        <v>44197</v>
      </c>
      <c r="U771" s="1">
        <v>44197</v>
      </c>
      <c r="V771" t="s">
        <v>260</v>
      </c>
      <c r="W771">
        <v>465000</v>
      </c>
      <c r="X771">
        <v>465000</v>
      </c>
      <c r="Y771" t="s">
        <v>270</v>
      </c>
      <c r="Z771">
        <v>86000</v>
      </c>
      <c r="AA771">
        <v>86000</v>
      </c>
      <c r="AB771" t="b">
        <v>0</v>
      </c>
      <c r="AC771">
        <v>1</v>
      </c>
    </row>
    <row r="772" spans="17:29" x14ac:dyDescent="0.2">
      <c r="Q772" t="s">
        <v>2208</v>
      </c>
      <c r="R772" t="s">
        <v>2317</v>
      </c>
      <c r="S772" t="s">
        <v>257</v>
      </c>
      <c r="T772" s="1">
        <v>44013</v>
      </c>
      <c r="U772" s="1">
        <v>44013</v>
      </c>
      <c r="V772" t="s">
        <v>260</v>
      </c>
      <c r="W772">
        <v>448000</v>
      </c>
      <c r="X772">
        <v>448000</v>
      </c>
      <c r="Y772" t="s">
        <v>270</v>
      </c>
      <c r="Z772">
        <v>82000</v>
      </c>
      <c r="AA772">
        <v>82000</v>
      </c>
      <c r="AB772" t="b">
        <v>0</v>
      </c>
      <c r="AC772">
        <v>1</v>
      </c>
    </row>
    <row r="773" spans="17:29" x14ac:dyDescent="0.2">
      <c r="Q773" t="s">
        <v>2208</v>
      </c>
      <c r="R773" t="s">
        <v>2317</v>
      </c>
      <c r="S773" t="s">
        <v>257</v>
      </c>
      <c r="T773" s="1">
        <v>43466</v>
      </c>
      <c r="U773" s="1">
        <v>43466</v>
      </c>
      <c r="V773" t="s">
        <v>260</v>
      </c>
      <c r="W773">
        <v>335630</v>
      </c>
      <c r="X773">
        <v>335630</v>
      </c>
      <c r="Y773" t="s">
        <v>270</v>
      </c>
      <c r="Z773">
        <v>87270</v>
      </c>
      <c r="AA773">
        <v>87270</v>
      </c>
      <c r="AB773" t="b">
        <v>0</v>
      </c>
      <c r="AC773">
        <v>1</v>
      </c>
    </row>
    <row r="774" spans="17:29" x14ac:dyDescent="0.2">
      <c r="Q774" t="s">
        <v>2208</v>
      </c>
      <c r="R774" t="s">
        <v>2317</v>
      </c>
      <c r="S774" t="s">
        <v>257</v>
      </c>
      <c r="T774" s="1">
        <v>43282</v>
      </c>
      <c r="U774" s="1">
        <v>43282</v>
      </c>
      <c r="V774" t="s">
        <v>260</v>
      </c>
      <c r="W774">
        <v>373740</v>
      </c>
      <c r="X774">
        <v>373740</v>
      </c>
      <c r="Y774" t="s">
        <v>270</v>
      </c>
      <c r="Z774">
        <v>96310</v>
      </c>
      <c r="AA774">
        <v>96310</v>
      </c>
      <c r="AB774" t="b">
        <v>0</v>
      </c>
      <c r="AC774">
        <v>1</v>
      </c>
    </row>
    <row r="775" spans="17:29" x14ac:dyDescent="0.2">
      <c r="Q775" t="s">
        <v>2210</v>
      </c>
      <c r="R775" t="s">
        <v>2317</v>
      </c>
      <c r="S775" t="s">
        <v>257</v>
      </c>
      <c r="T775" s="1">
        <v>44197</v>
      </c>
      <c r="U775" s="1">
        <v>44197</v>
      </c>
      <c r="V775" t="s">
        <v>260</v>
      </c>
      <c r="W775">
        <v>465000</v>
      </c>
      <c r="X775">
        <v>465000</v>
      </c>
      <c r="Y775" t="s">
        <v>270</v>
      </c>
      <c r="Z775">
        <v>86000</v>
      </c>
      <c r="AA775">
        <v>86000</v>
      </c>
      <c r="AB775" t="b">
        <v>0</v>
      </c>
      <c r="AC775">
        <v>1</v>
      </c>
    </row>
    <row r="776" spans="17:29" x14ac:dyDescent="0.2">
      <c r="Q776" t="s">
        <v>2210</v>
      </c>
      <c r="R776" t="s">
        <v>2317</v>
      </c>
      <c r="S776" t="s">
        <v>257</v>
      </c>
      <c r="T776" s="1">
        <v>44013</v>
      </c>
      <c r="U776" s="1">
        <v>44013</v>
      </c>
      <c r="V776" t="s">
        <v>260</v>
      </c>
      <c r="W776">
        <v>448000</v>
      </c>
      <c r="X776">
        <v>448000</v>
      </c>
      <c r="Y776" t="s">
        <v>270</v>
      </c>
      <c r="Z776">
        <v>82000</v>
      </c>
      <c r="AA776">
        <v>82000</v>
      </c>
      <c r="AB776" t="b">
        <v>0</v>
      </c>
      <c r="AC776">
        <v>1</v>
      </c>
    </row>
    <row r="777" spans="17:29" x14ac:dyDescent="0.2">
      <c r="Q777" t="s">
        <v>2210</v>
      </c>
      <c r="R777" t="s">
        <v>2317</v>
      </c>
      <c r="S777" t="s">
        <v>257</v>
      </c>
      <c r="T777" s="1">
        <v>43466</v>
      </c>
      <c r="U777" s="1">
        <v>43466</v>
      </c>
      <c r="V777" t="s">
        <v>260</v>
      </c>
      <c r="W777">
        <v>335630</v>
      </c>
      <c r="X777">
        <v>335630</v>
      </c>
      <c r="Y777" t="s">
        <v>270</v>
      </c>
      <c r="Z777">
        <v>87270</v>
      </c>
      <c r="AA777">
        <v>87270</v>
      </c>
      <c r="AB777" t="b">
        <v>0</v>
      </c>
      <c r="AC777">
        <v>1</v>
      </c>
    </row>
    <row r="778" spans="17:29" x14ac:dyDescent="0.2">
      <c r="Q778" t="s">
        <v>2210</v>
      </c>
      <c r="R778" t="s">
        <v>2317</v>
      </c>
      <c r="S778" t="s">
        <v>257</v>
      </c>
      <c r="T778" s="1">
        <v>43282</v>
      </c>
      <c r="U778" s="1">
        <v>43282</v>
      </c>
      <c r="V778" t="s">
        <v>260</v>
      </c>
      <c r="W778">
        <v>373740</v>
      </c>
      <c r="X778">
        <v>373740</v>
      </c>
      <c r="Y778" t="s">
        <v>270</v>
      </c>
      <c r="Z778">
        <v>96310</v>
      </c>
      <c r="AA778">
        <v>96310</v>
      </c>
      <c r="AB778" t="b">
        <v>0</v>
      </c>
      <c r="AC778">
        <v>1</v>
      </c>
    </row>
    <row r="779" spans="17:29" x14ac:dyDescent="0.2">
      <c r="Q779" t="s">
        <v>2208</v>
      </c>
      <c r="R779" t="s">
        <v>2318</v>
      </c>
      <c r="S779" t="s">
        <v>257</v>
      </c>
      <c r="T779" s="1">
        <v>44197</v>
      </c>
      <c r="U779" s="1">
        <v>44197</v>
      </c>
      <c r="V779" t="s">
        <v>260</v>
      </c>
      <c r="W779">
        <v>102000</v>
      </c>
      <c r="X779">
        <v>102000</v>
      </c>
      <c r="Y779" t="s">
        <v>270</v>
      </c>
      <c r="Z779">
        <v>19000</v>
      </c>
      <c r="AA779">
        <v>19000</v>
      </c>
      <c r="AB779" t="b">
        <v>0</v>
      </c>
      <c r="AC779">
        <v>1</v>
      </c>
    </row>
    <row r="780" spans="17:29" x14ac:dyDescent="0.2">
      <c r="Q780" t="s">
        <v>2208</v>
      </c>
      <c r="R780" t="s">
        <v>2318</v>
      </c>
      <c r="S780" t="s">
        <v>257</v>
      </c>
      <c r="T780" s="1">
        <v>44013</v>
      </c>
      <c r="U780" s="1">
        <v>44013</v>
      </c>
      <c r="V780" t="s">
        <v>260</v>
      </c>
      <c r="W780">
        <v>102000</v>
      </c>
      <c r="X780">
        <v>102000</v>
      </c>
      <c r="Y780" t="s">
        <v>270</v>
      </c>
      <c r="Z780">
        <v>19000</v>
      </c>
      <c r="AA780">
        <v>19000</v>
      </c>
      <c r="AB780" t="b">
        <v>0</v>
      </c>
      <c r="AC780">
        <v>1</v>
      </c>
    </row>
    <row r="781" spans="17:29" x14ac:dyDescent="0.2">
      <c r="Q781" t="s">
        <v>2208</v>
      </c>
      <c r="R781" t="s">
        <v>2318</v>
      </c>
      <c r="S781" t="s">
        <v>257</v>
      </c>
      <c r="T781" s="1">
        <v>43831</v>
      </c>
      <c r="U781" s="1">
        <v>43831</v>
      </c>
      <c r="V781" t="s">
        <v>260</v>
      </c>
      <c r="W781">
        <v>93000</v>
      </c>
      <c r="X781">
        <v>93000</v>
      </c>
      <c r="Y781" t="s">
        <v>270</v>
      </c>
      <c r="Z781">
        <v>19000</v>
      </c>
      <c r="AA781">
        <v>19000</v>
      </c>
      <c r="AB781" t="b">
        <v>0</v>
      </c>
      <c r="AC781">
        <v>1</v>
      </c>
    </row>
    <row r="782" spans="17:29" x14ac:dyDescent="0.2">
      <c r="Q782" t="s">
        <v>2208</v>
      </c>
      <c r="R782" t="s">
        <v>2318</v>
      </c>
      <c r="S782" t="s">
        <v>257</v>
      </c>
      <c r="T782" s="1">
        <v>43647</v>
      </c>
      <c r="U782" s="1">
        <v>43647</v>
      </c>
      <c r="V782" t="s">
        <v>260</v>
      </c>
      <c r="W782">
        <v>84000</v>
      </c>
      <c r="X782">
        <v>84000</v>
      </c>
      <c r="Y782" t="s">
        <v>270</v>
      </c>
      <c r="Z782">
        <v>20000</v>
      </c>
      <c r="AA782">
        <v>20000</v>
      </c>
      <c r="AB782" t="b">
        <v>0</v>
      </c>
      <c r="AC782">
        <v>1</v>
      </c>
    </row>
    <row r="783" spans="17:29" x14ac:dyDescent="0.2">
      <c r="Q783" t="s">
        <v>2208</v>
      </c>
      <c r="R783" t="s">
        <v>2318</v>
      </c>
      <c r="S783" t="s">
        <v>257</v>
      </c>
      <c r="T783" s="1">
        <v>43466</v>
      </c>
      <c r="U783" s="1">
        <v>43466</v>
      </c>
      <c r="V783" t="s">
        <v>260</v>
      </c>
      <c r="W783">
        <v>36840</v>
      </c>
      <c r="X783">
        <v>36840</v>
      </c>
      <c r="Y783" t="s">
        <v>270</v>
      </c>
      <c r="Z783">
        <v>9580</v>
      </c>
      <c r="AA783">
        <v>9580</v>
      </c>
      <c r="AB783" t="b">
        <v>0</v>
      </c>
      <c r="AC783">
        <v>1</v>
      </c>
    </row>
    <row r="784" spans="17:29" x14ac:dyDescent="0.2">
      <c r="Q784" t="s">
        <v>2208</v>
      </c>
      <c r="R784" t="s">
        <v>2318</v>
      </c>
      <c r="S784" t="s">
        <v>257</v>
      </c>
      <c r="T784" s="1">
        <v>43282</v>
      </c>
      <c r="U784" s="1">
        <v>43282</v>
      </c>
      <c r="V784" t="s">
        <v>260</v>
      </c>
      <c r="W784">
        <v>36840</v>
      </c>
      <c r="X784">
        <v>36840</v>
      </c>
      <c r="Y784" t="s">
        <v>270</v>
      </c>
      <c r="Z784">
        <v>9490</v>
      </c>
      <c r="AA784">
        <v>9490</v>
      </c>
      <c r="AB784" t="b">
        <v>0</v>
      </c>
      <c r="AC784">
        <v>1</v>
      </c>
    </row>
    <row r="785" spans="17:29" x14ac:dyDescent="0.2">
      <c r="Q785" t="s">
        <v>2210</v>
      </c>
      <c r="R785" t="s">
        <v>2318</v>
      </c>
      <c r="S785" t="s">
        <v>257</v>
      </c>
      <c r="T785" s="1">
        <v>44197</v>
      </c>
      <c r="U785" s="1">
        <v>44197</v>
      </c>
      <c r="V785" t="s">
        <v>260</v>
      </c>
      <c r="W785">
        <v>102000</v>
      </c>
      <c r="X785">
        <v>102000</v>
      </c>
      <c r="Y785" t="s">
        <v>270</v>
      </c>
      <c r="Z785">
        <v>19000</v>
      </c>
      <c r="AA785">
        <v>19000</v>
      </c>
      <c r="AB785" t="b">
        <v>0</v>
      </c>
      <c r="AC785">
        <v>1</v>
      </c>
    </row>
    <row r="786" spans="17:29" x14ac:dyDescent="0.2">
      <c r="Q786" t="s">
        <v>2210</v>
      </c>
      <c r="R786" t="s">
        <v>2318</v>
      </c>
      <c r="S786" t="s">
        <v>257</v>
      </c>
      <c r="T786" s="1">
        <v>44013</v>
      </c>
      <c r="U786" s="1">
        <v>44013</v>
      </c>
      <c r="V786" t="s">
        <v>260</v>
      </c>
      <c r="W786">
        <v>102000</v>
      </c>
      <c r="X786">
        <v>102000</v>
      </c>
      <c r="Y786" t="s">
        <v>270</v>
      </c>
      <c r="Z786">
        <v>19000</v>
      </c>
      <c r="AA786">
        <v>19000</v>
      </c>
      <c r="AB786" t="b">
        <v>0</v>
      </c>
      <c r="AC786">
        <v>1</v>
      </c>
    </row>
    <row r="787" spans="17:29" x14ac:dyDescent="0.2">
      <c r="Q787" t="s">
        <v>2210</v>
      </c>
      <c r="R787" t="s">
        <v>2318</v>
      </c>
      <c r="S787" t="s">
        <v>257</v>
      </c>
      <c r="T787" s="1">
        <v>43831</v>
      </c>
      <c r="U787" s="1">
        <v>43831</v>
      </c>
      <c r="V787" t="s">
        <v>260</v>
      </c>
      <c r="W787">
        <v>93000</v>
      </c>
      <c r="X787">
        <v>93000</v>
      </c>
      <c r="Y787" t="s">
        <v>270</v>
      </c>
      <c r="Z787">
        <v>19000</v>
      </c>
      <c r="AA787">
        <v>19000</v>
      </c>
      <c r="AB787" t="b">
        <v>0</v>
      </c>
      <c r="AC787">
        <v>1</v>
      </c>
    </row>
    <row r="788" spans="17:29" x14ac:dyDescent="0.2">
      <c r="Q788" t="s">
        <v>2210</v>
      </c>
      <c r="R788" t="s">
        <v>2318</v>
      </c>
      <c r="S788" t="s">
        <v>257</v>
      </c>
      <c r="T788" s="1">
        <v>43647</v>
      </c>
      <c r="U788" s="1">
        <v>43647</v>
      </c>
      <c r="V788" t="s">
        <v>260</v>
      </c>
      <c r="W788">
        <v>84000</v>
      </c>
      <c r="X788">
        <v>84000</v>
      </c>
      <c r="Y788" t="s">
        <v>270</v>
      </c>
      <c r="Z788">
        <v>20000</v>
      </c>
      <c r="AA788">
        <v>20000</v>
      </c>
      <c r="AB788" t="b">
        <v>0</v>
      </c>
      <c r="AC788">
        <v>1</v>
      </c>
    </row>
    <row r="789" spans="17:29" x14ac:dyDescent="0.2">
      <c r="Q789" t="s">
        <v>2210</v>
      </c>
      <c r="R789" t="s">
        <v>2318</v>
      </c>
      <c r="S789" t="s">
        <v>257</v>
      </c>
      <c r="T789" s="1">
        <v>43466</v>
      </c>
      <c r="U789" s="1">
        <v>43466</v>
      </c>
      <c r="V789" t="s">
        <v>260</v>
      </c>
      <c r="W789">
        <v>36840</v>
      </c>
      <c r="X789">
        <v>36840</v>
      </c>
      <c r="Y789" t="s">
        <v>270</v>
      </c>
      <c r="Z789">
        <v>9580</v>
      </c>
      <c r="AA789">
        <v>9580</v>
      </c>
      <c r="AB789" t="b">
        <v>0</v>
      </c>
      <c r="AC789">
        <v>1</v>
      </c>
    </row>
    <row r="790" spans="17:29" x14ac:dyDescent="0.2">
      <c r="Q790" t="s">
        <v>2210</v>
      </c>
      <c r="R790" t="s">
        <v>2318</v>
      </c>
      <c r="S790" t="s">
        <v>257</v>
      </c>
      <c r="T790" s="1">
        <v>43282</v>
      </c>
      <c r="U790" s="1">
        <v>43282</v>
      </c>
      <c r="V790" t="s">
        <v>260</v>
      </c>
      <c r="W790">
        <v>36840</v>
      </c>
      <c r="X790">
        <v>36840</v>
      </c>
      <c r="Y790" t="s">
        <v>270</v>
      </c>
      <c r="Z790">
        <v>9490</v>
      </c>
      <c r="AA790">
        <v>9490</v>
      </c>
      <c r="AB790" t="b">
        <v>0</v>
      </c>
      <c r="AC790">
        <v>1</v>
      </c>
    </row>
    <row r="791" spans="17:29" x14ac:dyDescent="0.2">
      <c r="Q791" t="s">
        <v>1998</v>
      </c>
      <c r="R791" t="s">
        <v>2319</v>
      </c>
      <c r="S791" t="s">
        <v>257</v>
      </c>
      <c r="T791" s="1">
        <v>43831</v>
      </c>
      <c r="U791" s="1">
        <v>43831</v>
      </c>
      <c r="V791" t="s">
        <v>260</v>
      </c>
      <c r="W791">
        <v>18173000</v>
      </c>
      <c r="X791">
        <v>18173000</v>
      </c>
      <c r="Y791" t="s">
        <v>270</v>
      </c>
      <c r="Z791">
        <v>3691000</v>
      </c>
      <c r="AA791">
        <v>3691000</v>
      </c>
      <c r="AB791" t="b">
        <v>0</v>
      </c>
      <c r="AC791">
        <v>1</v>
      </c>
    </row>
    <row r="792" spans="17:29" x14ac:dyDescent="0.2">
      <c r="Q792" t="s">
        <v>1998</v>
      </c>
      <c r="R792" t="s">
        <v>2319</v>
      </c>
      <c r="S792" t="s">
        <v>257</v>
      </c>
      <c r="T792" s="1">
        <v>43647</v>
      </c>
      <c r="U792" s="1">
        <v>43647</v>
      </c>
      <c r="V792" t="s">
        <v>260</v>
      </c>
      <c r="W792">
        <v>4450000</v>
      </c>
      <c r="X792">
        <v>4450000</v>
      </c>
      <c r="Y792" t="s">
        <v>270</v>
      </c>
      <c r="Z792">
        <v>1098000</v>
      </c>
      <c r="AA792">
        <v>1098000</v>
      </c>
      <c r="AB792" t="b">
        <v>0</v>
      </c>
      <c r="AC792">
        <v>1</v>
      </c>
    </row>
    <row r="793" spans="17:29" x14ac:dyDescent="0.2">
      <c r="Q793" t="s">
        <v>2067</v>
      </c>
      <c r="R793" t="s">
        <v>2319</v>
      </c>
      <c r="S793" t="s">
        <v>257</v>
      </c>
      <c r="T793" s="1">
        <v>43831</v>
      </c>
      <c r="U793" s="1">
        <v>43831</v>
      </c>
      <c r="V793" t="s">
        <v>260</v>
      </c>
      <c r="W793">
        <v>18173000</v>
      </c>
      <c r="X793">
        <v>18173000</v>
      </c>
      <c r="Y793" t="s">
        <v>270</v>
      </c>
      <c r="Z793">
        <v>3691000</v>
      </c>
      <c r="AA793">
        <v>3691000</v>
      </c>
      <c r="AB793" t="b">
        <v>0</v>
      </c>
      <c r="AC793">
        <v>1</v>
      </c>
    </row>
    <row r="794" spans="17:29" x14ac:dyDescent="0.2">
      <c r="Q794" t="s">
        <v>2067</v>
      </c>
      <c r="R794" t="s">
        <v>2319</v>
      </c>
      <c r="S794" t="s">
        <v>257</v>
      </c>
      <c r="T794" s="1">
        <v>43647</v>
      </c>
      <c r="U794" s="1">
        <v>43647</v>
      </c>
      <c r="V794" t="s">
        <v>260</v>
      </c>
      <c r="W794">
        <v>4450000</v>
      </c>
      <c r="X794">
        <v>4450000</v>
      </c>
      <c r="Y794" t="s">
        <v>270</v>
      </c>
      <c r="Z794">
        <v>1098000</v>
      </c>
      <c r="AA794">
        <v>1098000</v>
      </c>
      <c r="AB794" t="b">
        <v>0</v>
      </c>
      <c r="AC794">
        <v>1</v>
      </c>
    </row>
    <row r="795" spans="17:29" x14ac:dyDescent="0.2">
      <c r="Q795" t="s">
        <v>2029</v>
      </c>
      <c r="R795" t="s">
        <v>2320</v>
      </c>
      <c r="S795" t="s">
        <v>257</v>
      </c>
      <c r="T795" s="1">
        <v>43831</v>
      </c>
      <c r="U795" s="1">
        <v>43831</v>
      </c>
      <c r="V795" t="s">
        <v>260</v>
      </c>
      <c r="W795">
        <v>1090000</v>
      </c>
      <c r="X795">
        <v>1090000</v>
      </c>
      <c r="Y795" t="s">
        <v>270</v>
      </c>
      <c r="Z795">
        <v>221000</v>
      </c>
      <c r="AA795">
        <v>221000</v>
      </c>
      <c r="AB795" t="b">
        <v>0</v>
      </c>
      <c r="AC795">
        <v>1</v>
      </c>
    </row>
    <row r="796" spans="17:29" x14ac:dyDescent="0.2">
      <c r="Q796" t="s">
        <v>2029</v>
      </c>
      <c r="R796" t="s">
        <v>2320</v>
      </c>
      <c r="S796" t="s">
        <v>257</v>
      </c>
      <c r="T796" s="1">
        <v>43647</v>
      </c>
      <c r="U796" s="1">
        <v>43647</v>
      </c>
      <c r="V796" t="s">
        <v>260</v>
      </c>
      <c r="W796">
        <v>7287000</v>
      </c>
      <c r="X796">
        <v>7287000</v>
      </c>
      <c r="Y796" t="s">
        <v>270</v>
      </c>
      <c r="Z796">
        <v>1797000</v>
      </c>
      <c r="AA796">
        <v>1797000</v>
      </c>
      <c r="AB796" t="b">
        <v>0</v>
      </c>
      <c r="AC796">
        <v>1</v>
      </c>
    </row>
    <row r="797" spans="17:29" x14ac:dyDescent="0.2">
      <c r="Q797" t="s">
        <v>2029</v>
      </c>
      <c r="R797" t="s">
        <v>2320</v>
      </c>
      <c r="S797" t="s">
        <v>257</v>
      </c>
      <c r="T797" s="1">
        <v>44200</v>
      </c>
      <c r="U797" s="1">
        <v>44200</v>
      </c>
      <c r="V797" t="s">
        <v>260</v>
      </c>
      <c r="W797">
        <v>3850000</v>
      </c>
      <c r="X797">
        <v>3850000</v>
      </c>
      <c r="Y797" t="s">
        <v>270</v>
      </c>
      <c r="Z797">
        <v>714000</v>
      </c>
      <c r="AA797">
        <v>714000</v>
      </c>
      <c r="AB797" t="b">
        <v>0</v>
      </c>
      <c r="AC797">
        <v>1</v>
      </c>
    </row>
    <row r="798" spans="17:29" x14ac:dyDescent="0.2">
      <c r="Q798" t="s">
        <v>2029</v>
      </c>
      <c r="R798" t="s">
        <v>2320</v>
      </c>
      <c r="S798" t="s">
        <v>257</v>
      </c>
      <c r="T798" s="1">
        <v>44013</v>
      </c>
      <c r="U798" s="1">
        <v>44013</v>
      </c>
      <c r="V798" t="s">
        <v>260</v>
      </c>
      <c r="W798">
        <v>750000</v>
      </c>
      <c r="X798">
        <v>750000</v>
      </c>
      <c r="Y798" t="s">
        <v>270</v>
      </c>
      <c r="Z798">
        <v>138000</v>
      </c>
      <c r="AA798">
        <v>138000</v>
      </c>
      <c r="AB798" t="b">
        <v>0</v>
      </c>
      <c r="AC798">
        <v>1</v>
      </c>
    </row>
    <row r="799" spans="17:29" x14ac:dyDescent="0.2">
      <c r="Q799" t="s">
        <v>2128</v>
      </c>
      <c r="R799" t="s">
        <v>2321</v>
      </c>
      <c r="S799" t="s">
        <v>257</v>
      </c>
      <c r="T799" s="1">
        <v>44228</v>
      </c>
      <c r="U799" s="1">
        <v>44228</v>
      </c>
      <c r="V799" t="s">
        <v>260</v>
      </c>
      <c r="W799">
        <v>4856000</v>
      </c>
      <c r="X799">
        <v>4856000</v>
      </c>
      <c r="Y799" t="s">
        <v>260</v>
      </c>
      <c r="Z799">
        <v>4856000</v>
      </c>
      <c r="AA799">
        <v>890029</v>
      </c>
      <c r="AB799" t="b">
        <v>1</v>
      </c>
      <c r="AC799">
        <v>1</v>
      </c>
    </row>
    <row r="800" spans="17:29" x14ac:dyDescent="0.2">
      <c r="Q800" t="s">
        <v>1989</v>
      </c>
      <c r="R800" t="s">
        <v>2321</v>
      </c>
      <c r="S800" t="s">
        <v>257</v>
      </c>
      <c r="T800" s="1">
        <v>44228</v>
      </c>
      <c r="U800" s="1">
        <v>44228</v>
      </c>
      <c r="V800" t="s">
        <v>260</v>
      </c>
      <c r="W800">
        <v>4856000</v>
      </c>
      <c r="X800">
        <v>4856000</v>
      </c>
      <c r="Y800" t="s">
        <v>260</v>
      </c>
      <c r="Z800">
        <v>4856000</v>
      </c>
      <c r="AA800">
        <v>890029</v>
      </c>
      <c r="AB800" t="b">
        <v>1</v>
      </c>
      <c r="AC800">
        <v>1</v>
      </c>
    </row>
    <row r="801" spans="17:29" x14ac:dyDescent="0.2">
      <c r="Q801" t="s">
        <v>2128</v>
      </c>
      <c r="R801" t="s">
        <v>2322</v>
      </c>
      <c r="S801" t="s">
        <v>257</v>
      </c>
      <c r="T801" s="1">
        <v>44228</v>
      </c>
      <c r="U801" s="1">
        <v>44228</v>
      </c>
      <c r="V801" t="s">
        <v>260</v>
      </c>
      <c r="W801">
        <v>14230000</v>
      </c>
      <c r="X801">
        <v>14230000</v>
      </c>
      <c r="Y801" t="s">
        <v>260</v>
      </c>
      <c r="Z801">
        <v>14230000</v>
      </c>
      <c r="AA801">
        <v>2608137</v>
      </c>
      <c r="AB801" t="b">
        <v>0</v>
      </c>
      <c r="AC801">
        <v>0.9</v>
      </c>
    </row>
    <row r="802" spans="17:29" x14ac:dyDescent="0.2">
      <c r="Q802" t="s">
        <v>1989</v>
      </c>
      <c r="R802" t="s">
        <v>2322</v>
      </c>
      <c r="S802" t="s">
        <v>257</v>
      </c>
      <c r="T802" s="1">
        <v>44228</v>
      </c>
      <c r="U802" s="1">
        <v>44228</v>
      </c>
      <c r="V802" t="s">
        <v>260</v>
      </c>
      <c r="W802">
        <v>14230000</v>
      </c>
      <c r="X802">
        <v>14230000</v>
      </c>
      <c r="Y802" t="s">
        <v>260</v>
      </c>
      <c r="Z802">
        <v>14230000</v>
      </c>
      <c r="AA802">
        <v>2608137</v>
      </c>
      <c r="AB802" t="b">
        <v>0</v>
      </c>
      <c r="AC802">
        <v>0.9</v>
      </c>
    </row>
    <row r="803" spans="17:29" x14ac:dyDescent="0.2">
      <c r="Q803" t="s">
        <v>1987</v>
      </c>
      <c r="R803" t="s">
        <v>2323</v>
      </c>
      <c r="S803" t="s">
        <v>257</v>
      </c>
      <c r="T803" s="1">
        <v>43256</v>
      </c>
      <c r="U803" s="1">
        <v>43286</v>
      </c>
      <c r="V803" t="s">
        <v>260</v>
      </c>
      <c r="W803">
        <v>16000000</v>
      </c>
      <c r="X803">
        <v>16000000</v>
      </c>
      <c r="Y803" t="s">
        <v>260</v>
      </c>
      <c r="Z803">
        <v>16000000</v>
      </c>
      <c r="AA803">
        <v>4266666</v>
      </c>
      <c r="AB803" t="b">
        <v>0</v>
      </c>
      <c r="AC803">
        <v>0.7</v>
      </c>
    </row>
    <row r="804" spans="17:29" x14ac:dyDescent="0.2">
      <c r="Q804" t="s">
        <v>2117</v>
      </c>
      <c r="R804" t="s">
        <v>2323</v>
      </c>
      <c r="S804" t="s">
        <v>257</v>
      </c>
      <c r="T804" s="1">
        <v>43256</v>
      </c>
      <c r="U804" s="1">
        <v>43286</v>
      </c>
      <c r="V804" t="s">
        <v>260</v>
      </c>
      <c r="W804">
        <v>16000000</v>
      </c>
      <c r="X804">
        <v>16000000</v>
      </c>
      <c r="Y804" t="s">
        <v>260</v>
      </c>
      <c r="Z804">
        <v>16000000</v>
      </c>
      <c r="AA804">
        <v>4266666</v>
      </c>
      <c r="AB804" t="b">
        <v>0</v>
      </c>
      <c r="AC804">
        <v>0.7</v>
      </c>
    </row>
    <row r="805" spans="17:29" x14ac:dyDescent="0.2">
      <c r="Q805" t="s">
        <v>2029</v>
      </c>
      <c r="R805" t="s">
        <v>2323</v>
      </c>
      <c r="S805" t="s">
        <v>257</v>
      </c>
      <c r="T805" s="1">
        <v>43256</v>
      </c>
      <c r="U805" s="1">
        <v>43286</v>
      </c>
      <c r="V805" t="s">
        <v>260</v>
      </c>
      <c r="W805">
        <v>16000000</v>
      </c>
      <c r="X805">
        <v>16000000</v>
      </c>
      <c r="Y805" t="s">
        <v>260</v>
      </c>
      <c r="Z805">
        <v>16000000</v>
      </c>
      <c r="AA805">
        <v>4266666</v>
      </c>
      <c r="AB805" t="b">
        <v>0</v>
      </c>
      <c r="AC805">
        <v>0.7</v>
      </c>
    </row>
    <row r="806" spans="17:29" x14ac:dyDescent="0.2">
      <c r="Q806" t="s">
        <v>2029</v>
      </c>
      <c r="R806" t="s">
        <v>2323</v>
      </c>
      <c r="S806" t="s">
        <v>257</v>
      </c>
      <c r="T806" s="1">
        <v>43256</v>
      </c>
      <c r="U806" s="1">
        <v>43286</v>
      </c>
      <c r="V806" t="s">
        <v>260</v>
      </c>
      <c r="W806">
        <v>16000000</v>
      </c>
      <c r="X806">
        <v>16000000</v>
      </c>
      <c r="Y806" t="s">
        <v>260</v>
      </c>
      <c r="Z806">
        <v>16000000</v>
      </c>
      <c r="AA806">
        <v>4266666</v>
      </c>
      <c r="AB806" t="b">
        <v>0</v>
      </c>
      <c r="AC806">
        <v>0.7</v>
      </c>
    </row>
    <row r="807" spans="17:29" x14ac:dyDescent="0.2">
      <c r="Q807" t="s">
        <v>1987</v>
      </c>
      <c r="R807" t="s">
        <v>2324</v>
      </c>
      <c r="S807" t="s">
        <v>257</v>
      </c>
      <c r="T807" s="1">
        <v>43256</v>
      </c>
      <c r="U807" s="1">
        <v>43286</v>
      </c>
      <c r="V807" t="s">
        <v>260</v>
      </c>
      <c r="W807">
        <v>14000000</v>
      </c>
      <c r="X807">
        <v>14000000</v>
      </c>
      <c r="Y807" t="s">
        <v>260</v>
      </c>
      <c r="Z807">
        <v>14000000</v>
      </c>
      <c r="AA807">
        <v>3733333</v>
      </c>
      <c r="AB807" t="b">
        <v>0</v>
      </c>
      <c r="AC807">
        <v>0.7</v>
      </c>
    </row>
    <row r="808" spans="17:29" x14ac:dyDescent="0.2">
      <c r="Q808" t="s">
        <v>2117</v>
      </c>
      <c r="R808" t="s">
        <v>2324</v>
      </c>
      <c r="S808" t="s">
        <v>257</v>
      </c>
      <c r="T808" s="1">
        <v>43256</v>
      </c>
      <c r="U808" s="1">
        <v>43286</v>
      </c>
      <c r="V808" t="s">
        <v>260</v>
      </c>
      <c r="W808">
        <v>14000000</v>
      </c>
      <c r="X808">
        <v>14000000</v>
      </c>
      <c r="Y808" t="s">
        <v>260</v>
      </c>
      <c r="Z808">
        <v>14000000</v>
      </c>
      <c r="AA808">
        <v>3733333</v>
      </c>
      <c r="AB808" t="b">
        <v>0</v>
      </c>
      <c r="AC808">
        <v>0.7</v>
      </c>
    </row>
    <row r="809" spans="17:29" x14ac:dyDescent="0.2">
      <c r="Q809" t="s">
        <v>2029</v>
      </c>
      <c r="R809" t="s">
        <v>2324</v>
      </c>
      <c r="S809" t="s">
        <v>257</v>
      </c>
      <c r="T809" s="1">
        <v>43256</v>
      </c>
      <c r="U809" s="1">
        <v>43286</v>
      </c>
      <c r="V809" t="s">
        <v>260</v>
      </c>
      <c r="W809">
        <v>14000000</v>
      </c>
      <c r="X809">
        <v>14000000</v>
      </c>
      <c r="Y809" t="s">
        <v>260</v>
      </c>
      <c r="Z809">
        <v>14000000</v>
      </c>
      <c r="AA809">
        <v>3733333</v>
      </c>
      <c r="AB809" t="b">
        <v>0</v>
      </c>
      <c r="AC809">
        <v>0.7</v>
      </c>
    </row>
    <row r="810" spans="17:29" x14ac:dyDescent="0.2">
      <c r="Q810" t="s">
        <v>2029</v>
      </c>
      <c r="R810" t="s">
        <v>2324</v>
      </c>
      <c r="S810" t="s">
        <v>257</v>
      </c>
      <c r="T810" s="1">
        <v>43256</v>
      </c>
      <c r="U810" s="1">
        <v>43286</v>
      </c>
      <c r="V810" t="s">
        <v>260</v>
      </c>
      <c r="W810">
        <v>14000000</v>
      </c>
      <c r="X810">
        <v>14000000</v>
      </c>
      <c r="Y810" t="s">
        <v>260</v>
      </c>
      <c r="Z810">
        <v>14000000</v>
      </c>
      <c r="AA810">
        <v>3733333</v>
      </c>
      <c r="AB810" t="b">
        <v>0</v>
      </c>
      <c r="AC810">
        <v>0.7</v>
      </c>
    </row>
    <row r="811" spans="17:29" x14ac:dyDescent="0.2">
      <c r="Q811" t="s">
        <v>2128</v>
      </c>
      <c r="R811" t="s">
        <v>2325</v>
      </c>
      <c r="S811" t="s">
        <v>257</v>
      </c>
      <c r="T811" s="1">
        <v>44228</v>
      </c>
      <c r="U811" s="1">
        <v>44228</v>
      </c>
      <c r="V811" t="s">
        <v>260</v>
      </c>
      <c r="W811">
        <v>14659000</v>
      </c>
      <c r="X811">
        <v>14659000</v>
      </c>
      <c r="Y811" t="s">
        <v>260</v>
      </c>
      <c r="Z811">
        <v>14659000</v>
      </c>
      <c r="AA811">
        <v>2686767</v>
      </c>
      <c r="AB811" t="b">
        <v>0</v>
      </c>
      <c r="AC811">
        <v>0.9</v>
      </c>
    </row>
    <row r="812" spans="17:29" x14ac:dyDescent="0.2">
      <c r="Q812" t="s">
        <v>1989</v>
      </c>
      <c r="R812" t="s">
        <v>2325</v>
      </c>
      <c r="S812" t="s">
        <v>257</v>
      </c>
      <c r="T812" s="1">
        <v>44228</v>
      </c>
      <c r="U812" s="1">
        <v>44228</v>
      </c>
      <c r="V812" t="s">
        <v>260</v>
      </c>
      <c r="W812">
        <v>14659000</v>
      </c>
      <c r="X812">
        <v>14659000</v>
      </c>
      <c r="Y812" t="s">
        <v>260</v>
      </c>
      <c r="Z812">
        <v>14659000</v>
      </c>
      <c r="AA812">
        <v>2686767</v>
      </c>
      <c r="AB812" t="b">
        <v>0</v>
      </c>
      <c r="AC812">
        <v>0.9</v>
      </c>
    </row>
    <row r="813" spans="17:29" x14ac:dyDescent="0.2">
      <c r="Q813" t="s">
        <v>2128</v>
      </c>
      <c r="R813" t="s">
        <v>2326</v>
      </c>
      <c r="S813" t="s">
        <v>257</v>
      </c>
      <c r="T813" s="1">
        <v>44228</v>
      </c>
      <c r="U813" s="1">
        <v>44228</v>
      </c>
      <c r="V813" t="s">
        <v>260</v>
      </c>
      <c r="W813">
        <v>15132000</v>
      </c>
      <c r="X813">
        <v>15132000</v>
      </c>
      <c r="Y813" t="s">
        <v>260</v>
      </c>
      <c r="Z813">
        <v>15132000</v>
      </c>
      <c r="AA813">
        <v>2775460</v>
      </c>
      <c r="AB813" t="b">
        <v>0</v>
      </c>
      <c r="AC813">
        <v>0.9</v>
      </c>
    </row>
    <row r="814" spans="17:29" x14ac:dyDescent="0.2">
      <c r="Q814" t="s">
        <v>1989</v>
      </c>
      <c r="R814" t="s">
        <v>2326</v>
      </c>
      <c r="S814" t="s">
        <v>257</v>
      </c>
      <c r="T814" s="1">
        <v>44228</v>
      </c>
      <c r="U814" s="1">
        <v>44228</v>
      </c>
      <c r="V814" t="s">
        <v>260</v>
      </c>
      <c r="W814">
        <v>15132000</v>
      </c>
      <c r="X814">
        <v>15132000</v>
      </c>
      <c r="Y814" t="s">
        <v>260</v>
      </c>
      <c r="Z814">
        <v>15132000</v>
      </c>
      <c r="AA814">
        <v>2775460</v>
      </c>
      <c r="AB814" t="b">
        <v>0</v>
      </c>
      <c r="AC814">
        <v>0.9</v>
      </c>
    </row>
    <row r="815" spans="17:29" x14ac:dyDescent="0.2">
      <c r="Q815" t="s">
        <v>2128</v>
      </c>
      <c r="R815" t="s">
        <v>2327</v>
      </c>
      <c r="S815" t="s">
        <v>257</v>
      </c>
      <c r="T815" s="1">
        <v>44228</v>
      </c>
      <c r="U815" s="1">
        <v>44228</v>
      </c>
      <c r="V815" t="s">
        <v>260</v>
      </c>
      <c r="W815">
        <v>15187000</v>
      </c>
      <c r="X815">
        <v>15187000</v>
      </c>
      <c r="Y815" t="s">
        <v>260</v>
      </c>
      <c r="Z815">
        <v>15187000</v>
      </c>
      <c r="AA815">
        <v>2783541</v>
      </c>
      <c r="AB815" t="b">
        <v>0</v>
      </c>
      <c r="AC815">
        <v>0.9</v>
      </c>
    </row>
    <row r="816" spans="17:29" x14ac:dyDescent="0.2">
      <c r="Q816" t="s">
        <v>1989</v>
      </c>
      <c r="R816" t="s">
        <v>2327</v>
      </c>
      <c r="S816" t="s">
        <v>257</v>
      </c>
      <c r="T816" s="1">
        <v>44228</v>
      </c>
      <c r="U816" s="1">
        <v>44228</v>
      </c>
      <c r="V816" t="s">
        <v>260</v>
      </c>
      <c r="W816">
        <v>15187000</v>
      </c>
      <c r="X816">
        <v>15187000</v>
      </c>
      <c r="Y816" t="s">
        <v>260</v>
      </c>
      <c r="Z816">
        <v>15187000</v>
      </c>
      <c r="AA816">
        <v>2783541</v>
      </c>
      <c r="AB816" t="b">
        <v>0</v>
      </c>
      <c r="AC816">
        <v>0.9</v>
      </c>
    </row>
    <row r="817" spans="17:29" x14ac:dyDescent="0.2">
      <c r="Q817" t="s">
        <v>2128</v>
      </c>
      <c r="R817" t="s">
        <v>2328</v>
      </c>
      <c r="S817" t="s">
        <v>257</v>
      </c>
      <c r="T817" s="1">
        <v>44412</v>
      </c>
      <c r="U817" s="1">
        <v>44421</v>
      </c>
      <c r="V817" t="s">
        <v>260</v>
      </c>
      <c r="W817">
        <v>4910763</v>
      </c>
      <c r="X817">
        <v>4587582</v>
      </c>
      <c r="Y817" t="s">
        <v>260</v>
      </c>
      <c r="Z817">
        <v>4587582</v>
      </c>
      <c r="AA817">
        <v>880787</v>
      </c>
      <c r="AB817" t="b">
        <v>0</v>
      </c>
      <c r="AC817">
        <v>0.06</v>
      </c>
    </row>
    <row r="818" spans="17:29" x14ac:dyDescent="0.2">
      <c r="Q818" t="s">
        <v>1989</v>
      </c>
      <c r="R818" t="s">
        <v>2328</v>
      </c>
      <c r="S818" t="s">
        <v>257</v>
      </c>
      <c r="T818" s="1">
        <v>44412</v>
      </c>
      <c r="U818" s="1">
        <v>44421</v>
      </c>
      <c r="V818" t="s">
        <v>260</v>
      </c>
      <c r="W818">
        <v>4910763</v>
      </c>
      <c r="X818">
        <v>4587582</v>
      </c>
      <c r="Y818" t="s">
        <v>260</v>
      </c>
      <c r="Z818">
        <v>4587582</v>
      </c>
      <c r="AA818">
        <v>880787</v>
      </c>
      <c r="AB818" t="b">
        <v>0</v>
      </c>
      <c r="AC818">
        <v>0.06</v>
      </c>
    </row>
    <row r="819" spans="17:29" x14ac:dyDescent="0.2">
      <c r="Q819" t="s">
        <v>2128</v>
      </c>
      <c r="R819" t="s">
        <v>2329</v>
      </c>
      <c r="S819" t="s">
        <v>257</v>
      </c>
      <c r="T819" s="1">
        <v>44412</v>
      </c>
      <c r="U819" s="1">
        <v>44421</v>
      </c>
      <c r="V819" t="s">
        <v>260</v>
      </c>
      <c r="W819">
        <v>4910763</v>
      </c>
      <c r="X819">
        <v>4587582</v>
      </c>
      <c r="Y819" t="s">
        <v>260</v>
      </c>
      <c r="Z819">
        <v>4587582</v>
      </c>
      <c r="AA819">
        <v>880787</v>
      </c>
      <c r="AB819" t="b">
        <v>0</v>
      </c>
      <c r="AC819">
        <v>0.06</v>
      </c>
    </row>
    <row r="820" spans="17:29" x14ac:dyDescent="0.2">
      <c r="Q820" t="s">
        <v>1989</v>
      </c>
      <c r="R820" t="s">
        <v>2329</v>
      </c>
      <c r="S820" t="s">
        <v>257</v>
      </c>
      <c r="T820" s="1">
        <v>44412</v>
      </c>
      <c r="U820" s="1">
        <v>44421</v>
      </c>
      <c r="V820" t="s">
        <v>260</v>
      </c>
      <c r="W820">
        <v>4910763</v>
      </c>
      <c r="X820">
        <v>4587582</v>
      </c>
      <c r="Y820" t="s">
        <v>260</v>
      </c>
      <c r="Z820">
        <v>4587582</v>
      </c>
      <c r="AA820">
        <v>880787</v>
      </c>
      <c r="AB820" t="b">
        <v>0</v>
      </c>
      <c r="AC820">
        <v>0.06</v>
      </c>
    </row>
    <row r="821" spans="17:29" x14ac:dyDescent="0.2">
      <c r="Q821" t="s">
        <v>2128</v>
      </c>
      <c r="R821" t="s">
        <v>2330</v>
      </c>
      <c r="S821" t="s">
        <v>257</v>
      </c>
      <c r="T821" s="1">
        <v>44412</v>
      </c>
      <c r="U821" s="1">
        <v>44421</v>
      </c>
      <c r="V821" t="s">
        <v>260</v>
      </c>
      <c r="W821">
        <v>1528475</v>
      </c>
      <c r="X821">
        <v>1427885</v>
      </c>
      <c r="Y821" t="s">
        <v>260</v>
      </c>
      <c r="Z821">
        <v>1427885</v>
      </c>
      <c r="AA821">
        <v>274145</v>
      </c>
      <c r="AB821" t="b">
        <v>0</v>
      </c>
      <c r="AC821">
        <v>0.02</v>
      </c>
    </row>
    <row r="822" spans="17:29" x14ac:dyDescent="0.2">
      <c r="Q822" t="s">
        <v>1989</v>
      </c>
      <c r="R822" t="s">
        <v>2330</v>
      </c>
      <c r="S822" t="s">
        <v>257</v>
      </c>
      <c r="T822" s="1">
        <v>44412</v>
      </c>
      <c r="U822" s="1">
        <v>44421</v>
      </c>
      <c r="V822" t="s">
        <v>260</v>
      </c>
      <c r="W822">
        <v>1528475</v>
      </c>
      <c r="X822">
        <v>1427885</v>
      </c>
      <c r="Y822" t="s">
        <v>260</v>
      </c>
      <c r="Z822">
        <v>1427885</v>
      </c>
      <c r="AA822">
        <v>274145</v>
      </c>
      <c r="AB822" t="b">
        <v>0</v>
      </c>
      <c r="AC822">
        <v>0.02</v>
      </c>
    </row>
    <row r="823" spans="17:29" x14ac:dyDescent="0.2">
      <c r="Q823" t="s">
        <v>2128</v>
      </c>
      <c r="R823" t="s">
        <v>2331</v>
      </c>
      <c r="S823" t="s">
        <v>257</v>
      </c>
      <c r="T823" s="1">
        <v>44412</v>
      </c>
      <c r="U823" s="1">
        <v>44421</v>
      </c>
      <c r="V823" t="s">
        <v>260</v>
      </c>
      <c r="W823">
        <v>3833333</v>
      </c>
      <c r="X823">
        <v>3666389</v>
      </c>
      <c r="Y823" t="s">
        <v>260</v>
      </c>
      <c r="Z823">
        <v>3666389</v>
      </c>
      <c r="AA823">
        <v>703924</v>
      </c>
      <c r="AB823" t="b">
        <v>0</v>
      </c>
      <c r="AC823">
        <v>0.05</v>
      </c>
    </row>
    <row r="824" spans="17:29" x14ac:dyDescent="0.2">
      <c r="Q824" t="s">
        <v>1989</v>
      </c>
      <c r="R824" t="s">
        <v>2331</v>
      </c>
      <c r="S824" t="s">
        <v>257</v>
      </c>
      <c r="T824" s="1">
        <v>44412</v>
      </c>
      <c r="U824" s="1">
        <v>44421</v>
      </c>
      <c r="V824" t="s">
        <v>260</v>
      </c>
      <c r="W824">
        <v>3833333</v>
      </c>
      <c r="X824">
        <v>3666389</v>
      </c>
      <c r="Y824" t="s">
        <v>260</v>
      </c>
      <c r="Z824">
        <v>3666389</v>
      </c>
      <c r="AA824">
        <v>703924</v>
      </c>
      <c r="AB824" t="b">
        <v>0</v>
      </c>
      <c r="AC824">
        <v>0.05</v>
      </c>
    </row>
    <row r="825" spans="17:29" x14ac:dyDescent="0.2">
      <c r="Q825" t="s">
        <v>2128</v>
      </c>
      <c r="R825" t="s">
        <v>2332</v>
      </c>
      <c r="S825" t="s">
        <v>257</v>
      </c>
      <c r="T825" s="1">
        <v>44412</v>
      </c>
      <c r="U825" s="1">
        <v>44421</v>
      </c>
      <c r="V825" t="s">
        <v>260</v>
      </c>
      <c r="W825">
        <v>7666667</v>
      </c>
      <c r="X825">
        <v>7332779</v>
      </c>
      <c r="Y825" t="s">
        <v>260</v>
      </c>
      <c r="Z825">
        <v>7332779</v>
      </c>
      <c r="AA825">
        <v>1407848</v>
      </c>
      <c r="AB825" t="b">
        <v>0</v>
      </c>
      <c r="AC825">
        <v>0.09</v>
      </c>
    </row>
    <row r="826" spans="17:29" x14ac:dyDescent="0.2">
      <c r="Q826" t="s">
        <v>1989</v>
      </c>
      <c r="R826" t="s">
        <v>2332</v>
      </c>
      <c r="S826" t="s">
        <v>257</v>
      </c>
      <c r="T826" s="1">
        <v>44412</v>
      </c>
      <c r="U826" s="1">
        <v>44421</v>
      </c>
      <c r="V826" t="s">
        <v>260</v>
      </c>
      <c r="W826">
        <v>7666667</v>
      </c>
      <c r="X826">
        <v>7332779</v>
      </c>
      <c r="Y826" t="s">
        <v>260</v>
      </c>
      <c r="Z826">
        <v>7332779</v>
      </c>
      <c r="AA826">
        <v>1407848</v>
      </c>
      <c r="AB826" t="b">
        <v>0</v>
      </c>
      <c r="AC826">
        <v>0.09</v>
      </c>
    </row>
    <row r="827" spans="17:29" x14ac:dyDescent="0.2">
      <c r="Q827" t="s">
        <v>2128</v>
      </c>
      <c r="R827" t="s">
        <v>2333</v>
      </c>
      <c r="S827" t="s">
        <v>257</v>
      </c>
      <c r="T827" s="1">
        <v>44412</v>
      </c>
      <c r="U827" s="1">
        <v>44421</v>
      </c>
      <c r="V827" t="s">
        <v>260</v>
      </c>
      <c r="W827">
        <v>24500000</v>
      </c>
      <c r="X827">
        <v>17294855</v>
      </c>
      <c r="Y827" t="s">
        <v>260</v>
      </c>
      <c r="Z827">
        <v>17294855</v>
      </c>
      <c r="AA827">
        <v>3320505</v>
      </c>
      <c r="AB827" t="b">
        <v>0</v>
      </c>
      <c r="AC827">
        <v>0.22</v>
      </c>
    </row>
    <row r="828" spans="17:29" x14ac:dyDescent="0.2">
      <c r="Q828" t="s">
        <v>1989</v>
      </c>
      <c r="R828" t="s">
        <v>2333</v>
      </c>
      <c r="S828" t="s">
        <v>257</v>
      </c>
      <c r="T828" s="1">
        <v>44412</v>
      </c>
      <c r="U828" s="1">
        <v>44421</v>
      </c>
      <c r="V828" t="s">
        <v>260</v>
      </c>
      <c r="W828">
        <v>24500000</v>
      </c>
      <c r="X828">
        <v>17294855</v>
      </c>
      <c r="Y828" t="s">
        <v>260</v>
      </c>
      <c r="Z828">
        <v>17294855</v>
      </c>
      <c r="AA828">
        <v>3320505</v>
      </c>
      <c r="AB828" t="b">
        <v>0</v>
      </c>
      <c r="AC828">
        <v>0.22</v>
      </c>
    </row>
    <row r="829" spans="17:29" x14ac:dyDescent="0.2">
      <c r="Q829" t="s">
        <v>2128</v>
      </c>
      <c r="R829" t="s">
        <v>2334</v>
      </c>
      <c r="S829" t="s">
        <v>257</v>
      </c>
      <c r="T829" s="1">
        <v>44412</v>
      </c>
      <c r="U829" s="1">
        <v>44421</v>
      </c>
      <c r="V829" t="s">
        <v>260</v>
      </c>
      <c r="W829">
        <v>17150000</v>
      </c>
      <c r="X829">
        <v>16403107</v>
      </c>
      <c r="Y829" t="s">
        <v>260</v>
      </c>
      <c r="Z829">
        <v>16403107</v>
      </c>
      <c r="AA829">
        <v>3149295</v>
      </c>
      <c r="AB829" t="b">
        <v>0</v>
      </c>
      <c r="AC829">
        <v>0.21</v>
      </c>
    </row>
    <row r="830" spans="17:29" x14ac:dyDescent="0.2">
      <c r="Q830" t="s">
        <v>1989</v>
      </c>
      <c r="R830" t="s">
        <v>2334</v>
      </c>
      <c r="S830" t="s">
        <v>257</v>
      </c>
      <c r="T830" s="1">
        <v>44412</v>
      </c>
      <c r="U830" s="1">
        <v>44421</v>
      </c>
      <c r="V830" t="s">
        <v>260</v>
      </c>
      <c r="W830">
        <v>17150000</v>
      </c>
      <c r="X830">
        <v>16403107</v>
      </c>
      <c r="Y830" t="s">
        <v>260</v>
      </c>
      <c r="Z830">
        <v>16403107</v>
      </c>
      <c r="AA830">
        <v>3149295</v>
      </c>
      <c r="AB830" t="b">
        <v>0</v>
      </c>
      <c r="AC830">
        <v>0.21</v>
      </c>
    </row>
    <row r="831" spans="17:29" x14ac:dyDescent="0.2">
      <c r="Q831" t="s">
        <v>2128</v>
      </c>
      <c r="R831" t="s">
        <v>2335</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1989</v>
      </c>
      <c r="R832" t="s">
        <v>2335</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2087</v>
      </c>
      <c r="R833" t="s">
        <v>2338</v>
      </c>
      <c r="S833" t="s">
        <v>808</v>
      </c>
      <c r="T833" s="1">
        <v>43571</v>
      </c>
      <c r="U833" s="1">
        <v>43571</v>
      </c>
      <c r="V833" t="s">
        <v>270</v>
      </c>
      <c r="W833">
        <v>85007236</v>
      </c>
      <c r="X833">
        <v>85007236</v>
      </c>
      <c r="Y833" t="s">
        <v>270</v>
      </c>
      <c r="Z833">
        <v>85007236</v>
      </c>
      <c r="AA833">
        <v>85007236</v>
      </c>
      <c r="AB833" t="b">
        <v>1</v>
      </c>
      <c r="AC833">
        <v>0.69</v>
      </c>
    </row>
    <row r="834" spans="17:29" x14ac:dyDescent="0.2">
      <c r="Q834" t="s">
        <v>2087</v>
      </c>
      <c r="R834" t="s">
        <v>2338</v>
      </c>
      <c r="S834" t="s">
        <v>808</v>
      </c>
      <c r="T834" s="1">
        <v>43571</v>
      </c>
      <c r="U834" s="1">
        <v>43571</v>
      </c>
      <c r="V834" t="s">
        <v>270</v>
      </c>
      <c r="W834">
        <v>85007236</v>
      </c>
      <c r="X834">
        <v>85007236</v>
      </c>
      <c r="Y834" t="s">
        <v>270</v>
      </c>
      <c r="Z834">
        <v>85007236</v>
      </c>
      <c r="AA834">
        <v>85007236</v>
      </c>
      <c r="AB834" t="b">
        <v>1</v>
      </c>
      <c r="AC834">
        <v>0.69</v>
      </c>
    </row>
    <row r="835" spans="17:29" x14ac:dyDescent="0.2">
      <c r="Q835" t="s">
        <v>2087</v>
      </c>
      <c r="R835" t="s">
        <v>2339</v>
      </c>
      <c r="S835" t="s">
        <v>808</v>
      </c>
      <c r="T835" s="1">
        <v>43571</v>
      </c>
      <c r="U835" s="1">
        <v>43571</v>
      </c>
      <c r="V835" t="s">
        <v>270</v>
      </c>
      <c r="W835">
        <v>37349243</v>
      </c>
      <c r="X835">
        <v>37349243</v>
      </c>
      <c r="Y835" t="s">
        <v>270</v>
      </c>
      <c r="Z835">
        <v>37349243</v>
      </c>
      <c r="AA835">
        <v>37349243</v>
      </c>
      <c r="AB835" t="b">
        <v>1</v>
      </c>
      <c r="AC835">
        <v>0.34</v>
      </c>
    </row>
    <row r="836" spans="17:29" x14ac:dyDescent="0.2">
      <c r="Q836" t="s">
        <v>2087</v>
      </c>
      <c r="R836" t="s">
        <v>2339</v>
      </c>
      <c r="S836" t="s">
        <v>808</v>
      </c>
      <c r="T836" s="1">
        <v>43571</v>
      </c>
      <c r="U836" s="1">
        <v>43571</v>
      </c>
      <c r="V836" t="s">
        <v>270</v>
      </c>
      <c r="W836">
        <v>37349243</v>
      </c>
      <c r="X836">
        <v>37349243</v>
      </c>
      <c r="Y836" t="s">
        <v>270</v>
      </c>
      <c r="Z836">
        <v>37349243</v>
      </c>
      <c r="AA836">
        <v>37349243</v>
      </c>
      <c r="AB836" t="b">
        <v>1</v>
      </c>
      <c r="AC836">
        <v>0.34</v>
      </c>
    </row>
    <row r="837" spans="17:29" x14ac:dyDescent="0.2">
      <c r="Q837" t="s">
        <v>2087</v>
      </c>
      <c r="R837" t="s">
        <v>2340</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2087</v>
      </c>
      <c r="R838" t="s">
        <v>2340</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2087</v>
      </c>
      <c r="R839" t="s">
        <v>2341</v>
      </c>
      <c r="S839" t="s">
        <v>808</v>
      </c>
      <c r="T839" s="1">
        <v>43571</v>
      </c>
      <c r="U839" s="1">
        <v>43571</v>
      </c>
      <c r="V839" t="s">
        <v>270</v>
      </c>
      <c r="W839">
        <v>13177725</v>
      </c>
      <c r="X839">
        <v>13177725</v>
      </c>
      <c r="Y839" t="s">
        <v>270</v>
      </c>
      <c r="Z839">
        <v>13177725</v>
      </c>
      <c r="AA839">
        <v>13177725</v>
      </c>
      <c r="AB839" t="b">
        <v>1</v>
      </c>
      <c r="AC839">
        <v>0.36</v>
      </c>
    </row>
    <row r="840" spans="17:29" x14ac:dyDescent="0.2">
      <c r="Q840" t="s">
        <v>2087</v>
      </c>
      <c r="R840" t="s">
        <v>2341</v>
      </c>
      <c r="S840" t="s">
        <v>808</v>
      </c>
      <c r="T840" s="1">
        <v>43571</v>
      </c>
      <c r="U840" s="1">
        <v>43571</v>
      </c>
      <c r="V840" t="s">
        <v>270</v>
      </c>
      <c r="W840">
        <v>13177725</v>
      </c>
      <c r="X840">
        <v>13177725</v>
      </c>
      <c r="Y840" t="s">
        <v>270</v>
      </c>
      <c r="Z840">
        <v>13177725</v>
      </c>
      <c r="AA840">
        <v>13177725</v>
      </c>
      <c r="AB840" t="b">
        <v>1</v>
      </c>
      <c r="AC840">
        <v>0.36</v>
      </c>
    </row>
    <row r="841" spans="17:29" x14ac:dyDescent="0.2">
      <c r="Q841" t="s">
        <v>2087</v>
      </c>
      <c r="R841" t="s">
        <v>2342</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2087</v>
      </c>
      <c r="R842" t="s">
        <v>2342</v>
      </c>
      <c r="S842" t="s">
        <v>808</v>
      </c>
      <c r="T842" s="1">
        <v>43900</v>
      </c>
      <c r="U842" s="1">
        <v>43900</v>
      </c>
      <c r="V842" t="s">
        <v>270</v>
      </c>
      <c r="W842">
        <v>58734285</v>
      </c>
      <c r="X842">
        <v>58734285</v>
      </c>
      <c r="Y842" t="s">
        <v>270</v>
      </c>
      <c r="Z842">
        <v>58734285</v>
      </c>
      <c r="AA842">
        <v>58734285</v>
      </c>
      <c r="AB842" t="b">
        <v>0</v>
      </c>
      <c r="AC842">
        <v>0.69</v>
      </c>
    </row>
    <row r="843" spans="17:29" x14ac:dyDescent="0.2">
      <c r="Q843" t="s">
        <v>2087</v>
      </c>
      <c r="R843" t="s">
        <v>2342</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2087</v>
      </c>
      <c r="R844" t="s">
        <v>2342</v>
      </c>
      <c r="S844" t="s">
        <v>808</v>
      </c>
      <c r="T844" s="1">
        <v>43900</v>
      </c>
      <c r="U844" s="1">
        <v>43900</v>
      </c>
      <c r="V844" t="s">
        <v>270</v>
      </c>
      <c r="W844">
        <v>58734285</v>
      </c>
      <c r="X844">
        <v>58734285</v>
      </c>
      <c r="Y844" t="s">
        <v>270</v>
      </c>
      <c r="Z844">
        <v>58734285</v>
      </c>
      <c r="AA844">
        <v>58734285</v>
      </c>
      <c r="AB844" t="b">
        <v>0</v>
      </c>
      <c r="AC844">
        <v>0.69</v>
      </c>
    </row>
    <row r="845" spans="17:29" x14ac:dyDescent="0.2">
      <c r="Q845" t="s">
        <v>2087</v>
      </c>
      <c r="R845" t="s">
        <v>2343</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2087</v>
      </c>
      <c r="R846" t="s">
        <v>2343</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2087</v>
      </c>
      <c r="R847" t="s">
        <v>2343</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2087</v>
      </c>
      <c r="R848" t="s">
        <v>2343</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2043</v>
      </c>
      <c r="R849" t="s">
        <v>2344</v>
      </c>
      <c r="S849" t="s">
        <v>528</v>
      </c>
      <c r="T849" s="1">
        <v>43455</v>
      </c>
      <c r="U849" s="1">
        <v>43455</v>
      </c>
      <c r="V849" t="s">
        <v>270</v>
      </c>
      <c r="W849">
        <v>96325288</v>
      </c>
      <c r="X849">
        <v>96325288</v>
      </c>
      <c r="Y849" t="s">
        <v>270</v>
      </c>
      <c r="Z849">
        <v>96325288</v>
      </c>
      <c r="AA849">
        <v>96325288</v>
      </c>
      <c r="AB849" t="b">
        <v>1</v>
      </c>
    </row>
    <row r="850" spans="17:29" x14ac:dyDescent="0.2">
      <c r="Q850" t="s">
        <v>2043</v>
      </c>
      <c r="R850" t="s">
        <v>2344</v>
      </c>
      <c r="S850" t="s">
        <v>528</v>
      </c>
      <c r="T850" s="1">
        <v>43455</v>
      </c>
      <c r="U850" s="1">
        <v>43455</v>
      </c>
      <c r="V850" t="s">
        <v>270</v>
      </c>
      <c r="W850">
        <v>96325288</v>
      </c>
      <c r="X850">
        <v>96325288</v>
      </c>
      <c r="Y850" t="s">
        <v>270</v>
      </c>
      <c r="Z850">
        <v>96325288</v>
      </c>
      <c r="AA850">
        <v>96325288</v>
      </c>
      <c r="AB850" t="b">
        <v>1</v>
      </c>
    </row>
    <row r="851" spans="17:29" x14ac:dyDescent="0.2">
      <c r="Q851" t="s">
        <v>2029</v>
      </c>
      <c r="R851" t="s">
        <v>2345</v>
      </c>
      <c r="S851" t="s">
        <v>528</v>
      </c>
      <c r="T851" s="1">
        <v>43454</v>
      </c>
      <c r="U851" s="1">
        <v>43454</v>
      </c>
      <c r="V851" t="s">
        <v>270</v>
      </c>
      <c r="W851">
        <v>48469368</v>
      </c>
      <c r="X851">
        <v>48469368</v>
      </c>
      <c r="Y851" t="s">
        <v>270</v>
      </c>
      <c r="Z851">
        <v>48469368</v>
      </c>
      <c r="AA851">
        <v>48469368</v>
      </c>
      <c r="AB851" t="b">
        <v>1</v>
      </c>
    </row>
    <row r="852" spans="17:29" x14ac:dyDescent="0.2">
      <c r="Q852" t="s">
        <v>2036</v>
      </c>
      <c r="R852" t="s">
        <v>2345</v>
      </c>
      <c r="S852" t="s">
        <v>528</v>
      </c>
      <c r="T852" s="1">
        <v>43454</v>
      </c>
      <c r="U852" s="1">
        <v>43454</v>
      </c>
      <c r="V852" t="s">
        <v>270</v>
      </c>
      <c r="W852">
        <v>48469368</v>
      </c>
      <c r="X852">
        <v>48469368</v>
      </c>
      <c r="Y852" t="s">
        <v>270</v>
      </c>
      <c r="Z852">
        <v>48469368</v>
      </c>
      <c r="AA852">
        <v>48469368</v>
      </c>
      <c r="AB852" t="b">
        <v>1</v>
      </c>
    </row>
    <row r="853" spans="17:29" x14ac:dyDescent="0.2">
      <c r="Q853" t="s">
        <v>2075</v>
      </c>
      <c r="R853" t="s">
        <v>2346</v>
      </c>
      <c r="S853" t="s">
        <v>528</v>
      </c>
      <c r="T853" s="1">
        <v>43494</v>
      </c>
      <c r="U853" s="1">
        <v>43494</v>
      </c>
      <c r="V853" t="s">
        <v>270</v>
      </c>
      <c r="W853">
        <v>6323211</v>
      </c>
      <c r="X853">
        <v>6323211</v>
      </c>
      <c r="Y853" t="s">
        <v>270</v>
      </c>
      <c r="Z853">
        <v>6323211</v>
      </c>
      <c r="AA853">
        <v>6323211</v>
      </c>
      <c r="AB853" t="b">
        <v>1</v>
      </c>
    </row>
    <row r="854" spans="17:29" x14ac:dyDescent="0.2">
      <c r="Q854" t="s">
        <v>2075</v>
      </c>
      <c r="R854" t="s">
        <v>2346</v>
      </c>
      <c r="S854" t="s">
        <v>528</v>
      </c>
      <c r="T854" s="1">
        <v>43494</v>
      </c>
      <c r="U854" s="1">
        <v>43494</v>
      </c>
      <c r="V854" t="s">
        <v>270</v>
      </c>
      <c r="W854">
        <v>6323211</v>
      </c>
      <c r="X854">
        <v>6323211</v>
      </c>
      <c r="Y854" t="s">
        <v>270</v>
      </c>
      <c r="Z854">
        <v>6323211</v>
      </c>
      <c r="AA854">
        <v>6323211</v>
      </c>
      <c r="AB854" t="b">
        <v>1</v>
      </c>
    </row>
    <row r="855" spans="17:29" x14ac:dyDescent="0.2">
      <c r="Q855" t="s">
        <v>2029</v>
      </c>
      <c r="R855" t="s">
        <v>2347</v>
      </c>
      <c r="S855" t="s">
        <v>528</v>
      </c>
      <c r="T855" s="1">
        <v>43488</v>
      </c>
      <c r="U855" s="1">
        <v>43488</v>
      </c>
      <c r="V855" t="s">
        <v>270</v>
      </c>
      <c r="W855">
        <v>1989344</v>
      </c>
      <c r="X855">
        <v>1989344</v>
      </c>
      <c r="Y855" t="s">
        <v>270</v>
      </c>
      <c r="Z855">
        <v>1989344</v>
      </c>
      <c r="AA855">
        <v>1989344</v>
      </c>
      <c r="AB855" t="b">
        <v>1</v>
      </c>
    </row>
    <row r="856" spans="17:29" x14ac:dyDescent="0.2">
      <c r="Q856" t="s">
        <v>2348</v>
      </c>
      <c r="R856" t="s">
        <v>2347</v>
      </c>
      <c r="S856" t="s">
        <v>528</v>
      </c>
      <c r="T856" s="1">
        <v>43488</v>
      </c>
      <c r="U856" s="1">
        <v>43488</v>
      </c>
      <c r="V856" t="s">
        <v>270</v>
      </c>
      <c r="W856">
        <v>1989344</v>
      </c>
      <c r="X856">
        <v>1989344</v>
      </c>
      <c r="Y856" t="s">
        <v>270</v>
      </c>
      <c r="Z856">
        <v>1989344</v>
      </c>
      <c r="AA856">
        <v>1989344</v>
      </c>
      <c r="AB856" t="b">
        <v>1</v>
      </c>
    </row>
    <row r="857" spans="17:29" x14ac:dyDescent="0.2">
      <c r="Q857" t="s">
        <v>2290</v>
      </c>
      <c r="R857" t="s">
        <v>2349</v>
      </c>
      <c r="S857" t="s">
        <v>528</v>
      </c>
      <c r="T857" s="1">
        <v>43878</v>
      </c>
      <c r="U857" s="1">
        <v>43878</v>
      </c>
      <c r="V857" t="s">
        <v>270</v>
      </c>
      <c r="W857">
        <v>100000</v>
      </c>
      <c r="X857">
        <v>100000</v>
      </c>
      <c r="Y857" t="s">
        <v>270</v>
      </c>
      <c r="Z857">
        <v>100000</v>
      </c>
      <c r="AA857">
        <v>100000</v>
      </c>
      <c r="AB857" t="b">
        <v>1</v>
      </c>
    </row>
    <row r="858" spans="17:29" x14ac:dyDescent="0.2">
      <c r="Q858" t="s">
        <v>2292</v>
      </c>
      <c r="R858" t="s">
        <v>2349</v>
      </c>
      <c r="S858" t="s">
        <v>528</v>
      </c>
      <c r="T858" s="1">
        <v>43878</v>
      </c>
      <c r="U858" s="1">
        <v>43878</v>
      </c>
      <c r="V858" t="s">
        <v>270</v>
      </c>
      <c r="W858">
        <v>100000</v>
      </c>
      <c r="X858">
        <v>100000</v>
      </c>
      <c r="Y858" t="s">
        <v>270</v>
      </c>
      <c r="Z858">
        <v>100000</v>
      </c>
      <c r="AA858">
        <v>100000</v>
      </c>
      <c r="AB858" t="b">
        <v>1</v>
      </c>
    </row>
    <row r="859" spans="17:29" x14ac:dyDescent="0.2">
      <c r="Q859" t="s">
        <v>2128</v>
      </c>
      <c r="R859" t="s">
        <v>2350</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1989</v>
      </c>
      <c r="R860" t="s">
        <v>2350</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2128</v>
      </c>
      <c r="R861" t="s">
        <v>2351</v>
      </c>
      <c r="S861" t="s">
        <v>257</v>
      </c>
      <c r="T861" s="1">
        <v>43665</v>
      </c>
      <c r="U861" s="1">
        <v>43665</v>
      </c>
      <c r="V861" t="s">
        <v>260</v>
      </c>
      <c r="W861">
        <v>6390000</v>
      </c>
      <c r="X861">
        <v>6390000</v>
      </c>
      <c r="Y861" t="s">
        <v>260</v>
      </c>
      <c r="Z861">
        <v>6390000</v>
      </c>
      <c r="AA861">
        <v>1198874</v>
      </c>
      <c r="AB861" t="b">
        <v>0</v>
      </c>
      <c r="AC861">
        <v>0.16</v>
      </c>
    </row>
    <row r="862" spans="17:29" x14ac:dyDescent="0.2">
      <c r="Q862" t="s">
        <v>1989</v>
      </c>
      <c r="R862" t="s">
        <v>2351</v>
      </c>
      <c r="S862" t="s">
        <v>257</v>
      </c>
      <c r="T862" s="1">
        <v>43665</v>
      </c>
      <c r="U862" s="1">
        <v>43665</v>
      </c>
      <c r="V862" t="s">
        <v>260</v>
      </c>
      <c r="W862">
        <v>6390000</v>
      </c>
      <c r="X862">
        <v>6390000</v>
      </c>
      <c r="Y862" t="s">
        <v>260</v>
      </c>
      <c r="Z862">
        <v>6390000</v>
      </c>
      <c r="AA862">
        <v>1198874</v>
      </c>
      <c r="AB862" t="b">
        <v>0</v>
      </c>
      <c r="AC862">
        <v>0.16</v>
      </c>
    </row>
    <row r="863" spans="17:29" x14ac:dyDescent="0.2">
      <c r="Q863" t="s">
        <v>2128</v>
      </c>
      <c r="R863" t="s">
        <v>2352</v>
      </c>
      <c r="S863" t="s">
        <v>257</v>
      </c>
      <c r="T863" s="1">
        <v>43665</v>
      </c>
      <c r="U863" s="1">
        <v>43665</v>
      </c>
      <c r="V863" t="s">
        <v>260</v>
      </c>
      <c r="W863">
        <v>4270000</v>
      </c>
      <c r="X863">
        <v>4270000</v>
      </c>
      <c r="Y863" t="s">
        <v>260</v>
      </c>
      <c r="Z863">
        <v>4270000</v>
      </c>
      <c r="AA863">
        <v>801125</v>
      </c>
      <c r="AB863" t="b">
        <v>0</v>
      </c>
      <c r="AC863">
        <v>0.11</v>
      </c>
    </row>
    <row r="864" spans="17:29" x14ac:dyDescent="0.2">
      <c r="Q864" t="s">
        <v>1989</v>
      </c>
      <c r="R864" t="s">
        <v>2352</v>
      </c>
      <c r="S864" t="s">
        <v>257</v>
      </c>
      <c r="T864" s="1">
        <v>43665</v>
      </c>
      <c r="U864" s="1">
        <v>43665</v>
      </c>
      <c r="V864" t="s">
        <v>260</v>
      </c>
      <c r="W864">
        <v>4270000</v>
      </c>
      <c r="X864">
        <v>4270000</v>
      </c>
      <c r="Y864" t="s">
        <v>260</v>
      </c>
      <c r="Z864">
        <v>4270000</v>
      </c>
      <c r="AA864">
        <v>801125</v>
      </c>
      <c r="AB864" t="b">
        <v>0</v>
      </c>
      <c r="AC864">
        <v>0.11</v>
      </c>
    </row>
    <row r="865" spans="17:29" x14ac:dyDescent="0.2">
      <c r="Q865" t="s">
        <v>2128</v>
      </c>
      <c r="R865" t="s">
        <v>2353</v>
      </c>
      <c r="S865" t="s">
        <v>257</v>
      </c>
      <c r="T865" s="1">
        <v>43665</v>
      </c>
      <c r="U865" s="1">
        <v>43665</v>
      </c>
      <c r="V865" t="s">
        <v>260</v>
      </c>
      <c r="W865">
        <v>600000</v>
      </c>
      <c r="X865">
        <v>600000</v>
      </c>
      <c r="Y865" t="s">
        <v>260</v>
      </c>
      <c r="Z865">
        <v>600000</v>
      </c>
      <c r="AA865">
        <v>112570</v>
      </c>
      <c r="AB865" t="b">
        <v>0</v>
      </c>
      <c r="AC865">
        <v>0.01</v>
      </c>
    </row>
    <row r="866" spans="17:29" x14ac:dyDescent="0.2">
      <c r="Q866" t="s">
        <v>1989</v>
      </c>
      <c r="R866" t="s">
        <v>2353</v>
      </c>
      <c r="S866" t="s">
        <v>257</v>
      </c>
      <c r="T866" s="1">
        <v>43665</v>
      </c>
      <c r="U866" s="1">
        <v>43665</v>
      </c>
      <c r="V866" t="s">
        <v>260</v>
      </c>
      <c r="W866">
        <v>600000</v>
      </c>
      <c r="X866">
        <v>600000</v>
      </c>
      <c r="Y866" t="s">
        <v>260</v>
      </c>
      <c r="Z866">
        <v>600000</v>
      </c>
      <c r="AA866">
        <v>112570</v>
      </c>
      <c r="AB866" t="b">
        <v>0</v>
      </c>
      <c r="AC866">
        <v>0.01</v>
      </c>
    </row>
    <row r="867" spans="17:29" x14ac:dyDescent="0.2">
      <c r="Q867" t="s">
        <v>2128</v>
      </c>
      <c r="R867" t="s">
        <v>2354</v>
      </c>
      <c r="S867" t="s">
        <v>257</v>
      </c>
      <c r="T867" s="1">
        <v>43665</v>
      </c>
      <c r="U867" s="1">
        <v>43665</v>
      </c>
      <c r="V867" t="s">
        <v>260</v>
      </c>
      <c r="W867">
        <v>13070000</v>
      </c>
      <c r="X867">
        <v>13070000</v>
      </c>
      <c r="Y867" t="s">
        <v>260</v>
      </c>
      <c r="Z867">
        <v>13070000</v>
      </c>
      <c r="AA867">
        <v>2452157</v>
      </c>
      <c r="AB867" t="b">
        <v>0</v>
      </c>
      <c r="AC867">
        <v>0.33</v>
      </c>
    </row>
    <row r="868" spans="17:29" x14ac:dyDescent="0.2">
      <c r="Q868" t="s">
        <v>1989</v>
      </c>
      <c r="R868" t="s">
        <v>2354</v>
      </c>
      <c r="S868" t="s">
        <v>257</v>
      </c>
      <c r="T868" s="1">
        <v>43665</v>
      </c>
      <c r="U868" s="1">
        <v>43665</v>
      </c>
      <c r="V868" t="s">
        <v>260</v>
      </c>
      <c r="W868">
        <v>13070000</v>
      </c>
      <c r="X868">
        <v>13070000</v>
      </c>
      <c r="Y868" t="s">
        <v>260</v>
      </c>
      <c r="Z868">
        <v>13070000</v>
      </c>
      <c r="AA868">
        <v>2452157</v>
      </c>
      <c r="AB868" t="b">
        <v>0</v>
      </c>
      <c r="AC868">
        <v>0.33</v>
      </c>
    </row>
    <row r="869" spans="17:29" x14ac:dyDescent="0.2">
      <c r="Q869" t="s">
        <v>2128</v>
      </c>
      <c r="R869" t="s">
        <v>2355</v>
      </c>
      <c r="S869" t="s">
        <v>257</v>
      </c>
      <c r="T869" s="1">
        <v>43665</v>
      </c>
      <c r="U869" s="1">
        <v>43665</v>
      </c>
      <c r="V869" t="s">
        <v>260</v>
      </c>
      <c r="W869">
        <v>4170000</v>
      </c>
      <c r="X869">
        <v>4170000</v>
      </c>
      <c r="Y869" t="s">
        <v>260</v>
      </c>
      <c r="Z869">
        <v>4170000</v>
      </c>
      <c r="AA869">
        <v>782363</v>
      </c>
      <c r="AB869" t="b">
        <v>0</v>
      </c>
      <c r="AC869">
        <v>0.1</v>
      </c>
    </row>
    <row r="870" spans="17:29" x14ac:dyDescent="0.2">
      <c r="Q870" t="s">
        <v>1989</v>
      </c>
      <c r="R870" t="s">
        <v>2355</v>
      </c>
      <c r="S870" t="s">
        <v>257</v>
      </c>
      <c r="T870" s="1">
        <v>43665</v>
      </c>
      <c r="U870" s="1">
        <v>43665</v>
      </c>
      <c r="V870" t="s">
        <v>260</v>
      </c>
      <c r="W870">
        <v>4170000</v>
      </c>
      <c r="X870">
        <v>4170000</v>
      </c>
      <c r="Y870" t="s">
        <v>260</v>
      </c>
      <c r="Z870">
        <v>4170000</v>
      </c>
      <c r="AA870">
        <v>782363</v>
      </c>
      <c r="AB870" t="b">
        <v>0</v>
      </c>
      <c r="AC870">
        <v>0.1</v>
      </c>
    </row>
    <row r="871" spans="17:29" x14ac:dyDescent="0.2">
      <c r="Q871" t="s">
        <v>2128</v>
      </c>
      <c r="R871" t="s">
        <v>2356</v>
      </c>
      <c r="S871" t="s">
        <v>257</v>
      </c>
      <c r="T871" s="1">
        <v>43876</v>
      </c>
      <c r="U871" s="1">
        <v>43876</v>
      </c>
      <c r="V871" t="s">
        <v>260</v>
      </c>
      <c r="W871">
        <v>215000000</v>
      </c>
      <c r="X871">
        <v>215000000</v>
      </c>
      <c r="Y871" t="s">
        <v>260</v>
      </c>
      <c r="Z871">
        <v>215000000</v>
      </c>
      <c r="AA871">
        <v>50027922</v>
      </c>
      <c r="AB871" t="b">
        <v>0</v>
      </c>
    </row>
    <row r="872" spans="17:29" x14ac:dyDescent="0.2">
      <c r="Q872" t="s">
        <v>2128</v>
      </c>
      <c r="R872" t="s">
        <v>2356</v>
      </c>
      <c r="S872" t="s">
        <v>257</v>
      </c>
      <c r="T872" s="1">
        <v>43876</v>
      </c>
      <c r="U872" s="1">
        <v>43876</v>
      </c>
      <c r="V872" t="s">
        <v>260</v>
      </c>
      <c r="W872">
        <v>65000000</v>
      </c>
      <c r="X872">
        <v>65000000</v>
      </c>
      <c r="Y872" t="s">
        <v>260</v>
      </c>
      <c r="Z872">
        <v>65000000</v>
      </c>
      <c r="AA872">
        <v>15124720</v>
      </c>
      <c r="AB872" t="b">
        <v>0</v>
      </c>
    </row>
    <row r="873" spans="17:29" x14ac:dyDescent="0.2">
      <c r="Q873" t="s">
        <v>1989</v>
      </c>
      <c r="R873" t="s">
        <v>2356</v>
      </c>
      <c r="S873" t="s">
        <v>257</v>
      </c>
      <c r="T873" s="1">
        <v>43876</v>
      </c>
      <c r="U873" s="1">
        <v>43876</v>
      </c>
      <c r="V873" t="s">
        <v>260</v>
      </c>
      <c r="W873">
        <v>215000000</v>
      </c>
      <c r="X873">
        <v>215000000</v>
      </c>
      <c r="Y873" t="s">
        <v>260</v>
      </c>
      <c r="Z873">
        <v>215000000</v>
      </c>
      <c r="AA873">
        <v>50027922</v>
      </c>
      <c r="AB873" t="b">
        <v>0</v>
      </c>
    </row>
    <row r="874" spans="17:29" x14ac:dyDescent="0.2">
      <c r="Q874" t="s">
        <v>1989</v>
      </c>
      <c r="R874" t="s">
        <v>2356</v>
      </c>
      <c r="S874" t="s">
        <v>257</v>
      </c>
      <c r="T874" s="1">
        <v>43876</v>
      </c>
      <c r="U874" s="1">
        <v>43876</v>
      </c>
      <c r="V874" t="s">
        <v>260</v>
      </c>
      <c r="W874">
        <v>65000000</v>
      </c>
      <c r="X874">
        <v>65000000</v>
      </c>
      <c r="Y874" t="s">
        <v>260</v>
      </c>
      <c r="Z874">
        <v>65000000</v>
      </c>
      <c r="AA874">
        <v>15124720</v>
      </c>
      <c r="AB874" t="b">
        <v>0</v>
      </c>
    </row>
    <row r="875" spans="17:29" x14ac:dyDescent="0.2">
      <c r="Q875" t="s">
        <v>2029</v>
      </c>
      <c r="R875" t="s">
        <v>2356</v>
      </c>
      <c r="S875" t="s">
        <v>257</v>
      </c>
      <c r="T875" s="1">
        <v>43876</v>
      </c>
      <c r="U875" s="1">
        <v>43876</v>
      </c>
      <c r="V875" t="s">
        <v>260</v>
      </c>
      <c r="W875">
        <v>215000000</v>
      </c>
      <c r="X875">
        <v>215000000</v>
      </c>
      <c r="Y875" t="s">
        <v>260</v>
      </c>
      <c r="Z875">
        <v>215000000</v>
      </c>
      <c r="AA875">
        <v>50027922</v>
      </c>
      <c r="AB875" t="b">
        <v>0</v>
      </c>
    </row>
    <row r="876" spans="17:29" x14ac:dyDescent="0.2">
      <c r="Q876" t="s">
        <v>2029</v>
      </c>
      <c r="R876" t="s">
        <v>2356</v>
      </c>
      <c r="S876" t="s">
        <v>257</v>
      </c>
      <c r="T876" s="1">
        <v>43876</v>
      </c>
      <c r="U876" s="1">
        <v>43876</v>
      </c>
      <c r="V876" t="s">
        <v>260</v>
      </c>
      <c r="W876">
        <v>65000000</v>
      </c>
      <c r="X876">
        <v>65000000</v>
      </c>
      <c r="Y876" t="s">
        <v>260</v>
      </c>
      <c r="Z876">
        <v>65000000</v>
      </c>
      <c r="AA876">
        <v>15124720</v>
      </c>
      <c r="AB876" t="b">
        <v>0</v>
      </c>
    </row>
    <row r="877" spans="17:29" x14ac:dyDescent="0.2">
      <c r="Q877" t="s">
        <v>2029</v>
      </c>
      <c r="R877" t="s">
        <v>2356</v>
      </c>
      <c r="S877" t="s">
        <v>257</v>
      </c>
      <c r="T877" s="1">
        <v>43876</v>
      </c>
      <c r="U877" s="1">
        <v>43876</v>
      </c>
      <c r="V877" t="s">
        <v>260</v>
      </c>
      <c r="W877">
        <v>215000000</v>
      </c>
      <c r="X877">
        <v>215000000</v>
      </c>
      <c r="Y877" t="s">
        <v>260</v>
      </c>
      <c r="Z877">
        <v>215000000</v>
      </c>
      <c r="AA877">
        <v>50027922</v>
      </c>
      <c r="AB877" t="b">
        <v>0</v>
      </c>
    </row>
    <row r="878" spans="17:29" x14ac:dyDescent="0.2">
      <c r="Q878" t="s">
        <v>2029</v>
      </c>
      <c r="R878" t="s">
        <v>2356</v>
      </c>
      <c r="S878" t="s">
        <v>257</v>
      </c>
      <c r="T878" s="1">
        <v>43876</v>
      </c>
      <c r="U878" s="1">
        <v>43876</v>
      </c>
      <c r="V878" t="s">
        <v>260</v>
      </c>
      <c r="W878">
        <v>65000000</v>
      </c>
      <c r="X878">
        <v>65000000</v>
      </c>
      <c r="Y878" t="s">
        <v>260</v>
      </c>
      <c r="Z878">
        <v>65000000</v>
      </c>
      <c r="AA878">
        <v>15124720</v>
      </c>
      <c r="AB878" t="b">
        <v>0</v>
      </c>
    </row>
    <row r="879" spans="17:29" x14ac:dyDescent="0.2">
      <c r="Q879" t="s">
        <v>2031</v>
      </c>
      <c r="R879" t="s">
        <v>2357</v>
      </c>
      <c r="S879" t="s">
        <v>869</v>
      </c>
      <c r="T879" s="1">
        <v>44196</v>
      </c>
      <c r="U879" s="1">
        <v>44196</v>
      </c>
      <c r="V879" t="s">
        <v>270</v>
      </c>
      <c r="W879">
        <v>18600000</v>
      </c>
      <c r="X879">
        <v>18600000</v>
      </c>
      <c r="Y879" t="s">
        <v>270</v>
      </c>
      <c r="Z879">
        <v>18600000</v>
      </c>
      <c r="AA879">
        <v>18600000</v>
      </c>
      <c r="AB879" t="b">
        <v>0</v>
      </c>
      <c r="AC879">
        <v>1</v>
      </c>
    </row>
    <row r="880" spans="17:29" x14ac:dyDescent="0.2">
      <c r="Q880" t="s">
        <v>1989</v>
      </c>
      <c r="R880" t="s">
        <v>2357</v>
      </c>
      <c r="S880" t="s">
        <v>869</v>
      </c>
      <c r="T880" s="1">
        <v>44196</v>
      </c>
      <c r="U880" s="1">
        <v>44196</v>
      </c>
      <c r="V880" t="s">
        <v>270</v>
      </c>
      <c r="W880">
        <v>18600000</v>
      </c>
      <c r="X880">
        <v>18600000</v>
      </c>
      <c r="Y880" t="s">
        <v>270</v>
      </c>
      <c r="Z880">
        <v>18600000</v>
      </c>
      <c r="AA880">
        <v>18600000</v>
      </c>
      <c r="AB880" t="b">
        <v>0</v>
      </c>
      <c r="AC880">
        <v>1</v>
      </c>
    </row>
    <row r="881" spans="17:29" x14ac:dyDescent="0.2">
      <c r="Q881" t="s">
        <v>1987</v>
      </c>
      <c r="R881" t="s">
        <v>2358</v>
      </c>
      <c r="S881" t="s">
        <v>808</v>
      </c>
      <c r="T881" s="1">
        <v>44196</v>
      </c>
      <c r="U881" s="1">
        <v>44196</v>
      </c>
      <c r="V881" t="s">
        <v>270</v>
      </c>
      <c r="W881">
        <v>25700000</v>
      </c>
      <c r="X881">
        <v>25700000</v>
      </c>
      <c r="Y881" t="s">
        <v>270</v>
      </c>
      <c r="Z881">
        <v>25700000</v>
      </c>
      <c r="AA881">
        <v>25700000</v>
      </c>
      <c r="AB881" t="b">
        <v>1</v>
      </c>
      <c r="AC881">
        <v>1</v>
      </c>
    </row>
    <row r="882" spans="17:29" x14ac:dyDescent="0.2">
      <c r="Q882" t="s">
        <v>1989</v>
      </c>
      <c r="R882" t="s">
        <v>2358</v>
      </c>
      <c r="S882" t="s">
        <v>808</v>
      </c>
      <c r="T882" s="1">
        <v>44196</v>
      </c>
      <c r="U882" s="1">
        <v>44196</v>
      </c>
      <c r="V882" t="s">
        <v>270</v>
      </c>
      <c r="W882">
        <v>25700000</v>
      </c>
      <c r="X882">
        <v>25700000</v>
      </c>
      <c r="Y882" t="s">
        <v>270</v>
      </c>
      <c r="Z882">
        <v>25700000</v>
      </c>
      <c r="AA882">
        <v>25700000</v>
      </c>
      <c r="AB882" t="b">
        <v>1</v>
      </c>
      <c r="AC882">
        <v>1</v>
      </c>
    </row>
    <row r="883" spans="17:29" x14ac:dyDescent="0.2">
      <c r="Q883" t="s">
        <v>1987</v>
      </c>
      <c r="R883" t="s">
        <v>2359</v>
      </c>
      <c r="S883" t="s">
        <v>808</v>
      </c>
      <c r="T883" s="1">
        <v>44196</v>
      </c>
      <c r="U883" s="1">
        <v>44196</v>
      </c>
      <c r="V883" t="s">
        <v>270</v>
      </c>
      <c r="W883">
        <v>2200000</v>
      </c>
      <c r="X883">
        <v>2200000</v>
      </c>
      <c r="Y883" t="s">
        <v>270</v>
      </c>
      <c r="Z883">
        <v>2200000</v>
      </c>
      <c r="AA883">
        <v>2200000</v>
      </c>
      <c r="AB883" t="b">
        <v>1</v>
      </c>
      <c r="AC883">
        <v>1</v>
      </c>
    </row>
    <row r="884" spans="17:29" x14ac:dyDescent="0.2">
      <c r="Q884" t="s">
        <v>1989</v>
      </c>
      <c r="R884" t="s">
        <v>2359</v>
      </c>
      <c r="S884" t="s">
        <v>808</v>
      </c>
      <c r="T884" s="1">
        <v>44196</v>
      </c>
      <c r="U884" s="1">
        <v>44196</v>
      </c>
      <c r="V884" t="s">
        <v>270</v>
      </c>
      <c r="W884">
        <v>2200000</v>
      </c>
      <c r="X884">
        <v>2200000</v>
      </c>
      <c r="Y884" t="s">
        <v>270</v>
      </c>
      <c r="Z884">
        <v>2200000</v>
      </c>
      <c r="AA884">
        <v>2200000</v>
      </c>
      <c r="AB884" t="b">
        <v>1</v>
      </c>
      <c r="AC884">
        <v>1</v>
      </c>
    </row>
    <row r="885" spans="17:29" x14ac:dyDescent="0.2">
      <c r="Q885" t="s">
        <v>2087</v>
      </c>
      <c r="R885" t="s">
        <v>2360</v>
      </c>
      <c r="S885" t="s">
        <v>724</v>
      </c>
      <c r="T885" s="1">
        <v>44196</v>
      </c>
      <c r="U885" s="1">
        <v>44196</v>
      </c>
      <c r="V885" t="s">
        <v>270</v>
      </c>
      <c r="W885">
        <v>3500000</v>
      </c>
      <c r="X885">
        <v>3500000</v>
      </c>
      <c r="Y885" t="s">
        <v>270</v>
      </c>
      <c r="Z885">
        <v>3500000</v>
      </c>
      <c r="AA885">
        <v>3500000</v>
      </c>
      <c r="AB885" t="b">
        <v>0</v>
      </c>
      <c r="AC885">
        <v>1</v>
      </c>
    </row>
    <row r="886" spans="17:29" x14ac:dyDescent="0.2">
      <c r="Q886" t="s">
        <v>2087</v>
      </c>
      <c r="R886" t="s">
        <v>2360</v>
      </c>
      <c r="S886" t="s">
        <v>724</v>
      </c>
      <c r="T886" s="1">
        <v>44196</v>
      </c>
      <c r="U886" s="1">
        <v>44196</v>
      </c>
      <c r="V886" t="s">
        <v>270</v>
      </c>
      <c r="W886">
        <v>3500000</v>
      </c>
      <c r="X886">
        <v>3500000</v>
      </c>
      <c r="Y886" t="s">
        <v>270</v>
      </c>
      <c r="Z886">
        <v>3500000</v>
      </c>
      <c r="AA886">
        <v>3500000</v>
      </c>
      <c r="AB886" t="b">
        <v>0</v>
      </c>
      <c r="AC886">
        <v>1</v>
      </c>
    </row>
    <row r="887" spans="17:29" x14ac:dyDescent="0.2">
      <c r="Q887" t="s">
        <v>2018</v>
      </c>
      <c r="R887" t="s">
        <v>2361</v>
      </c>
      <c r="S887" t="s">
        <v>528</v>
      </c>
      <c r="T887" s="1">
        <v>44196</v>
      </c>
      <c r="U887" s="1">
        <v>44196</v>
      </c>
      <c r="V887" t="s">
        <v>270</v>
      </c>
      <c r="W887">
        <v>126000000</v>
      </c>
      <c r="X887">
        <v>126000000</v>
      </c>
      <c r="Y887" t="s">
        <v>270</v>
      </c>
      <c r="Z887">
        <v>126000000</v>
      </c>
      <c r="AA887">
        <v>126000000</v>
      </c>
      <c r="AB887" t="b">
        <v>1</v>
      </c>
      <c r="AC887">
        <v>1</v>
      </c>
    </row>
    <row r="888" spans="17:29" x14ac:dyDescent="0.2">
      <c r="Q888" t="s">
        <v>2031</v>
      </c>
      <c r="R888" t="s">
        <v>2362</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1989</v>
      </c>
      <c r="R889" t="s">
        <v>2362</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2029</v>
      </c>
      <c r="R890" t="s">
        <v>2362</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2029</v>
      </c>
      <c r="R891" t="s">
        <v>2362</v>
      </c>
      <c r="S891" t="s">
        <v>257</v>
      </c>
      <c r="T891" s="1">
        <v>42857</v>
      </c>
      <c r="U891" s="1">
        <v>42902</v>
      </c>
      <c r="V891" t="s">
        <v>260</v>
      </c>
      <c r="W891">
        <v>111760000</v>
      </c>
      <c r="X891">
        <v>111760000</v>
      </c>
      <c r="Y891" t="s">
        <v>260</v>
      </c>
      <c r="Z891">
        <v>111760000</v>
      </c>
      <c r="AA891">
        <v>35235513</v>
      </c>
      <c r="AB891" t="b">
        <v>0</v>
      </c>
      <c r="AC891">
        <v>0.1</v>
      </c>
    </row>
    <row r="892" spans="17:29" x14ac:dyDescent="0.2">
      <c r="Q892" t="s">
        <v>2018</v>
      </c>
      <c r="R892" t="s">
        <v>2361</v>
      </c>
      <c r="S892" t="s">
        <v>528</v>
      </c>
      <c r="T892" s="1">
        <v>44196</v>
      </c>
      <c r="U892" s="1">
        <v>44196</v>
      </c>
      <c r="V892" t="s">
        <v>270</v>
      </c>
      <c r="W892">
        <v>126000000</v>
      </c>
      <c r="X892">
        <v>126000000</v>
      </c>
      <c r="Y892" t="s">
        <v>270</v>
      </c>
      <c r="Z892">
        <v>126000000</v>
      </c>
      <c r="AA892">
        <v>126000000</v>
      </c>
      <c r="AB892" t="b">
        <v>1</v>
      </c>
      <c r="AC892">
        <v>1</v>
      </c>
    </row>
    <row r="893" spans="17:29" x14ac:dyDescent="0.2">
      <c r="Q893" t="s">
        <v>2018</v>
      </c>
      <c r="R893" t="s">
        <v>2363</v>
      </c>
      <c r="S893" t="s">
        <v>808</v>
      </c>
      <c r="T893" s="1">
        <v>44196</v>
      </c>
      <c r="U893" s="1">
        <v>44196</v>
      </c>
      <c r="V893" t="s">
        <v>270</v>
      </c>
      <c r="W893">
        <v>68000000</v>
      </c>
      <c r="X893">
        <v>68000000</v>
      </c>
      <c r="Y893" t="s">
        <v>270</v>
      </c>
      <c r="Z893">
        <v>68000000</v>
      </c>
      <c r="AA893">
        <v>68000000</v>
      </c>
      <c r="AB893" t="b">
        <v>1</v>
      </c>
      <c r="AC893">
        <v>1</v>
      </c>
    </row>
    <row r="894" spans="17:29" x14ac:dyDescent="0.2">
      <c r="Q894" t="s">
        <v>2018</v>
      </c>
      <c r="R894" t="s">
        <v>2363</v>
      </c>
      <c r="S894" t="s">
        <v>808</v>
      </c>
      <c r="T894" s="1">
        <v>44196</v>
      </c>
      <c r="U894" s="1">
        <v>44196</v>
      </c>
      <c r="V894" t="s">
        <v>270</v>
      </c>
      <c r="W894">
        <v>68000000</v>
      </c>
      <c r="X894">
        <v>68000000</v>
      </c>
      <c r="Y894" t="s">
        <v>270</v>
      </c>
      <c r="Z894">
        <v>68000000</v>
      </c>
      <c r="AA894">
        <v>68000000</v>
      </c>
      <c r="AB894" t="b">
        <v>1</v>
      </c>
      <c r="AC894">
        <v>1</v>
      </c>
    </row>
    <row r="895" spans="17:29" x14ac:dyDescent="0.2">
      <c r="Q895" t="s">
        <v>2018</v>
      </c>
      <c r="R895" t="s">
        <v>2364</v>
      </c>
      <c r="S895" t="s">
        <v>257</v>
      </c>
      <c r="T895" s="1">
        <v>44196</v>
      </c>
      <c r="U895" s="1">
        <v>44196</v>
      </c>
      <c r="V895" t="s">
        <v>270</v>
      </c>
      <c r="W895">
        <v>196000000</v>
      </c>
      <c r="X895">
        <v>196000000</v>
      </c>
      <c r="Y895" t="s">
        <v>270</v>
      </c>
      <c r="Z895">
        <v>196000000</v>
      </c>
      <c r="AA895">
        <v>196000000</v>
      </c>
      <c r="AB895" t="b">
        <v>0</v>
      </c>
      <c r="AC895">
        <v>1</v>
      </c>
    </row>
    <row r="896" spans="17:29" x14ac:dyDescent="0.2">
      <c r="Q896" t="s">
        <v>2031</v>
      </c>
      <c r="R896" t="s">
        <v>2365</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1989</v>
      </c>
      <c r="R897" t="s">
        <v>2365</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2029</v>
      </c>
      <c r="R898" t="s">
        <v>2365</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2029</v>
      </c>
      <c r="R899" t="s">
        <v>2365</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2018</v>
      </c>
      <c r="R900" t="s">
        <v>2364</v>
      </c>
      <c r="S900" t="s">
        <v>257</v>
      </c>
      <c r="T900" s="1">
        <v>44196</v>
      </c>
      <c r="U900" s="1">
        <v>44196</v>
      </c>
      <c r="V900" t="s">
        <v>270</v>
      </c>
      <c r="W900">
        <v>196000000</v>
      </c>
      <c r="X900">
        <v>196000000</v>
      </c>
      <c r="Y900" t="s">
        <v>270</v>
      </c>
      <c r="Z900">
        <v>196000000</v>
      </c>
      <c r="AA900">
        <v>196000000</v>
      </c>
      <c r="AB900" t="b">
        <v>0</v>
      </c>
      <c r="AC900">
        <v>1</v>
      </c>
    </row>
    <row r="901" spans="17:29" x14ac:dyDescent="0.2">
      <c r="Q901" t="s">
        <v>2018</v>
      </c>
      <c r="R901" t="s">
        <v>2366</v>
      </c>
      <c r="S901" t="s">
        <v>257</v>
      </c>
      <c r="T901" s="1">
        <v>44196</v>
      </c>
      <c r="U901" s="1">
        <v>44196</v>
      </c>
      <c r="V901" t="s">
        <v>270</v>
      </c>
      <c r="W901">
        <v>350000000</v>
      </c>
      <c r="X901">
        <v>350000000</v>
      </c>
      <c r="Y901" t="s">
        <v>270</v>
      </c>
      <c r="Z901">
        <v>350000000</v>
      </c>
      <c r="AA901">
        <v>350000000</v>
      </c>
      <c r="AB901" t="b">
        <v>0</v>
      </c>
      <c r="AC901">
        <v>1</v>
      </c>
    </row>
    <row r="902" spans="17:29" x14ac:dyDescent="0.2">
      <c r="Q902" t="s">
        <v>2018</v>
      </c>
      <c r="R902" t="s">
        <v>2366</v>
      </c>
      <c r="S902" t="s">
        <v>257</v>
      </c>
      <c r="T902" s="1">
        <v>44196</v>
      </c>
      <c r="U902" s="1">
        <v>44196</v>
      </c>
      <c r="V902" t="s">
        <v>270</v>
      </c>
      <c r="W902">
        <v>350000000</v>
      </c>
      <c r="X902">
        <v>350000000</v>
      </c>
      <c r="Y902" t="s">
        <v>270</v>
      </c>
      <c r="Z902">
        <v>350000000</v>
      </c>
      <c r="AA902">
        <v>350000000</v>
      </c>
      <c r="AB902" t="b">
        <v>0</v>
      </c>
      <c r="AC902">
        <v>1</v>
      </c>
    </row>
    <row r="903" spans="17:29" x14ac:dyDescent="0.2">
      <c r="Q903" t="s">
        <v>1998</v>
      </c>
      <c r="R903" t="s">
        <v>2367</v>
      </c>
      <c r="S903" t="s">
        <v>279</v>
      </c>
      <c r="T903" s="1">
        <v>44196</v>
      </c>
      <c r="U903" s="1">
        <v>44196</v>
      </c>
      <c r="V903" t="s">
        <v>270</v>
      </c>
      <c r="W903">
        <v>90000000</v>
      </c>
      <c r="X903">
        <v>90000000</v>
      </c>
      <c r="Y903" t="s">
        <v>270</v>
      </c>
      <c r="Z903">
        <v>90000000</v>
      </c>
      <c r="AA903">
        <v>90000000</v>
      </c>
      <c r="AB903" t="b">
        <v>1</v>
      </c>
      <c r="AC903">
        <v>1</v>
      </c>
    </row>
    <row r="904" spans="17:29" x14ac:dyDescent="0.2">
      <c r="Q904" t="s">
        <v>2067</v>
      </c>
      <c r="R904" t="s">
        <v>2367</v>
      </c>
      <c r="S904" t="s">
        <v>279</v>
      </c>
      <c r="T904" s="1">
        <v>44196</v>
      </c>
      <c r="U904" s="1">
        <v>44196</v>
      </c>
      <c r="V904" t="s">
        <v>270</v>
      </c>
      <c r="W904">
        <v>90000000</v>
      </c>
      <c r="X904">
        <v>90000000</v>
      </c>
      <c r="Y904" t="s">
        <v>270</v>
      </c>
      <c r="Z904">
        <v>90000000</v>
      </c>
      <c r="AA904">
        <v>90000000</v>
      </c>
      <c r="AB904" t="b">
        <v>1</v>
      </c>
      <c r="AC904">
        <v>1</v>
      </c>
    </row>
    <row r="905" spans="17:29" x14ac:dyDescent="0.2">
      <c r="Q905" t="s">
        <v>1998</v>
      </c>
      <c r="R905" t="s">
        <v>2368</v>
      </c>
      <c r="S905" t="s">
        <v>528</v>
      </c>
      <c r="T905" s="1">
        <v>44196</v>
      </c>
      <c r="U905" s="1">
        <v>44196</v>
      </c>
      <c r="V905" t="s">
        <v>270</v>
      </c>
      <c r="W905">
        <v>17100000</v>
      </c>
      <c r="X905">
        <v>17100000</v>
      </c>
      <c r="Y905" t="s">
        <v>270</v>
      </c>
      <c r="Z905">
        <v>17100000</v>
      </c>
      <c r="AA905">
        <v>17100000</v>
      </c>
      <c r="AB905" t="b">
        <v>0</v>
      </c>
      <c r="AC905">
        <v>1</v>
      </c>
    </row>
    <row r="906" spans="17:29" x14ac:dyDescent="0.2">
      <c r="Q906" t="s">
        <v>2067</v>
      </c>
      <c r="R906" t="s">
        <v>2368</v>
      </c>
      <c r="S906" t="s">
        <v>528</v>
      </c>
      <c r="T906" s="1">
        <v>44196</v>
      </c>
      <c r="U906" s="1">
        <v>44196</v>
      </c>
      <c r="V906" t="s">
        <v>270</v>
      </c>
      <c r="W906">
        <v>17100000</v>
      </c>
      <c r="X906">
        <v>17100000</v>
      </c>
      <c r="Y906" t="s">
        <v>270</v>
      </c>
      <c r="Z906">
        <v>17100000</v>
      </c>
      <c r="AA906">
        <v>17100000</v>
      </c>
      <c r="AB906" t="b">
        <v>0</v>
      </c>
      <c r="AC906">
        <v>1</v>
      </c>
    </row>
    <row r="907" spans="17:29" x14ac:dyDescent="0.2">
      <c r="Q907" t="s">
        <v>1998</v>
      </c>
      <c r="R907" t="s">
        <v>2369</v>
      </c>
      <c r="S907" t="s">
        <v>269</v>
      </c>
      <c r="T907" s="1">
        <v>44196</v>
      </c>
      <c r="U907" s="1">
        <v>44196</v>
      </c>
      <c r="V907" t="s">
        <v>270</v>
      </c>
      <c r="W907">
        <v>80000000</v>
      </c>
      <c r="X907">
        <v>80000000</v>
      </c>
      <c r="Y907" t="s">
        <v>270</v>
      </c>
      <c r="Z907">
        <v>80000000</v>
      </c>
      <c r="AA907">
        <v>80000000</v>
      </c>
      <c r="AB907" t="b">
        <v>0</v>
      </c>
      <c r="AC907">
        <v>1</v>
      </c>
    </row>
    <row r="908" spans="17:29" x14ac:dyDescent="0.2">
      <c r="Q908" t="s">
        <v>2067</v>
      </c>
      <c r="R908" t="s">
        <v>2369</v>
      </c>
      <c r="S908" t="s">
        <v>269</v>
      </c>
      <c r="T908" s="1">
        <v>44196</v>
      </c>
      <c r="U908" s="1">
        <v>44196</v>
      </c>
      <c r="V908" t="s">
        <v>270</v>
      </c>
      <c r="W908">
        <v>80000000</v>
      </c>
      <c r="X908">
        <v>80000000</v>
      </c>
      <c r="Y908" t="s">
        <v>270</v>
      </c>
      <c r="Z908">
        <v>80000000</v>
      </c>
      <c r="AA908">
        <v>80000000</v>
      </c>
      <c r="AB908" t="b">
        <v>0</v>
      </c>
      <c r="AC908">
        <v>1</v>
      </c>
    </row>
    <row r="909" spans="17:29" x14ac:dyDescent="0.2">
      <c r="Q909" t="s">
        <v>1998</v>
      </c>
      <c r="R909" t="s">
        <v>2370</v>
      </c>
      <c r="S909" t="s">
        <v>257</v>
      </c>
      <c r="T909" s="1">
        <v>44196</v>
      </c>
      <c r="U909" s="1">
        <v>44196</v>
      </c>
      <c r="V909" t="s">
        <v>270</v>
      </c>
      <c r="W909">
        <v>30000000</v>
      </c>
      <c r="X909">
        <v>30000000</v>
      </c>
      <c r="Y909" t="s">
        <v>270</v>
      </c>
      <c r="Z909">
        <v>30000000</v>
      </c>
      <c r="AA909">
        <v>30000000</v>
      </c>
      <c r="AB909" t="b">
        <v>0</v>
      </c>
      <c r="AC909">
        <v>1</v>
      </c>
    </row>
    <row r="910" spans="17:29" x14ac:dyDescent="0.2">
      <c r="Q910" t="s">
        <v>2067</v>
      </c>
      <c r="R910" t="s">
        <v>2370</v>
      </c>
      <c r="S910" t="s">
        <v>257</v>
      </c>
      <c r="T910" s="1">
        <v>44196</v>
      </c>
      <c r="U910" s="1">
        <v>44196</v>
      </c>
      <c r="V910" t="s">
        <v>270</v>
      </c>
      <c r="W910">
        <v>30000000</v>
      </c>
      <c r="X910">
        <v>30000000</v>
      </c>
      <c r="Y910" t="s">
        <v>270</v>
      </c>
      <c r="Z910">
        <v>30000000</v>
      </c>
      <c r="AA910">
        <v>30000000</v>
      </c>
      <c r="AB910" t="b">
        <v>0</v>
      </c>
      <c r="AC910">
        <v>1</v>
      </c>
    </row>
    <row r="911" spans="17:29" x14ac:dyDescent="0.2">
      <c r="Q911" t="s">
        <v>1998</v>
      </c>
      <c r="R911" t="s">
        <v>2371</v>
      </c>
      <c r="S911" t="s">
        <v>1280</v>
      </c>
      <c r="T911" s="1">
        <v>44196</v>
      </c>
      <c r="U911" s="1">
        <v>44196</v>
      </c>
      <c r="V911" t="s">
        <v>270</v>
      </c>
      <c r="W911">
        <v>100000000</v>
      </c>
      <c r="X911">
        <v>100000000</v>
      </c>
      <c r="Y911" t="s">
        <v>270</v>
      </c>
      <c r="Z911">
        <v>100000000</v>
      </c>
      <c r="AA911">
        <v>100000000</v>
      </c>
      <c r="AB911" t="b">
        <v>0</v>
      </c>
      <c r="AC911">
        <v>1</v>
      </c>
    </row>
    <row r="912" spans="17:29" x14ac:dyDescent="0.2">
      <c r="Q912" t="s">
        <v>2000</v>
      </c>
      <c r="R912" t="s">
        <v>2371</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1998</v>
      </c>
      <c r="R913" t="s">
        <v>2372</v>
      </c>
      <c r="S913" t="s">
        <v>384</v>
      </c>
      <c r="T913" s="1">
        <v>44196</v>
      </c>
      <c r="U913" s="1">
        <v>44196</v>
      </c>
      <c r="V913" t="s">
        <v>270</v>
      </c>
      <c r="W913">
        <v>60000000</v>
      </c>
      <c r="X913">
        <v>60000000</v>
      </c>
      <c r="Y913" t="s">
        <v>270</v>
      </c>
      <c r="Z913">
        <v>60000000</v>
      </c>
      <c r="AA913">
        <v>60000000</v>
      </c>
      <c r="AB913" t="b">
        <v>0</v>
      </c>
      <c r="AC913">
        <v>1</v>
      </c>
    </row>
    <row r="914" spans="17:29" x14ac:dyDescent="0.2">
      <c r="Q914" t="s">
        <v>2000</v>
      </c>
      <c r="R914" t="s">
        <v>2372</v>
      </c>
      <c r="S914" t="s">
        <v>384</v>
      </c>
      <c r="T914" s="1">
        <v>44196</v>
      </c>
      <c r="U914" s="1">
        <v>44196</v>
      </c>
      <c r="V914" t="s">
        <v>270</v>
      </c>
      <c r="W914">
        <v>60000000</v>
      </c>
      <c r="X914">
        <v>60000000</v>
      </c>
      <c r="Y914" t="s">
        <v>270</v>
      </c>
      <c r="Z914">
        <v>60000000</v>
      </c>
      <c r="AA914">
        <v>60000000</v>
      </c>
      <c r="AB914" t="b">
        <v>0</v>
      </c>
      <c r="AC914">
        <v>1</v>
      </c>
    </row>
    <row r="915" spans="17:29" x14ac:dyDescent="0.2">
      <c r="Q915" t="s">
        <v>1998</v>
      </c>
      <c r="R915" t="s">
        <v>2373</v>
      </c>
      <c r="S915" t="s">
        <v>257</v>
      </c>
      <c r="T915" s="1">
        <v>44196</v>
      </c>
      <c r="U915" s="1">
        <v>44196</v>
      </c>
      <c r="V915" t="s">
        <v>270</v>
      </c>
      <c r="W915">
        <v>39000000</v>
      </c>
      <c r="X915">
        <v>39000000</v>
      </c>
      <c r="Y915" t="s">
        <v>270</v>
      </c>
      <c r="Z915">
        <v>39000000</v>
      </c>
      <c r="AA915">
        <v>39000000</v>
      </c>
      <c r="AB915" t="b">
        <v>0</v>
      </c>
      <c r="AC915">
        <v>1</v>
      </c>
    </row>
    <row r="916" spans="17:29" x14ac:dyDescent="0.2">
      <c r="Q916" t="s">
        <v>2000</v>
      </c>
      <c r="R916" t="s">
        <v>2373</v>
      </c>
      <c r="S916" t="s">
        <v>257</v>
      </c>
      <c r="T916" s="1">
        <v>44196</v>
      </c>
      <c r="U916" s="1">
        <v>44196</v>
      </c>
      <c r="V916" t="s">
        <v>270</v>
      </c>
      <c r="W916">
        <v>39000000</v>
      </c>
      <c r="X916">
        <v>39000000</v>
      </c>
      <c r="Y916" t="s">
        <v>270</v>
      </c>
      <c r="Z916">
        <v>39000000</v>
      </c>
      <c r="AA916">
        <v>39000000</v>
      </c>
      <c r="AB916" t="b">
        <v>0</v>
      </c>
      <c r="AC916">
        <v>1</v>
      </c>
    </row>
    <row r="917" spans="17:29" x14ac:dyDescent="0.2">
      <c r="Q917" t="s">
        <v>2374</v>
      </c>
      <c r="R917" t="s">
        <v>2320</v>
      </c>
      <c r="S917" t="s">
        <v>257</v>
      </c>
      <c r="T917" s="1">
        <v>43831</v>
      </c>
      <c r="U917" s="1">
        <v>43831</v>
      </c>
      <c r="V917" t="s">
        <v>260</v>
      </c>
      <c r="W917">
        <v>1090000</v>
      </c>
      <c r="X917">
        <v>1090000</v>
      </c>
      <c r="Y917" t="s">
        <v>270</v>
      </c>
      <c r="Z917">
        <v>221000</v>
      </c>
      <c r="AA917">
        <v>221000</v>
      </c>
      <c r="AB917" t="b">
        <v>0</v>
      </c>
      <c r="AC917">
        <v>1</v>
      </c>
    </row>
    <row r="918" spans="17:29" x14ac:dyDescent="0.2">
      <c r="Q918" t="s">
        <v>2374</v>
      </c>
      <c r="R918" t="s">
        <v>2320</v>
      </c>
      <c r="S918" t="s">
        <v>257</v>
      </c>
      <c r="T918" s="1">
        <v>43647</v>
      </c>
      <c r="U918" s="1">
        <v>43647</v>
      </c>
      <c r="V918" t="s">
        <v>260</v>
      </c>
      <c r="W918">
        <v>7287000</v>
      </c>
      <c r="X918">
        <v>7287000</v>
      </c>
      <c r="Y918" t="s">
        <v>270</v>
      </c>
      <c r="Z918">
        <v>1797000</v>
      </c>
      <c r="AA918">
        <v>1797000</v>
      </c>
      <c r="AB918" t="b">
        <v>0</v>
      </c>
      <c r="AC918">
        <v>1</v>
      </c>
    </row>
    <row r="919" spans="17:29" x14ac:dyDescent="0.2">
      <c r="Q919" t="s">
        <v>2374</v>
      </c>
      <c r="R919" t="s">
        <v>2320</v>
      </c>
      <c r="S919" t="s">
        <v>257</v>
      </c>
      <c r="T919" s="1">
        <v>44200</v>
      </c>
      <c r="U919" s="1">
        <v>44200</v>
      </c>
      <c r="V919" t="s">
        <v>260</v>
      </c>
      <c r="W919">
        <v>3850000</v>
      </c>
      <c r="X919">
        <v>3850000</v>
      </c>
      <c r="Y919" t="s">
        <v>270</v>
      </c>
      <c r="Z919">
        <v>714000</v>
      </c>
      <c r="AA919">
        <v>714000</v>
      </c>
      <c r="AB919" t="b">
        <v>0</v>
      </c>
      <c r="AC919">
        <v>1</v>
      </c>
    </row>
    <row r="920" spans="17:29" x14ac:dyDescent="0.2">
      <c r="Q920" t="s">
        <v>2374</v>
      </c>
      <c r="R920" t="s">
        <v>2320</v>
      </c>
      <c r="S920" t="s">
        <v>257</v>
      </c>
      <c r="T920" s="1">
        <v>44013</v>
      </c>
      <c r="U920" s="1">
        <v>44013</v>
      </c>
      <c r="V920" t="s">
        <v>260</v>
      </c>
      <c r="W920">
        <v>750000</v>
      </c>
      <c r="X920">
        <v>750000</v>
      </c>
      <c r="Y920" t="s">
        <v>270</v>
      </c>
      <c r="Z920">
        <v>138000</v>
      </c>
      <c r="AA920">
        <v>138000</v>
      </c>
      <c r="AB920" t="b">
        <v>0</v>
      </c>
      <c r="AC920">
        <v>1</v>
      </c>
    </row>
    <row r="921" spans="17:29" x14ac:dyDescent="0.2">
      <c r="Q921" t="s">
        <v>2141</v>
      </c>
      <c r="R921" t="s">
        <v>2375</v>
      </c>
      <c r="S921" t="s">
        <v>257</v>
      </c>
      <c r="T921" s="1">
        <v>43466</v>
      </c>
      <c r="U921" s="1">
        <v>43466</v>
      </c>
      <c r="V921" t="s">
        <v>260</v>
      </c>
      <c r="W921">
        <v>5826850</v>
      </c>
      <c r="X921">
        <v>5826850</v>
      </c>
      <c r="Y921" t="s">
        <v>270</v>
      </c>
      <c r="Z921">
        <v>1515080</v>
      </c>
      <c r="AA921">
        <v>1515080</v>
      </c>
      <c r="AB921" t="b">
        <v>0</v>
      </c>
      <c r="AC921">
        <v>1</v>
      </c>
    </row>
    <row r="922" spans="17:29" x14ac:dyDescent="0.2">
      <c r="Q922" t="s">
        <v>2141</v>
      </c>
      <c r="R922" t="s">
        <v>2375</v>
      </c>
      <c r="S922" t="s">
        <v>257</v>
      </c>
      <c r="T922" s="1">
        <v>43282</v>
      </c>
      <c r="U922" s="1">
        <v>43282</v>
      </c>
      <c r="V922" t="s">
        <v>260</v>
      </c>
      <c r="W922">
        <v>9775390</v>
      </c>
      <c r="X922">
        <v>9775390</v>
      </c>
      <c r="Y922" t="s">
        <v>270</v>
      </c>
      <c r="Z922">
        <v>2519040</v>
      </c>
      <c r="AA922">
        <v>2519040</v>
      </c>
      <c r="AB922" t="b">
        <v>0</v>
      </c>
      <c r="AC922">
        <v>1</v>
      </c>
    </row>
    <row r="923" spans="17:29" x14ac:dyDescent="0.2">
      <c r="Q923" t="s">
        <v>2376</v>
      </c>
      <c r="R923" t="s">
        <v>2375</v>
      </c>
      <c r="S923" t="s">
        <v>257</v>
      </c>
      <c r="T923" s="1">
        <v>43466</v>
      </c>
      <c r="U923" s="1">
        <v>43466</v>
      </c>
      <c r="V923" t="s">
        <v>260</v>
      </c>
      <c r="W923">
        <v>5826850</v>
      </c>
      <c r="X923">
        <v>5826850</v>
      </c>
      <c r="Y923" t="s">
        <v>270</v>
      </c>
      <c r="Z923">
        <v>1515080</v>
      </c>
      <c r="AA923">
        <v>1515080</v>
      </c>
      <c r="AB923" t="b">
        <v>0</v>
      </c>
      <c r="AC923">
        <v>1</v>
      </c>
    </row>
    <row r="924" spans="17:29" x14ac:dyDescent="0.2">
      <c r="Q924" t="s">
        <v>2376</v>
      </c>
      <c r="R924" t="s">
        <v>2375</v>
      </c>
      <c r="S924" t="s">
        <v>257</v>
      </c>
      <c r="T924" s="1">
        <v>43282</v>
      </c>
      <c r="U924" s="1">
        <v>43282</v>
      </c>
      <c r="V924" t="s">
        <v>260</v>
      </c>
      <c r="W924">
        <v>9775390</v>
      </c>
      <c r="X924">
        <v>9775390</v>
      </c>
      <c r="Y924" t="s">
        <v>270</v>
      </c>
      <c r="Z924">
        <v>2519040</v>
      </c>
      <c r="AA924">
        <v>2519040</v>
      </c>
      <c r="AB924" t="b">
        <v>0</v>
      </c>
      <c r="AC924">
        <v>1</v>
      </c>
    </row>
    <row r="925" spans="17:29" x14ac:dyDescent="0.2">
      <c r="Q925" t="s">
        <v>1998</v>
      </c>
      <c r="R925" t="s">
        <v>2377</v>
      </c>
      <c r="S925" t="s">
        <v>257</v>
      </c>
      <c r="T925" s="1">
        <v>42887</v>
      </c>
      <c r="U925" s="1">
        <v>42887</v>
      </c>
      <c r="V925" t="s">
        <v>260</v>
      </c>
      <c r="W925">
        <v>74400</v>
      </c>
      <c r="X925">
        <v>74400</v>
      </c>
      <c r="Y925" t="s">
        <v>270</v>
      </c>
      <c r="Z925">
        <v>23305</v>
      </c>
      <c r="AA925">
        <v>23305</v>
      </c>
      <c r="AB925" t="b">
        <v>1</v>
      </c>
      <c r="AC925">
        <v>1</v>
      </c>
    </row>
    <row r="926" spans="17:29" x14ac:dyDescent="0.2">
      <c r="Q926" t="s">
        <v>1998</v>
      </c>
      <c r="R926" t="s">
        <v>2377</v>
      </c>
      <c r="S926" t="s">
        <v>257</v>
      </c>
      <c r="T926" s="1">
        <v>42522</v>
      </c>
      <c r="U926" s="1">
        <v>42522</v>
      </c>
      <c r="V926" t="s">
        <v>260</v>
      </c>
      <c r="W926">
        <v>11103450</v>
      </c>
      <c r="X926">
        <v>11103450</v>
      </c>
      <c r="Y926" t="s">
        <v>270</v>
      </c>
      <c r="Z926">
        <v>3187624</v>
      </c>
      <c r="AA926">
        <v>3187624</v>
      </c>
      <c r="AB926" t="b">
        <v>1</v>
      </c>
      <c r="AC926">
        <v>1</v>
      </c>
    </row>
    <row r="927" spans="17:29" x14ac:dyDescent="0.2">
      <c r="Q927" t="s">
        <v>1998</v>
      </c>
      <c r="R927" t="s">
        <v>2377</v>
      </c>
      <c r="S927" t="s">
        <v>257</v>
      </c>
      <c r="T927" s="1">
        <v>42248</v>
      </c>
      <c r="U927" s="1">
        <v>42248</v>
      </c>
      <c r="V927" t="s">
        <v>260</v>
      </c>
      <c r="W927">
        <v>7652550</v>
      </c>
      <c r="X927">
        <v>7652550</v>
      </c>
      <c r="Y927" t="s">
        <v>270</v>
      </c>
      <c r="Z927">
        <v>2292075</v>
      </c>
      <c r="AA927">
        <v>2292075</v>
      </c>
      <c r="AB927" t="b">
        <v>1</v>
      </c>
      <c r="AC927">
        <v>1</v>
      </c>
    </row>
    <row r="928" spans="17:29" x14ac:dyDescent="0.2">
      <c r="Q928" t="s">
        <v>2067</v>
      </c>
      <c r="R928" t="s">
        <v>2377</v>
      </c>
      <c r="S928" t="s">
        <v>257</v>
      </c>
      <c r="T928" s="1">
        <v>42887</v>
      </c>
      <c r="U928" s="1">
        <v>42887</v>
      </c>
      <c r="V928" t="s">
        <v>260</v>
      </c>
      <c r="W928">
        <v>74400</v>
      </c>
      <c r="X928">
        <v>74400</v>
      </c>
      <c r="Y928" t="s">
        <v>270</v>
      </c>
      <c r="Z928">
        <v>23305</v>
      </c>
      <c r="AA928">
        <v>23305</v>
      </c>
      <c r="AB928" t="b">
        <v>1</v>
      </c>
      <c r="AC928">
        <v>1</v>
      </c>
    </row>
    <row r="929" spans="17:29" x14ac:dyDescent="0.2">
      <c r="Q929" t="s">
        <v>2067</v>
      </c>
      <c r="R929" t="s">
        <v>2377</v>
      </c>
      <c r="S929" t="s">
        <v>257</v>
      </c>
      <c r="T929" s="1">
        <v>42522</v>
      </c>
      <c r="U929" s="1">
        <v>42522</v>
      </c>
      <c r="V929" t="s">
        <v>260</v>
      </c>
      <c r="W929">
        <v>11103450</v>
      </c>
      <c r="X929">
        <v>11103450</v>
      </c>
      <c r="Y929" t="s">
        <v>270</v>
      </c>
      <c r="Z929">
        <v>3187624</v>
      </c>
      <c r="AA929">
        <v>3187624</v>
      </c>
      <c r="AB929" t="b">
        <v>1</v>
      </c>
      <c r="AC929">
        <v>1</v>
      </c>
    </row>
    <row r="930" spans="17:29" x14ac:dyDescent="0.2">
      <c r="Q930" t="s">
        <v>2067</v>
      </c>
      <c r="R930" t="s">
        <v>2377</v>
      </c>
      <c r="S930" t="s">
        <v>257</v>
      </c>
      <c r="T930" s="1">
        <v>42248</v>
      </c>
      <c r="U930" s="1">
        <v>42248</v>
      </c>
      <c r="V930" t="s">
        <v>260</v>
      </c>
      <c r="W930">
        <v>7652550</v>
      </c>
      <c r="X930">
        <v>7652550</v>
      </c>
      <c r="Y930" t="s">
        <v>270</v>
      </c>
      <c r="Z930">
        <v>2292075</v>
      </c>
      <c r="AA930">
        <v>2292075</v>
      </c>
      <c r="AB930" t="b">
        <v>1</v>
      </c>
      <c r="AC930">
        <v>1</v>
      </c>
    </row>
    <row r="931" spans="17:29" x14ac:dyDescent="0.2">
      <c r="Q931" t="s">
        <v>2080</v>
      </c>
      <c r="R931" t="s">
        <v>2378</v>
      </c>
      <c r="S931" t="s">
        <v>257</v>
      </c>
      <c r="T931" s="1">
        <v>43466</v>
      </c>
      <c r="U931" s="1">
        <v>43466</v>
      </c>
      <c r="V931" t="s">
        <v>260</v>
      </c>
      <c r="W931">
        <v>858390</v>
      </c>
      <c r="X931">
        <v>858390</v>
      </c>
      <c r="Y931" t="s">
        <v>270</v>
      </c>
      <c r="Z931">
        <v>223200</v>
      </c>
      <c r="AA931">
        <v>223200</v>
      </c>
      <c r="AB931" t="b">
        <v>1</v>
      </c>
      <c r="AC931">
        <v>1</v>
      </c>
    </row>
    <row r="932" spans="17:29" x14ac:dyDescent="0.2">
      <c r="Q932" t="s">
        <v>2080</v>
      </c>
      <c r="R932" t="s">
        <v>2378</v>
      </c>
      <c r="S932" t="s">
        <v>257</v>
      </c>
      <c r="T932" s="1">
        <v>43282</v>
      </c>
      <c r="U932" s="1">
        <v>43282</v>
      </c>
      <c r="V932" t="s">
        <v>260</v>
      </c>
      <c r="W932">
        <v>954500</v>
      </c>
      <c r="X932">
        <v>954500</v>
      </c>
      <c r="Y932" t="s">
        <v>270</v>
      </c>
      <c r="Z932">
        <v>245970</v>
      </c>
      <c r="AA932">
        <v>245970</v>
      </c>
      <c r="AB932" t="b">
        <v>1</v>
      </c>
      <c r="AC932">
        <v>1</v>
      </c>
    </row>
    <row r="933" spans="17:29" x14ac:dyDescent="0.2">
      <c r="Q933" t="s">
        <v>2080</v>
      </c>
      <c r="R933" t="s">
        <v>2378</v>
      </c>
      <c r="S933" t="s">
        <v>257</v>
      </c>
      <c r="T933" s="1">
        <v>43101</v>
      </c>
      <c r="U933" s="1">
        <v>43101</v>
      </c>
      <c r="V933" t="s">
        <v>260</v>
      </c>
      <c r="W933">
        <v>3193491</v>
      </c>
      <c r="X933">
        <v>3193491</v>
      </c>
      <c r="Y933" t="s">
        <v>270</v>
      </c>
      <c r="Z933">
        <v>931754</v>
      </c>
      <c r="AA933">
        <v>931754</v>
      </c>
      <c r="AB933" t="b">
        <v>1</v>
      </c>
      <c r="AC933">
        <v>1</v>
      </c>
    </row>
    <row r="934" spans="17:29" x14ac:dyDescent="0.2">
      <c r="Q934" t="s">
        <v>2080</v>
      </c>
      <c r="R934" t="s">
        <v>2378</v>
      </c>
      <c r="S934" t="s">
        <v>257</v>
      </c>
      <c r="T934" s="1">
        <v>42887</v>
      </c>
      <c r="U934" s="1">
        <v>42887</v>
      </c>
      <c r="V934" t="s">
        <v>260</v>
      </c>
      <c r="W934">
        <v>6987843</v>
      </c>
      <c r="X934">
        <v>6987843</v>
      </c>
      <c r="Y934" t="s">
        <v>270</v>
      </c>
      <c r="Z934">
        <v>2188832</v>
      </c>
      <c r="AA934">
        <v>2188832</v>
      </c>
      <c r="AB934" t="b">
        <v>1</v>
      </c>
      <c r="AC934">
        <v>1</v>
      </c>
    </row>
    <row r="935" spans="17:29" x14ac:dyDescent="0.2">
      <c r="Q935" t="s">
        <v>2080</v>
      </c>
      <c r="R935" t="s">
        <v>2378</v>
      </c>
      <c r="S935" t="s">
        <v>257</v>
      </c>
      <c r="T935" s="1">
        <v>42522</v>
      </c>
      <c r="U935" s="1">
        <v>42522</v>
      </c>
      <c r="V935" t="s">
        <v>260</v>
      </c>
      <c r="W935">
        <v>2394000</v>
      </c>
      <c r="X935">
        <v>2394000</v>
      </c>
      <c r="Y935" t="s">
        <v>270</v>
      </c>
      <c r="Z935">
        <v>687280</v>
      </c>
      <c r="AA935">
        <v>687280</v>
      </c>
      <c r="AB935" t="b">
        <v>1</v>
      </c>
      <c r="AC935">
        <v>1</v>
      </c>
    </row>
    <row r="936" spans="17:29" x14ac:dyDescent="0.2">
      <c r="Q936" t="s">
        <v>2080</v>
      </c>
      <c r="R936" t="s">
        <v>2378</v>
      </c>
      <c r="S936" t="s">
        <v>257</v>
      </c>
      <c r="T936" s="1">
        <v>42248</v>
      </c>
      <c r="U936" s="1">
        <v>42248</v>
      </c>
      <c r="V936" t="s">
        <v>260</v>
      </c>
      <c r="W936">
        <v>1343000</v>
      </c>
      <c r="X936">
        <v>1343000</v>
      </c>
      <c r="Y936" t="s">
        <v>270</v>
      </c>
      <c r="Z936">
        <v>402253</v>
      </c>
      <c r="AA936">
        <v>402253</v>
      </c>
      <c r="AB936" t="b">
        <v>1</v>
      </c>
      <c r="AC936">
        <v>1</v>
      </c>
    </row>
    <row r="937" spans="17:29" x14ac:dyDescent="0.2">
      <c r="Q937" t="s">
        <v>2082</v>
      </c>
      <c r="R937" t="s">
        <v>2378</v>
      </c>
      <c r="S937" t="s">
        <v>257</v>
      </c>
      <c r="T937" s="1">
        <v>43466</v>
      </c>
      <c r="U937" s="1">
        <v>43466</v>
      </c>
      <c r="V937" t="s">
        <v>260</v>
      </c>
      <c r="W937">
        <v>858390</v>
      </c>
      <c r="X937">
        <v>858390</v>
      </c>
      <c r="Y937" t="s">
        <v>270</v>
      </c>
      <c r="Z937">
        <v>223200</v>
      </c>
      <c r="AA937">
        <v>223200</v>
      </c>
      <c r="AB937" t="b">
        <v>1</v>
      </c>
      <c r="AC937">
        <v>1</v>
      </c>
    </row>
    <row r="938" spans="17:29" x14ac:dyDescent="0.2">
      <c r="Q938" t="s">
        <v>2082</v>
      </c>
      <c r="R938" t="s">
        <v>2378</v>
      </c>
      <c r="S938" t="s">
        <v>257</v>
      </c>
      <c r="T938" s="1">
        <v>43282</v>
      </c>
      <c r="U938" s="1">
        <v>43282</v>
      </c>
      <c r="V938" t="s">
        <v>260</v>
      </c>
      <c r="W938">
        <v>954500</v>
      </c>
      <c r="X938">
        <v>954500</v>
      </c>
      <c r="Y938" t="s">
        <v>270</v>
      </c>
      <c r="Z938">
        <v>245970</v>
      </c>
      <c r="AA938">
        <v>245970</v>
      </c>
      <c r="AB938" t="b">
        <v>1</v>
      </c>
      <c r="AC938">
        <v>1</v>
      </c>
    </row>
    <row r="939" spans="17:29" x14ac:dyDescent="0.2">
      <c r="Q939" t="s">
        <v>2082</v>
      </c>
      <c r="R939" t="s">
        <v>2378</v>
      </c>
      <c r="S939" t="s">
        <v>257</v>
      </c>
      <c r="T939" s="1">
        <v>43101</v>
      </c>
      <c r="U939" s="1">
        <v>43101</v>
      </c>
      <c r="V939" t="s">
        <v>260</v>
      </c>
      <c r="W939">
        <v>3193491</v>
      </c>
      <c r="X939">
        <v>3193491</v>
      </c>
      <c r="Y939" t="s">
        <v>270</v>
      </c>
      <c r="Z939">
        <v>931754</v>
      </c>
      <c r="AA939">
        <v>931754</v>
      </c>
      <c r="AB939" t="b">
        <v>1</v>
      </c>
      <c r="AC939">
        <v>1</v>
      </c>
    </row>
    <row r="940" spans="17:29" x14ac:dyDescent="0.2">
      <c r="Q940" t="s">
        <v>2082</v>
      </c>
      <c r="R940" t="s">
        <v>2378</v>
      </c>
      <c r="S940" t="s">
        <v>257</v>
      </c>
      <c r="T940" s="1">
        <v>42887</v>
      </c>
      <c r="U940" s="1">
        <v>42887</v>
      </c>
      <c r="V940" t="s">
        <v>260</v>
      </c>
      <c r="W940">
        <v>6987843</v>
      </c>
      <c r="X940">
        <v>6987843</v>
      </c>
      <c r="Y940" t="s">
        <v>270</v>
      </c>
      <c r="Z940">
        <v>2188832</v>
      </c>
      <c r="AA940">
        <v>2188832</v>
      </c>
      <c r="AB940" t="b">
        <v>1</v>
      </c>
      <c r="AC940">
        <v>1</v>
      </c>
    </row>
    <row r="941" spans="17:29" x14ac:dyDescent="0.2">
      <c r="Q941" t="s">
        <v>2082</v>
      </c>
      <c r="R941" t="s">
        <v>2378</v>
      </c>
      <c r="S941" t="s">
        <v>257</v>
      </c>
      <c r="T941" s="1">
        <v>42522</v>
      </c>
      <c r="U941" s="1">
        <v>42522</v>
      </c>
      <c r="V941" t="s">
        <v>260</v>
      </c>
      <c r="W941">
        <v>2394000</v>
      </c>
      <c r="X941">
        <v>2394000</v>
      </c>
      <c r="Y941" t="s">
        <v>270</v>
      </c>
      <c r="Z941">
        <v>687280</v>
      </c>
      <c r="AA941">
        <v>687280</v>
      </c>
      <c r="AB941" t="b">
        <v>1</v>
      </c>
      <c r="AC941">
        <v>1</v>
      </c>
    </row>
    <row r="942" spans="17:29" x14ac:dyDescent="0.2">
      <c r="Q942" t="s">
        <v>2082</v>
      </c>
      <c r="R942" t="s">
        <v>2378</v>
      </c>
      <c r="S942" t="s">
        <v>257</v>
      </c>
      <c r="T942" s="1">
        <v>42248</v>
      </c>
      <c r="U942" s="1">
        <v>42248</v>
      </c>
      <c r="V942" t="s">
        <v>260</v>
      </c>
      <c r="W942">
        <v>1343000</v>
      </c>
      <c r="X942">
        <v>1343000</v>
      </c>
      <c r="Y942" t="s">
        <v>270</v>
      </c>
      <c r="Z942">
        <v>402253</v>
      </c>
      <c r="AA942">
        <v>402253</v>
      </c>
      <c r="AB942" t="b">
        <v>1</v>
      </c>
      <c r="AC942">
        <v>1</v>
      </c>
    </row>
    <row r="943" spans="17:29" x14ac:dyDescent="0.2">
      <c r="Q943" t="s">
        <v>2208</v>
      </c>
      <c r="R943" t="s">
        <v>2379</v>
      </c>
      <c r="S943" t="s">
        <v>257</v>
      </c>
      <c r="T943" s="1">
        <v>44013</v>
      </c>
      <c r="U943" s="1">
        <v>44013</v>
      </c>
      <c r="V943" t="s">
        <v>260</v>
      </c>
      <c r="W943">
        <v>14000</v>
      </c>
      <c r="X943">
        <v>14000</v>
      </c>
      <c r="Y943" t="s">
        <v>270</v>
      </c>
      <c r="Z943">
        <v>3000</v>
      </c>
      <c r="AA943">
        <v>3000</v>
      </c>
      <c r="AB943" t="b">
        <v>0</v>
      </c>
      <c r="AC943">
        <v>1</v>
      </c>
    </row>
    <row r="944" spans="17:29" x14ac:dyDescent="0.2">
      <c r="Q944" t="s">
        <v>2208</v>
      </c>
      <c r="R944" t="s">
        <v>2379</v>
      </c>
      <c r="S944" t="s">
        <v>257</v>
      </c>
      <c r="T944" s="1">
        <v>43831</v>
      </c>
      <c r="U944" s="1">
        <v>43831</v>
      </c>
      <c r="V944" t="s">
        <v>260</v>
      </c>
      <c r="W944">
        <v>5000</v>
      </c>
      <c r="X944">
        <v>5000</v>
      </c>
      <c r="Y944" t="s">
        <v>270</v>
      </c>
      <c r="Z944">
        <v>1000</v>
      </c>
      <c r="AA944">
        <v>1000</v>
      </c>
      <c r="AB944" t="b">
        <v>0</v>
      </c>
      <c r="AC944">
        <v>1</v>
      </c>
    </row>
    <row r="945" spans="17:29" x14ac:dyDescent="0.2">
      <c r="Q945" t="s">
        <v>2208</v>
      </c>
      <c r="R945" t="s">
        <v>2379</v>
      </c>
      <c r="S945" t="s">
        <v>257</v>
      </c>
      <c r="T945" s="1">
        <v>43647</v>
      </c>
      <c r="U945" s="1">
        <v>43647</v>
      </c>
      <c r="V945" t="s">
        <v>260</v>
      </c>
      <c r="W945">
        <v>16000</v>
      </c>
      <c r="X945">
        <v>16000</v>
      </c>
      <c r="Y945" t="s">
        <v>270</v>
      </c>
      <c r="Z945">
        <v>4000</v>
      </c>
      <c r="AA945">
        <v>4000</v>
      </c>
      <c r="AB945" t="b">
        <v>0</v>
      </c>
      <c r="AC945">
        <v>1</v>
      </c>
    </row>
    <row r="946" spans="17:29" x14ac:dyDescent="0.2">
      <c r="Q946" t="s">
        <v>2208</v>
      </c>
      <c r="R946" t="s">
        <v>2379</v>
      </c>
      <c r="S946" t="s">
        <v>257</v>
      </c>
      <c r="T946" s="1">
        <v>43466</v>
      </c>
      <c r="U946" s="1">
        <v>43466</v>
      </c>
      <c r="V946" t="s">
        <v>260</v>
      </c>
      <c r="W946">
        <v>14910</v>
      </c>
      <c r="X946">
        <v>14910</v>
      </c>
      <c r="Y946" t="s">
        <v>270</v>
      </c>
      <c r="Z946">
        <v>3880</v>
      </c>
      <c r="AA946">
        <v>3880</v>
      </c>
      <c r="AB946" t="b">
        <v>0</v>
      </c>
      <c r="AC946">
        <v>1</v>
      </c>
    </row>
    <row r="947" spans="17:29" x14ac:dyDescent="0.2">
      <c r="Q947" t="s">
        <v>2208</v>
      </c>
      <c r="R947" t="s">
        <v>2379</v>
      </c>
      <c r="S947" t="s">
        <v>257</v>
      </c>
      <c r="T947" s="1">
        <v>43282</v>
      </c>
      <c r="U947" s="1">
        <v>43282</v>
      </c>
      <c r="V947" t="s">
        <v>260</v>
      </c>
      <c r="W947">
        <v>13370</v>
      </c>
      <c r="X947">
        <v>13370</v>
      </c>
      <c r="Y947" t="s">
        <v>270</v>
      </c>
      <c r="Z947">
        <v>3450</v>
      </c>
      <c r="AA947">
        <v>3450</v>
      </c>
      <c r="AB947" t="b">
        <v>0</v>
      </c>
      <c r="AC947">
        <v>1</v>
      </c>
    </row>
    <row r="948" spans="17:29" x14ac:dyDescent="0.2">
      <c r="Q948" t="s">
        <v>2210</v>
      </c>
      <c r="R948" t="s">
        <v>2379</v>
      </c>
      <c r="S948" t="s">
        <v>257</v>
      </c>
      <c r="T948" s="1">
        <v>44013</v>
      </c>
      <c r="U948" s="1">
        <v>44013</v>
      </c>
      <c r="V948" t="s">
        <v>260</v>
      </c>
      <c r="W948">
        <v>14000</v>
      </c>
      <c r="X948">
        <v>14000</v>
      </c>
      <c r="Y948" t="s">
        <v>270</v>
      </c>
      <c r="Z948">
        <v>3000</v>
      </c>
      <c r="AA948">
        <v>3000</v>
      </c>
      <c r="AB948" t="b">
        <v>0</v>
      </c>
      <c r="AC948">
        <v>1</v>
      </c>
    </row>
    <row r="949" spans="17:29" x14ac:dyDescent="0.2">
      <c r="Q949" t="s">
        <v>2210</v>
      </c>
      <c r="R949" t="s">
        <v>2379</v>
      </c>
      <c r="S949" t="s">
        <v>257</v>
      </c>
      <c r="T949" s="1">
        <v>43831</v>
      </c>
      <c r="U949" s="1">
        <v>43831</v>
      </c>
      <c r="V949" t="s">
        <v>260</v>
      </c>
      <c r="W949">
        <v>5000</v>
      </c>
      <c r="X949">
        <v>5000</v>
      </c>
      <c r="Y949" t="s">
        <v>270</v>
      </c>
      <c r="Z949">
        <v>1000</v>
      </c>
      <c r="AA949">
        <v>1000</v>
      </c>
      <c r="AB949" t="b">
        <v>0</v>
      </c>
      <c r="AC949">
        <v>1</v>
      </c>
    </row>
    <row r="950" spans="17:29" x14ac:dyDescent="0.2">
      <c r="Q950" t="s">
        <v>2210</v>
      </c>
      <c r="R950" t="s">
        <v>2379</v>
      </c>
      <c r="S950" t="s">
        <v>257</v>
      </c>
      <c r="T950" s="1">
        <v>43647</v>
      </c>
      <c r="U950" s="1">
        <v>43647</v>
      </c>
      <c r="V950" t="s">
        <v>260</v>
      </c>
      <c r="W950">
        <v>16000</v>
      </c>
      <c r="X950">
        <v>16000</v>
      </c>
      <c r="Y950" t="s">
        <v>270</v>
      </c>
      <c r="Z950">
        <v>4000</v>
      </c>
      <c r="AA950">
        <v>4000</v>
      </c>
      <c r="AB950" t="b">
        <v>0</v>
      </c>
      <c r="AC950">
        <v>1</v>
      </c>
    </row>
    <row r="951" spans="17:29" x14ac:dyDescent="0.2">
      <c r="Q951" t="s">
        <v>2210</v>
      </c>
      <c r="R951" t="s">
        <v>2379</v>
      </c>
      <c r="S951" t="s">
        <v>257</v>
      </c>
      <c r="T951" s="1">
        <v>43466</v>
      </c>
      <c r="U951" s="1">
        <v>43466</v>
      </c>
      <c r="V951" t="s">
        <v>260</v>
      </c>
      <c r="W951">
        <v>14910</v>
      </c>
      <c r="X951">
        <v>14910</v>
      </c>
      <c r="Y951" t="s">
        <v>270</v>
      </c>
      <c r="Z951">
        <v>3880</v>
      </c>
      <c r="AA951">
        <v>3880</v>
      </c>
      <c r="AB951" t="b">
        <v>0</v>
      </c>
      <c r="AC951">
        <v>1</v>
      </c>
    </row>
    <row r="952" spans="17:29" x14ac:dyDescent="0.2">
      <c r="Q952" t="s">
        <v>2210</v>
      </c>
      <c r="R952" t="s">
        <v>2379</v>
      </c>
      <c r="S952" t="s">
        <v>257</v>
      </c>
      <c r="T952" s="1">
        <v>43282</v>
      </c>
      <c r="U952" s="1">
        <v>43282</v>
      </c>
      <c r="V952" t="s">
        <v>260</v>
      </c>
      <c r="W952">
        <v>13370</v>
      </c>
      <c r="X952">
        <v>13370</v>
      </c>
      <c r="Y952" t="s">
        <v>270</v>
      </c>
      <c r="Z952">
        <v>3450</v>
      </c>
      <c r="AA952">
        <v>3450</v>
      </c>
      <c r="AB952" t="b">
        <v>0</v>
      </c>
      <c r="AC952">
        <v>1</v>
      </c>
    </row>
    <row r="953" spans="17:29" x14ac:dyDescent="0.2">
      <c r="Q953" t="s">
        <v>2208</v>
      </c>
      <c r="R953" t="s">
        <v>2380</v>
      </c>
      <c r="S953" t="s">
        <v>257</v>
      </c>
      <c r="T953" s="1">
        <v>42887</v>
      </c>
      <c r="U953" s="1">
        <v>42887</v>
      </c>
      <c r="V953" t="s">
        <v>260</v>
      </c>
      <c r="W953">
        <v>615000</v>
      </c>
      <c r="X953">
        <v>615000</v>
      </c>
      <c r="Y953" t="s">
        <v>270</v>
      </c>
      <c r="Z953">
        <v>192639</v>
      </c>
      <c r="AA953">
        <v>192639</v>
      </c>
      <c r="AB953" t="b">
        <v>1</v>
      </c>
      <c r="AC953">
        <v>1</v>
      </c>
    </row>
    <row r="954" spans="17:29" x14ac:dyDescent="0.2">
      <c r="Q954" t="s">
        <v>2208</v>
      </c>
      <c r="R954" t="s">
        <v>2380</v>
      </c>
      <c r="S954" t="s">
        <v>257</v>
      </c>
      <c r="T954" s="1">
        <v>42522</v>
      </c>
      <c r="U954" s="1">
        <v>42522</v>
      </c>
      <c r="V954" t="s">
        <v>260</v>
      </c>
      <c r="W954">
        <v>582000</v>
      </c>
      <c r="X954">
        <v>582000</v>
      </c>
      <c r="Y954" t="s">
        <v>270</v>
      </c>
      <c r="Z954">
        <v>167083</v>
      </c>
      <c r="AA954">
        <v>167083</v>
      </c>
      <c r="AB954" t="b">
        <v>1</v>
      </c>
      <c r="AC954">
        <v>1</v>
      </c>
    </row>
    <row r="955" spans="17:29" x14ac:dyDescent="0.2">
      <c r="Q955" t="s">
        <v>2208</v>
      </c>
      <c r="R955" t="s">
        <v>2380</v>
      </c>
      <c r="S955" t="s">
        <v>257</v>
      </c>
      <c r="T955" s="1">
        <v>42248</v>
      </c>
      <c r="U955" s="1">
        <v>42248</v>
      </c>
      <c r="V955" t="s">
        <v>260</v>
      </c>
      <c r="W955">
        <v>400000</v>
      </c>
      <c r="X955">
        <v>400000</v>
      </c>
      <c r="Y955" t="s">
        <v>270</v>
      </c>
      <c r="Z955">
        <v>119808</v>
      </c>
      <c r="AA955">
        <v>119808</v>
      </c>
      <c r="AB955" t="b">
        <v>1</v>
      </c>
      <c r="AC955">
        <v>1</v>
      </c>
    </row>
    <row r="956" spans="17:29" x14ac:dyDescent="0.2">
      <c r="Q956" t="s">
        <v>2210</v>
      </c>
      <c r="R956" t="s">
        <v>2380</v>
      </c>
      <c r="S956" t="s">
        <v>257</v>
      </c>
      <c r="T956" s="1">
        <v>42887</v>
      </c>
      <c r="U956" s="1">
        <v>42887</v>
      </c>
      <c r="V956" t="s">
        <v>260</v>
      </c>
      <c r="W956">
        <v>615000</v>
      </c>
      <c r="X956">
        <v>615000</v>
      </c>
      <c r="Y956" t="s">
        <v>270</v>
      </c>
      <c r="Z956">
        <v>192639</v>
      </c>
      <c r="AA956">
        <v>192639</v>
      </c>
      <c r="AB956" t="b">
        <v>1</v>
      </c>
      <c r="AC956">
        <v>1</v>
      </c>
    </row>
    <row r="957" spans="17:29" x14ac:dyDescent="0.2">
      <c r="Q957" t="s">
        <v>2210</v>
      </c>
      <c r="R957" t="s">
        <v>2380</v>
      </c>
      <c r="S957" t="s">
        <v>257</v>
      </c>
      <c r="T957" s="1">
        <v>42522</v>
      </c>
      <c r="U957" s="1">
        <v>42522</v>
      </c>
      <c r="V957" t="s">
        <v>260</v>
      </c>
      <c r="W957">
        <v>582000</v>
      </c>
      <c r="X957">
        <v>582000</v>
      </c>
      <c r="Y957" t="s">
        <v>270</v>
      </c>
      <c r="Z957">
        <v>167083</v>
      </c>
      <c r="AA957">
        <v>167083</v>
      </c>
      <c r="AB957" t="b">
        <v>1</v>
      </c>
      <c r="AC957">
        <v>1</v>
      </c>
    </row>
    <row r="958" spans="17:29" x14ac:dyDescent="0.2">
      <c r="Q958" t="s">
        <v>2210</v>
      </c>
      <c r="R958" t="s">
        <v>2380</v>
      </c>
      <c r="S958" t="s">
        <v>257</v>
      </c>
      <c r="T958" s="1">
        <v>42248</v>
      </c>
      <c r="U958" s="1">
        <v>42248</v>
      </c>
      <c r="V958" t="s">
        <v>260</v>
      </c>
      <c r="W958">
        <v>400000</v>
      </c>
      <c r="X958">
        <v>400000</v>
      </c>
      <c r="Y958" t="s">
        <v>270</v>
      </c>
      <c r="Z958">
        <v>119808</v>
      </c>
      <c r="AA958">
        <v>119808</v>
      </c>
      <c r="AB958" t="b">
        <v>1</v>
      </c>
      <c r="AC958">
        <v>1</v>
      </c>
    </row>
    <row r="959" spans="17:29" x14ac:dyDescent="0.2">
      <c r="Q959" t="s">
        <v>2029</v>
      </c>
      <c r="R959" t="s">
        <v>2381</v>
      </c>
      <c r="S959" t="s">
        <v>257</v>
      </c>
      <c r="T959" s="1">
        <v>44197</v>
      </c>
      <c r="U959" s="1">
        <v>44197</v>
      </c>
      <c r="V959" t="s">
        <v>260</v>
      </c>
      <c r="W959">
        <v>9875000</v>
      </c>
      <c r="X959">
        <v>9875000</v>
      </c>
      <c r="Y959" t="s">
        <v>270</v>
      </c>
      <c r="Z959">
        <v>1832000</v>
      </c>
      <c r="AA959">
        <v>1832000</v>
      </c>
      <c r="AB959" t="b">
        <v>0</v>
      </c>
      <c r="AC959">
        <v>1</v>
      </c>
    </row>
    <row r="960" spans="17:29" x14ac:dyDescent="0.2">
      <c r="Q960" t="s">
        <v>2029</v>
      </c>
      <c r="R960" t="s">
        <v>2381</v>
      </c>
      <c r="S960" t="s">
        <v>257</v>
      </c>
      <c r="T960" s="1">
        <v>44013</v>
      </c>
      <c r="U960" s="1">
        <v>44013</v>
      </c>
      <c r="V960" t="s">
        <v>260</v>
      </c>
      <c r="W960">
        <v>8248000</v>
      </c>
      <c r="X960">
        <v>8248000</v>
      </c>
      <c r="Y960" t="s">
        <v>270</v>
      </c>
      <c r="Z960">
        <v>1517000</v>
      </c>
      <c r="AA960">
        <v>1517000</v>
      </c>
      <c r="AB960" t="b">
        <v>0</v>
      </c>
      <c r="AC960">
        <v>1</v>
      </c>
    </row>
    <row r="961" spans="17:29" x14ac:dyDescent="0.2">
      <c r="Q961" t="s">
        <v>2029</v>
      </c>
      <c r="R961" t="s">
        <v>2381</v>
      </c>
      <c r="S961" t="s">
        <v>257</v>
      </c>
      <c r="T961" s="1">
        <v>43831</v>
      </c>
      <c r="U961" s="1">
        <v>43831</v>
      </c>
      <c r="V961" t="s">
        <v>260</v>
      </c>
      <c r="W961">
        <v>6829000</v>
      </c>
      <c r="X961">
        <v>6829000</v>
      </c>
      <c r="Y961" t="s">
        <v>270</v>
      </c>
      <c r="Z961">
        <v>1387000</v>
      </c>
      <c r="AA961">
        <v>1387000</v>
      </c>
      <c r="AB961" t="b">
        <v>0</v>
      </c>
      <c r="AC961">
        <v>1</v>
      </c>
    </row>
    <row r="962" spans="17:29" x14ac:dyDescent="0.2">
      <c r="Q962" t="s">
        <v>2029</v>
      </c>
      <c r="R962" t="s">
        <v>2381</v>
      </c>
      <c r="S962" t="s">
        <v>257</v>
      </c>
      <c r="T962" s="1">
        <v>43647</v>
      </c>
      <c r="U962" s="1">
        <v>43647</v>
      </c>
      <c r="V962" t="s">
        <v>260</v>
      </c>
      <c r="W962">
        <v>6237000</v>
      </c>
      <c r="X962">
        <v>6237000</v>
      </c>
      <c r="Y962" t="s">
        <v>270</v>
      </c>
      <c r="Z962">
        <v>1538000</v>
      </c>
      <c r="AA962">
        <v>1538000</v>
      </c>
      <c r="AB962" t="b">
        <v>0</v>
      </c>
      <c r="AC962">
        <v>1</v>
      </c>
    </row>
    <row r="963" spans="17:29" x14ac:dyDescent="0.2">
      <c r="Q963" t="s">
        <v>2382</v>
      </c>
      <c r="R963" t="s">
        <v>2381</v>
      </c>
      <c r="S963" t="s">
        <v>257</v>
      </c>
      <c r="T963" s="1">
        <v>44197</v>
      </c>
      <c r="U963" s="1">
        <v>44197</v>
      </c>
      <c r="V963" t="s">
        <v>260</v>
      </c>
      <c r="W963">
        <v>9875000</v>
      </c>
      <c r="X963">
        <v>9875000</v>
      </c>
      <c r="Y963" t="s">
        <v>270</v>
      </c>
      <c r="Z963">
        <v>1832000</v>
      </c>
      <c r="AA963">
        <v>1832000</v>
      </c>
      <c r="AB963" t="b">
        <v>0</v>
      </c>
      <c r="AC963">
        <v>1</v>
      </c>
    </row>
    <row r="964" spans="17:29" x14ac:dyDescent="0.2">
      <c r="Q964" t="s">
        <v>2382</v>
      </c>
      <c r="R964" t="s">
        <v>2381</v>
      </c>
      <c r="S964" t="s">
        <v>257</v>
      </c>
      <c r="T964" s="1">
        <v>44013</v>
      </c>
      <c r="U964" s="1">
        <v>44013</v>
      </c>
      <c r="V964" t="s">
        <v>260</v>
      </c>
      <c r="W964">
        <v>8248000</v>
      </c>
      <c r="X964">
        <v>8248000</v>
      </c>
      <c r="Y964" t="s">
        <v>270</v>
      </c>
      <c r="Z964">
        <v>1517000</v>
      </c>
      <c r="AA964">
        <v>1517000</v>
      </c>
      <c r="AB964" t="b">
        <v>0</v>
      </c>
      <c r="AC964">
        <v>1</v>
      </c>
    </row>
    <row r="965" spans="17:29" x14ac:dyDescent="0.2">
      <c r="Q965" t="s">
        <v>2382</v>
      </c>
      <c r="R965" t="s">
        <v>2381</v>
      </c>
      <c r="S965" t="s">
        <v>257</v>
      </c>
      <c r="T965" s="1">
        <v>43831</v>
      </c>
      <c r="U965" s="1">
        <v>43831</v>
      </c>
      <c r="V965" t="s">
        <v>260</v>
      </c>
      <c r="W965">
        <v>6829000</v>
      </c>
      <c r="X965">
        <v>6829000</v>
      </c>
      <c r="Y965" t="s">
        <v>270</v>
      </c>
      <c r="Z965">
        <v>1387000</v>
      </c>
      <c r="AA965">
        <v>1387000</v>
      </c>
      <c r="AB965" t="b">
        <v>0</v>
      </c>
      <c r="AC965">
        <v>1</v>
      </c>
    </row>
    <row r="966" spans="17:29" x14ac:dyDescent="0.2">
      <c r="Q966" t="s">
        <v>2382</v>
      </c>
      <c r="R966" t="s">
        <v>2381</v>
      </c>
      <c r="S966" t="s">
        <v>257</v>
      </c>
      <c r="T966" s="1">
        <v>43647</v>
      </c>
      <c r="U966" s="1">
        <v>43647</v>
      </c>
      <c r="V966" t="s">
        <v>260</v>
      </c>
      <c r="W966">
        <v>6237000</v>
      </c>
      <c r="X966">
        <v>6237000</v>
      </c>
      <c r="Y966" t="s">
        <v>270</v>
      </c>
      <c r="Z966">
        <v>1538000</v>
      </c>
      <c r="AA966">
        <v>1538000</v>
      </c>
      <c r="AB966" t="b">
        <v>0</v>
      </c>
      <c r="AC966">
        <v>1</v>
      </c>
    </row>
    <row r="967" spans="17:29" x14ac:dyDescent="0.2">
      <c r="Q967" t="s">
        <v>2208</v>
      </c>
      <c r="R967" t="s">
        <v>2383</v>
      </c>
      <c r="S967" t="s">
        <v>257</v>
      </c>
      <c r="T967" s="1">
        <v>43466</v>
      </c>
      <c r="U967" s="1">
        <v>43466</v>
      </c>
      <c r="V967" t="s">
        <v>260</v>
      </c>
      <c r="W967">
        <v>6670</v>
      </c>
      <c r="X967">
        <v>6670</v>
      </c>
      <c r="Y967" t="s">
        <v>270</v>
      </c>
      <c r="Z967">
        <v>1740</v>
      </c>
      <c r="AA967">
        <v>1740</v>
      </c>
      <c r="AB967" t="b">
        <v>0</v>
      </c>
      <c r="AC967">
        <v>1</v>
      </c>
    </row>
    <row r="968" spans="17:29" x14ac:dyDescent="0.2">
      <c r="Q968" t="s">
        <v>2208</v>
      </c>
      <c r="R968" t="s">
        <v>2383</v>
      </c>
      <c r="S968" t="s">
        <v>257</v>
      </c>
      <c r="T968" s="1">
        <v>43282</v>
      </c>
      <c r="U968" s="1">
        <v>43282</v>
      </c>
      <c r="V968" t="s">
        <v>260</v>
      </c>
      <c r="W968">
        <v>9800</v>
      </c>
      <c r="X968">
        <v>9800</v>
      </c>
      <c r="Y968" t="s">
        <v>270</v>
      </c>
      <c r="Z968">
        <v>2530</v>
      </c>
      <c r="AA968">
        <v>2530</v>
      </c>
      <c r="AB968" t="b">
        <v>0</v>
      </c>
      <c r="AC968">
        <v>1</v>
      </c>
    </row>
    <row r="969" spans="17:29" x14ac:dyDescent="0.2">
      <c r="Q969" t="s">
        <v>2210</v>
      </c>
      <c r="R969" t="s">
        <v>2383</v>
      </c>
      <c r="S969" t="s">
        <v>257</v>
      </c>
      <c r="T969" s="1">
        <v>43466</v>
      </c>
      <c r="U969" s="1">
        <v>43466</v>
      </c>
      <c r="V969" t="s">
        <v>260</v>
      </c>
      <c r="W969">
        <v>6670</v>
      </c>
      <c r="X969">
        <v>6670</v>
      </c>
      <c r="Y969" t="s">
        <v>270</v>
      </c>
      <c r="Z969">
        <v>1740</v>
      </c>
      <c r="AA969">
        <v>1740</v>
      </c>
      <c r="AB969" t="b">
        <v>0</v>
      </c>
      <c r="AC969">
        <v>1</v>
      </c>
    </row>
    <row r="970" spans="17:29" x14ac:dyDescent="0.2">
      <c r="Q970" t="s">
        <v>2210</v>
      </c>
      <c r="R970" t="s">
        <v>2383</v>
      </c>
      <c r="S970" t="s">
        <v>257</v>
      </c>
      <c r="T970" s="1">
        <v>43282</v>
      </c>
      <c r="U970" s="1">
        <v>43282</v>
      </c>
      <c r="V970" t="s">
        <v>260</v>
      </c>
      <c r="W970">
        <v>9800</v>
      </c>
      <c r="X970">
        <v>9800</v>
      </c>
      <c r="Y970" t="s">
        <v>270</v>
      </c>
      <c r="Z970">
        <v>2530</v>
      </c>
      <c r="AA970">
        <v>2530</v>
      </c>
      <c r="AB970" t="b">
        <v>0</v>
      </c>
      <c r="AC970">
        <v>1</v>
      </c>
    </row>
    <row r="971" spans="17:29" x14ac:dyDescent="0.2">
      <c r="Q971" t="s">
        <v>2080</v>
      </c>
      <c r="R971" t="s">
        <v>2384</v>
      </c>
      <c r="S971" t="s">
        <v>257</v>
      </c>
      <c r="T971" s="1">
        <v>44197</v>
      </c>
      <c r="U971" s="1">
        <v>44197</v>
      </c>
      <c r="V971" t="s">
        <v>260</v>
      </c>
      <c r="W971">
        <v>36000</v>
      </c>
      <c r="X971">
        <v>36000</v>
      </c>
      <c r="Y971" t="s">
        <v>270</v>
      </c>
      <c r="Z971">
        <v>7000</v>
      </c>
      <c r="AA971">
        <v>7000</v>
      </c>
      <c r="AB971" t="b">
        <v>0</v>
      </c>
      <c r="AC971">
        <v>1</v>
      </c>
    </row>
    <row r="972" spans="17:29" x14ac:dyDescent="0.2">
      <c r="Q972" t="s">
        <v>2080</v>
      </c>
      <c r="R972" t="s">
        <v>2384</v>
      </c>
      <c r="S972" t="s">
        <v>257</v>
      </c>
      <c r="T972" s="1">
        <v>44013</v>
      </c>
      <c r="U972" s="1">
        <v>44013</v>
      </c>
      <c r="V972" t="s">
        <v>260</v>
      </c>
      <c r="W972">
        <v>76000</v>
      </c>
      <c r="X972">
        <v>76000</v>
      </c>
      <c r="Y972" t="s">
        <v>270</v>
      </c>
      <c r="Z972">
        <v>14000</v>
      </c>
      <c r="AA972">
        <v>14000</v>
      </c>
      <c r="AB972" t="b">
        <v>0</v>
      </c>
      <c r="AC972">
        <v>1</v>
      </c>
    </row>
    <row r="973" spans="17:29" x14ac:dyDescent="0.2">
      <c r="Q973" t="s">
        <v>2080</v>
      </c>
      <c r="R973" t="s">
        <v>2384</v>
      </c>
      <c r="S973" t="s">
        <v>257</v>
      </c>
      <c r="T973" s="1">
        <v>43647</v>
      </c>
      <c r="U973" s="1">
        <v>43647</v>
      </c>
      <c r="V973" t="s">
        <v>260</v>
      </c>
      <c r="W973">
        <v>121000</v>
      </c>
      <c r="X973">
        <v>121000</v>
      </c>
      <c r="Y973" t="s">
        <v>270</v>
      </c>
      <c r="Z973">
        <v>30000</v>
      </c>
      <c r="AA973">
        <v>30000</v>
      </c>
      <c r="AB973" t="b">
        <v>0</v>
      </c>
      <c r="AC973">
        <v>1</v>
      </c>
    </row>
    <row r="974" spans="17:29" x14ac:dyDescent="0.2">
      <c r="Q974" t="s">
        <v>2082</v>
      </c>
      <c r="R974" t="s">
        <v>2384</v>
      </c>
      <c r="S974" t="s">
        <v>257</v>
      </c>
      <c r="T974" s="1">
        <v>44197</v>
      </c>
      <c r="U974" s="1">
        <v>44197</v>
      </c>
      <c r="V974" t="s">
        <v>260</v>
      </c>
      <c r="W974">
        <v>36000</v>
      </c>
      <c r="X974">
        <v>36000</v>
      </c>
      <c r="Y974" t="s">
        <v>270</v>
      </c>
      <c r="Z974">
        <v>7000</v>
      </c>
      <c r="AA974">
        <v>7000</v>
      </c>
      <c r="AB974" t="b">
        <v>0</v>
      </c>
      <c r="AC974">
        <v>1</v>
      </c>
    </row>
    <row r="975" spans="17:29" x14ac:dyDescent="0.2">
      <c r="Q975" t="s">
        <v>2082</v>
      </c>
      <c r="R975" t="s">
        <v>2384</v>
      </c>
      <c r="S975" t="s">
        <v>257</v>
      </c>
      <c r="T975" s="1">
        <v>44013</v>
      </c>
      <c r="U975" s="1">
        <v>44013</v>
      </c>
      <c r="V975" t="s">
        <v>260</v>
      </c>
      <c r="W975">
        <v>76000</v>
      </c>
      <c r="X975">
        <v>76000</v>
      </c>
      <c r="Y975" t="s">
        <v>270</v>
      </c>
      <c r="Z975">
        <v>14000</v>
      </c>
      <c r="AA975">
        <v>14000</v>
      </c>
      <c r="AB975" t="b">
        <v>0</v>
      </c>
      <c r="AC975">
        <v>1</v>
      </c>
    </row>
    <row r="976" spans="17:29" x14ac:dyDescent="0.2">
      <c r="Q976" t="s">
        <v>2082</v>
      </c>
      <c r="R976" t="s">
        <v>2384</v>
      </c>
      <c r="S976" t="s">
        <v>257</v>
      </c>
      <c r="T976" s="1">
        <v>43647</v>
      </c>
      <c r="U976" s="1">
        <v>43647</v>
      </c>
      <c r="V976" t="s">
        <v>260</v>
      </c>
      <c r="W976">
        <v>121000</v>
      </c>
      <c r="X976">
        <v>121000</v>
      </c>
      <c r="Y976" t="s">
        <v>270</v>
      </c>
      <c r="Z976">
        <v>30000</v>
      </c>
      <c r="AA976">
        <v>30000</v>
      </c>
      <c r="AB976" t="b">
        <v>0</v>
      </c>
      <c r="AC976">
        <v>1</v>
      </c>
    </row>
    <row r="977" spans="17:29" x14ac:dyDescent="0.2">
      <c r="Q977" t="s">
        <v>2080</v>
      </c>
      <c r="R977" t="s">
        <v>2082</v>
      </c>
      <c r="S977" t="s">
        <v>257</v>
      </c>
      <c r="T977" s="1">
        <v>44197</v>
      </c>
      <c r="U977" s="1">
        <v>44197</v>
      </c>
      <c r="V977" t="s">
        <v>260</v>
      </c>
      <c r="W977">
        <v>8083000</v>
      </c>
      <c r="X977">
        <v>8083000</v>
      </c>
      <c r="Y977" t="s">
        <v>270</v>
      </c>
      <c r="Z977">
        <v>1500000</v>
      </c>
      <c r="AA977">
        <v>1500000</v>
      </c>
      <c r="AB977" t="b">
        <v>1</v>
      </c>
      <c r="AC977">
        <v>1</v>
      </c>
    </row>
    <row r="978" spans="17:29" x14ac:dyDescent="0.2">
      <c r="Q978" t="s">
        <v>2080</v>
      </c>
      <c r="R978" t="s">
        <v>2082</v>
      </c>
      <c r="S978" t="s">
        <v>257</v>
      </c>
      <c r="T978" s="1">
        <v>44013</v>
      </c>
      <c r="U978" s="1">
        <v>44013</v>
      </c>
      <c r="V978" t="s">
        <v>260</v>
      </c>
      <c r="W978">
        <v>8895000</v>
      </c>
      <c r="X978">
        <v>8895000</v>
      </c>
      <c r="Y978" t="s">
        <v>270</v>
      </c>
      <c r="Z978">
        <v>1636</v>
      </c>
      <c r="AA978">
        <v>1636</v>
      </c>
      <c r="AB978" t="b">
        <v>1</v>
      </c>
      <c r="AC978">
        <v>1</v>
      </c>
    </row>
    <row r="979" spans="17:29" x14ac:dyDescent="0.2">
      <c r="Q979" t="s">
        <v>2080</v>
      </c>
      <c r="R979" t="s">
        <v>2082</v>
      </c>
      <c r="S979" t="s">
        <v>257</v>
      </c>
      <c r="T979" s="1">
        <v>43831</v>
      </c>
      <c r="U979" s="1">
        <v>43831</v>
      </c>
      <c r="V979" t="s">
        <v>260</v>
      </c>
      <c r="W979">
        <v>5250000</v>
      </c>
      <c r="X979">
        <v>5250000</v>
      </c>
      <c r="Y979" t="s">
        <v>270</v>
      </c>
      <c r="Z979">
        <v>1066000</v>
      </c>
      <c r="AA979">
        <v>1066000</v>
      </c>
      <c r="AB979" t="b">
        <v>1</v>
      </c>
      <c r="AC979">
        <v>1</v>
      </c>
    </row>
    <row r="980" spans="17:29" x14ac:dyDescent="0.2">
      <c r="Q980" t="s">
        <v>2080</v>
      </c>
      <c r="R980" t="s">
        <v>2082</v>
      </c>
      <c r="S980" t="s">
        <v>257</v>
      </c>
      <c r="T980" s="1">
        <v>43647</v>
      </c>
      <c r="U980" s="1">
        <v>43647</v>
      </c>
      <c r="V980" t="s">
        <v>260</v>
      </c>
      <c r="W980">
        <v>5522000</v>
      </c>
      <c r="X980">
        <v>5522000</v>
      </c>
      <c r="Y980" t="s">
        <v>270</v>
      </c>
      <c r="Z980">
        <v>1362000</v>
      </c>
      <c r="AA980">
        <v>1362000</v>
      </c>
      <c r="AB980" t="b">
        <v>1</v>
      </c>
      <c r="AC980">
        <v>1</v>
      </c>
    </row>
    <row r="981" spans="17:29" x14ac:dyDescent="0.2">
      <c r="Q981" t="s">
        <v>2080</v>
      </c>
      <c r="R981" t="s">
        <v>2082</v>
      </c>
      <c r="S981" t="s">
        <v>257</v>
      </c>
      <c r="T981" s="1">
        <v>43101</v>
      </c>
      <c r="U981" s="1">
        <v>43101</v>
      </c>
      <c r="V981" t="s">
        <v>260</v>
      </c>
      <c r="W981">
        <v>47660000</v>
      </c>
      <c r="X981">
        <v>47660000</v>
      </c>
      <c r="Y981" t="s">
        <v>270</v>
      </c>
      <c r="Z981">
        <v>13905585</v>
      </c>
      <c r="AA981">
        <v>13905585</v>
      </c>
      <c r="AB981" t="b">
        <v>1</v>
      </c>
      <c r="AC981">
        <v>1</v>
      </c>
    </row>
    <row r="982" spans="17:29" x14ac:dyDescent="0.2">
      <c r="Q982" t="s">
        <v>2080</v>
      </c>
      <c r="R982" t="s">
        <v>2082</v>
      </c>
      <c r="S982" t="s">
        <v>257</v>
      </c>
      <c r="T982" s="1">
        <v>42887</v>
      </c>
      <c r="U982" s="1">
        <v>42887</v>
      </c>
      <c r="V982" t="s">
        <v>260</v>
      </c>
      <c r="W982">
        <v>107510000</v>
      </c>
      <c r="X982">
        <v>107510000</v>
      </c>
      <c r="Y982" t="s">
        <v>270</v>
      </c>
      <c r="Z982">
        <v>33675803</v>
      </c>
      <c r="AA982">
        <v>33675803</v>
      </c>
      <c r="AB982" t="b">
        <v>1</v>
      </c>
      <c r="AC982">
        <v>1</v>
      </c>
    </row>
    <row r="983" spans="17:29" x14ac:dyDescent="0.2">
      <c r="Q983" t="s">
        <v>2080</v>
      </c>
      <c r="R983" t="s">
        <v>2082</v>
      </c>
      <c r="S983" t="s">
        <v>257</v>
      </c>
      <c r="T983" s="1">
        <v>42522</v>
      </c>
      <c r="U983" s="1">
        <v>42522</v>
      </c>
      <c r="V983" t="s">
        <v>260</v>
      </c>
      <c r="W983">
        <v>14661000</v>
      </c>
      <c r="X983">
        <v>14661000</v>
      </c>
      <c r="Y983" t="s">
        <v>270</v>
      </c>
      <c r="Z983">
        <v>4208940</v>
      </c>
      <c r="AA983">
        <v>4208940</v>
      </c>
      <c r="AB983" t="b">
        <v>1</v>
      </c>
      <c r="AC983">
        <v>1</v>
      </c>
    </row>
    <row r="984" spans="17:29" x14ac:dyDescent="0.2">
      <c r="Q984" t="s">
        <v>2080</v>
      </c>
      <c r="R984" t="s">
        <v>2082</v>
      </c>
      <c r="S984" t="s">
        <v>257</v>
      </c>
      <c r="T984" s="1">
        <v>42248</v>
      </c>
      <c r="U984" s="1">
        <v>42248</v>
      </c>
      <c r="V984" t="s">
        <v>260</v>
      </c>
      <c r="W984">
        <v>4005000</v>
      </c>
      <c r="X984">
        <v>4005000</v>
      </c>
      <c r="Y984" t="s">
        <v>270</v>
      </c>
      <c r="Z984">
        <v>1199569</v>
      </c>
      <c r="AA984">
        <v>1199569</v>
      </c>
      <c r="AB984" t="b">
        <v>1</v>
      </c>
      <c r="AC984">
        <v>1</v>
      </c>
    </row>
    <row r="985" spans="17:29" x14ac:dyDescent="0.2">
      <c r="Q985" t="s">
        <v>2082</v>
      </c>
      <c r="R985" t="s">
        <v>2082</v>
      </c>
      <c r="S985" t="s">
        <v>257</v>
      </c>
      <c r="T985" s="1">
        <v>44197</v>
      </c>
      <c r="U985" s="1">
        <v>44197</v>
      </c>
      <c r="V985" t="s">
        <v>260</v>
      </c>
      <c r="W985">
        <v>8083000</v>
      </c>
      <c r="X985">
        <v>8083000</v>
      </c>
      <c r="Y985" t="s">
        <v>270</v>
      </c>
      <c r="Z985">
        <v>1500000</v>
      </c>
      <c r="AA985">
        <v>1500000</v>
      </c>
      <c r="AB985" t="b">
        <v>1</v>
      </c>
      <c r="AC985">
        <v>1</v>
      </c>
    </row>
    <row r="986" spans="17:29" x14ac:dyDescent="0.2">
      <c r="Q986" t="s">
        <v>2082</v>
      </c>
      <c r="R986" t="s">
        <v>2082</v>
      </c>
      <c r="S986" t="s">
        <v>257</v>
      </c>
      <c r="T986" s="1">
        <v>44013</v>
      </c>
      <c r="U986" s="1">
        <v>44013</v>
      </c>
      <c r="V986" t="s">
        <v>260</v>
      </c>
      <c r="W986">
        <v>8895000</v>
      </c>
      <c r="X986">
        <v>8895000</v>
      </c>
      <c r="Y986" t="s">
        <v>270</v>
      </c>
      <c r="Z986">
        <v>1636</v>
      </c>
      <c r="AA986">
        <v>1636</v>
      </c>
      <c r="AB986" t="b">
        <v>1</v>
      </c>
      <c r="AC986">
        <v>1</v>
      </c>
    </row>
    <row r="987" spans="17:29" x14ac:dyDescent="0.2">
      <c r="Q987" t="s">
        <v>2082</v>
      </c>
      <c r="R987" t="s">
        <v>2082</v>
      </c>
      <c r="S987" t="s">
        <v>257</v>
      </c>
      <c r="T987" s="1">
        <v>43831</v>
      </c>
      <c r="U987" s="1">
        <v>43831</v>
      </c>
      <c r="V987" t="s">
        <v>260</v>
      </c>
      <c r="W987">
        <v>5250000</v>
      </c>
      <c r="X987">
        <v>5250000</v>
      </c>
      <c r="Y987" t="s">
        <v>270</v>
      </c>
      <c r="Z987">
        <v>1066000</v>
      </c>
      <c r="AA987">
        <v>1066000</v>
      </c>
      <c r="AB987" t="b">
        <v>1</v>
      </c>
      <c r="AC987">
        <v>1</v>
      </c>
    </row>
    <row r="988" spans="17:29" x14ac:dyDescent="0.2">
      <c r="Q988" t="s">
        <v>2082</v>
      </c>
      <c r="R988" t="s">
        <v>2082</v>
      </c>
      <c r="S988" t="s">
        <v>257</v>
      </c>
      <c r="T988" s="1">
        <v>43647</v>
      </c>
      <c r="U988" s="1">
        <v>43647</v>
      </c>
      <c r="V988" t="s">
        <v>260</v>
      </c>
      <c r="W988">
        <v>5522000</v>
      </c>
      <c r="X988">
        <v>5522000</v>
      </c>
      <c r="Y988" t="s">
        <v>270</v>
      </c>
      <c r="Z988">
        <v>1362000</v>
      </c>
      <c r="AA988">
        <v>1362000</v>
      </c>
      <c r="AB988" t="b">
        <v>1</v>
      </c>
      <c r="AC988">
        <v>1</v>
      </c>
    </row>
    <row r="989" spans="17:29" x14ac:dyDescent="0.2">
      <c r="Q989" t="s">
        <v>2082</v>
      </c>
      <c r="R989" t="s">
        <v>2082</v>
      </c>
      <c r="S989" t="s">
        <v>257</v>
      </c>
      <c r="T989" s="1">
        <v>43101</v>
      </c>
      <c r="U989" s="1">
        <v>43101</v>
      </c>
      <c r="V989" t="s">
        <v>260</v>
      </c>
      <c r="W989">
        <v>47660000</v>
      </c>
      <c r="X989">
        <v>47660000</v>
      </c>
      <c r="Y989" t="s">
        <v>270</v>
      </c>
      <c r="Z989">
        <v>13905585</v>
      </c>
      <c r="AA989">
        <v>13905585</v>
      </c>
      <c r="AB989" t="b">
        <v>1</v>
      </c>
      <c r="AC989">
        <v>1</v>
      </c>
    </row>
    <row r="990" spans="17:29" x14ac:dyDescent="0.2">
      <c r="Q990" t="s">
        <v>2082</v>
      </c>
      <c r="R990" t="s">
        <v>2082</v>
      </c>
      <c r="S990" t="s">
        <v>257</v>
      </c>
      <c r="T990" s="1">
        <v>42887</v>
      </c>
      <c r="U990" s="1">
        <v>42887</v>
      </c>
      <c r="V990" t="s">
        <v>260</v>
      </c>
      <c r="W990">
        <v>107510000</v>
      </c>
      <c r="X990">
        <v>107510000</v>
      </c>
      <c r="Y990" t="s">
        <v>270</v>
      </c>
      <c r="Z990">
        <v>33675803</v>
      </c>
      <c r="AA990">
        <v>33675803</v>
      </c>
      <c r="AB990" t="b">
        <v>1</v>
      </c>
      <c r="AC990">
        <v>1</v>
      </c>
    </row>
    <row r="991" spans="17:29" x14ac:dyDescent="0.2">
      <c r="Q991" t="s">
        <v>2082</v>
      </c>
      <c r="R991" t="s">
        <v>2082</v>
      </c>
      <c r="S991" t="s">
        <v>257</v>
      </c>
      <c r="T991" s="1">
        <v>42522</v>
      </c>
      <c r="U991" s="1">
        <v>42522</v>
      </c>
      <c r="V991" t="s">
        <v>260</v>
      </c>
      <c r="W991">
        <v>14661000</v>
      </c>
      <c r="X991">
        <v>14661000</v>
      </c>
      <c r="Y991" t="s">
        <v>270</v>
      </c>
      <c r="Z991">
        <v>4208940</v>
      </c>
      <c r="AA991">
        <v>4208940</v>
      </c>
      <c r="AB991" t="b">
        <v>1</v>
      </c>
      <c r="AC991">
        <v>1</v>
      </c>
    </row>
    <row r="992" spans="17:29" x14ac:dyDescent="0.2">
      <c r="Q992" t="s">
        <v>2082</v>
      </c>
      <c r="R992" t="s">
        <v>2082</v>
      </c>
      <c r="S992" t="s">
        <v>257</v>
      </c>
      <c r="T992" s="1">
        <v>42248</v>
      </c>
      <c r="U992" s="1">
        <v>42248</v>
      </c>
      <c r="V992" t="s">
        <v>260</v>
      </c>
      <c r="W992">
        <v>4005000</v>
      </c>
      <c r="X992">
        <v>4005000</v>
      </c>
      <c r="Y992" t="s">
        <v>270</v>
      </c>
      <c r="Z992">
        <v>1199569</v>
      </c>
      <c r="AA992">
        <v>1199569</v>
      </c>
      <c r="AB992" t="b">
        <v>1</v>
      </c>
      <c r="AC992">
        <v>1</v>
      </c>
    </row>
    <row r="993" spans="17:29" x14ac:dyDescent="0.2">
      <c r="Q993" t="s">
        <v>2128</v>
      </c>
      <c r="R993" t="s">
        <v>2385</v>
      </c>
      <c r="S993" t="s">
        <v>400</v>
      </c>
      <c r="T993" s="1">
        <v>43281</v>
      </c>
      <c r="U993" s="1">
        <v>43281</v>
      </c>
      <c r="V993" t="s">
        <v>401</v>
      </c>
      <c r="W993">
        <v>23500000</v>
      </c>
      <c r="X993">
        <v>23500000</v>
      </c>
      <c r="Y993" t="s">
        <v>401</v>
      </c>
      <c r="Z993">
        <v>23500000</v>
      </c>
      <c r="AA993">
        <v>23500000</v>
      </c>
      <c r="AB993" t="b">
        <v>0</v>
      </c>
      <c r="AC993">
        <v>1</v>
      </c>
    </row>
    <row r="994" spans="17:29" x14ac:dyDescent="0.2">
      <c r="Q994" t="s">
        <v>1989</v>
      </c>
      <c r="R994" t="s">
        <v>2385</v>
      </c>
      <c r="S994" t="s">
        <v>400</v>
      </c>
      <c r="T994" s="1">
        <v>43281</v>
      </c>
      <c r="U994" s="1">
        <v>43281</v>
      </c>
      <c r="V994" t="s">
        <v>401</v>
      </c>
      <c r="W994">
        <v>23500000</v>
      </c>
      <c r="X994">
        <v>23500000</v>
      </c>
      <c r="Y994" t="s">
        <v>401</v>
      </c>
      <c r="Z994">
        <v>23500000</v>
      </c>
      <c r="AA994">
        <v>23500000</v>
      </c>
      <c r="AB994" t="b">
        <v>0</v>
      </c>
      <c r="AC994">
        <v>1</v>
      </c>
    </row>
    <row r="995" spans="17:29" x14ac:dyDescent="0.2">
      <c r="Q995" t="s">
        <v>2029</v>
      </c>
      <c r="R995" t="s">
        <v>2385</v>
      </c>
      <c r="S995" t="s">
        <v>400</v>
      </c>
      <c r="T995" s="1">
        <v>43281</v>
      </c>
      <c r="U995" s="1">
        <v>43281</v>
      </c>
      <c r="V995" t="s">
        <v>401</v>
      </c>
      <c r="W995">
        <v>23500000</v>
      </c>
      <c r="X995">
        <v>23500000</v>
      </c>
      <c r="Y995" t="s">
        <v>401</v>
      </c>
      <c r="Z995">
        <v>23500000</v>
      </c>
      <c r="AA995">
        <v>23500000</v>
      </c>
      <c r="AB995" t="b">
        <v>0</v>
      </c>
      <c r="AC995">
        <v>1</v>
      </c>
    </row>
    <row r="996" spans="17:29" x14ac:dyDescent="0.2">
      <c r="Q996" t="s">
        <v>2029</v>
      </c>
      <c r="R996" t="s">
        <v>2385</v>
      </c>
      <c r="S996" t="s">
        <v>400</v>
      </c>
      <c r="T996" s="1">
        <v>43281</v>
      </c>
      <c r="U996" s="1">
        <v>43281</v>
      </c>
      <c r="V996" t="s">
        <v>401</v>
      </c>
      <c r="W996">
        <v>23500000</v>
      </c>
      <c r="X996">
        <v>23500000</v>
      </c>
      <c r="Y996" t="s">
        <v>401</v>
      </c>
      <c r="Z996">
        <v>23500000</v>
      </c>
      <c r="AA996">
        <v>23500000</v>
      </c>
      <c r="AB996" t="b">
        <v>0</v>
      </c>
      <c r="AC996">
        <v>1</v>
      </c>
    </row>
    <row r="997" spans="17:29" x14ac:dyDescent="0.2">
      <c r="Q997" t="s">
        <v>2040</v>
      </c>
      <c r="R997" t="s">
        <v>2386</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1989</v>
      </c>
      <c r="R998" t="s">
        <v>2386</v>
      </c>
      <c r="S998" t="s">
        <v>257</v>
      </c>
      <c r="T998" s="1">
        <v>44530</v>
      </c>
      <c r="U998" s="1">
        <v>44530</v>
      </c>
      <c r="V998" t="s">
        <v>260</v>
      </c>
      <c r="W998">
        <v>857321755</v>
      </c>
      <c r="X998">
        <v>857321755</v>
      </c>
      <c r="Y998" t="s">
        <v>270</v>
      </c>
      <c r="Z998">
        <v>153093171</v>
      </c>
      <c r="AA998">
        <v>153093171</v>
      </c>
      <c r="AB998" t="b">
        <v>1</v>
      </c>
      <c r="AC998">
        <v>1</v>
      </c>
    </row>
    <row r="999" spans="17:29" x14ac:dyDescent="0.2">
      <c r="Q999" t="s">
        <v>2031</v>
      </c>
      <c r="R999" t="s">
        <v>2387</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1989</v>
      </c>
      <c r="R1000" t="s">
        <v>2387</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1998</v>
      </c>
      <c r="R1001" t="s">
        <v>2388</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2000</v>
      </c>
      <c r="R1002" t="s">
        <v>2388</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2031</v>
      </c>
      <c r="R1003" t="s">
        <v>2389</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2117</v>
      </c>
      <c r="R1004" t="s">
        <v>2389</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2029</v>
      </c>
      <c r="R1005" t="s">
        <v>2389</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2029</v>
      </c>
      <c r="R1006" t="s">
        <v>2389</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1998</v>
      </c>
      <c r="R1007" t="s">
        <v>2390</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1998</v>
      </c>
      <c r="R1008" t="s">
        <v>2390</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1998</v>
      </c>
      <c r="R1009" t="s">
        <v>2390</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1998</v>
      </c>
      <c r="R1010" t="s">
        <v>2390</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2067</v>
      </c>
      <c r="R1011" t="s">
        <v>2390</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2067</v>
      </c>
      <c r="R1012" t="s">
        <v>2390</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2067</v>
      </c>
      <c r="R1013" t="s">
        <v>2390</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2067</v>
      </c>
      <c r="R1014" t="s">
        <v>2390</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1998</v>
      </c>
      <c r="R1015" t="s">
        <v>2391</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1998</v>
      </c>
      <c r="R1016" t="s">
        <v>2391</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1998</v>
      </c>
      <c r="R1017" t="s">
        <v>2391</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1998</v>
      </c>
      <c r="R1018" t="s">
        <v>2391</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2067</v>
      </c>
      <c r="R1019" t="s">
        <v>2391</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2067</v>
      </c>
      <c r="R1020" t="s">
        <v>2391</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2067</v>
      </c>
      <c r="R1021" t="s">
        <v>2391</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2067</v>
      </c>
      <c r="R1022" t="s">
        <v>2391</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2392</v>
      </c>
      <c r="R1023" t="s">
        <v>2393</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2392</v>
      </c>
      <c r="R1024" t="s">
        <v>2393</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2392</v>
      </c>
      <c r="R1025" t="s">
        <v>2393</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2018</v>
      </c>
      <c r="R1026" t="s">
        <v>2393</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2018</v>
      </c>
      <c r="R1027" t="s">
        <v>2393</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2018</v>
      </c>
      <c r="R1028" t="s">
        <v>2393</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2392</v>
      </c>
      <c r="R1029" t="s">
        <v>2394</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2392</v>
      </c>
      <c r="R1030" t="s">
        <v>2394</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2392</v>
      </c>
      <c r="R1031" t="s">
        <v>2394</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2018</v>
      </c>
      <c r="R1032" t="s">
        <v>2394</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2018</v>
      </c>
      <c r="R1033" t="s">
        <v>2394</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2018</v>
      </c>
      <c r="R1034" t="s">
        <v>2394</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2392</v>
      </c>
      <c r="R1035" t="s">
        <v>2395</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2392</v>
      </c>
      <c r="R1036" t="s">
        <v>2395</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2392</v>
      </c>
      <c r="R1037" t="s">
        <v>2395</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2018</v>
      </c>
      <c r="R1038" t="s">
        <v>2395</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2018</v>
      </c>
      <c r="R1039" t="s">
        <v>2395</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2018</v>
      </c>
      <c r="R1040" t="s">
        <v>2395</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2392</v>
      </c>
      <c r="R1041" t="s">
        <v>2396</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2392</v>
      </c>
      <c r="R1042" t="s">
        <v>2396</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2392</v>
      </c>
      <c r="R1043" t="s">
        <v>2396</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2018</v>
      </c>
      <c r="R1044" t="s">
        <v>2396</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2018</v>
      </c>
      <c r="R1045" t="s">
        <v>2396</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2018</v>
      </c>
      <c r="R1046" t="s">
        <v>2396</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2392</v>
      </c>
      <c r="R1047" t="s">
        <v>2397</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2392</v>
      </c>
      <c r="R1048" t="s">
        <v>2397</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2392</v>
      </c>
      <c r="R1049" t="s">
        <v>2397</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2398</v>
      </c>
      <c r="R1050" t="s">
        <v>2397</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2398</v>
      </c>
      <c r="R1051" t="s">
        <v>2397</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2398</v>
      </c>
      <c r="R1052" t="s">
        <v>2397</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2392</v>
      </c>
      <c r="R1053" t="s">
        <v>2399</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2392</v>
      </c>
      <c r="R1054" t="s">
        <v>2399</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2398</v>
      </c>
      <c r="R1055" t="s">
        <v>2399</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2398</v>
      </c>
      <c r="R1056" t="s">
        <v>2399</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2392</v>
      </c>
      <c r="R1057" t="s">
        <v>2400</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2392</v>
      </c>
      <c r="R1058" t="s">
        <v>2400</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2398</v>
      </c>
      <c r="R1059" t="s">
        <v>2400</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2398</v>
      </c>
      <c r="R1060" t="s">
        <v>2400</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2392</v>
      </c>
      <c r="R1061" t="s">
        <v>2401</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2398</v>
      </c>
      <c r="R1062" t="s">
        <v>2401</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2392</v>
      </c>
      <c r="R1063" t="s">
        <v>2402</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2392</v>
      </c>
      <c r="R1064" t="s">
        <v>2402</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2018</v>
      </c>
      <c r="R1065" t="s">
        <v>2402</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2018</v>
      </c>
      <c r="R1066" t="s">
        <v>2402</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2141</v>
      </c>
      <c r="R1067" t="s">
        <v>2403</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2141</v>
      </c>
      <c r="R1068" t="s">
        <v>2403</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2036</v>
      </c>
      <c r="R1069" t="s">
        <v>2403</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2036</v>
      </c>
      <c r="R1070" t="s">
        <v>2403</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2128</v>
      </c>
      <c r="R1071" t="s">
        <v>2404</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1989</v>
      </c>
      <c r="R1072" t="s">
        <v>2404</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2128</v>
      </c>
      <c r="R1073" t="s">
        <v>2405</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2128</v>
      </c>
      <c r="R1074" t="s">
        <v>2405</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2128</v>
      </c>
      <c r="R1075" t="s">
        <v>2405</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1989</v>
      </c>
      <c r="R1076" t="s">
        <v>2405</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1989</v>
      </c>
      <c r="R1077" t="s">
        <v>2405</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1989</v>
      </c>
      <c r="R1078" t="s">
        <v>2405</v>
      </c>
      <c r="S1078" t="s">
        <v>287</v>
      </c>
      <c r="T1078" s="1">
        <v>43465</v>
      </c>
      <c r="U1078" s="1">
        <v>43465</v>
      </c>
      <c r="V1078" t="s">
        <v>270</v>
      </c>
      <c r="W1078">
        <v>500000</v>
      </c>
      <c r="X1078">
        <v>500000</v>
      </c>
      <c r="Y1078" t="s">
        <v>270</v>
      </c>
      <c r="Z1078">
        <v>500000</v>
      </c>
      <c r="AA1078">
        <v>500000</v>
      </c>
      <c r="AB1078" t="b">
        <v>1</v>
      </c>
      <c r="AC1078">
        <v>1</v>
      </c>
    </row>
    <row r="1079" spans="17:29" x14ac:dyDescent="0.2">
      <c r="Q1079" t="s">
        <v>2406</v>
      </c>
      <c r="R1079" t="s">
        <v>2407</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2406</v>
      </c>
      <c r="R1080" t="s">
        <v>2407</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2406</v>
      </c>
      <c r="R1081" t="s">
        <v>2407</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2025</v>
      </c>
      <c r="R1082" t="s">
        <v>2407</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2025</v>
      </c>
      <c r="R1083" t="s">
        <v>2407</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2025</v>
      </c>
      <c r="R1084" t="s">
        <v>2407</v>
      </c>
      <c r="S1084" t="s">
        <v>287</v>
      </c>
      <c r="T1084" s="1">
        <v>43465</v>
      </c>
      <c r="U1084" s="1">
        <v>43465</v>
      </c>
      <c r="V1084" t="s">
        <v>270</v>
      </c>
      <c r="W1084">
        <v>300000</v>
      </c>
      <c r="X1084">
        <v>300000</v>
      </c>
      <c r="Y1084" t="s">
        <v>270</v>
      </c>
      <c r="Z1084">
        <v>300000</v>
      </c>
      <c r="AA1084">
        <v>300000</v>
      </c>
      <c r="AB1084" t="b">
        <v>1</v>
      </c>
      <c r="AC1084">
        <v>1</v>
      </c>
    </row>
    <row r="1085" spans="17:29" x14ac:dyDescent="0.2">
      <c r="Q1085" t="s">
        <v>2408</v>
      </c>
      <c r="R1085" t="s">
        <v>2409</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2408</v>
      </c>
      <c r="R1086" t="s">
        <v>2409</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2408</v>
      </c>
      <c r="R1087" t="s">
        <v>2409</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2410</v>
      </c>
      <c r="R1088" t="s">
        <v>2409</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2410</v>
      </c>
      <c r="R1089" t="s">
        <v>2409</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2410</v>
      </c>
      <c r="R1090" t="s">
        <v>2409</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2392</v>
      </c>
      <c r="R1091" t="s">
        <v>2411</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2392</v>
      </c>
      <c r="R1092" t="s">
        <v>2411</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2018</v>
      </c>
      <c r="R1093" t="s">
        <v>2411</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2018</v>
      </c>
      <c r="R1094" t="s">
        <v>2411</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2392</v>
      </c>
      <c r="R1095" t="s">
        <v>2412</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2018</v>
      </c>
      <c r="R1096" t="s">
        <v>2412</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1998</v>
      </c>
      <c r="R1097" t="s">
        <v>2413</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2067</v>
      </c>
      <c r="R1098" t="s">
        <v>2413</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2043</v>
      </c>
      <c r="R1099" t="s">
        <v>2414</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2043</v>
      </c>
      <c r="R1100" t="s">
        <v>2414</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2029</v>
      </c>
      <c r="R1101" t="s">
        <v>2415</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2036</v>
      </c>
      <c r="R1102" t="s">
        <v>2415</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2040</v>
      </c>
      <c r="R1103" t="s">
        <v>2416</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1989</v>
      </c>
      <c r="R1104" t="s">
        <v>2416</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1987</v>
      </c>
      <c r="R1105" t="s">
        <v>2417</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1989</v>
      </c>
      <c r="R1106" t="s">
        <v>2417</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2128</v>
      </c>
      <c r="R1107" t="s">
        <v>2418</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1989</v>
      </c>
      <c r="R1108" t="s">
        <v>2418</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2128</v>
      </c>
      <c r="R1109" t="s">
        <v>2419</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1989</v>
      </c>
      <c r="R1110" t="s">
        <v>2419</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2128</v>
      </c>
      <c r="R1111" t="s">
        <v>2420</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1989</v>
      </c>
      <c r="R1112" t="s">
        <v>2420</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2128</v>
      </c>
      <c r="R1113" t="s">
        <v>2421</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1989</v>
      </c>
      <c r="R1114" t="s">
        <v>2421</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2128</v>
      </c>
      <c r="R1115" t="s">
        <v>2422</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1989</v>
      </c>
      <c r="R1116" t="s">
        <v>2422</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2392</v>
      </c>
      <c r="R1117" t="s">
        <v>2423</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2392</v>
      </c>
      <c r="R1118" t="s">
        <v>2423</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2128</v>
      </c>
      <c r="R1119" t="s">
        <v>2424</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1989</v>
      </c>
      <c r="R1120" t="s">
        <v>2424</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2128</v>
      </c>
      <c r="R1121" t="s">
        <v>2425</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1989</v>
      </c>
      <c r="R1122" t="s">
        <v>2425</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2128</v>
      </c>
      <c r="R1123" t="s">
        <v>2426</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1989</v>
      </c>
      <c r="R1124" t="s">
        <v>2426</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2128</v>
      </c>
      <c r="R1125" t="s">
        <v>2427</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1989</v>
      </c>
      <c r="R1126" t="s">
        <v>2427</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2128</v>
      </c>
      <c r="R1127" t="s">
        <v>2428</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1989</v>
      </c>
      <c r="R1128" t="s">
        <v>2428</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2128</v>
      </c>
      <c r="R1129" t="s">
        <v>2429</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1989</v>
      </c>
      <c r="R1130" t="s">
        <v>2429</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2128</v>
      </c>
      <c r="R1131" t="s">
        <v>2430</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1989</v>
      </c>
      <c r="R1132" t="s">
        <v>2430</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2128</v>
      </c>
      <c r="R1133" t="s">
        <v>2431</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1989</v>
      </c>
      <c r="R1134" t="s">
        <v>2431</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2128</v>
      </c>
      <c r="R1135" t="s">
        <v>2432</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1989</v>
      </c>
      <c r="R1136" t="s">
        <v>2432</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2087</v>
      </c>
      <c r="R1137" t="s">
        <v>2433</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2087</v>
      </c>
      <c r="R1138" t="s">
        <v>2433</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2087</v>
      </c>
      <c r="R1139" t="s">
        <v>2434</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2087</v>
      </c>
      <c r="R1140" t="s">
        <v>2434</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2087</v>
      </c>
      <c r="R1141" t="s">
        <v>2435</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2087</v>
      </c>
      <c r="R1142" t="s">
        <v>2435</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2087</v>
      </c>
      <c r="R1143" t="s">
        <v>2436</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2087</v>
      </c>
      <c r="R1144" t="s">
        <v>2436</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2087</v>
      </c>
      <c r="R1145" t="s">
        <v>2437</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2087</v>
      </c>
      <c r="R1146" t="s">
        <v>2437</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2087</v>
      </c>
      <c r="R1147" t="s">
        <v>2438</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2087</v>
      </c>
      <c r="R1148" t="s">
        <v>2438</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2087</v>
      </c>
      <c r="R1149" t="s">
        <v>2439</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2087</v>
      </c>
      <c r="R1150" t="s">
        <v>2439</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2087</v>
      </c>
      <c r="R1151" t="s">
        <v>2440</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2087</v>
      </c>
      <c r="R1152" t="s">
        <v>2440</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2087</v>
      </c>
      <c r="R1153" t="s">
        <v>2441</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2087</v>
      </c>
      <c r="R1154" t="s">
        <v>2441</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2087</v>
      </c>
      <c r="R1155" t="s">
        <v>2442</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2087</v>
      </c>
      <c r="R1156" t="s">
        <v>2442</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2087</v>
      </c>
      <c r="R1157" t="s">
        <v>2443</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2087</v>
      </c>
      <c r="R1158" t="s">
        <v>2443</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2290</v>
      </c>
      <c r="R1159" t="s">
        <v>2444</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2173</v>
      </c>
      <c r="R1160" t="s">
        <v>2444</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2128</v>
      </c>
      <c r="R1161" t="s">
        <v>2446</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2036</v>
      </c>
      <c r="R1162" t="s">
        <v>2446</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2029</v>
      </c>
      <c r="R1163" t="s">
        <v>2446</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2029</v>
      </c>
      <c r="R1164" t="s">
        <v>2446</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2406</v>
      </c>
      <c r="R1165" t="s">
        <v>2447</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2117</v>
      </c>
      <c r="R1166" t="s">
        <v>2447</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2031</v>
      </c>
      <c r="R1167" t="s">
        <v>2448</v>
      </c>
      <c r="S1167" t="s">
        <v>2124</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1989</v>
      </c>
      <c r="R1168" t="s">
        <v>2448</v>
      </c>
      <c r="S1168" t="s">
        <v>2124</v>
      </c>
      <c r="T1168" s="1">
        <v>44104</v>
      </c>
      <c r="U1168" s="1">
        <v>42255</v>
      </c>
      <c r="V1168" t="s">
        <v>386</v>
      </c>
      <c r="W1168">
        <v>15832804089</v>
      </c>
      <c r="X1168">
        <v>15832804089</v>
      </c>
      <c r="Y1168" t="s">
        <v>386</v>
      </c>
      <c r="Z1168">
        <v>15832804089</v>
      </c>
      <c r="AA1168">
        <v>18000000</v>
      </c>
      <c r="AB1168" t="b">
        <v>1</v>
      </c>
      <c r="AC1168">
        <v>0.15</v>
      </c>
    </row>
    <row r="1169" spans="17:29" x14ac:dyDescent="0.2">
      <c r="Q1169" t="s">
        <v>2025</v>
      </c>
      <c r="R1169" t="s">
        <v>2449</v>
      </c>
      <c r="S1169" t="s">
        <v>269</v>
      </c>
      <c r="T1169" s="1">
        <v>44244</v>
      </c>
      <c r="V1169" t="s">
        <v>883</v>
      </c>
      <c r="W1169">
        <v>1800000000</v>
      </c>
      <c r="Y1169" t="s">
        <v>883</v>
      </c>
      <c r="AB1169" t="b">
        <v>0</v>
      </c>
      <c r="AC1169">
        <v>0.5</v>
      </c>
    </row>
    <row r="1170" spans="17:29" x14ac:dyDescent="0.2">
      <c r="Q1170" t="s">
        <v>2025</v>
      </c>
      <c r="R1170" t="s">
        <v>2449</v>
      </c>
      <c r="S1170" t="s">
        <v>269</v>
      </c>
      <c r="T1170" s="1">
        <v>44244</v>
      </c>
      <c r="V1170" t="s">
        <v>883</v>
      </c>
      <c r="W1170">
        <v>1800000000</v>
      </c>
      <c r="Y1170" t="s">
        <v>883</v>
      </c>
      <c r="AB1170" t="b">
        <v>0</v>
      </c>
      <c r="AC1170">
        <v>0.5</v>
      </c>
    </row>
    <row r="1171" spans="17:29" x14ac:dyDescent="0.2">
      <c r="Q1171" t="s">
        <v>2165</v>
      </c>
      <c r="R1171" t="s">
        <v>2450</v>
      </c>
      <c r="S1171" t="s">
        <v>269</v>
      </c>
      <c r="T1171" s="1">
        <v>44244</v>
      </c>
      <c r="V1171" t="s">
        <v>883</v>
      </c>
      <c r="W1171">
        <v>1800000000</v>
      </c>
      <c r="Y1171" t="s">
        <v>883</v>
      </c>
      <c r="AB1171" t="b">
        <v>0</v>
      </c>
      <c r="AC1171">
        <v>0.5</v>
      </c>
    </row>
    <row r="1172" spans="17:29" x14ac:dyDescent="0.2">
      <c r="Q1172" t="s">
        <v>2165</v>
      </c>
      <c r="R1172" t="s">
        <v>2450</v>
      </c>
      <c r="S1172" t="s">
        <v>269</v>
      </c>
      <c r="T1172" s="1">
        <v>44244</v>
      </c>
      <c r="V1172" t="s">
        <v>883</v>
      </c>
      <c r="W1172">
        <v>1800000000</v>
      </c>
      <c r="Y1172" t="s">
        <v>883</v>
      </c>
      <c r="AB1172" t="b">
        <v>0</v>
      </c>
      <c r="AC1172">
        <v>0.5</v>
      </c>
    </row>
    <row r="1173" spans="17:29" x14ac:dyDescent="0.2">
      <c r="Q1173" t="s">
        <v>2043</v>
      </c>
      <c r="R1173" t="s">
        <v>2451</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2043</v>
      </c>
      <c r="R1174" t="s">
        <v>2451</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2043</v>
      </c>
      <c r="R1175" t="s">
        <v>2452</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2043</v>
      </c>
      <c r="R1176" t="s">
        <v>2452</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2043</v>
      </c>
      <c r="R1177" t="s">
        <v>2453</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2043</v>
      </c>
      <c r="R1178" t="s">
        <v>2453</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1987</v>
      </c>
      <c r="R1179" t="s">
        <v>2454</v>
      </c>
      <c r="S1179" t="s">
        <v>257</v>
      </c>
      <c r="T1179" s="1">
        <v>43831</v>
      </c>
      <c r="U1179" s="1">
        <v>43831</v>
      </c>
      <c r="V1179" t="s">
        <v>260</v>
      </c>
      <c r="W1179">
        <v>3366</v>
      </c>
      <c r="X1179">
        <v>3366</v>
      </c>
      <c r="Y1179" t="s">
        <v>270</v>
      </c>
      <c r="Z1179">
        <v>684000</v>
      </c>
      <c r="AA1179">
        <v>684000</v>
      </c>
      <c r="AB1179" t="b">
        <v>0</v>
      </c>
      <c r="AC1179">
        <v>1</v>
      </c>
    </row>
    <row r="1180" spans="17:29" x14ac:dyDescent="0.2">
      <c r="Q1180" t="s">
        <v>2087</v>
      </c>
      <c r="R1180" t="s">
        <v>2454</v>
      </c>
      <c r="S1180" t="s">
        <v>257</v>
      </c>
      <c r="T1180" s="1">
        <v>43831</v>
      </c>
      <c r="U1180" s="1">
        <v>43831</v>
      </c>
      <c r="V1180" t="s">
        <v>260</v>
      </c>
      <c r="W1180">
        <v>3366</v>
      </c>
      <c r="X1180">
        <v>3366</v>
      </c>
      <c r="Y1180" t="s">
        <v>270</v>
      </c>
      <c r="Z1180">
        <v>684000</v>
      </c>
      <c r="AA1180">
        <v>684000</v>
      </c>
      <c r="AB1180" t="b">
        <v>0</v>
      </c>
      <c r="AC1180">
        <v>1</v>
      </c>
    </row>
    <row r="1181" spans="17:29" x14ac:dyDescent="0.2">
      <c r="Q1181" t="s">
        <v>1998</v>
      </c>
      <c r="R1181" t="s">
        <v>2455</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1998</v>
      </c>
      <c r="R1182" t="s">
        <v>2455</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1998</v>
      </c>
      <c r="R1183" t="s">
        <v>2455</v>
      </c>
      <c r="S1183" t="s">
        <v>257</v>
      </c>
      <c r="T1183" s="1">
        <v>43466</v>
      </c>
      <c r="U1183" s="1">
        <v>43466</v>
      </c>
      <c r="V1183" t="s">
        <v>260</v>
      </c>
      <c r="W1183">
        <v>177060</v>
      </c>
      <c r="X1183">
        <v>177060</v>
      </c>
      <c r="Y1183" t="s">
        <v>270</v>
      </c>
      <c r="Z1183">
        <v>46040</v>
      </c>
      <c r="AA1183">
        <v>46040</v>
      </c>
      <c r="AB1183" t="b">
        <v>0</v>
      </c>
      <c r="AC1183">
        <v>1</v>
      </c>
    </row>
    <row r="1184" spans="17:29" x14ac:dyDescent="0.2">
      <c r="Q1184" t="s">
        <v>1998</v>
      </c>
      <c r="R1184" t="s">
        <v>2455</v>
      </c>
      <c r="S1184" t="s">
        <v>257</v>
      </c>
      <c r="T1184" s="1">
        <v>43282</v>
      </c>
      <c r="U1184" s="1">
        <v>43282</v>
      </c>
      <c r="V1184" t="s">
        <v>260</v>
      </c>
      <c r="W1184">
        <v>18390</v>
      </c>
      <c r="X1184">
        <v>18390</v>
      </c>
      <c r="Y1184" t="s">
        <v>270</v>
      </c>
      <c r="Z1184">
        <v>4740</v>
      </c>
      <c r="AA1184">
        <v>4740</v>
      </c>
      <c r="AB1184" t="b">
        <v>0</v>
      </c>
      <c r="AC1184">
        <v>1</v>
      </c>
    </row>
    <row r="1185" spans="17:29" x14ac:dyDescent="0.2">
      <c r="Q1185" t="s">
        <v>2067</v>
      </c>
      <c r="R1185" t="s">
        <v>2455</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2067</v>
      </c>
      <c r="R1186" t="s">
        <v>2455</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2067</v>
      </c>
      <c r="R1187" t="s">
        <v>2455</v>
      </c>
      <c r="S1187" t="s">
        <v>257</v>
      </c>
      <c r="T1187" s="1">
        <v>43466</v>
      </c>
      <c r="U1187" s="1">
        <v>43466</v>
      </c>
      <c r="V1187" t="s">
        <v>260</v>
      </c>
      <c r="W1187">
        <v>177060</v>
      </c>
      <c r="X1187">
        <v>177060</v>
      </c>
      <c r="Y1187" t="s">
        <v>270</v>
      </c>
      <c r="Z1187">
        <v>46040</v>
      </c>
      <c r="AA1187">
        <v>46040</v>
      </c>
      <c r="AB1187" t="b">
        <v>0</v>
      </c>
      <c r="AC1187">
        <v>1</v>
      </c>
    </row>
    <row r="1188" spans="17:29" x14ac:dyDescent="0.2">
      <c r="Q1188" t="s">
        <v>2067</v>
      </c>
      <c r="R1188" t="s">
        <v>2455</v>
      </c>
      <c r="S1188" t="s">
        <v>257</v>
      </c>
      <c r="T1188" s="1">
        <v>43282</v>
      </c>
      <c r="U1188" s="1">
        <v>43282</v>
      </c>
      <c r="V1188" t="s">
        <v>260</v>
      </c>
      <c r="W1188">
        <v>18390</v>
      </c>
      <c r="X1188">
        <v>18390</v>
      </c>
      <c r="Y1188" t="s">
        <v>270</v>
      </c>
      <c r="Z1188">
        <v>4740</v>
      </c>
      <c r="AA1188">
        <v>4740</v>
      </c>
      <c r="AB1188" t="b">
        <v>0</v>
      </c>
      <c r="AC1188">
        <v>1</v>
      </c>
    </row>
    <row r="1189" spans="17:29" x14ac:dyDescent="0.2">
      <c r="Q1189" t="s">
        <v>1998</v>
      </c>
      <c r="R1189" t="s">
        <v>2456</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1998</v>
      </c>
      <c r="R1190" t="s">
        <v>2456</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2067</v>
      </c>
      <c r="R1191" t="s">
        <v>2456</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2067</v>
      </c>
      <c r="R1192" t="s">
        <v>2456</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2141</v>
      </c>
      <c r="R1193" t="s">
        <v>2457</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2036</v>
      </c>
      <c r="R1194" t="s">
        <v>2457</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2087</v>
      </c>
      <c r="R1195" t="s">
        <v>2458</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2087</v>
      </c>
      <c r="R1196" t="s">
        <v>2458</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2014</v>
      </c>
      <c r="R1197" t="s">
        <v>2459</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2014</v>
      </c>
      <c r="R1198" t="s">
        <v>2459</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2014</v>
      </c>
      <c r="R1199" t="s">
        <v>2459</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2087</v>
      </c>
      <c r="R1200" t="s">
        <v>2459</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2087</v>
      </c>
      <c r="R1201" t="s">
        <v>2459</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2087</v>
      </c>
      <c r="R1202" t="s">
        <v>2459</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2208</v>
      </c>
      <c r="R1203" t="s">
        <v>2460</v>
      </c>
      <c r="S1203" t="s">
        <v>257</v>
      </c>
      <c r="T1203" s="1">
        <v>44197</v>
      </c>
      <c r="U1203" s="1">
        <v>44197</v>
      </c>
      <c r="V1203" t="s">
        <v>260</v>
      </c>
      <c r="W1203">
        <v>468000</v>
      </c>
      <c r="X1203">
        <v>468000</v>
      </c>
      <c r="Y1203" t="s">
        <v>270</v>
      </c>
      <c r="Z1203">
        <v>87000</v>
      </c>
      <c r="AA1203">
        <v>87000</v>
      </c>
      <c r="AB1203" t="b">
        <v>0</v>
      </c>
      <c r="AC1203">
        <v>1</v>
      </c>
    </row>
    <row r="1204" spans="17:29" x14ac:dyDescent="0.2">
      <c r="Q1204" t="s">
        <v>2208</v>
      </c>
      <c r="R1204" t="s">
        <v>2460</v>
      </c>
      <c r="S1204" t="s">
        <v>257</v>
      </c>
      <c r="T1204" s="1">
        <v>44013</v>
      </c>
      <c r="U1204" s="1">
        <v>44013</v>
      </c>
      <c r="V1204" t="s">
        <v>260</v>
      </c>
      <c r="W1204">
        <v>615000</v>
      </c>
      <c r="X1204">
        <v>615000</v>
      </c>
      <c r="Y1204" t="s">
        <v>270</v>
      </c>
      <c r="Z1204">
        <v>113000</v>
      </c>
      <c r="AA1204">
        <v>113000</v>
      </c>
      <c r="AB1204" t="b">
        <v>0</v>
      </c>
      <c r="AC1204">
        <v>1</v>
      </c>
    </row>
    <row r="1205" spans="17:29" x14ac:dyDescent="0.2">
      <c r="Q1205" t="s">
        <v>2208</v>
      </c>
      <c r="R1205" t="s">
        <v>2460</v>
      </c>
      <c r="S1205" t="s">
        <v>257</v>
      </c>
      <c r="T1205" s="1">
        <v>43831</v>
      </c>
      <c r="U1205" s="1">
        <v>43831</v>
      </c>
      <c r="V1205" t="s">
        <v>260</v>
      </c>
      <c r="W1205">
        <v>48000</v>
      </c>
      <c r="X1205">
        <v>48000</v>
      </c>
      <c r="Y1205" t="s">
        <v>270</v>
      </c>
      <c r="Z1205">
        <v>10000</v>
      </c>
      <c r="AA1205">
        <v>10000</v>
      </c>
      <c r="AB1205" t="b">
        <v>0</v>
      </c>
      <c r="AC1205">
        <v>1</v>
      </c>
    </row>
    <row r="1206" spans="17:29" x14ac:dyDescent="0.2">
      <c r="Q1206" t="s">
        <v>2208</v>
      </c>
      <c r="R1206" t="s">
        <v>2460</v>
      </c>
      <c r="S1206" t="s">
        <v>257</v>
      </c>
      <c r="T1206" s="1">
        <v>43647</v>
      </c>
      <c r="U1206" s="1">
        <v>43647</v>
      </c>
      <c r="V1206" t="s">
        <v>260</v>
      </c>
      <c r="W1206">
        <v>377000</v>
      </c>
      <c r="X1206">
        <v>377000</v>
      </c>
      <c r="Y1206" t="s">
        <v>270</v>
      </c>
      <c r="Z1206">
        <v>93000</v>
      </c>
      <c r="AA1206">
        <v>93000</v>
      </c>
      <c r="AB1206" t="b">
        <v>0</v>
      </c>
      <c r="AC1206">
        <v>1</v>
      </c>
    </row>
    <row r="1207" spans="17:29" x14ac:dyDescent="0.2">
      <c r="Q1207" t="s">
        <v>2208</v>
      </c>
      <c r="R1207" t="s">
        <v>2460</v>
      </c>
      <c r="S1207" t="s">
        <v>257</v>
      </c>
      <c r="T1207" s="1">
        <v>43466</v>
      </c>
      <c r="U1207" s="1">
        <v>43466</v>
      </c>
      <c r="V1207" t="s">
        <v>260</v>
      </c>
      <c r="W1207">
        <v>51950</v>
      </c>
      <c r="X1207">
        <v>51950</v>
      </c>
      <c r="Y1207" t="s">
        <v>270</v>
      </c>
      <c r="Z1207">
        <v>13510</v>
      </c>
      <c r="AA1207">
        <v>13510</v>
      </c>
      <c r="AB1207" t="b">
        <v>0</v>
      </c>
      <c r="AC1207">
        <v>1</v>
      </c>
    </row>
    <row r="1208" spans="17:29" x14ac:dyDescent="0.2">
      <c r="Q1208" t="s">
        <v>2210</v>
      </c>
      <c r="R1208" t="s">
        <v>2460</v>
      </c>
      <c r="S1208" t="s">
        <v>257</v>
      </c>
      <c r="T1208" s="1">
        <v>44197</v>
      </c>
      <c r="U1208" s="1">
        <v>44197</v>
      </c>
      <c r="V1208" t="s">
        <v>260</v>
      </c>
      <c r="W1208">
        <v>468000</v>
      </c>
      <c r="X1208">
        <v>468000</v>
      </c>
      <c r="Y1208" t="s">
        <v>270</v>
      </c>
      <c r="Z1208">
        <v>87000</v>
      </c>
      <c r="AA1208">
        <v>87000</v>
      </c>
      <c r="AB1208" t="b">
        <v>0</v>
      </c>
      <c r="AC1208">
        <v>1</v>
      </c>
    </row>
    <row r="1209" spans="17:29" x14ac:dyDescent="0.2">
      <c r="Q1209" t="s">
        <v>2210</v>
      </c>
      <c r="R1209" t="s">
        <v>2460</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2210</v>
      </c>
      <c r="R1210" t="s">
        <v>2460</v>
      </c>
      <c r="S1210" t="s">
        <v>257</v>
      </c>
      <c r="T1210" s="1">
        <v>43831</v>
      </c>
      <c r="U1210" s="1">
        <v>43831</v>
      </c>
      <c r="V1210" t="s">
        <v>260</v>
      </c>
      <c r="W1210">
        <v>48000</v>
      </c>
      <c r="X1210">
        <v>48000</v>
      </c>
      <c r="Y1210" t="s">
        <v>270</v>
      </c>
      <c r="Z1210">
        <v>10000</v>
      </c>
      <c r="AA1210">
        <v>10000</v>
      </c>
      <c r="AB1210" t="b">
        <v>0</v>
      </c>
      <c r="AC1210">
        <v>1</v>
      </c>
    </row>
    <row r="1211" spans="17:29" x14ac:dyDescent="0.2">
      <c r="Q1211" t="s">
        <v>2210</v>
      </c>
      <c r="R1211" t="s">
        <v>2460</v>
      </c>
      <c r="S1211" t="s">
        <v>257</v>
      </c>
      <c r="T1211" s="1">
        <v>43647</v>
      </c>
      <c r="U1211" s="1">
        <v>43647</v>
      </c>
      <c r="V1211" t="s">
        <v>260</v>
      </c>
      <c r="W1211">
        <v>377000</v>
      </c>
      <c r="X1211">
        <v>377000</v>
      </c>
      <c r="Y1211" t="s">
        <v>270</v>
      </c>
      <c r="Z1211">
        <v>93000</v>
      </c>
      <c r="AA1211">
        <v>93000</v>
      </c>
      <c r="AB1211" t="b">
        <v>0</v>
      </c>
      <c r="AC1211">
        <v>1</v>
      </c>
    </row>
    <row r="1212" spans="17:29" x14ac:dyDescent="0.2">
      <c r="Q1212" t="s">
        <v>2210</v>
      </c>
      <c r="R1212" t="s">
        <v>2460</v>
      </c>
      <c r="S1212" t="s">
        <v>257</v>
      </c>
      <c r="T1212" s="1">
        <v>43466</v>
      </c>
      <c r="U1212" s="1">
        <v>43466</v>
      </c>
      <c r="V1212" t="s">
        <v>260</v>
      </c>
      <c r="W1212">
        <v>51950</v>
      </c>
      <c r="X1212">
        <v>51950</v>
      </c>
      <c r="Y1212" t="s">
        <v>270</v>
      </c>
      <c r="Z1212">
        <v>13510</v>
      </c>
      <c r="AA1212">
        <v>13510</v>
      </c>
      <c r="AB1212" t="b">
        <v>0</v>
      </c>
      <c r="AC1212">
        <v>1</v>
      </c>
    </row>
    <row r="1213" spans="17:29" x14ac:dyDescent="0.2">
      <c r="Q1213" t="s">
        <v>2040</v>
      </c>
      <c r="R1213" t="s">
        <v>2461</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2040</v>
      </c>
      <c r="R1214" t="s">
        <v>2461</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2117</v>
      </c>
      <c r="R1215" t="s">
        <v>2461</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2117</v>
      </c>
      <c r="R1216" t="s">
        <v>2461</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2040</v>
      </c>
      <c r="R1217" t="s">
        <v>2462</v>
      </c>
      <c r="S1217" t="s">
        <v>257</v>
      </c>
      <c r="T1217" s="1">
        <v>44197</v>
      </c>
      <c r="U1217" s="1">
        <v>44197</v>
      </c>
      <c r="V1217" t="s">
        <v>260</v>
      </c>
      <c r="W1217">
        <v>16000</v>
      </c>
      <c r="X1217">
        <v>16000</v>
      </c>
      <c r="Y1217" t="s">
        <v>270</v>
      </c>
      <c r="Z1217">
        <v>3000</v>
      </c>
      <c r="AA1217">
        <v>3000</v>
      </c>
      <c r="AB1217" t="b">
        <v>0</v>
      </c>
      <c r="AC1217">
        <v>1</v>
      </c>
    </row>
    <row r="1218" spans="17:29" x14ac:dyDescent="0.2">
      <c r="Q1218" t="s">
        <v>2036</v>
      </c>
      <c r="R1218" t="s">
        <v>2462</v>
      </c>
      <c r="S1218" t="s">
        <v>257</v>
      </c>
      <c r="T1218" s="1">
        <v>44197</v>
      </c>
      <c r="U1218" s="1">
        <v>44197</v>
      </c>
      <c r="V1218" t="s">
        <v>260</v>
      </c>
      <c r="W1218">
        <v>16000</v>
      </c>
      <c r="X1218">
        <v>16000</v>
      </c>
      <c r="Y1218" t="s">
        <v>270</v>
      </c>
      <c r="Z1218">
        <v>3000</v>
      </c>
      <c r="AA1218">
        <v>3000</v>
      </c>
      <c r="AB1218" t="b">
        <v>0</v>
      </c>
      <c r="AC1218">
        <v>1</v>
      </c>
    </row>
    <row r="1219" spans="17:29" x14ac:dyDescent="0.2">
      <c r="Q1219" t="s">
        <v>2208</v>
      </c>
      <c r="R1219" t="s">
        <v>2463</v>
      </c>
      <c r="S1219" t="s">
        <v>257</v>
      </c>
      <c r="T1219" s="1">
        <v>44013</v>
      </c>
      <c r="U1219" s="1">
        <v>44013</v>
      </c>
      <c r="V1219" t="s">
        <v>260</v>
      </c>
      <c r="W1219">
        <v>154000</v>
      </c>
      <c r="X1219">
        <v>154000</v>
      </c>
      <c r="Y1219" t="s">
        <v>270</v>
      </c>
      <c r="Z1219">
        <v>28000</v>
      </c>
      <c r="AA1219">
        <v>28000</v>
      </c>
      <c r="AB1219" t="b">
        <v>0</v>
      </c>
      <c r="AC1219">
        <v>1</v>
      </c>
    </row>
    <row r="1220" spans="17:29" x14ac:dyDescent="0.2">
      <c r="Q1220" t="s">
        <v>2208</v>
      </c>
      <c r="R1220" t="s">
        <v>2463</v>
      </c>
      <c r="S1220" t="s">
        <v>257</v>
      </c>
      <c r="T1220" s="1">
        <v>43831</v>
      </c>
      <c r="U1220" s="1">
        <v>43831</v>
      </c>
      <c r="V1220" t="s">
        <v>260</v>
      </c>
      <c r="W1220">
        <v>18000</v>
      </c>
      <c r="X1220">
        <v>18000</v>
      </c>
      <c r="Y1220" t="s">
        <v>270</v>
      </c>
      <c r="Z1220">
        <v>4000</v>
      </c>
      <c r="AA1220">
        <v>4000</v>
      </c>
      <c r="AB1220" t="b">
        <v>0</v>
      </c>
      <c r="AC1220">
        <v>1</v>
      </c>
    </row>
    <row r="1221" spans="17:29" x14ac:dyDescent="0.2">
      <c r="Q1221" t="s">
        <v>2208</v>
      </c>
      <c r="R1221" t="s">
        <v>2463</v>
      </c>
      <c r="S1221" t="s">
        <v>257</v>
      </c>
      <c r="T1221" s="1">
        <v>43647</v>
      </c>
      <c r="U1221" s="1">
        <v>43647</v>
      </c>
      <c r="V1221" t="s">
        <v>260</v>
      </c>
      <c r="W1221">
        <v>107000</v>
      </c>
      <c r="X1221">
        <v>107000</v>
      </c>
      <c r="Y1221" t="s">
        <v>270</v>
      </c>
      <c r="Z1221">
        <v>26000</v>
      </c>
      <c r="AA1221">
        <v>26000</v>
      </c>
      <c r="AB1221" t="b">
        <v>0</v>
      </c>
      <c r="AC1221">
        <v>1</v>
      </c>
    </row>
    <row r="1222" spans="17:29" x14ac:dyDescent="0.2">
      <c r="Q1222" t="s">
        <v>2210</v>
      </c>
      <c r="R1222" t="s">
        <v>2463</v>
      </c>
      <c r="S1222" t="s">
        <v>257</v>
      </c>
      <c r="T1222" s="1">
        <v>44013</v>
      </c>
      <c r="U1222" s="1">
        <v>44013</v>
      </c>
      <c r="V1222" t="s">
        <v>260</v>
      </c>
      <c r="W1222">
        <v>154000</v>
      </c>
      <c r="X1222">
        <v>154000</v>
      </c>
      <c r="Y1222" t="s">
        <v>270</v>
      </c>
      <c r="Z1222">
        <v>28000</v>
      </c>
      <c r="AA1222">
        <v>28000</v>
      </c>
      <c r="AB1222" t="b">
        <v>0</v>
      </c>
      <c r="AC1222">
        <v>1</v>
      </c>
    </row>
    <row r="1223" spans="17:29" x14ac:dyDescent="0.2">
      <c r="Q1223" t="s">
        <v>2210</v>
      </c>
      <c r="R1223" t="s">
        <v>2463</v>
      </c>
      <c r="S1223" t="s">
        <v>257</v>
      </c>
      <c r="T1223" s="1">
        <v>43831</v>
      </c>
      <c r="U1223" s="1">
        <v>43831</v>
      </c>
      <c r="V1223" t="s">
        <v>260</v>
      </c>
      <c r="W1223">
        <v>18000</v>
      </c>
      <c r="X1223">
        <v>18000</v>
      </c>
      <c r="Y1223" t="s">
        <v>270</v>
      </c>
      <c r="Z1223">
        <v>4000</v>
      </c>
      <c r="AA1223">
        <v>4000</v>
      </c>
      <c r="AB1223" t="b">
        <v>0</v>
      </c>
      <c r="AC1223">
        <v>1</v>
      </c>
    </row>
    <row r="1224" spans="17:29" x14ac:dyDescent="0.2">
      <c r="Q1224" t="s">
        <v>2210</v>
      </c>
      <c r="R1224" t="s">
        <v>2463</v>
      </c>
      <c r="S1224" t="s">
        <v>257</v>
      </c>
      <c r="T1224" s="1">
        <v>43647</v>
      </c>
      <c r="U1224" s="1">
        <v>43647</v>
      </c>
      <c r="V1224" t="s">
        <v>260</v>
      </c>
      <c r="W1224">
        <v>107000</v>
      </c>
      <c r="X1224">
        <v>107000</v>
      </c>
      <c r="Y1224" t="s">
        <v>270</v>
      </c>
      <c r="Z1224">
        <v>26000</v>
      </c>
      <c r="AA1224">
        <v>26000</v>
      </c>
      <c r="AB1224" t="b">
        <v>0</v>
      </c>
      <c r="AC1224">
        <v>1</v>
      </c>
    </row>
    <row r="1225" spans="17:29" x14ac:dyDescent="0.2">
      <c r="Q1225" t="s">
        <v>1998</v>
      </c>
      <c r="R1225" t="s">
        <v>2464</v>
      </c>
      <c r="S1225" t="s">
        <v>269</v>
      </c>
      <c r="T1225" s="1">
        <v>43602</v>
      </c>
      <c r="U1225" s="1">
        <v>43830</v>
      </c>
      <c r="V1225" t="s">
        <v>270</v>
      </c>
      <c r="W1225">
        <v>798491</v>
      </c>
      <c r="X1225">
        <v>798491</v>
      </c>
      <c r="Y1225" t="s">
        <v>290</v>
      </c>
      <c r="Z1225">
        <v>29</v>
      </c>
      <c r="AA1225">
        <v>798491</v>
      </c>
      <c r="AB1225" t="b">
        <v>0</v>
      </c>
      <c r="AC1225">
        <v>1</v>
      </c>
    </row>
    <row r="1226" spans="17:29" x14ac:dyDescent="0.2">
      <c r="Q1226" t="s">
        <v>1998</v>
      </c>
      <c r="R1226" t="s">
        <v>2464</v>
      </c>
      <c r="S1226" t="s">
        <v>269</v>
      </c>
      <c r="T1226" s="1">
        <v>43602</v>
      </c>
      <c r="U1226" s="1">
        <v>44196</v>
      </c>
      <c r="V1226" t="s">
        <v>270</v>
      </c>
      <c r="W1226">
        <v>149528</v>
      </c>
      <c r="X1226">
        <v>149528</v>
      </c>
      <c r="Y1226" t="s">
        <v>290</v>
      </c>
      <c r="Z1226">
        <v>5</v>
      </c>
      <c r="AA1226">
        <v>149528</v>
      </c>
      <c r="AB1226" t="b">
        <v>0</v>
      </c>
      <c r="AC1226">
        <v>1</v>
      </c>
    </row>
    <row r="1227" spans="17:29" x14ac:dyDescent="0.2">
      <c r="Q1227" t="s">
        <v>2067</v>
      </c>
      <c r="R1227" t="s">
        <v>2464</v>
      </c>
      <c r="S1227" t="s">
        <v>269</v>
      </c>
      <c r="T1227" s="1">
        <v>43602</v>
      </c>
      <c r="U1227" s="1">
        <v>43830</v>
      </c>
      <c r="V1227" t="s">
        <v>270</v>
      </c>
      <c r="W1227">
        <v>798491</v>
      </c>
      <c r="X1227">
        <v>798491</v>
      </c>
      <c r="Y1227" t="s">
        <v>290</v>
      </c>
      <c r="Z1227">
        <v>29</v>
      </c>
      <c r="AA1227">
        <v>798491</v>
      </c>
      <c r="AB1227" t="b">
        <v>0</v>
      </c>
      <c r="AC1227">
        <v>1</v>
      </c>
    </row>
    <row r="1228" spans="17:29" x14ac:dyDescent="0.2">
      <c r="Q1228" t="s">
        <v>2067</v>
      </c>
      <c r="R1228" t="s">
        <v>2464</v>
      </c>
      <c r="S1228" t="s">
        <v>269</v>
      </c>
      <c r="T1228" s="1">
        <v>43602</v>
      </c>
      <c r="U1228" s="1">
        <v>44196</v>
      </c>
      <c r="V1228" t="s">
        <v>270</v>
      </c>
      <c r="W1228">
        <v>149528</v>
      </c>
      <c r="X1228">
        <v>149528</v>
      </c>
      <c r="Y1228" t="s">
        <v>290</v>
      </c>
      <c r="Z1228">
        <v>5</v>
      </c>
      <c r="AA1228">
        <v>149528</v>
      </c>
      <c r="AB1228" t="b">
        <v>0</v>
      </c>
      <c r="AC1228">
        <v>1</v>
      </c>
    </row>
    <row r="1229" spans="17:29" x14ac:dyDescent="0.2">
      <c r="Q1229" t="s">
        <v>2208</v>
      </c>
      <c r="R1229" t="s">
        <v>2465</v>
      </c>
      <c r="S1229" t="s">
        <v>287</v>
      </c>
      <c r="T1229" s="1">
        <v>43602</v>
      </c>
      <c r="U1229" s="1">
        <v>43830</v>
      </c>
      <c r="V1229" t="s">
        <v>270</v>
      </c>
      <c r="W1229">
        <v>243026</v>
      </c>
      <c r="X1229">
        <v>243026</v>
      </c>
      <c r="Y1229" t="s">
        <v>290</v>
      </c>
      <c r="Z1229">
        <v>9</v>
      </c>
      <c r="AA1229">
        <v>243026</v>
      </c>
      <c r="AB1229" t="b">
        <v>0</v>
      </c>
      <c r="AC1229">
        <v>1</v>
      </c>
    </row>
    <row r="1230" spans="17:29" x14ac:dyDescent="0.2">
      <c r="Q1230" t="s">
        <v>2208</v>
      </c>
      <c r="R1230" t="s">
        <v>2465</v>
      </c>
      <c r="S1230" t="s">
        <v>287</v>
      </c>
      <c r="T1230" s="1">
        <v>43602</v>
      </c>
      <c r="U1230" s="1">
        <v>44196</v>
      </c>
      <c r="V1230" t="s">
        <v>270</v>
      </c>
      <c r="W1230">
        <v>715507</v>
      </c>
      <c r="X1230">
        <v>715507</v>
      </c>
      <c r="Y1230" t="s">
        <v>290</v>
      </c>
      <c r="Z1230">
        <v>26</v>
      </c>
      <c r="AA1230">
        <v>715507</v>
      </c>
      <c r="AB1230" t="b">
        <v>0</v>
      </c>
      <c r="AC1230">
        <v>1</v>
      </c>
    </row>
    <row r="1231" spans="17:29" x14ac:dyDescent="0.2">
      <c r="Q1231" t="s">
        <v>2169</v>
      </c>
      <c r="R1231" t="s">
        <v>2465</v>
      </c>
      <c r="S1231" t="s">
        <v>287</v>
      </c>
      <c r="T1231" s="1">
        <v>43602</v>
      </c>
      <c r="U1231" s="1">
        <v>43830</v>
      </c>
      <c r="V1231" t="s">
        <v>270</v>
      </c>
      <c r="W1231">
        <v>243026</v>
      </c>
      <c r="X1231">
        <v>243026</v>
      </c>
      <c r="Y1231" t="s">
        <v>290</v>
      </c>
      <c r="Z1231">
        <v>9</v>
      </c>
      <c r="AA1231">
        <v>243026</v>
      </c>
      <c r="AB1231" t="b">
        <v>0</v>
      </c>
      <c r="AC1231">
        <v>1</v>
      </c>
    </row>
    <row r="1232" spans="17:29" x14ac:dyDescent="0.2">
      <c r="Q1232" t="s">
        <v>2169</v>
      </c>
      <c r="R1232" t="s">
        <v>2465</v>
      </c>
      <c r="S1232" t="s">
        <v>287</v>
      </c>
      <c r="T1232" s="1">
        <v>43602</v>
      </c>
      <c r="U1232" s="1">
        <v>44196</v>
      </c>
      <c r="V1232" t="s">
        <v>270</v>
      </c>
      <c r="W1232">
        <v>715507</v>
      </c>
      <c r="X1232">
        <v>715507</v>
      </c>
      <c r="Y1232" t="s">
        <v>290</v>
      </c>
      <c r="Z1232">
        <v>26</v>
      </c>
      <c r="AA1232">
        <v>715507</v>
      </c>
      <c r="AB1232" t="b">
        <v>0</v>
      </c>
      <c r="AC1232">
        <v>1</v>
      </c>
    </row>
    <row r="1233" spans="17:29" x14ac:dyDescent="0.2">
      <c r="Q1233" t="s">
        <v>2128</v>
      </c>
      <c r="R1233" t="s">
        <v>2466</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1989</v>
      </c>
      <c r="R1234" t="s">
        <v>2466</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2029</v>
      </c>
      <c r="R1235" t="s">
        <v>2466</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2029</v>
      </c>
      <c r="R1236" t="s">
        <v>2466</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2128</v>
      </c>
      <c r="R1237" t="s">
        <v>2467</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1989</v>
      </c>
      <c r="R1238" t="s">
        <v>2467</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2029</v>
      </c>
      <c r="R1239" t="s">
        <v>2467</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2029</v>
      </c>
      <c r="R1240" t="s">
        <v>2467</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2128</v>
      </c>
      <c r="R1241" t="s">
        <v>2468</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1989</v>
      </c>
      <c r="R1242" t="s">
        <v>2468</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2029</v>
      </c>
      <c r="R1243" t="s">
        <v>2468</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2029</v>
      </c>
      <c r="R1244" t="s">
        <v>2468</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2128</v>
      </c>
      <c r="R1245" t="s">
        <v>2469</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1989</v>
      </c>
      <c r="R1246" t="s">
        <v>2469</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2029</v>
      </c>
      <c r="R1247" t="s">
        <v>2469</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2029</v>
      </c>
      <c r="R1248" t="s">
        <v>2469</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2128</v>
      </c>
      <c r="R1249" t="s">
        <v>2470</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1989</v>
      </c>
      <c r="R1250" t="s">
        <v>2470</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2029</v>
      </c>
      <c r="R1251" t="s">
        <v>2470</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2029</v>
      </c>
      <c r="R1252" t="s">
        <v>2470</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2082</v>
      </c>
      <c r="R1253" t="s">
        <v>2471</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2082</v>
      </c>
      <c r="R1254" t="s">
        <v>2471</v>
      </c>
      <c r="S1254" t="s">
        <v>287</v>
      </c>
      <c r="T1254" s="1">
        <v>42829</v>
      </c>
      <c r="U1254" s="1">
        <v>42735</v>
      </c>
      <c r="V1254" t="s">
        <v>270</v>
      </c>
      <c r="W1254">
        <v>221222</v>
      </c>
      <c r="X1254">
        <v>221222</v>
      </c>
      <c r="Y1254" t="s">
        <v>270</v>
      </c>
      <c r="Z1254">
        <v>221222</v>
      </c>
      <c r="AA1254">
        <v>221222</v>
      </c>
      <c r="AB1254" t="b">
        <v>0</v>
      </c>
      <c r="AC1254">
        <v>1</v>
      </c>
    </row>
    <row r="1255" spans="17:29" x14ac:dyDescent="0.2">
      <c r="Q1255" t="s">
        <v>2208</v>
      </c>
      <c r="R1255" t="s">
        <v>2471</v>
      </c>
      <c r="S1255" t="s">
        <v>287</v>
      </c>
      <c r="T1255" s="1">
        <v>42829</v>
      </c>
      <c r="U1255" s="1">
        <v>43465</v>
      </c>
      <c r="V1255" t="s">
        <v>270</v>
      </c>
      <c r="W1255">
        <v>223764</v>
      </c>
      <c r="X1255">
        <v>223764</v>
      </c>
      <c r="Y1255" t="s">
        <v>270</v>
      </c>
      <c r="Z1255">
        <v>223764</v>
      </c>
      <c r="AA1255">
        <v>223764</v>
      </c>
      <c r="AB1255" t="b">
        <v>0</v>
      </c>
      <c r="AC1255">
        <v>1</v>
      </c>
    </row>
    <row r="1256" spans="17:29" x14ac:dyDescent="0.2">
      <c r="Q1256" t="s">
        <v>2208</v>
      </c>
      <c r="R1256" t="s">
        <v>2471</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2029</v>
      </c>
      <c r="R1257" t="s">
        <v>2471</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2029</v>
      </c>
      <c r="R1258" t="s">
        <v>2471</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2029</v>
      </c>
      <c r="R1259" t="s">
        <v>2471</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2029</v>
      </c>
      <c r="R1260" t="s">
        <v>2471</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1998</v>
      </c>
      <c r="R1261" t="s">
        <v>2472</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1998</v>
      </c>
      <c r="R1262" t="s">
        <v>2472</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2067</v>
      </c>
      <c r="R1263" t="s">
        <v>2472</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2067</v>
      </c>
      <c r="R1264" t="s">
        <v>2472</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2029</v>
      </c>
      <c r="R1265" t="s">
        <v>2472</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2029</v>
      </c>
      <c r="R1266" t="s">
        <v>2472</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2029</v>
      </c>
      <c r="R1267" t="s">
        <v>2472</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2029</v>
      </c>
      <c r="R1268" t="s">
        <v>2472</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2117</v>
      </c>
      <c r="R1269" t="s">
        <v>2473</v>
      </c>
      <c r="S1269" t="s">
        <v>257</v>
      </c>
      <c r="T1269" s="1">
        <v>42829</v>
      </c>
      <c r="U1269" s="1">
        <v>43465</v>
      </c>
      <c r="V1269" t="s">
        <v>270</v>
      </c>
      <c r="W1269">
        <v>23952</v>
      </c>
      <c r="X1269">
        <v>23952</v>
      </c>
      <c r="Y1269" t="s">
        <v>270</v>
      </c>
      <c r="Z1269">
        <v>23952</v>
      </c>
      <c r="AA1269">
        <v>23952</v>
      </c>
      <c r="AB1269" t="b">
        <v>0</v>
      </c>
      <c r="AC1269">
        <v>1</v>
      </c>
    </row>
    <row r="1270" spans="17:29" x14ac:dyDescent="0.2">
      <c r="Q1270" t="s">
        <v>2117</v>
      </c>
      <c r="R1270" t="s">
        <v>2473</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2029</v>
      </c>
      <c r="R1271" t="s">
        <v>2473</v>
      </c>
      <c r="S1271" t="s">
        <v>257</v>
      </c>
      <c r="T1271" s="1">
        <v>42829</v>
      </c>
      <c r="U1271" s="1">
        <v>43465</v>
      </c>
      <c r="V1271" t="s">
        <v>270</v>
      </c>
      <c r="W1271">
        <v>23952</v>
      </c>
      <c r="X1271">
        <v>23952</v>
      </c>
      <c r="Y1271" t="s">
        <v>270</v>
      </c>
      <c r="Z1271">
        <v>23952</v>
      </c>
      <c r="AA1271">
        <v>23952</v>
      </c>
      <c r="AB1271" t="b">
        <v>0</v>
      </c>
      <c r="AC1271">
        <v>1</v>
      </c>
    </row>
    <row r="1272" spans="17:29" x14ac:dyDescent="0.2">
      <c r="Q1272" t="s">
        <v>2029</v>
      </c>
      <c r="R1272" t="s">
        <v>2473</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2029</v>
      </c>
      <c r="R1273" t="s">
        <v>2473</v>
      </c>
      <c r="S1273" t="s">
        <v>257</v>
      </c>
      <c r="T1273" s="1">
        <v>42829</v>
      </c>
      <c r="U1273" s="1">
        <v>43465</v>
      </c>
      <c r="V1273" t="s">
        <v>270</v>
      </c>
      <c r="W1273">
        <v>23952</v>
      </c>
      <c r="X1273">
        <v>23952</v>
      </c>
      <c r="Y1273" t="s">
        <v>270</v>
      </c>
      <c r="Z1273">
        <v>23952</v>
      </c>
      <c r="AA1273">
        <v>23952</v>
      </c>
      <c r="AB1273" t="b">
        <v>0</v>
      </c>
      <c r="AC1273">
        <v>1</v>
      </c>
    </row>
    <row r="1274" spans="17:29" x14ac:dyDescent="0.2">
      <c r="Q1274" t="s">
        <v>2029</v>
      </c>
      <c r="R1274" t="s">
        <v>2473</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2029</v>
      </c>
      <c r="R1275" t="s">
        <v>2473</v>
      </c>
      <c r="S1275" t="s">
        <v>257</v>
      </c>
      <c r="T1275" s="1">
        <v>42829</v>
      </c>
      <c r="U1275" s="1">
        <v>43465</v>
      </c>
      <c r="V1275" t="s">
        <v>270</v>
      </c>
      <c r="W1275">
        <v>23952</v>
      </c>
      <c r="X1275">
        <v>23952</v>
      </c>
      <c r="Y1275" t="s">
        <v>270</v>
      </c>
      <c r="Z1275">
        <v>23952</v>
      </c>
      <c r="AA1275">
        <v>23952</v>
      </c>
      <c r="AB1275" t="b">
        <v>0</v>
      </c>
      <c r="AC1275">
        <v>1</v>
      </c>
    </row>
    <row r="1276" spans="17:29" x14ac:dyDescent="0.2">
      <c r="Q1276" t="s">
        <v>2029</v>
      </c>
      <c r="R1276" t="s">
        <v>2473</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2169</v>
      </c>
      <c r="R1277" t="s">
        <v>2474</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2169</v>
      </c>
      <c r="R1278" t="s">
        <v>2474</v>
      </c>
      <c r="S1278" t="s">
        <v>287</v>
      </c>
      <c r="T1278" s="1">
        <v>42829</v>
      </c>
      <c r="U1278" s="1">
        <v>42735</v>
      </c>
      <c r="V1278" t="s">
        <v>270</v>
      </c>
      <c r="W1278">
        <v>262209</v>
      </c>
      <c r="X1278">
        <v>262209</v>
      </c>
      <c r="Y1278" t="s">
        <v>270</v>
      </c>
      <c r="Z1278">
        <v>262209</v>
      </c>
      <c r="AA1278">
        <v>262209</v>
      </c>
      <c r="AB1278" t="b">
        <v>0</v>
      </c>
      <c r="AC1278">
        <v>1</v>
      </c>
    </row>
    <row r="1279" spans="17:29" x14ac:dyDescent="0.2">
      <c r="Q1279" t="s">
        <v>2208</v>
      </c>
      <c r="R1279" t="s">
        <v>2474</v>
      </c>
      <c r="S1279" t="s">
        <v>287</v>
      </c>
      <c r="T1279" s="1">
        <v>42829</v>
      </c>
      <c r="U1279" s="1">
        <v>43465</v>
      </c>
      <c r="V1279" t="s">
        <v>270</v>
      </c>
      <c r="W1279">
        <v>147614</v>
      </c>
      <c r="X1279">
        <v>147614</v>
      </c>
      <c r="Y1279" t="s">
        <v>270</v>
      </c>
      <c r="Z1279">
        <v>147614</v>
      </c>
      <c r="AA1279">
        <v>147614</v>
      </c>
      <c r="AB1279" t="b">
        <v>0</v>
      </c>
      <c r="AC1279">
        <v>1</v>
      </c>
    </row>
    <row r="1280" spans="17:29" x14ac:dyDescent="0.2">
      <c r="Q1280" t="s">
        <v>2208</v>
      </c>
      <c r="R1280" t="s">
        <v>2474</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2029</v>
      </c>
      <c r="R1281" t="s">
        <v>2474</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2029</v>
      </c>
      <c r="R1282" t="s">
        <v>2474</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2029</v>
      </c>
      <c r="R1283" t="s">
        <v>2474</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2029</v>
      </c>
      <c r="R1284" t="s">
        <v>2474</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2475</v>
      </c>
      <c r="R1285" t="s">
        <v>2476</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2475</v>
      </c>
      <c r="R1286" t="s">
        <v>2476</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2127</v>
      </c>
      <c r="R1287" t="s">
        <v>2476</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2127</v>
      </c>
      <c r="R1288" t="s">
        <v>2476</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2029</v>
      </c>
      <c r="R1289" t="s">
        <v>2476</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2029</v>
      </c>
      <c r="R1290" t="s">
        <v>2476</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2029</v>
      </c>
      <c r="R1291" t="s">
        <v>2476</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2029</v>
      </c>
      <c r="R1292" t="s">
        <v>2476</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2169</v>
      </c>
      <c r="R1293" t="s">
        <v>2477</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2169</v>
      </c>
      <c r="R1294" t="s">
        <v>2477</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2208</v>
      </c>
      <c r="R1295" t="s">
        <v>2477</v>
      </c>
      <c r="S1295" t="s">
        <v>287</v>
      </c>
      <c r="T1295" s="1">
        <v>42829</v>
      </c>
      <c r="U1295" s="1">
        <v>43465</v>
      </c>
      <c r="V1295" t="s">
        <v>270</v>
      </c>
      <c r="W1295">
        <v>269496</v>
      </c>
      <c r="X1295">
        <v>269496</v>
      </c>
      <c r="Y1295" t="s">
        <v>270</v>
      </c>
      <c r="Z1295">
        <v>269496</v>
      </c>
      <c r="AA1295">
        <v>269496</v>
      </c>
      <c r="AB1295" t="b">
        <v>0</v>
      </c>
      <c r="AC1295">
        <v>1</v>
      </c>
    </row>
    <row r="1296" spans="17:29" x14ac:dyDescent="0.2">
      <c r="Q1296" t="s">
        <v>2208</v>
      </c>
      <c r="R1296" t="s">
        <v>2477</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2029</v>
      </c>
      <c r="R1297" t="s">
        <v>2477</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2029</v>
      </c>
      <c r="R1298" t="s">
        <v>2477</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2029</v>
      </c>
      <c r="R1299" t="s">
        <v>2477</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2029</v>
      </c>
      <c r="R1300" t="s">
        <v>2477</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2087</v>
      </c>
      <c r="R1301" t="s">
        <v>2478</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2087</v>
      </c>
      <c r="R1302" t="s">
        <v>2478</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2087</v>
      </c>
      <c r="R1303" t="s">
        <v>2479</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2087</v>
      </c>
      <c r="R1304" t="s">
        <v>2479</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2087</v>
      </c>
      <c r="R1305" t="s">
        <v>2480</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2087</v>
      </c>
      <c r="R1306" t="s">
        <v>2480</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2087</v>
      </c>
      <c r="R1307" t="s">
        <v>2481</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2087</v>
      </c>
      <c r="R1308" t="s">
        <v>2481</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2087</v>
      </c>
      <c r="R1309" t="s">
        <v>2482</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2087</v>
      </c>
      <c r="R1310" t="s">
        <v>2482</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2087</v>
      </c>
      <c r="R1311" t="s">
        <v>2483</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2087</v>
      </c>
      <c r="R1312" t="s">
        <v>2483</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2087</v>
      </c>
      <c r="R1313" t="s">
        <v>2484</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2087</v>
      </c>
      <c r="R1314" t="s">
        <v>2484</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2087</v>
      </c>
      <c r="R1315" t="s">
        <v>2485</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2087</v>
      </c>
      <c r="R1316" t="s">
        <v>2485</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2029</v>
      </c>
      <c r="R1317" t="s">
        <v>2486</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2029</v>
      </c>
      <c r="R1318" t="s">
        <v>2486</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2029</v>
      </c>
      <c r="R1319" t="s">
        <v>2486</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2029</v>
      </c>
      <c r="R1320" t="s">
        <v>2486</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2029</v>
      </c>
      <c r="R1321" t="s">
        <v>2486</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2029</v>
      </c>
      <c r="R1322" t="s">
        <v>2486</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2029</v>
      </c>
      <c r="R1323" t="s">
        <v>2486</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2029</v>
      </c>
      <c r="R1324" t="s">
        <v>2486</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2208</v>
      </c>
      <c r="R1325" t="s">
        <v>2487</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2208</v>
      </c>
      <c r="R1326" t="s">
        <v>2487</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2208</v>
      </c>
      <c r="R1327" t="s">
        <v>2487</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2208</v>
      </c>
      <c r="R1328" t="s">
        <v>2487</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2208</v>
      </c>
      <c r="R1329" t="s">
        <v>2487</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2208</v>
      </c>
      <c r="R1330" t="s">
        <v>2487</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2208</v>
      </c>
      <c r="R1331" t="s">
        <v>2487</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2208</v>
      </c>
      <c r="R1332" t="s">
        <v>2487</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2208</v>
      </c>
      <c r="R1333" t="s">
        <v>2487</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2208</v>
      </c>
      <c r="R1334" t="s">
        <v>2487</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2210</v>
      </c>
      <c r="R1335" t="s">
        <v>2487</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2210</v>
      </c>
      <c r="R1336" t="s">
        <v>2487</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2210</v>
      </c>
      <c r="R1337" t="s">
        <v>2487</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2210</v>
      </c>
      <c r="R1338" t="s">
        <v>2487</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2210</v>
      </c>
      <c r="R1339" t="s">
        <v>2487</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2210</v>
      </c>
      <c r="R1340" t="s">
        <v>2487</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2210</v>
      </c>
      <c r="R1341" t="s">
        <v>2487</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2210</v>
      </c>
      <c r="R1342" t="s">
        <v>2487</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2210</v>
      </c>
      <c r="R1343" t="s">
        <v>2487</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2210</v>
      </c>
      <c r="R1344" t="s">
        <v>2487</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2208</v>
      </c>
      <c r="R1345" t="s">
        <v>2488</v>
      </c>
      <c r="S1345" t="s">
        <v>257</v>
      </c>
      <c r="T1345" s="1">
        <v>44197</v>
      </c>
      <c r="U1345" s="1">
        <v>44197</v>
      </c>
      <c r="V1345" t="s">
        <v>260</v>
      </c>
      <c r="W1345">
        <v>442000</v>
      </c>
      <c r="X1345">
        <v>442000</v>
      </c>
      <c r="Y1345" t="s">
        <v>270</v>
      </c>
      <c r="Z1345">
        <v>82000</v>
      </c>
      <c r="AA1345">
        <v>82000</v>
      </c>
      <c r="AB1345" t="b">
        <v>1</v>
      </c>
      <c r="AC1345">
        <v>1</v>
      </c>
    </row>
    <row r="1346" spans="17:29" x14ac:dyDescent="0.2">
      <c r="Q1346" t="s">
        <v>2208</v>
      </c>
      <c r="R1346" t="s">
        <v>2488</v>
      </c>
      <c r="S1346" t="s">
        <v>257</v>
      </c>
      <c r="T1346" s="1">
        <v>44013</v>
      </c>
      <c r="U1346" s="1">
        <v>44013</v>
      </c>
      <c r="V1346" t="s">
        <v>260</v>
      </c>
      <c r="W1346">
        <v>488000</v>
      </c>
      <c r="X1346">
        <v>488000</v>
      </c>
      <c r="Y1346" t="s">
        <v>270</v>
      </c>
      <c r="Z1346">
        <v>90000</v>
      </c>
      <c r="AA1346">
        <v>90000</v>
      </c>
      <c r="AB1346" t="b">
        <v>1</v>
      </c>
      <c r="AC1346">
        <v>1</v>
      </c>
    </row>
    <row r="1347" spans="17:29" x14ac:dyDescent="0.2">
      <c r="Q1347" t="s">
        <v>2208</v>
      </c>
      <c r="R1347" t="s">
        <v>2488</v>
      </c>
      <c r="S1347" t="s">
        <v>257</v>
      </c>
      <c r="T1347" s="1">
        <v>43831</v>
      </c>
      <c r="U1347" s="1">
        <v>43831</v>
      </c>
      <c r="V1347" t="s">
        <v>260</v>
      </c>
      <c r="W1347">
        <v>170000</v>
      </c>
      <c r="X1347">
        <v>170000</v>
      </c>
      <c r="Y1347" t="s">
        <v>270</v>
      </c>
      <c r="Z1347">
        <v>35000</v>
      </c>
      <c r="AA1347">
        <v>35000</v>
      </c>
      <c r="AB1347" t="b">
        <v>1</v>
      </c>
      <c r="AC1347">
        <v>1</v>
      </c>
    </row>
    <row r="1348" spans="17:29" x14ac:dyDescent="0.2">
      <c r="Q1348" t="s">
        <v>2208</v>
      </c>
      <c r="R1348" t="s">
        <v>2488</v>
      </c>
      <c r="S1348" t="s">
        <v>257</v>
      </c>
      <c r="T1348" s="1">
        <v>43647</v>
      </c>
      <c r="U1348" s="1">
        <v>43647</v>
      </c>
      <c r="V1348" t="s">
        <v>260</v>
      </c>
      <c r="W1348">
        <v>423000</v>
      </c>
      <c r="X1348">
        <v>423000</v>
      </c>
      <c r="Y1348" t="s">
        <v>270</v>
      </c>
      <c r="Z1348">
        <v>104000</v>
      </c>
      <c r="AA1348">
        <v>104000</v>
      </c>
      <c r="AB1348" t="b">
        <v>1</v>
      </c>
      <c r="AC1348">
        <v>1</v>
      </c>
    </row>
    <row r="1349" spans="17:29" x14ac:dyDescent="0.2">
      <c r="Q1349" t="s">
        <v>2208</v>
      </c>
      <c r="R1349" t="s">
        <v>2488</v>
      </c>
      <c r="S1349" t="s">
        <v>257</v>
      </c>
      <c r="T1349" s="1">
        <v>43466</v>
      </c>
      <c r="U1349" s="1">
        <v>43466</v>
      </c>
      <c r="V1349" t="s">
        <v>260</v>
      </c>
      <c r="W1349">
        <v>56000</v>
      </c>
      <c r="X1349">
        <v>56000</v>
      </c>
      <c r="Y1349" t="s">
        <v>270</v>
      </c>
      <c r="Z1349">
        <v>14560</v>
      </c>
      <c r="AA1349">
        <v>14560</v>
      </c>
      <c r="AB1349" t="b">
        <v>1</v>
      </c>
      <c r="AC1349">
        <v>1</v>
      </c>
    </row>
    <row r="1350" spans="17:29" x14ac:dyDescent="0.2">
      <c r="Q1350" t="s">
        <v>2208</v>
      </c>
      <c r="R1350" t="s">
        <v>2488</v>
      </c>
      <c r="S1350" t="s">
        <v>257</v>
      </c>
      <c r="T1350" s="1">
        <v>43282</v>
      </c>
      <c r="U1350" s="1">
        <v>43282</v>
      </c>
      <c r="V1350" t="s">
        <v>260</v>
      </c>
      <c r="W1350">
        <v>7920</v>
      </c>
      <c r="X1350">
        <v>7920</v>
      </c>
      <c r="Y1350" t="s">
        <v>270</v>
      </c>
      <c r="Z1350">
        <v>2040</v>
      </c>
      <c r="AA1350">
        <v>2040</v>
      </c>
      <c r="AB1350" t="b">
        <v>1</v>
      </c>
      <c r="AC1350">
        <v>1</v>
      </c>
    </row>
    <row r="1351" spans="17:29" x14ac:dyDescent="0.2">
      <c r="Q1351" t="s">
        <v>2208</v>
      </c>
      <c r="R1351" t="s">
        <v>2488</v>
      </c>
      <c r="S1351" t="s">
        <v>257</v>
      </c>
      <c r="T1351" s="1">
        <v>42887</v>
      </c>
      <c r="U1351" s="1">
        <v>42887</v>
      </c>
      <c r="V1351" t="s">
        <v>260</v>
      </c>
      <c r="W1351">
        <v>485000</v>
      </c>
      <c r="X1351">
        <v>485000</v>
      </c>
      <c r="Y1351" t="s">
        <v>270</v>
      </c>
      <c r="Z1351">
        <v>151919</v>
      </c>
      <c r="AA1351">
        <v>151919</v>
      </c>
      <c r="AB1351" t="b">
        <v>1</v>
      </c>
      <c r="AC1351">
        <v>1</v>
      </c>
    </row>
    <row r="1352" spans="17:29" x14ac:dyDescent="0.2">
      <c r="Q1352" t="s">
        <v>2208</v>
      </c>
      <c r="R1352" t="s">
        <v>2488</v>
      </c>
      <c r="S1352" t="s">
        <v>257</v>
      </c>
      <c r="T1352" s="1">
        <v>42522</v>
      </c>
      <c r="U1352" s="1">
        <v>42522</v>
      </c>
      <c r="V1352" t="s">
        <v>260</v>
      </c>
      <c r="W1352">
        <v>485000</v>
      </c>
      <c r="X1352">
        <v>485000</v>
      </c>
      <c r="Y1352" t="s">
        <v>270</v>
      </c>
      <c r="Z1352">
        <v>139236</v>
      </c>
      <c r="AA1352">
        <v>139236</v>
      </c>
      <c r="AB1352" t="b">
        <v>1</v>
      </c>
      <c r="AC1352">
        <v>1</v>
      </c>
    </row>
    <row r="1353" spans="17:29" x14ac:dyDescent="0.2">
      <c r="Q1353" t="s">
        <v>2208</v>
      </c>
      <c r="R1353" t="s">
        <v>2488</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2210</v>
      </c>
      <c r="R1354" t="s">
        <v>2488</v>
      </c>
      <c r="S1354" t="s">
        <v>257</v>
      </c>
      <c r="T1354" s="1">
        <v>44197</v>
      </c>
      <c r="U1354" s="1">
        <v>44197</v>
      </c>
      <c r="V1354" t="s">
        <v>260</v>
      </c>
      <c r="W1354">
        <v>442000</v>
      </c>
      <c r="X1354">
        <v>442000</v>
      </c>
      <c r="Y1354" t="s">
        <v>270</v>
      </c>
      <c r="Z1354">
        <v>82000</v>
      </c>
      <c r="AA1354">
        <v>82000</v>
      </c>
      <c r="AB1354" t="b">
        <v>1</v>
      </c>
      <c r="AC1354">
        <v>1</v>
      </c>
    </row>
    <row r="1355" spans="17:29" x14ac:dyDescent="0.2">
      <c r="Q1355" t="s">
        <v>2210</v>
      </c>
      <c r="R1355" t="s">
        <v>2488</v>
      </c>
      <c r="S1355" t="s">
        <v>257</v>
      </c>
      <c r="T1355" s="1">
        <v>44013</v>
      </c>
      <c r="U1355" s="1">
        <v>44013</v>
      </c>
      <c r="V1355" t="s">
        <v>260</v>
      </c>
      <c r="W1355">
        <v>488000</v>
      </c>
      <c r="X1355">
        <v>488000</v>
      </c>
      <c r="Y1355" t="s">
        <v>270</v>
      </c>
      <c r="Z1355">
        <v>90000</v>
      </c>
      <c r="AA1355">
        <v>90000</v>
      </c>
      <c r="AB1355" t="b">
        <v>1</v>
      </c>
      <c r="AC1355">
        <v>1</v>
      </c>
    </row>
    <row r="1356" spans="17:29" x14ac:dyDescent="0.2">
      <c r="Q1356" t="s">
        <v>2210</v>
      </c>
      <c r="R1356" t="s">
        <v>2488</v>
      </c>
      <c r="S1356" t="s">
        <v>257</v>
      </c>
      <c r="T1356" s="1">
        <v>43831</v>
      </c>
      <c r="U1356" s="1">
        <v>43831</v>
      </c>
      <c r="V1356" t="s">
        <v>260</v>
      </c>
      <c r="W1356">
        <v>170000</v>
      </c>
      <c r="X1356">
        <v>170000</v>
      </c>
      <c r="Y1356" t="s">
        <v>270</v>
      </c>
      <c r="Z1356">
        <v>35000</v>
      </c>
      <c r="AA1356">
        <v>35000</v>
      </c>
      <c r="AB1356" t="b">
        <v>1</v>
      </c>
      <c r="AC1356">
        <v>1</v>
      </c>
    </row>
    <row r="1357" spans="17:29" x14ac:dyDescent="0.2">
      <c r="Q1357" t="s">
        <v>2210</v>
      </c>
      <c r="R1357" t="s">
        <v>2488</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2210</v>
      </c>
      <c r="R1358" t="s">
        <v>2488</v>
      </c>
      <c r="S1358" t="s">
        <v>257</v>
      </c>
      <c r="T1358" s="1">
        <v>43466</v>
      </c>
      <c r="U1358" s="1">
        <v>43466</v>
      </c>
      <c r="V1358" t="s">
        <v>260</v>
      </c>
      <c r="W1358">
        <v>56000</v>
      </c>
      <c r="X1358">
        <v>56000</v>
      </c>
      <c r="Y1358" t="s">
        <v>270</v>
      </c>
      <c r="Z1358">
        <v>14560</v>
      </c>
      <c r="AA1358">
        <v>14560</v>
      </c>
      <c r="AB1358" t="b">
        <v>1</v>
      </c>
      <c r="AC1358">
        <v>1</v>
      </c>
    </row>
    <row r="1359" spans="17:29" x14ac:dyDescent="0.2">
      <c r="Q1359" t="s">
        <v>2210</v>
      </c>
      <c r="R1359" t="s">
        <v>2488</v>
      </c>
      <c r="S1359" t="s">
        <v>257</v>
      </c>
      <c r="T1359" s="1">
        <v>43282</v>
      </c>
      <c r="U1359" s="1">
        <v>43282</v>
      </c>
      <c r="V1359" t="s">
        <v>260</v>
      </c>
      <c r="W1359">
        <v>7920</v>
      </c>
      <c r="X1359">
        <v>7920</v>
      </c>
      <c r="Y1359" t="s">
        <v>270</v>
      </c>
      <c r="Z1359">
        <v>2040</v>
      </c>
      <c r="AA1359">
        <v>2040</v>
      </c>
      <c r="AB1359" t="b">
        <v>1</v>
      </c>
      <c r="AC1359">
        <v>1</v>
      </c>
    </row>
    <row r="1360" spans="17:29" x14ac:dyDescent="0.2">
      <c r="Q1360" t="s">
        <v>2210</v>
      </c>
      <c r="R1360" t="s">
        <v>2488</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2210</v>
      </c>
      <c r="R1361" t="s">
        <v>2488</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2210</v>
      </c>
      <c r="R1362" t="s">
        <v>2488</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2141</v>
      </c>
      <c r="R1363" t="s">
        <v>2489</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2376</v>
      </c>
      <c r="R1364" t="s">
        <v>2489</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2029</v>
      </c>
      <c r="R1365" t="s">
        <v>2490</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2029</v>
      </c>
      <c r="R1366" t="s">
        <v>2490</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2029</v>
      </c>
      <c r="R1367" t="s">
        <v>2490</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2029</v>
      </c>
      <c r="R1368" t="s">
        <v>2490</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2382</v>
      </c>
      <c r="R1369" t="s">
        <v>2490</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2382</v>
      </c>
      <c r="R1370" t="s">
        <v>2490</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2382</v>
      </c>
      <c r="R1371" t="s">
        <v>2490</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2382</v>
      </c>
      <c r="R1372" t="s">
        <v>2490</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2208</v>
      </c>
      <c r="R1373" t="s">
        <v>2491</v>
      </c>
      <c r="S1373" t="s">
        <v>257</v>
      </c>
      <c r="T1373" s="1">
        <v>43647</v>
      </c>
      <c r="U1373" s="1">
        <v>43647</v>
      </c>
      <c r="V1373" t="s">
        <v>260</v>
      </c>
      <c r="W1373">
        <v>7000</v>
      </c>
      <c r="X1373">
        <v>7000</v>
      </c>
      <c r="Y1373" t="s">
        <v>270</v>
      </c>
      <c r="Z1373">
        <v>2000</v>
      </c>
      <c r="AA1373">
        <v>2000</v>
      </c>
      <c r="AB1373" t="b">
        <v>0</v>
      </c>
      <c r="AC1373">
        <v>1</v>
      </c>
    </row>
    <row r="1374" spans="17:29" x14ac:dyDescent="0.2">
      <c r="Q1374" t="s">
        <v>2210</v>
      </c>
      <c r="R1374" t="s">
        <v>2491</v>
      </c>
      <c r="S1374" t="s">
        <v>257</v>
      </c>
      <c r="T1374" s="1">
        <v>43647</v>
      </c>
      <c r="U1374" s="1">
        <v>43647</v>
      </c>
      <c r="V1374" t="s">
        <v>260</v>
      </c>
      <c r="W1374">
        <v>7000</v>
      </c>
      <c r="X1374">
        <v>7000</v>
      </c>
      <c r="Y1374" t="s">
        <v>270</v>
      </c>
      <c r="Z1374">
        <v>2000</v>
      </c>
      <c r="AA1374">
        <v>2000</v>
      </c>
      <c r="AB1374" t="b">
        <v>0</v>
      </c>
      <c r="AC1374">
        <v>1</v>
      </c>
    </row>
    <row r="1375" spans="17:29" x14ac:dyDescent="0.2">
      <c r="Q1375" t="s">
        <v>2029</v>
      </c>
      <c r="R1375" t="s">
        <v>2492</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2029</v>
      </c>
      <c r="R1376" t="s">
        <v>2492</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2374</v>
      </c>
      <c r="R1377" t="s">
        <v>2492</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2374</v>
      </c>
      <c r="R1378" t="s">
        <v>2492</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2141</v>
      </c>
      <c r="R1379" t="s">
        <v>2493</v>
      </c>
      <c r="S1379" t="s">
        <v>257</v>
      </c>
      <c r="T1379" s="1">
        <v>43647</v>
      </c>
      <c r="U1379" s="1">
        <v>43647</v>
      </c>
      <c r="V1379" t="s">
        <v>260</v>
      </c>
      <c r="W1379">
        <v>43000</v>
      </c>
      <c r="X1379">
        <v>43000</v>
      </c>
      <c r="Y1379" t="s">
        <v>270</v>
      </c>
      <c r="Z1379">
        <v>11000</v>
      </c>
      <c r="AA1379">
        <v>11000</v>
      </c>
      <c r="AB1379" t="b">
        <v>0</v>
      </c>
      <c r="AC1379">
        <v>1</v>
      </c>
    </row>
    <row r="1380" spans="17:29" x14ac:dyDescent="0.2">
      <c r="Q1380" t="s">
        <v>2141</v>
      </c>
      <c r="R1380" t="s">
        <v>2493</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2141</v>
      </c>
      <c r="R1381" t="s">
        <v>2493</v>
      </c>
      <c r="S1381" t="s">
        <v>257</v>
      </c>
      <c r="T1381" s="1">
        <v>43282</v>
      </c>
      <c r="U1381" s="1">
        <v>43282</v>
      </c>
      <c r="V1381" t="s">
        <v>260</v>
      </c>
      <c r="W1381">
        <v>156370</v>
      </c>
      <c r="X1381">
        <v>156370</v>
      </c>
      <c r="Y1381" t="s">
        <v>270</v>
      </c>
      <c r="Z1381">
        <v>40290</v>
      </c>
      <c r="AA1381">
        <v>40290</v>
      </c>
      <c r="AB1381" t="b">
        <v>0</v>
      </c>
      <c r="AC1381">
        <v>1</v>
      </c>
    </row>
    <row r="1382" spans="17:29" x14ac:dyDescent="0.2">
      <c r="Q1382" t="s">
        <v>2141</v>
      </c>
      <c r="R1382" t="s">
        <v>2493</v>
      </c>
      <c r="S1382" t="s">
        <v>257</v>
      </c>
      <c r="T1382" s="1">
        <v>44198</v>
      </c>
      <c r="U1382" s="1">
        <v>44198</v>
      </c>
      <c r="V1382" t="s">
        <v>260</v>
      </c>
      <c r="W1382">
        <v>181000</v>
      </c>
      <c r="X1382">
        <v>181000</v>
      </c>
      <c r="Y1382" t="s">
        <v>270</v>
      </c>
      <c r="Z1382">
        <v>34000</v>
      </c>
      <c r="AA1382">
        <v>34000</v>
      </c>
      <c r="AB1382" t="b">
        <v>0</v>
      </c>
      <c r="AC1382">
        <v>1</v>
      </c>
    </row>
    <row r="1383" spans="17:29" x14ac:dyDescent="0.2">
      <c r="Q1383" t="s">
        <v>2141</v>
      </c>
      <c r="R1383" t="s">
        <v>2493</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2376</v>
      </c>
      <c r="R1384" t="s">
        <v>2493</v>
      </c>
      <c r="S1384" t="s">
        <v>257</v>
      </c>
      <c r="T1384" s="1">
        <v>43647</v>
      </c>
      <c r="U1384" s="1">
        <v>43647</v>
      </c>
      <c r="V1384" t="s">
        <v>260</v>
      </c>
      <c r="W1384">
        <v>43000</v>
      </c>
      <c r="X1384">
        <v>43000</v>
      </c>
      <c r="Y1384" t="s">
        <v>270</v>
      </c>
      <c r="Z1384">
        <v>11000</v>
      </c>
      <c r="AA1384">
        <v>11000</v>
      </c>
      <c r="AB1384" t="b">
        <v>0</v>
      </c>
      <c r="AC1384">
        <v>1</v>
      </c>
    </row>
    <row r="1385" spans="17:29" x14ac:dyDescent="0.2">
      <c r="Q1385" t="s">
        <v>2376</v>
      </c>
      <c r="R1385" t="s">
        <v>2493</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2376</v>
      </c>
      <c r="R1386" t="s">
        <v>2493</v>
      </c>
      <c r="S1386" t="s">
        <v>257</v>
      </c>
      <c r="T1386" s="1">
        <v>43282</v>
      </c>
      <c r="U1386" s="1">
        <v>43282</v>
      </c>
      <c r="V1386" t="s">
        <v>260</v>
      </c>
      <c r="W1386">
        <v>156370</v>
      </c>
      <c r="X1386">
        <v>156370</v>
      </c>
      <c r="Y1386" t="s">
        <v>270</v>
      </c>
      <c r="Z1386">
        <v>40290</v>
      </c>
      <c r="AA1386">
        <v>40290</v>
      </c>
      <c r="AB1386" t="b">
        <v>0</v>
      </c>
      <c r="AC1386">
        <v>1</v>
      </c>
    </row>
    <row r="1387" spans="17:29" x14ac:dyDescent="0.2">
      <c r="Q1387" t="s">
        <v>2376</v>
      </c>
      <c r="R1387" t="s">
        <v>2493</v>
      </c>
      <c r="S1387" t="s">
        <v>257</v>
      </c>
      <c r="T1387" s="1">
        <v>44198</v>
      </c>
      <c r="U1387" s="1">
        <v>44198</v>
      </c>
      <c r="V1387" t="s">
        <v>260</v>
      </c>
      <c r="W1387">
        <v>181000</v>
      </c>
      <c r="X1387">
        <v>181000</v>
      </c>
      <c r="Y1387" t="s">
        <v>270</v>
      </c>
      <c r="Z1387">
        <v>34000</v>
      </c>
      <c r="AA1387">
        <v>34000</v>
      </c>
      <c r="AB1387" t="b">
        <v>0</v>
      </c>
      <c r="AC1387">
        <v>1</v>
      </c>
    </row>
    <row r="1388" spans="17:29" x14ac:dyDescent="0.2">
      <c r="Q1388" t="s">
        <v>2376</v>
      </c>
      <c r="R1388" t="s">
        <v>2493</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2040</v>
      </c>
      <c r="R1389" t="s">
        <v>2494</v>
      </c>
      <c r="S1389" t="s">
        <v>257</v>
      </c>
      <c r="T1389" s="1">
        <v>44197</v>
      </c>
      <c r="U1389" s="1">
        <v>44197</v>
      </c>
      <c r="V1389" t="s">
        <v>260</v>
      </c>
      <c r="W1389">
        <v>171000</v>
      </c>
      <c r="X1389">
        <v>171000</v>
      </c>
      <c r="Y1389" t="s">
        <v>270</v>
      </c>
      <c r="Z1389">
        <v>32000</v>
      </c>
      <c r="AA1389">
        <v>32000</v>
      </c>
      <c r="AB1389" t="b">
        <v>0</v>
      </c>
      <c r="AC1389">
        <v>1</v>
      </c>
    </row>
    <row r="1390" spans="17:29" x14ac:dyDescent="0.2">
      <c r="Q1390" t="s">
        <v>2040</v>
      </c>
      <c r="R1390" t="s">
        <v>2494</v>
      </c>
      <c r="S1390" t="s">
        <v>257</v>
      </c>
      <c r="T1390" s="1">
        <v>44013</v>
      </c>
      <c r="U1390" s="1">
        <v>44013</v>
      </c>
      <c r="V1390" t="s">
        <v>260</v>
      </c>
      <c r="W1390">
        <v>218000</v>
      </c>
      <c r="X1390">
        <v>218000</v>
      </c>
      <c r="Y1390" t="s">
        <v>270</v>
      </c>
      <c r="Z1390">
        <v>40000</v>
      </c>
      <c r="AA1390">
        <v>40000</v>
      </c>
      <c r="AB1390" t="b">
        <v>0</v>
      </c>
      <c r="AC1390">
        <v>1</v>
      </c>
    </row>
    <row r="1391" spans="17:29" x14ac:dyDescent="0.2">
      <c r="Q1391" t="s">
        <v>2036</v>
      </c>
      <c r="R1391" t="s">
        <v>2494</v>
      </c>
      <c r="S1391" t="s">
        <v>257</v>
      </c>
      <c r="T1391" s="1">
        <v>44197</v>
      </c>
      <c r="U1391" s="1">
        <v>44197</v>
      </c>
      <c r="V1391" t="s">
        <v>260</v>
      </c>
      <c r="W1391">
        <v>171000</v>
      </c>
      <c r="X1391">
        <v>171000</v>
      </c>
      <c r="Y1391" t="s">
        <v>270</v>
      </c>
      <c r="Z1391">
        <v>32000</v>
      </c>
      <c r="AA1391">
        <v>32000</v>
      </c>
      <c r="AB1391" t="b">
        <v>0</v>
      </c>
      <c r="AC1391">
        <v>1</v>
      </c>
    </row>
    <row r="1392" spans="17:29" x14ac:dyDescent="0.2">
      <c r="Q1392" t="s">
        <v>2036</v>
      </c>
      <c r="R1392" t="s">
        <v>2494</v>
      </c>
      <c r="S1392" t="s">
        <v>257</v>
      </c>
      <c r="T1392" s="1">
        <v>44013</v>
      </c>
      <c r="U1392" s="1">
        <v>44013</v>
      </c>
      <c r="V1392" t="s">
        <v>260</v>
      </c>
      <c r="W1392">
        <v>218000</v>
      </c>
      <c r="X1392">
        <v>218000</v>
      </c>
      <c r="Y1392" t="s">
        <v>270</v>
      </c>
      <c r="Z1392">
        <v>40000</v>
      </c>
      <c r="AA1392">
        <v>40000</v>
      </c>
      <c r="AB1392" t="b">
        <v>0</v>
      </c>
      <c r="AC1392">
        <v>1</v>
      </c>
    </row>
    <row r="1393" spans="17:29" x14ac:dyDescent="0.2">
      <c r="Q1393" t="s">
        <v>2128</v>
      </c>
      <c r="R1393" t="s">
        <v>2495</v>
      </c>
      <c r="S1393" t="s">
        <v>257</v>
      </c>
      <c r="T1393" s="1">
        <v>43101</v>
      </c>
      <c r="U1393" s="1">
        <v>43101</v>
      </c>
      <c r="V1393" t="s">
        <v>260</v>
      </c>
      <c r="W1393">
        <v>136000</v>
      </c>
      <c r="X1393">
        <v>136000</v>
      </c>
      <c r="Y1393" t="s">
        <v>270</v>
      </c>
      <c r="Z1393">
        <v>39681</v>
      </c>
      <c r="AA1393">
        <v>39681</v>
      </c>
      <c r="AB1393" t="b">
        <v>1</v>
      </c>
      <c r="AC1393">
        <v>1</v>
      </c>
    </row>
    <row r="1394" spans="17:29" x14ac:dyDescent="0.2">
      <c r="Q1394" t="s">
        <v>2036</v>
      </c>
      <c r="R1394" t="s">
        <v>2495</v>
      </c>
      <c r="S1394" t="s">
        <v>257</v>
      </c>
      <c r="T1394" s="1">
        <v>43101</v>
      </c>
      <c r="U1394" s="1">
        <v>43101</v>
      </c>
      <c r="V1394" t="s">
        <v>260</v>
      </c>
      <c r="W1394">
        <v>136000</v>
      </c>
      <c r="X1394">
        <v>136000</v>
      </c>
      <c r="Y1394" t="s">
        <v>270</v>
      </c>
      <c r="Z1394">
        <v>39681</v>
      </c>
      <c r="AA1394">
        <v>39681</v>
      </c>
      <c r="AB1394" t="b">
        <v>1</v>
      </c>
      <c r="AC1394">
        <v>1</v>
      </c>
    </row>
    <row r="1395" spans="17:29" x14ac:dyDescent="0.2">
      <c r="Q1395" t="s">
        <v>2029</v>
      </c>
      <c r="R1395" t="s">
        <v>2496</v>
      </c>
      <c r="S1395" t="s">
        <v>257</v>
      </c>
      <c r="T1395" s="1">
        <v>44199</v>
      </c>
      <c r="U1395" s="1">
        <v>44199</v>
      </c>
      <c r="V1395" t="s">
        <v>260</v>
      </c>
      <c r="W1395">
        <v>115000</v>
      </c>
      <c r="X1395">
        <v>115000</v>
      </c>
      <c r="Y1395" t="s">
        <v>270</v>
      </c>
      <c r="Z1395">
        <v>21000</v>
      </c>
      <c r="AA1395">
        <v>21000</v>
      </c>
      <c r="AB1395" t="b">
        <v>0</v>
      </c>
      <c r="AC1395">
        <v>1</v>
      </c>
    </row>
    <row r="1396" spans="17:29" x14ac:dyDescent="0.2">
      <c r="Q1396" t="s">
        <v>2029</v>
      </c>
      <c r="R1396" t="s">
        <v>2496</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2374</v>
      </c>
      <c r="R1397" t="s">
        <v>2496</v>
      </c>
      <c r="S1397" t="s">
        <v>257</v>
      </c>
      <c r="T1397" s="1">
        <v>44199</v>
      </c>
      <c r="U1397" s="1">
        <v>44199</v>
      </c>
      <c r="V1397" t="s">
        <v>260</v>
      </c>
      <c r="W1397">
        <v>115000</v>
      </c>
      <c r="X1397">
        <v>115000</v>
      </c>
      <c r="Y1397" t="s">
        <v>270</v>
      </c>
      <c r="Z1397">
        <v>21000</v>
      </c>
      <c r="AA1397">
        <v>21000</v>
      </c>
      <c r="AB1397" t="b">
        <v>0</v>
      </c>
      <c r="AC1397">
        <v>1</v>
      </c>
    </row>
    <row r="1398" spans="17:29" x14ac:dyDescent="0.2">
      <c r="Q1398" t="s">
        <v>2374</v>
      </c>
      <c r="R1398" t="s">
        <v>2496</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2141</v>
      </c>
      <c r="R1399" t="s">
        <v>2497</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2141</v>
      </c>
      <c r="R1400" t="s">
        <v>2497</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2141</v>
      </c>
      <c r="R1401" t="s">
        <v>2497</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2141</v>
      </c>
      <c r="R1402" t="s">
        <v>2497</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2036</v>
      </c>
      <c r="R1403" t="s">
        <v>2497</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2036</v>
      </c>
      <c r="R1404" t="s">
        <v>2497</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2036</v>
      </c>
      <c r="R1405" t="s">
        <v>2497</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2036</v>
      </c>
      <c r="R1406" t="s">
        <v>2497</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2080</v>
      </c>
      <c r="R1407" t="s">
        <v>2498</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2080</v>
      </c>
      <c r="R1408" t="s">
        <v>2498</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2080</v>
      </c>
      <c r="R1409" t="s">
        <v>2498</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2080</v>
      </c>
      <c r="R1410" t="s">
        <v>2498</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2082</v>
      </c>
      <c r="R1411" t="s">
        <v>2498</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2082</v>
      </c>
      <c r="R1412" t="s">
        <v>2498</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2082</v>
      </c>
      <c r="R1413" t="s">
        <v>2498</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2082</v>
      </c>
      <c r="R1414" t="s">
        <v>2498</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2408</v>
      </c>
      <c r="R1415" t="s">
        <v>2499</v>
      </c>
      <c r="S1415" t="s">
        <v>257</v>
      </c>
      <c r="T1415" s="1">
        <v>44197</v>
      </c>
      <c r="U1415" s="1">
        <v>44197</v>
      </c>
      <c r="V1415" t="s">
        <v>260</v>
      </c>
      <c r="W1415">
        <v>294000</v>
      </c>
      <c r="X1415">
        <v>294000</v>
      </c>
      <c r="Y1415" t="s">
        <v>270</v>
      </c>
      <c r="Z1415">
        <v>55000</v>
      </c>
      <c r="AA1415">
        <v>55000</v>
      </c>
      <c r="AB1415" t="b">
        <v>0</v>
      </c>
      <c r="AC1415">
        <v>1</v>
      </c>
    </row>
    <row r="1416" spans="17:29" x14ac:dyDescent="0.2">
      <c r="Q1416" t="s">
        <v>2408</v>
      </c>
      <c r="R1416" t="s">
        <v>2499</v>
      </c>
      <c r="S1416" t="s">
        <v>257</v>
      </c>
      <c r="T1416" s="1">
        <v>44013</v>
      </c>
      <c r="U1416" s="1">
        <v>44013</v>
      </c>
      <c r="V1416" t="s">
        <v>260</v>
      </c>
      <c r="W1416">
        <v>516000</v>
      </c>
      <c r="X1416">
        <v>516000</v>
      </c>
      <c r="Y1416" t="s">
        <v>270</v>
      </c>
      <c r="Z1416">
        <v>95000</v>
      </c>
      <c r="AA1416">
        <v>95000</v>
      </c>
      <c r="AB1416" t="b">
        <v>0</v>
      </c>
      <c r="AC1416">
        <v>1</v>
      </c>
    </row>
    <row r="1417" spans="17:29" x14ac:dyDescent="0.2">
      <c r="Q1417" t="s">
        <v>2067</v>
      </c>
      <c r="R1417" t="s">
        <v>2499</v>
      </c>
      <c r="S1417" t="s">
        <v>257</v>
      </c>
      <c r="T1417" s="1">
        <v>44197</v>
      </c>
      <c r="U1417" s="1">
        <v>44197</v>
      </c>
      <c r="V1417" t="s">
        <v>260</v>
      </c>
      <c r="W1417">
        <v>294000</v>
      </c>
      <c r="X1417">
        <v>294000</v>
      </c>
      <c r="Y1417" t="s">
        <v>270</v>
      </c>
      <c r="Z1417">
        <v>55000</v>
      </c>
      <c r="AA1417">
        <v>55000</v>
      </c>
      <c r="AB1417" t="b">
        <v>0</v>
      </c>
      <c r="AC1417">
        <v>1</v>
      </c>
    </row>
    <row r="1418" spans="17:29" x14ac:dyDescent="0.2">
      <c r="Q1418" t="s">
        <v>2067</v>
      </c>
      <c r="R1418" t="s">
        <v>2499</v>
      </c>
      <c r="S1418" t="s">
        <v>257</v>
      </c>
      <c r="T1418" s="1">
        <v>44013</v>
      </c>
      <c r="U1418" s="1">
        <v>44013</v>
      </c>
      <c r="V1418" t="s">
        <v>260</v>
      </c>
      <c r="W1418">
        <v>516000</v>
      </c>
      <c r="X1418">
        <v>516000</v>
      </c>
      <c r="Y1418" t="s">
        <v>270</v>
      </c>
      <c r="Z1418">
        <v>95000</v>
      </c>
      <c r="AA1418">
        <v>95000</v>
      </c>
      <c r="AB1418" t="b">
        <v>0</v>
      </c>
      <c r="AC1418">
        <v>1</v>
      </c>
    </row>
    <row r="1419" spans="17:29" x14ac:dyDescent="0.2">
      <c r="Q1419" t="s">
        <v>2208</v>
      </c>
      <c r="R1419" t="s">
        <v>2500</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2208</v>
      </c>
      <c r="R1420" t="s">
        <v>2500</v>
      </c>
      <c r="S1420" t="s">
        <v>257</v>
      </c>
      <c r="T1420" s="1">
        <v>43282</v>
      </c>
      <c r="U1420" s="1">
        <v>43282</v>
      </c>
      <c r="V1420" t="s">
        <v>260</v>
      </c>
      <c r="W1420">
        <v>177960</v>
      </c>
      <c r="X1420">
        <v>177960</v>
      </c>
      <c r="Y1420" t="s">
        <v>270</v>
      </c>
      <c r="Z1420">
        <v>45860</v>
      </c>
      <c r="AA1420">
        <v>45860</v>
      </c>
      <c r="AB1420" t="b">
        <v>0</v>
      </c>
      <c r="AC1420">
        <v>1</v>
      </c>
    </row>
    <row r="1421" spans="17:29" x14ac:dyDescent="0.2">
      <c r="Q1421" t="s">
        <v>2210</v>
      </c>
      <c r="R1421" t="s">
        <v>2500</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2210</v>
      </c>
      <c r="R1422" t="s">
        <v>2500</v>
      </c>
      <c r="S1422" t="s">
        <v>257</v>
      </c>
      <c r="T1422" s="1">
        <v>43282</v>
      </c>
      <c r="U1422" s="1">
        <v>43282</v>
      </c>
      <c r="V1422" t="s">
        <v>260</v>
      </c>
      <c r="W1422">
        <v>177960</v>
      </c>
      <c r="X1422">
        <v>177960</v>
      </c>
      <c r="Y1422" t="s">
        <v>270</v>
      </c>
      <c r="Z1422">
        <v>45860</v>
      </c>
      <c r="AA1422">
        <v>45860</v>
      </c>
      <c r="AB1422" t="b">
        <v>0</v>
      </c>
      <c r="AC1422">
        <v>1</v>
      </c>
    </row>
    <row r="1423" spans="17:29" x14ac:dyDescent="0.2">
      <c r="Q1423" t="s">
        <v>2080</v>
      </c>
      <c r="R1423" t="s">
        <v>2501</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2080</v>
      </c>
      <c r="R1424" t="s">
        <v>2501</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2080</v>
      </c>
      <c r="R1425" t="s">
        <v>2501</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2080</v>
      </c>
      <c r="R1426" t="s">
        <v>2501</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2080</v>
      </c>
      <c r="R1427" t="s">
        <v>2501</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2080</v>
      </c>
      <c r="R1428" t="s">
        <v>2501</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2080</v>
      </c>
      <c r="R1429" t="s">
        <v>2501</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2080</v>
      </c>
      <c r="R1430" t="s">
        <v>2501</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2080</v>
      </c>
      <c r="R1431" t="s">
        <v>2501</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2082</v>
      </c>
      <c r="R1432" t="s">
        <v>2501</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2082</v>
      </c>
      <c r="R1433" t="s">
        <v>2501</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2082</v>
      </c>
      <c r="R1434" t="s">
        <v>2501</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2082</v>
      </c>
      <c r="R1435" t="s">
        <v>2501</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2082</v>
      </c>
      <c r="R1436" t="s">
        <v>2501</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2082</v>
      </c>
      <c r="R1437" t="s">
        <v>2501</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2082</v>
      </c>
      <c r="R1438" t="s">
        <v>2501</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2082</v>
      </c>
      <c r="R1439" t="s">
        <v>2501</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2082</v>
      </c>
      <c r="R1440" t="s">
        <v>2501</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2502</v>
      </c>
      <c r="R1441" t="s">
        <v>2503</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2502</v>
      </c>
      <c r="R1442" t="s">
        <v>2503</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2018</v>
      </c>
      <c r="R1443" t="s">
        <v>2503</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2018</v>
      </c>
      <c r="R1444" t="s">
        <v>2503</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2208</v>
      </c>
      <c r="R1445" t="s">
        <v>2504</v>
      </c>
      <c r="S1445" t="s">
        <v>257</v>
      </c>
      <c r="T1445" s="1">
        <v>43101</v>
      </c>
      <c r="U1445" s="1">
        <v>43101</v>
      </c>
      <c r="V1445" t="s">
        <v>260</v>
      </c>
      <c r="W1445">
        <v>22000</v>
      </c>
      <c r="X1445">
        <v>22000</v>
      </c>
      <c r="Y1445" t="s">
        <v>270</v>
      </c>
      <c r="Z1445">
        <v>6419</v>
      </c>
      <c r="AA1445">
        <v>6419</v>
      </c>
      <c r="AB1445" t="b">
        <v>1</v>
      </c>
      <c r="AC1445">
        <v>1</v>
      </c>
    </row>
    <row r="1446" spans="17:29" x14ac:dyDescent="0.2">
      <c r="Q1446" t="s">
        <v>2208</v>
      </c>
      <c r="R1446" t="s">
        <v>2504</v>
      </c>
      <c r="S1446" t="s">
        <v>257</v>
      </c>
      <c r="T1446" s="1">
        <v>42887</v>
      </c>
      <c r="U1446" s="1">
        <v>42887</v>
      </c>
      <c r="V1446" t="s">
        <v>260</v>
      </c>
      <c r="W1446">
        <v>274000</v>
      </c>
      <c r="X1446">
        <v>274000</v>
      </c>
      <c r="Y1446" t="s">
        <v>270</v>
      </c>
      <c r="Z1446">
        <v>85827</v>
      </c>
      <c r="AA1446">
        <v>85827</v>
      </c>
      <c r="AB1446" t="b">
        <v>1</v>
      </c>
      <c r="AC1446">
        <v>1</v>
      </c>
    </row>
    <row r="1447" spans="17:29" x14ac:dyDescent="0.2">
      <c r="Q1447" t="s">
        <v>2208</v>
      </c>
      <c r="R1447" t="s">
        <v>2504</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2169</v>
      </c>
      <c r="R1448" t="s">
        <v>2504</v>
      </c>
      <c r="S1448" t="s">
        <v>257</v>
      </c>
      <c r="T1448" s="1">
        <v>43101</v>
      </c>
      <c r="U1448" s="1">
        <v>43101</v>
      </c>
      <c r="V1448" t="s">
        <v>260</v>
      </c>
      <c r="W1448">
        <v>22000</v>
      </c>
      <c r="X1448">
        <v>22000</v>
      </c>
      <c r="Y1448" t="s">
        <v>270</v>
      </c>
      <c r="Z1448">
        <v>6419</v>
      </c>
      <c r="AA1448">
        <v>6419</v>
      </c>
      <c r="AB1448" t="b">
        <v>1</v>
      </c>
      <c r="AC1448">
        <v>1</v>
      </c>
    </row>
    <row r="1449" spans="17:29" x14ac:dyDescent="0.2">
      <c r="Q1449" t="s">
        <v>2169</v>
      </c>
      <c r="R1449" t="s">
        <v>2504</v>
      </c>
      <c r="S1449" t="s">
        <v>257</v>
      </c>
      <c r="T1449" s="1">
        <v>42887</v>
      </c>
      <c r="U1449" s="1">
        <v>42887</v>
      </c>
      <c r="V1449" t="s">
        <v>260</v>
      </c>
      <c r="W1449">
        <v>274000</v>
      </c>
      <c r="X1449">
        <v>274000</v>
      </c>
      <c r="Y1449" t="s">
        <v>270</v>
      </c>
      <c r="Z1449">
        <v>85827</v>
      </c>
      <c r="AA1449">
        <v>85827</v>
      </c>
      <c r="AB1449" t="b">
        <v>1</v>
      </c>
      <c r="AC1449">
        <v>1</v>
      </c>
    </row>
    <row r="1450" spans="17:29" x14ac:dyDescent="0.2">
      <c r="Q1450" t="s">
        <v>2169</v>
      </c>
      <c r="R1450" t="s">
        <v>2504</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2141</v>
      </c>
      <c r="R1451" t="s">
        <v>2505</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2141</v>
      </c>
      <c r="R1452" t="s">
        <v>2505</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2141</v>
      </c>
      <c r="R1453" t="s">
        <v>2505</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2141</v>
      </c>
      <c r="R1454" t="s">
        <v>2505</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2376</v>
      </c>
      <c r="R1455" t="s">
        <v>2505</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2376</v>
      </c>
      <c r="R1456" t="s">
        <v>2505</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2376</v>
      </c>
      <c r="R1457" t="s">
        <v>2505</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2376</v>
      </c>
      <c r="R1458" t="s">
        <v>2505</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2141</v>
      </c>
      <c r="R1459" t="s">
        <v>2506</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2141</v>
      </c>
      <c r="R1460" t="s">
        <v>2506</v>
      </c>
      <c r="S1460" t="s">
        <v>257</v>
      </c>
      <c r="T1460" s="1">
        <v>42887</v>
      </c>
      <c r="U1460" s="1">
        <v>42887</v>
      </c>
      <c r="V1460" t="s">
        <v>260</v>
      </c>
      <c r="W1460">
        <v>64000</v>
      </c>
      <c r="X1460">
        <v>64000</v>
      </c>
      <c r="Y1460" t="s">
        <v>270</v>
      </c>
      <c r="Z1460">
        <v>20047</v>
      </c>
      <c r="AA1460">
        <v>20047</v>
      </c>
      <c r="AB1460" t="b">
        <v>1</v>
      </c>
      <c r="AC1460">
        <v>1</v>
      </c>
    </row>
    <row r="1461" spans="17:29" x14ac:dyDescent="0.2">
      <c r="Q1461" t="s">
        <v>2036</v>
      </c>
      <c r="R1461" t="s">
        <v>2506</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2036</v>
      </c>
      <c r="R1462" t="s">
        <v>2506</v>
      </c>
      <c r="S1462" t="s">
        <v>257</v>
      </c>
      <c r="T1462" s="1">
        <v>42887</v>
      </c>
      <c r="U1462" s="1">
        <v>42887</v>
      </c>
      <c r="V1462" t="s">
        <v>260</v>
      </c>
      <c r="W1462">
        <v>64000</v>
      </c>
      <c r="X1462">
        <v>64000</v>
      </c>
      <c r="Y1462" t="s">
        <v>270</v>
      </c>
      <c r="Z1462">
        <v>20047</v>
      </c>
      <c r="AA1462">
        <v>20047</v>
      </c>
      <c r="AB1462" t="b">
        <v>1</v>
      </c>
      <c r="AC1462">
        <v>1</v>
      </c>
    </row>
    <row r="1463" spans="17:29" x14ac:dyDescent="0.2">
      <c r="Q1463" t="s">
        <v>2040</v>
      </c>
      <c r="R1463" t="s">
        <v>2507</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2036</v>
      </c>
      <c r="R1464" t="s">
        <v>2507</v>
      </c>
      <c r="S1464" t="s">
        <v>257</v>
      </c>
      <c r="T1464" s="1">
        <v>43647</v>
      </c>
      <c r="U1464" s="1">
        <v>43647</v>
      </c>
      <c r="V1464" t="s">
        <v>260</v>
      </c>
      <c r="W1464">
        <v>588000</v>
      </c>
      <c r="X1464">
        <v>588000</v>
      </c>
      <c r="Y1464" t="s">
        <v>270</v>
      </c>
      <c r="Z1464">
        <v>145027</v>
      </c>
      <c r="AA1464">
        <v>145027</v>
      </c>
      <c r="AB1464" t="b">
        <v>0</v>
      </c>
      <c r="AC1464">
        <v>1</v>
      </c>
    </row>
    <row r="1465" spans="17:29" x14ac:dyDescent="0.2">
      <c r="Q1465" t="s">
        <v>2208</v>
      </c>
      <c r="R1465" t="s">
        <v>2508</v>
      </c>
      <c r="S1465" t="s">
        <v>257</v>
      </c>
      <c r="T1465" s="1">
        <v>43466</v>
      </c>
      <c r="U1465" s="1">
        <v>43466</v>
      </c>
      <c r="V1465" t="s">
        <v>260</v>
      </c>
      <c r="W1465">
        <v>27920</v>
      </c>
      <c r="X1465">
        <v>27920</v>
      </c>
      <c r="Y1465" t="s">
        <v>270</v>
      </c>
      <c r="Z1465">
        <v>7260</v>
      </c>
      <c r="AA1465">
        <v>7260</v>
      </c>
      <c r="AB1465" t="b">
        <v>0</v>
      </c>
      <c r="AC1465">
        <v>1</v>
      </c>
    </row>
    <row r="1466" spans="17:29" x14ac:dyDescent="0.2">
      <c r="Q1466" t="s">
        <v>2208</v>
      </c>
      <c r="R1466" t="s">
        <v>2508</v>
      </c>
      <c r="S1466" t="s">
        <v>257</v>
      </c>
      <c r="T1466" s="1">
        <v>43282</v>
      </c>
      <c r="U1466" s="1">
        <v>43282</v>
      </c>
      <c r="V1466" t="s">
        <v>260</v>
      </c>
      <c r="W1466">
        <v>15050</v>
      </c>
      <c r="X1466">
        <v>15050</v>
      </c>
      <c r="Y1466" t="s">
        <v>270</v>
      </c>
      <c r="Z1466">
        <v>3880</v>
      </c>
      <c r="AA1466">
        <v>3880</v>
      </c>
      <c r="AB1466" t="b">
        <v>0</v>
      </c>
      <c r="AC1466">
        <v>1</v>
      </c>
    </row>
    <row r="1467" spans="17:29" x14ac:dyDescent="0.2">
      <c r="Q1467" t="s">
        <v>2082</v>
      </c>
      <c r="R1467" t="s">
        <v>2508</v>
      </c>
      <c r="S1467" t="s">
        <v>257</v>
      </c>
      <c r="T1467" s="1">
        <v>43466</v>
      </c>
      <c r="U1467" s="1">
        <v>43466</v>
      </c>
      <c r="V1467" t="s">
        <v>260</v>
      </c>
      <c r="W1467">
        <v>27920</v>
      </c>
      <c r="X1467">
        <v>27920</v>
      </c>
      <c r="Y1467" t="s">
        <v>270</v>
      </c>
      <c r="Z1467">
        <v>7260</v>
      </c>
      <c r="AA1467">
        <v>7260</v>
      </c>
      <c r="AB1467" t="b">
        <v>0</v>
      </c>
      <c r="AC1467">
        <v>1</v>
      </c>
    </row>
    <row r="1468" spans="17:29" x14ac:dyDescent="0.2">
      <c r="Q1468" t="s">
        <v>2082</v>
      </c>
      <c r="R1468" t="s">
        <v>2508</v>
      </c>
      <c r="S1468" t="s">
        <v>257</v>
      </c>
      <c r="T1468" s="1">
        <v>43282</v>
      </c>
      <c r="U1468" s="1">
        <v>43282</v>
      </c>
      <c r="V1468" t="s">
        <v>260</v>
      </c>
      <c r="W1468">
        <v>15050</v>
      </c>
      <c r="X1468">
        <v>15050</v>
      </c>
      <c r="Y1468" t="s">
        <v>270</v>
      </c>
      <c r="Z1468">
        <v>3880</v>
      </c>
      <c r="AA1468">
        <v>3880</v>
      </c>
      <c r="AB1468" t="b">
        <v>0</v>
      </c>
      <c r="AC1468">
        <v>1</v>
      </c>
    </row>
    <row r="1469" spans="17:29" x14ac:dyDescent="0.2">
      <c r="Q1469" t="s">
        <v>2141</v>
      </c>
      <c r="R1469" t="s">
        <v>2509</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2036</v>
      </c>
      <c r="R1470" t="s">
        <v>2509</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2208</v>
      </c>
      <c r="R1471" t="s">
        <v>2510</v>
      </c>
      <c r="S1471" t="s">
        <v>257</v>
      </c>
      <c r="T1471" s="1">
        <v>43466</v>
      </c>
      <c r="U1471" s="1">
        <v>43466</v>
      </c>
      <c r="V1471" t="s">
        <v>260</v>
      </c>
      <c r="W1471">
        <v>200680</v>
      </c>
      <c r="X1471">
        <v>200680</v>
      </c>
      <c r="Y1471" t="s">
        <v>270</v>
      </c>
      <c r="Z1471">
        <v>52180</v>
      </c>
      <c r="AA1471">
        <v>52180</v>
      </c>
      <c r="AB1471" t="b">
        <v>0</v>
      </c>
      <c r="AC1471">
        <v>1</v>
      </c>
    </row>
    <row r="1472" spans="17:29" x14ac:dyDescent="0.2">
      <c r="Q1472" t="s">
        <v>2208</v>
      </c>
      <c r="R1472" t="s">
        <v>2510</v>
      </c>
      <c r="S1472" t="s">
        <v>257</v>
      </c>
      <c r="T1472" s="1">
        <v>43282</v>
      </c>
      <c r="U1472" s="1">
        <v>43282</v>
      </c>
      <c r="V1472" t="s">
        <v>260</v>
      </c>
      <c r="W1472">
        <v>411270</v>
      </c>
      <c r="X1472">
        <v>411270</v>
      </c>
      <c r="Y1472" t="s">
        <v>270</v>
      </c>
      <c r="Z1472">
        <v>105980</v>
      </c>
      <c r="AA1472">
        <v>105980</v>
      </c>
      <c r="AB1472" t="b">
        <v>0</v>
      </c>
      <c r="AC1472">
        <v>1</v>
      </c>
    </row>
    <row r="1473" spans="17:29" x14ac:dyDescent="0.2">
      <c r="Q1473" t="s">
        <v>2208</v>
      </c>
      <c r="R1473" t="s">
        <v>2510</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2210</v>
      </c>
      <c r="R1474" t="s">
        <v>2510</v>
      </c>
      <c r="S1474" t="s">
        <v>257</v>
      </c>
      <c r="T1474" s="1">
        <v>43466</v>
      </c>
      <c r="U1474" s="1">
        <v>43466</v>
      </c>
      <c r="V1474" t="s">
        <v>260</v>
      </c>
      <c r="W1474">
        <v>200680</v>
      </c>
      <c r="X1474">
        <v>200680</v>
      </c>
      <c r="Y1474" t="s">
        <v>270</v>
      </c>
      <c r="Z1474">
        <v>52180</v>
      </c>
      <c r="AA1474">
        <v>52180</v>
      </c>
      <c r="AB1474" t="b">
        <v>0</v>
      </c>
      <c r="AC1474">
        <v>1</v>
      </c>
    </row>
    <row r="1475" spans="17:29" x14ac:dyDescent="0.2">
      <c r="Q1475" t="s">
        <v>2210</v>
      </c>
      <c r="R1475" t="s">
        <v>2510</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2210</v>
      </c>
      <c r="R1476" t="s">
        <v>2510</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2029</v>
      </c>
      <c r="R1477" t="s">
        <v>2511</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2029</v>
      </c>
      <c r="R1478" t="s">
        <v>2511</v>
      </c>
      <c r="S1478" t="s">
        <v>257</v>
      </c>
      <c r="T1478" s="1">
        <v>44013</v>
      </c>
      <c r="U1478" s="1">
        <v>44013</v>
      </c>
      <c r="V1478" t="s">
        <v>260</v>
      </c>
      <c r="W1478">
        <v>22000</v>
      </c>
      <c r="X1478">
        <v>22000</v>
      </c>
      <c r="Y1478" t="s">
        <v>270</v>
      </c>
      <c r="Z1478">
        <v>4000</v>
      </c>
      <c r="AA1478">
        <v>4000</v>
      </c>
      <c r="AB1478" t="b">
        <v>0</v>
      </c>
      <c r="AC1478">
        <v>1</v>
      </c>
    </row>
    <row r="1479" spans="17:29" x14ac:dyDescent="0.2">
      <c r="Q1479" t="s">
        <v>2376</v>
      </c>
      <c r="R1479" t="s">
        <v>2511</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2376</v>
      </c>
      <c r="R1480" t="s">
        <v>2511</v>
      </c>
      <c r="S1480" t="s">
        <v>257</v>
      </c>
      <c r="T1480" s="1">
        <v>44013</v>
      </c>
      <c r="U1480" s="1">
        <v>44013</v>
      </c>
      <c r="V1480" t="s">
        <v>260</v>
      </c>
      <c r="W1480">
        <v>22000</v>
      </c>
      <c r="X1480">
        <v>22000</v>
      </c>
      <c r="Y1480" t="s">
        <v>270</v>
      </c>
      <c r="Z1480">
        <v>4000</v>
      </c>
      <c r="AA1480">
        <v>4000</v>
      </c>
      <c r="AB1480" t="b">
        <v>0</v>
      </c>
      <c r="AC1480">
        <v>1</v>
      </c>
    </row>
    <row r="1481" spans="17:29" x14ac:dyDescent="0.2">
      <c r="Q1481" t="s">
        <v>2141</v>
      </c>
      <c r="R1481" t="s">
        <v>2512</v>
      </c>
      <c r="S1481" t="s">
        <v>257</v>
      </c>
      <c r="T1481" s="1">
        <v>44197</v>
      </c>
      <c r="U1481" s="1">
        <v>44197</v>
      </c>
      <c r="V1481" t="s">
        <v>260</v>
      </c>
      <c r="W1481">
        <v>231000</v>
      </c>
      <c r="X1481">
        <v>231000</v>
      </c>
      <c r="Y1481" t="s">
        <v>270</v>
      </c>
      <c r="Z1481">
        <v>43000</v>
      </c>
      <c r="AA1481">
        <v>43000</v>
      </c>
      <c r="AB1481" t="b">
        <v>0</v>
      </c>
      <c r="AC1481">
        <v>1</v>
      </c>
    </row>
    <row r="1482" spans="17:29" x14ac:dyDescent="0.2">
      <c r="Q1482" t="s">
        <v>2141</v>
      </c>
      <c r="R1482" t="s">
        <v>2512</v>
      </c>
      <c r="S1482" t="s">
        <v>257</v>
      </c>
      <c r="T1482" s="1">
        <v>44013</v>
      </c>
      <c r="U1482" s="1">
        <v>44013</v>
      </c>
      <c r="V1482" t="s">
        <v>260</v>
      </c>
      <c r="W1482">
        <v>214000</v>
      </c>
      <c r="X1482">
        <v>214000</v>
      </c>
      <c r="Y1482" t="s">
        <v>270</v>
      </c>
      <c r="Z1482">
        <v>39000</v>
      </c>
      <c r="AA1482">
        <v>39000</v>
      </c>
      <c r="AB1482" t="b">
        <v>0</v>
      </c>
      <c r="AC1482">
        <v>1</v>
      </c>
    </row>
    <row r="1483" spans="17:29" x14ac:dyDescent="0.2">
      <c r="Q1483" t="s">
        <v>2141</v>
      </c>
      <c r="R1483" t="s">
        <v>2512</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2141</v>
      </c>
      <c r="R1484" t="s">
        <v>2512</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2141</v>
      </c>
      <c r="R1485" t="s">
        <v>2512</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2117</v>
      </c>
      <c r="R1486" t="s">
        <v>2512</v>
      </c>
      <c r="S1486" t="s">
        <v>257</v>
      </c>
      <c r="T1486" s="1">
        <v>44197</v>
      </c>
      <c r="U1486" s="1">
        <v>44197</v>
      </c>
      <c r="V1486" t="s">
        <v>260</v>
      </c>
      <c r="W1486">
        <v>231000</v>
      </c>
      <c r="X1486">
        <v>231000</v>
      </c>
      <c r="Y1486" t="s">
        <v>270</v>
      </c>
      <c r="Z1486">
        <v>43000</v>
      </c>
      <c r="AA1486">
        <v>43000</v>
      </c>
      <c r="AB1486" t="b">
        <v>0</v>
      </c>
      <c r="AC1486">
        <v>1</v>
      </c>
    </row>
    <row r="1487" spans="17:29" x14ac:dyDescent="0.2">
      <c r="Q1487" t="s">
        <v>2117</v>
      </c>
      <c r="R1487" t="s">
        <v>2512</v>
      </c>
      <c r="S1487" t="s">
        <v>257</v>
      </c>
      <c r="T1487" s="1">
        <v>44013</v>
      </c>
      <c r="U1487" s="1">
        <v>44013</v>
      </c>
      <c r="V1487" t="s">
        <v>260</v>
      </c>
      <c r="W1487">
        <v>214000</v>
      </c>
      <c r="X1487">
        <v>214000</v>
      </c>
      <c r="Y1487" t="s">
        <v>270</v>
      </c>
      <c r="Z1487">
        <v>39000</v>
      </c>
      <c r="AA1487">
        <v>39000</v>
      </c>
      <c r="AB1487" t="b">
        <v>0</v>
      </c>
      <c r="AC1487">
        <v>1</v>
      </c>
    </row>
    <row r="1488" spans="17:29" x14ac:dyDescent="0.2">
      <c r="Q1488" t="s">
        <v>2117</v>
      </c>
      <c r="R1488" t="s">
        <v>2512</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2117</v>
      </c>
      <c r="R1489" t="s">
        <v>2512</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2117</v>
      </c>
      <c r="R1490" t="s">
        <v>2512</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2513</v>
      </c>
      <c r="R1491" t="s">
        <v>2514</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2513</v>
      </c>
      <c r="R1492" t="s">
        <v>2514</v>
      </c>
      <c r="S1492" t="s">
        <v>257</v>
      </c>
      <c r="T1492" s="1">
        <v>42248</v>
      </c>
      <c r="U1492" s="1">
        <v>42248</v>
      </c>
      <c r="V1492" t="s">
        <v>260</v>
      </c>
      <c r="W1492">
        <v>250000</v>
      </c>
      <c r="X1492">
        <v>250000</v>
      </c>
      <c r="Y1492" t="s">
        <v>270</v>
      </c>
      <c r="Z1492">
        <v>74880</v>
      </c>
      <c r="AA1492">
        <v>74880</v>
      </c>
      <c r="AB1492" t="b">
        <v>1</v>
      </c>
      <c r="AC1492">
        <v>1</v>
      </c>
    </row>
    <row r="1493" spans="17:29" x14ac:dyDescent="0.2">
      <c r="Q1493" t="s">
        <v>2000</v>
      </c>
      <c r="R1493" t="s">
        <v>2514</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2000</v>
      </c>
      <c r="R1494" t="s">
        <v>2514</v>
      </c>
      <c r="S1494" t="s">
        <v>257</v>
      </c>
      <c r="T1494" s="1">
        <v>42248</v>
      </c>
      <c r="U1494" s="1">
        <v>42248</v>
      </c>
      <c r="V1494" t="s">
        <v>260</v>
      </c>
      <c r="W1494">
        <v>250000</v>
      </c>
      <c r="X1494">
        <v>250000</v>
      </c>
      <c r="Y1494" t="s">
        <v>270</v>
      </c>
      <c r="Z1494">
        <v>74880</v>
      </c>
      <c r="AA1494">
        <v>74880</v>
      </c>
      <c r="AB1494" t="b">
        <v>1</v>
      </c>
      <c r="AC1494">
        <v>1</v>
      </c>
    </row>
    <row r="1495" spans="17:29" x14ac:dyDescent="0.2">
      <c r="Q1495" t="s">
        <v>2018</v>
      </c>
      <c r="R1495" t="s">
        <v>2515</v>
      </c>
      <c r="S1495" t="s">
        <v>257</v>
      </c>
      <c r="T1495" s="1">
        <v>44348</v>
      </c>
      <c r="U1495" s="1">
        <v>44348</v>
      </c>
      <c r="V1495" t="s">
        <v>270</v>
      </c>
      <c r="W1495">
        <v>676446</v>
      </c>
      <c r="X1495">
        <v>676446</v>
      </c>
      <c r="Y1495" t="s">
        <v>270</v>
      </c>
      <c r="Z1495">
        <v>676446</v>
      </c>
      <c r="AA1495">
        <v>676446</v>
      </c>
      <c r="AB1495" t="b">
        <v>1</v>
      </c>
    </row>
    <row r="1496" spans="17:29" x14ac:dyDescent="0.2">
      <c r="Q1496" t="s">
        <v>2018</v>
      </c>
      <c r="R1496" t="s">
        <v>2515</v>
      </c>
      <c r="S1496" t="s">
        <v>257</v>
      </c>
      <c r="T1496" s="1">
        <v>44317</v>
      </c>
      <c r="U1496" s="1">
        <v>44317</v>
      </c>
      <c r="V1496" t="s">
        <v>270</v>
      </c>
      <c r="W1496">
        <v>413692</v>
      </c>
      <c r="X1496">
        <v>413692</v>
      </c>
      <c r="Y1496" t="s">
        <v>270</v>
      </c>
      <c r="Z1496">
        <v>413692</v>
      </c>
      <c r="AA1496">
        <v>413692</v>
      </c>
      <c r="AB1496" t="b">
        <v>1</v>
      </c>
    </row>
    <row r="1497" spans="17:29" x14ac:dyDescent="0.2">
      <c r="Q1497" t="s">
        <v>2018</v>
      </c>
      <c r="R1497" t="s">
        <v>2515</v>
      </c>
      <c r="S1497" t="s">
        <v>257</v>
      </c>
      <c r="T1497" s="1">
        <v>44287</v>
      </c>
      <c r="U1497" s="1">
        <v>44287</v>
      </c>
      <c r="V1497" t="s">
        <v>270</v>
      </c>
      <c r="W1497">
        <v>367977</v>
      </c>
      <c r="X1497">
        <v>367977</v>
      </c>
      <c r="Y1497" t="s">
        <v>270</v>
      </c>
      <c r="Z1497">
        <v>367977</v>
      </c>
      <c r="AA1497">
        <v>367977</v>
      </c>
      <c r="AB1497" t="b">
        <v>1</v>
      </c>
    </row>
    <row r="1498" spans="17:29" x14ac:dyDescent="0.2">
      <c r="Q1498" t="s">
        <v>2018</v>
      </c>
      <c r="R1498" t="s">
        <v>2515</v>
      </c>
      <c r="S1498" t="s">
        <v>257</v>
      </c>
      <c r="T1498" s="1">
        <v>44256</v>
      </c>
      <c r="U1498" s="1">
        <v>44256</v>
      </c>
      <c r="V1498" t="s">
        <v>270</v>
      </c>
      <c r="W1498">
        <v>721803</v>
      </c>
      <c r="X1498">
        <v>721803</v>
      </c>
      <c r="Y1498" t="s">
        <v>270</v>
      </c>
      <c r="Z1498">
        <v>721803</v>
      </c>
      <c r="AA1498">
        <v>721803</v>
      </c>
      <c r="AB1498" t="b">
        <v>1</v>
      </c>
    </row>
    <row r="1499" spans="17:29" x14ac:dyDescent="0.2">
      <c r="Q1499" t="s">
        <v>2018</v>
      </c>
      <c r="R1499" t="s">
        <v>2515</v>
      </c>
      <c r="S1499" t="s">
        <v>257</v>
      </c>
      <c r="T1499" s="1">
        <v>44228</v>
      </c>
      <c r="U1499" s="1">
        <v>44228</v>
      </c>
      <c r="V1499" t="s">
        <v>270</v>
      </c>
      <c r="W1499">
        <v>639493</v>
      </c>
      <c r="X1499">
        <v>639493</v>
      </c>
      <c r="Y1499" t="s">
        <v>270</v>
      </c>
      <c r="Z1499">
        <v>639493</v>
      </c>
      <c r="AA1499">
        <v>639493</v>
      </c>
      <c r="AB1499" t="b">
        <v>1</v>
      </c>
    </row>
    <row r="1500" spans="17:29" x14ac:dyDescent="0.2">
      <c r="Q1500" t="s">
        <v>2018</v>
      </c>
      <c r="R1500" t="s">
        <v>2515</v>
      </c>
      <c r="S1500" t="s">
        <v>257</v>
      </c>
      <c r="T1500" s="1">
        <v>44197</v>
      </c>
      <c r="U1500" s="1">
        <v>44197</v>
      </c>
      <c r="V1500" t="s">
        <v>270</v>
      </c>
      <c r="W1500">
        <v>34256</v>
      </c>
      <c r="X1500">
        <v>34256</v>
      </c>
      <c r="Y1500" t="s">
        <v>270</v>
      </c>
      <c r="Z1500">
        <v>34256</v>
      </c>
      <c r="AA1500">
        <v>34256</v>
      </c>
      <c r="AB1500" t="b">
        <v>1</v>
      </c>
    </row>
    <row r="1501" spans="17:29" x14ac:dyDescent="0.2">
      <c r="Q1501" t="s">
        <v>2018</v>
      </c>
      <c r="R1501" t="s">
        <v>2515</v>
      </c>
      <c r="S1501" t="s">
        <v>257</v>
      </c>
      <c r="T1501" s="1">
        <v>44166</v>
      </c>
      <c r="U1501" s="1">
        <v>44166</v>
      </c>
      <c r="V1501" t="s">
        <v>270</v>
      </c>
      <c r="W1501">
        <v>2051510</v>
      </c>
      <c r="X1501">
        <v>2051510</v>
      </c>
      <c r="Y1501" t="s">
        <v>270</v>
      </c>
      <c r="Z1501">
        <v>2051510</v>
      </c>
      <c r="AA1501">
        <v>2051510</v>
      </c>
      <c r="AB1501" t="b">
        <v>1</v>
      </c>
    </row>
    <row r="1502" spans="17:29" x14ac:dyDescent="0.2">
      <c r="Q1502" t="s">
        <v>2018</v>
      </c>
      <c r="R1502" t="s">
        <v>2515</v>
      </c>
      <c r="S1502" t="s">
        <v>257</v>
      </c>
      <c r="T1502" s="1">
        <v>44136</v>
      </c>
      <c r="U1502" s="1">
        <v>44136</v>
      </c>
      <c r="V1502" t="s">
        <v>270</v>
      </c>
      <c r="W1502">
        <v>783815</v>
      </c>
      <c r="X1502">
        <v>783815</v>
      </c>
      <c r="Y1502" t="s">
        <v>270</v>
      </c>
      <c r="Z1502">
        <v>783815</v>
      </c>
      <c r="AA1502">
        <v>783815</v>
      </c>
      <c r="AB1502" t="b">
        <v>1</v>
      </c>
    </row>
    <row r="1503" spans="17:29" x14ac:dyDescent="0.2">
      <c r="Q1503" t="s">
        <v>2018</v>
      </c>
      <c r="R1503" t="s">
        <v>2515</v>
      </c>
      <c r="S1503" t="s">
        <v>257</v>
      </c>
      <c r="T1503" s="1">
        <v>44105</v>
      </c>
      <c r="U1503" s="1">
        <v>44105</v>
      </c>
      <c r="V1503" t="s">
        <v>270</v>
      </c>
      <c r="W1503">
        <v>226561</v>
      </c>
      <c r="X1503">
        <v>226561</v>
      </c>
      <c r="Y1503" t="s">
        <v>270</v>
      </c>
      <c r="Z1503">
        <v>226561</v>
      </c>
      <c r="AA1503">
        <v>226561</v>
      </c>
      <c r="AB1503" t="b">
        <v>1</v>
      </c>
    </row>
    <row r="1504" spans="17:29" x14ac:dyDescent="0.2">
      <c r="Q1504" t="s">
        <v>2018</v>
      </c>
      <c r="R1504" t="s">
        <v>2515</v>
      </c>
      <c r="S1504" t="s">
        <v>257</v>
      </c>
      <c r="T1504" s="1">
        <v>44075</v>
      </c>
      <c r="U1504" s="1">
        <v>44075</v>
      </c>
      <c r="V1504" t="s">
        <v>270</v>
      </c>
      <c r="W1504">
        <v>253382</v>
      </c>
      <c r="X1504">
        <v>253382</v>
      </c>
      <c r="Y1504" t="s">
        <v>270</v>
      </c>
      <c r="Z1504">
        <v>253382</v>
      </c>
      <c r="AA1504">
        <v>253382</v>
      </c>
      <c r="AB1504" t="b">
        <v>1</v>
      </c>
    </row>
    <row r="1505" spans="17:28" x14ac:dyDescent="0.2">
      <c r="Q1505" t="s">
        <v>2018</v>
      </c>
      <c r="R1505" t="s">
        <v>2515</v>
      </c>
      <c r="S1505" t="s">
        <v>257</v>
      </c>
      <c r="T1505" s="1">
        <v>44044</v>
      </c>
      <c r="U1505" s="1">
        <v>44044</v>
      </c>
      <c r="V1505" t="s">
        <v>270</v>
      </c>
      <c r="W1505">
        <v>273356</v>
      </c>
      <c r="X1505">
        <v>273356</v>
      </c>
      <c r="Y1505" t="s">
        <v>270</v>
      </c>
      <c r="Z1505">
        <v>273356</v>
      </c>
      <c r="AA1505">
        <v>273356</v>
      </c>
      <c r="AB1505" t="b">
        <v>1</v>
      </c>
    </row>
    <row r="1506" spans="17:28" x14ac:dyDescent="0.2">
      <c r="Q1506" t="s">
        <v>2018</v>
      </c>
      <c r="R1506" t="s">
        <v>2515</v>
      </c>
      <c r="S1506" t="s">
        <v>257</v>
      </c>
      <c r="T1506" s="1">
        <v>44013</v>
      </c>
      <c r="U1506" s="1">
        <v>44013</v>
      </c>
      <c r="V1506" t="s">
        <v>270</v>
      </c>
      <c r="W1506">
        <v>265419</v>
      </c>
      <c r="X1506">
        <v>265419</v>
      </c>
      <c r="Y1506" t="s">
        <v>270</v>
      </c>
      <c r="Z1506">
        <v>265419</v>
      </c>
      <c r="AA1506">
        <v>265419</v>
      </c>
      <c r="AB1506" t="b">
        <v>1</v>
      </c>
    </row>
    <row r="1507" spans="17:28" x14ac:dyDescent="0.2">
      <c r="Q1507" t="s">
        <v>2018</v>
      </c>
      <c r="R1507" t="s">
        <v>2515</v>
      </c>
      <c r="S1507" t="s">
        <v>257</v>
      </c>
      <c r="T1507" s="1">
        <v>44348</v>
      </c>
      <c r="U1507" s="1">
        <v>44348</v>
      </c>
      <c r="V1507" t="s">
        <v>270</v>
      </c>
      <c r="W1507">
        <v>676446</v>
      </c>
      <c r="X1507">
        <v>676446</v>
      </c>
      <c r="Y1507" t="s">
        <v>270</v>
      </c>
      <c r="Z1507">
        <v>676446</v>
      </c>
      <c r="AA1507">
        <v>676446</v>
      </c>
      <c r="AB1507" t="b">
        <v>1</v>
      </c>
    </row>
    <row r="1508" spans="17:28" x14ac:dyDescent="0.2">
      <c r="Q1508" t="s">
        <v>2018</v>
      </c>
      <c r="R1508" t="s">
        <v>2515</v>
      </c>
      <c r="S1508" t="s">
        <v>257</v>
      </c>
      <c r="T1508" s="1">
        <v>44317</v>
      </c>
      <c r="U1508" s="1">
        <v>44317</v>
      </c>
      <c r="V1508" t="s">
        <v>270</v>
      </c>
      <c r="W1508">
        <v>413692</v>
      </c>
      <c r="X1508">
        <v>413692</v>
      </c>
      <c r="Y1508" t="s">
        <v>270</v>
      </c>
      <c r="Z1508">
        <v>413692</v>
      </c>
      <c r="AA1508">
        <v>413692</v>
      </c>
      <c r="AB1508" t="b">
        <v>1</v>
      </c>
    </row>
    <row r="1509" spans="17:28" x14ac:dyDescent="0.2">
      <c r="Q1509" t="s">
        <v>2018</v>
      </c>
      <c r="R1509" t="s">
        <v>2515</v>
      </c>
      <c r="S1509" t="s">
        <v>257</v>
      </c>
      <c r="T1509" s="1">
        <v>44287</v>
      </c>
      <c r="U1509" s="1">
        <v>44287</v>
      </c>
      <c r="V1509" t="s">
        <v>270</v>
      </c>
      <c r="W1509">
        <v>367977</v>
      </c>
      <c r="X1509">
        <v>367977</v>
      </c>
      <c r="Y1509" t="s">
        <v>270</v>
      </c>
      <c r="Z1509">
        <v>367977</v>
      </c>
      <c r="AA1509">
        <v>367977</v>
      </c>
      <c r="AB1509" t="b">
        <v>1</v>
      </c>
    </row>
    <row r="1510" spans="17:28" x14ac:dyDescent="0.2">
      <c r="Q1510" t="s">
        <v>2018</v>
      </c>
      <c r="R1510" t="s">
        <v>2515</v>
      </c>
      <c r="S1510" t="s">
        <v>257</v>
      </c>
      <c r="T1510" s="1">
        <v>44256</v>
      </c>
      <c r="U1510" s="1">
        <v>44256</v>
      </c>
      <c r="V1510" t="s">
        <v>270</v>
      </c>
      <c r="W1510">
        <v>721803</v>
      </c>
      <c r="X1510">
        <v>721803</v>
      </c>
      <c r="Y1510" t="s">
        <v>270</v>
      </c>
      <c r="Z1510">
        <v>721803</v>
      </c>
      <c r="AA1510">
        <v>721803</v>
      </c>
      <c r="AB1510" t="b">
        <v>1</v>
      </c>
    </row>
    <row r="1511" spans="17:28" x14ac:dyDescent="0.2">
      <c r="Q1511" t="s">
        <v>2018</v>
      </c>
      <c r="R1511" t="s">
        <v>2515</v>
      </c>
      <c r="S1511" t="s">
        <v>257</v>
      </c>
      <c r="T1511" s="1">
        <v>44228</v>
      </c>
      <c r="U1511" s="1">
        <v>44228</v>
      </c>
      <c r="V1511" t="s">
        <v>270</v>
      </c>
      <c r="W1511">
        <v>639493</v>
      </c>
      <c r="X1511">
        <v>639493</v>
      </c>
      <c r="Y1511" t="s">
        <v>270</v>
      </c>
      <c r="Z1511">
        <v>639493</v>
      </c>
      <c r="AA1511">
        <v>639493</v>
      </c>
      <c r="AB1511" t="b">
        <v>1</v>
      </c>
    </row>
    <row r="1512" spans="17:28" x14ac:dyDescent="0.2">
      <c r="Q1512" t="s">
        <v>2018</v>
      </c>
      <c r="R1512" t="s">
        <v>2515</v>
      </c>
      <c r="S1512" t="s">
        <v>257</v>
      </c>
      <c r="T1512" s="1">
        <v>44197</v>
      </c>
      <c r="U1512" s="1">
        <v>44197</v>
      </c>
      <c r="V1512" t="s">
        <v>270</v>
      </c>
      <c r="W1512">
        <v>34256</v>
      </c>
      <c r="X1512">
        <v>34256</v>
      </c>
      <c r="Y1512" t="s">
        <v>270</v>
      </c>
      <c r="Z1512">
        <v>34256</v>
      </c>
      <c r="AA1512">
        <v>34256</v>
      </c>
      <c r="AB1512" t="b">
        <v>1</v>
      </c>
    </row>
    <row r="1513" spans="17:28" x14ac:dyDescent="0.2">
      <c r="Q1513" t="s">
        <v>2018</v>
      </c>
      <c r="R1513" t="s">
        <v>2515</v>
      </c>
      <c r="S1513" t="s">
        <v>257</v>
      </c>
      <c r="T1513" s="1">
        <v>44166</v>
      </c>
      <c r="U1513" s="1">
        <v>44166</v>
      </c>
      <c r="V1513" t="s">
        <v>270</v>
      </c>
      <c r="W1513">
        <v>2051510</v>
      </c>
      <c r="X1513">
        <v>2051510</v>
      </c>
      <c r="Y1513" t="s">
        <v>270</v>
      </c>
      <c r="Z1513">
        <v>2051510</v>
      </c>
      <c r="AA1513">
        <v>2051510</v>
      </c>
      <c r="AB1513" t="b">
        <v>1</v>
      </c>
    </row>
    <row r="1514" spans="17:28" x14ac:dyDescent="0.2">
      <c r="Q1514" t="s">
        <v>2018</v>
      </c>
      <c r="R1514" t="s">
        <v>2515</v>
      </c>
      <c r="S1514" t="s">
        <v>257</v>
      </c>
      <c r="T1514" s="1">
        <v>44136</v>
      </c>
      <c r="U1514" s="1">
        <v>44136</v>
      </c>
      <c r="V1514" t="s">
        <v>270</v>
      </c>
      <c r="W1514">
        <v>783815</v>
      </c>
      <c r="X1514">
        <v>783815</v>
      </c>
      <c r="Y1514" t="s">
        <v>270</v>
      </c>
      <c r="Z1514">
        <v>783815</v>
      </c>
      <c r="AA1514">
        <v>783815</v>
      </c>
      <c r="AB1514" t="b">
        <v>1</v>
      </c>
    </row>
    <row r="1515" spans="17:28" x14ac:dyDescent="0.2">
      <c r="Q1515" t="s">
        <v>2018</v>
      </c>
      <c r="R1515" t="s">
        <v>2515</v>
      </c>
      <c r="S1515" t="s">
        <v>257</v>
      </c>
      <c r="T1515" s="1">
        <v>44105</v>
      </c>
      <c r="U1515" s="1">
        <v>44105</v>
      </c>
      <c r="V1515" t="s">
        <v>270</v>
      </c>
      <c r="W1515">
        <v>226561</v>
      </c>
      <c r="X1515">
        <v>226561</v>
      </c>
      <c r="Y1515" t="s">
        <v>270</v>
      </c>
      <c r="Z1515">
        <v>226561</v>
      </c>
      <c r="AA1515">
        <v>226561</v>
      </c>
      <c r="AB1515" t="b">
        <v>1</v>
      </c>
    </row>
    <row r="1516" spans="17:28" x14ac:dyDescent="0.2">
      <c r="Q1516" t="s">
        <v>2018</v>
      </c>
      <c r="R1516" t="s">
        <v>2515</v>
      </c>
      <c r="S1516" t="s">
        <v>257</v>
      </c>
      <c r="T1516" s="1">
        <v>44075</v>
      </c>
      <c r="U1516" s="1">
        <v>44075</v>
      </c>
      <c r="V1516" t="s">
        <v>270</v>
      </c>
      <c r="W1516">
        <v>253382</v>
      </c>
      <c r="X1516">
        <v>253382</v>
      </c>
      <c r="Y1516" t="s">
        <v>270</v>
      </c>
      <c r="Z1516">
        <v>253382</v>
      </c>
      <c r="AA1516">
        <v>253382</v>
      </c>
      <c r="AB1516" t="b">
        <v>1</v>
      </c>
    </row>
    <row r="1517" spans="17:28" x14ac:dyDescent="0.2">
      <c r="Q1517" t="s">
        <v>2018</v>
      </c>
      <c r="R1517" t="s">
        <v>2515</v>
      </c>
      <c r="S1517" t="s">
        <v>257</v>
      </c>
      <c r="T1517" s="1">
        <v>44044</v>
      </c>
      <c r="U1517" s="1">
        <v>44044</v>
      </c>
      <c r="V1517" t="s">
        <v>270</v>
      </c>
      <c r="W1517">
        <v>273356</v>
      </c>
      <c r="X1517">
        <v>273356</v>
      </c>
      <c r="Y1517" t="s">
        <v>270</v>
      </c>
      <c r="Z1517">
        <v>273356</v>
      </c>
      <c r="AA1517">
        <v>273356</v>
      </c>
      <c r="AB1517" t="b">
        <v>1</v>
      </c>
    </row>
    <row r="1518" spans="17:28" x14ac:dyDescent="0.2">
      <c r="Q1518" t="s">
        <v>2018</v>
      </c>
      <c r="R1518" t="s">
        <v>2515</v>
      </c>
      <c r="S1518" t="s">
        <v>257</v>
      </c>
      <c r="T1518" s="1">
        <v>44013</v>
      </c>
      <c r="U1518" s="1">
        <v>44013</v>
      </c>
      <c r="V1518" t="s">
        <v>270</v>
      </c>
      <c r="W1518">
        <v>265419</v>
      </c>
      <c r="X1518">
        <v>265419</v>
      </c>
      <c r="Y1518" t="s">
        <v>270</v>
      </c>
      <c r="Z1518">
        <v>265419</v>
      </c>
      <c r="AA1518">
        <v>265419</v>
      </c>
      <c r="AB1518" t="b">
        <v>1</v>
      </c>
    </row>
    <row r="1519" spans="17:28" x14ac:dyDescent="0.2">
      <c r="Q1519" t="s">
        <v>2018</v>
      </c>
      <c r="R1519" t="s">
        <v>2516</v>
      </c>
      <c r="S1519" t="s">
        <v>257</v>
      </c>
      <c r="T1519" s="1">
        <v>44317</v>
      </c>
      <c r="U1519" s="1">
        <v>44317</v>
      </c>
      <c r="V1519" t="s">
        <v>270</v>
      </c>
      <c r="W1519">
        <v>133266</v>
      </c>
      <c r="X1519">
        <v>133266</v>
      </c>
      <c r="Y1519" t="s">
        <v>270</v>
      </c>
      <c r="Z1519">
        <v>133266</v>
      </c>
      <c r="AA1519">
        <v>133266</v>
      </c>
      <c r="AB1519" t="b">
        <v>1</v>
      </c>
    </row>
    <row r="1520" spans="17:28" x14ac:dyDescent="0.2">
      <c r="Q1520" t="s">
        <v>2018</v>
      </c>
      <c r="R1520" t="s">
        <v>2516</v>
      </c>
      <c r="S1520" t="s">
        <v>257</v>
      </c>
      <c r="T1520" s="1">
        <v>44287</v>
      </c>
      <c r="U1520" s="1">
        <v>44287</v>
      </c>
      <c r="V1520" t="s">
        <v>270</v>
      </c>
      <c r="W1520">
        <v>9642</v>
      </c>
      <c r="X1520">
        <v>9642</v>
      </c>
      <c r="Y1520" t="s">
        <v>270</v>
      </c>
      <c r="Z1520">
        <v>9642</v>
      </c>
      <c r="AA1520">
        <v>9642</v>
      </c>
      <c r="AB1520" t="b">
        <v>1</v>
      </c>
    </row>
    <row r="1521" spans="17:28" x14ac:dyDescent="0.2">
      <c r="Q1521" t="s">
        <v>2018</v>
      </c>
      <c r="R1521" t="s">
        <v>2516</v>
      </c>
      <c r="S1521" t="s">
        <v>257</v>
      </c>
      <c r="T1521" s="1">
        <v>44256</v>
      </c>
      <c r="U1521" s="1">
        <v>44256</v>
      </c>
      <c r="V1521" t="s">
        <v>270</v>
      </c>
      <c r="W1521">
        <v>93816</v>
      </c>
      <c r="X1521">
        <v>93816</v>
      </c>
      <c r="Y1521" t="s">
        <v>270</v>
      </c>
      <c r="Z1521">
        <v>93816</v>
      </c>
      <c r="AA1521">
        <v>93816</v>
      </c>
      <c r="AB1521" t="b">
        <v>1</v>
      </c>
    </row>
    <row r="1522" spans="17:28" x14ac:dyDescent="0.2">
      <c r="Q1522" t="s">
        <v>2018</v>
      </c>
      <c r="R1522" t="s">
        <v>2516</v>
      </c>
      <c r="S1522" t="s">
        <v>257</v>
      </c>
      <c r="T1522" s="1">
        <v>44228</v>
      </c>
      <c r="U1522" s="1">
        <v>44228</v>
      </c>
      <c r="V1522" t="s">
        <v>270</v>
      </c>
      <c r="W1522">
        <v>369759</v>
      </c>
      <c r="X1522">
        <v>369759</v>
      </c>
      <c r="Y1522" t="s">
        <v>270</v>
      </c>
      <c r="Z1522">
        <v>369759</v>
      </c>
      <c r="AA1522">
        <v>369759</v>
      </c>
      <c r="AB1522" t="b">
        <v>1</v>
      </c>
    </row>
    <row r="1523" spans="17:28" x14ac:dyDescent="0.2">
      <c r="Q1523" t="s">
        <v>2018</v>
      </c>
      <c r="R1523" t="s">
        <v>2516</v>
      </c>
      <c r="S1523" t="s">
        <v>257</v>
      </c>
      <c r="T1523" s="1">
        <v>44197</v>
      </c>
      <c r="U1523" s="1">
        <v>44197</v>
      </c>
      <c r="V1523" t="s">
        <v>270</v>
      </c>
      <c r="W1523">
        <v>105163</v>
      </c>
      <c r="X1523">
        <v>105163</v>
      </c>
      <c r="Y1523" t="s">
        <v>270</v>
      </c>
      <c r="Z1523">
        <v>105163</v>
      </c>
      <c r="AA1523">
        <v>105163</v>
      </c>
      <c r="AB1523" t="b">
        <v>1</v>
      </c>
    </row>
    <row r="1524" spans="17:28" x14ac:dyDescent="0.2">
      <c r="Q1524" t="s">
        <v>2018</v>
      </c>
      <c r="R1524" t="s">
        <v>2516</v>
      </c>
      <c r="S1524" t="s">
        <v>257</v>
      </c>
      <c r="T1524" s="1">
        <v>44166</v>
      </c>
      <c r="U1524" s="1">
        <v>44166</v>
      </c>
      <c r="V1524" t="s">
        <v>270</v>
      </c>
      <c r="W1524">
        <v>1781229</v>
      </c>
      <c r="X1524">
        <v>1781229</v>
      </c>
      <c r="Y1524" t="s">
        <v>270</v>
      </c>
      <c r="Z1524">
        <v>1781229</v>
      </c>
      <c r="AA1524">
        <v>1781229</v>
      </c>
      <c r="AB1524" t="b">
        <v>1</v>
      </c>
    </row>
    <row r="1525" spans="17:28" x14ac:dyDescent="0.2">
      <c r="Q1525" t="s">
        <v>2018</v>
      </c>
      <c r="R1525" t="s">
        <v>2516</v>
      </c>
      <c r="S1525" t="s">
        <v>257</v>
      </c>
      <c r="T1525" s="1">
        <v>44136</v>
      </c>
      <c r="U1525" s="1">
        <v>44136</v>
      </c>
      <c r="V1525" t="s">
        <v>270</v>
      </c>
      <c r="W1525">
        <v>1459926</v>
      </c>
      <c r="X1525">
        <v>1459926</v>
      </c>
      <c r="Y1525" t="s">
        <v>270</v>
      </c>
      <c r="Z1525">
        <v>1459926</v>
      </c>
      <c r="AA1525">
        <v>1459926</v>
      </c>
      <c r="AB1525" t="b">
        <v>1</v>
      </c>
    </row>
    <row r="1526" spans="17:28" x14ac:dyDescent="0.2">
      <c r="Q1526" t="s">
        <v>2018</v>
      </c>
      <c r="R1526" t="s">
        <v>2516</v>
      </c>
      <c r="S1526" t="s">
        <v>257</v>
      </c>
      <c r="T1526" s="1">
        <v>44105</v>
      </c>
      <c r="U1526" s="1">
        <v>44105</v>
      </c>
      <c r="V1526" t="s">
        <v>270</v>
      </c>
      <c r="W1526">
        <v>1086350</v>
      </c>
      <c r="X1526">
        <v>1086350</v>
      </c>
      <c r="Y1526" t="s">
        <v>270</v>
      </c>
      <c r="Z1526">
        <v>1086350</v>
      </c>
      <c r="AA1526">
        <v>1086350</v>
      </c>
      <c r="AB1526" t="b">
        <v>1</v>
      </c>
    </row>
    <row r="1527" spans="17:28" x14ac:dyDescent="0.2">
      <c r="Q1527" t="s">
        <v>2018</v>
      </c>
      <c r="R1527" t="s">
        <v>2516</v>
      </c>
      <c r="S1527" t="s">
        <v>257</v>
      </c>
      <c r="T1527" s="1">
        <v>44075</v>
      </c>
      <c r="U1527" s="1">
        <v>44075</v>
      </c>
      <c r="V1527" t="s">
        <v>270</v>
      </c>
      <c r="W1527">
        <v>285887</v>
      </c>
      <c r="X1527">
        <v>285887</v>
      </c>
      <c r="Y1527" t="s">
        <v>270</v>
      </c>
      <c r="Z1527">
        <v>285887</v>
      </c>
      <c r="AA1527">
        <v>285887</v>
      </c>
      <c r="AB1527" t="b">
        <v>1</v>
      </c>
    </row>
    <row r="1528" spans="17:28" x14ac:dyDescent="0.2">
      <c r="Q1528" t="s">
        <v>2018</v>
      </c>
      <c r="R1528" t="s">
        <v>2516</v>
      </c>
      <c r="S1528" t="s">
        <v>257</v>
      </c>
      <c r="T1528" s="1">
        <v>44044</v>
      </c>
      <c r="U1528" s="1">
        <v>44044</v>
      </c>
      <c r="V1528" t="s">
        <v>270</v>
      </c>
      <c r="W1528">
        <v>17577</v>
      </c>
      <c r="X1528">
        <v>17577</v>
      </c>
      <c r="Y1528" t="s">
        <v>270</v>
      </c>
      <c r="Z1528">
        <v>17577</v>
      </c>
      <c r="AA1528">
        <v>17577</v>
      </c>
      <c r="AB1528" t="b">
        <v>1</v>
      </c>
    </row>
    <row r="1529" spans="17:28" x14ac:dyDescent="0.2">
      <c r="Q1529" t="s">
        <v>2018</v>
      </c>
      <c r="R1529" t="s">
        <v>2516</v>
      </c>
      <c r="S1529" t="s">
        <v>257</v>
      </c>
      <c r="T1529" s="1">
        <v>44013</v>
      </c>
      <c r="U1529" s="1">
        <v>44013</v>
      </c>
      <c r="V1529" t="s">
        <v>270</v>
      </c>
      <c r="W1529">
        <v>35153</v>
      </c>
      <c r="X1529">
        <v>35153</v>
      </c>
      <c r="Y1529" t="s">
        <v>270</v>
      </c>
      <c r="Z1529">
        <v>35153</v>
      </c>
      <c r="AA1529">
        <v>35153</v>
      </c>
      <c r="AB1529" t="b">
        <v>1</v>
      </c>
    </row>
    <row r="1530" spans="17:28" x14ac:dyDescent="0.2">
      <c r="Q1530" t="s">
        <v>2018</v>
      </c>
      <c r="R1530" t="s">
        <v>2516</v>
      </c>
      <c r="S1530" t="s">
        <v>257</v>
      </c>
      <c r="T1530" s="1">
        <v>44317</v>
      </c>
      <c r="U1530" s="1">
        <v>44317</v>
      </c>
      <c r="V1530" t="s">
        <v>270</v>
      </c>
      <c r="W1530">
        <v>133266</v>
      </c>
      <c r="X1530">
        <v>133266</v>
      </c>
      <c r="Y1530" t="s">
        <v>270</v>
      </c>
      <c r="Z1530">
        <v>133266</v>
      </c>
      <c r="AA1530">
        <v>133266</v>
      </c>
      <c r="AB1530" t="b">
        <v>1</v>
      </c>
    </row>
    <row r="1531" spans="17:28" x14ac:dyDescent="0.2">
      <c r="Q1531" t="s">
        <v>2018</v>
      </c>
      <c r="R1531" t="s">
        <v>2516</v>
      </c>
      <c r="S1531" t="s">
        <v>257</v>
      </c>
      <c r="T1531" s="1">
        <v>44287</v>
      </c>
      <c r="U1531" s="1">
        <v>44287</v>
      </c>
      <c r="V1531" t="s">
        <v>270</v>
      </c>
      <c r="W1531">
        <v>9642</v>
      </c>
      <c r="X1531">
        <v>9642</v>
      </c>
      <c r="Y1531" t="s">
        <v>270</v>
      </c>
      <c r="Z1531">
        <v>9642</v>
      </c>
      <c r="AA1531">
        <v>9642</v>
      </c>
      <c r="AB1531" t="b">
        <v>1</v>
      </c>
    </row>
    <row r="1532" spans="17:28" x14ac:dyDescent="0.2">
      <c r="Q1532" t="s">
        <v>2018</v>
      </c>
      <c r="R1532" t="s">
        <v>2516</v>
      </c>
      <c r="S1532" t="s">
        <v>257</v>
      </c>
      <c r="T1532" s="1">
        <v>44256</v>
      </c>
      <c r="U1532" s="1">
        <v>44256</v>
      </c>
      <c r="V1532" t="s">
        <v>270</v>
      </c>
      <c r="W1532">
        <v>93816</v>
      </c>
      <c r="X1532">
        <v>93816</v>
      </c>
      <c r="Y1532" t="s">
        <v>270</v>
      </c>
      <c r="Z1532">
        <v>93816</v>
      </c>
      <c r="AA1532">
        <v>93816</v>
      </c>
      <c r="AB1532" t="b">
        <v>1</v>
      </c>
    </row>
    <row r="1533" spans="17:28" x14ac:dyDescent="0.2">
      <c r="Q1533" t="s">
        <v>2018</v>
      </c>
      <c r="R1533" t="s">
        <v>2516</v>
      </c>
      <c r="S1533" t="s">
        <v>257</v>
      </c>
      <c r="T1533" s="1">
        <v>44228</v>
      </c>
      <c r="U1533" s="1">
        <v>44228</v>
      </c>
      <c r="V1533" t="s">
        <v>270</v>
      </c>
      <c r="W1533">
        <v>369759</v>
      </c>
      <c r="X1533">
        <v>369759</v>
      </c>
      <c r="Y1533" t="s">
        <v>270</v>
      </c>
      <c r="Z1533">
        <v>369759</v>
      </c>
      <c r="AA1533">
        <v>369759</v>
      </c>
      <c r="AB1533" t="b">
        <v>1</v>
      </c>
    </row>
    <row r="1534" spans="17:28" x14ac:dyDescent="0.2">
      <c r="Q1534" t="s">
        <v>2018</v>
      </c>
      <c r="R1534" t="s">
        <v>2516</v>
      </c>
      <c r="S1534" t="s">
        <v>257</v>
      </c>
      <c r="T1534" s="1">
        <v>44197</v>
      </c>
      <c r="U1534" s="1">
        <v>44197</v>
      </c>
      <c r="V1534" t="s">
        <v>270</v>
      </c>
      <c r="W1534">
        <v>105163</v>
      </c>
      <c r="X1534">
        <v>105163</v>
      </c>
      <c r="Y1534" t="s">
        <v>270</v>
      </c>
      <c r="Z1534">
        <v>105163</v>
      </c>
      <c r="AA1534">
        <v>105163</v>
      </c>
      <c r="AB1534" t="b">
        <v>1</v>
      </c>
    </row>
    <row r="1535" spans="17:28" x14ac:dyDescent="0.2">
      <c r="Q1535" t="s">
        <v>2018</v>
      </c>
      <c r="R1535" t="s">
        <v>2516</v>
      </c>
      <c r="S1535" t="s">
        <v>257</v>
      </c>
      <c r="T1535" s="1">
        <v>44166</v>
      </c>
      <c r="U1535" s="1">
        <v>44166</v>
      </c>
      <c r="V1535" t="s">
        <v>270</v>
      </c>
      <c r="W1535">
        <v>1781229</v>
      </c>
      <c r="X1535">
        <v>1781229</v>
      </c>
      <c r="Y1535" t="s">
        <v>270</v>
      </c>
      <c r="Z1535">
        <v>1781229</v>
      </c>
      <c r="AA1535">
        <v>1781229</v>
      </c>
      <c r="AB1535" t="b">
        <v>1</v>
      </c>
    </row>
    <row r="1536" spans="17:28" x14ac:dyDescent="0.2">
      <c r="Q1536" t="s">
        <v>2018</v>
      </c>
      <c r="R1536" t="s">
        <v>2516</v>
      </c>
      <c r="S1536" t="s">
        <v>257</v>
      </c>
      <c r="T1536" s="1">
        <v>44136</v>
      </c>
      <c r="U1536" s="1">
        <v>44136</v>
      </c>
      <c r="V1536" t="s">
        <v>270</v>
      </c>
      <c r="W1536">
        <v>1459926</v>
      </c>
      <c r="X1536">
        <v>1459926</v>
      </c>
      <c r="Y1536" t="s">
        <v>270</v>
      </c>
      <c r="Z1536">
        <v>1459926</v>
      </c>
      <c r="AA1536">
        <v>1459926</v>
      </c>
      <c r="AB1536" t="b">
        <v>1</v>
      </c>
    </row>
    <row r="1537" spans="17:28" x14ac:dyDescent="0.2">
      <c r="Q1537" t="s">
        <v>2018</v>
      </c>
      <c r="R1537" t="s">
        <v>2516</v>
      </c>
      <c r="S1537" t="s">
        <v>257</v>
      </c>
      <c r="T1537" s="1">
        <v>44105</v>
      </c>
      <c r="U1537" s="1">
        <v>44105</v>
      </c>
      <c r="V1537" t="s">
        <v>270</v>
      </c>
      <c r="W1537">
        <v>1086350</v>
      </c>
      <c r="X1537">
        <v>1086350</v>
      </c>
      <c r="Y1537" t="s">
        <v>270</v>
      </c>
      <c r="Z1537">
        <v>1086350</v>
      </c>
      <c r="AA1537">
        <v>1086350</v>
      </c>
      <c r="AB1537" t="b">
        <v>1</v>
      </c>
    </row>
    <row r="1538" spans="17:28" x14ac:dyDescent="0.2">
      <c r="Q1538" t="s">
        <v>2018</v>
      </c>
      <c r="R1538" t="s">
        <v>2516</v>
      </c>
      <c r="S1538" t="s">
        <v>257</v>
      </c>
      <c r="T1538" s="1">
        <v>44075</v>
      </c>
      <c r="U1538" s="1">
        <v>44075</v>
      </c>
      <c r="V1538" t="s">
        <v>270</v>
      </c>
      <c r="W1538">
        <v>285887</v>
      </c>
      <c r="X1538">
        <v>285887</v>
      </c>
      <c r="Y1538" t="s">
        <v>270</v>
      </c>
      <c r="Z1538">
        <v>285887</v>
      </c>
      <c r="AA1538">
        <v>285887</v>
      </c>
      <c r="AB1538" t="b">
        <v>1</v>
      </c>
    </row>
    <row r="1539" spans="17:28" x14ac:dyDescent="0.2">
      <c r="Q1539" t="s">
        <v>2018</v>
      </c>
      <c r="R1539" t="s">
        <v>2516</v>
      </c>
      <c r="S1539" t="s">
        <v>257</v>
      </c>
      <c r="T1539" s="1">
        <v>44044</v>
      </c>
      <c r="U1539" s="1">
        <v>44044</v>
      </c>
      <c r="V1539" t="s">
        <v>270</v>
      </c>
      <c r="W1539">
        <v>17577</v>
      </c>
      <c r="X1539">
        <v>17577</v>
      </c>
      <c r="Y1539" t="s">
        <v>270</v>
      </c>
      <c r="Z1539">
        <v>17577</v>
      </c>
      <c r="AA1539">
        <v>17577</v>
      </c>
      <c r="AB1539" t="b">
        <v>1</v>
      </c>
    </row>
    <row r="1540" spans="17:28" x14ac:dyDescent="0.2">
      <c r="Q1540" t="s">
        <v>2018</v>
      </c>
      <c r="R1540" t="s">
        <v>2516</v>
      </c>
      <c r="S1540" t="s">
        <v>257</v>
      </c>
      <c r="T1540" s="1">
        <v>44013</v>
      </c>
      <c r="U1540" s="1">
        <v>44013</v>
      </c>
      <c r="V1540" t="s">
        <v>270</v>
      </c>
      <c r="W1540">
        <v>35153</v>
      </c>
      <c r="X1540">
        <v>35153</v>
      </c>
      <c r="Y1540" t="s">
        <v>270</v>
      </c>
      <c r="Z1540">
        <v>35153</v>
      </c>
      <c r="AA1540">
        <v>35153</v>
      </c>
      <c r="AB1540" t="b">
        <v>1</v>
      </c>
    </row>
    <row r="1541" spans="17:28" x14ac:dyDescent="0.2">
      <c r="Q1541" t="s">
        <v>2018</v>
      </c>
      <c r="R1541" t="s">
        <v>2517</v>
      </c>
      <c r="S1541" t="s">
        <v>257</v>
      </c>
      <c r="T1541" s="1">
        <v>44348</v>
      </c>
      <c r="U1541" s="1">
        <v>44348</v>
      </c>
      <c r="V1541" t="s">
        <v>270</v>
      </c>
      <c r="W1541">
        <v>1084899</v>
      </c>
      <c r="X1541">
        <v>1084899</v>
      </c>
      <c r="Y1541" t="s">
        <v>270</v>
      </c>
      <c r="Z1541">
        <v>1084899</v>
      </c>
      <c r="AA1541">
        <v>1084899</v>
      </c>
      <c r="AB1541" t="b">
        <v>1</v>
      </c>
    </row>
    <row r="1542" spans="17:28" x14ac:dyDescent="0.2">
      <c r="Q1542" t="s">
        <v>2018</v>
      </c>
      <c r="R1542" t="s">
        <v>2517</v>
      </c>
      <c r="S1542" t="s">
        <v>257</v>
      </c>
      <c r="T1542" s="1">
        <v>44317</v>
      </c>
      <c r="U1542" s="1">
        <v>44317</v>
      </c>
      <c r="V1542" t="s">
        <v>270</v>
      </c>
      <c r="W1542">
        <v>864731</v>
      </c>
      <c r="X1542">
        <v>864731</v>
      </c>
      <c r="Y1542" t="s">
        <v>270</v>
      </c>
      <c r="Z1542">
        <v>864731</v>
      </c>
      <c r="AA1542">
        <v>864731</v>
      </c>
      <c r="AB1542" t="b">
        <v>1</v>
      </c>
    </row>
    <row r="1543" spans="17:28" x14ac:dyDescent="0.2">
      <c r="Q1543" t="s">
        <v>2018</v>
      </c>
      <c r="R1543" t="s">
        <v>2517</v>
      </c>
      <c r="S1543" t="s">
        <v>257</v>
      </c>
      <c r="T1543" s="1">
        <v>44287</v>
      </c>
      <c r="U1543" s="1">
        <v>44287</v>
      </c>
      <c r="V1543" t="s">
        <v>270</v>
      </c>
      <c r="W1543">
        <v>1472847</v>
      </c>
      <c r="X1543">
        <v>1472847</v>
      </c>
      <c r="Y1543" t="s">
        <v>270</v>
      </c>
      <c r="Z1543">
        <v>1472847</v>
      </c>
      <c r="AA1543">
        <v>1472847</v>
      </c>
      <c r="AB1543" t="b">
        <v>1</v>
      </c>
    </row>
    <row r="1544" spans="17:28" x14ac:dyDescent="0.2">
      <c r="Q1544" t="s">
        <v>2018</v>
      </c>
      <c r="R1544" t="s">
        <v>2517</v>
      </c>
      <c r="S1544" t="s">
        <v>257</v>
      </c>
      <c r="T1544" s="1">
        <v>44256</v>
      </c>
      <c r="U1544" s="1">
        <v>44256</v>
      </c>
      <c r="V1544" t="s">
        <v>270</v>
      </c>
      <c r="W1544">
        <v>330193</v>
      </c>
      <c r="X1544">
        <v>330193</v>
      </c>
      <c r="Y1544" t="s">
        <v>270</v>
      </c>
      <c r="Z1544">
        <v>330193</v>
      </c>
      <c r="AA1544">
        <v>330193</v>
      </c>
      <c r="AB1544" t="b">
        <v>1</v>
      </c>
    </row>
    <row r="1545" spans="17:28" x14ac:dyDescent="0.2">
      <c r="Q1545" t="s">
        <v>2018</v>
      </c>
      <c r="R1545" t="s">
        <v>2517</v>
      </c>
      <c r="S1545" t="s">
        <v>257</v>
      </c>
      <c r="T1545" s="1">
        <v>44228</v>
      </c>
      <c r="U1545" s="1">
        <v>44228</v>
      </c>
      <c r="V1545" t="s">
        <v>270</v>
      </c>
      <c r="W1545">
        <v>192516</v>
      </c>
      <c r="X1545">
        <v>192516</v>
      </c>
      <c r="Y1545" t="s">
        <v>270</v>
      </c>
      <c r="Z1545">
        <v>192516</v>
      </c>
      <c r="AA1545">
        <v>192516</v>
      </c>
      <c r="AB1545" t="b">
        <v>1</v>
      </c>
    </row>
    <row r="1546" spans="17:28" x14ac:dyDescent="0.2">
      <c r="Q1546" t="s">
        <v>2018</v>
      </c>
      <c r="R1546" t="s">
        <v>2517</v>
      </c>
      <c r="S1546" t="s">
        <v>257</v>
      </c>
      <c r="T1546" s="1">
        <v>44166</v>
      </c>
      <c r="U1546" s="1">
        <v>44166</v>
      </c>
      <c r="V1546" t="s">
        <v>270</v>
      </c>
      <c r="W1546">
        <v>515813</v>
      </c>
      <c r="X1546">
        <v>515813</v>
      </c>
      <c r="Y1546" t="s">
        <v>270</v>
      </c>
      <c r="Z1546">
        <v>515813</v>
      </c>
      <c r="AA1546">
        <v>515813</v>
      </c>
      <c r="AB1546" t="b">
        <v>1</v>
      </c>
    </row>
    <row r="1547" spans="17:28" x14ac:dyDescent="0.2">
      <c r="Q1547" t="s">
        <v>2018</v>
      </c>
      <c r="R1547" t="s">
        <v>2517</v>
      </c>
      <c r="S1547" t="s">
        <v>257</v>
      </c>
      <c r="T1547" s="1">
        <v>44136</v>
      </c>
      <c r="U1547" s="1">
        <v>44136</v>
      </c>
      <c r="V1547" t="s">
        <v>270</v>
      </c>
      <c r="W1547">
        <v>127820</v>
      </c>
      <c r="X1547">
        <v>127820</v>
      </c>
      <c r="Y1547" t="s">
        <v>270</v>
      </c>
      <c r="Z1547">
        <v>127820</v>
      </c>
      <c r="AA1547">
        <v>127820</v>
      </c>
      <c r="AB1547" t="b">
        <v>1</v>
      </c>
    </row>
    <row r="1548" spans="17:28" x14ac:dyDescent="0.2">
      <c r="Q1548" t="s">
        <v>2018</v>
      </c>
      <c r="R1548" t="s">
        <v>2517</v>
      </c>
      <c r="S1548" t="s">
        <v>257</v>
      </c>
      <c r="T1548" s="1">
        <v>44105</v>
      </c>
      <c r="U1548" s="1">
        <v>44105</v>
      </c>
      <c r="V1548" t="s">
        <v>270</v>
      </c>
      <c r="W1548">
        <v>75236</v>
      </c>
      <c r="X1548">
        <v>75236</v>
      </c>
      <c r="Y1548" t="s">
        <v>270</v>
      </c>
      <c r="Z1548">
        <v>75236</v>
      </c>
      <c r="AA1548">
        <v>75236</v>
      </c>
      <c r="AB1548" t="b">
        <v>1</v>
      </c>
    </row>
    <row r="1549" spans="17:28" x14ac:dyDescent="0.2">
      <c r="Q1549" t="s">
        <v>2018</v>
      </c>
      <c r="R1549" t="s">
        <v>2517</v>
      </c>
      <c r="S1549" t="s">
        <v>257</v>
      </c>
      <c r="T1549" s="1">
        <v>44348</v>
      </c>
      <c r="U1549" s="1">
        <v>44348</v>
      </c>
      <c r="V1549" t="s">
        <v>270</v>
      </c>
      <c r="W1549">
        <v>1084899</v>
      </c>
      <c r="X1549">
        <v>1084899</v>
      </c>
      <c r="Y1549" t="s">
        <v>270</v>
      </c>
      <c r="Z1549">
        <v>1084899</v>
      </c>
      <c r="AA1549">
        <v>1084899</v>
      </c>
      <c r="AB1549" t="b">
        <v>1</v>
      </c>
    </row>
    <row r="1550" spans="17:28" x14ac:dyDescent="0.2">
      <c r="Q1550" t="s">
        <v>2018</v>
      </c>
      <c r="R1550" t="s">
        <v>2517</v>
      </c>
      <c r="S1550" t="s">
        <v>257</v>
      </c>
      <c r="T1550" s="1">
        <v>44317</v>
      </c>
      <c r="U1550" s="1">
        <v>44317</v>
      </c>
      <c r="V1550" t="s">
        <v>270</v>
      </c>
      <c r="W1550">
        <v>864731</v>
      </c>
      <c r="X1550">
        <v>864731</v>
      </c>
      <c r="Y1550" t="s">
        <v>270</v>
      </c>
      <c r="Z1550">
        <v>864731</v>
      </c>
      <c r="AA1550">
        <v>864731</v>
      </c>
      <c r="AB1550" t="b">
        <v>1</v>
      </c>
    </row>
    <row r="1551" spans="17:28" x14ac:dyDescent="0.2">
      <c r="Q1551" t="s">
        <v>2018</v>
      </c>
      <c r="R1551" t="s">
        <v>2517</v>
      </c>
      <c r="S1551" t="s">
        <v>257</v>
      </c>
      <c r="T1551" s="1">
        <v>44287</v>
      </c>
      <c r="U1551" s="1">
        <v>44287</v>
      </c>
      <c r="V1551" t="s">
        <v>270</v>
      </c>
      <c r="W1551">
        <v>1472847</v>
      </c>
      <c r="X1551">
        <v>1472847</v>
      </c>
      <c r="Y1551" t="s">
        <v>270</v>
      </c>
      <c r="Z1551">
        <v>1472847</v>
      </c>
      <c r="AA1551">
        <v>1472847</v>
      </c>
      <c r="AB1551" t="b">
        <v>1</v>
      </c>
    </row>
    <row r="1552" spans="17:28" x14ac:dyDescent="0.2">
      <c r="Q1552" t="s">
        <v>2018</v>
      </c>
      <c r="R1552" t="s">
        <v>2517</v>
      </c>
      <c r="S1552" t="s">
        <v>257</v>
      </c>
      <c r="T1552" s="1">
        <v>44256</v>
      </c>
      <c r="U1552" s="1">
        <v>44256</v>
      </c>
      <c r="V1552" t="s">
        <v>270</v>
      </c>
      <c r="W1552">
        <v>330193</v>
      </c>
      <c r="X1552">
        <v>330193</v>
      </c>
      <c r="Y1552" t="s">
        <v>270</v>
      </c>
      <c r="Z1552">
        <v>330193</v>
      </c>
      <c r="AA1552">
        <v>330193</v>
      </c>
      <c r="AB1552" t="b">
        <v>1</v>
      </c>
    </row>
    <row r="1553" spans="17:28" x14ac:dyDescent="0.2">
      <c r="Q1553" t="s">
        <v>2018</v>
      </c>
      <c r="R1553" t="s">
        <v>2517</v>
      </c>
      <c r="S1553" t="s">
        <v>257</v>
      </c>
      <c r="T1553" s="1">
        <v>44228</v>
      </c>
      <c r="U1553" s="1">
        <v>44228</v>
      </c>
      <c r="V1553" t="s">
        <v>270</v>
      </c>
      <c r="W1553">
        <v>192516</v>
      </c>
      <c r="X1553">
        <v>192516</v>
      </c>
      <c r="Y1553" t="s">
        <v>270</v>
      </c>
      <c r="Z1553">
        <v>192516</v>
      </c>
      <c r="AA1553">
        <v>192516</v>
      </c>
      <c r="AB1553" t="b">
        <v>1</v>
      </c>
    </row>
    <row r="1554" spans="17:28" x14ac:dyDescent="0.2">
      <c r="Q1554" t="s">
        <v>2018</v>
      </c>
      <c r="R1554" t="s">
        <v>2517</v>
      </c>
      <c r="S1554" t="s">
        <v>257</v>
      </c>
      <c r="T1554" s="1">
        <v>44166</v>
      </c>
      <c r="U1554" s="1">
        <v>44166</v>
      </c>
      <c r="V1554" t="s">
        <v>270</v>
      </c>
      <c r="W1554">
        <v>515813</v>
      </c>
      <c r="X1554">
        <v>515813</v>
      </c>
      <c r="Y1554" t="s">
        <v>270</v>
      </c>
      <c r="Z1554">
        <v>515813</v>
      </c>
      <c r="AA1554">
        <v>515813</v>
      </c>
      <c r="AB1554" t="b">
        <v>1</v>
      </c>
    </row>
    <row r="1555" spans="17:28" x14ac:dyDescent="0.2">
      <c r="Q1555" t="s">
        <v>2018</v>
      </c>
      <c r="R1555" t="s">
        <v>2517</v>
      </c>
      <c r="S1555" t="s">
        <v>257</v>
      </c>
      <c r="T1555" s="1">
        <v>44136</v>
      </c>
      <c r="U1555" s="1">
        <v>44136</v>
      </c>
      <c r="V1555" t="s">
        <v>270</v>
      </c>
      <c r="W1555">
        <v>127820</v>
      </c>
      <c r="X1555">
        <v>127820</v>
      </c>
      <c r="Y1555" t="s">
        <v>270</v>
      </c>
      <c r="Z1555">
        <v>127820</v>
      </c>
      <c r="AA1555">
        <v>127820</v>
      </c>
      <c r="AB1555" t="b">
        <v>1</v>
      </c>
    </row>
    <row r="1556" spans="17:28" x14ac:dyDescent="0.2">
      <c r="Q1556" t="s">
        <v>2018</v>
      </c>
      <c r="R1556" t="s">
        <v>2517</v>
      </c>
      <c r="S1556" t="s">
        <v>257</v>
      </c>
      <c r="T1556" s="1">
        <v>44105</v>
      </c>
      <c r="U1556" s="1">
        <v>44105</v>
      </c>
      <c r="V1556" t="s">
        <v>270</v>
      </c>
      <c r="W1556">
        <v>75236</v>
      </c>
      <c r="X1556">
        <v>75236</v>
      </c>
      <c r="Y1556" t="s">
        <v>270</v>
      </c>
      <c r="Z1556">
        <v>75236</v>
      </c>
      <c r="AA1556">
        <v>75236</v>
      </c>
      <c r="AB1556" t="b">
        <v>1</v>
      </c>
    </row>
    <row r="1557" spans="17:28" x14ac:dyDescent="0.2">
      <c r="Q1557" t="s">
        <v>2018</v>
      </c>
      <c r="R1557" t="s">
        <v>2518</v>
      </c>
      <c r="S1557" t="s">
        <v>257</v>
      </c>
      <c r="T1557" s="1">
        <v>44348</v>
      </c>
      <c r="U1557" s="1">
        <v>44348</v>
      </c>
      <c r="V1557" t="s">
        <v>270</v>
      </c>
      <c r="W1557">
        <v>1748440</v>
      </c>
      <c r="X1557">
        <v>1748440</v>
      </c>
      <c r="Y1557" t="s">
        <v>270</v>
      </c>
      <c r="Z1557">
        <v>1748440</v>
      </c>
      <c r="AA1557">
        <v>1748440</v>
      </c>
      <c r="AB1557" t="b">
        <v>1</v>
      </c>
    </row>
    <row r="1558" spans="17:28" x14ac:dyDescent="0.2">
      <c r="Q1558" t="s">
        <v>2018</v>
      </c>
      <c r="R1558" t="s">
        <v>2518</v>
      </c>
      <c r="S1558" t="s">
        <v>257</v>
      </c>
      <c r="T1558" s="1">
        <v>44317</v>
      </c>
      <c r="U1558" s="1">
        <v>44317</v>
      </c>
      <c r="V1558" t="s">
        <v>270</v>
      </c>
      <c r="W1558">
        <v>953016</v>
      </c>
      <c r="X1558">
        <v>953016</v>
      </c>
      <c r="Y1558" t="s">
        <v>270</v>
      </c>
      <c r="Z1558">
        <v>953016</v>
      </c>
      <c r="AA1558">
        <v>953016</v>
      </c>
      <c r="AB1558" t="b">
        <v>1</v>
      </c>
    </row>
    <row r="1559" spans="17:28" x14ac:dyDescent="0.2">
      <c r="Q1559" t="s">
        <v>2018</v>
      </c>
      <c r="R1559" t="s">
        <v>2518</v>
      </c>
      <c r="S1559" t="s">
        <v>257</v>
      </c>
      <c r="T1559" s="1">
        <v>44287</v>
      </c>
      <c r="U1559" s="1">
        <v>44287</v>
      </c>
      <c r="V1559" t="s">
        <v>270</v>
      </c>
      <c r="W1559">
        <v>586283</v>
      </c>
      <c r="X1559">
        <v>586283</v>
      </c>
      <c r="Y1559" t="s">
        <v>270</v>
      </c>
      <c r="Z1559">
        <v>586283</v>
      </c>
      <c r="AA1559">
        <v>586283</v>
      </c>
      <c r="AB1559" t="b">
        <v>1</v>
      </c>
    </row>
    <row r="1560" spans="17:28" x14ac:dyDescent="0.2">
      <c r="Q1560" t="s">
        <v>2018</v>
      </c>
      <c r="R1560" t="s">
        <v>2518</v>
      </c>
      <c r="S1560" t="s">
        <v>257</v>
      </c>
      <c r="T1560" s="1">
        <v>44256</v>
      </c>
      <c r="U1560" s="1">
        <v>44256</v>
      </c>
      <c r="V1560" t="s">
        <v>270</v>
      </c>
      <c r="W1560">
        <v>254276</v>
      </c>
      <c r="X1560">
        <v>254276</v>
      </c>
      <c r="Y1560" t="s">
        <v>270</v>
      </c>
      <c r="Z1560">
        <v>254276</v>
      </c>
      <c r="AA1560">
        <v>254276</v>
      </c>
      <c r="AB1560" t="b">
        <v>1</v>
      </c>
    </row>
    <row r="1561" spans="17:28" x14ac:dyDescent="0.2">
      <c r="Q1561" t="s">
        <v>2018</v>
      </c>
      <c r="R1561" t="s">
        <v>2518</v>
      </c>
      <c r="S1561" t="s">
        <v>257</v>
      </c>
      <c r="T1561" s="1">
        <v>44228</v>
      </c>
      <c r="U1561" s="1">
        <v>44228</v>
      </c>
      <c r="V1561" t="s">
        <v>270</v>
      </c>
      <c r="W1561">
        <v>87438</v>
      </c>
      <c r="X1561">
        <v>87438</v>
      </c>
      <c r="Y1561" t="s">
        <v>270</v>
      </c>
      <c r="Z1561">
        <v>87438</v>
      </c>
      <c r="AA1561">
        <v>87438</v>
      </c>
      <c r="AB1561" t="b">
        <v>1</v>
      </c>
    </row>
    <row r="1562" spans="17:28" x14ac:dyDescent="0.2">
      <c r="Q1562" t="s">
        <v>2018</v>
      </c>
      <c r="R1562" t="s">
        <v>2518</v>
      </c>
      <c r="S1562" t="s">
        <v>257</v>
      </c>
      <c r="T1562" s="1">
        <v>44197</v>
      </c>
      <c r="U1562" s="1">
        <v>44197</v>
      </c>
      <c r="V1562" t="s">
        <v>270</v>
      </c>
      <c r="W1562">
        <v>157</v>
      </c>
      <c r="X1562">
        <v>157</v>
      </c>
      <c r="Y1562" t="s">
        <v>270</v>
      </c>
      <c r="Z1562">
        <v>157</v>
      </c>
      <c r="AA1562">
        <v>157</v>
      </c>
      <c r="AB1562" t="b">
        <v>1</v>
      </c>
    </row>
    <row r="1563" spans="17:28" x14ac:dyDescent="0.2">
      <c r="Q1563" t="s">
        <v>2018</v>
      </c>
      <c r="R1563" t="s">
        <v>2518</v>
      </c>
      <c r="S1563" t="s">
        <v>257</v>
      </c>
      <c r="T1563" s="1">
        <v>44166</v>
      </c>
      <c r="U1563" s="1">
        <v>44166</v>
      </c>
      <c r="V1563" t="s">
        <v>270</v>
      </c>
      <c r="W1563">
        <v>572756</v>
      </c>
      <c r="X1563">
        <v>572756</v>
      </c>
      <c r="Y1563" t="s">
        <v>270</v>
      </c>
      <c r="Z1563">
        <v>572756</v>
      </c>
      <c r="AA1563">
        <v>572756</v>
      </c>
      <c r="AB1563" t="b">
        <v>1</v>
      </c>
    </row>
    <row r="1564" spans="17:28" x14ac:dyDescent="0.2">
      <c r="Q1564" t="s">
        <v>2018</v>
      </c>
      <c r="R1564" t="s">
        <v>2518</v>
      </c>
      <c r="S1564" t="s">
        <v>257</v>
      </c>
      <c r="T1564" s="1">
        <v>44136</v>
      </c>
      <c r="U1564" s="1">
        <v>44136</v>
      </c>
      <c r="V1564" t="s">
        <v>270</v>
      </c>
      <c r="W1564">
        <v>59431</v>
      </c>
      <c r="X1564">
        <v>59431</v>
      </c>
      <c r="Y1564" t="s">
        <v>270</v>
      </c>
      <c r="Z1564">
        <v>59431</v>
      </c>
      <c r="AA1564">
        <v>59431</v>
      </c>
      <c r="AB1564" t="b">
        <v>1</v>
      </c>
    </row>
    <row r="1565" spans="17:28" x14ac:dyDescent="0.2">
      <c r="Q1565" t="s">
        <v>2018</v>
      </c>
      <c r="R1565" t="s">
        <v>2518</v>
      </c>
      <c r="S1565" t="s">
        <v>257</v>
      </c>
      <c r="T1565" s="1">
        <v>44105</v>
      </c>
      <c r="U1565" s="1">
        <v>44105</v>
      </c>
      <c r="V1565" t="s">
        <v>270</v>
      </c>
      <c r="W1565">
        <v>11198</v>
      </c>
      <c r="X1565">
        <v>11198</v>
      </c>
      <c r="Y1565" t="s">
        <v>270</v>
      </c>
      <c r="Z1565">
        <v>11198</v>
      </c>
      <c r="AA1565">
        <v>11198</v>
      </c>
      <c r="AB1565" t="b">
        <v>1</v>
      </c>
    </row>
    <row r="1566" spans="17:28" x14ac:dyDescent="0.2">
      <c r="Q1566" t="s">
        <v>2018</v>
      </c>
      <c r="R1566" t="s">
        <v>2518</v>
      </c>
      <c r="S1566" t="s">
        <v>257</v>
      </c>
      <c r="T1566" s="1">
        <v>44075</v>
      </c>
      <c r="U1566" s="1">
        <v>44075</v>
      </c>
      <c r="V1566" t="s">
        <v>270</v>
      </c>
      <c r="W1566">
        <v>10375</v>
      </c>
      <c r="X1566">
        <v>10375</v>
      </c>
      <c r="Y1566" t="s">
        <v>270</v>
      </c>
      <c r="Z1566">
        <v>10375</v>
      </c>
      <c r="AA1566">
        <v>10375</v>
      </c>
      <c r="AB1566" t="b">
        <v>1</v>
      </c>
    </row>
    <row r="1567" spans="17:28" x14ac:dyDescent="0.2">
      <c r="Q1567" t="s">
        <v>2018</v>
      </c>
      <c r="R1567" t="s">
        <v>2518</v>
      </c>
      <c r="S1567" t="s">
        <v>257</v>
      </c>
      <c r="T1567" s="1">
        <v>44348</v>
      </c>
      <c r="U1567" s="1">
        <v>44348</v>
      </c>
      <c r="V1567" t="s">
        <v>270</v>
      </c>
      <c r="W1567">
        <v>1748440</v>
      </c>
      <c r="X1567">
        <v>1748440</v>
      </c>
      <c r="Y1567" t="s">
        <v>270</v>
      </c>
      <c r="Z1567">
        <v>1748440</v>
      </c>
      <c r="AA1567">
        <v>1748440</v>
      </c>
      <c r="AB1567" t="b">
        <v>1</v>
      </c>
    </row>
    <row r="1568" spans="17:28" x14ac:dyDescent="0.2">
      <c r="Q1568" t="s">
        <v>2018</v>
      </c>
      <c r="R1568" t="s">
        <v>2518</v>
      </c>
      <c r="S1568" t="s">
        <v>257</v>
      </c>
      <c r="T1568" s="1">
        <v>44317</v>
      </c>
      <c r="U1568" s="1">
        <v>44317</v>
      </c>
      <c r="V1568" t="s">
        <v>270</v>
      </c>
      <c r="W1568">
        <v>953016</v>
      </c>
      <c r="X1568">
        <v>953016</v>
      </c>
      <c r="Y1568" t="s">
        <v>270</v>
      </c>
      <c r="Z1568">
        <v>953016</v>
      </c>
      <c r="AA1568">
        <v>953016</v>
      </c>
      <c r="AB1568" t="b">
        <v>1</v>
      </c>
    </row>
    <row r="1569" spans="17:28" x14ac:dyDescent="0.2">
      <c r="Q1569" t="s">
        <v>2018</v>
      </c>
      <c r="R1569" t="s">
        <v>2518</v>
      </c>
      <c r="S1569" t="s">
        <v>257</v>
      </c>
      <c r="T1569" s="1">
        <v>44287</v>
      </c>
      <c r="U1569" s="1">
        <v>44287</v>
      </c>
      <c r="V1569" t="s">
        <v>270</v>
      </c>
      <c r="W1569">
        <v>586283</v>
      </c>
      <c r="X1569">
        <v>586283</v>
      </c>
      <c r="Y1569" t="s">
        <v>270</v>
      </c>
      <c r="Z1569">
        <v>586283</v>
      </c>
      <c r="AA1569">
        <v>586283</v>
      </c>
      <c r="AB1569" t="b">
        <v>1</v>
      </c>
    </row>
    <row r="1570" spans="17:28" x14ac:dyDescent="0.2">
      <c r="Q1570" t="s">
        <v>2018</v>
      </c>
      <c r="R1570" t="s">
        <v>2518</v>
      </c>
      <c r="S1570" t="s">
        <v>257</v>
      </c>
      <c r="T1570" s="1">
        <v>44256</v>
      </c>
      <c r="U1570" s="1">
        <v>44256</v>
      </c>
      <c r="V1570" t="s">
        <v>270</v>
      </c>
      <c r="W1570">
        <v>254276</v>
      </c>
      <c r="X1570">
        <v>254276</v>
      </c>
      <c r="Y1570" t="s">
        <v>270</v>
      </c>
      <c r="Z1570">
        <v>254276</v>
      </c>
      <c r="AA1570">
        <v>254276</v>
      </c>
      <c r="AB1570" t="b">
        <v>1</v>
      </c>
    </row>
    <row r="1571" spans="17:28" x14ac:dyDescent="0.2">
      <c r="Q1571" t="s">
        <v>2018</v>
      </c>
      <c r="R1571" t="s">
        <v>2518</v>
      </c>
      <c r="S1571" t="s">
        <v>257</v>
      </c>
      <c r="T1571" s="1">
        <v>44228</v>
      </c>
      <c r="U1571" s="1">
        <v>44228</v>
      </c>
      <c r="V1571" t="s">
        <v>270</v>
      </c>
      <c r="W1571">
        <v>87438</v>
      </c>
      <c r="X1571">
        <v>87438</v>
      </c>
      <c r="Y1571" t="s">
        <v>270</v>
      </c>
      <c r="Z1571">
        <v>87438</v>
      </c>
      <c r="AA1571">
        <v>87438</v>
      </c>
      <c r="AB1571" t="b">
        <v>1</v>
      </c>
    </row>
    <row r="1572" spans="17:28" x14ac:dyDescent="0.2">
      <c r="Q1572" t="s">
        <v>2018</v>
      </c>
      <c r="R1572" t="s">
        <v>2518</v>
      </c>
      <c r="S1572" t="s">
        <v>257</v>
      </c>
      <c r="T1572" s="1">
        <v>44197</v>
      </c>
      <c r="U1572" s="1">
        <v>44197</v>
      </c>
      <c r="V1572" t="s">
        <v>270</v>
      </c>
      <c r="W1572">
        <v>157</v>
      </c>
      <c r="X1572">
        <v>157</v>
      </c>
      <c r="Y1572" t="s">
        <v>270</v>
      </c>
      <c r="Z1572">
        <v>157</v>
      </c>
      <c r="AA1572">
        <v>157</v>
      </c>
      <c r="AB1572" t="b">
        <v>1</v>
      </c>
    </row>
    <row r="1573" spans="17:28" x14ac:dyDescent="0.2">
      <c r="Q1573" t="s">
        <v>2018</v>
      </c>
      <c r="R1573" t="s">
        <v>2518</v>
      </c>
      <c r="S1573" t="s">
        <v>257</v>
      </c>
      <c r="T1573" s="1">
        <v>44166</v>
      </c>
      <c r="U1573" s="1">
        <v>44166</v>
      </c>
      <c r="V1573" t="s">
        <v>270</v>
      </c>
      <c r="W1573">
        <v>572756</v>
      </c>
      <c r="X1573">
        <v>572756</v>
      </c>
      <c r="Y1573" t="s">
        <v>270</v>
      </c>
      <c r="Z1573">
        <v>572756</v>
      </c>
      <c r="AA1573">
        <v>572756</v>
      </c>
      <c r="AB1573" t="b">
        <v>1</v>
      </c>
    </row>
    <row r="1574" spans="17:28" x14ac:dyDescent="0.2">
      <c r="Q1574" t="s">
        <v>2018</v>
      </c>
      <c r="R1574" t="s">
        <v>2518</v>
      </c>
      <c r="S1574" t="s">
        <v>257</v>
      </c>
      <c r="T1574" s="1">
        <v>44136</v>
      </c>
      <c r="U1574" s="1">
        <v>44136</v>
      </c>
      <c r="V1574" t="s">
        <v>270</v>
      </c>
      <c r="W1574">
        <v>59431</v>
      </c>
      <c r="X1574">
        <v>59431</v>
      </c>
      <c r="Y1574" t="s">
        <v>270</v>
      </c>
      <c r="Z1574">
        <v>59431</v>
      </c>
      <c r="AA1574">
        <v>59431</v>
      </c>
      <c r="AB1574" t="b">
        <v>1</v>
      </c>
    </row>
    <row r="1575" spans="17:28" x14ac:dyDescent="0.2">
      <c r="Q1575" t="s">
        <v>2018</v>
      </c>
      <c r="R1575" t="s">
        <v>2518</v>
      </c>
      <c r="S1575" t="s">
        <v>257</v>
      </c>
      <c r="T1575" s="1">
        <v>44105</v>
      </c>
      <c r="U1575" s="1">
        <v>44105</v>
      </c>
      <c r="V1575" t="s">
        <v>270</v>
      </c>
      <c r="W1575">
        <v>11198</v>
      </c>
      <c r="X1575">
        <v>11198</v>
      </c>
      <c r="Y1575" t="s">
        <v>270</v>
      </c>
      <c r="Z1575">
        <v>11198</v>
      </c>
      <c r="AA1575">
        <v>11198</v>
      </c>
      <c r="AB1575" t="b">
        <v>1</v>
      </c>
    </row>
    <row r="1576" spans="17:28" x14ac:dyDescent="0.2">
      <c r="Q1576" t="s">
        <v>2018</v>
      </c>
      <c r="R1576" t="s">
        <v>2518</v>
      </c>
      <c r="S1576" t="s">
        <v>257</v>
      </c>
      <c r="T1576" s="1">
        <v>44075</v>
      </c>
      <c r="U1576" s="1">
        <v>44075</v>
      </c>
      <c r="V1576" t="s">
        <v>270</v>
      </c>
      <c r="W1576">
        <v>10375</v>
      </c>
      <c r="X1576">
        <v>10375</v>
      </c>
      <c r="Y1576" t="s">
        <v>270</v>
      </c>
      <c r="Z1576">
        <v>10375</v>
      </c>
      <c r="AA1576">
        <v>10375</v>
      </c>
      <c r="AB1576" t="b">
        <v>1</v>
      </c>
    </row>
    <row r="1577" spans="17:28" x14ac:dyDescent="0.2">
      <c r="Q1577" t="s">
        <v>2018</v>
      </c>
      <c r="R1577" t="s">
        <v>2519</v>
      </c>
      <c r="S1577" t="s">
        <v>257</v>
      </c>
      <c r="T1577" s="1">
        <v>44348</v>
      </c>
      <c r="U1577" s="1">
        <v>44348</v>
      </c>
      <c r="V1577" t="s">
        <v>270</v>
      </c>
      <c r="W1577">
        <v>1622986</v>
      </c>
      <c r="X1577">
        <v>1622986</v>
      </c>
      <c r="Y1577" t="s">
        <v>270</v>
      </c>
      <c r="Z1577">
        <v>1622986</v>
      </c>
      <c r="AA1577">
        <v>1622986</v>
      </c>
      <c r="AB1577" t="b">
        <v>1</v>
      </c>
    </row>
    <row r="1578" spans="17:28" x14ac:dyDescent="0.2">
      <c r="Q1578" t="s">
        <v>2018</v>
      </c>
      <c r="R1578" t="s">
        <v>2519</v>
      </c>
      <c r="S1578" t="s">
        <v>257</v>
      </c>
      <c r="T1578" s="1">
        <v>44317</v>
      </c>
      <c r="U1578" s="1">
        <v>44317</v>
      </c>
      <c r="V1578" t="s">
        <v>270</v>
      </c>
      <c r="W1578">
        <v>992367</v>
      </c>
      <c r="X1578">
        <v>992367</v>
      </c>
      <c r="Y1578" t="s">
        <v>270</v>
      </c>
      <c r="Z1578">
        <v>992367</v>
      </c>
      <c r="AA1578">
        <v>992367</v>
      </c>
      <c r="AB1578" t="b">
        <v>1</v>
      </c>
    </row>
    <row r="1579" spans="17:28" x14ac:dyDescent="0.2">
      <c r="Q1579" t="s">
        <v>2018</v>
      </c>
      <c r="R1579" t="s">
        <v>2519</v>
      </c>
      <c r="S1579" t="s">
        <v>257</v>
      </c>
      <c r="T1579" s="1">
        <v>44287</v>
      </c>
      <c r="U1579" s="1">
        <v>44287</v>
      </c>
      <c r="V1579" t="s">
        <v>270</v>
      </c>
      <c r="W1579">
        <v>287281</v>
      </c>
      <c r="X1579">
        <v>287281</v>
      </c>
      <c r="Y1579" t="s">
        <v>270</v>
      </c>
      <c r="Z1579">
        <v>287281</v>
      </c>
      <c r="AA1579">
        <v>287281</v>
      </c>
      <c r="AB1579" t="b">
        <v>1</v>
      </c>
    </row>
    <row r="1580" spans="17:28" x14ac:dyDescent="0.2">
      <c r="Q1580" t="s">
        <v>2018</v>
      </c>
      <c r="R1580" t="s">
        <v>2519</v>
      </c>
      <c r="S1580" t="s">
        <v>257</v>
      </c>
      <c r="T1580" s="1">
        <v>44256</v>
      </c>
      <c r="U1580" s="1">
        <v>44256</v>
      </c>
      <c r="V1580" t="s">
        <v>270</v>
      </c>
      <c r="W1580">
        <v>305055</v>
      </c>
      <c r="X1580">
        <v>305055</v>
      </c>
      <c r="Y1580" t="s">
        <v>270</v>
      </c>
      <c r="Z1580">
        <v>305055</v>
      </c>
      <c r="AA1580">
        <v>305055</v>
      </c>
      <c r="AB1580" t="b">
        <v>1</v>
      </c>
    </row>
    <row r="1581" spans="17:28" x14ac:dyDescent="0.2">
      <c r="Q1581" t="s">
        <v>2018</v>
      </c>
      <c r="R1581" t="s">
        <v>2519</v>
      </c>
      <c r="S1581" t="s">
        <v>257</v>
      </c>
      <c r="T1581" s="1">
        <v>44228</v>
      </c>
      <c r="U1581" s="1">
        <v>44228</v>
      </c>
      <c r="V1581" t="s">
        <v>270</v>
      </c>
      <c r="W1581">
        <v>246637</v>
      </c>
      <c r="X1581">
        <v>246637</v>
      </c>
      <c r="Y1581" t="s">
        <v>270</v>
      </c>
      <c r="Z1581">
        <v>246637</v>
      </c>
      <c r="AA1581">
        <v>246637</v>
      </c>
      <c r="AB1581" t="b">
        <v>1</v>
      </c>
    </row>
    <row r="1582" spans="17:28" x14ac:dyDescent="0.2">
      <c r="Q1582" t="s">
        <v>2018</v>
      </c>
      <c r="R1582" t="s">
        <v>2519</v>
      </c>
      <c r="S1582" t="s">
        <v>257</v>
      </c>
      <c r="T1582" s="1">
        <v>44197</v>
      </c>
      <c r="U1582" s="1">
        <v>44197</v>
      </c>
      <c r="V1582" t="s">
        <v>270</v>
      </c>
      <c r="W1582">
        <v>203322</v>
      </c>
      <c r="X1582">
        <v>203322</v>
      </c>
      <c r="Y1582" t="s">
        <v>270</v>
      </c>
      <c r="Z1582">
        <v>203322</v>
      </c>
      <c r="AA1582">
        <v>203322</v>
      </c>
      <c r="AB1582" t="b">
        <v>1</v>
      </c>
    </row>
    <row r="1583" spans="17:28" x14ac:dyDescent="0.2">
      <c r="Q1583" t="s">
        <v>2018</v>
      </c>
      <c r="R1583" t="s">
        <v>2519</v>
      </c>
      <c r="S1583" t="s">
        <v>257</v>
      </c>
      <c r="T1583" s="1">
        <v>44166</v>
      </c>
      <c r="U1583" s="1">
        <v>44166</v>
      </c>
      <c r="V1583" t="s">
        <v>270</v>
      </c>
      <c r="W1583">
        <v>171041</v>
      </c>
      <c r="X1583">
        <v>171041</v>
      </c>
      <c r="Y1583" t="s">
        <v>270</v>
      </c>
      <c r="Z1583">
        <v>171041</v>
      </c>
      <c r="AA1583">
        <v>171041</v>
      </c>
      <c r="AB1583" t="b">
        <v>1</v>
      </c>
    </row>
    <row r="1584" spans="17:28" x14ac:dyDescent="0.2">
      <c r="Q1584" t="s">
        <v>2018</v>
      </c>
      <c r="R1584" t="s">
        <v>2519</v>
      </c>
      <c r="S1584" t="s">
        <v>257</v>
      </c>
      <c r="T1584" s="1">
        <v>44136</v>
      </c>
      <c r="U1584" s="1">
        <v>44136</v>
      </c>
      <c r="V1584" t="s">
        <v>270</v>
      </c>
      <c r="W1584">
        <v>210331</v>
      </c>
      <c r="X1584">
        <v>210331</v>
      </c>
      <c r="Y1584" t="s">
        <v>270</v>
      </c>
      <c r="Z1584">
        <v>210331</v>
      </c>
      <c r="AA1584">
        <v>210331</v>
      </c>
      <c r="AB1584" t="b">
        <v>1</v>
      </c>
    </row>
    <row r="1585" spans="17:28" x14ac:dyDescent="0.2">
      <c r="Q1585" t="s">
        <v>2018</v>
      </c>
      <c r="R1585" t="s">
        <v>2519</v>
      </c>
      <c r="S1585" t="s">
        <v>257</v>
      </c>
      <c r="T1585" s="1">
        <v>44105</v>
      </c>
      <c r="U1585" s="1">
        <v>44105</v>
      </c>
      <c r="V1585" t="s">
        <v>270</v>
      </c>
      <c r="W1585">
        <v>11198</v>
      </c>
      <c r="X1585">
        <v>11198</v>
      </c>
      <c r="Y1585" t="s">
        <v>270</v>
      </c>
      <c r="Z1585">
        <v>11198</v>
      </c>
      <c r="AA1585">
        <v>11198</v>
      </c>
      <c r="AB1585" t="b">
        <v>1</v>
      </c>
    </row>
    <row r="1586" spans="17:28" x14ac:dyDescent="0.2">
      <c r="Q1586" t="s">
        <v>2018</v>
      </c>
      <c r="R1586" t="s">
        <v>2519</v>
      </c>
      <c r="S1586" t="s">
        <v>257</v>
      </c>
      <c r="T1586" s="1">
        <v>44075</v>
      </c>
      <c r="U1586" s="1">
        <v>44075</v>
      </c>
      <c r="V1586" t="s">
        <v>270</v>
      </c>
      <c r="W1586">
        <v>10375</v>
      </c>
      <c r="X1586">
        <v>10375</v>
      </c>
      <c r="Y1586" t="s">
        <v>270</v>
      </c>
      <c r="Z1586">
        <v>10375</v>
      </c>
      <c r="AA1586">
        <v>10375</v>
      </c>
      <c r="AB1586" t="b">
        <v>1</v>
      </c>
    </row>
    <row r="1587" spans="17:28" x14ac:dyDescent="0.2">
      <c r="Q1587" t="s">
        <v>2018</v>
      </c>
      <c r="R1587" t="s">
        <v>2519</v>
      </c>
      <c r="S1587" t="s">
        <v>257</v>
      </c>
      <c r="T1587" s="1">
        <v>44348</v>
      </c>
      <c r="U1587" s="1">
        <v>44348</v>
      </c>
      <c r="V1587" t="s">
        <v>270</v>
      </c>
      <c r="W1587">
        <v>1622986</v>
      </c>
      <c r="X1587">
        <v>1622986</v>
      </c>
      <c r="Y1587" t="s">
        <v>270</v>
      </c>
      <c r="Z1587">
        <v>1622986</v>
      </c>
      <c r="AA1587">
        <v>1622986</v>
      </c>
      <c r="AB1587" t="b">
        <v>1</v>
      </c>
    </row>
    <row r="1588" spans="17:28" x14ac:dyDescent="0.2">
      <c r="Q1588" t="s">
        <v>2018</v>
      </c>
      <c r="R1588" t="s">
        <v>2519</v>
      </c>
      <c r="S1588" t="s">
        <v>257</v>
      </c>
      <c r="T1588" s="1">
        <v>44317</v>
      </c>
      <c r="U1588" s="1">
        <v>44317</v>
      </c>
      <c r="V1588" t="s">
        <v>270</v>
      </c>
      <c r="W1588">
        <v>992367</v>
      </c>
      <c r="X1588">
        <v>992367</v>
      </c>
      <c r="Y1588" t="s">
        <v>270</v>
      </c>
      <c r="Z1588">
        <v>992367</v>
      </c>
      <c r="AA1588">
        <v>992367</v>
      </c>
      <c r="AB1588" t="b">
        <v>1</v>
      </c>
    </row>
    <row r="1589" spans="17:28" x14ac:dyDescent="0.2">
      <c r="Q1589" t="s">
        <v>2018</v>
      </c>
      <c r="R1589" t="s">
        <v>2519</v>
      </c>
      <c r="S1589" t="s">
        <v>257</v>
      </c>
      <c r="T1589" s="1">
        <v>44287</v>
      </c>
      <c r="U1589" s="1">
        <v>44287</v>
      </c>
      <c r="V1589" t="s">
        <v>270</v>
      </c>
      <c r="W1589">
        <v>287281</v>
      </c>
      <c r="X1589">
        <v>287281</v>
      </c>
      <c r="Y1589" t="s">
        <v>270</v>
      </c>
      <c r="Z1589">
        <v>287281</v>
      </c>
      <c r="AA1589">
        <v>287281</v>
      </c>
      <c r="AB1589" t="b">
        <v>1</v>
      </c>
    </row>
    <row r="1590" spans="17:28" x14ac:dyDescent="0.2">
      <c r="Q1590" t="s">
        <v>2018</v>
      </c>
      <c r="R1590" t="s">
        <v>2519</v>
      </c>
      <c r="S1590" t="s">
        <v>257</v>
      </c>
      <c r="T1590" s="1">
        <v>44256</v>
      </c>
      <c r="U1590" s="1">
        <v>44256</v>
      </c>
      <c r="V1590" t="s">
        <v>270</v>
      </c>
      <c r="W1590">
        <v>305055</v>
      </c>
      <c r="X1590">
        <v>305055</v>
      </c>
      <c r="Y1590" t="s">
        <v>270</v>
      </c>
      <c r="Z1590">
        <v>305055</v>
      </c>
      <c r="AA1590">
        <v>305055</v>
      </c>
      <c r="AB1590" t="b">
        <v>1</v>
      </c>
    </row>
    <row r="1591" spans="17:28" x14ac:dyDescent="0.2">
      <c r="Q1591" t="s">
        <v>2018</v>
      </c>
      <c r="R1591" t="s">
        <v>2519</v>
      </c>
      <c r="S1591" t="s">
        <v>257</v>
      </c>
      <c r="T1591" s="1">
        <v>44228</v>
      </c>
      <c r="U1591" s="1">
        <v>44228</v>
      </c>
      <c r="V1591" t="s">
        <v>270</v>
      </c>
      <c r="W1591">
        <v>246637</v>
      </c>
      <c r="X1591">
        <v>246637</v>
      </c>
      <c r="Y1591" t="s">
        <v>270</v>
      </c>
      <c r="Z1591">
        <v>246637</v>
      </c>
      <c r="AA1591">
        <v>246637</v>
      </c>
      <c r="AB1591" t="b">
        <v>1</v>
      </c>
    </row>
    <row r="1592" spans="17:28" x14ac:dyDescent="0.2">
      <c r="Q1592" t="s">
        <v>2018</v>
      </c>
      <c r="R1592" t="s">
        <v>2519</v>
      </c>
      <c r="S1592" t="s">
        <v>257</v>
      </c>
      <c r="T1592" s="1">
        <v>44197</v>
      </c>
      <c r="U1592" s="1">
        <v>44197</v>
      </c>
      <c r="V1592" t="s">
        <v>270</v>
      </c>
      <c r="W1592">
        <v>203322</v>
      </c>
      <c r="X1592">
        <v>203322</v>
      </c>
      <c r="Y1592" t="s">
        <v>270</v>
      </c>
      <c r="Z1592">
        <v>203322</v>
      </c>
      <c r="AA1592">
        <v>203322</v>
      </c>
      <c r="AB1592" t="b">
        <v>1</v>
      </c>
    </row>
    <row r="1593" spans="17:28" x14ac:dyDescent="0.2">
      <c r="Q1593" t="s">
        <v>2018</v>
      </c>
      <c r="R1593" t="s">
        <v>2519</v>
      </c>
      <c r="S1593" t="s">
        <v>257</v>
      </c>
      <c r="T1593" s="1">
        <v>44166</v>
      </c>
      <c r="U1593" s="1">
        <v>44166</v>
      </c>
      <c r="V1593" t="s">
        <v>270</v>
      </c>
      <c r="W1593">
        <v>171041</v>
      </c>
      <c r="X1593">
        <v>171041</v>
      </c>
      <c r="Y1593" t="s">
        <v>270</v>
      </c>
      <c r="Z1593">
        <v>171041</v>
      </c>
      <c r="AA1593">
        <v>171041</v>
      </c>
      <c r="AB1593" t="b">
        <v>1</v>
      </c>
    </row>
    <row r="1594" spans="17:28" x14ac:dyDescent="0.2">
      <c r="Q1594" t="s">
        <v>2018</v>
      </c>
      <c r="R1594" t="s">
        <v>2519</v>
      </c>
      <c r="S1594" t="s">
        <v>257</v>
      </c>
      <c r="T1594" s="1">
        <v>44136</v>
      </c>
      <c r="U1594" s="1">
        <v>44136</v>
      </c>
      <c r="V1594" t="s">
        <v>270</v>
      </c>
      <c r="W1594">
        <v>210331</v>
      </c>
      <c r="X1594">
        <v>210331</v>
      </c>
      <c r="Y1594" t="s">
        <v>270</v>
      </c>
      <c r="Z1594">
        <v>210331</v>
      </c>
      <c r="AA1594">
        <v>210331</v>
      </c>
      <c r="AB1594" t="b">
        <v>1</v>
      </c>
    </row>
    <row r="1595" spans="17:28" x14ac:dyDescent="0.2">
      <c r="Q1595" t="s">
        <v>2018</v>
      </c>
      <c r="R1595" t="s">
        <v>2519</v>
      </c>
      <c r="S1595" t="s">
        <v>257</v>
      </c>
      <c r="T1595" s="1">
        <v>44105</v>
      </c>
      <c r="U1595" s="1">
        <v>44105</v>
      </c>
      <c r="V1595" t="s">
        <v>270</v>
      </c>
      <c r="W1595">
        <v>11198</v>
      </c>
      <c r="X1595">
        <v>11198</v>
      </c>
      <c r="Y1595" t="s">
        <v>270</v>
      </c>
      <c r="Z1595">
        <v>11198</v>
      </c>
      <c r="AA1595">
        <v>11198</v>
      </c>
      <c r="AB1595" t="b">
        <v>1</v>
      </c>
    </row>
    <row r="1596" spans="17:28" x14ac:dyDescent="0.2">
      <c r="Q1596" t="s">
        <v>2018</v>
      </c>
      <c r="R1596" t="s">
        <v>2519</v>
      </c>
      <c r="S1596" t="s">
        <v>257</v>
      </c>
      <c r="T1596" s="1">
        <v>44075</v>
      </c>
      <c r="U1596" s="1">
        <v>44075</v>
      </c>
      <c r="V1596" t="s">
        <v>270</v>
      </c>
      <c r="W1596">
        <v>10375</v>
      </c>
      <c r="X1596">
        <v>10375</v>
      </c>
      <c r="Y1596" t="s">
        <v>270</v>
      </c>
      <c r="Z1596">
        <v>10375</v>
      </c>
      <c r="AA1596">
        <v>10375</v>
      </c>
      <c r="AB1596" t="b">
        <v>1</v>
      </c>
    </row>
    <row r="1597" spans="17:28" x14ac:dyDescent="0.2">
      <c r="Q1597" t="s">
        <v>2018</v>
      </c>
      <c r="R1597" t="s">
        <v>2520</v>
      </c>
      <c r="S1597" t="s">
        <v>257</v>
      </c>
      <c r="T1597" s="1">
        <v>44317</v>
      </c>
      <c r="U1597" s="1">
        <v>44317</v>
      </c>
      <c r="V1597" t="s">
        <v>270</v>
      </c>
      <c r="W1597">
        <v>33581</v>
      </c>
      <c r="X1597">
        <v>33581</v>
      </c>
      <c r="Y1597" t="s">
        <v>270</v>
      </c>
      <c r="Z1597">
        <v>33581</v>
      </c>
      <c r="AA1597">
        <v>33581</v>
      </c>
      <c r="AB1597" t="b">
        <v>1</v>
      </c>
    </row>
    <row r="1598" spans="17:28" x14ac:dyDescent="0.2">
      <c r="Q1598" t="s">
        <v>2018</v>
      </c>
      <c r="R1598" t="s">
        <v>2520</v>
      </c>
      <c r="S1598" t="s">
        <v>257</v>
      </c>
      <c r="T1598" s="1">
        <v>44228</v>
      </c>
      <c r="U1598" s="1">
        <v>44228</v>
      </c>
      <c r="V1598" t="s">
        <v>270</v>
      </c>
      <c r="W1598">
        <v>29030</v>
      </c>
      <c r="X1598">
        <v>29030</v>
      </c>
      <c r="Y1598" t="s">
        <v>270</v>
      </c>
      <c r="Z1598">
        <v>29030</v>
      </c>
      <c r="AA1598">
        <v>29030</v>
      </c>
      <c r="AB1598" t="b">
        <v>1</v>
      </c>
    </row>
    <row r="1599" spans="17:28" x14ac:dyDescent="0.2">
      <c r="Q1599" t="s">
        <v>2018</v>
      </c>
      <c r="R1599" t="s">
        <v>2520</v>
      </c>
      <c r="S1599" t="s">
        <v>257</v>
      </c>
      <c r="T1599" s="1">
        <v>44166</v>
      </c>
      <c r="U1599" s="1">
        <v>44166</v>
      </c>
      <c r="V1599" t="s">
        <v>270</v>
      </c>
      <c r="W1599">
        <v>1864446</v>
      </c>
      <c r="X1599">
        <v>1864446</v>
      </c>
      <c r="Y1599" t="s">
        <v>270</v>
      </c>
      <c r="Z1599">
        <v>1864446</v>
      </c>
      <c r="AA1599">
        <v>1864446</v>
      </c>
      <c r="AB1599" t="b">
        <v>1</v>
      </c>
    </row>
    <row r="1600" spans="17:28" x14ac:dyDescent="0.2">
      <c r="Q1600" t="s">
        <v>2018</v>
      </c>
      <c r="R1600" t="s">
        <v>2520</v>
      </c>
      <c r="S1600" t="s">
        <v>257</v>
      </c>
      <c r="T1600" s="1">
        <v>44136</v>
      </c>
      <c r="U1600" s="1">
        <v>44136</v>
      </c>
      <c r="V1600" t="s">
        <v>270</v>
      </c>
      <c r="W1600">
        <v>345348</v>
      </c>
      <c r="X1600">
        <v>345348</v>
      </c>
      <c r="Y1600" t="s">
        <v>270</v>
      </c>
      <c r="Z1600">
        <v>345348</v>
      </c>
      <c r="AA1600">
        <v>345348</v>
      </c>
      <c r="AB1600" t="b">
        <v>1</v>
      </c>
    </row>
    <row r="1601" spans="17:28" x14ac:dyDescent="0.2">
      <c r="Q1601" t="s">
        <v>2018</v>
      </c>
      <c r="R1601" t="s">
        <v>2520</v>
      </c>
      <c r="S1601" t="s">
        <v>257</v>
      </c>
      <c r="T1601" s="1">
        <v>44105</v>
      </c>
      <c r="U1601" s="1">
        <v>44105</v>
      </c>
      <c r="V1601" t="s">
        <v>270</v>
      </c>
      <c r="W1601">
        <v>128964</v>
      </c>
      <c r="X1601">
        <v>128964</v>
      </c>
      <c r="Y1601" t="s">
        <v>270</v>
      </c>
      <c r="Z1601">
        <v>128964</v>
      </c>
      <c r="AA1601">
        <v>128964</v>
      </c>
      <c r="AB1601" t="b">
        <v>1</v>
      </c>
    </row>
    <row r="1602" spans="17:28" x14ac:dyDescent="0.2">
      <c r="Q1602" t="s">
        <v>2018</v>
      </c>
      <c r="R1602" t="s">
        <v>2520</v>
      </c>
      <c r="S1602" t="s">
        <v>257</v>
      </c>
      <c r="T1602" s="1">
        <v>44075</v>
      </c>
      <c r="U1602" s="1">
        <v>44075</v>
      </c>
      <c r="V1602" t="s">
        <v>270</v>
      </c>
      <c r="W1602">
        <v>73700</v>
      </c>
      <c r="X1602">
        <v>73700</v>
      </c>
      <c r="Y1602" t="s">
        <v>270</v>
      </c>
      <c r="Z1602">
        <v>73700</v>
      </c>
      <c r="AA1602">
        <v>73700</v>
      </c>
      <c r="AB1602" t="b">
        <v>1</v>
      </c>
    </row>
    <row r="1603" spans="17:28" x14ac:dyDescent="0.2">
      <c r="Q1603" t="s">
        <v>2018</v>
      </c>
      <c r="R1603" t="s">
        <v>2520</v>
      </c>
      <c r="S1603" t="s">
        <v>257</v>
      </c>
      <c r="T1603" s="1">
        <v>44317</v>
      </c>
      <c r="U1603" s="1">
        <v>44317</v>
      </c>
      <c r="V1603" t="s">
        <v>270</v>
      </c>
      <c r="W1603">
        <v>33581</v>
      </c>
      <c r="X1603">
        <v>33581</v>
      </c>
      <c r="Y1603" t="s">
        <v>270</v>
      </c>
      <c r="Z1603">
        <v>33581</v>
      </c>
      <c r="AA1603">
        <v>33581</v>
      </c>
      <c r="AB1603" t="b">
        <v>1</v>
      </c>
    </row>
    <row r="1604" spans="17:28" x14ac:dyDescent="0.2">
      <c r="Q1604" t="s">
        <v>2018</v>
      </c>
      <c r="R1604" t="s">
        <v>2520</v>
      </c>
      <c r="S1604" t="s">
        <v>257</v>
      </c>
      <c r="T1604" s="1">
        <v>44228</v>
      </c>
      <c r="U1604" s="1">
        <v>44228</v>
      </c>
      <c r="V1604" t="s">
        <v>270</v>
      </c>
      <c r="W1604">
        <v>29030</v>
      </c>
      <c r="X1604">
        <v>29030</v>
      </c>
      <c r="Y1604" t="s">
        <v>270</v>
      </c>
      <c r="Z1604">
        <v>29030</v>
      </c>
      <c r="AA1604">
        <v>29030</v>
      </c>
      <c r="AB1604" t="b">
        <v>1</v>
      </c>
    </row>
    <row r="1605" spans="17:28" x14ac:dyDescent="0.2">
      <c r="Q1605" t="s">
        <v>2018</v>
      </c>
      <c r="R1605" t="s">
        <v>2520</v>
      </c>
      <c r="S1605" t="s">
        <v>257</v>
      </c>
      <c r="T1605" s="1">
        <v>44166</v>
      </c>
      <c r="U1605" s="1">
        <v>44166</v>
      </c>
      <c r="V1605" t="s">
        <v>270</v>
      </c>
      <c r="W1605">
        <v>1864446</v>
      </c>
      <c r="X1605">
        <v>1864446</v>
      </c>
      <c r="Y1605" t="s">
        <v>270</v>
      </c>
      <c r="Z1605">
        <v>1864446</v>
      </c>
      <c r="AA1605">
        <v>1864446</v>
      </c>
      <c r="AB1605" t="b">
        <v>1</v>
      </c>
    </row>
    <row r="1606" spans="17:28" x14ac:dyDescent="0.2">
      <c r="Q1606" t="s">
        <v>2018</v>
      </c>
      <c r="R1606" t="s">
        <v>2520</v>
      </c>
      <c r="S1606" t="s">
        <v>257</v>
      </c>
      <c r="T1606" s="1">
        <v>44136</v>
      </c>
      <c r="U1606" s="1">
        <v>44136</v>
      </c>
      <c r="V1606" t="s">
        <v>270</v>
      </c>
      <c r="W1606">
        <v>345348</v>
      </c>
      <c r="X1606">
        <v>345348</v>
      </c>
      <c r="Y1606" t="s">
        <v>270</v>
      </c>
      <c r="Z1606">
        <v>345348</v>
      </c>
      <c r="AA1606">
        <v>345348</v>
      </c>
      <c r="AB1606" t="b">
        <v>1</v>
      </c>
    </row>
    <row r="1607" spans="17:28" x14ac:dyDescent="0.2">
      <c r="Q1607" t="s">
        <v>2018</v>
      </c>
      <c r="R1607" t="s">
        <v>2520</v>
      </c>
      <c r="S1607" t="s">
        <v>257</v>
      </c>
      <c r="T1607" s="1">
        <v>44105</v>
      </c>
      <c r="U1607" s="1">
        <v>44105</v>
      </c>
      <c r="V1607" t="s">
        <v>270</v>
      </c>
      <c r="W1607">
        <v>128964</v>
      </c>
      <c r="X1607">
        <v>128964</v>
      </c>
      <c r="Y1607" t="s">
        <v>270</v>
      </c>
      <c r="Z1607">
        <v>128964</v>
      </c>
      <c r="AA1607">
        <v>128964</v>
      </c>
      <c r="AB1607" t="b">
        <v>1</v>
      </c>
    </row>
    <row r="1608" spans="17:28" x14ac:dyDescent="0.2">
      <c r="Q1608" t="s">
        <v>2018</v>
      </c>
      <c r="R1608" t="s">
        <v>2520</v>
      </c>
      <c r="S1608" t="s">
        <v>257</v>
      </c>
      <c r="T1608" s="1">
        <v>44075</v>
      </c>
      <c r="U1608" s="1">
        <v>44075</v>
      </c>
      <c r="V1608" t="s">
        <v>270</v>
      </c>
      <c r="W1608">
        <v>73700</v>
      </c>
      <c r="X1608">
        <v>73700</v>
      </c>
      <c r="Y1608" t="s">
        <v>270</v>
      </c>
      <c r="Z1608">
        <v>73700</v>
      </c>
      <c r="AA1608">
        <v>73700</v>
      </c>
      <c r="AB1608" t="b">
        <v>1</v>
      </c>
    </row>
    <row r="1609" spans="17:28" x14ac:dyDescent="0.2">
      <c r="Q1609" t="s">
        <v>2018</v>
      </c>
      <c r="R1609" t="s">
        <v>2521</v>
      </c>
      <c r="S1609" t="s">
        <v>257</v>
      </c>
      <c r="T1609" s="1">
        <v>44166</v>
      </c>
      <c r="U1609" s="1">
        <v>44166</v>
      </c>
      <c r="V1609" t="s">
        <v>270</v>
      </c>
      <c r="W1609">
        <v>61614</v>
      </c>
      <c r="X1609">
        <v>61614</v>
      </c>
      <c r="Y1609" t="s">
        <v>270</v>
      </c>
      <c r="Z1609">
        <v>61614</v>
      </c>
      <c r="AA1609">
        <v>61614</v>
      </c>
      <c r="AB1609" t="b">
        <v>1</v>
      </c>
    </row>
    <row r="1610" spans="17:28" x14ac:dyDescent="0.2">
      <c r="Q1610" t="s">
        <v>2018</v>
      </c>
      <c r="R1610" t="s">
        <v>2521</v>
      </c>
      <c r="S1610" t="s">
        <v>257</v>
      </c>
      <c r="T1610" s="1">
        <v>44136</v>
      </c>
      <c r="U1610" s="1">
        <v>44136</v>
      </c>
      <c r="V1610" t="s">
        <v>270</v>
      </c>
      <c r="W1610">
        <v>137181</v>
      </c>
      <c r="X1610">
        <v>137181</v>
      </c>
      <c r="Y1610" t="s">
        <v>270</v>
      </c>
      <c r="Z1610">
        <v>137181</v>
      </c>
      <c r="AA1610">
        <v>137181</v>
      </c>
      <c r="AB1610" t="b">
        <v>1</v>
      </c>
    </row>
    <row r="1611" spans="17:28" x14ac:dyDescent="0.2">
      <c r="Q1611" t="s">
        <v>2018</v>
      </c>
      <c r="R1611" t="s">
        <v>2521</v>
      </c>
      <c r="S1611" t="s">
        <v>257</v>
      </c>
      <c r="T1611" s="1">
        <v>44105</v>
      </c>
      <c r="U1611" s="1">
        <v>44105</v>
      </c>
      <c r="V1611" t="s">
        <v>270</v>
      </c>
      <c r="W1611">
        <v>6</v>
      </c>
      <c r="X1611">
        <v>6</v>
      </c>
      <c r="Y1611" t="s">
        <v>270</v>
      </c>
      <c r="Z1611">
        <v>6</v>
      </c>
      <c r="AA1611">
        <v>6</v>
      </c>
      <c r="AB1611" t="b">
        <v>1</v>
      </c>
    </row>
    <row r="1612" spans="17:28" x14ac:dyDescent="0.2">
      <c r="Q1612" t="s">
        <v>2018</v>
      </c>
      <c r="R1612" t="s">
        <v>2521</v>
      </c>
      <c r="S1612" t="s">
        <v>257</v>
      </c>
      <c r="T1612" s="1">
        <v>44075</v>
      </c>
      <c r="U1612" s="1">
        <v>44075</v>
      </c>
      <c r="V1612" t="s">
        <v>270</v>
      </c>
      <c r="W1612">
        <v>842204</v>
      </c>
      <c r="X1612">
        <v>842204</v>
      </c>
      <c r="Y1612" t="s">
        <v>270</v>
      </c>
      <c r="Z1612">
        <v>842204</v>
      </c>
      <c r="AA1612">
        <v>842204</v>
      </c>
      <c r="AB1612" t="b">
        <v>1</v>
      </c>
    </row>
    <row r="1613" spans="17:28" x14ac:dyDescent="0.2">
      <c r="Q1613" t="s">
        <v>2018</v>
      </c>
      <c r="R1613" t="s">
        <v>2521</v>
      </c>
      <c r="S1613" t="s">
        <v>257</v>
      </c>
      <c r="T1613" s="1">
        <v>44044</v>
      </c>
      <c r="U1613" s="1">
        <v>44044</v>
      </c>
      <c r="V1613" t="s">
        <v>270</v>
      </c>
      <c r="W1613">
        <v>1186686</v>
      </c>
      <c r="X1613">
        <v>1186686</v>
      </c>
      <c r="Y1613" t="s">
        <v>270</v>
      </c>
      <c r="Z1613">
        <v>1186686</v>
      </c>
      <c r="AA1613">
        <v>1186686</v>
      </c>
      <c r="AB1613" t="b">
        <v>1</v>
      </c>
    </row>
    <row r="1614" spans="17:28" x14ac:dyDescent="0.2">
      <c r="Q1614" t="s">
        <v>2018</v>
      </c>
      <c r="R1614" t="s">
        <v>2521</v>
      </c>
      <c r="S1614" t="s">
        <v>257</v>
      </c>
      <c r="T1614" s="1">
        <v>44013</v>
      </c>
      <c r="U1614" s="1">
        <v>44013</v>
      </c>
      <c r="V1614" t="s">
        <v>270</v>
      </c>
      <c r="W1614">
        <v>99001</v>
      </c>
      <c r="X1614">
        <v>99001</v>
      </c>
      <c r="Y1614" t="s">
        <v>270</v>
      </c>
      <c r="Z1614">
        <v>99001</v>
      </c>
      <c r="AA1614">
        <v>99001</v>
      </c>
      <c r="AB1614" t="b">
        <v>1</v>
      </c>
    </row>
    <row r="1615" spans="17:28" x14ac:dyDescent="0.2">
      <c r="Q1615" t="s">
        <v>2018</v>
      </c>
      <c r="R1615" t="s">
        <v>2521</v>
      </c>
      <c r="S1615" t="s">
        <v>257</v>
      </c>
      <c r="T1615" s="1">
        <v>44166</v>
      </c>
      <c r="U1615" s="1">
        <v>44166</v>
      </c>
      <c r="V1615" t="s">
        <v>270</v>
      </c>
      <c r="W1615">
        <v>61614</v>
      </c>
      <c r="X1615">
        <v>61614</v>
      </c>
      <c r="Y1615" t="s">
        <v>270</v>
      </c>
      <c r="Z1615">
        <v>61614</v>
      </c>
      <c r="AA1615">
        <v>61614</v>
      </c>
      <c r="AB1615" t="b">
        <v>1</v>
      </c>
    </row>
    <row r="1616" spans="17:28" x14ac:dyDescent="0.2">
      <c r="Q1616" t="s">
        <v>2018</v>
      </c>
      <c r="R1616" t="s">
        <v>2521</v>
      </c>
      <c r="S1616" t="s">
        <v>257</v>
      </c>
      <c r="T1616" s="1">
        <v>44136</v>
      </c>
      <c r="U1616" s="1">
        <v>44136</v>
      </c>
      <c r="V1616" t="s">
        <v>270</v>
      </c>
      <c r="W1616">
        <v>137181</v>
      </c>
      <c r="X1616">
        <v>137181</v>
      </c>
      <c r="Y1616" t="s">
        <v>270</v>
      </c>
      <c r="Z1616">
        <v>137181</v>
      </c>
      <c r="AA1616">
        <v>137181</v>
      </c>
      <c r="AB1616" t="b">
        <v>1</v>
      </c>
    </row>
    <row r="1617" spans="17:28" x14ac:dyDescent="0.2">
      <c r="Q1617" t="s">
        <v>2018</v>
      </c>
      <c r="R1617" t="s">
        <v>2521</v>
      </c>
      <c r="S1617" t="s">
        <v>257</v>
      </c>
      <c r="T1617" s="1">
        <v>44105</v>
      </c>
      <c r="U1617" s="1">
        <v>44105</v>
      </c>
      <c r="V1617" t="s">
        <v>270</v>
      </c>
      <c r="W1617">
        <v>6</v>
      </c>
      <c r="X1617">
        <v>6</v>
      </c>
      <c r="Y1617" t="s">
        <v>270</v>
      </c>
      <c r="Z1617">
        <v>6</v>
      </c>
      <c r="AA1617">
        <v>6</v>
      </c>
      <c r="AB1617" t="b">
        <v>1</v>
      </c>
    </row>
    <row r="1618" spans="17:28" x14ac:dyDescent="0.2">
      <c r="Q1618" t="s">
        <v>2018</v>
      </c>
      <c r="R1618" t="s">
        <v>2521</v>
      </c>
      <c r="S1618" t="s">
        <v>257</v>
      </c>
      <c r="T1618" s="1">
        <v>44075</v>
      </c>
      <c r="U1618" s="1">
        <v>44075</v>
      </c>
      <c r="V1618" t="s">
        <v>270</v>
      </c>
      <c r="W1618">
        <v>842204</v>
      </c>
      <c r="X1618">
        <v>842204</v>
      </c>
      <c r="Y1618" t="s">
        <v>270</v>
      </c>
      <c r="Z1618">
        <v>842204</v>
      </c>
      <c r="AA1618">
        <v>842204</v>
      </c>
      <c r="AB1618" t="b">
        <v>1</v>
      </c>
    </row>
    <row r="1619" spans="17:28" x14ac:dyDescent="0.2">
      <c r="Q1619" t="s">
        <v>2018</v>
      </c>
      <c r="R1619" t="s">
        <v>2521</v>
      </c>
      <c r="S1619" t="s">
        <v>257</v>
      </c>
      <c r="T1619" s="1">
        <v>44044</v>
      </c>
      <c r="U1619" s="1">
        <v>44044</v>
      </c>
      <c r="V1619" t="s">
        <v>270</v>
      </c>
      <c r="W1619">
        <v>1186686</v>
      </c>
      <c r="X1619">
        <v>1186686</v>
      </c>
      <c r="Y1619" t="s">
        <v>270</v>
      </c>
      <c r="Z1619">
        <v>1186686</v>
      </c>
      <c r="AA1619">
        <v>1186686</v>
      </c>
      <c r="AB1619" t="b">
        <v>1</v>
      </c>
    </row>
    <row r="1620" spans="17:28" x14ac:dyDescent="0.2">
      <c r="Q1620" t="s">
        <v>2018</v>
      </c>
      <c r="R1620" t="s">
        <v>2521</v>
      </c>
      <c r="S1620" t="s">
        <v>257</v>
      </c>
      <c r="T1620" s="1">
        <v>44013</v>
      </c>
      <c r="U1620" s="1">
        <v>44013</v>
      </c>
      <c r="V1620" t="s">
        <v>270</v>
      </c>
      <c r="W1620">
        <v>99001</v>
      </c>
      <c r="X1620">
        <v>99001</v>
      </c>
      <c r="Y1620" t="s">
        <v>270</v>
      </c>
      <c r="Z1620">
        <v>99001</v>
      </c>
      <c r="AA1620">
        <v>99001</v>
      </c>
      <c r="AB1620" t="b">
        <v>1</v>
      </c>
    </row>
    <row r="1621" spans="17:28" x14ac:dyDescent="0.2">
      <c r="Q1621" t="s">
        <v>2018</v>
      </c>
      <c r="R1621" t="s">
        <v>2522</v>
      </c>
      <c r="S1621" t="s">
        <v>257</v>
      </c>
      <c r="T1621" s="1">
        <v>44197</v>
      </c>
      <c r="U1621" s="1">
        <v>44197</v>
      </c>
      <c r="V1621" t="s">
        <v>270</v>
      </c>
      <c r="W1621">
        <v>35980</v>
      </c>
      <c r="X1621">
        <v>35980</v>
      </c>
      <c r="Y1621" t="s">
        <v>270</v>
      </c>
      <c r="Z1621">
        <v>35980</v>
      </c>
      <c r="AA1621">
        <v>35980</v>
      </c>
      <c r="AB1621" t="b">
        <v>1</v>
      </c>
    </row>
    <row r="1622" spans="17:28" x14ac:dyDescent="0.2">
      <c r="Q1622" t="s">
        <v>2018</v>
      </c>
      <c r="R1622" t="s">
        <v>2522</v>
      </c>
      <c r="S1622" t="s">
        <v>257</v>
      </c>
      <c r="T1622" s="1">
        <v>44166</v>
      </c>
      <c r="U1622" s="1">
        <v>44166</v>
      </c>
      <c r="V1622" t="s">
        <v>270</v>
      </c>
      <c r="W1622">
        <v>374303</v>
      </c>
      <c r="X1622">
        <v>374303</v>
      </c>
      <c r="Y1622" t="s">
        <v>270</v>
      </c>
      <c r="Z1622">
        <v>374303</v>
      </c>
      <c r="AA1622">
        <v>374303</v>
      </c>
      <c r="AB1622" t="b">
        <v>1</v>
      </c>
    </row>
    <row r="1623" spans="17:28" x14ac:dyDescent="0.2">
      <c r="Q1623" t="s">
        <v>2018</v>
      </c>
      <c r="R1623" t="s">
        <v>2522</v>
      </c>
      <c r="S1623" t="s">
        <v>257</v>
      </c>
      <c r="T1623" s="1">
        <v>44136</v>
      </c>
      <c r="U1623" s="1">
        <v>44136</v>
      </c>
      <c r="V1623" t="s">
        <v>270</v>
      </c>
      <c r="W1623">
        <v>467185</v>
      </c>
      <c r="X1623">
        <v>467185</v>
      </c>
      <c r="Y1623" t="s">
        <v>270</v>
      </c>
      <c r="Z1623">
        <v>467185</v>
      </c>
      <c r="AA1623">
        <v>467185</v>
      </c>
      <c r="AB1623" t="b">
        <v>1</v>
      </c>
    </row>
    <row r="1624" spans="17:28" x14ac:dyDescent="0.2">
      <c r="Q1624" t="s">
        <v>2018</v>
      </c>
      <c r="R1624" t="s">
        <v>2522</v>
      </c>
      <c r="S1624" t="s">
        <v>257</v>
      </c>
      <c r="T1624" s="1">
        <v>44105</v>
      </c>
      <c r="U1624" s="1">
        <v>44105</v>
      </c>
      <c r="V1624" t="s">
        <v>270</v>
      </c>
      <c r="W1624">
        <v>543521</v>
      </c>
      <c r="X1624">
        <v>543521</v>
      </c>
      <c r="Y1624" t="s">
        <v>270</v>
      </c>
      <c r="Z1624">
        <v>543521</v>
      </c>
      <c r="AA1624">
        <v>543521</v>
      </c>
      <c r="AB1624" t="b">
        <v>1</v>
      </c>
    </row>
    <row r="1625" spans="17:28" x14ac:dyDescent="0.2">
      <c r="Q1625" t="s">
        <v>2018</v>
      </c>
      <c r="R1625" t="s">
        <v>2522</v>
      </c>
      <c r="S1625" t="s">
        <v>257</v>
      </c>
      <c r="T1625" s="1">
        <v>44075</v>
      </c>
      <c r="U1625" s="1">
        <v>44075</v>
      </c>
      <c r="V1625" t="s">
        <v>270</v>
      </c>
      <c r="W1625">
        <v>274964</v>
      </c>
      <c r="X1625">
        <v>274964</v>
      </c>
      <c r="Y1625" t="s">
        <v>270</v>
      </c>
      <c r="Z1625">
        <v>274964</v>
      </c>
      <c r="AA1625">
        <v>274964</v>
      </c>
      <c r="AB1625" t="b">
        <v>1</v>
      </c>
    </row>
    <row r="1626" spans="17:28" x14ac:dyDescent="0.2">
      <c r="Q1626" t="s">
        <v>2018</v>
      </c>
      <c r="R1626" t="s">
        <v>2522</v>
      </c>
      <c r="S1626" t="s">
        <v>257</v>
      </c>
      <c r="T1626" s="1">
        <v>44044</v>
      </c>
      <c r="U1626" s="1">
        <v>44044</v>
      </c>
      <c r="V1626" t="s">
        <v>270</v>
      </c>
      <c r="W1626">
        <v>183445</v>
      </c>
      <c r="X1626">
        <v>183445</v>
      </c>
      <c r="Y1626" t="s">
        <v>270</v>
      </c>
      <c r="Z1626">
        <v>183445</v>
      </c>
      <c r="AA1626">
        <v>183445</v>
      </c>
      <c r="AB1626" t="b">
        <v>1</v>
      </c>
    </row>
    <row r="1627" spans="17:28" x14ac:dyDescent="0.2">
      <c r="Q1627" t="s">
        <v>2018</v>
      </c>
      <c r="R1627" t="s">
        <v>2522</v>
      </c>
      <c r="S1627" t="s">
        <v>257</v>
      </c>
      <c r="T1627" s="1">
        <v>44013</v>
      </c>
      <c r="U1627" s="1">
        <v>44013</v>
      </c>
      <c r="V1627" t="s">
        <v>270</v>
      </c>
      <c r="W1627">
        <v>80081</v>
      </c>
      <c r="X1627">
        <v>80081</v>
      </c>
      <c r="Y1627" t="s">
        <v>270</v>
      </c>
      <c r="Z1627">
        <v>80081</v>
      </c>
      <c r="AA1627">
        <v>80081</v>
      </c>
      <c r="AB1627" t="b">
        <v>1</v>
      </c>
    </row>
    <row r="1628" spans="17:28" x14ac:dyDescent="0.2">
      <c r="Q1628" t="s">
        <v>2018</v>
      </c>
      <c r="R1628" t="s">
        <v>2522</v>
      </c>
      <c r="S1628" t="s">
        <v>257</v>
      </c>
      <c r="T1628" s="1">
        <v>44197</v>
      </c>
      <c r="U1628" s="1">
        <v>44197</v>
      </c>
      <c r="V1628" t="s">
        <v>270</v>
      </c>
      <c r="W1628">
        <v>35980</v>
      </c>
      <c r="X1628">
        <v>35980</v>
      </c>
      <c r="Y1628" t="s">
        <v>270</v>
      </c>
      <c r="Z1628">
        <v>35980</v>
      </c>
      <c r="AA1628">
        <v>35980</v>
      </c>
      <c r="AB1628" t="b">
        <v>1</v>
      </c>
    </row>
    <row r="1629" spans="17:28" x14ac:dyDescent="0.2">
      <c r="Q1629" t="s">
        <v>2018</v>
      </c>
      <c r="R1629" t="s">
        <v>2522</v>
      </c>
      <c r="S1629" t="s">
        <v>257</v>
      </c>
      <c r="T1629" s="1">
        <v>44166</v>
      </c>
      <c r="U1629" s="1">
        <v>44166</v>
      </c>
      <c r="V1629" t="s">
        <v>270</v>
      </c>
      <c r="W1629">
        <v>374303</v>
      </c>
      <c r="X1629">
        <v>374303</v>
      </c>
      <c r="Y1629" t="s">
        <v>270</v>
      </c>
      <c r="Z1629">
        <v>374303</v>
      </c>
      <c r="AA1629">
        <v>374303</v>
      </c>
      <c r="AB1629" t="b">
        <v>1</v>
      </c>
    </row>
    <row r="1630" spans="17:28" x14ac:dyDescent="0.2">
      <c r="Q1630" t="s">
        <v>2018</v>
      </c>
      <c r="R1630" t="s">
        <v>2522</v>
      </c>
      <c r="S1630" t="s">
        <v>257</v>
      </c>
      <c r="T1630" s="1">
        <v>44136</v>
      </c>
      <c r="U1630" s="1">
        <v>44136</v>
      </c>
      <c r="V1630" t="s">
        <v>270</v>
      </c>
      <c r="W1630">
        <v>467185</v>
      </c>
      <c r="X1630">
        <v>467185</v>
      </c>
      <c r="Y1630" t="s">
        <v>270</v>
      </c>
      <c r="Z1630">
        <v>467185</v>
      </c>
      <c r="AA1630">
        <v>467185</v>
      </c>
      <c r="AB1630" t="b">
        <v>1</v>
      </c>
    </row>
    <row r="1631" spans="17:28" x14ac:dyDescent="0.2">
      <c r="Q1631" t="s">
        <v>2018</v>
      </c>
      <c r="R1631" t="s">
        <v>2522</v>
      </c>
      <c r="S1631" t="s">
        <v>257</v>
      </c>
      <c r="T1631" s="1">
        <v>44105</v>
      </c>
      <c r="U1631" s="1">
        <v>44105</v>
      </c>
      <c r="V1631" t="s">
        <v>270</v>
      </c>
      <c r="W1631">
        <v>543521</v>
      </c>
      <c r="X1631">
        <v>543521</v>
      </c>
      <c r="Y1631" t="s">
        <v>270</v>
      </c>
      <c r="Z1631">
        <v>543521</v>
      </c>
      <c r="AA1631">
        <v>543521</v>
      </c>
      <c r="AB1631" t="b">
        <v>1</v>
      </c>
    </row>
    <row r="1632" spans="17:28" x14ac:dyDescent="0.2">
      <c r="Q1632" t="s">
        <v>2018</v>
      </c>
      <c r="R1632" t="s">
        <v>2522</v>
      </c>
      <c r="S1632" t="s">
        <v>257</v>
      </c>
      <c r="T1632" s="1">
        <v>44075</v>
      </c>
      <c r="U1632" s="1">
        <v>44075</v>
      </c>
      <c r="V1632" t="s">
        <v>270</v>
      </c>
      <c r="W1632">
        <v>274964</v>
      </c>
      <c r="X1632">
        <v>274964</v>
      </c>
      <c r="Y1632" t="s">
        <v>270</v>
      </c>
      <c r="Z1632">
        <v>274964</v>
      </c>
      <c r="AA1632">
        <v>274964</v>
      </c>
      <c r="AB1632" t="b">
        <v>1</v>
      </c>
    </row>
    <row r="1633" spans="17:28" x14ac:dyDescent="0.2">
      <c r="Q1633" t="s">
        <v>2018</v>
      </c>
      <c r="R1633" t="s">
        <v>2522</v>
      </c>
      <c r="S1633" t="s">
        <v>257</v>
      </c>
      <c r="T1633" s="1">
        <v>44044</v>
      </c>
      <c r="U1633" s="1">
        <v>44044</v>
      </c>
      <c r="V1633" t="s">
        <v>270</v>
      </c>
      <c r="W1633">
        <v>183445</v>
      </c>
      <c r="X1633">
        <v>183445</v>
      </c>
      <c r="Y1633" t="s">
        <v>270</v>
      </c>
      <c r="Z1633">
        <v>183445</v>
      </c>
      <c r="AA1633">
        <v>183445</v>
      </c>
      <c r="AB1633" t="b">
        <v>1</v>
      </c>
    </row>
    <row r="1634" spans="17:28" x14ac:dyDescent="0.2">
      <c r="Q1634" t="s">
        <v>2018</v>
      </c>
      <c r="R1634" t="s">
        <v>2522</v>
      </c>
      <c r="S1634" t="s">
        <v>257</v>
      </c>
      <c r="T1634" s="1">
        <v>44013</v>
      </c>
      <c r="U1634" s="1">
        <v>44013</v>
      </c>
      <c r="V1634" t="s">
        <v>270</v>
      </c>
      <c r="W1634">
        <v>80081</v>
      </c>
      <c r="X1634">
        <v>80081</v>
      </c>
      <c r="Y1634" t="s">
        <v>270</v>
      </c>
      <c r="Z1634">
        <v>80081</v>
      </c>
      <c r="AA1634">
        <v>80081</v>
      </c>
      <c r="AB1634" t="b">
        <v>1</v>
      </c>
    </row>
    <row r="1635" spans="17:28" x14ac:dyDescent="0.2">
      <c r="Q1635" t="s">
        <v>2018</v>
      </c>
      <c r="R1635" t="s">
        <v>2523</v>
      </c>
      <c r="S1635" t="s">
        <v>257</v>
      </c>
      <c r="T1635" s="1">
        <v>44348</v>
      </c>
      <c r="U1635" s="1">
        <v>44348</v>
      </c>
      <c r="V1635" t="s">
        <v>270</v>
      </c>
      <c r="W1635">
        <v>185996</v>
      </c>
      <c r="X1635">
        <v>185996</v>
      </c>
      <c r="Y1635" t="s">
        <v>270</v>
      </c>
      <c r="Z1635">
        <v>185996</v>
      </c>
      <c r="AA1635">
        <v>185996</v>
      </c>
      <c r="AB1635" t="b">
        <v>1</v>
      </c>
    </row>
    <row r="1636" spans="17:28" x14ac:dyDescent="0.2">
      <c r="Q1636" t="s">
        <v>2018</v>
      </c>
      <c r="R1636" t="s">
        <v>2523</v>
      </c>
      <c r="S1636" t="s">
        <v>257</v>
      </c>
      <c r="T1636" s="1">
        <v>44317</v>
      </c>
      <c r="U1636" s="1">
        <v>44317</v>
      </c>
      <c r="V1636" t="s">
        <v>270</v>
      </c>
      <c r="W1636">
        <v>356176</v>
      </c>
      <c r="X1636">
        <v>356176</v>
      </c>
      <c r="Y1636" t="s">
        <v>270</v>
      </c>
      <c r="Z1636">
        <v>356176</v>
      </c>
      <c r="AA1636">
        <v>356176</v>
      </c>
      <c r="AB1636" t="b">
        <v>1</v>
      </c>
    </row>
    <row r="1637" spans="17:28" x14ac:dyDescent="0.2">
      <c r="Q1637" t="s">
        <v>2018</v>
      </c>
      <c r="R1637" t="s">
        <v>2523</v>
      </c>
      <c r="S1637" t="s">
        <v>257</v>
      </c>
      <c r="T1637" s="1">
        <v>44287</v>
      </c>
      <c r="U1637" s="1">
        <v>44287</v>
      </c>
      <c r="V1637" t="s">
        <v>270</v>
      </c>
      <c r="W1637">
        <v>641707</v>
      </c>
      <c r="X1637">
        <v>641707</v>
      </c>
      <c r="Y1637" t="s">
        <v>270</v>
      </c>
      <c r="Z1637">
        <v>641707</v>
      </c>
      <c r="AA1637">
        <v>641707</v>
      </c>
      <c r="AB1637" t="b">
        <v>1</v>
      </c>
    </row>
    <row r="1638" spans="17:28" x14ac:dyDescent="0.2">
      <c r="Q1638" t="s">
        <v>2018</v>
      </c>
      <c r="R1638" t="s">
        <v>2523</v>
      </c>
      <c r="S1638" t="s">
        <v>257</v>
      </c>
      <c r="T1638" s="1">
        <v>44256</v>
      </c>
      <c r="U1638" s="1">
        <v>44256</v>
      </c>
      <c r="V1638" t="s">
        <v>270</v>
      </c>
      <c r="W1638">
        <v>130862</v>
      </c>
      <c r="X1638">
        <v>130862</v>
      </c>
      <c r="Y1638" t="s">
        <v>270</v>
      </c>
      <c r="Z1638">
        <v>130862</v>
      </c>
      <c r="AA1638">
        <v>130862</v>
      </c>
      <c r="AB1638" t="b">
        <v>1</v>
      </c>
    </row>
    <row r="1639" spans="17:28" x14ac:dyDescent="0.2">
      <c r="Q1639" t="s">
        <v>2018</v>
      </c>
      <c r="R1639" t="s">
        <v>2523</v>
      </c>
      <c r="S1639" t="s">
        <v>257</v>
      </c>
      <c r="T1639" s="1">
        <v>44228</v>
      </c>
      <c r="U1639" s="1">
        <v>44228</v>
      </c>
      <c r="V1639" t="s">
        <v>270</v>
      </c>
      <c r="W1639">
        <v>61292</v>
      </c>
      <c r="X1639">
        <v>61292</v>
      </c>
      <c r="Y1639" t="s">
        <v>270</v>
      </c>
      <c r="Z1639">
        <v>61292</v>
      </c>
      <c r="AA1639">
        <v>61292</v>
      </c>
      <c r="AB1639" t="b">
        <v>1</v>
      </c>
    </row>
    <row r="1640" spans="17:28" x14ac:dyDescent="0.2">
      <c r="Q1640" t="s">
        <v>2018</v>
      </c>
      <c r="R1640" t="s">
        <v>2523</v>
      </c>
      <c r="S1640" t="s">
        <v>257</v>
      </c>
      <c r="T1640" s="1">
        <v>44166</v>
      </c>
      <c r="U1640" s="1">
        <v>44166</v>
      </c>
      <c r="V1640" t="s">
        <v>270</v>
      </c>
      <c r="W1640">
        <v>433766</v>
      </c>
      <c r="X1640">
        <v>433766</v>
      </c>
      <c r="Y1640" t="s">
        <v>270</v>
      </c>
      <c r="Z1640">
        <v>433766</v>
      </c>
      <c r="AA1640">
        <v>433766</v>
      </c>
      <c r="AB1640" t="b">
        <v>1</v>
      </c>
    </row>
    <row r="1641" spans="17:28" x14ac:dyDescent="0.2">
      <c r="Q1641" t="s">
        <v>2018</v>
      </c>
      <c r="R1641" t="s">
        <v>2523</v>
      </c>
      <c r="S1641" t="s">
        <v>257</v>
      </c>
      <c r="T1641" s="1">
        <v>44105</v>
      </c>
      <c r="U1641" s="1">
        <v>44105</v>
      </c>
      <c r="V1641" t="s">
        <v>270</v>
      </c>
      <c r="W1641">
        <v>103638</v>
      </c>
      <c r="X1641">
        <v>103638</v>
      </c>
      <c r="Y1641" t="s">
        <v>270</v>
      </c>
      <c r="Z1641">
        <v>103638</v>
      </c>
      <c r="AA1641">
        <v>103638</v>
      </c>
      <c r="AB1641" t="b">
        <v>1</v>
      </c>
    </row>
    <row r="1642" spans="17:28" x14ac:dyDescent="0.2">
      <c r="Q1642" t="s">
        <v>2018</v>
      </c>
      <c r="R1642" t="s">
        <v>2523</v>
      </c>
      <c r="S1642" t="s">
        <v>257</v>
      </c>
      <c r="T1642" s="1">
        <v>44348</v>
      </c>
      <c r="U1642" s="1">
        <v>44348</v>
      </c>
      <c r="V1642" t="s">
        <v>270</v>
      </c>
      <c r="W1642">
        <v>185996</v>
      </c>
      <c r="X1642">
        <v>185996</v>
      </c>
      <c r="Y1642" t="s">
        <v>270</v>
      </c>
      <c r="Z1642">
        <v>185996</v>
      </c>
      <c r="AA1642">
        <v>185996</v>
      </c>
      <c r="AB1642" t="b">
        <v>1</v>
      </c>
    </row>
    <row r="1643" spans="17:28" x14ac:dyDescent="0.2">
      <c r="Q1643" t="s">
        <v>2018</v>
      </c>
      <c r="R1643" t="s">
        <v>2523</v>
      </c>
      <c r="S1643" t="s">
        <v>257</v>
      </c>
      <c r="T1643" s="1">
        <v>44317</v>
      </c>
      <c r="U1643" s="1">
        <v>44317</v>
      </c>
      <c r="V1643" t="s">
        <v>270</v>
      </c>
      <c r="W1643">
        <v>356176</v>
      </c>
      <c r="X1643">
        <v>356176</v>
      </c>
      <c r="Y1643" t="s">
        <v>270</v>
      </c>
      <c r="Z1643">
        <v>356176</v>
      </c>
      <c r="AA1643">
        <v>356176</v>
      </c>
      <c r="AB1643" t="b">
        <v>1</v>
      </c>
    </row>
    <row r="1644" spans="17:28" x14ac:dyDescent="0.2">
      <c r="Q1644" t="s">
        <v>2018</v>
      </c>
      <c r="R1644" t="s">
        <v>2523</v>
      </c>
      <c r="S1644" t="s">
        <v>257</v>
      </c>
      <c r="T1644" s="1">
        <v>44287</v>
      </c>
      <c r="U1644" s="1">
        <v>44287</v>
      </c>
      <c r="V1644" t="s">
        <v>270</v>
      </c>
      <c r="W1644">
        <v>641707</v>
      </c>
      <c r="X1644">
        <v>641707</v>
      </c>
      <c r="Y1644" t="s">
        <v>270</v>
      </c>
      <c r="Z1644">
        <v>641707</v>
      </c>
      <c r="AA1644">
        <v>641707</v>
      </c>
      <c r="AB1644" t="b">
        <v>1</v>
      </c>
    </row>
    <row r="1645" spans="17:28" x14ac:dyDescent="0.2">
      <c r="Q1645" t="s">
        <v>2018</v>
      </c>
      <c r="R1645" t="s">
        <v>2523</v>
      </c>
      <c r="S1645" t="s">
        <v>257</v>
      </c>
      <c r="T1645" s="1">
        <v>44256</v>
      </c>
      <c r="U1645" s="1">
        <v>44256</v>
      </c>
      <c r="V1645" t="s">
        <v>270</v>
      </c>
      <c r="W1645">
        <v>130862</v>
      </c>
      <c r="X1645">
        <v>130862</v>
      </c>
      <c r="Y1645" t="s">
        <v>270</v>
      </c>
      <c r="Z1645">
        <v>130862</v>
      </c>
      <c r="AA1645">
        <v>130862</v>
      </c>
      <c r="AB1645" t="b">
        <v>1</v>
      </c>
    </row>
    <row r="1646" spans="17:28" x14ac:dyDescent="0.2">
      <c r="Q1646" t="s">
        <v>2018</v>
      </c>
      <c r="R1646" t="s">
        <v>2523</v>
      </c>
      <c r="S1646" t="s">
        <v>257</v>
      </c>
      <c r="T1646" s="1">
        <v>44228</v>
      </c>
      <c r="U1646" s="1">
        <v>44228</v>
      </c>
      <c r="V1646" t="s">
        <v>270</v>
      </c>
      <c r="W1646">
        <v>61292</v>
      </c>
      <c r="X1646">
        <v>61292</v>
      </c>
      <c r="Y1646" t="s">
        <v>270</v>
      </c>
      <c r="Z1646">
        <v>61292</v>
      </c>
      <c r="AA1646">
        <v>61292</v>
      </c>
      <c r="AB1646" t="b">
        <v>1</v>
      </c>
    </row>
    <row r="1647" spans="17:28" x14ac:dyDescent="0.2">
      <c r="Q1647" t="s">
        <v>2018</v>
      </c>
      <c r="R1647" t="s">
        <v>2523</v>
      </c>
      <c r="S1647" t="s">
        <v>257</v>
      </c>
      <c r="T1647" s="1">
        <v>44166</v>
      </c>
      <c r="U1647" s="1">
        <v>44166</v>
      </c>
      <c r="V1647" t="s">
        <v>270</v>
      </c>
      <c r="W1647">
        <v>433766</v>
      </c>
      <c r="X1647">
        <v>433766</v>
      </c>
      <c r="Y1647" t="s">
        <v>270</v>
      </c>
      <c r="Z1647">
        <v>433766</v>
      </c>
      <c r="AA1647">
        <v>433766</v>
      </c>
      <c r="AB1647" t="b">
        <v>1</v>
      </c>
    </row>
    <row r="1648" spans="17:28" x14ac:dyDescent="0.2">
      <c r="Q1648" t="s">
        <v>2018</v>
      </c>
      <c r="R1648" t="s">
        <v>2523</v>
      </c>
      <c r="S1648" t="s">
        <v>257</v>
      </c>
      <c r="T1648" s="1">
        <v>44105</v>
      </c>
      <c r="U1648" s="1">
        <v>44105</v>
      </c>
      <c r="V1648" t="s">
        <v>270</v>
      </c>
      <c r="W1648">
        <v>103638</v>
      </c>
      <c r="X1648">
        <v>103638</v>
      </c>
      <c r="Y1648" t="s">
        <v>270</v>
      </c>
      <c r="Z1648">
        <v>103638</v>
      </c>
      <c r="AA1648">
        <v>103638</v>
      </c>
      <c r="AB1648" t="b">
        <v>1</v>
      </c>
    </row>
    <row r="1649" spans="17:28" x14ac:dyDescent="0.2">
      <c r="Q1649" t="s">
        <v>2018</v>
      </c>
      <c r="R1649" t="s">
        <v>2524</v>
      </c>
      <c r="S1649" t="s">
        <v>257</v>
      </c>
      <c r="T1649" s="1">
        <v>44256</v>
      </c>
      <c r="U1649" s="1">
        <v>44256</v>
      </c>
      <c r="V1649" t="s">
        <v>270</v>
      </c>
      <c r="W1649">
        <v>4882</v>
      </c>
      <c r="X1649">
        <v>4882</v>
      </c>
      <c r="Y1649" t="s">
        <v>270</v>
      </c>
      <c r="Z1649">
        <v>4882</v>
      </c>
      <c r="AA1649">
        <v>4882</v>
      </c>
      <c r="AB1649" t="b">
        <v>1</v>
      </c>
    </row>
    <row r="1650" spans="17:28" x14ac:dyDescent="0.2">
      <c r="Q1650" t="s">
        <v>2018</v>
      </c>
      <c r="R1650" t="s">
        <v>2524</v>
      </c>
      <c r="S1650" t="s">
        <v>257</v>
      </c>
      <c r="T1650" s="1">
        <v>44228</v>
      </c>
      <c r="U1650" s="1">
        <v>44228</v>
      </c>
      <c r="V1650" t="s">
        <v>270</v>
      </c>
      <c r="W1650">
        <v>53352</v>
      </c>
      <c r="X1650">
        <v>53352</v>
      </c>
      <c r="Y1650" t="s">
        <v>270</v>
      </c>
      <c r="Z1650">
        <v>53352</v>
      </c>
      <c r="AA1650">
        <v>53352</v>
      </c>
      <c r="AB1650" t="b">
        <v>1</v>
      </c>
    </row>
    <row r="1651" spans="17:28" x14ac:dyDescent="0.2">
      <c r="Q1651" t="s">
        <v>2018</v>
      </c>
      <c r="R1651" t="s">
        <v>2524</v>
      </c>
      <c r="S1651" t="s">
        <v>257</v>
      </c>
      <c r="T1651" s="1">
        <v>44197</v>
      </c>
      <c r="U1651" s="1">
        <v>44197</v>
      </c>
      <c r="V1651" t="s">
        <v>270</v>
      </c>
      <c r="W1651">
        <v>443</v>
      </c>
      <c r="X1651">
        <v>443</v>
      </c>
      <c r="Y1651" t="s">
        <v>270</v>
      </c>
      <c r="Z1651">
        <v>443</v>
      </c>
      <c r="AA1651">
        <v>443</v>
      </c>
      <c r="AB1651" t="b">
        <v>1</v>
      </c>
    </row>
    <row r="1652" spans="17:28" x14ac:dyDescent="0.2">
      <c r="Q1652" t="s">
        <v>2018</v>
      </c>
      <c r="R1652" t="s">
        <v>2524</v>
      </c>
      <c r="S1652" t="s">
        <v>257</v>
      </c>
      <c r="T1652" s="1">
        <v>44166</v>
      </c>
      <c r="U1652" s="1">
        <v>44166</v>
      </c>
      <c r="V1652" t="s">
        <v>270</v>
      </c>
      <c r="W1652">
        <v>178882</v>
      </c>
      <c r="X1652">
        <v>178882</v>
      </c>
      <c r="Y1652" t="s">
        <v>270</v>
      </c>
      <c r="Z1652">
        <v>178882</v>
      </c>
      <c r="AA1652">
        <v>178882</v>
      </c>
      <c r="AB1652" t="b">
        <v>1</v>
      </c>
    </row>
    <row r="1653" spans="17:28" x14ac:dyDescent="0.2">
      <c r="Q1653" t="s">
        <v>2018</v>
      </c>
      <c r="R1653" t="s">
        <v>2524</v>
      </c>
      <c r="S1653" t="s">
        <v>257</v>
      </c>
      <c r="T1653" s="1">
        <v>44136</v>
      </c>
      <c r="U1653" s="1">
        <v>44136</v>
      </c>
      <c r="V1653" t="s">
        <v>270</v>
      </c>
      <c r="W1653">
        <v>937192</v>
      </c>
      <c r="X1653">
        <v>937192</v>
      </c>
      <c r="Y1653" t="s">
        <v>270</v>
      </c>
      <c r="Z1653">
        <v>937192</v>
      </c>
      <c r="AA1653">
        <v>937192</v>
      </c>
      <c r="AB1653" t="b">
        <v>1</v>
      </c>
    </row>
    <row r="1654" spans="17:28" x14ac:dyDescent="0.2">
      <c r="Q1654" t="s">
        <v>2018</v>
      </c>
      <c r="R1654" t="s">
        <v>2524</v>
      </c>
      <c r="S1654" t="s">
        <v>257</v>
      </c>
      <c r="T1654" s="1">
        <v>44105</v>
      </c>
      <c r="U1654" s="1">
        <v>44105</v>
      </c>
      <c r="V1654" t="s">
        <v>270</v>
      </c>
      <c r="W1654">
        <v>484848</v>
      </c>
      <c r="X1654">
        <v>484848</v>
      </c>
      <c r="Y1654" t="s">
        <v>270</v>
      </c>
      <c r="Z1654">
        <v>484848</v>
      </c>
      <c r="AA1654">
        <v>484848</v>
      </c>
      <c r="AB1654" t="b">
        <v>1</v>
      </c>
    </row>
    <row r="1655" spans="17:28" x14ac:dyDescent="0.2">
      <c r="Q1655" t="s">
        <v>2018</v>
      </c>
      <c r="R1655" t="s">
        <v>2524</v>
      </c>
      <c r="S1655" t="s">
        <v>257</v>
      </c>
      <c r="T1655" s="1">
        <v>44075</v>
      </c>
      <c r="U1655" s="1">
        <v>44075</v>
      </c>
      <c r="V1655" t="s">
        <v>270</v>
      </c>
      <c r="W1655">
        <v>421</v>
      </c>
      <c r="X1655">
        <v>421</v>
      </c>
      <c r="Y1655" t="s">
        <v>270</v>
      </c>
      <c r="Z1655">
        <v>421</v>
      </c>
      <c r="AA1655">
        <v>421</v>
      </c>
      <c r="AB1655" t="b">
        <v>1</v>
      </c>
    </row>
    <row r="1656" spans="17:28" x14ac:dyDescent="0.2">
      <c r="Q1656" t="s">
        <v>2018</v>
      </c>
      <c r="R1656" t="s">
        <v>2524</v>
      </c>
      <c r="S1656" t="s">
        <v>257</v>
      </c>
      <c r="T1656" s="1">
        <v>44044</v>
      </c>
      <c r="U1656" s="1">
        <v>44044</v>
      </c>
      <c r="V1656" t="s">
        <v>270</v>
      </c>
      <c r="W1656">
        <v>51783</v>
      </c>
      <c r="X1656">
        <v>51783</v>
      </c>
      <c r="Y1656" t="s">
        <v>270</v>
      </c>
      <c r="Z1656">
        <v>51783</v>
      </c>
      <c r="AA1656">
        <v>51783</v>
      </c>
      <c r="AB1656" t="b">
        <v>1</v>
      </c>
    </row>
    <row r="1657" spans="17:28" x14ac:dyDescent="0.2">
      <c r="Q1657" t="s">
        <v>2018</v>
      </c>
      <c r="R1657" t="s">
        <v>2524</v>
      </c>
      <c r="S1657" t="s">
        <v>257</v>
      </c>
      <c r="T1657" s="1">
        <v>44013</v>
      </c>
      <c r="U1657" s="1">
        <v>44013</v>
      </c>
      <c r="V1657" t="s">
        <v>270</v>
      </c>
      <c r="W1657">
        <v>114197</v>
      </c>
      <c r="X1657">
        <v>114197</v>
      </c>
      <c r="Y1657" t="s">
        <v>270</v>
      </c>
      <c r="Z1657">
        <v>114197</v>
      </c>
      <c r="AA1657">
        <v>114197</v>
      </c>
      <c r="AB1657" t="b">
        <v>1</v>
      </c>
    </row>
    <row r="1658" spans="17:28" x14ac:dyDescent="0.2">
      <c r="Q1658" t="s">
        <v>2018</v>
      </c>
      <c r="R1658" t="s">
        <v>2524</v>
      </c>
      <c r="S1658" t="s">
        <v>257</v>
      </c>
      <c r="T1658" s="1">
        <v>44256</v>
      </c>
      <c r="U1658" s="1">
        <v>44256</v>
      </c>
      <c r="V1658" t="s">
        <v>270</v>
      </c>
      <c r="W1658">
        <v>4882</v>
      </c>
      <c r="X1658">
        <v>4882</v>
      </c>
      <c r="Y1658" t="s">
        <v>270</v>
      </c>
      <c r="Z1658">
        <v>4882</v>
      </c>
      <c r="AA1658">
        <v>4882</v>
      </c>
      <c r="AB1658" t="b">
        <v>1</v>
      </c>
    </row>
    <row r="1659" spans="17:28" x14ac:dyDescent="0.2">
      <c r="Q1659" t="s">
        <v>2018</v>
      </c>
      <c r="R1659" t="s">
        <v>2524</v>
      </c>
      <c r="S1659" t="s">
        <v>257</v>
      </c>
      <c r="T1659" s="1">
        <v>44228</v>
      </c>
      <c r="U1659" s="1">
        <v>44228</v>
      </c>
      <c r="V1659" t="s">
        <v>270</v>
      </c>
      <c r="W1659">
        <v>53352</v>
      </c>
      <c r="X1659">
        <v>53352</v>
      </c>
      <c r="Y1659" t="s">
        <v>270</v>
      </c>
      <c r="Z1659">
        <v>53352</v>
      </c>
      <c r="AA1659">
        <v>53352</v>
      </c>
      <c r="AB1659" t="b">
        <v>1</v>
      </c>
    </row>
    <row r="1660" spans="17:28" x14ac:dyDescent="0.2">
      <c r="Q1660" t="s">
        <v>2018</v>
      </c>
      <c r="R1660" t="s">
        <v>2524</v>
      </c>
      <c r="S1660" t="s">
        <v>257</v>
      </c>
      <c r="T1660" s="1">
        <v>44197</v>
      </c>
      <c r="U1660" s="1">
        <v>44197</v>
      </c>
      <c r="V1660" t="s">
        <v>270</v>
      </c>
      <c r="W1660">
        <v>443</v>
      </c>
      <c r="X1660">
        <v>443</v>
      </c>
      <c r="Y1660" t="s">
        <v>270</v>
      </c>
      <c r="Z1660">
        <v>443</v>
      </c>
      <c r="AA1660">
        <v>443</v>
      </c>
      <c r="AB1660" t="b">
        <v>1</v>
      </c>
    </row>
    <row r="1661" spans="17:28" x14ac:dyDescent="0.2">
      <c r="Q1661" t="s">
        <v>2018</v>
      </c>
      <c r="R1661" t="s">
        <v>2524</v>
      </c>
      <c r="S1661" t="s">
        <v>257</v>
      </c>
      <c r="T1661" s="1">
        <v>44166</v>
      </c>
      <c r="U1661" s="1">
        <v>44166</v>
      </c>
      <c r="V1661" t="s">
        <v>270</v>
      </c>
      <c r="W1661">
        <v>178882</v>
      </c>
      <c r="X1661">
        <v>178882</v>
      </c>
      <c r="Y1661" t="s">
        <v>270</v>
      </c>
      <c r="Z1661">
        <v>178882</v>
      </c>
      <c r="AA1661">
        <v>178882</v>
      </c>
      <c r="AB1661" t="b">
        <v>1</v>
      </c>
    </row>
    <row r="1662" spans="17:28" x14ac:dyDescent="0.2">
      <c r="Q1662" t="s">
        <v>2018</v>
      </c>
      <c r="R1662" t="s">
        <v>2524</v>
      </c>
      <c r="S1662" t="s">
        <v>257</v>
      </c>
      <c r="T1662" s="1">
        <v>44136</v>
      </c>
      <c r="U1662" s="1">
        <v>44136</v>
      </c>
      <c r="V1662" t="s">
        <v>270</v>
      </c>
      <c r="W1662">
        <v>937192</v>
      </c>
      <c r="X1662">
        <v>937192</v>
      </c>
      <c r="Y1662" t="s">
        <v>270</v>
      </c>
      <c r="Z1662">
        <v>937192</v>
      </c>
      <c r="AA1662">
        <v>937192</v>
      </c>
      <c r="AB1662" t="b">
        <v>1</v>
      </c>
    </row>
    <row r="1663" spans="17:28" x14ac:dyDescent="0.2">
      <c r="Q1663" t="s">
        <v>2018</v>
      </c>
      <c r="R1663" t="s">
        <v>2524</v>
      </c>
      <c r="S1663" t="s">
        <v>257</v>
      </c>
      <c r="T1663" s="1">
        <v>44105</v>
      </c>
      <c r="U1663" s="1">
        <v>44105</v>
      </c>
      <c r="V1663" t="s">
        <v>270</v>
      </c>
      <c r="W1663">
        <v>484848</v>
      </c>
      <c r="X1663">
        <v>484848</v>
      </c>
      <c r="Y1663" t="s">
        <v>270</v>
      </c>
      <c r="Z1663">
        <v>484848</v>
      </c>
      <c r="AA1663">
        <v>484848</v>
      </c>
      <c r="AB1663" t="b">
        <v>1</v>
      </c>
    </row>
    <row r="1664" spans="17:28" x14ac:dyDescent="0.2">
      <c r="Q1664" t="s">
        <v>2018</v>
      </c>
      <c r="R1664" t="s">
        <v>2524</v>
      </c>
      <c r="S1664" t="s">
        <v>257</v>
      </c>
      <c r="T1664" s="1">
        <v>44075</v>
      </c>
      <c r="U1664" s="1">
        <v>44075</v>
      </c>
      <c r="V1664" t="s">
        <v>270</v>
      </c>
      <c r="W1664">
        <v>421</v>
      </c>
      <c r="X1664">
        <v>421</v>
      </c>
      <c r="Y1664" t="s">
        <v>270</v>
      </c>
      <c r="Z1664">
        <v>421</v>
      </c>
      <c r="AA1664">
        <v>421</v>
      </c>
      <c r="AB1664" t="b">
        <v>1</v>
      </c>
    </row>
    <row r="1665" spans="17:28" x14ac:dyDescent="0.2">
      <c r="Q1665" t="s">
        <v>2018</v>
      </c>
      <c r="R1665" t="s">
        <v>2524</v>
      </c>
      <c r="S1665" t="s">
        <v>257</v>
      </c>
      <c r="T1665" s="1">
        <v>44044</v>
      </c>
      <c r="U1665" s="1">
        <v>44044</v>
      </c>
      <c r="V1665" t="s">
        <v>270</v>
      </c>
      <c r="W1665">
        <v>51783</v>
      </c>
      <c r="X1665">
        <v>51783</v>
      </c>
      <c r="Y1665" t="s">
        <v>270</v>
      </c>
      <c r="Z1665">
        <v>51783</v>
      </c>
      <c r="AA1665">
        <v>51783</v>
      </c>
      <c r="AB1665" t="b">
        <v>1</v>
      </c>
    </row>
    <row r="1666" spans="17:28" x14ac:dyDescent="0.2">
      <c r="Q1666" t="s">
        <v>2018</v>
      </c>
      <c r="R1666" t="s">
        <v>2524</v>
      </c>
      <c r="S1666" t="s">
        <v>257</v>
      </c>
      <c r="T1666" s="1">
        <v>44013</v>
      </c>
      <c r="U1666" s="1">
        <v>44013</v>
      </c>
      <c r="V1666" t="s">
        <v>270</v>
      </c>
      <c r="W1666">
        <v>114197</v>
      </c>
      <c r="X1666">
        <v>114197</v>
      </c>
      <c r="Y1666" t="s">
        <v>270</v>
      </c>
      <c r="Z1666">
        <v>114197</v>
      </c>
      <c r="AA1666">
        <v>114197</v>
      </c>
      <c r="AB1666" t="b">
        <v>1</v>
      </c>
    </row>
    <row r="1667" spans="17:28" x14ac:dyDescent="0.2">
      <c r="Q1667" t="s">
        <v>2018</v>
      </c>
      <c r="R1667" t="s">
        <v>2525</v>
      </c>
      <c r="S1667" t="s">
        <v>257</v>
      </c>
      <c r="T1667" s="1">
        <v>44348</v>
      </c>
      <c r="U1667" s="1">
        <v>44348</v>
      </c>
      <c r="V1667" t="s">
        <v>270</v>
      </c>
      <c r="W1667">
        <v>201611</v>
      </c>
      <c r="X1667">
        <v>201611</v>
      </c>
      <c r="Y1667" t="s">
        <v>270</v>
      </c>
      <c r="Z1667">
        <v>201611</v>
      </c>
      <c r="AA1667">
        <v>201611</v>
      </c>
      <c r="AB1667" t="b">
        <v>1</v>
      </c>
    </row>
    <row r="1668" spans="17:28" x14ac:dyDescent="0.2">
      <c r="Q1668" t="s">
        <v>2018</v>
      </c>
      <c r="R1668" t="s">
        <v>2525</v>
      </c>
      <c r="S1668" t="s">
        <v>257</v>
      </c>
      <c r="T1668" s="1">
        <v>44317</v>
      </c>
      <c r="U1668" s="1">
        <v>44317</v>
      </c>
      <c r="V1668" t="s">
        <v>270</v>
      </c>
      <c r="W1668">
        <v>124394</v>
      </c>
      <c r="X1668">
        <v>124394</v>
      </c>
      <c r="Y1668" t="s">
        <v>270</v>
      </c>
      <c r="Z1668">
        <v>124394</v>
      </c>
      <c r="AA1668">
        <v>124394</v>
      </c>
      <c r="AB1668" t="b">
        <v>1</v>
      </c>
    </row>
    <row r="1669" spans="17:28" x14ac:dyDescent="0.2">
      <c r="Q1669" t="s">
        <v>2018</v>
      </c>
      <c r="R1669" t="s">
        <v>2525</v>
      </c>
      <c r="S1669" t="s">
        <v>257</v>
      </c>
      <c r="T1669" s="1">
        <v>44287</v>
      </c>
      <c r="U1669" s="1">
        <v>44287</v>
      </c>
      <c r="V1669" t="s">
        <v>270</v>
      </c>
      <c r="W1669">
        <v>148087</v>
      </c>
      <c r="X1669">
        <v>148087</v>
      </c>
      <c r="Y1669" t="s">
        <v>270</v>
      </c>
      <c r="Z1669">
        <v>148087</v>
      </c>
      <c r="AA1669">
        <v>148087</v>
      </c>
      <c r="AB1669" t="b">
        <v>1</v>
      </c>
    </row>
    <row r="1670" spans="17:28" x14ac:dyDescent="0.2">
      <c r="Q1670" t="s">
        <v>2018</v>
      </c>
      <c r="R1670" t="s">
        <v>2525</v>
      </c>
      <c r="S1670" t="s">
        <v>257</v>
      </c>
      <c r="T1670" s="1">
        <v>44256</v>
      </c>
      <c r="U1670" s="1">
        <v>44256</v>
      </c>
      <c r="V1670" t="s">
        <v>270</v>
      </c>
      <c r="W1670">
        <v>606904</v>
      </c>
      <c r="X1670">
        <v>606904</v>
      </c>
      <c r="Y1670" t="s">
        <v>270</v>
      </c>
      <c r="Z1670">
        <v>606904</v>
      </c>
      <c r="AA1670">
        <v>606904</v>
      </c>
      <c r="AB1670" t="b">
        <v>1</v>
      </c>
    </row>
    <row r="1671" spans="17:28" x14ac:dyDescent="0.2">
      <c r="Q1671" t="s">
        <v>2018</v>
      </c>
      <c r="R1671" t="s">
        <v>2525</v>
      </c>
      <c r="S1671" t="s">
        <v>257</v>
      </c>
      <c r="T1671" s="1">
        <v>44228</v>
      </c>
      <c r="U1671" s="1">
        <v>44228</v>
      </c>
      <c r="V1671" t="s">
        <v>270</v>
      </c>
      <c r="W1671">
        <v>144653</v>
      </c>
      <c r="X1671">
        <v>144653</v>
      </c>
      <c r="Y1671" t="s">
        <v>270</v>
      </c>
      <c r="Z1671">
        <v>144653</v>
      </c>
      <c r="AA1671">
        <v>144653</v>
      </c>
      <c r="AB1671" t="b">
        <v>1</v>
      </c>
    </row>
    <row r="1672" spans="17:28" x14ac:dyDescent="0.2">
      <c r="Q1672" t="s">
        <v>2018</v>
      </c>
      <c r="R1672" t="s">
        <v>2525</v>
      </c>
      <c r="S1672" t="s">
        <v>257</v>
      </c>
      <c r="T1672" s="1">
        <v>44197</v>
      </c>
      <c r="U1672" s="1">
        <v>44197</v>
      </c>
      <c r="V1672" t="s">
        <v>270</v>
      </c>
      <c r="W1672">
        <v>421</v>
      </c>
      <c r="X1672">
        <v>421</v>
      </c>
      <c r="Y1672" t="s">
        <v>270</v>
      </c>
      <c r="Z1672">
        <v>421</v>
      </c>
      <c r="AA1672">
        <v>421</v>
      </c>
      <c r="AB1672" t="b">
        <v>1</v>
      </c>
    </row>
    <row r="1673" spans="17:28" x14ac:dyDescent="0.2">
      <c r="Q1673" t="s">
        <v>2018</v>
      </c>
      <c r="R1673" t="s">
        <v>2525</v>
      </c>
      <c r="S1673" t="s">
        <v>257</v>
      </c>
      <c r="T1673" s="1">
        <v>44166</v>
      </c>
      <c r="U1673" s="1">
        <v>44166</v>
      </c>
      <c r="V1673" t="s">
        <v>270</v>
      </c>
      <c r="W1673">
        <v>312811</v>
      </c>
      <c r="X1673">
        <v>312811</v>
      </c>
      <c r="Y1673" t="s">
        <v>270</v>
      </c>
      <c r="Z1673">
        <v>312811</v>
      </c>
      <c r="AA1673">
        <v>312811</v>
      </c>
      <c r="AB1673" t="b">
        <v>1</v>
      </c>
    </row>
    <row r="1674" spans="17:28" x14ac:dyDescent="0.2">
      <c r="Q1674" t="s">
        <v>2018</v>
      </c>
      <c r="R1674" t="s">
        <v>2525</v>
      </c>
      <c r="S1674" t="s">
        <v>257</v>
      </c>
      <c r="T1674" s="1">
        <v>44348</v>
      </c>
      <c r="U1674" s="1">
        <v>44348</v>
      </c>
      <c r="V1674" t="s">
        <v>270</v>
      </c>
      <c r="W1674">
        <v>201611</v>
      </c>
      <c r="X1674">
        <v>201611</v>
      </c>
      <c r="Y1674" t="s">
        <v>270</v>
      </c>
      <c r="Z1674">
        <v>201611</v>
      </c>
      <c r="AA1674">
        <v>201611</v>
      </c>
      <c r="AB1674" t="b">
        <v>1</v>
      </c>
    </row>
    <row r="1675" spans="17:28" x14ac:dyDescent="0.2">
      <c r="Q1675" t="s">
        <v>2018</v>
      </c>
      <c r="R1675" t="s">
        <v>2525</v>
      </c>
      <c r="S1675" t="s">
        <v>257</v>
      </c>
      <c r="T1675" s="1">
        <v>44317</v>
      </c>
      <c r="U1675" s="1">
        <v>44317</v>
      </c>
      <c r="V1675" t="s">
        <v>270</v>
      </c>
      <c r="W1675">
        <v>124394</v>
      </c>
      <c r="X1675">
        <v>124394</v>
      </c>
      <c r="Y1675" t="s">
        <v>270</v>
      </c>
      <c r="Z1675">
        <v>124394</v>
      </c>
      <c r="AA1675">
        <v>124394</v>
      </c>
      <c r="AB1675" t="b">
        <v>1</v>
      </c>
    </row>
    <row r="1676" spans="17:28" x14ac:dyDescent="0.2">
      <c r="Q1676" t="s">
        <v>2018</v>
      </c>
      <c r="R1676" t="s">
        <v>2525</v>
      </c>
      <c r="S1676" t="s">
        <v>257</v>
      </c>
      <c r="T1676" s="1">
        <v>44287</v>
      </c>
      <c r="U1676" s="1">
        <v>44287</v>
      </c>
      <c r="V1676" t="s">
        <v>270</v>
      </c>
      <c r="W1676">
        <v>148087</v>
      </c>
      <c r="X1676">
        <v>148087</v>
      </c>
      <c r="Y1676" t="s">
        <v>270</v>
      </c>
      <c r="Z1676">
        <v>148087</v>
      </c>
      <c r="AA1676">
        <v>148087</v>
      </c>
      <c r="AB1676" t="b">
        <v>1</v>
      </c>
    </row>
    <row r="1677" spans="17:28" x14ac:dyDescent="0.2">
      <c r="Q1677" t="s">
        <v>2018</v>
      </c>
      <c r="R1677" t="s">
        <v>2525</v>
      </c>
      <c r="S1677" t="s">
        <v>257</v>
      </c>
      <c r="T1677" s="1">
        <v>44256</v>
      </c>
      <c r="U1677" s="1">
        <v>44256</v>
      </c>
      <c r="V1677" t="s">
        <v>270</v>
      </c>
      <c r="W1677">
        <v>606904</v>
      </c>
      <c r="X1677">
        <v>606904</v>
      </c>
      <c r="Y1677" t="s">
        <v>270</v>
      </c>
      <c r="Z1677">
        <v>606904</v>
      </c>
      <c r="AA1677">
        <v>606904</v>
      </c>
      <c r="AB1677" t="b">
        <v>1</v>
      </c>
    </row>
    <row r="1678" spans="17:28" x14ac:dyDescent="0.2">
      <c r="Q1678" t="s">
        <v>2018</v>
      </c>
      <c r="R1678" t="s">
        <v>2525</v>
      </c>
      <c r="S1678" t="s">
        <v>257</v>
      </c>
      <c r="T1678" s="1">
        <v>44228</v>
      </c>
      <c r="U1678" s="1">
        <v>44228</v>
      </c>
      <c r="V1678" t="s">
        <v>270</v>
      </c>
      <c r="W1678">
        <v>144653</v>
      </c>
      <c r="X1678">
        <v>144653</v>
      </c>
      <c r="Y1678" t="s">
        <v>270</v>
      </c>
      <c r="Z1678">
        <v>144653</v>
      </c>
      <c r="AA1678">
        <v>144653</v>
      </c>
      <c r="AB1678" t="b">
        <v>1</v>
      </c>
    </row>
    <row r="1679" spans="17:28" x14ac:dyDescent="0.2">
      <c r="Q1679" t="s">
        <v>2018</v>
      </c>
      <c r="R1679" t="s">
        <v>2525</v>
      </c>
      <c r="S1679" t="s">
        <v>257</v>
      </c>
      <c r="T1679" s="1">
        <v>44197</v>
      </c>
      <c r="U1679" s="1">
        <v>44197</v>
      </c>
      <c r="V1679" t="s">
        <v>270</v>
      </c>
      <c r="W1679">
        <v>421</v>
      </c>
      <c r="X1679">
        <v>421</v>
      </c>
      <c r="Y1679" t="s">
        <v>270</v>
      </c>
      <c r="Z1679">
        <v>421</v>
      </c>
      <c r="AA1679">
        <v>421</v>
      </c>
      <c r="AB1679" t="b">
        <v>1</v>
      </c>
    </row>
    <row r="1680" spans="17:28" x14ac:dyDescent="0.2">
      <c r="Q1680" t="s">
        <v>2018</v>
      </c>
      <c r="R1680" t="s">
        <v>2525</v>
      </c>
      <c r="S1680" t="s">
        <v>257</v>
      </c>
      <c r="T1680" s="1">
        <v>44166</v>
      </c>
      <c r="U1680" s="1">
        <v>44166</v>
      </c>
      <c r="V1680" t="s">
        <v>270</v>
      </c>
      <c r="W1680">
        <v>312811</v>
      </c>
      <c r="X1680">
        <v>312811</v>
      </c>
      <c r="Y1680" t="s">
        <v>270</v>
      </c>
      <c r="Z1680">
        <v>312811</v>
      </c>
      <c r="AA1680">
        <v>312811</v>
      </c>
      <c r="AB1680" t="b">
        <v>1</v>
      </c>
    </row>
    <row r="1681" spans="17:28" x14ac:dyDescent="0.2">
      <c r="Q1681" t="s">
        <v>2018</v>
      </c>
      <c r="R1681" t="s">
        <v>2526</v>
      </c>
      <c r="S1681" t="s">
        <v>257</v>
      </c>
      <c r="T1681" s="1">
        <v>44317</v>
      </c>
      <c r="U1681" s="1">
        <v>44317</v>
      </c>
      <c r="V1681" t="s">
        <v>270</v>
      </c>
      <c r="W1681">
        <v>136855</v>
      </c>
      <c r="X1681">
        <v>136855</v>
      </c>
      <c r="Y1681" t="s">
        <v>270</v>
      </c>
      <c r="Z1681">
        <v>136855</v>
      </c>
      <c r="AA1681">
        <v>136855</v>
      </c>
      <c r="AB1681" t="b">
        <v>1</v>
      </c>
    </row>
    <row r="1682" spans="17:28" x14ac:dyDescent="0.2">
      <c r="Q1682" t="s">
        <v>2018</v>
      </c>
      <c r="R1682" t="s">
        <v>2526</v>
      </c>
      <c r="S1682" t="s">
        <v>257</v>
      </c>
      <c r="T1682" s="1">
        <v>44287</v>
      </c>
      <c r="U1682" s="1">
        <v>44287</v>
      </c>
      <c r="V1682" t="s">
        <v>270</v>
      </c>
      <c r="W1682">
        <v>157925</v>
      </c>
      <c r="X1682">
        <v>157925</v>
      </c>
      <c r="Y1682" t="s">
        <v>270</v>
      </c>
      <c r="Z1682">
        <v>157925</v>
      </c>
      <c r="AA1682">
        <v>157925</v>
      </c>
      <c r="AB1682" t="b">
        <v>1</v>
      </c>
    </row>
    <row r="1683" spans="17:28" x14ac:dyDescent="0.2">
      <c r="Q1683" t="s">
        <v>2018</v>
      </c>
      <c r="R1683" t="s">
        <v>2526</v>
      </c>
      <c r="S1683" t="s">
        <v>257</v>
      </c>
      <c r="T1683" s="1">
        <v>44256</v>
      </c>
      <c r="U1683" s="1">
        <v>44256</v>
      </c>
      <c r="V1683" t="s">
        <v>270</v>
      </c>
      <c r="W1683">
        <v>113239</v>
      </c>
      <c r="X1683">
        <v>113239</v>
      </c>
      <c r="Y1683" t="s">
        <v>270</v>
      </c>
      <c r="Z1683">
        <v>113239</v>
      </c>
      <c r="AA1683">
        <v>113239</v>
      </c>
      <c r="AB1683" t="b">
        <v>1</v>
      </c>
    </row>
    <row r="1684" spans="17:28" x14ac:dyDescent="0.2">
      <c r="Q1684" t="s">
        <v>2018</v>
      </c>
      <c r="R1684" t="s">
        <v>2526</v>
      </c>
      <c r="S1684" t="s">
        <v>257</v>
      </c>
      <c r="T1684" s="1">
        <v>44228</v>
      </c>
      <c r="U1684" s="1">
        <v>44228</v>
      </c>
      <c r="V1684" t="s">
        <v>270</v>
      </c>
      <c r="W1684">
        <v>254197</v>
      </c>
      <c r="X1684">
        <v>254197</v>
      </c>
      <c r="Y1684" t="s">
        <v>270</v>
      </c>
      <c r="Z1684">
        <v>254197</v>
      </c>
      <c r="AA1684">
        <v>254197</v>
      </c>
      <c r="AB1684" t="b">
        <v>1</v>
      </c>
    </row>
    <row r="1685" spans="17:28" x14ac:dyDescent="0.2">
      <c r="Q1685" t="s">
        <v>2018</v>
      </c>
      <c r="R1685" t="s">
        <v>2526</v>
      </c>
      <c r="S1685" t="s">
        <v>257</v>
      </c>
      <c r="T1685" s="1">
        <v>44197</v>
      </c>
      <c r="U1685" s="1">
        <v>44197</v>
      </c>
      <c r="V1685" t="s">
        <v>270</v>
      </c>
      <c r="W1685">
        <v>77337</v>
      </c>
      <c r="X1685">
        <v>77337</v>
      </c>
      <c r="Y1685" t="s">
        <v>270</v>
      </c>
      <c r="Z1685">
        <v>77337</v>
      </c>
      <c r="AA1685">
        <v>77337</v>
      </c>
      <c r="AB1685" t="b">
        <v>1</v>
      </c>
    </row>
    <row r="1686" spans="17:28" x14ac:dyDescent="0.2">
      <c r="Q1686" t="s">
        <v>2018</v>
      </c>
      <c r="R1686" t="s">
        <v>2526</v>
      </c>
      <c r="S1686" t="s">
        <v>257</v>
      </c>
      <c r="T1686" s="1">
        <v>44166</v>
      </c>
      <c r="U1686" s="1">
        <v>44166</v>
      </c>
      <c r="V1686" t="s">
        <v>270</v>
      </c>
      <c r="W1686">
        <v>579326</v>
      </c>
      <c r="X1686">
        <v>579326</v>
      </c>
      <c r="Y1686" t="s">
        <v>270</v>
      </c>
      <c r="Z1686">
        <v>579326</v>
      </c>
      <c r="AA1686">
        <v>579326</v>
      </c>
      <c r="AB1686" t="b">
        <v>1</v>
      </c>
    </row>
    <row r="1687" spans="17:28" x14ac:dyDescent="0.2">
      <c r="Q1687" t="s">
        <v>2018</v>
      </c>
      <c r="R1687" t="s">
        <v>2526</v>
      </c>
      <c r="S1687" t="s">
        <v>257</v>
      </c>
      <c r="T1687" s="1">
        <v>44136</v>
      </c>
      <c r="U1687" s="1">
        <v>44136</v>
      </c>
      <c r="V1687" t="s">
        <v>270</v>
      </c>
      <c r="W1687">
        <v>90998</v>
      </c>
      <c r="X1687">
        <v>90998</v>
      </c>
      <c r="Y1687" t="s">
        <v>270</v>
      </c>
      <c r="Z1687">
        <v>90998</v>
      </c>
      <c r="AA1687">
        <v>90998</v>
      </c>
      <c r="AB1687" t="b">
        <v>1</v>
      </c>
    </row>
    <row r="1688" spans="17:28" x14ac:dyDescent="0.2">
      <c r="Q1688" t="s">
        <v>2018</v>
      </c>
      <c r="R1688" t="s">
        <v>2526</v>
      </c>
      <c r="S1688" t="s">
        <v>257</v>
      </c>
      <c r="T1688" s="1">
        <v>44105</v>
      </c>
      <c r="U1688" s="1">
        <v>44105</v>
      </c>
      <c r="V1688" t="s">
        <v>270</v>
      </c>
      <c r="W1688">
        <v>107351</v>
      </c>
      <c r="X1688">
        <v>107351</v>
      </c>
      <c r="Y1688" t="s">
        <v>270</v>
      </c>
      <c r="Z1688">
        <v>107351</v>
      </c>
      <c r="AA1688">
        <v>107351</v>
      </c>
      <c r="AB1688" t="b">
        <v>1</v>
      </c>
    </row>
    <row r="1689" spans="17:28" x14ac:dyDescent="0.2">
      <c r="Q1689" t="s">
        <v>2018</v>
      </c>
      <c r="R1689" t="s">
        <v>2526</v>
      </c>
      <c r="S1689" t="s">
        <v>257</v>
      </c>
      <c r="T1689" s="1">
        <v>44317</v>
      </c>
      <c r="U1689" s="1">
        <v>44317</v>
      </c>
      <c r="V1689" t="s">
        <v>270</v>
      </c>
      <c r="W1689">
        <v>136855</v>
      </c>
      <c r="X1689">
        <v>136855</v>
      </c>
      <c r="Y1689" t="s">
        <v>270</v>
      </c>
      <c r="Z1689">
        <v>136855</v>
      </c>
      <c r="AA1689">
        <v>136855</v>
      </c>
      <c r="AB1689" t="b">
        <v>1</v>
      </c>
    </row>
    <row r="1690" spans="17:28" x14ac:dyDescent="0.2">
      <c r="Q1690" t="s">
        <v>2018</v>
      </c>
      <c r="R1690" t="s">
        <v>2526</v>
      </c>
      <c r="S1690" t="s">
        <v>257</v>
      </c>
      <c r="T1690" s="1">
        <v>44287</v>
      </c>
      <c r="U1690" s="1">
        <v>44287</v>
      </c>
      <c r="V1690" t="s">
        <v>270</v>
      </c>
      <c r="W1690">
        <v>157925</v>
      </c>
      <c r="X1690">
        <v>157925</v>
      </c>
      <c r="Y1690" t="s">
        <v>270</v>
      </c>
      <c r="Z1690">
        <v>157925</v>
      </c>
      <c r="AA1690">
        <v>157925</v>
      </c>
      <c r="AB1690" t="b">
        <v>1</v>
      </c>
    </row>
    <row r="1691" spans="17:28" x14ac:dyDescent="0.2">
      <c r="Q1691" t="s">
        <v>2018</v>
      </c>
      <c r="R1691" t="s">
        <v>2526</v>
      </c>
      <c r="S1691" t="s">
        <v>257</v>
      </c>
      <c r="T1691" s="1">
        <v>44256</v>
      </c>
      <c r="U1691" s="1">
        <v>44256</v>
      </c>
      <c r="V1691" t="s">
        <v>270</v>
      </c>
      <c r="W1691">
        <v>113239</v>
      </c>
      <c r="X1691">
        <v>113239</v>
      </c>
      <c r="Y1691" t="s">
        <v>270</v>
      </c>
      <c r="Z1691">
        <v>113239</v>
      </c>
      <c r="AA1691">
        <v>113239</v>
      </c>
      <c r="AB1691" t="b">
        <v>1</v>
      </c>
    </row>
    <row r="1692" spans="17:28" x14ac:dyDescent="0.2">
      <c r="Q1692" t="s">
        <v>2018</v>
      </c>
      <c r="R1692" t="s">
        <v>2526</v>
      </c>
      <c r="S1692" t="s">
        <v>257</v>
      </c>
      <c r="T1692" s="1">
        <v>44228</v>
      </c>
      <c r="U1692" s="1">
        <v>44228</v>
      </c>
      <c r="V1692" t="s">
        <v>270</v>
      </c>
      <c r="W1692">
        <v>254197</v>
      </c>
      <c r="X1692">
        <v>254197</v>
      </c>
      <c r="Y1692" t="s">
        <v>270</v>
      </c>
      <c r="Z1692">
        <v>254197</v>
      </c>
      <c r="AA1692">
        <v>254197</v>
      </c>
      <c r="AB1692" t="b">
        <v>1</v>
      </c>
    </row>
    <row r="1693" spans="17:28" x14ac:dyDescent="0.2">
      <c r="Q1693" t="s">
        <v>2018</v>
      </c>
      <c r="R1693" t="s">
        <v>2526</v>
      </c>
      <c r="S1693" t="s">
        <v>257</v>
      </c>
      <c r="T1693" s="1">
        <v>44197</v>
      </c>
      <c r="U1693" s="1">
        <v>44197</v>
      </c>
      <c r="V1693" t="s">
        <v>270</v>
      </c>
      <c r="W1693">
        <v>77337</v>
      </c>
      <c r="X1693">
        <v>77337</v>
      </c>
      <c r="Y1693" t="s">
        <v>270</v>
      </c>
      <c r="Z1693">
        <v>77337</v>
      </c>
      <c r="AA1693">
        <v>77337</v>
      </c>
      <c r="AB1693" t="b">
        <v>1</v>
      </c>
    </row>
    <row r="1694" spans="17:28" x14ac:dyDescent="0.2">
      <c r="Q1694" t="s">
        <v>2018</v>
      </c>
      <c r="R1694" t="s">
        <v>2526</v>
      </c>
      <c r="S1694" t="s">
        <v>257</v>
      </c>
      <c r="T1694" s="1">
        <v>44166</v>
      </c>
      <c r="U1694" s="1">
        <v>44166</v>
      </c>
      <c r="V1694" t="s">
        <v>270</v>
      </c>
      <c r="W1694">
        <v>579326</v>
      </c>
      <c r="X1694">
        <v>579326</v>
      </c>
      <c r="Y1694" t="s">
        <v>270</v>
      </c>
      <c r="Z1694">
        <v>579326</v>
      </c>
      <c r="AA1694">
        <v>579326</v>
      </c>
      <c r="AB1694" t="b">
        <v>1</v>
      </c>
    </row>
    <row r="1695" spans="17:28" x14ac:dyDescent="0.2">
      <c r="Q1695" t="s">
        <v>2018</v>
      </c>
      <c r="R1695" t="s">
        <v>2526</v>
      </c>
      <c r="S1695" t="s">
        <v>257</v>
      </c>
      <c r="T1695" s="1">
        <v>44136</v>
      </c>
      <c r="U1695" s="1">
        <v>44136</v>
      </c>
      <c r="V1695" t="s">
        <v>270</v>
      </c>
      <c r="W1695">
        <v>90998</v>
      </c>
      <c r="X1695">
        <v>90998</v>
      </c>
      <c r="Y1695" t="s">
        <v>270</v>
      </c>
      <c r="Z1695">
        <v>90998</v>
      </c>
      <c r="AA1695">
        <v>90998</v>
      </c>
      <c r="AB1695" t="b">
        <v>1</v>
      </c>
    </row>
    <row r="1696" spans="17:28" x14ac:dyDescent="0.2">
      <c r="Q1696" t="s">
        <v>2018</v>
      </c>
      <c r="R1696" t="s">
        <v>2526</v>
      </c>
      <c r="S1696" t="s">
        <v>257</v>
      </c>
      <c r="T1696" s="1">
        <v>44105</v>
      </c>
      <c r="U1696" s="1">
        <v>44105</v>
      </c>
      <c r="V1696" t="s">
        <v>270</v>
      </c>
      <c r="W1696">
        <v>107351</v>
      </c>
      <c r="X1696">
        <v>107351</v>
      </c>
      <c r="Y1696" t="s">
        <v>270</v>
      </c>
      <c r="Z1696">
        <v>107351</v>
      </c>
      <c r="AA1696">
        <v>107351</v>
      </c>
      <c r="AB1696" t="b">
        <v>1</v>
      </c>
    </row>
    <row r="1697" spans="17:28" x14ac:dyDescent="0.2">
      <c r="Q1697" t="s">
        <v>2018</v>
      </c>
      <c r="R1697" t="s">
        <v>2527</v>
      </c>
      <c r="S1697" t="s">
        <v>257</v>
      </c>
      <c r="T1697" s="1">
        <v>44348</v>
      </c>
      <c r="U1697" s="1">
        <v>44348</v>
      </c>
      <c r="V1697" t="s">
        <v>270</v>
      </c>
      <c r="W1697">
        <v>63436</v>
      </c>
      <c r="X1697">
        <v>63436</v>
      </c>
      <c r="Y1697" t="s">
        <v>270</v>
      </c>
      <c r="Z1697">
        <v>63436</v>
      </c>
      <c r="AA1697">
        <v>63436</v>
      </c>
      <c r="AB1697" t="b">
        <v>1</v>
      </c>
    </row>
    <row r="1698" spans="17:28" x14ac:dyDescent="0.2">
      <c r="Q1698" t="s">
        <v>2018</v>
      </c>
      <c r="R1698" t="s">
        <v>2527</v>
      </c>
      <c r="S1698" t="s">
        <v>257</v>
      </c>
      <c r="T1698" s="1">
        <v>44317</v>
      </c>
      <c r="U1698" s="1">
        <v>44317</v>
      </c>
      <c r="V1698" t="s">
        <v>270</v>
      </c>
      <c r="W1698">
        <v>37122</v>
      </c>
      <c r="X1698">
        <v>37122</v>
      </c>
      <c r="Y1698" t="s">
        <v>270</v>
      </c>
      <c r="Z1698">
        <v>37122</v>
      </c>
      <c r="AA1698">
        <v>37122</v>
      </c>
      <c r="AB1698" t="b">
        <v>1</v>
      </c>
    </row>
    <row r="1699" spans="17:28" x14ac:dyDescent="0.2">
      <c r="Q1699" t="s">
        <v>2018</v>
      </c>
      <c r="R1699" t="s">
        <v>2527</v>
      </c>
      <c r="S1699" t="s">
        <v>257</v>
      </c>
      <c r="T1699" s="1">
        <v>44287</v>
      </c>
      <c r="U1699" s="1">
        <v>44287</v>
      </c>
      <c r="V1699" t="s">
        <v>270</v>
      </c>
      <c r="W1699">
        <v>458129</v>
      </c>
      <c r="X1699">
        <v>458129</v>
      </c>
      <c r="Y1699" t="s">
        <v>270</v>
      </c>
      <c r="Z1699">
        <v>458129</v>
      </c>
      <c r="AA1699">
        <v>458129</v>
      </c>
      <c r="AB1699" t="b">
        <v>1</v>
      </c>
    </row>
    <row r="1700" spans="17:28" x14ac:dyDescent="0.2">
      <c r="Q1700" t="s">
        <v>2018</v>
      </c>
      <c r="R1700" t="s">
        <v>2527</v>
      </c>
      <c r="S1700" t="s">
        <v>257</v>
      </c>
      <c r="T1700" s="1">
        <v>44256</v>
      </c>
      <c r="U1700" s="1">
        <v>44256</v>
      </c>
      <c r="V1700" t="s">
        <v>270</v>
      </c>
      <c r="W1700">
        <v>172052</v>
      </c>
      <c r="X1700">
        <v>172052</v>
      </c>
      <c r="Y1700" t="s">
        <v>270</v>
      </c>
      <c r="Z1700">
        <v>172052</v>
      </c>
      <c r="AA1700">
        <v>172052</v>
      </c>
      <c r="AB1700" t="b">
        <v>1</v>
      </c>
    </row>
    <row r="1701" spans="17:28" x14ac:dyDescent="0.2">
      <c r="Q1701" t="s">
        <v>2018</v>
      </c>
      <c r="R1701" t="s">
        <v>2527</v>
      </c>
      <c r="S1701" t="s">
        <v>257</v>
      </c>
      <c r="T1701" s="1">
        <v>44228</v>
      </c>
      <c r="U1701" s="1">
        <v>44228</v>
      </c>
      <c r="V1701" t="s">
        <v>270</v>
      </c>
      <c r="W1701">
        <v>588</v>
      </c>
      <c r="X1701">
        <v>588</v>
      </c>
      <c r="Y1701" t="s">
        <v>270</v>
      </c>
      <c r="Z1701">
        <v>588</v>
      </c>
      <c r="AA1701">
        <v>588</v>
      </c>
      <c r="AB1701" t="b">
        <v>1</v>
      </c>
    </row>
    <row r="1702" spans="17:28" x14ac:dyDescent="0.2">
      <c r="Q1702" t="s">
        <v>2018</v>
      </c>
      <c r="R1702" t="s">
        <v>2527</v>
      </c>
      <c r="S1702" t="s">
        <v>257</v>
      </c>
      <c r="T1702" s="1">
        <v>44166</v>
      </c>
      <c r="U1702" s="1">
        <v>44166</v>
      </c>
      <c r="V1702" t="s">
        <v>270</v>
      </c>
      <c r="W1702">
        <v>609924</v>
      </c>
      <c r="X1702">
        <v>609924</v>
      </c>
      <c r="Y1702" t="s">
        <v>270</v>
      </c>
      <c r="Z1702">
        <v>609924</v>
      </c>
      <c r="AA1702">
        <v>609924</v>
      </c>
      <c r="AB1702" t="b">
        <v>1</v>
      </c>
    </row>
    <row r="1703" spans="17:28" x14ac:dyDescent="0.2">
      <c r="Q1703" t="s">
        <v>2018</v>
      </c>
      <c r="R1703" t="s">
        <v>2527</v>
      </c>
      <c r="S1703" t="s">
        <v>257</v>
      </c>
      <c r="T1703" s="1">
        <v>44136</v>
      </c>
      <c r="U1703" s="1">
        <v>44136</v>
      </c>
      <c r="V1703" t="s">
        <v>270</v>
      </c>
      <c r="W1703">
        <v>17069</v>
      </c>
      <c r="X1703">
        <v>17069</v>
      </c>
      <c r="Y1703" t="s">
        <v>270</v>
      </c>
      <c r="Z1703">
        <v>17069</v>
      </c>
      <c r="AA1703">
        <v>17069</v>
      </c>
      <c r="AB1703" t="b">
        <v>1</v>
      </c>
    </row>
    <row r="1704" spans="17:28" x14ac:dyDescent="0.2">
      <c r="Q1704" t="s">
        <v>2018</v>
      </c>
      <c r="R1704" t="s">
        <v>2527</v>
      </c>
      <c r="S1704" t="s">
        <v>257</v>
      </c>
      <c r="T1704" s="1">
        <v>44105</v>
      </c>
      <c r="U1704" s="1">
        <v>44105</v>
      </c>
      <c r="V1704" t="s">
        <v>270</v>
      </c>
      <c r="W1704">
        <v>7122</v>
      </c>
      <c r="X1704">
        <v>7122</v>
      </c>
      <c r="Y1704" t="s">
        <v>270</v>
      </c>
      <c r="Z1704">
        <v>7122</v>
      </c>
      <c r="AA1704">
        <v>7122</v>
      </c>
      <c r="AB1704" t="b">
        <v>1</v>
      </c>
    </row>
    <row r="1705" spans="17:28" x14ac:dyDescent="0.2">
      <c r="Q1705" t="s">
        <v>2018</v>
      </c>
      <c r="R1705" t="s">
        <v>2527</v>
      </c>
      <c r="S1705" t="s">
        <v>257</v>
      </c>
      <c r="T1705" s="1">
        <v>44044</v>
      </c>
      <c r="U1705" s="1">
        <v>44044</v>
      </c>
      <c r="V1705" t="s">
        <v>270</v>
      </c>
      <c r="W1705">
        <v>61617</v>
      </c>
      <c r="X1705">
        <v>61617</v>
      </c>
      <c r="Y1705" t="s">
        <v>270</v>
      </c>
      <c r="Z1705">
        <v>61617</v>
      </c>
      <c r="AA1705">
        <v>61617</v>
      </c>
      <c r="AB1705" t="b">
        <v>1</v>
      </c>
    </row>
    <row r="1706" spans="17:28" x14ac:dyDescent="0.2">
      <c r="Q1706" t="s">
        <v>2018</v>
      </c>
      <c r="R1706" t="s">
        <v>2527</v>
      </c>
      <c r="S1706" t="s">
        <v>257</v>
      </c>
      <c r="T1706" s="1">
        <v>44013</v>
      </c>
      <c r="U1706" s="1">
        <v>44013</v>
      </c>
      <c r="V1706" t="s">
        <v>270</v>
      </c>
      <c r="W1706">
        <v>35480</v>
      </c>
      <c r="X1706">
        <v>35480</v>
      </c>
      <c r="Y1706" t="s">
        <v>270</v>
      </c>
      <c r="Z1706">
        <v>35480</v>
      </c>
      <c r="AA1706">
        <v>35480</v>
      </c>
      <c r="AB1706" t="b">
        <v>1</v>
      </c>
    </row>
    <row r="1707" spans="17:28" x14ac:dyDescent="0.2">
      <c r="Q1707" t="s">
        <v>2018</v>
      </c>
      <c r="R1707" t="s">
        <v>2527</v>
      </c>
      <c r="S1707" t="s">
        <v>257</v>
      </c>
      <c r="T1707" s="1">
        <v>44348</v>
      </c>
      <c r="U1707" s="1">
        <v>44348</v>
      </c>
      <c r="V1707" t="s">
        <v>270</v>
      </c>
      <c r="W1707">
        <v>63436</v>
      </c>
      <c r="X1707">
        <v>63436</v>
      </c>
      <c r="Y1707" t="s">
        <v>270</v>
      </c>
      <c r="Z1707">
        <v>63436</v>
      </c>
      <c r="AA1707">
        <v>63436</v>
      </c>
      <c r="AB1707" t="b">
        <v>1</v>
      </c>
    </row>
    <row r="1708" spans="17:28" x14ac:dyDescent="0.2">
      <c r="Q1708" t="s">
        <v>2018</v>
      </c>
      <c r="R1708" t="s">
        <v>2527</v>
      </c>
      <c r="S1708" t="s">
        <v>257</v>
      </c>
      <c r="T1708" s="1">
        <v>44317</v>
      </c>
      <c r="U1708" s="1">
        <v>44317</v>
      </c>
      <c r="V1708" t="s">
        <v>270</v>
      </c>
      <c r="W1708">
        <v>37122</v>
      </c>
      <c r="X1708">
        <v>37122</v>
      </c>
      <c r="Y1708" t="s">
        <v>270</v>
      </c>
      <c r="Z1708">
        <v>37122</v>
      </c>
      <c r="AA1708">
        <v>37122</v>
      </c>
      <c r="AB1708" t="b">
        <v>1</v>
      </c>
    </row>
    <row r="1709" spans="17:28" x14ac:dyDescent="0.2">
      <c r="Q1709" t="s">
        <v>2018</v>
      </c>
      <c r="R1709" t="s">
        <v>2527</v>
      </c>
      <c r="S1709" t="s">
        <v>257</v>
      </c>
      <c r="T1709" s="1">
        <v>44287</v>
      </c>
      <c r="U1709" s="1">
        <v>44287</v>
      </c>
      <c r="V1709" t="s">
        <v>270</v>
      </c>
      <c r="W1709">
        <v>458129</v>
      </c>
      <c r="X1709">
        <v>458129</v>
      </c>
      <c r="Y1709" t="s">
        <v>270</v>
      </c>
      <c r="Z1709">
        <v>458129</v>
      </c>
      <c r="AA1709">
        <v>458129</v>
      </c>
      <c r="AB1709" t="b">
        <v>1</v>
      </c>
    </row>
    <row r="1710" spans="17:28" x14ac:dyDescent="0.2">
      <c r="Q1710" t="s">
        <v>2018</v>
      </c>
      <c r="R1710" t="s">
        <v>2527</v>
      </c>
      <c r="S1710" t="s">
        <v>257</v>
      </c>
      <c r="T1710" s="1">
        <v>44256</v>
      </c>
      <c r="U1710" s="1">
        <v>44256</v>
      </c>
      <c r="V1710" t="s">
        <v>270</v>
      </c>
      <c r="W1710">
        <v>172052</v>
      </c>
      <c r="X1710">
        <v>172052</v>
      </c>
      <c r="Y1710" t="s">
        <v>270</v>
      </c>
      <c r="Z1710">
        <v>172052</v>
      </c>
      <c r="AA1710">
        <v>172052</v>
      </c>
      <c r="AB1710" t="b">
        <v>1</v>
      </c>
    </row>
    <row r="1711" spans="17:28" x14ac:dyDescent="0.2">
      <c r="Q1711" t="s">
        <v>2018</v>
      </c>
      <c r="R1711" t="s">
        <v>2527</v>
      </c>
      <c r="S1711" t="s">
        <v>257</v>
      </c>
      <c r="T1711" s="1">
        <v>44228</v>
      </c>
      <c r="U1711" s="1">
        <v>44228</v>
      </c>
      <c r="V1711" t="s">
        <v>270</v>
      </c>
      <c r="W1711">
        <v>588</v>
      </c>
      <c r="X1711">
        <v>588</v>
      </c>
      <c r="Y1711" t="s">
        <v>270</v>
      </c>
      <c r="Z1711">
        <v>588</v>
      </c>
      <c r="AA1711">
        <v>588</v>
      </c>
      <c r="AB1711" t="b">
        <v>1</v>
      </c>
    </row>
    <row r="1712" spans="17:28" x14ac:dyDescent="0.2">
      <c r="Q1712" t="s">
        <v>2018</v>
      </c>
      <c r="R1712" t="s">
        <v>2527</v>
      </c>
      <c r="S1712" t="s">
        <v>257</v>
      </c>
      <c r="T1712" s="1">
        <v>44166</v>
      </c>
      <c r="U1712" s="1">
        <v>44166</v>
      </c>
      <c r="V1712" t="s">
        <v>270</v>
      </c>
      <c r="W1712">
        <v>609924</v>
      </c>
      <c r="X1712">
        <v>609924</v>
      </c>
      <c r="Y1712" t="s">
        <v>270</v>
      </c>
      <c r="Z1712">
        <v>609924</v>
      </c>
      <c r="AA1712">
        <v>609924</v>
      </c>
      <c r="AB1712" t="b">
        <v>1</v>
      </c>
    </row>
    <row r="1713" spans="17:28" x14ac:dyDescent="0.2">
      <c r="Q1713" t="s">
        <v>2018</v>
      </c>
      <c r="R1713" t="s">
        <v>2527</v>
      </c>
      <c r="S1713" t="s">
        <v>257</v>
      </c>
      <c r="T1713" s="1">
        <v>44136</v>
      </c>
      <c r="U1713" s="1">
        <v>44136</v>
      </c>
      <c r="V1713" t="s">
        <v>270</v>
      </c>
      <c r="W1713">
        <v>17069</v>
      </c>
      <c r="X1713">
        <v>17069</v>
      </c>
      <c r="Y1713" t="s">
        <v>270</v>
      </c>
      <c r="Z1713">
        <v>17069</v>
      </c>
      <c r="AA1713">
        <v>17069</v>
      </c>
      <c r="AB1713" t="b">
        <v>1</v>
      </c>
    </row>
    <row r="1714" spans="17:28" x14ac:dyDescent="0.2">
      <c r="Q1714" t="s">
        <v>2018</v>
      </c>
      <c r="R1714" t="s">
        <v>2527</v>
      </c>
      <c r="S1714" t="s">
        <v>257</v>
      </c>
      <c r="T1714" s="1">
        <v>44105</v>
      </c>
      <c r="U1714" s="1">
        <v>44105</v>
      </c>
      <c r="V1714" t="s">
        <v>270</v>
      </c>
      <c r="W1714">
        <v>7122</v>
      </c>
      <c r="X1714">
        <v>7122</v>
      </c>
      <c r="Y1714" t="s">
        <v>270</v>
      </c>
      <c r="Z1714">
        <v>7122</v>
      </c>
      <c r="AA1714">
        <v>7122</v>
      </c>
      <c r="AB1714" t="b">
        <v>1</v>
      </c>
    </row>
    <row r="1715" spans="17:28" x14ac:dyDescent="0.2">
      <c r="Q1715" t="s">
        <v>2018</v>
      </c>
      <c r="R1715" t="s">
        <v>2527</v>
      </c>
      <c r="S1715" t="s">
        <v>257</v>
      </c>
      <c r="T1715" s="1">
        <v>44044</v>
      </c>
      <c r="U1715" s="1">
        <v>44044</v>
      </c>
      <c r="V1715" t="s">
        <v>270</v>
      </c>
      <c r="W1715">
        <v>61617</v>
      </c>
      <c r="X1715">
        <v>61617</v>
      </c>
      <c r="Y1715" t="s">
        <v>270</v>
      </c>
      <c r="Z1715">
        <v>61617</v>
      </c>
      <c r="AA1715">
        <v>61617</v>
      </c>
      <c r="AB1715" t="b">
        <v>1</v>
      </c>
    </row>
    <row r="1716" spans="17:28" x14ac:dyDescent="0.2">
      <c r="Q1716" t="s">
        <v>2018</v>
      </c>
      <c r="R1716" t="s">
        <v>2527</v>
      </c>
      <c r="S1716" t="s">
        <v>257</v>
      </c>
      <c r="T1716" s="1">
        <v>44013</v>
      </c>
      <c r="U1716" s="1">
        <v>44013</v>
      </c>
      <c r="V1716" t="s">
        <v>270</v>
      </c>
      <c r="W1716">
        <v>35480</v>
      </c>
      <c r="X1716">
        <v>35480</v>
      </c>
      <c r="Y1716" t="s">
        <v>270</v>
      </c>
      <c r="Z1716">
        <v>35480</v>
      </c>
      <c r="AA1716">
        <v>35480</v>
      </c>
      <c r="AB1716" t="b">
        <v>1</v>
      </c>
    </row>
    <row r="1717" spans="17:28" x14ac:dyDescent="0.2">
      <c r="Q1717" t="s">
        <v>2018</v>
      </c>
      <c r="R1717" t="s">
        <v>2528</v>
      </c>
      <c r="S1717" t="s">
        <v>257</v>
      </c>
      <c r="T1717" s="1">
        <v>44348</v>
      </c>
      <c r="U1717" s="1">
        <v>44348</v>
      </c>
      <c r="V1717" t="s">
        <v>270</v>
      </c>
      <c r="W1717">
        <v>114260</v>
      </c>
      <c r="X1717">
        <v>114260</v>
      </c>
      <c r="Y1717" t="s">
        <v>270</v>
      </c>
      <c r="Z1717">
        <v>114260</v>
      </c>
      <c r="AA1717">
        <v>114260</v>
      </c>
      <c r="AB1717" t="b">
        <v>1</v>
      </c>
    </row>
    <row r="1718" spans="17:28" x14ac:dyDescent="0.2">
      <c r="Q1718" t="s">
        <v>2018</v>
      </c>
      <c r="R1718" t="s">
        <v>2528</v>
      </c>
      <c r="S1718" t="s">
        <v>257</v>
      </c>
      <c r="T1718" s="1">
        <v>44317</v>
      </c>
      <c r="U1718" s="1">
        <v>44317</v>
      </c>
      <c r="V1718" t="s">
        <v>270</v>
      </c>
      <c r="W1718">
        <v>27930</v>
      </c>
      <c r="X1718">
        <v>27930</v>
      </c>
      <c r="Y1718" t="s">
        <v>270</v>
      </c>
      <c r="Z1718">
        <v>27930</v>
      </c>
      <c r="AA1718">
        <v>27930</v>
      </c>
      <c r="AB1718" t="b">
        <v>1</v>
      </c>
    </row>
    <row r="1719" spans="17:28" x14ac:dyDescent="0.2">
      <c r="Q1719" t="s">
        <v>2018</v>
      </c>
      <c r="R1719" t="s">
        <v>2528</v>
      </c>
      <c r="S1719" t="s">
        <v>257</v>
      </c>
      <c r="T1719" s="1">
        <v>44287</v>
      </c>
      <c r="U1719" s="1">
        <v>44287</v>
      </c>
      <c r="V1719" t="s">
        <v>270</v>
      </c>
      <c r="W1719">
        <v>39010</v>
      </c>
      <c r="X1719">
        <v>39010</v>
      </c>
      <c r="Y1719" t="s">
        <v>270</v>
      </c>
      <c r="Z1719">
        <v>39010</v>
      </c>
      <c r="AA1719">
        <v>39010</v>
      </c>
      <c r="AB1719" t="b">
        <v>1</v>
      </c>
    </row>
    <row r="1720" spans="17:28" x14ac:dyDescent="0.2">
      <c r="Q1720" t="s">
        <v>2018</v>
      </c>
      <c r="R1720" t="s">
        <v>2528</v>
      </c>
      <c r="S1720" t="s">
        <v>257</v>
      </c>
      <c r="T1720" s="1">
        <v>44256</v>
      </c>
      <c r="U1720" s="1">
        <v>44256</v>
      </c>
      <c r="V1720" t="s">
        <v>270</v>
      </c>
      <c r="W1720">
        <v>28277</v>
      </c>
      <c r="X1720">
        <v>28277</v>
      </c>
      <c r="Y1720" t="s">
        <v>270</v>
      </c>
      <c r="Z1720">
        <v>28277</v>
      </c>
      <c r="AA1720">
        <v>28277</v>
      </c>
      <c r="AB1720" t="b">
        <v>1</v>
      </c>
    </row>
    <row r="1721" spans="17:28" x14ac:dyDescent="0.2">
      <c r="Q1721" t="s">
        <v>2018</v>
      </c>
      <c r="R1721" t="s">
        <v>2528</v>
      </c>
      <c r="S1721" t="s">
        <v>257</v>
      </c>
      <c r="T1721" s="1">
        <v>44228</v>
      </c>
      <c r="U1721" s="1">
        <v>44228</v>
      </c>
      <c r="V1721" t="s">
        <v>270</v>
      </c>
      <c r="W1721">
        <v>107510</v>
      </c>
      <c r="X1721">
        <v>107510</v>
      </c>
      <c r="Y1721" t="s">
        <v>270</v>
      </c>
      <c r="Z1721">
        <v>107510</v>
      </c>
      <c r="AA1721">
        <v>107510</v>
      </c>
      <c r="AB1721" t="b">
        <v>1</v>
      </c>
    </row>
    <row r="1722" spans="17:28" x14ac:dyDescent="0.2">
      <c r="Q1722" t="s">
        <v>2018</v>
      </c>
      <c r="R1722" t="s">
        <v>2528</v>
      </c>
      <c r="S1722" t="s">
        <v>257</v>
      </c>
      <c r="T1722" s="1">
        <v>44197</v>
      </c>
      <c r="U1722" s="1">
        <v>44197</v>
      </c>
      <c r="V1722" t="s">
        <v>270</v>
      </c>
      <c r="W1722">
        <v>2923</v>
      </c>
      <c r="X1722">
        <v>2923</v>
      </c>
      <c r="Y1722" t="s">
        <v>270</v>
      </c>
      <c r="Z1722">
        <v>2923</v>
      </c>
      <c r="AA1722">
        <v>2923</v>
      </c>
      <c r="AB1722" t="b">
        <v>1</v>
      </c>
    </row>
    <row r="1723" spans="17:28" x14ac:dyDescent="0.2">
      <c r="Q1723" t="s">
        <v>2018</v>
      </c>
      <c r="R1723" t="s">
        <v>2528</v>
      </c>
      <c r="S1723" t="s">
        <v>257</v>
      </c>
      <c r="T1723" s="1">
        <v>44166</v>
      </c>
      <c r="U1723" s="1">
        <v>44166</v>
      </c>
      <c r="V1723" t="s">
        <v>270</v>
      </c>
      <c r="W1723">
        <v>294856</v>
      </c>
      <c r="X1723">
        <v>294856</v>
      </c>
      <c r="Y1723" t="s">
        <v>270</v>
      </c>
      <c r="Z1723">
        <v>294856</v>
      </c>
      <c r="AA1723">
        <v>294856</v>
      </c>
      <c r="AB1723" t="b">
        <v>1</v>
      </c>
    </row>
    <row r="1724" spans="17:28" x14ac:dyDescent="0.2">
      <c r="Q1724" t="s">
        <v>2018</v>
      </c>
      <c r="R1724" t="s">
        <v>2528</v>
      </c>
      <c r="S1724" t="s">
        <v>257</v>
      </c>
      <c r="T1724" s="1">
        <v>44136</v>
      </c>
      <c r="U1724" s="1">
        <v>44136</v>
      </c>
      <c r="V1724" t="s">
        <v>270</v>
      </c>
      <c r="W1724">
        <v>537002</v>
      </c>
      <c r="X1724">
        <v>537002</v>
      </c>
      <c r="Y1724" t="s">
        <v>270</v>
      </c>
      <c r="Z1724">
        <v>537002</v>
      </c>
      <c r="AA1724">
        <v>537002</v>
      </c>
      <c r="AB1724" t="b">
        <v>1</v>
      </c>
    </row>
    <row r="1725" spans="17:28" x14ac:dyDescent="0.2">
      <c r="Q1725" t="s">
        <v>2018</v>
      </c>
      <c r="R1725" t="s">
        <v>2528</v>
      </c>
      <c r="S1725" t="s">
        <v>257</v>
      </c>
      <c r="T1725" s="1">
        <v>44105</v>
      </c>
      <c r="U1725" s="1">
        <v>44105</v>
      </c>
      <c r="V1725" t="s">
        <v>270</v>
      </c>
      <c r="W1725">
        <v>5739</v>
      </c>
      <c r="X1725">
        <v>5739</v>
      </c>
      <c r="Y1725" t="s">
        <v>270</v>
      </c>
      <c r="Z1725">
        <v>5739</v>
      </c>
      <c r="AA1725">
        <v>5739</v>
      </c>
      <c r="AB1725" t="b">
        <v>1</v>
      </c>
    </row>
    <row r="1726" spans="17:28" x14ac:dyDescent="0.2">
      <c r="Q1726" t="s">
        <v>2018</v>
      </c>
      <c r="R1726" t="s">
        <v>2528</v>
      </c>
      <c r="S1726" t="s">
        <v>257</v>
      </c>
      <c r="T1726" s="1">
        <v>44075</v>
      </c>
      <c r="U1726" s="1">
        <v>44075</v>
      </c>
      <c r="V1726" t="s">
        <v>270</v>
      </c>
      <c r="W1726">
        <v>74658</v>
      </c>
      <c r="X1726">
        <v>74658</v>
      </c>
      <c r="Y1726" t="s">
        <v>270</v>
      </c>
      <c r="Z1726">
        <v>74658</v>
      </c>
      <c r="AA1726">
        <v>74658</v>
      </c>
      <c r="AB1726" t="b">
        <v>1</v>
      </c>
    </row>
    <row r="1727" spans="17:28" x14ac:dyDescent="0.2">
      <c r="Q1727" t="s">
        <v>2018</v>
      </c>
      <c r="R1727" t="s">
        <v>2528</v>
      </c>
      <c r="S1727" t="s">
        <v>257</v>
      </c>
      <c r="T1727" s="1">
        <v>44013</v>
      </c>
      <c r="U1727" s="1">
        <v>44013</v>
      </c>
      <c r="V1727" t="s">
        <v>270</v>
      </c>
      <c r="W1727">
        <v>93704</v>
      </c>
      <c r="X1727">
        <v>93704</v>
      </c>
      <c r="Y1727" t="s">
        <v>270</v>
      </c>
      <c r="Z1727">
        <v>93704</v>
      </c>
      <c r="AA1727">
        <v>93704</v>
      </c>
      <c r="AB1727" t="b">
        <v>1</v>
      </c>
    </row>
    <row r="1728" spans="17:28" x14ac:dyDescent="0.2">
      <c r="Q1728" t="s">
        <v>2022</v>
      </c>
      <c r="R1728" t="s">
        <v>2528</v>
      </c>
      <c r="S1728" t="s">
        <v>257</v>
      </c>
      <c r="T1728" s="1">
        <v>44348</v>
      </c>
      <c r="U1728" s="1">
        <v>44348</v>
      </c>
      <c r="V1728" t="s">
        <v>270</v>
      </c>
      <c r="W1728">
        <v>114260</v>
      </c>
      <c r="X1728">
        <v>114260</v>
      </c>
      <c r="Y1728" t="s">
        <v>270</v>
      </c>
      <c r="Z1728">
        <v>114260</v>
      </c>
      <c r="AA1728">
        <v>114260</v>
      </c>
      <c r="AB1728" t="b">
        <v>1</v>
      </c>
    </row>
    <row r="1729" spans="17:28" x14ac:dyDescent="0.2">
      <c r="Q1729" t="s">
        <v>2022</v>
      </c>
      <c r="R1729" t="s">
        <v>2528</v>
      </c>
      <c r="S1729" t="s">
        <v>257</v>
      </c>
      <c r="T1729" s="1">
        <v>44317</v>
      </c>
      <c r="U1729" s="1">
        <v>44317</v>
      </c>
      <c r="V1729" t="s">
        <v>270</v>
      </c>
      <c r="W1729">
        <v>27930</v>
      </c>
      <c r="X1729">
        <v>27930</v>
      </c>
      <c r="Y1729" t="s">
        <v>270</v>
      </c>
      <c r="Z1729">
        <v>27930</v>
      </c>
      <c r="AA1729">
        <v>27930</v>
      </c>
      <c r="AB1729" t="b">
        <v>1</v>
      </c>
    </row>
    <row r="1730" spans="17:28" x14ac:dyDescent="0.2">
      <c r="Q1730" t="s">
        <v>2022</v>
      </c>
      <c r="R1730" t="s">
        <v>2528</v>
      </c>
      <c r="S1730" t="s">
        <v>257</v>
      </c>
      <c r="T1730" s="1">
        <v>44287</v>
      </c>
      <c r="U1730" s="1">
        <v>44287</v>
      </c>
      <c r="V1730" t="s">
        <v>270</v>
      </c>
      <c r="W1730">
        <v>39010</v>
      </c>
      <c r="X1730">
        <v>39010</v>
      </c>
      <c r="Y1730" t="s">
        <v>270</v>
      </c>
      <c r="Z1730">
        <v>39010</v>
      </c>
      <c r="AA1730">
        <v>39010</v>
      </c>
      <c r="AB1730" t="b">
        <v>1</v>
      </c>
    </row>
    <row r="1731" spans="17:28" x14ac:dyDescent="0.2">
      <c r="Q1731" t="s">
        <v>2022</v>
      </c>
      <c r="R1731" t="s">
        <v>2528</v>
      </c>
      <c r="S1731" t="s">
        <v>257</v>
      </c>
      <c r="T1731" s="1">
        <v>44256</v>
      </c>
      <c r="U1731" s="1">
        <v>44256</v>
      </c>
      <c r="V1731" t="s">
        <v>270</v>
      </c>
      <c r="W1731">
        <v>28277</v>
      </c>
      <c r="X1731">
        <v>28277</v>
      </c>
      <c r="Y1731" t="s">
        <v>270</v>
      </c>
      <c r="Z1731">
        <v>28277</v>
      </c>
      <c r="AA1731">
        <v>28277</v>
      </c>
      <c r="AB1731" t="b">
        <v>1</v>
      </c>
    </row>
    <row r="1732" spans="17:28" x14ac:dyDescent="0.2">
      <c r="Q1732" t="s">
        <v>2022</v>
      </c>
      <c r="R1732" t="s">
        <v>2528</v>
      </c>
      <c r="S1732" t="s">
        <v>257</v>
      </c>
      <c r="T1732" s="1">
        <v>44228</v>
      </c>
      <c r="U1732" s="1">
        <v>44228</v>
      </c>
      <c r="V1732" t="s">
        <v>270</v>
      </c>
      <c r="W1732">
        <v>107510</v>
      </c>
      <c r="X1732">
        <v>107510</v>
      </c>
      <c r="Y1732" t="s">
        <v>270</v>
      </c>
      <c r="Z1732">
        <v>107510</v>
      </c>
      <c r="AA1732">
        <v>107510</v>
      </c>
      <c r="AB1732" t="b">
        <v>1</v>
      </c>
    </row>
    <row r="1733" spans="17:28" x14ac:dyDescent="0.2">
      <c r="Q1733" t="s">
        <v>2022</v>
      </c>
      <c r="R1733" t="s">
        <v>2528</v>
      </c>
      <c r="S1733" t="s">
        <v>257</v>
      </c>
      <c r="T1733" s="1">
        <v>44197</v>
      </c>
      <c r="U1733" s="1">
        <v>44197</v>
      </c>
      <c r="V1733" t="s">
        <v>270</v>
      </c>
      <c r="W1733">
        <v>2923</v>
      </c>
      <c r="X1733">
        <v>2923</v>
      </c>
      <c r="Y1733" t="s">
        <v>270</v>
      </c>
      <c r="Z1733">
        <v>2923</v>
      </c>
      <c r="AA1733">
        <v>2923</v>
      </c>
      <c r="AB1733" t="b">
        <v>1</v>
      </c>
    </row>
    <row r="1734" spans="17:28" x14ac:dyDescent="0.2">
      <c r="Q1734" t="s">
        <v>2022</v>
      </c>
      <c r="R1734" t="s">
        <v>2528</v>
      </c>
      <c r="S1734" t="s">
        <v>257</v>
      </c>
      <c r="T1734" s="1">
        <v>44166</v>
      </c>
      <c r="U1734" s="1">
        <v>44166</v>
      </c>
      <c r="V1734" t="s">
        <v>270</v>
      </c>
      <c r="W1734">
        <v>294856</v>
      </c>
      <c r="X1734">
        <v>294856</v>
      </c>
      <c r="Y1734" t="s">
        <v>270</v>
      </c>
      <c r="Z1734">
        <v>294856</v>
      </c>
      <c r="AA1734">
        <v>294856</v>
      </c>
      <c r="AB1734" t="b">
        <v>1</v>
      </c>
    </row>
    <row r="1735" spans="17:28" x14ac:dyDescent="0.2">
      <c r="Q1735" t="s">
        <v>2022</v>
      </c>
      <c r="R1735" t="s">
        <v>2528</v>
      </c>
      <c r="S1735" t="s">
        <v>257</v>
      </c>
      <c r="T1735" s="1">
        <v>44136</v>
      </c>
      <c r="U1735" s="1">
        <v>44136</v>
      </c>
      <c r="V1735" t="s">
        <v>270</v>
      </c>
      <c r="W1735">
        <v>537002</v>
      </c>
      <c r="X1735">
        <v>537002</v>
      </c>
      <c r="Y1735" t="s">
        <v>270</v>
      </c>
      <c r="Z1735">
        <v>537002</v>
      </c>
      <c r="AA1735">
        <v>537002</v>
      </c>
      <c r="AB1735" t="b">
        <v>1</v>
      </c>
    </row>
    <row r="1736" spans="17:28" x14ac:dyDescent="0.2">
      <c r="Q1736" t="s">
        <v>2022</v>
      </c>
      <c r="R1736" t="s">
        <v>2528</v>
      </c>
      <c r="S1736" t="s">
        <v>257</v>
      </c>
      <c r="T1736" s="1">
        <v>44105</v>
      </c>
      <c r="U1736" s="1">
        <v>44105</v>
      </c>
      <c r="V1736" t="s">
        <v>270</v>
      </c>
      <c r="W1736">
        <v>5739</v>
      </c>
      <c r="X1736">
        <v>5739</v>
      </c>
      <c r="Y1736" t="s">
        <v>270</v>
      </c>
      <c r="Z1736">
        <v>5739</v>
      </c>
      <c r="AA1736">
        <v>5739</v>
      </c>
      <c r="AB1736" t="b">
        <v>1</v>
      </c>
    </row>
    <row r="1737" spans="17:28" x14ac:dyDescent="0.2">
      <c r="Q1737" t="s">
        <v>2022</v>
      </c>
      <c r="R1737" t="s">
        <v>2528</v>
      </c>
      <c r="S1737" t="s">
        <v>257</v>
      </c>
      <c r="T1737" s="1">
        <v>44075</v>
      </c>
      <c r="U1737" s="1">
        <v>44075</v>
      </c>
      <c r="V1737" t="s">
        <v>270</v>
      </c>
      <c r="W1737">
        <v>74658</v>
      </c>
      <c r="X1737">
        <v>74658</v>
      </c>
      <c r="Y1737" t="s">
        <v>270</v>
      </c>
      <c r="Z1737">
        <v>74658</v>
      </c>
      <c r="AA1737">
        <v>74658</v>
      </c>
      <c r="AB1737" t="b">
        <v>1</v>
      </c>
    </row>
    <row r="1738" spans="17:28" x14ac:dyDescent="0.2">
      <c r="Q1738" t="s">
        <v>2022</v>
      </c>
      <c r="R1738" t="s">
        <v>2528</v>
      </c>
      <c r="S1738" t="s">
        <v>257</v>
      </c>
      <c r="T1738" s="1">
        <v>44013</v>
      </c>
      <c r="U1738" s="1">
        <v>44013</v>
      </c>
      <c r="V1738" t="s">
        <v>270</v>
      </c>
      <c r="W1738">
        <v>93704</v>
      </c>
      <c r="X1738">
        <v>93704</v>
      </c>
      <c r="Y1738" t="s">
        <v>270</v>
      </c>
      <c r="Z1738">
        <v>93704</v>
      </c>
      <c r="AA1738">
        <v>93704</v>
      </c>
      <c r="AB1738" t="b">
        <v>1</v>
      </c>
    </row>
    <row r="1739" spans="17:28" x14ac:dyDescent="0.2">
      <c r="Q1739" t="s">
        <v>2018</v>
      </c>
      <c r="R1739" t="s">
        <v>2529</v>
      </c>
      <c r="S1739" t="s">
        <v>257</v>
      </c>
      <c r="T1739" s="1">
        <v>44348</v>
      </c>
      <c r="U1739" s="1">
        <v>44348</v>
      </c>
      <c r="V1739" t="s">
        <v>270</v>
      </c>
      <c r="W1739">
        <v>16682</v>
      </c>
      <c r="X1739">
        <v>16682</v>
      </c>
      <c r="Y1739" t="s">
        <v>270</v>
      </c>
      <c r="Z1739">
        <v>16682</v>
      </c>
      <c r="AA1739">
        <v>16682</v>
      </c>
      <c r="AB1739" t="b">
        <v>1</v>
      </c>
    </row>
    <row r="1740" spans="17:28" x14ac:dyDescent="0.2">
      <c r="Q1740" t="s">
        <v>2018</v>
      </c>
      <c r="R1740" t="s">
        <v>2529</v>
      </c>
      <c r="S1740" t="s">
        <v>257</v>
      </c>
      <c r="T1740" s="1">
        <v>44317</v>
      </c>
      <c r="U1740" s="1">
        <v>44317</v>
      </c>
      <c r="V1740" t="s">
        <v>270</v>
      </c>
      <c r="W1740">
        <v>27996</v>
      </c>
      <c r="X1740">
        <v>27996</v>
      </c>
      <c r="Y1740" t="s">
        <v>270</v>
      </c>
      <c r="Z1740">
        <v>27996</v>
      </c>
      <c r="AA1740">
        <v>27996</v>
      </c>
      <c r="AB1740" t="b">
        <v>1</v>
      </c>
    </row>
    <row r="1741" spans="17:28" x14ac:dyDescent="0.2">
      <c r="Q1741" t="s">
        <v>2018</v>
      </c>
      <c r="R1741" t="s">
        <v>2529</v>
      </c>
      <c r="S1741" t="s">
        <v>257</v>
      </c>
      <c r="T1741" s="1">
        <v>44287</v>
      </c>
      <c r="U1741" s="1">
        <v>44287</v>
      </c>
      <c r="V1741" t="s">
        <v>270</v>
      </c>
      <c r="W1741">
        <v>9567</v>
      </c>
      <c r="X1741">
        <v>9567</v>
      </c>
      <c r="Y1741" t="s">
        <v>270</v>
      </c>
      <c r="Z1741">
        <v>9567</v>
      </c>
      <c r="AA1741">
        <v>9567</v>
      </c>
      <c r="AB1741" t="b">
        <v>1</v>
      </c>
    </row>
    <row r="1742" spans="17:28" x14ac:dyDescent="0.2">
      <c r="Q1742" t="s">
        <v>2018</v>
      </c>
      <c r="R1742" t="s">
        <v>2529</v>
      </c>
      <c r="S1742" t="s">
        <v>257</v>
      </c>
      <c r="T1742" s="1">
        <v>44256</v>
      </c>
      <c r="U1742" s="1">
        <v>44256</v>
      </c>
      <c r="V1742" t="s">
        <v>270</v>
      </c>
      <c r="W1742">
        <v>42423</v>
      </c>
      <c r="X1742">
        <v>42423</v>
      </c>
      <c r="Y1742" t="s">
        <v>270</v>
      </c>
      <c r="Z1742">
        <v>42423</v>
      </c>
      <c r="AA1742">
        <v>42423</v>
      </c>
      <c r="AB1742" t="b">
        <v>1</v>
      </c>
    </row>
    <row r="1743" spans="17:28" x14ac:dyDescent="0.2">
      <c r="Q1743" t="s">
        <v>2018</v>
      </c>
      <c r="R1743" t="s">
        <v>2529</v>
      </c>
      <c r="S1743" t="s">
        <v>257</v>
      </c>
      <c r="T1743" s="1">
        <v>44228</v>
      </c>
      <c r="U1743" s="1">
        <v>44228</v>
      </c>
      <c r="V1743" t="s">
        <v>270</v>
      </c>
      <c r="W1743">
        <v>88448</v>
      </c>
      <c r="X1743">
        <v>88448</v>
      </c>
      <c r="Y1743" t="s">
        <v>270</v>
      </c>
      <c r="Z1743">
        <v>88448</v>
      </c>
      <c r="AA1743">
        <v>88448</v>
      </c>
      <c r="AB1743" t="b">
        <v>1</v>
      </c>
    </row>
    <row r="1744" spans="17:28" x14ac:dyDescent="0.2">
      <c r="Q1744" t="s">
        <v>2018</v>
      </c>
      <c r="R1744" t="s">
        <v>2529</v>
      </c>
      <c r="S1744" t="s">
        <v>257</v>
      </c>
      <c r="T1744" s="1">
        <v>44197</v>
      </c>
      <c r="U1744" s="1">
        <v>44197</v>
      </c>
      <c r="V1744" t="s">
        <v>270</v>
      </c>
      <c r="W1744">
        <v>47724</v>
      </c>
      <c r="X1744">
        <v>47724</v>
      </c>
      <c r="Y1744" t="s">
        <v>270</v>
      </c>
      <c r="Z1744">
        <v>47724</v>
      </c>
      <c r="AA1744">
        <v>47724</v>
      </c>
      <c r="AB1744" t="b">
        <v>1</v>
      </c>
    </row>
    <row r="1745" spans="17:28" x14ac:dyDescent="0.2">
      <c r="Q1745" t="s">
        <v>2018</v>
      </c>
      <c r="R1745" t="s">
        <v>2529</v>
      </c>
      <c r="S1745" t="s">
        <v>257</v>
      </c>
      <c r="T1745" s="1">
        <v>44166</v>
      </c>
      <c r="U1745" s="1">
        <v>44166</v>
      </c>
      <c r="V1745" t="s">
        <v>270</v>
      </c>
      <c r="W1745">
        <v>336212</v>
      </c>
      <c r="X1745">
        <v>336212</v>
      </c>
      <c r="Y1745" t="s">
        <v>270</v>
      </c>
      <c r="Z1745">
        <v>336212</v>
      </c>
      <c r="AA1745">
        <v>336212</v>
      </c>
      <c r="AB1745" t="b">
        <v>1</v>
      </c>
    </row>
    <row r="1746" spans="17:28" x14ac:dyDescent="0.2">
      <c r="Q1746" t="s">
        <v>2018</v>
      </c>
      <c r="R1746" t="s">
        <v>2529</v>
      </c>
      <c r="S1746" t="s">
        <v>257</v>
      </c>
      <c r="T1746" s="1">
        <v>44136</v>
      </c>
      <c r="U1746" s="1">
        <v>44136</v>
      </c>
      <c r="V1746" t="s">
        <v>270</v>
      </c>
      <c r="W1746">
        <v>192842</v>
      </c>
      <c r="X1746">
        <v>192842</v>
      </c>
      <c r="Y1746" t="s">
        <v>270</v>
      </c>
      <c r="Z1746">
        <v>192842</v>
      </c>
      <c r="AA1746">
        <v>192842</v>
      </c>
      <c r="AB1746" t="b">
        <v>1</v>
      </c>
    </row>
    <row r="1747" spans="17:28" x14ac:dyDescent="0.2">
      <c r="Q1747" t="s">
        <v>2018</v>
      </c>
      <c r="R1747" t="s">
        <v>2529</v>
      </c>
      <c r="S1747" t="s">
        <v>257</v>
      </c>
      <c r="T1747" s="1">
        <v>44105</v>
      </c>
      <c r="U1747" s="1">
        <v>44105</v>
      </c>
      <c r="V1747" t="s">
        <v>270</v>
      </c>
      <c r="W1747">
        <v>138237</v>
      </c>
      <c r="X1747">
        <v>138237</v>
      </c>
      <c r="Y1747" t="s">
        <v>270</v>
      </c>
      <c r="Z1747">
        <v>138237</v>
      </c>
      <c r="AA1747">
        <v>138237</v>
      </c>
      <c r="AB1747" t="b">
        <v>1</v>
      </c>
    </row>
    <row r="1748" spans="17:28" x14ac:dyDescent="0.2">
      <c r="Q1748" t="s">
        <v>2018</v>
      </c>
      <c r="R1748" t="s">
        <v>2529</v>
      </c>
      <c r="S1748" t="s">
        <v>257</v>
      </c>
      <c r="T1748" s="1">
        <v>44075</v>
      </c>
      <c r="U1748" s="1">
        <v>44075</v>
      </c>
      <c r="V1748" t="s">
        <v>270</v>
      </c>
      <c r="W1748">
        <v>92003</v>
      </c>
      <c r="X1748">
        <v>92003</v>
      </c>
      <c r="Y1748" t="s">
        <v>270</v>
      </c>
      <c r="Z1748">
        <v>92003</v>
      </c>
      <c r="AA1748">
        <v>92003</v>
      </c>
      <c r="AB1748" t="b">
        <v>1</v>
      </c>
    </row>
    <row r="1749" spans="17:28" x14ac:dyDescent="0.2">
      <c r="Q1749" t="s">
        <v>2018</v>
      </c>
      <c r="R1749" t="s">
        <v>2529</v>
      </c>
      <c r="S1749" t="s">
        <v>257</v>
      </c>
      <c r="T1749" s="1">
        <v>44044</v>
      </c>
      <c r="U1749" s="1">
        <v>44044</v>
      </c>
      <c r="V1749" t="s">
        <v>270</v>
      </c>
      <c r="W1749">
        <v>210117</v>
      </c>
      <c r="X1749">
        <v>210117</v>
      </c>
      <c r="Y1749" t="s">
        <v>270</v>
      </c>
      <c r="Z1749">
        <v>210117</v>
      </c>
      <c r="AA1749">
        <v>210117</v>
      </c>
      <c r="AB1749" t="b">
        <v>1</v>
      </c>
    </row>
    <row r="1750" spans="17:28" x14ac:dyDescent="0.2">
      <c r="Q1750" t="s">
        <v>2018</v>
      </c>
      <c r="R1750" t="s">
        <v>2529</v>
      </c>
      <c r="S1750" t="s">
        <v>257</v>
      </c>
      <c r="T1750" s="1">
        <v>44013</v>
      </c>
      <c r="U1750" s="1">
        <v>44013</v>
      </c>
      <c r="V1750" t="s">
        <v>270</v>
      </c>
      <c r="W1750">
        <v>104448</v>
      </c>
      <c r="X1750">
        <v>104448</v>
      </c>
      <c r="Y1750" t="s">
        <v>270</v>
      </c>
      <c r="Z1750">
        <v>104448</v>
      </c>
      <c r="AA1750">
        <v>104448</v>
      </c>
      <c r="AB1750" t="b">
        <v>1</v>
      </c>
    </row>
    <row r="1751" spans="17:28" x14ac:dyDescent="0.2">
      <c r="Q1751" t="s">
        <v>2022</v>
      </c>
      <c r="R1751" t="s">
        <v>2529</v>
      </c>
      <c r="S1751" t="s">
        <v>257</v>
      </c>
      <c r="T1751" s="1">
        <v>44348</v>
      </c>
      <c r="U1751" s="1">
        <v>44348</v>
      </c>
      <c r="V1751" t="s">
        <v>270</v>
      </c>
      <c r="W1751">
        <v>16682</v>
      </c>
      <c r="X1751">
        <v>16682</v>
      </c>
      <c r="Y1751" t="s">
        <v>270</v>
      </c>
      <c r="Z1751">
        <v>16682</v>
      </c>
      <c r="AA1751">
        <v>16682</v>
      </c>
      <c r="AB1751" t="b">
        <v>1</v>
      </c>
    </row>
    <row r="1752" spans="17:28" x14ac:dyDescent="0.2">
      <c r="Q1752" t="s">
        <v>2022</v>
      </c>
      <c r="R1752" t="s">
        <v>2529</v>
      </c>
      <c r="S1752" t="s">
        <v>257</v>
      </c>
      <c r="T1752" s="1">
        <v>44317</v>
      </c>
      <c r="U1752" s="1">
        <v>44317</v>
      </c>
      <c r="V1752" t="s">
        <v>270</v>
      </c>
      <c r="W1752">
        <v>27996</v>
      </c>
      <c r="X1752">
        <v>27996</v>
      </c>
      <c r="Y1752" t="s">
        <v>270</v>
      </c>
      <c r="Z1752">
        <v>27996</v>
      </c>
      <c r="AA1752">
        <v>27996</v>
      </c>
      <c r="AB1752" t="b">
        <v>1</v>
      </c>
    </row>
    <row r="1753" spans="17:28" x14ac:dyDescent="0.2">
      <c r="Q1753" t="s">
        <v>2022</v>
      </c>
      <c r="R1753" t="s">
        <v>2529</v>
      </c>
      <c r="S1753" t="s">
        <v>257</v>
      </c>
      <c r="T1753" s="1">
        <v>44287</v>
      </c>
      <c r="U1753" s="1">
        <v>44287</v>
      </c>
      <c r="V1753" t="s">
        <v>270</v>
      </c>
      <c r="W1753">
        <v>9567</v>
      </c>
      <c r="X1753">
        <v>9567</v>
      </c>
      <c r="Y1753" t="s">
        <v>270</v>
      </c>
      <c r="Z1753">
        <v>9567</v>
      </c>
      <c r="AA1753">
        <v>9567</v>
      </c>
      <c r="AB1753" t="b">
        <v>1</v>
      </c>
    </row>
    <row r="1754" spans="17:28" x14ac:dyDescent="0.2">
      <c r="Q1754" t="s">
        <v>2022</v>
      </c>
      <c r="R1754" t="s">
        <v>2529</v>
      </c>
      <c r="S1754" t="s">
        <v>257</v>
      </c>
      <c r="T1754" s="1">
        <v>44256</v>
      </c>
      <c r="U1754" s="1">
        <v>44256</v>
      </c>
      <c r="V1754" t="s">
        <v>270</v>
      </c>
      <c r="W1754">
        <v>42423</v>
      </c>
      <c r="X1754">
        <v>42423</v>
      </c>
      <c r="Y1754" t="s">
        <v>270</v>
      </c>
      <c r="Z1754">
        <v>42423</v>
      </c>
      <c r="AA1754">
        <v>42423</v>
      </c>
      <c r="AB1754" t="b">
        <v>1</v>
      </c>
    </row>
    <row r="1755" spans="17:28" x14ac:dyDescent="0.2">
      <c r="Q1755" t="s">
        <v>2022</v>
      </c>
      <c r="R1755" t="s">
        <v>2529</v>
      </c>
      <c r="S1755" t="s">
        <v>257</v>
      </c>
      <c r="T1755" s="1">
        <v>44228</v>
      </c>
      <c r="U1755" s="1">
        <v>44228</v>
      </c>
      <c r="V1755" t="s">
        <v>270</v>
      </c>
      <c r="W1755">
        <v>88448</v>
      </c>
      <c r="X1755">
        <v>88448</v>
      </c>
      <c r="Y1755" t="s">
        <v>270</v>
      </c>
      <c r="Z1755">
        <v>88448</v>
      </c>
      <c r="AA1755">
        <v>88448</v>
      </c>
      <c r="AB1755" t="b">
        <v>1</v>
      </c>
    </row>
    <row r="1756" spans="17:28" x14ac:dyDescent="0.2">
      <c r="Q1756" t="s">
        <v>2022</v>
      </c>
      <c r="R1756" t="s">
        <v>2529</v>
      </c>
      <c r="S1756" t="s">
        <v>257</v>
      </c>
      <c r="T1756" s="1">
        <v>44197</v>
      </c>
      <c r="U1756" s="1">
        <v>44197</v>
      </c>
      <c r="V1756" t="s">
        <v>270</v>
      </c>
      <c r="W1756">
        <v>47724</v>
      </c>
      <c r="X1756">
        <v>47724</v>
      </c>
      <c r="Y1756" t="s">
        <v>270</v>
      </c>
      <c r="Z1756">
        <v>47724</v>
      </c>
      <c r="AA1756">
        <v>47724</v>
      </c>
      <c r="AB1756" t="b">
        <v>1</v>
      </c>
    </row>
    <row r="1757" spans="17:28" x14ac:dyDescent="0.2">
      <c r="Q1757" t="s">
        <v>2022</v>
      </c>
      <c r="R1757" t="s">
        <v>2529</v>
      </c>
      <c r="S1757" t="s">
        <v>257</v>
      </c>
      <c r="T1757" s="1">
        <v>44166</v>
      </c>
      <c r="U1757" s="1">
        <v>44166</v>
      </c>
      <c r="V1757" t="s">
        <v>270</v>
      </c>
      <c r="W1757">
        <v>336212</v>
      </c>
      <c r="X1757">
        <v>336212</v>
      </c>
      <c r="Y1757" t="s">
        <v>270</v>
      </c>
      <c r="Z1757">
        <v>336212</v>
      </c>
      <c r="AA1757">
        <v>336212</v>
      </c>
      <c r="AB1757" t="b">
        <v>1</v>
      </c>
    </row>
    <row r="1758" spans="17:28" x14ac:dyDescent="0.2">
      <c r="Q1758" t="s">
        <v>2022</v>
      </c>
      <c r="R1758" t="s">
        <v>2529</v>
      </c>
      <c r="S1758" t="s">
        <v>257</v>
      </c>
      <c r="T1758" s="1">
        <v>44136</v>
      </c>
      <c r="U1758" s="1">
        <v>44136</v>
      </c>
      <c r="V1758" t="s">
        <v>270</v>
      </c>
      <c r="W1758">
        <v>192842</v>
      </c>
      <c r="X1758">
        <v>192842</v>
      </c>
      <c r="Y1758" t="s">
        <v>270</v>
      </c>
      <c r="Z1758">
        <v>192842</v>
      </c>
      <c r="AA1758">
        <v>192842</v>
      </c>
      <c r="AB1758" t="b">
        <v>1</v>
      </c>
    </row>
    <row r="1759" spans="17:28" x14ac:dyDescent="0.2">
      <c r="Q1759" t="s">
        <v>2022</v>
      </c>
      <c r="R1759" t="s">
        <v>2529</v>
      </c>
      <c r="S1759" t="s">
        <v>257</v>
      </c>
      <c r="T1759" s="1">
        <v>44105</v>
      </c>
      <c r="U1759" s="1">
        <v>44105</v>
      </c>
      <c r="V1759" t="s">
        <v>270</v>
      </c>
      <c r="W1759">
        <v>138237</v>
      </c>
      <c r="X1759">
        <v>138237</v>
      </c>
      <c r="Y1759" t="s">
        <v>270</v>
      </c>
      <c r="Z1759">
        <v>138237</v>
      </c>
      <c r="AA1759">
        <v>138237</v>
      </c>
      <c r="AB1759" t="b">
        <v>1</v>
      </c>
    </row>
    <row r="1760" spans="17:28" x14ac:dyDescent="0.2">
      <c r="Q1760" t="s">
        <v>2022</v>
      </c>
      <c r="R1760" t="s">
        <v>2529</v>
      </c>
      <c r="S1760" t="s">
        <v>257</v>
      </c>
      <c r="T1760" s="1">
        <v>44075</v>
      </c>
      <c r="U1760" s="1">
        <v>44075</v>
      </c>
      <c r="V1760" t="s">
        <v>270</v>
      </c>
      <c r="W1760">
        <v>92003</v>
      </c>
      <c r="X1760">
        <v>92003</v>
      </c>
      <c r="Y1760" t="s">
        <v>270</v>
      </c>
      <c r="Z1760">
        <v>92003</v>
      </c>
      <c r="AA1760">
        <v>92003</v>
      </c>
      <c r="AB1760" t="b">
        <v>1</v>
      </c>
    </row>
    <row r="1761" spans="17:28" x14ac:dyDescent="0.2">
      <c r="Q1761" t="s">
        <v>2022</v>
      </c>
      <c r="R1761" t="s">
        <v>2529</v>
      </c>
      <c r="S1761" t="s">
        <v>257</v>
      </c>
      <c r="T1761" s="1">
        <v>44044</v>
      </c>
      <c r="U1761" s="1">
        <v>44044</v>
      </c>
      <c r="V1761" t="s">
        <v>270</v>
      </c>
      <c r="W1761">
        <v>210117</v>
      </c>
      <c r="X1761">
        <v>210117</v>
      </c>
      <c r="Y1761" t="s">
        <v>270</v>
      </c>
      <c r="Z1761">
        <v>210117</v>
      </c>
      <c r="AA1761">
        <v>210117</v>
      </c>
      <c r="AB1761" t="b">
        <v>1</v>
      </c>
    </row>
    <row r="1762" spans="17:28" x14ac:dyDescent="0.2">
      <c r="Q1762" t="s">
        <v>2022</v>
      </c>
      <c r="R1762" t="s">
        <v>2529</v>
      </c>
      <c r="S1762" t="s">
        <v>257</v>
      </c>
      <c r="T1762" s="1">
        <v>44013</v>
      </c>
      <c r="U1762" s="1">
        <v>44013</v>
      </c>
      <c r="V1762" t="s">
        <v>270</v>
      </c>
      <c r="W1762">
        <v>104448</v>
      </c>
      <c r="X1762">
        <v>104448</v>
      </c>
      <c r="Y1762" t="s">
        <v>270</v>
      </c>
      <c r="Z1762">
        <v>104448</v>
      </c>
      <c r="AA1762">
        <v>104448</v>
      </c>
      <c r="AB1762" t="b">
        <v>1</v>
      </c>
    </row>
    <row r="1763" spans="17:28" x14ac:dyDescent="0.2">
      <c r="Q1763" t="s">
        <v>2018</v>
      </c>
      <c r="R1763" t="s">
        <v>2530</v>
      </c>
      <c r="S1763" t="s">
        <v>257</v>
      </c>
      <c r="T1763" s="1">
        <v>44348</v>
      </c>
      <c r="U1763" s="1">
        <v>44348</v>
      </c>
      <c r="V1763" t="s">
        <v>270</v>
      </c>
      <c r="W1763">
        <v>1111316</v>
      </c>
      <c r="X1763">
        <v>1111316</v>
      </c>
      <c r="Y1763" t="s">
        <v>270</v>
      </c>
      <c r="Z1763">
        <v>1111316</v>
      </c>
      <c r="AA1763">
        <v>1111316</v>
      </c>
      <c r="AB1763" t="b">
        <v>1</v>
      </c>
    </row>
    <row r="1764" spans="17:28" x14ac:dyDescent="0.2">
      <c r="Q1764" t="s">
        <v>2018</v>
      </c>
      <c r="R1764" t="s">
        <v>2530</v>
      </c>
      <c r="S1764" t="s">
        <v>257</v>
      </c>
      <c r="T1764" s="1">
        <v>44317</v>
      </c>
      <c r="U1764" s="1">
        <v>44317</v>
      </c>
      <c r="V1764" t="s">
        <v>270</v>
      </c>
      <c r="W1764">
        <v>269392</v>
      </c>
      <c r="X1764">
        <v>269392</v>
      </c>
      <c r="Y1764" t="s">
        <v>270</v>
      </c>
      <c r="Z1764">
        <v>269392</v>
      </c>
      <c r="AA1764">
        <v>269392</v>
      </c>
      <c r="AB1764" t="b">
        <v>1</v>
      </c>
    </row>
    <row r="1765" spans="17:28" x14ac:dyDescent="0.2">
      <c r="Q1765" t="s">
        <v>2018</v>
      </c>
      <c r="R1765" t="s">
        <v>2530</v>
      </c>
      <c r="S1765" t="s">
        <v>257</v>
      </c>
      <c r="T1765" s="1">
        <v>44287</v>
      </c>
      <c r="U1765" s="1">
        <v>44287</v>
      </c>
      <c r="V1765" t="s">
        <v>270</v>
      </c>
      <c r="W1765">
        <v>810563</v>
      </c>
      <c r="X1765">
        <v>810563</v>
      </c>
      <c r="Y1765" t="s">
        <v>270</v>
      </c>
      <c r="Z1765">
        <v>810563</v>
      </c>
      <c r="AA1765">
        <v>810563</v>
      </c>
      <c r="AB1765" t="b">
        <v>1</v>
      </c>
    </row>
    <row r="1766" spans="17:28" x14ac:dyDescent="0.2">
      <c r="Q1766" t="s">
        <v>2018</v>
      </c>
      <c r="R1766" t="s">
        <v>2530</v>
      </c>
      <c r="S1766" t="s">
        <v>257</v>
      </c>
      <c r="T1766" s="1">
        <v>44256</v>
      </c>
      <c r="U1766" s="1">
        <v>44256</v>
      </c>
      <c r="V1766" t="s">
        <v>270</v>
      </c>
      <c r="W1766">
        <v>118891</v>
      </c>
      <c r="X1766">
        <v>118891</v>
      </c>
      <c r="Y1766" t="s">
        <v>270</v>
      </c>
      <c r="Z1766">
        <v>118891</v>
      </c>
      <c r="AA1766">
        <v>118891</v>
      </c>
      <c r="AB1766" t="b">
        <v>1</v>
      </c>
    </row>
    <row r="1767" spans="17:28" x14ac:dyDescent="0.2">
      <c r="Q1767" t="s">
        <v>2018</v>
      </c>
      <c r="R1767" t="s">
        <v>2530</v>
      </c>
      <c r="S1767" t="s">
        <v>257</v>
      </c>
      <c r="T1767" s="1">
        <v>44228</v>
      </c>
      <c r="U1767" s="1">
        <v>44228</v>
      </c>
      <c r="V1767" t="s">
        <v>270</v>
      </c>
      <c r="W1767">
        <v>5020</v>
      </c>
      <c r="X1767">
        <v>5020</v>
      </c>
      <c r="Y1767" t="s">
        <v>270</v>
      </c>
      <c r="Z1767">
        <v>5020</v>
      </c>
      <c r="AA1767">
        <v>5020</v>
      </c>
      <c r="AB1767" t="b">
        <v>1</v>
      </c>
    </row>
    <row r="1768" spans="17:28" x14ac:dyDescent="0.2">
      <c r="Q1768" t="s">
        <v>2018</v>
      </c>
      <c r="R1768" t="s">
        <v>2530</v>
      </c>
      <c r="S1768" t="s">
        <v>257</v>
      </c>
      <c r="T1768" s="1">
        <v>44348</v>
      </c>
      <c r="U1768" s="1">
        <v>44348</v>
      </c>
      <c r="V1768" t="s">
        <v>270</v>
      </c>
      <c r="W1768">
        <v>1111316</v>
      </c>
      <c r="X1768">
        <v>1111316</v>
      </c>
      <c r="Y1768" t="s">
        <v>270</v>
      </c>
      <c r="Z1768">
        <v>1111316</v>
      </c>
      <c r="AA1768">
        <v>1111316</v>
      </c>
      <c r="AB1768" t="b">
        <v>1</v>
      </c>
    </row>
    <row r="1769" spans="17:28" x14ac:dyDescent="0.2">
      <c r="Q1769" t="s">
        <v>2018</v>
      </c>
      <c r="R1769" t="s">
        <v>2530</v>
      </c>
      <c r="S1769" t="s">
        <v>257</v>
      </c>
      <c r="T1769" s="1">
        <v>44317</v>
      </c>
      <c r="U1769" s="1">
        <v>44317</v>
      </c>
      <c r="V1769" t="s">
        <v>270</v>
      </c>
      <c r="W1769">
        <v>269392</v>
      </c>
      <c r="X1769">
        <v>269392</v>
      </c>
      <c r="Y1769" t="s">
        <v>270</v>
      </c>
      <c r="Z1769">
        <v>269392</v>
      </c>
      <c r="AA1769">
        <v>269392</v>
      </c>
      <c r="AB1769" t="b">
        <v>1</v>
      </c>
    </row>
    <row r="1770" spans="17:28" x14ac:dyDescent="0.2">
      <c r="Q1770" t="s">
        <v>2018</v>
      </c>
      <c r="R1770" t="s">
        <v>2530</v>
      </c>
      <c r="S1770" t="s">
        <v>257</v>
      </c>
      <c r="T1770" s="1">
        <v>44287</v>
      </c>
      <c r="U1770" s="1">
        <v>44287</v>
      </c>
      <c r="V1770" t="s">
        <v>270</v>
      </c>
      <c r="W1770">
        <v>810563</v>
      </c>
      <c r="X1770">
        <v>810563</v>
      </c>
      <c r="Y1770" t="s">
        <v>270</v>
      </c>
      <c r="Z1770">
        <v>810563</v>
      </c>
      <c r="AA1770">
        <v>810563</v>
      </c>
      <c r="AB1770" t="b">
        <v>1</v>
      </c>
    </row>
    <row r="1771" spans="17:28" x14ac:dyDescent="0.2">
      <c r="Q1771" t="s">
        <v>2018</v>
      </c>
      <c r="R1771" t="s">
        <v>2530</v>
      </c>
      <c r="S1771" t="s">
        <v>257</v>
      </c>
      <c r="T1771" s="1">
        <v>44256</v>
      </c>
      <c r="U1771" s="1">
        <v>44256</v>
      </c>
      <c r="V1771" t="s">
        <v>270</v>
      </c>
      <c r="W1771">
        <v>118891</v>
      </c>
      <c r="X1771">
        <v>118891</v>
      </c>
      <c r="Y1771" t="s">
        <v>270</v>
      </c>
      <c r="Z1771">
        <v>118891</v>
      </c>
      <c r="AA1771">
        <v>118891</v>
      </c>
      <c r="AB1771" t="b">
        <v>1</v>
      </c>
    </row>
    <row r="1772" spans="17:28" x14ac:dyDescent="0.2">
      <c r="Q1772" t="s">
        <v>2018</v>
      </c>
      <c r="R1772" t="s">
        <v>2530</v>
      </c>
      <c r="S1772" t="s">
        <v>257</v>
      </c>
      <c r="T1772" s="1">
        <v>44228</v>
      </c>
      <c r="U1772" s="1">
        <v>44228</v>
      </c>
      <c r="V1772" t="s">
        <v>270</v>
      </c>
      <c r="W1772">
        <v>5020</v>
      </c>
      <c r="X1772">
        <v>5020</v>
      </c>
      <c r="Y1772" t="s">
        <v>270</v>
      </c>
      <c r="Z1772">
        <v>5020</v>
      </c>
      <c r="AA1772">
        <v>5020</v>
      </c>
      <c r="AB1772" t="b">
        <v>1</v>
      </c>
    </row>
    <row r="1773" spans="17:28" x14ac:dyDescent="0.2">
      <c r="Q1773" t="s">
        <v>2018</v>
      </c>
      <c r="R1773" t="s">
        <v>2531</v>
      </c>
      <c r="S1773" t="s">
        <v>257</v>
      </c>
      <c r="T1773" s="1">
        <v>44348</v>
      </c>
      <c r="U1773" s="1">
        <v>44348</v>
      </c>
      <c r="V1773" t="s">
        <v>270</v>
      </c>
      <c r="W1773">
        <v>117417</v>
      </c>
      <c r="X1773">
        <v>117417</v>
      </c>
      <c r="Y1773" t="s">
        <v>270</v>
      </c>
      <c r="Z1773">
        <v>117417</v>
      </c>
      <c r="AA1773">
        <v>117417</v>
      </c>
      <c r="AB1773" t="b">
        <v>1</v>
      </c>
    </row>
    <row r="1774" spans="17:28" x14ac:dyDescent="0.2">
      <c r="Q1774" t="s">
        <v>2018</v>
      </c>
      <c r="R1774" t="s">
        <v>2531</v>
      </c>
      <c r="S1774" t="s">
        <v>257</v>
      </c>
      <c r="T1774" s="1">
        <v>44317</v>
      </c>
      <c r="U1774" s="1">
        <v>44317</v>
      </c>
      <c r="V1774" t="s">
        <v>270</v>
      </c>
      <c r="W1774">
        <v>12872</v>
      </c>
      <c r="X1774">
        <v>12872</v>
      </c>
      <c r="Y1774" t="s">
        <v>270</v>
      </c>
      <c r="Z1774">
        <v>12872</v>
      </c>
      <c r="AA1774">
        <v>12872</v>
      </c>
      <c r="AB1774" t="b">
        <v>1</v>
      </c>
    </row>
    <row r="1775" spans="17:28" x14ac:dyDescent="0.2">
      <c r="Q1775" t="s">
        <v>2018</v>
      </c>
      <c r="R1775" t="s">
        <v>2531</v>
      </c>
      <c r="S1775" t="s">
        <v>257</v>
      </c>
      <c r="T1775" s="1">
        <v>44287</v>
      </c>
      <c r="U1775" s="1">
        <v>44287</v>
      </c>
      <c r="V1775" t="s">
        <v>270</v>
      </c>
      <c r="W1775">
        <v>251716</v>
      </c>
      <c r="X1775">
        <v>251716</v>
      </c>
      <c r="Y1775" t="s">
        <v>270</v>
      </c>
      <c r="Z1775">
        <v>251716</v>
      </c>
      <c r="AA1775">
        <v>251716</v>
      </c>
      <c r="AB1775" t="b">
        <v>1</v>
      </c>
    </row>
    <row r="1776" spans="17:28" x14ac:dyDescent="0.2">
      <c r="Q1776" t="s">
        <v>2018</v>
      </c>
      <c r="R1776" t="s">
        <v>2531</v>
      </c>
      <c r="S1776" t="s">
        <v>257</v>
      </c>
      <c r="T1776" s="1">
        <v>44256</v>
      </c>
      <c r="U1776" s="1">
        <v>44256</v>
      </c>
      <c r="V1776" t="s">
        <v>270</v>
      </c>
      <c r="W1776">
        <v>1141034</v>
      </c>
      <c r="X1776">
        <v>1141034</v>
      </c>
      <c r="Y1776" t="s">
        <v>270</v>
      </c>
      <c r="Z1776">
        <v>1141034</v>
      </c>
      <c r="AA1776">
        <v>1141034</v>
      </c>
      <c r="AB1776" t="b">
        <v>1</v>
      </c>
    </row>
    <row r="1777" spans="17:28" x14ac:dyDescent="0.2">
      <c r="Q1777" t="s">
        <v>2018</v>
      </c>
      <c r="R1777" t="s">
        <v>2531</v>
      </c>
      <c r="S1777" t="s">
        <v>257</v>
      </c>
      <c r="T1777" s="1">
        <v>44228</v>
      </c>
      <c r="U1777" s="1">
        <v>44228</v>
      </c>
      <c r="V1777" t="s">
        <v>270</v>
      </c>
      <c r="W1777">
        <v>553482</v>
      </c>
      <c r="X1777">
        <v>553482</v>
      </c>
      <c r="Y1777" t="s">
        <v>270</v>
      </c>
      <c r="Z1777">
        <v>553482</v>
      </c>
      <c r="AA1777">
        <v>553482</v>
      </c>
      <c r="AB1777" t="b">
        <v>1</v>
      </c>
    </row>
    <row r="1778" spans="17:28" x14ac:dyDescent="0.2">
      <c r="Q1778" t="s">
        <v>2018</v>
      </c>
      <c r="R1778" t="s">
        <v>2531</v>
      </c>
      <c r="S1778" t="s">
        <v>257</v>
      </c>
      <c r="T1778" s="1">
        <v>44348</v>
      </c>
      <c r="U1778" s="1">
        <v>44348</v>
      </c>
      <c r="V1778" t="s">
        <v>270</v>
      </c>
      <c r="W1778">
        <v>117417</v>
      </c>
      <c r="X1778">
        <v>117417</v>
      </c>
      <c r="Y1778" t="s">
        <v>270</v>
      </c>
      <c r="Z1778">
        <v>117417</v>
      </c>
      <c r="AA1778">
        <v>117417</v>
      </c>
      <c r="AB1778" t="b">
        <v>1</v>
      </c>
    </row>
    <row r="1779" spans="17:28" x14ac:dyDescent="0.2">
      <c r="Q1779" t="s">
        <v>2018</v>
      </c>
      <c r="R1779" t="s">
        <v>2531</v>
      </c>
      <c r="S1779" t="s">
        <v>257</v>
      </c>
      <c r="T1779" s="1">
        <v>44317</v>
      </c>
      <c r="U1779" s="1">
        <v>44317</v>
      </c>
      <c r="V1779" t="s">
        <v>270</v>
      </c>
      <c r="W1779">
        <v>12872</v>
      </c>
      <c r="X1779">
        <v>12872</v>
      </c>
      <c r="Y1779" t="s">
        <v>270</v>
      </c>
      <c r="Z1779">
        <v>12872</v>
      </c>
      <c r="AA1779">
        <v>12872</v>
      </c>
      <c r="AB1779" t="b">
        <v>1</v>
      </c>
    </row>
    <row r="1780" spans="17:28" x14ac:dyDescent="0.2">
      <c r="Q1780" t="s">
        <v>2018</v>
      </c>
      <c r="R1780" t="s">
        <v>2531</v>
      </c>
      <c r="S1780" t="s">
        <v>257</v>
      </c>
      <c r="T1780" s="1">
        <v>44287</v>
      </c>
      <c r="U1780" s="1">
        <v>44287</v>
      </c>
      <c r="V1780" t="s">
        <v>270</v>
      </c>
      <c r="W1780">
        <v>251716</v>
      </c>
      <c r="X1780">
        <v>251716</v>
      </c>
      <c r="Y1780" t="s">
        <v>270</v>
      </c>
      <c r="Z1780">
        <v>251716</v>
      </c>
      <c r="AA1780">
        <v>251716</v>
      </c>
      <c r="AB1780" t="b">
        <v>1</v>
      </c>
    </row>
    <row r="1781" spans="17:28" x14ac:dyDescent="0.2">
      <c r="Q1781" t="s">
        <v>2018</v>
      </c>
      <c r="R1781" t="s">
        <v>2531</v>
      </c>
      <c r="S1781" t="s">
        <v>257</v>
      </c>
      <c r="T1781" s="1">
        <v>44256</v>
      </c>
      <c r="U1781" s="1">
        <v>44256</v>
      </c>
      <c r="V1781" t="s">
        <v>270</v>
      </c>
      <c r="W1781">
        <v>1141034</v>
      </c>
      <c r="X1781">
        <v>1141034</v>
      </c>
      <c r="Y1781" t="s">
        <v>270</v>
      </c>
      <c r="Z1781">
        <v>1141034</v>
      </c>
      <c r="AA1781">
        <v>1141034</v>
      </c>
      <c r="AB1781" t="b">
        <v>1</v>
      </c>
    </row>
    <row r="1782" spans="17:28" x14ac:dyDescent="0.2">
      <c r="Q1782" t="s">
        <v>2018</v>
      </c>
      <c r="R1782" t="s">
        <v>2531</v>
      </c>
      <c r="S1782" t="s">
        <v>257</v>
      </c>
      <c r="T1782" s="1">
        <v>44228</v>
      </c>
      <c r="U1782" s="1">
        <v>44228</v>
      </c>
      <c r="V1782" t="s">
        <v>270</v>
      </c>
      <c r="W1782">
        <v>553482</v>
      </c>
      <c r="X1782">
        <v>553482</v>
      </c>
      <c r="Y1782" t="s">
        <v>270</v>
      </c>
      <c r="Z1782">
        <v>553482</v>
      </c>
      <c r="AA1782">
        <v>553482</v>
      </c>
      <c r="AB1782" t="b">
        <v>1</v>
      </c>
    </row>
    <row r="1783" spans="17:28" x14ac:dyDescent="0.2">
      <c r="Q1783" t="s">
        <v>2018</v>
      </c>
      <c r="R1783" t="s">
        <v>2532</v>
      </c>
      <c r="S1783" t="s">
        <v>257</v>
      </c>
      <c r="T1783" s="1">
        <v>44348</v>
      </c>
      <c r="U1783" s="1">
        <v>44348</v>
      </c>
      <c r="V1783" t="s">
        <v>270</v>
      </c>
      <c r="W1783">
        <v>380825</v>
      </c>
      <c r="X1783">
        <v>380825</v>
      </c>
      <c r="Y1783" t="s">
        <v>270</v>
      </c>
      <c r="Z1783">
        <v>380825</v>
      </c>
      <c r="AA1783">
        <v>380825</v>
      </c>
      <c r="AB1783" t="b">
        <v>1</v>
      </c>
    </row>
    <row r="1784" spans="17:28" x14ac:dyDescent="0.2">
      <c r="Q1784" t="s">
        <v>2018</v>
      </c>
      <c r="R1784" t="s">
        <v>2532</v>
      </c>
      <c r="S1784" t="s">
        <v>257</v>
      </c>
      <c r="T1784" s="1">
        <v>44317</v>
      </c>
      <c r="U1784" s="1">
        <v>44317</v>
      </c>
      <c r="V1784" t="s">
        <v>270</v>
      </c>
      <c r="W1784">
        <v>525581</v>
      </c>
      <c r="X1784">
        <v>525581</v>
      </c>
      <c r="Y1784" t="s">
        <v>270</v>
      </c>
      <c r="Z1784">
        <v>525581</v>
      </c>
      <c r="AA1784">
        <v>525581</v>
      </c>
      <c r="AB1784" t="b">
        <v>1</v>
      </c>
    </row>
    <row r="1785" spans="17:28" x14ac:dyDescent="0.2">
      <c r="Q1785" t="s">
        <v>2018</v>
      </c>
      <c r="R1785" t="s">
        <v>2532</v>
      </c>
      <c r="S1785" t="s">
        <v>257</v>
      </c>
      <c r="T1785" s="1">
        <v>44287</v>
      </c>
      <c r="U1785" s="1">
        <v>44287</v>
      </c>
      <c r="V1785" t="s">
        <v>270</v>
      </c>
      <c r="W1785">
        <v>5060</v>
      </c>
      <c r="X1785">
        <v>5060</v>
      </c>
      <c r="Y1785" t="s">
        <v>270</v>
      </c>
      <c r="Z1785">
        <v>5060</v>
      </c>
      <c r="AA1785">
        <v>5060</v>
      </c>
      <c r="AB1785" t="b">
        <v>1</v>
      </c>
    </row>
    <row r="1786" spans="17:28" x14ac:dyDescent="0.2">
      <c r="Q1786" t="s">
        <v>2018</v>
      </c>
      <c r="R1786" t="s">
        <v>2532</v>
      </c>
      <c r="S1786" t="s">
        <v>257</v>
      </c>
      <c r="T1786" s="1">
        <v>44256</v>
      </c>
      <c r="U1786" s="1">
        <v>44256</v>
      </c>
      <c r="V1786" t="s">
        <v>270</v>
      </c>
      <c r="W1786">
        <v>161831</v>
      </c>
      <c r="X1786">
        <v>161831</v>
      </c>
      <c r="Y1786" t="s">
        <v>270</v>
      </c>
      <c r="Z1786">
        <v>161831</v>
      </c>
      <c r="AA1786">
        <v>161831</v>
      </c>
      <c r="AB1786" t="b">
        <v>1</v>
      </c>
    </row>
    <row r="1787" spans="17:28" x14ac:dyDescent="0.2">
      <c r="Q1787" t="s">
        <v>2018</v>
      </c>
      <c r="R1787" t="s">
        <v>2532</v>
      </c>
      <c r="S1787" t="s">
        <v>257</v>
      </c>
      <c r="T1787" s="1">
        <v>44228</v>
      </c>
      <c r="U1787" s="1">
        <v>44228</v>
      </c>
      <c r="V1787" t="s">
        <v>270</v>
      </c>
      <c r="W1787">
        <v>75</v>
      </c>
      <c r="X1787">
        <v>75</v>
      </c>
      <c r="Y1787" t="s">
        <v>270</v>
      </c>
      <c r="Z1787">
        <v>75</v>
      </c>
      <c r="AA1787">
        <v>75</v>
      </c>
      <c r="AB1787" t="b">
        <v>1</v>
      </c>
    </row>
    <row r="1788" spans="17:28" x14ac:dyDescent="0.2">
      <c r="Q1788" t="s">
        <v>2018</v>
      </c>
      <c r="R1788" t="s">
        <v>2532</v>
      </c>
      <c r="S1788" t="s">
        <v>257</v>
      </c>
      <c r="T1788" s="1">
        <v>44197</v>
      </c>
      <c r="U1788" s="1">
        <v>44197</v>
      </c>
      <c r="V1788" t="s">
        <v>270</v>
      </c>
      <c r="W1788">
        <v>89</v>
      </c>
      <c r="X1788">
        <v>89</v>
      </c>
      <c r="Y1788" t="s">
        <v>270</v>
      </c>
      <c r="Z1788">
        <v>89</v>
      </c>
      <c r="AA1788">
        <v>89</v>
      </c>
      <c r="AB1788" t="b">
        <v>1</v>
      </c>
    </row>
    <row r="1789" spans="17:28" x14ac:dyDescent="0.2">
      <c r="Q1789" t="s">
        <v>2018</v>
      </c>
      <c r="R1789" t="s">
        <v>2532</v>
      </c>
      <c r="S1789" t="s">
        <v>257</v>
      </c>
      <c r="T1789" s="1">
        <v>44166</v>
      </c>
      <c r="U1789" s="1">
        <v>44166</v>
      </c>
      <c r="V1789" t="s">
        <v>270</v>
      </c>
      <c r="W1789">
        <v>1047054</v>
      </c>
      <c r="X1789">
        <v>1047054</v>
      </c>
      <c r="Y1789" t="s">
        <v>270</v>
      </c>
      <c r="Z1789">
        <v>1047054</v>
      </c>
      <c r="AA1789">
        <v>1047054</v>
      </c>
      <c r="AB1789" t="b">
        <v>1</v>
      </c>
    </row>
    <row r="1790" spans="17:28" x14ac:dyDescent="0.2">
      <c r="Q1790" t="s">
        <v>2018</v>
      </c>
      <c r="R1790" t="s">
        <v>2532</v>
      </c>
      <c r="S1790" t="s">
        <v>257</v>
      </c>
      <c r="T1790" s="1">
        <v>44136</v>
      </c>
      <c r="U1790" s="1">
        <v>44136</v>
      </c>
      <c r="V1790" t="s">
        <v>270</v>
      </c>
      <c r="W1790">
        <v>897506</v>
      </c>
      <c r="X1790">
        <v>897506</v>
      </c>
      <c r="Y1790" t="s">
        <v>270</v>
      </c>
      <c r="Z1790">
        <v>897506</v>
      </c>
      <c r="AA1790">
        <v>897506</v>
      </c>
      <c r="AB1790" t="b">
        <v>1</v>
      </c>
    </row>
    <row r="1791" spans="17:28" x14ac:dyDescent="0.2">
      <c r="Q1791" t="s">
        <v>2018</v>
      </c>
      <c r="R1791" t="s">
        <v>2532</v>
      </c>
      <c r="S1791" t="s">
        <v>257</v>
      </c>
      <c r="T1791" s="1">
        <v>44105</v>
      </c>
      <c r="U1791" s="1">
        <v>44105</v>
      </c>
      <c r="V1791" t="s">
        <v>270</v>
      </c>
      <c r="W1791">
        <v>190766</v>
      </c>
      <c r="X1791">
        <v>190766</v>
      </c>
      <c r="Y1791" t="s">
        <v>270</v>
      </c>
      <c r="Z1791">
        <v>190766</v>
      </c>
      <c r="AA1791">
        <v>190766</v>
      </c>
      <c r="AB1791" t="b">
        <v>1</v>
      </c>
    </row>
    <row r="1792" spans="17:28" x14ac:dyDescent="0.2">
      <c r="Q1792" t="s">
        <v>2018</v>
      </c>
      <c r="R1792" t="s">
        <v>2532</v>
      </c>
      <c r="S1792" t="s">
        <v>257</v>
      </c>
      <c r="T1792" s="1">
        <v>44075</v>
      </c>
      <c r="U1792" s="1">
        <v>44075</v>
      </c>
      <c r="V1792" t="s">
        <v>270</v>
      </c>
      <c r="W1792">
        <v>771368</v>
      </c>
      <c r="X1792">
        <v>771368</v>
      </c>
      <c r="Y1792" t="s">
        <v>270</v>
      </c>
      <c r="Z1792">
        <v>771368</v>
      </c>
      <c r="AA1792">
        <v>771368</v>
      </c>
      <c r="AB1792" t="b">
        <v>1</v>
      </c>
    </row>
    <row r="1793" spans="17:28" x14ac:dyDescent="0.2">
      <c r="Q1793" t="s">
        <v>2018</v>
      </c>
      <c r="R1793" t="s">
        <v>2532</v>
      </c>
      <c r="S1793" t="s">
        <v>257</v>
      </c>
      <c r="T1793" s="1">
        <v>44044</v>
      </c>
      <c r="U1793" s="1">
        <v>44044</v>
      </c>
      <c r="V1793" t="s">
        <v>270</v>
      </c>
      <c r="W1793">
        <v>7031</v>
      </c>
      <c r="X1793">
        <v>7031</v>
      </c>
      <c r="Y1793" t="s">
        <v>270</v>
      </c>
      <c r="Z1793">
        <v>7031</v>
      </c>
      <c r="AA1793">
        <v>7031</v>
      </c>
      <c r="AB1793" t="b">
        <v>1</v>
      </c>
    </row>
    <row r="1794" spans="17:28" x14ac:dyDescent="0.2">
      <c r="Q1794" t="s">
        <v>2018</v>
      </c>
      <c r="R1794" t="s">
        <v>2532</v>
      </c>
      <c r="S1794" t="s">
        <v>257</v>
      </c>
      <c r="T1794" s="1">
        <v>44348</v>
      </c>
      <c r="U1794" s="1">
        <v>44348</v>
      </c>
      <c r="V1794" t="s">
        <v>270</v>
      </c>
      <c r="W1794">
        <v>380825</v>
      </c>
      <c r="X1794">
        <v>380825</v>
      </c>
      <c r="Y1794" t="s">
        <v>270</v>
      </c>
      <c r="Z1794">
        <v>380825</v>
      </c>
      <c r="AA1794">
        <v>380825</v>
      </c>
      <c r="AB1794" t="b">
        <v>1</v>
      </c>
    </row>
    <row r="1795" spans="17:28" x14ac:dyDescent="0.2">
      <c r="Q1795" t="s">
        <v>2018</v>
      </c>
      <c r="R1795" t="s">
        <v>2532</v>
      </c>
      <c r="S1795" t="s">
        <v>257</v>
      </c>
      <c r="T1795" s="1">
        <v>44317</v>
      </c>
      <c r="U1795" s="1">
        <v>44317</v>
      </c>
      <c r="V1795" t="s">
        <v>270</v>
      </c>
      <c r="W1795">
        <v>525581</v>
      </c>
      <c r="X1795">
        <v>525581</v>
      </c>
      <c r="Y1795" t="s">
        <v>270</v>
      </c>
      <c r="Z1795">
        <v>525581</v>
      </c>
      <c r="AA1795">
        <v>525581</v>
      </c>
      <c r="AB1795" t="b">
        <v>1</v>
      </c>
    </row>
    <row r="1796" spans="17:28" x14ac:dyDescent="0.2">
      <c r="Q1796" t="s">
        <v>2018</v>
      </c>
      <c r="R1796" t="s">
        <v>2532</v>
      </c>
      <c r="S1796" t="s">
        <v>257</v>
      </c>
      <c r="T1796" s="1">
        <v>44287</v>
      </c>
      <c r="U1796" s="1">
        <v>44287</v>
      </c>
      <c r="V1796" t="s">
        <v>270</v>
      </c>
      <c r="W1796">
        <v>5060</v>
      </c>
      <c r="X1796">
        <v>5060</v>
      </c>
      <c r="Y1796" t="s">
        <v>270</v>
      </c>
      <c r="Z1796">
        <v>5060</v>
      </c>
      <c r="AA1796">
        <v>5060</v>
      </c>
      <c r="AB1796" t="b">
        <v>1</v>
      </c>
    </row>
    <row r="1797" spans="17:28" x14ac:dyDescent="0.2">
      <c r="Q1797" t="s">
        <v>2018</v>
      </c>
      <c r="R1797" t="s">
        <v>2532</v>
      </c>
      <c r="S1797" t="s">
        <v>257</v>
      </c>
      <c r="T1797" s="1">
        <v>44256</v>
      </c>
      <c r="U1797" s="1">
        <v>44256</v>
      </c>
      <c r="V1797" t="s">
        <v>270</v>
      </c>
      <c r="W1797">
        <v>161831</v>
      </c>
      <c r="X1797">
        <v>161831</v>
      </c>
      <c r="Y1797" t="s">
        <v>270</v>
      </c>
      <c r="Z1797">
        <v>161831</v>
      </c>
      <c r="AA1797">
        <v>161831</v>
      </c>
      <c r="AB1797" t="b">
        <v>1</v>
      </c>
    </row>
    <row r="1798" spans="17:28" x14ac:dyDescent="0.2">
      <c r="Q1798" t="s">
        <v>2018</v>
      </c>
      <c r="R1798" t="s">
        <v>2532</v>
      </c>
      <c r="S1798" t="s">
        <v>257</v>
      </c>
      <c r="T1798" s="1">
        <v>44228</v>
      </c>
      <c r="U1798" s="1">
        <v>44228</v>
      </c>
      <c r="V1798" t="s">
        <v>270</v>
      </c>
      <c r="W1798">
        <v>75</v>
      </c>
      <c r="X1798">
        <v>75</v>
      </c>
      <c r="Y1798" t="s">
        <v>270</v>
      </c>
      <c r="Z1798">
        <v>75</v>
      </c>
      <c r="AA1798">
        <v>75</v>
      </c>
      <c r="AB1798" t="b">
        <v>1</v>
      </c>
    </row>
    <row r="1799" spans="17:28" x14ac:dyDescent="0.2">
      <c r="Q1799" t="s">
        <v>2018</v>
      </c>
      <c r="R1799" t="s">
        <v>2532</v>
      </c>
      <c r="S1799" t="s">
        <v>257</v>
      </c>
      <c r="T1799" s="1">
        <v>44197</v>
      </c>
      <c r="U1799" s="1">
        <v>44197</v>
      </c>
      <c r="V1799" t="s">
        <v>270</v>
      </c>
      <c r="W1799">
        <v>89</v>
      </c>
      <c r="X1799">
        <v>89</v>
      </c>
      <c r="Y1799" t="s">
        <v>270</v>
      </c>
      <c r="Z1799">
        <v>89</v>
      </c>
      <c r="AA1799">
        <v>89</v>
      </c>
      <c r="AB1799" t="b">
        <v>1</v>
      </c>
    </row>
    <row r="1800" spans="17:28" x14ac:dyDescent="0.2">
      <c r="Q1800" t="s">
        <v>2018</v>
      </c>
      <c r="R1800" t="s">
        <v>2532</v>
      </c>
      <c r="S1800" t="s">
        <v>257</v>
      </c>
      <c r="T1800" s="1">
        <v>44166</v>
      </c>
      <c r="U1800" s="1">
        <v>44166</v>
      </c>
      <c r="V1800" t="s">
        <v>270</v>
      </c>
      <c r="W1800">
        <v>1047054</v>
      </c>
      <c r="X1800">
        <v>1047054</v>
      </c>
      <c r="Y1800" t="s">
        <v>270</v>
      </c>
      <c r="Z1800">
        <v>1047054</v>
      </c>
      <c r="AA1800">
        <v>1047054</v>
      </c>
      <c r="AB1800" t="b">
        <v>1</v>
      </c>
    </row>
    <row r="1801" spans="17:28" x14ac:dyDescent="0.2">
      <c r="Q1801" t="s">
        <v>2018</v>
      </c>
      <c r="R1801" t="s">
        <v>2532</v>
      </c>
      <c r="S1801" t="s">
        <v>257</v>
      </c>
      <c r="T1801" s="1">
        <v>44136</v>
      </c>
      <c r="U1801" s="1">
        <v>44136</v>
      </c>
      <c r="V1801" t="s">
        <v>270</v>
      </c>
      <c r="W1801">
        <v>897506</v>
      </c>
      <c r="X1801">
        <v>897506</v>
      </c>
      <c r="Y1801" t="s">
        <v>270</v>
      </c>
      <c r="Z1801">
        <v>897506</v>
      </c>
      <c r="AA1801">
        <v>897506</v>
      </c>
      <c r="AB1801" t="b">
        <v>1</v>
      </c>
    </row>
    <row r="1802" spans="17:28" x14ac:dyDescent="0.2">
      <c r="Q1802" t="s">
        <v>2018</v>
      </c>
      <c r="R1802" t="s">
        <v>2532</v>
      </c>
      <c r="S1802" t="s">
        <v>257</v>
      </c>
      <c r="T1802" s="1">
        <v>44105</v>
      </c>
      <c r="U1802" s="1">
        <v>44105</v>
      </c>
      <c r="V1802" t="s">
        <v>270</v>
      </c>
      <c r="W1802">
        <v>190766</v>
      </c>
      <c r="X1802">
        <v>190766</v>
      </c>
      <c r="Y1802" t="s">
        <v>270</v>
      </c>
      <c r="Z1802">
        <v>190766</v>
      </c>
      <c r="AA1802">
        <v>190766</v>
      </c>
      <c r="AB1802" t="b">
        <v>1</v>
      </c>
    </row>
    <row r="1803" spans="17:28" x14ac:dyDescent="0.2">
      <c r="Q1803" t="s">
        <v>2018</v>
      </c>
      <c r="R1803" t="s">
        <v>2532</v>
      </c>
      <c r="S1803" t="s">
        <v>257</v>
      </c>
      <c r="T1803" s="1">
        <v>44075</v>
      </c>
      <c r="U1803" s="1">
        <v>44075</v>
      </c>
      <c r="V1803" t="s">
        <v>270</v>
      </c>
      <c r="W1803">
        <v>771368</v>
      </c>
      <c r="X1803">
        <v>771368</v>
      </c>
      <c r="Y1803" t="s">
        <v>270</v>
      </c>
      <c r="Z1803">
        <v>771368</v>
      </c>
      <c r="AA1803">
        <v>771368</v>
      </c>
      <c r="AB1803" t="b">
        <v>1</v>
      </c>
    </row>
    <row r="1804" spans="17:28" x14ac:dyDescent="0.2">
      <c r="Q1804" t="s">
        <v>2018</v>
      </c>
      <c r="R1804" t="s">
        <v>2532</v>
      </c>
      <c r="S1804" t="s">
        <v>257</v>
      </c>
      <c r="T1804" s="1">
        <v>44044</v>
      </c>
      <c r="U1804" s="1">
        <v>44044</v>
      </c>
      <c r="V1804" t="s">
        <v>270</v>
      </c>
      <c r="W1804">
        <v>7031</v>
      </c>
      <c r="X1804">
        <v>7031</v>
      </c>
      <c r="Y1804" t="s">
        <v>270</v>
      </c>
      <c r="Z1804">
        <v>7031</v>
      </c>
      <c r="AA1804">
        <v>7031</v>
      </c>
      <c r="AB1804" t="b">
        <v>1</v>
      </c>
    </row>
    <row r="1805" spans="17:28" x14ac:dyDescent="0.2">
      <c r="Q1805" t="s">
        <v>2029</v>
      </c>
      <c r="R1805" t="s">
        <v>2532</v>
      </c>
      <c r="S1805" t="s">
        <v>257</v>
      </c>
      <c r="T1805" s="1">
        <v>44348</v>
      </c>
      <c r="U1805" s="1">
        <v>44348</v>
      </c>
      <c r="V1805" t="s">
        <v>270</v>
      </c>
      <c r="W1805">
        <v>380825</v>
      </c>
      <c r="X1805">
        <v>380825</v>
      </c>
      <c r="Y1805" t="s">
        <v>270</v>
      </c>
      <c r="Z1805">
        <v>380825</v>
      </c>
      <c r="AA1805">
        <v>380825</v>
      </c>
      <c r="AB1805" t="b">
        <v>1</v>
      </c>
    </row>
    <row r="1806" spans="17:28" x14ac:dyDescent="0.2">
      <c r="Q1806" t="s">
        <v>2029</v>
      </c>
      <c r="R1806" t="s">
        <v>2532</v>
      </c>
      <c r="S1806" t="s">
        <v>257</v>
      </c>
      <c r="T1806" s="1">
        <v>44317</v>
      </c>
      <c r="U1806" s="1">
        <v>44317</v>
      </c>
      <c r="V1806" t="s">
        <v>270</v>
      </c>
      <c r="W1806">
        <v>525581</v>
      </c>
      <c r="X1806">
        <v>525581</v>
      </c>
      <c r="Y1806" t="s">
        <v>270</v>
      </c>
      <c r="Z1806">
        <v>525581</v>
      </c>
      <c r="AA1806">
        <v>525581</v>
      </c>
      <c r="AB1806" t="b">
        <v>1</v>
      </c>
    </row>
    <row r="1807" spans="17:28" x14ac:dyDescent="0.2">
      <c r="Q1807" t="s">
        <v>2029</v>
      </c>
      <c r="R1807" t="s">
        <v>2532</v>
      </c>
      <c r="S1807" t="s">
        <v>257</v>
      </c>
      <c r="T1807" s="1">
        <v>44287</v>
      </c>
      <c r="U1807" s="1">
        <v>44287</v>
      </c>
      <c r="V1807" t="s">
        <v>270</v>
      </c>
      <c r="W1807">
        <v>5060</v>
      </c>
      <c r="X1807">
        <v>5060</v>
      </c>
      <c r="Y1807" t="s">
        <v>270</v>
      </c>
      <c r="Z1807">
        <v>5060</v>
      </c>
      <c r="AA1807">
        <v>5060</v>
      </c>
      <c r="AB1807" t="b">
        <v>1</v>
      </c>
    </row>
    <row r="1808" spans="17:28" x14ac:dyDescent="0.2">
      <c r="Q1808" t="s">
        <v>2029</v>
      </c>
      <c r="R1808" t="s">
        <v>2532</v>
      </c>
      <c r="S1808" t="s">
        <v>257</v>
      </c>
      <c r="T1808" s="1">
        <v>44256</v>
      </c>
      <c r="U1808" s="1">
        <v>44256</v>
      </c>
      <c r="V1808" t="s">
        <v>270</v>
      </c>
      <c r="W1808">
        <v>161831</v>
      </c>
      <c r="X1808">
        <v>161831</v>
      </c>
      <c r="Y1808" t="s">
        <v>270</v>
      </c>
      <c r="Z1808">
        <v>161831</v>
      </c>
      <c r="AA1808">
        <v>161831</v>
      </c>
      <c r="AB1808" t="b">
        <v>1</v>
      </c>
    </row>
    <row r="1809" spans="17:28" x14ac:dyDescent="0.2">
      <c r="Q1809" t="s">
        <v>2029</v>
      </c>
      <c r="R1809" t="s">
        <v>2532</v>
      </c>
      <c r="S1809" t="s">
        <v>257</v>
      </c>
      <c r="T1809" s="1">
        <v>44228</v>
      </c>
      <c r="U1809" s="1">
        <v>44228</v>
      </c>
      <c r="V1809" t="s">
        <v>270</v>
      </c>
      <c r="W1809">
        <v>75</v>
      </c>
      <c r="X1809">
        <v>75</v>
      </c>
      <c r="Y1809" t="s">
        <v>270</v>
      </c>
      <c r="Z1809">
        <v>75</v>
      </c>
      <c r="AA1809">
        <v>75</v>
      </c>
      <c r="AB1809" t="b">
        <v>1</v>
      </c>
    </row>
    <row r="1810" spans="17:28" x14ac:dyDescent="0.2">
      <c r="Q1810" t="s">
        <v>2029</v>
      </c>
      <c r="R1810" t="s">
        <v>2532</v>
      </c>
      <c r="S1810" t="s">
        <v>257</v>
      </c>
      <c r="T1810" s="1">
        <v>44197</v>
      </c>
      <c r="U1810" s="1">
        <v>44197</v>
      </c>
      <c r="V1810" t="s">
        <v>270</v>
      </c>
      <c r="W1810">
        <v>89</v>
      </c>
      <c r="X1810">
        <v>89</v>
      </c>
      <c r="Y1810" t="s">
        <v>270</v>
      </c>
      <c r="Z1810">
        <v>89</v>
      </c>
      <c r="AA1810">
        <v>89</v>
      </c>
      <c r="AB1810" t="b">
        <v>1</v>
      </c>
    </row>
    <row r="1811" spans="17:28" x14ac:dyDescent="0.2">
      <c r="Q1811" t="s">
        <v>2029</v>
      </c>
      <c r="R1811" t="s">
        <v>2532</v>
      </c>
      <c r="S1811" t="s">
        <v>257</v>
      </c>
      <c r="T1811" s="1">
        <v>44166</v>
      </c>
      <c r="U1811" s="1">
        <v>44166</v>
      </c>
      <c r="V1811" t="s">
        <v>270</v>
      </c>
      <c r="W1811">
        <v>1047054</v>
      </c>
      <c r="X1811">
        <v>1047054</v>
      </c>
      <c r="Y1811" t="s">
        <v>270</v>
      </c>
      <c r="Z1811">
        <v>1047054</v>
      </c>
      <c r="AA1811">
        <v>1047054</v>
      </c>
      <c r="AB1811" t="b">
        <v>1</v>
      </c>
    </row>
    <row r="1812" spans="17:28" x14ac:dyDescent="0.2">
      <c r="Q1812" t="s">
        <v>2029</v>
      </c>
      <c r="R1812" t="s">
        <v>2532</v>
      </c>
      <c r="S1812" t="s">
        <v>257</v>
      </c>
      <c r="T1812" s="1">
        <v>44136</v>
      </c>
      <c r="U1812" s="1">
        <v>44136</v>
      </c>
      <c r="V1812" t="s">
        <v>270</v>
      </c>
      <c r="W1812">
        <v>897506</v>
      </c>
      <c r="X1812">
        <v>897506</v>
      </c>
      <c r="Y1812" t="s">
        <v>270</v>
      </c>
      <c r="Z1812">
        <v>897506</v>
      </c>
      <c r="AA1812">
        <v>897506</v>
      </c>
      <c r="AB1812" t="b">
        <v>1</v>
      </c>
    </row>
    <row r="1813" spans="17:28" x14ac:dyDescent="0.2">
      <c r="Q1813" t="s">
        <v>2029</v>
      </c>
      <c r="R1813" t="s">
        <v>2532</v>
      </c>
      <c r="S1813" t="s">
        <v>257</v>
      </c>
      <c r="T1813" s="1">
        <v>44105</v>
      </c>
      <c r="U1813" s="1">
        <v>44105</v>
      </c>
      <c r="V1813" t="s">
        <v>270</v>
      </c>
      <c r="W1813">
        <v>190766</v>
      </c>
      <c r="X1813">
        <v>190766</v>
      </c>
      <c r="Y1813" t="s">
        <v>270</v>
      </c>
      <c r="Z1813">
        <v>190766</v>
      </c>
      <c r="AA1813">
        <v>190766</v>
      </c>
      <c r="AB1813" t="b">
        <v>1</v>
      </c>
    </row>
    <row r="1814" spans="17:28" x14ac:dyDescent="0.2">
      <c r="Q1814" t="s">
        <v>2029</v>
      </c>
      <c r="R1814" t="s">
        <v>2532</v>
      </c>
      <c r="S1814" t="s">
        <v>257</v>
      </c>
      <c r="T1814" s="1">
        <v>44075</v>
      </c>
      <c r="U1814" s="1">
        <v>44075</v>
      </c>
      <c r="V1814" t="s">
        <v>270</v>
      </c>
      <c r="W1814">
        <v>771368</v>
      </c>
      <c r="X1814">
        <v>771368</v>
      </c>
      <c r="Y1814" t="s">
        <v>270</v>
      </c>
      <c r="Z1814">
        <v>771368</v>
      </c>
      <c r="AA1814">
        <v>771368</v>
      </c>
      <c r="AB1814" t="b">
        <v>1</v>
      </c>
    </row>
    <row r="1815" spans="17:28" x14ac:dyDescent="0.2">
      <c r="Q1815" t="s">
        <v>2029</v>
      </c>
      <c r="R1815" t="s">
        <v>2532</v>
      </c>
      <c r="S1815" t="s">
        <v>257</v>
      </c>
      <c r="T1815" s="1">
        <v>44044</v>
      </c>
      <c r="U1815" s="1">
        <v>44044</v>
      </c>
      <c r="V1815" t="s">
        <v>270</v>
      </c>
      <c r="W1815">
        <v>7031</v>
      </c>
      <c r="X1815">
        <v>7031</v>
      </c>
      <c r="Y1815" t="s">
        <v>270</v>
      </c>
      <c r="Z1815">
        <v>7031</v>
      </c>
      <c r="AA1815">
        <v>7031</v>
      </c>
      <c r="AB1815" t="b">
        <v>1</v>
      </c>
    </row>
    <row r="1816" spans="17:28" x14ac:dyDescent="0.2">
      <c r="Q1816" t="s">
        <v>2029</v>
      </c>
      <c r="R1816" t="s">
        <v>2532</v>
      </c>
      <c r="S1816" t="s">
        <v>257</v>
      </c>
      <c r="T1816" s="1">
        <v>44348</v>
      </c>
      <c r="U1816" s="1">
        <v>44348</v>
      </c>
      <c r="V1816" t="s">
        <v>270</v>
      </c>
      <c r="W1816">
        <v>380825</v>
      </c>
      <c r="X1816">
        <v>380825</v>
      </c>
      <c r="Y1816" t="s">
        <v>270</v>
      </c>
      <c r="Z1816">
        <v>380825</v>
      </c>
      <c r="AA1816">
        <v>380825</v>
      </c>
      <c r="AB1816" t="b">
        <v>1</v>
      </c>
    </row>
    <row r="1817" spans="17:28" x14ac:dyDescent="0.2">
      <c r="Q1817" t="s">
        <v>2029</v>
      </c>
      <c r="R1817" t="s">
        <v>2532</v>
      </c>
      <c r="S1817" t="s">
        <v>257</v>
      </c>
      <c r="T1817" s="1">
        <v>44317</v>
      </c>
      <c r="U1817" s="1">
        <v>44317</v>
      </c>
      <c r="V1817" t="s">
        <v>270</v>
      </c>
      <c r="W1817">
        <v>525581</v>
      </c>
      <c r="X1817">
        <v>525581</v>
      </c>
      <c r="Y1817" t="s">
        <v>270</v>
      </c>
      <c r="Z1817">
        <v>525581</v>
      </c>
      <c r="AA1817">
        <v>525581</v>
      </c>
      <c r="AB1817" t="b">
        <v>1</v>
      </c>
    </row>
    <row r="1818" spans="17:28" x14ac:dyDescent="0.2">
      <c r="Q1818" t="s">
        <v>2029</v>
      </c>
      <c r="R1818" t="s">
        <v>2532</v>
      </c>
      <c r="S1818" t="s">
        <v>257</v>
      </c>
      <c r="T1818" s="1">
        <v>44287</v>
      </c>
      <c r="U1818" s="1">
        <v>44287</v>
      </c>
      <c r="V1818" t="s">
        <v>270</v>
      </c>
      <c r="W1818">
        <v>5060</v>
      </c>
      <c r="X1818">
        <v>5060</v>
      </c>
      <c r="Y1818" t="s">
        <v>270</v>
      </c>
      <c r="Z1818">
        <v>5060</v>
      </c>
      <c r="AA1818">
        <v>5060</v>
      </c>
      <c r="AB1818" t="b">
        <v>1</v>
      </c>
    </row>
    <row r="1819" spans="17:28" x14ac:dyDescent="0.2">
      <c r="Q1819" t="s">
        <v>2029</v>
      </c>
      <c r="R1819" t="s">
        <v>2532</v>
      </c>
      <c r="S1819" t="s">
        <v>257</v>
      </c>
      <c r="T1819" s="1">
        <v>44256</v>
      </c>
      <c r="U1819" s="1">
        <v>44256</v>
      </c>
      <c r="V1819" t="s">
        <v>270</v>
      </c>
      <c r="W1819">
        <v>161831</v>
      </c>
      <c r="X1819">
        <v>161831</v>
      </c>
      <c r="Y1819" t="s">
        <v>270</v>
      </c>
      <c r="Z1819">
        <v>161831</v>
      </c>
      <c r="AA1819">
        <v>161831</v>
      </c>
      <c r="AB1819" t="b">
        <v>1</v>
      </c>
    </row>
    <row r="1820" spans="17:28" x14ac:dyDescent="0.2">
      <c r="Q1820" t="s">
        <v>2029</v>
      </c>
      <c r="R1820" t="s">
        <v>2532</v>
      </c>
      <c r="S1820" t="s">
        <v>257</v>
      </c>
      <c r="T1820" s="1">
        <v>44228</v>
      </c>
      <c r="U1820" s="1">
        <v>44228</v>
      </c>
      <c r="V1820" t="s">
        <v>270</v>
      </c>
      <c r="W1820">
        <v>75</v>
      </c>
      <c r="X1820">
        <v>75</v>
      </c>
      <c r="Y1820" t="s">
        <v>270</v>
      </c>
      <c r="Z1820">
        <v>75</v>
      </c>
      <c r="AA1820">
        <v>75</v>
      </c>
      <c r="AB1820" t="b">
        <v>1</v>
      </c>
    </row>
    <row r="1821" spans="17:28" x14ac:dyDescent="0.2">
      <c r="Q1821" t="s">
        <v>2029</v>
      </c>
      <c r="R1821" t="s">
        <v>2532</v>
      </c>
      <c r="S1821" t="s">
        <v>257</v>
      </c>
      <c r="T1821" s="1">
        <v>44197</v>
      </c>
      <c r="U1821" s="1">
        <v>44197</v>
      </c>
      <c r="V1821" t="s">
        <v>270</v>
      </c>
      <c r="W1821">
        <v>89</v>
      </c>
      <c r="X1821">
        <v>89</v>
      </c>
      <c r="Y1821" t="s">
        <v>270</v>
      </c>
      <c r="Z1821">
        <v>89</v>
      </c>
      <c r="AA1821">
        <v>89</v>
      </c>
      <c r="AB1821" t="b">
        <v>1</v>
      </c>
    </row>
    <row r="1822" spans="17:28" x14ac:dyDescent="0.2">
      <c r="Q1822" t="s">
        <v>2029</v>
      </c>
      <c r="R1822" t="s">
        <v>2532</v>
      </c>
      <c r="S1822" t="s">
        <v>257</v>
      </c>
      <c r="T1822" s="1">
        <v>44166</v>
      </c>
      <c r="U1822" s="1">
        <v>44166</v>
      </c>
      <c r="V1822" t="s">
        <v>270</v>
      </c>
      <c r="W1822">
        <v>1047054</v>
      </c>
      <c r="X1822">
        <v>1047054</v>
      </c>
      <c r="Y1822" t="s">
        <v>270</v>
      </c>
      <c r="Z1822">
        <v>1047054</v>
      </c>
      <c r="AA1822">
        <v>1047054</v>
      </c>
      <c r="AB1822" t="b">
        <v>1</v>
      </c>
    </row>
    <row r="1823" spans="17:28" x14ac:dyDescent="0.2">
      <c r="Q1823" t="s">
        <v>2029</v>
      </c>
      <c r="R1823" t="s">
        <v>2532</v>
      </c>
      <c r="S1823" t="s">
        <v>257</v>
      </c>
      <c r="T1823" s="1">
        <v>44136</v>
      </c>
      <c r="U1823" s="1">
        <v>44136</v>
      </c>
      <c r="V1823" t="s">
        <v>270</v>
      </c>
      <c r="W1823">
        <v>897506</v>
      </c>
      <c r="X1823">
        <v>897506</v>
      </c>
      <c r="Y1823" t="s">
        <v>270</v>
      </c>
      <c r="Z1823">
        <v>897506</v>
      </c>
      <c r="AA1823">
        <v>897506</v>
      </c>
      <c r="AB1823" t="b">
        <v>1</v>
      </c>
    </row>
    <row r="1824" spans="17:28" x14ac:dyDescent="0.2">
      <c r="Q1824" t="s">
        <v>2029</v>
      </c>
      <c r="R1824" t="s">
        <v>2532</v>
      </c>
      <c r="S1824" t="s">
        <v>257</v>
      </c>
      <c r="T1824" s="1">
        <v>44105</v>
      </c>
      <c r="U1824" s="1">
        <v>44105</v>
      </c>
      <c r="V1824" t="s">
        <v>270</v>
      </c>
      <c r="W1824">
        <v>190766</v>
      </c>
      <c r="X1824">
        <v>190766</v>
      </c>
      <c r="Y1824" t="s">
        <v>270</v>
      </c>
      <c r="Z1824">
        <v>190766</v>
      </c>
      <c r="AA1824">
        <v>190766</v>
      </c>
      <c r="AB1824" t="b">
        <v>1</v>
      </c>
    </row>
    <row r="1825" spans="17:29" x14ac:dyDescent="0.2">
      <c r="Q1825" t="s">
        <v>2029</v>
      </c>
      <c r="R1825" t="s">
        <v>2532</v>
      </c>
      <c r="S1825" t="s">
        <v>257</v>
      </c>
      <c r="T1825" s="1">
        <v>44075</v>
      </c>
      <c r="U1825" s="1">
        <v>44075</v>
      </c>
      <c r="V1825" t="s">
        <v>270</v>
      </c>
      <c r="W1825">
        <v>771368</v>
      </c>
      <c r="X1825">
        <v>771368</v>
      </c>
      <c r="Y1825" t="s">
        <v>270</v>
      </c>
      <c r="Z1825">
        <v>771368</v>
      </c>
      <c r="AA1825">
        <v>771368</v>
      </c>
      <c r="AB1825" t="b">
        <v>1</v>
      </c>
    </row>
    <row r="1826" spans="17:29" x14ac:dyDescent="0.2">
      <c r="Q1826" t="s">
        <v>2029</v>
      </c>
      <c r="R1826" t="s">
        <v>2532</v>
      </c>
      <c r="S1826" t="s">
        <v>257</v>
      </c>
      <c r="T1826" s="1">
        <v>44044</v>
      </c>
      <c r="U1826" s="1">
        <v>44044</v>
      </c>
      <c r="V1826" t="s">
        <v>270</v>
      </c>
      <c r="W1826">
        <v>7031</v>
      </c>
      <c r="X1826">
        <v>7031</v>
      </c>
      <c r="Y1826" t="s">
        <v>270</v>
      </c>
      <c r="Z1826">
        <v>7031</v>
      </c>
      <c r="AA1826">
        <v>7031</v>
      </c>
      <c r="AB1826" t="b">
        <v>1</v>
      </c>
    </row>
    <row r="1827" spans="17:29" x14ac:dyDescent="0.2">
      <c r="Q1827" t="s">
        <v>2128</v>
      </c>
      <c r="R1827" t="s">
        <v>2533</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1989</v>
      </c>
      <c r="R1828" t="s">
        <v>2533</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2128</v>
      </c>
      <c r="R1829" t="s">
        <v>2534</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1989</v>
      </c>
      <c r="R1830" t="s">
        <v>2534</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2128</v>
      </c>
      <c r="R1831" t="s">
        <v>2535</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1989</v>
      </c>
      <c r="R1832" t="s">
        <v>2535</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2128</v>
      </c>
      <c r="R1833" t="s">
        <v>2536</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1989</v>
      </c>
      <c r="R1834" t="s">
        <v>2536</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2128</v>
      </c>
      <c r="R1835" t="s">
        <v>2537</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1989</v>
      </c>
      <c r="R1836" t="s">
        <v>2537</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2128</v>
      </c>
      <c r="R1837" t="s">
        <v>2538</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1989</v>
      </c>
      <c r="R1838" t="s">
        <v>2538</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2128</v>
      </c>
      <c r="R1839" t="s">
        <v>2539</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1989</v>
      </c>
      <c r="R1840" t="s">
        <v>2539</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2128</v>
      </c>
      <c r="R1841" t="s">
        <v>2540</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1989</v>
      </c>
      <c r="R1842" t="s">
        <v>2540</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2128</v>
      </c>
      <c r="R1843" t="s">
        <v>2541</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1989</v>
      </c>
      <c r="R1844" t="s">
        <v>2541</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2128</v>
      </c>
      <c r="R1845" t="s">
        <v>2542</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1989</v>
      </c>
      <c r="R1846" t="s">
        <v>2542</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2128</v>
      </c>
      <c r="R1847" t="s">
        <v>2543</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1989</v>
      </c>
      <c r="R1848" t="s">
        <v>2543</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2128</v>
      </c>
      <c r="R1849" t="s">
        <v>2544</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1989</v>
      </c>
      <c r="R1850" t="s">
        <v>2544</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2128</v>
      </c>
      <c r="R1851" t="s">
        <v>2545</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1989</v>
      </c>
      <c r="R1852" t="s">
        <v>2545</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2128</v>
      </c>
      <c r="R1853" t="s">
        <v>2546</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1989</v>
      </c>
      <c r="R1854" t="s">
        <v>2546</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2128</v>
      </c>
      <c r="R1855" t="s">
        <v>2547</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1989</v>
      </c>
      <c r="R1856" t="s">
        <v>2547</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2128</v>
      </c>
      <c r="R1857" t="s">
        <v>2548</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1989</v>
      </c>
      <c r="R1858" t="s">
        <v>2548</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2128</v>
      </c>
      <c r="R1859" t="s">
        <v>2549</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1989</v>
      </c>
      <c r="R1860" t="s">
        <v>2549</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2128</v>
      </c>
      <c r="R1861" t="s">
        <v>2550</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1989</v>
      </c>
      <c r="R1862" t="s">
        <v>2550</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2128</v>
      </c>
      <c r="R1863" t="s">
        <v>2551</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1989</v>
      </c>
      <c r="R1864" t="s">
        <v>2551</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2128</v>
      </c>
      <c r="R1865" t="s">
        <v>2552</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1989</v>
      </c>
      <c r="R1866" t="s">
        <v>2552</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2128</v>
      </c>
      <c r="R1867" t="s">
        <v>2553</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1989</v>
      </c>
      <c r="R1868" t="s">
        <v>2553</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2128</v>
      </c>
      <c r="R1869" t="s">
        <v>2554</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1989</v>
      </c>
      <c r="R1870" t="s">
        <v>2554</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2128</v>
      </c>
      <c r="R1871" t="s">
        <v>2555</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1989</v>
      </c>
      <c r="R1872" t="s">
        <v>2555</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2128</v>
      </c>
      <c r="R1873" t="s">
        <v>2556</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1989</v>
      </c>
      <c r="R1874" t="s">
        <v>2556</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2128</v>
      </c>
      <c r="R1875" t="s">
        <v>2557</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1989</v>
      </c>
      <c r="R1876" t="s">
        <v>2557</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2128</v>
      </c>
      <c r="R1877" t="s">
        <v>2558</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1989</v>
      </c>
      <c r="R1878" t="s">
        <v>2558</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2128</v>
      </c>
      <c r="R1879" t="s">
        <v>2559</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1989</v>
      </c>
      <c r="R1880" t="s">
        <v>2559</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2128</v>
      </c>
      <c r="R1881" t="s">
        <v>2560</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1989</v>
      </c>
      <c r="R1882" t="s">
        <v>2560</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2128</v>
      </c>
      <c r="R1883" t="s">
        <v>2561</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1989</v>
      </c>
      <c r="R1884" t="s">
        <v>2561</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2128</v>
      </c>
      <c r="R1885" t="s">
        <v>2562</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1989</v>
      </c>
      <c r="R1886" t="s">
        <v>2562</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2128</v>
      </c>
      <c r="R1887" t="s">
        <v>2563</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1989</v>
      </c>
      <c r="R1888" t="s">
        <v>2563</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2128</v>
      </c>
      <c r="R1889" t="s">
        <v>2564</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1989</v>
      </c>
      <c r="R1890" t="s">
        <v>2564</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2128</v>
      </c>
      <c r="R1891" t="s">
        <v>2565</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1989</v>
      </c>
      <c r="R1892" t="s">
        <v>2565</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2128</v>
      </c>
      <c r="R1893" t="s">
        <v>2566</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1989</v>
      </c>
      <c r="R1894" t="s">
        <v>2566</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2128</v>
      </c>
      <c r="R1895" t="s">
        <v>2567</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1989</v>
      </c>
      <c r="R1896" t="s">
        <v>2567</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2128</v>
      </c>
      <c r="R1897" t="s">
        <v>2568</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1989</v>
      </c>
      <c r="R1898" t="s">
        <v>2568</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2128</v>
      </c>
      <c r="R1899" t="s">
        <v>2569</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1989</v>
      </c>
      <c r="R1900" t="s">
        <v>2569</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2128</v>
      </c>
      <c r="R1901" t="s">
        <v>2570</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1989</v>
      </c>
      <c r="R1902" t="s">
        <v>2570</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2128</v>
      </c>
      <c r="R1903" t="s">
        <v>2571</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1989</v>
      </c>
      <c r="R1904" t="s">
        <v>2571</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2128</v>
      </c>
      <c r="R1905" t="s">
        <v>2572</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1989</v>
      </c>
      <c r="R1906" t="s">
        <v>2572</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2128</v>
      </c>
      <c r="R1907" t="s">
        <v>2573</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1989</v>
      </c>
      <c r="R1908" t="s">
        <v>2573</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2128</v>
      </c>
      <c r="R1909" t="s">
        <v>2574</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1989</v>
      </c>
      <c r="R1910" t="s">
        <v>2574</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2128</v>
      </c>
      <c r="R1911" t="s">
        <v>2575</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1989</v>
      </c>
      <c r="R1912" t="s">
        <v>2575</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2128</v>
      </c>
      <c r="R1913" t="s">
        <v>2576</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1989</v>
      </c>
      <c r="R1914" t="s">
        <v>2576</v>
      </c>
      <c r="S1914" t="s">
        <v>257</v>
      </c>
      <c r="T1914" s="1">
        <v>44270</v>
      </c>
      <c r="U1914" s="1">
        <v>44270</v>
      </c>
      <c r="V1914" t="s">
        <v>260</v>
      </c>
      <c r="W1914">
        <v>56795.7</v>
      </c>
      <c r="X1914">
        <v>56795.7</v>
      </c>
      <c r="Y1914" t="s">
        <v>260</v>
      </c>
      <c r="Z1914">
        <v>56795.7</v>
      </c>
      <c r="AA1914">
        <v>10088</v>
      </c>
      <c r="AB1914" t="b">
        <v>0</v>
      </c>
      <c r="AC1914">
        <v>1</v>
      </c>
    </row>
    <row r="1915" spans="17:29" x14ac:dyDescent="0.2">
      <c r="Q1915" t="s">
        <v>2128</v>
      </c>
      <c r="R1915" t="s">
        <v>2577</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1989</v>
      </c>
      <c r="R1916" t="s">
        <v>2577</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2128</v>
      </c>
      <c r="R1917" t="s">
        <v>2578</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1989</v>
      </c>
      <c r="R1918" t="s">
        <v>2578</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2128</v>
      </c>
      <c r="R1919" t="s">
        <v>2579</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1989</v>
      </c>
      <c r="R1920" t="s">
        <v>2579</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2128</v>
      </c>
      <c r="R1921" t="s">
        <v>2580</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1989</v>
      </c>
      <c r="R1922" t="s">
        <v>2580</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2128</v>
      </c>
      <c r="R1923" t="s">
        <v>2581</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1989</v>
      </c>
      <c r="R1924" t="s">
        <v>2581</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2128</v>
      </c>
      <c r="R1925" t="s">
        <v>2582</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1989</v>
      </c>
      <c r="R1926" t="s">
        <v>2582</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2128</v>
      </c>
      <c r="R1927" t="s">
        <v>2583</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1989</v>
      </c>
      <c r="R1928" t="s">
        <v>2583</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2128</v>
      </c>
      <c r="R1929" t="s">
        <v>2584</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1989</v>
      </c>
      <c r="R1930" t="s">
        <v>2584</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2128</v>
      </c>
      <c r="R1931" t="s">
        <v>2585</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1989</v>
      </c>
      <c r="R1932" t="s">
        <v>2585</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2128</v>
      </c>
      <c r="R1933" t="s">
        <v>2586</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1989</v>
      </c>
      <c r="R1934" t="s">
        <v>2586</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2128</v>
      </c>
      <c r="R1935" t="s">
        <v>2587</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1989</v>
      </c>
      <c r="R1936" t="s">
        <v>2587</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2075</v>
      </c>
      <c r="R1937" t="s">
        <v>2588</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2075</v>
      </c>
      <c r="R1938" t="s">
        <v>2588</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2075</v>
      </c>
      <c r="R1939" t="s">
        <v>2589</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2075</v>
      </c>
      <c r="R1940" t="s">
        <v>2589</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2075</v>
      </c>
      <c r="R1941" t="s">
        <v>2590</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2075</v>
      </c>
      <c r="R1942" t="s">
        <v>2590</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2075</v>
      </c>
      <c r="R1943" t="s">
        <v>2591</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2075</v>
      </c>
      <c r="R1944" t="s">
        <v>2591</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2075</v>
      </c>
      <c r="R1945" t="s">
        <v>2592</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2075</v>
      </c>
      <c r="R1946" t="s">
        <v>2592</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1998</v>
      </c>
      <c r="R1947" t="s">
        <v>2593</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2000</v>
      </c>
      <c r="R1948" t="s">
        <v>2593</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2040</v>
      </c>
      <c r="R1949" t="s">
        <v>2594</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1989</v>
      </c>
      <c r="R1950" t="s">
        <v>2594</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2128</v>
      </c>
      <c r="R1951" t="s">
        <v>2595</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1989</v>
      </c>
      <c r="R1952" t="s">
        <v>2595</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2128</v>
      </c>
      <c r="R1953" t="s">
        <v>2596</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1989</v>
      </c>
      <c r="R1954" t="s">
        <v>2596</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2040</v>
      </c>
      <c r="R1955" t="s">
        <v>2597</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2036</v>
      </c>
      <c r="R1956" t="s">
        <v>2597</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2040</v>
      </c>
      <c r="R1957" t="s">
        <v>2598</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2036</v>
      </c>
      <c r="R1958" t="s">
        <v>2598</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2087</v>
      </c>
      <c r="R1959" t="s">
        <v>2599</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2036</v>
      </c>
      <c r="R1960" t="s">
        <v>2599</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2001</v>
      </c>
      <c r="R1961" t="s">
        <v>2600</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2036</v>
      </c>
      <c r="R1962" t="s">
        <v>2600</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2087</v>
      </c>
      <c r="R1963" t="s">
        <v>2601</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2036</v>
      </c>
      <c r="R1964" t="s">
        <v>2601</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2087</v>
      </c>
      <c r="R1965" t="s">
        <v>2602</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2087</v>
      </c>
      <c r="R1966" t="s">
        <v>2602</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2087</v>
      </c>
      <c r="R1967" t="s">
        <v>2603</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2087</v>
      </c>
      <c r="R1968" t="s">
        <v>2603</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2087</v>
      </c>
      <c r="R1969" s="5" t="s">
        <v>2604</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2087</v>
      </c>
      <c r="R1970" s="5" t="s">
        <v>2604</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2128</v>
      </c>
      <c r="R1971" t="s">
        <v>2605</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2128</v>
      </c>
      <c r="R1972" t="s">
        <v>2605</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1989</v>
      </c>
      <c r="R1973" t="s">
        <v>2605</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1989</v>
      </c>
      <c r="R1974" t="s">
        <v>2605</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2029</v>
      </c>
      <c r="R1975" t="s">
        <v>2605</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2029</v>
      </c>
      <c r="R1976" t="s">
        <v>2605</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2029</v>
      </c>
      <c r="R1977" t="s">
        <v>2605</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2029</v>
      </c>
      <c r="R1978" t="s">
        <v>2605</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2128</v>
      </c>
      <c r="R1979" t="s">
        <v>2606</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2128</v>
      </c>
      <c r="R1980" t="s">
        <v>2606</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1989</v>
      </c>
      <c r="R1981" t="s">
        <v>2606</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1989</v>
      </c>
      <c r="R1982" t="s">
        <v>2606</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2029</v>
      </c>
      <c r="R1983" t="s">
        <v>2606</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2029</v>
      </c>
      <c r="R1984" t="s">
        <v>2606</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2029</v>
      </c>
      <c r="R1985" t="s">
        <v>2606</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2029</v>
      </c>
      <c r="R1986" t="s">
        <v>2606</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2031</v>
      </c>
      <c r="R1987" t="s">
        <v>2607</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2031</v>
      </c>
      <c r="R1988" t="s">
        <v>2607</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1989</v>
      </c>
      <c r="R1989" t="s">
        <v>2607</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1989</v>
      </c>
      <c r="R1990" t="s">
        <v>2607</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2029</v>
      </c>
      <c r="R1991" t="s">
        <v>2607</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2029</v>
      </c>
      <c r="R1992" t="s">
        <v>2607</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2029</v>
      </c>
      <c r="R1993" t="s">
        <v>2607</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2029</v>
      </c>
      <c r="R1994" t="s">
        <v>2607</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2171</v>
      </c>
      <c r="R1995" t="s">
        <v>2608</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2171</v>
      </c>
      <c r="R1996" t="s">
        <v>2608</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2374</v>
      </c>
      <c r="R1997" t="s">
        <v>2608</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2374</v>
      </c>
      <c r="R1998" t="s">
        <v>2608</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2029</v>
      </c>
      <c r="R1999" t="s">
        <v>2609</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2029</v>
      </c>
      <c r="R2000" t="s">
        <v>2609</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2000</v>
      </c>
      <c r="R2001" t="s">
        <v>2609</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2000</v>
      </c>
      <c r="R2002" t="s">
        <v>2609</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2128</v>
      </c>
      <c r="R2003" t="s">
        <v>2610</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2128</v>
      </c>
      <c r="R2004" t="s">
        <v>2610</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1989</v>
      </c>
      <c r="R2005" t="s">
        <v>2610</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1989</v>
      </c>
      <c r="R2006" t="s">
        <v>2610</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2043</v>
      </c>
      <c r="R2007" t="s">
        <v>2611</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2043</v>
      </c>
      <c r="R2008" t="s">
        <v>2611</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2043</v>
      </c>
      <c r="R2009" t="s">
        <v>2611</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2043</v>
      </c>
      <c r="R2010" t="s">
        <v>2611</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2043</v>
      </c>
      <c r="R2011" t="s">
        <v>2612</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2043</v>
      </c>
      <c r="R2012" t="s">
        <v>2612</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2043</v>
      </c>
      <c r="R2013" t="s">
        <v>2612</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2043</v>
      </c>
      <c r="R2014" t="s">
        <v>2612</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2025</v>
      </c>
      <c r="R2015" t="s">
        <v>2613</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2025</v>
      </c>
      <c r="R2016" t="s">
        <v>2613</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2025</v>
      </c>
      <c r="R2017" t="s">
        <v>2613</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2025</v>
      </c>
      <c r="R2018" t="s">
        <v>2613</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2025</v>
      </c>
      <c r="R2019" t="s">
        <v>2614</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2025</v>
      </c>
      <c r="R2020" t="s">
        <v>2614</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2025</v>
      </c>
      <c r="R2021" t="s">
        <v>2614</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2025</v>
      </c>
      <c r="R2022" t="s">
        <v>2614</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2025</v>
      </c>
      <c r="R2023" t="s">
        <v>2615</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2025</v>
      </c>
      <c r="R2024" t="s">
        <v>2615</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2025</v>
      </c>
      <c r="R2025" t="s">
        <v>2615</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2025</v>
      </c>
      <c r="R2026" t="s">
        <v>2615</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2043</v>
      </c>
      <c r="R2027" t="s">
        <v>2616</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2043</v>
      </c>
      <c r="R2028" t="s">
        <v>2616</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2043</v>
      </c>
      <c r="R2029" t="s">
        <v>2616</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2043</v>
      </c>
      <c r="R2030" t="s">
        <v>2616</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2025</v>
      </c>
      <c r="R2031" t="s">
        <v>2617</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2025</v>
      </c>
      <c r="R2032" t="s">
        <v>2617</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2025</v>
      </c>
      <c r="R2033" t="s">
        <v>2617</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2025</v>
      </c>
      <c r="R2034" t="s">
        <v>2617</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2043</v>
      </c>
      <c r="R2035" t="s">
        <v>2618</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2043</v>
      </c>
      <c r="R2036" t="s">
        <v>2618</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2025</v>
      </c>
      <c r="R2037" t="s">
        <v>2619</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2025</v>
      </c>
      <c r="R2038" t="s">
        <v>2619</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2025</v>
      </c>
      <c r="R2039" t="s">
        <v>2619</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2025</v>
      </c>
      <c r="R2040" t="s">
        <v>2619</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2043</v>
      </c>
      <c r="R2041" t="s">
        <v>2620</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2043</v>
      </c>
      <c r="R2042" t="s">
        <v>2620</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2043</v>
      </c>
      <c r="R2043" t="s">
        <v>2620</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2043</v>
      </c>
      <c r="R2044" t="s">
        <v>2620</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2025</v>
      </c>
      <c r="R2045" t="s">
        <v>2621</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2025</v>
      </c>
      <c r="R2046" t="s">
        <v>2621</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2025</v>
      </c>
      <c r="R2047" t="s">
        <v>2621</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2025</v>
      </c>
      <c r="R2048" t="s">
        <v>2621</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2043</v>
      </c>
      <c r="R2049" t="s">
        <v>2622</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2043</v>
      </c>
      <c r="R2050" t="s">
        <v>2622</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2043</v>
      </c>
      <c r="R2051" t="s">
        <v>2622</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2043</v>
      </c>
      <c r="R2052" t="s">
        <v>2622</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2043</v>
      </c>
      <c r="R2053" t="s">
        <v>2623</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2043</v>
      </c>
      <c r="R2054" t="s">
        <v>2623</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2043</v>
      </c>
      <c r="R2055" t="s">
        <v>2623</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2043</v>
      </c>
      <c r="R2056" t="s">
        <v>2623</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2043</v>
      </c>
      <c r="R2057" t="s">
        <v>2624</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2043</v>
      </c>
      <c r="R2058" t="s">
        <v>2624</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2043</v>
      </c>
      <c r="R2059" t="s">
        <v>2624</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2043</v>
      </c>
      <c r="R2060" t="s">
        <v>2624</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2043</v>
      </c>
      <c r="R2061" t="s">
        <v>2625</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2043</v>
      </c>
      <c r="R2062" t="s">
        <v>2625</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2043</v>
      </c>
      <c r="R2063" t="s">
        <v>2625</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2043</v>
      </c>
      <c r="R2064" t="s">
        <v>2625</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2025</v>
      </c>
      <c r="R2065" t="s">
        <v>2626</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2025</v>
      </c>
      <c r="R2066" t="s">
        <v>2626</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2025</v>
      </c>
      <c r="R2067" t="s">
        <v>2627</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2025</v>
      </c>
      <c r="R2068" t="s">
        <v>2627</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2025</v>
      </c>
      <c r="R2069" t="s">
        <v>2627</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2025</v>
      </c>
      <c r="R2070" t="s">
        <v>2627</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2025</v>
      </c>
      <c r="R2071" t="s">
        <v>2628</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2025</v>
      </c>
      <c r="R2072" t="s">
        <v>2628</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2025</v>
      </c>
      <c r="R2073" t="s">
        <v>2629</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2025</v>
      </c>
      <c r="R2074" t="s">
        <v>2629</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2025</v>
      </c>
      <c r="R2075" t="s">
        <v>2629</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2025</v>
      </c>
      <c r="R2076" t="s">
        <v>2629</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2128</v>
      </c>
      <c r="R2077" t="s">
        <v>2630</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2128</v>
      </c>
      <c r="R2078" t="s">
        <v>2630</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1989</v>
      </c>
      <c r="R2079" t="s">
        <v>2630</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1989</v>
      </c>
      <c r="R2080" t="s">
        <v>2630</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2043</v>
      </c>
      <c r="R2081" t="s">
        <v>2631</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2043</v>
      </c>
      <c r="R2082" t="s">
        <v>2631</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2029</v>
      </c>
      <c r="R2083" t="s">
        <v>2631</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2029</v>
      </c>
      <c r="R2084" t="s">
        <v>2631</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2043</v>
      </c>
      <c r="R2085" t="s">
        <v>2632</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2043</v>
      </c>
      <c r="R2086" t="s">
        <v>2632</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2043</v>
      </c>
      <c r="R2087" t="s">
        <v>2632</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2043</v>
      </c>
      <c r="R2088" t="s">
        <v>2632</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2029</v>
      </c>
      <c r="R2089" t="s">
        <v>2632</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2029</v>
      </c>
      <c r="R2090" t="s">
        <v>2632</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2029</v>
      </c>
      <c r="R2091" t="s">
        <v>2632</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2029</v>
      </c>
      <c r="R2092" t="s">
        <v>2632</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2043</v>
      </c>
      <c r="R2093" t="s">
        <v>2633</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2043</v>
      </c>
      <c r="R2094" t="s">
        <v>2633</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2043</v>
      </c>
      <c r="R2095" t="s">
        <v>2633</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2043</v>
      </c>
      <c r="R2096" t="s">
        <v>2633</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2029</v>
      </c>
      <c r="R2097" t="s">
        <v>2633</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2029</v>
      </c>
      <c r="R2098" t="s">
        <v>2633</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2029</v>
      </c>
      <c r="R2099" t="s">
        <v>2633</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2029</v>
      </c>
      <c r="R2100" t="s">
        <v>2633</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2043</v>
      </c>
      <c r="R2101" t="s">
        <v>2634</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2043</v>
      </c>
      <c r="R2102" t="s">
        <v>2634</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2043</v>
      </c>
      <c r="R2103" t="s">
        <v>2634</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2043</v>
      </c>
      <c r="R2104" t="s">
        <v>2634</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2029</v>
      </c>
      <c r="R2105" t="s">
        <v>2634</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2029</v>
      </c>
      <c r="R2106" t="s">
        <v>2634</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2029</v>
      </c>
      <c r="R2107" t="s">
        <v>2634</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2029</v>
      </c>
      <c r="R2108" t="s">
        <v>2634</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2043</v>
      </c>
      <c r="R2109" t="s">
        <v>2635</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2043</v>
      </c>
      <c r="R2110" t="s">
        <v>2635</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2029</v>
      </c>
      <c r="R2111" t="s">
        <v>2635</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2029</v>
      </c>
      <c r="R2112" t="s">
        <v>2635</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2043</v>
      </c>
      <c r="R2113" t="s">
        <v>2636</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2043</v>
      </c>
      <c r="R2114" t="s">
        <v>2636</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2029</v>
      </c>
      <c r="R2115" t="s">
        <v>2636</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2029</v>
      </c>
      <c r="R2116" t="s">
        <v>2636</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2043</v>
      </c>
      <c r="R2117" t="s">
        <v>2637</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2043</v>
      </c>
      <c r="R2118" t="s">
        <v>2637</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2043</v>
      </c>
      <c r="R2119" t="s">
        <v>2637</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2043</v>
      </c>
      <c r="R2120" t="s">
        <v>2637</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2029</v>
      </c>
      <c r="R2121" t="s">
        <v>2637</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2029</v>
      </c>
      <c r="R2122" t="s">
        <v>2637</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2029</v>
      </c>
      <c r="R2123" t="s">
        <v>2637</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2029</v>
      </c>
      <c r="R2124" t="s">
        <v>2637</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2043</v>
      </c>
      <c r="R2125" t="s">
        <v>2638</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2043</v>
      </c>
      <c r="R2126" t="s">
        <v>2638</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2043</v>
      </c>
      <c r="R2127" t="s">
        <v>2638</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2043</v>
      </c>
      <c r="R2128" t="s">
        <v>2638</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2029</v>
      </c>
      <c r="R2129" t="s">
        <v>2638</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2029</v>
      </c>
      <c r="R2130" t="s">
        <v>2638</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2029</v>
      </c>
      <c r="R2131" t="s">
        <v>2638</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2029</v>
      </c>
      <c r="R2132" t="s">
        <v>2638</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2043</v>
      </c>
      <c r="R2133" t="s">
        <v>2639</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2043</v>
      </c>
      <c r="R2134" t="s">
        <v>2639</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2043</v>
      </c>
      <c r="R2135" t="s">
        <v>2639</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2043</v>
      </c>
      <c r="R2136" t="s">
        <v>2639</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2029</v>
      </c>
      <c r="R2137" t="s">
        <v>2639</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2029</v>
      </c>
      <c r="R2138" t="s">
        <v>2639</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2029</v>
      </c>
      <c r="R2139" t="s">
        <v>2639</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2029</v>
      </c>
      <c r="R2140" t="s">
        <v>2639</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2043</v>
      </c>
      <c r="R2141" t="s">
        <v>2640</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2043</v>
      </c>
      <c r="R2142" t="s">
        <v>2640</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2043</v>
      </c>
      <c r="R2143" t="s">
        <v>2640</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2043</v>
      </c>
      <c r="R2144" t="s">
        <v>2640</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2029</v>
      </c>
      <c r="R2145" t="s">
        <v>2640</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2029</v>
      </c>
      <c r="R2146" t="s">
        <v>2640</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2029</v>
      </c>
      <c r="R2147" t="s">
        <v>2640</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2029</v>
      </c>
      <c r="R2148" t="s">
        <v>2640</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2043</v>
      </c>
      <c r="R2149" t="s">
        <v>2641</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2043</v>
      </c>
      <c r="R2150" t="s">
        <v>2641</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2043</v>
      </c>
      <c r="R2151" t="s">
        <v>2641</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2043</v>
      </c>
      <c r="R2152" t="s">
        <v>2641</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2029</v>
      </c>
      <c r="R2153" t="s">
        <v>2641</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2029</v>
      </c>
      <c r="R2154" t="s">
        <v>2641</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2029</v>
      </c>
      <c r="R2155" t="s">
        <v>2641</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2029</v>
      </c>
      <c r="R2156" t="s">
        <v>2641</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2043</v>
      </c>
      <c r="R2157" t="s">
        <v>2642</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2043</v>
      </c>
      <c r="R2158" t="s">
        <v>2642</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2043</v>
      </c>
      <c r="R2159" t="s">
        <v>2642</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2043</v>
      </c>
      <c r="R2160" t="s">
        <v>2642</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2029</v>
      </c>
      <c r="R2161" t="s">
        <v>2642</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2029</v>
      </c>
      <c r="R2162" t="s">
        <v>2642</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2029</v>
      </c>
      <c r="R2163" t="s">
        <v>2642</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2029</v>
      </c>
      <c r="R2164" t="s">
        <v>2642</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2043</v>
      </c>
      <c r="R2165" t="s">
        <v>2643</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2043</v>
      </c>
      <c r="R2166" t="s">
        <v>2643</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2029</v>
      </c>
      <c r="R2167" t="s">
        <v>2643</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2029</v>
      </c>
      <c r="R2168" t="s">
        <v>2643</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2043</v>
      </c>
      <c r="R2169" t="s">
        <v>2644</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2043</v>
      </c>
      <c r="R2170" t="s">
        <v>2644</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2029</v>
      </c>
      <c r="R2171" t="s">
        <v>2644</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2029</v>
      </c>
      <c r="R2172" t="s">
        <v>2644</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2043</v>
      </c>
      <c r="R2173" t="s">
        <v>2645</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2043</v>
      </c>
      <c r="R2174" t="s">
        <v>2645</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2043</v>
      </c>
      <c r="R2175" t="s">
        <v>2645</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2043</v>
      </c>
      <c r="R2176" t="s">
        <v>2645</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2029</v>
      </c>
      <c r="R2177" t="s">
        <v>2645</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2029</v>
      </c>
      <c r="R2178" t="s">
        <v>2645</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2029</v>
      </c>
      <c r="R2179" t="s">
        <v>2645</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2029</v>
      </c>
      <c r="R2180" t="s">
        <v>2645</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2043</v>
      </c>
      <c r="R2181" t="s">
        <v>2646</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2043</v>
      </c>
      <c r="R2182" t="s">
        <v>2646</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2043</v>
      </c>
      <c r="R2183" t="s">
        <v>2646</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2043</v>
      </c>
      <c r="R2184" t="s">
        <v>2646</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2029</v>
      </c>
      <c r="R2185" t="s">
        <v>2646</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2029</v>
      </c>
      <c r="R2186" t="s">
        <v>2646</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2029</v>
      </c>
      <c r="R2187" t="s">
        <v>2646</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2029</v>
      </c>
      <c r="R2188" t="s">
        <v>2646</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2043</v>
      </c>
      <c r="R2189" t="s">
        <v>2647</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2043</v>
      </c>
      <c r="R2190" t="s">
        <v>2647</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2043</v>
      </c>
      <c r="R2191" t="s">
        <v>2647</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2043</v>
      </c>
      <c r="R2192" t="s">
        <v>2647</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2029</v>
      </c>
      <c r="R2193" t="s">
        <v>2647</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2029</v>
      </c>
      <c r="R2194" t="s">
        <v>2647</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2029</v>
      </c>
      <c r="R2195" t="s">
        <v>2647</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2029</v>
      </c>
      <c r="R2196" t="s">
        <v>2647</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2043</v>
      </c>
      <c r="R2197" t="s">
        <v>2648</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2043</v>
      </c>
      <c r="R2198" t="s">
        <v>2648</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2043</v>
      </c>
      <c r="R2199" t="s">
        <v>2648</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2043</v>
      </c>
      <c r="R2200" t="s">
        <v>2648</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2029</v>
      </c>
      <c r="R2201" t="s">
        <v>2648</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2029</v>
      </c>
      <c r="R2202" t="s">
        <v>2648</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2029</v>
      </c>
      <c r="R2203" t="s">
        <v>2648</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2029</v>
      </c>
      <c r="R2204" t="s">
        <v>2648</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2043</v>
      </c>
      <c r="R2205" t="s">
        <v>2649</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2043</v>
      </c>
      <c r="R2206" t="s">
        <v>2649</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2043</v>
      </c>
      <c r="R2207" t="s">
        <v>2649</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2043</v>
      </c>
      <c r="R2208" t="s">
        <v>2649</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2029</v>
      </c>
      <c r="R2209" t="s">
        <v>2649</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2029</v>
      </c>
      <c r="R2210" t="s">
        <v>2649</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2029</v>
      </c>
      <c r="R2211" t="s">
        <v>2649</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2029</v>
      </c>
      <c r="R2212" t="s">
        <v>2649</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2043</v>
      </c>
      <c r="R2213" t="s">
        <v>2650</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2043</v>
      </c>
      <c r="R2214" t="s">
        <v>2650</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2043</v>
      </c>
      <c r="R2215" t="s">
        <v>2650</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2043</v>
      </c>
      <c r="R2216" t="s">
        <v>2650</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2029</v>
      </c>
      <c r="R2217" t="s">
        <v>2650</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2029</v>
      </c>
      <c r="R2218" t="s">
        <v>2650</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2029</v>
      </c>
      <c r="R2219" t="s">
        <v>2650</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2029</v>
      </c>
      <c r="R2220" t="s">
        <v>2650</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2043</v>
      </c>
      <c r="R2221" t="s">
        <v>2651</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2043</v>
      </c>
      <c r="R2222" t="s">
        <v>2651</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2043</v>
      </c>
      <c r="R2223" t="s">
        <v>2651</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2043</v>
      </c>
      <c r="R2224" t="s">
        <v>2651</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2029</v>
      </c>
      <c r="R2225" t="s">
        <v>2651</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2029</v>
      </c>
      <c r="R2226" t="s">
        <v>2651</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2029</v>
      </c>
      <c r="R2227" t="s">
        <v>2651</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2029</v>
      </c>
      <c r="R2228" t="s">
        <v>2651</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2043</v>
      </c>
      <c r="R2229" t="s">
        <v>2652</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2043</v>
      </c>
      <c r="R2230" t="s">
        <v>2652</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2043</v>
      </c>
      <c r="R2231" t="s">
        <v>2652</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2043</v>
      </c>
      <c r="R2232" t="s">
        <v>2652</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2029</v>
      </c>
      <c r="R2233" t="s">
        <v>2652</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2029</v>
      </c>
      <c r="R2234" t="s">
        <v>2652</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2029</v>
      </c>
      <c r="R2235" t="s">
        <v>2652</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2029</v>
      </c>
      <c r="R2236" t="s">
        <v>2652</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2043</v>
      </c>
      <c r="R2237" t="s">
        <v>2653</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2043</v>
      </c>
      <c r="R2238" t="s">
        <v>2653</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2043</v>
      </c>
      <c r="R2239" t="s">
        <v>2653</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2043</v>
      </c>
      <c r="R2240" t="s">
        <v>2653</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2029</v>
      </c>
      <c r="R2241" t="s">
        <v>2653</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2029</v>
      </c>
      <c r="R2242" t="s">
        <v>2653</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2029</v>
      </c>
      <c r="R2243" t="s">
        <v>2653</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2029</v>
      </c>
      <c r="R2244" t="s">
        <v>2653</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2043</v>
      </c>
      <c r="R2245" t="s">
        <v>2654</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2043</v>
      </c>
      <c r="R2246" t="s">
        <v>2654</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2043</v>
      </c>
      <c r="R2247" t="s">
        <v>2654</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2043</v>
      </c>
      <c r="R2248" t="s">
        <v>2654</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2029</v>
      </c>
      <c r="R2249" t="s">
        <v>2654</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2029</v>
      </c>
      <c r="R2250" t="s">
        <v>2654</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2029</v>
      </c>
      <c r="R2251" t="s">
        <v>2654</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2029</v>
      </c>
      <c r="R2252" t="s">
        <v>2654</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2043</v>
      </c>
      <c r="R2253" t="s">
        <v>2655</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2043</v>
      </c>
      <c r="R2254" t="s">
        <v>2655</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2029</v>
      </c>
      <c r="R2255" t="s">
        <v>2655</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2029</v>
      </c>
      <c r="R2256" t="s">
        <v>2655</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2043</v>
      </c>
      <c r="R2257" t="s">
        <v>2656</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2043</v>
      </c>
      <c r="R2258" t="s">
        <v>2656</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2029</v>
      </c>
      <c r="R2259" t="s">
        <v>2656</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2029</v>
      </c>
      <c r="R2260" t="s">
        <v>2656</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2043</v>
      </c>
      <c r="R2261" t="s">
        <v>2657</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2043</v>
      </c>
      <c r="R2262" t="s">
        <v>2657</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2043</v>
      </c>
      <c r="R2263" t="s">
        <v>2657</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2043</v>
      </c>
      <c r="R2264" t="s">
        <v>2657</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2029</v>
      </c>
      <c r="R2265" t="s">
        <v>2657</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2029</v>
      </c>
      <c r="R2266" t="s">
        <v>2657</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2029</v>
      </c>
      <c r="R2267" t="s">
        <v>2657</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2029</v>
      </c>
      <c r="R2268" t="s">
        <v>2657</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2043</v>
      </c>
      <c r="R2269" t="s">
        <v>2658</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2043</v>
      </c>
      <c r="R2270" t="s">
        <v>2658</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2029</v>
      </c>
      <c r="R2271" t="s">
        <v>2658</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2029</v>
      </c>
      <c r="R2272" t="s">
        <v>2658</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2043</v>
      </c>
      <c r="R2273" t="s">
        <v>2659</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2043</v>
      </c>
      <c r="R2274" t="s">
        <v>2659</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2043</v>
      </c>
      <c r="R2275" t="s">
        <v>2659</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2043</v>
      </c>
      <c r="R2276" t="s">
        <v>2659</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2029</v>
      </c>
      <c r="R2277" t="s">
        <v>2659</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2029</v>
      </c>
      <c r="R2278" t="s">
        <v>2659</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2029</v>
      </c>
      <c r="R2279" t="s">
        <v>2659</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2029</v>
      </c>
      <c r="R2280" t="s">
        <v>2659</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3:AB156"/>
  <sheetViews>
    <sheetView topLeftCell="M1" workbookViewId="0">
      <selection activeCell="U5" sqref="U5:U40"/>
    </sheetView>
  </sheetViews>
  <sheetFormatPr baseColWidth="10" defaultRowHeight="16" x14ac:dyDescent="0.2"/>
  <cols>
    <col min="6" max="6" width="111.1640625" customWidth="1"/>
    <col min="27" max="27" width="57.83203125" bestFit="1" customWidth="1"/>
    <col min="28" max="28" width="24" bestFit="1" customWidth="1"/>
  </cols>
  <sheetData>
    <row r="3" spans="6:28" x14ac:dyDescent="0.2">
      <c r="AA3" s="52" t="s">
        <v>237</v>
      </c>
      <c r="AB3" s="55" t="s">
        <v>1953</v>
      </c>
    </row>
    <row r="4" spans="6:28" x14ac:dyDescent="0.2">
      <c r="U4" s="52" t="s">
        <v>237</v>
      </c>
      <c r="V4" s="54" t="s">
        <v>251</v>
      </c>
      <c r="W4" s="52" t="s">
        <v>237</v>
      </c>
      <c r="X4" s="52" t="s">
        <v>237</v>
      </c>
      <c r="AA4" s="54" t="s">
        <v>1142</v>
      </c>
      <c r="AB4" s="56" t="s">
        <v>1955</v>
      </c>
    </row>
    <row r="5" spans="6:28" x14ac:dyDescent="0.2">
      <c r="I5" s="35"/>
      <c r="N5" t="b">
        <f>I5=O5</f>
        <v>0</v>
      </c>
      <c r="O5" s="38" t="s">
        <v>1142</v>
      </c>
      <c r="U5" s="71" t="s">
        <v>1072</v>
      </c>
      <c r="V5" s="53" t="s">
        <v>274</v>
      </c>
      <c r="W5" s="71" t="s">
        <v>1072</v>
      </c>
      <c r="X5" s="71" t="s">
        <v>1072</v>
      </c>
      <c r="AA5" s="54" t="s">
        <v>577</v>
      </c>
      <c r="AB5" s="56" t="s">
        <v>1955</v>
      </c>
    </row>
    <row r="6" spans="6:28" x14ac:dyDescent="0.2">
      <c r="G6" s="36" t="s">
        <v>2746</v>
      </c>
      <c r="H6" t="b">
        <f>G6=I6</f>
        <v>1</v>
      </c>
      <c r="I6" s="33" t="s">
        <v>2746</v>
      </c>
      <c r="N6" t="b">
        <f t="shared" ref="N6:N56" si="0">I6=O6</f>
        <v>1</v>
      </c>
      <c r="O6" s="32" t="s">
        <v>2746</v>
      </c>
      <c r="U6" s="71" t="s">
        <v>288</v>
      </c>
      <c r="V6" s="69" t="s">
        <v>284</v>
      </c>
      <c r="W6" s="71" t="s">
        <v>288</v>
      </c>
      <c r="X6" s="71" t="s">
        <v>288</v>
      </c>
      <c r="AA6" s="54" t="s">
        <v>1415</v>
      </c>
      <c r="AB6" s="56" t="s">
        <v>1955</v>
      </c>
    </row>
    <row r="7" spans="6:28" x14ac:dyDescent="0.2">
      <c r="F7" s="7" t="s">
        <v>854</v>
      </c>
      <c r="H7" t="b">
        <f t="shared" ref="H7:H55" si="1">G7=I7</f>
        <v>0</v>
      </c>
      <c r="I7" s="35" t="s">
        <v>577</v>
      </c>
      <c r="N7" t="b">
        <f t="shared" si="0"/>
        <v>1</v>
      </c>
      <c r="O7" s="38" t="s">
        <v>577</v>
      </c>
      <c r="U7" s="71" t="s">
        <v>1316</v>
      </c>
      <c r="V7" s="53" t="s">
        <v>303</v>
      </c>
      <c r="W7" s="71" t="s">
        <v>1316</v>
      </c>
      <c r="X7" s="71" t="s">
        <v>1316</v>
      </c>
      <c r="AA7" s="53" t="s">
        <v>1415</v>
      </c>
      <c r="AB7" s="57" t="s">
        <v>1956</v>
      </c>
    </row>
    <row r="8" spans="6:28" x14ac:dyDescent="0.2">
      <c r="F8" s="7" t="s">
        <v>874</v>
      </c>
      <c r="G8" s="36" t="s">
        <v>2758</v>
      </c>
      <c r="H8" t="b">
        <f t="shared" si="1"/>
        <v>1</v>
      </c>
      <c r="I8" s="33" t="s">
        <v>2758</v>
      </c>
      <c r="N8" t="b">
        <f t="shared" si="0"/>
        <v>1</v>
      </c>
      <c r="O8" s="32" t="s">
        <v>2758</v>
      </c>
      <c r="U8" s="71" t="s">
        <v>2754</v>
      </c>
      <c r="V8" s="54" t="s">
        <v>312</v>
      </c>
      <c r="W8" s="71" t="s">
        <v>2754</v>
      </c>
      <c r="X8" s="71" t="s">
        <v>2754</v>
      </c>
      <c r="AA8" s="54" t="s">
        <v>1316</v>
      </c>
      <c r="AB8" s="56" t="s">
        <v>1955</v>
      </c>
    </row>
    <row r="9" spans="6:28" x14ac:dyDescent="0.2">
      <c r="F9" s="7" t="s">
        <v>280</v>
      </c>
      <c r="G9" s="36" t="s">
        <v>2735</v>
      </c>
      <c r="H9" t="b">
        <f t="shared" si="1"/>
        <v>1</v>
      </c>
      <c r="I9" s="33" t="s">
        <v>2735</v>
      </c>
      <c r="N9" t="b">
        <f t="shared" si="0"/>
        <v>1</v>
      </c>
      <c r="O9" s="32" t="s">
        <v>2735</v>
      </c>
      <c r="U9" s="71" t="s">
        <v>2755</v>
      </c>
      <c r="V9" s="53" t="s">
        <v>318</v>
      </c>
      <c r="W9" s="71" t="s">
        <v>2755</v>
      </c>
      <c r="X9" s="71" t="s">
        <v>2755</v>
      </c>
      <c r="AA9" s="54" t="s">
        <v>1316</v>
      </c>
      <c r="AB9" s="56" t="s">
        <v>1956</v>
      </c>
    </row>
    <row r="10" spans="6:28" x14ac:dyDescent="0.2">
      <c r="F10" s="7" t="s">
        <v>507</v>
      </c>
      <c r="G10" s="36" t="s">
        <v>1415</v>
      </c>
      <c r="H10" t="b">
        <f t="shared" si="1"/>
        <v>1</v>
      </c>
      <c r="I10" s="33" t="s">
        <v>1415</v>
      </c>
      <c r="N10" t="b">
        <f t="shared" si="0"/>
        <v>1</v>
      </c>
      <c r="O10" s="33" t="s">
        <v>1415</v>
      </c>
      <c r="U10" s="71" t="s">
        <v>2759</v>
      </c>
      <c r="V10" s="54" t="s">
        <v>330</v>
      </c>
      <c r="W10" s="71" t="s">
        <v>2759</v>
      </c>
      <c r="X10" s="71" t="s">
        <v>2759</v>
      </c>
      <c r="AA10" s="53" t="s">
        <v>651</v>
      </c>
      <c r="AB10" s="57" t="s">
        <v>1955</v>
      </c>
    </row>
    <row r="11" spans="6:28" x14ac:dyDescent="0.2">
      <c r="F11" s="7" t="s">
        <v>307</v>
      </c>
      <c r="G11" s="36" t="s">
        <v>2754</v>
      </c>
      <c r="H11" t="b">
        <f t="shared" si="1"/>
        <v>1</v>
      </c>
      <c r="I11" s="33" t="s">
        <v>2754</v>
      </c>
      <c r="N11" t="b">
        <f t="shared" si="0"/>
        <v>1</v>
      </c>
      <c r="O11" s="32" t="s">
        <v>2754</v>
      </c>
      <c r="U11" s="71" t="s">
        <v>2758</v>
      </c>
      <c r="V11" s="53" t="s">
        <v>349</v>
      </c>
      <c r="W11" s="71" t="s">
        <v>2758</v>
      </c>
      <c r="X11" s="71" t="s">
        <v>2758</v>
      </c>
      <c r="AA11" s="54" t="s">
        <v>651</v>
      </c>
      <c r="AB11" s="56" t="s">
        <v>1957</v>
      </c>
    </row>
    <row r="12" spans="6:28" x14ac:dyDescent="0.2">
      <c r="F12" s="7" t="s">
        <v>986</v>
      </c>
      <c r="G12" s="36" t="s">
        <v>2760</v>
      </c>
      <c r="H12" t="b">
        <f t="shared" si="1"/>
        <v>1</v>
      </c>
      <c r="I12" s="33" t="s">
        <v>2760</v>
      </c>
      <c r="N12" t="b">
        <f t="shared" si="0"/>
        <v>0</v>
      </c>
      <c r="O12" s="32" t="s">
        <v>1316</v>
      </c>
      <c r="U12" s="71" t="s">
        <v>2756</v>
      </c>
      <c r="V12" s="54" t="s">
        <v>381</v>
      </c>
      <c r="W12" s="71" t="s">
        <v>2756</v>
      </c>
      <c r="X12" s="71" t="s">
        <v>2756</v>
      </c>
      <c r="AA12" s="53" t="s">
        <v>651</v>
      </c>
      <c r="AB12" s="57" t="s">
        <v>1956</v>
      </c>
    </row>
    <row r="13" spans="6:28" x14ac:dyDescent="0.2">
      <c r="F13" s="7" t="s">
        <v>320</v>
      </c>
      <c r="G13" s="36" t="s">
        <v>2748</v>
      </c>
      <c r="H13" t="b">
        <f t="shared" si="1"/>
        <v>1</v>
      </c>
      <c r="I13" s="33" t="s">
        <v>2748</v>
      </c>
      <c r="N13" t="b">
        <f t="shared" si="0"/>
        <v>1</v>
      </c>
      <c r="O13" s="32" t="s">
        <v>2748</v>
      </c>
      <c r="U13" s="71" t="s">
        <v>2757</v>
      </c>
      <c r="V13" s="53" t="s">
        <v>413</v>
      </c>
      <c r="W13" s="71" t="s">
        <v>2757</v>
      </c>
      <c r="X13" s="71" t="s">
        <v>2757</v>
      </c>
      <c r="AA13" s="54" t="s">
        <v>1072</v>
      </c>
      <c r="AB13" s="56" t="s">
        <v>1955</v>
      </c>
    </row>
    <row r="14" spans="6:28" x14ac:dyDescent="0.2">
      <c r="F14" s="7" t="s">
        <v>1024</v>
      </c>
      <c r="G14" s="36" t="s">
        <v>2761</v>
      </c>
      <c r="H14" t="b">
        <f t="shared" si="1"/>
        <v>1</v>
      </c>
      <c r="I14" s="33" t="s">
        <v>2761</v>
      </c>
      <c r="N14" t="b">
        <f t="shared" si="0"/>
        <v>0</v>
      </c>
      <c r="O14" s="32" t="s">
        <v>651</v>
      </c>
      <c r="U14" s="71" t="s">
        <v>651</v>
      </c>
      <c r="V14" s="54" t="s">
        <v>421</v>
      </c>
      <c r="W14" s="71" t="s">
        <v>651</v>
      </c>
      <c r="X14" s="71" t="s">
        <v>651</v>
      </c>
      <c r="AA14" s="53" t="s">
        <v>1556</v>
      </c>
      <c r="AB14" s="57" t="s">
        <v>1955</v>
      </c>
    </row>
    <row r="15" spans="6:28" x14ac:dyDescent="0.2">
      <c r="F15" s="7" t="s">
        <v>427</v>
      </c>
      <c r="G15" s="36" t="s">
        <v>2756</v>
      </c>
      <c r="H15" t="b">
        <f t="shared" si="1"/>
        <v>1</v>
      </c>
      <c r="I15" s="33" t="s">
        <v>2756</v>
      </c>
      <c r="N15" t="b">
        <f t="shared" si="0"/>
        <v>1</v>
      </c>
      <c r="O15" s="32" t="s">
        <v>2756</v>
      </c>
      <c r="U15" s="71" t="s">
        <v>2753</v>
      </c>
      <c r="V15" s="53" t="s">
        <v>425</v>
      </c>
      <c r="W15" s="71" t="s">
        <v>2753</v>
      </c>
      <c r="X15" s="71" t="s">
        <v>2753</v>
      </c>
      <c r="AA15" s="53" t="s">
        <v>1065</v>
      </c>
      <c r="AB15" s="57" t="s">
        <v>1961</v>
      </c>
    </row>
    <row r="16" spans="6:28" x14ac:dyDescent="0.2">
      <c r="F16" s="7" t="s">
        <v>659</v>
      </c>
      <c r="G16" s="36" t="s">
        <v>2759</v>
      </c>
      <c r="H16" t="b">
        <f t="shared" si="1"/>
        <v>1</v>
      </c>
      <c r="I16" s="33" t="s">
        <v>2759</v>
      </c>
      <c r="N16" t="b">
        <f t="shared" si="0"/>
        <v>1</v>
      </c>
      <c r="O16" s="32" t="s">
        <v>2759</v>
      </c>
      <c r="U16" s="71" t="s">
        <v>1415</v>
      </c>
      <c r="V16" s="54" t="s">
        <v>440</v>
      </c>
      <c r="W16" s="71" t="s">
        <v>1415</v>
      </c>
      <c r="X16" s="71" t="s">
        <v>1415</v>
      </c>
      <c r="AA16" s="54" t="s">
        <v>1065</v>
      </c>
      <c r="AB16" s="56" t="s">
        <v>1956</v>
      </c>
    </row>
    <row r="17" spans="6:28" x14ac:dyDescent="0.2">
      <c r="F17" s="7" t="s">
        <v>646</v>
      </c>
      <c r="G17" s="36" t="s">
        <v>1072</v>
      </c>
      <c r="H17" t="b">
        <f t="shared" si="1"/>
        <v>1</v>
      </c>
      <c r="I17" s="33" t="s">
        <v>1072</v>
      </c>
      <c r="N17" t="b">
        <f t="shared" si="0"/>
        <v>1</v>
      </c>
      <c r="O17" s="32" t="s">
        <v>1072</v>
      </c>
      <c r="U17" s="71" t="s">
        <v>2752</v>
      </c>
      <c r="V17" s="53" t="s">
        <v>447</v>
      </c>
      <c r="W17" s="72" t="s">
        <v>529</v>
      </c>
      <c r="X17" s="72" t="s">
        <v>529</v>
      </c>
      <c r="AA17" s="53" t="s">
        <v>1065</v>
      </c>
      <c r="AB17" s="57" t="s">
        <v>1955</v>
      </c>
    </row>
    <row r="18" spans="6:28" x14ac:dyDescent="0.2">
      <c r="F18" s="7" t="s">
        <v>385</v>
      </c>
      <c r="H18" t="b">
        <f t="shared" si="1"/>
        <v>0</v>
      </c>
      <c r="I18" s="35" t="s">
        <v>1556</v>
      </c>
      <c r="N18" t="b">
        <f t="shared" si="0"/>
        <v>1</v>
      </c>
      <c r="O18" s="38" t="s">
        <v>1556</v>
      </c>
      <c r="U18" s="71" t="s">
        <v>2751</v>
      </c>
      <c r="V18" s="54" t="s">
        <v>459</v>
      </c>
      <c r="W18" s="72" t="s">
        <v>577</v>
      </c>
      <c r="X18" s="54"/>
      <c r="AA18" s="54" t="s">
        <v>1065</v>
      </c>
      <c r="AB18" s="56" t="s">
        <v>1960</v>
      </c>
    </row>
    <row r="19" spans="6:28" x14ac:dyDescent="0.2">
      <c r="F19" s="7" t="s">
        <v>1221</v>
      </c>
      <c r="G19" s="36" t="s">
        <v>1156</v>
      </c>
      <c r="H19" t="b">
        <f t="shared" si="1"/>
        <v>1</v>
      </c>
      <c r="I19" s="33" t="s">
        <v>1156</v>
      </c>
      <c r="N19" t="b">
        <f t="shared" si="0"/>
        <v>1</v>
      </c>
      <c r="O19" s="32" t="s">
        <v>1156</v>
      </c>
      <c r="U19" s="71" t="s">
        <v>1191</v>
      </c>
      <c r="V19" s="53" t="s">
        <v>464</v>
      </c>
      <c r="W19" s="71" t="s">
        <v>2752</v>
      </c>
      <c r="X19" s="72" t="s">
        <v>577</v>
      </c>
      <c r="AA19" s="53" t="s">
        <v>905</v>
      </c>
      <c r="AB19" s="57" t="s">
        <v>1961</v>
      </c>
    </row>
    <row r="20" spans="6:28" x14ac:dyDescent="0.2">
      <c r="F20" s="7" t="s">
        <v>1247</v>
      </c>
      <c r="H20" t="b">
        <f t="shared" si="1"/>
        <v>0</v>
      </c>
      <c r="I20" s="37" t="s">
        <v>1474</v>
      </c>
      <c r="N20" t="b">
        <f t="shared" si="0"/>
        <v>1</v>
      </c>
      <c r="O20" s="32" t="s">
        <v>1474</v>
      </c>
      <c r="U20" s="71" t="s">
        <v>2750</v>
      </c>
      <c r="V20" s="54" t="s">
        <v>475</v>
      </c>
      <c r="W20" s="71" t="s">
        <v>2751</v>
      </c>
      <c r="X20" s="71" t="s">
        <v>2752</v>
      </c>
      <c r="AA20" s="53" t="s">
        <v>905</v>
      </c>
      <c r="AB20" s="57" t="s">
        <v>1955</v>
      </c>
    </row>
    <row r="21" spans="6:28" x14ac:dyDescent="0.2">
      <c r="F21" s="7" t="s">
        <v>1258</v>
      </c>
      <c r="G21" s="36" t="s">
        <v>2750</v>
      </c>
      <c r="H21" t="b">
        <f t="shared" si="1"/>
        <v>1</v>
      </c>
      <c r="I21" s="33" t="s">
        <v>2750</v>
      </c>
      <c r="N21" t="b">
        <f t="shared" si="0"/>
        <v>1</v>
      </c>
      <c r="O21" s="32" t="s">
        <v>2750</v>
      </c>
      <c r="U21" s="71" t="s">
        <v>2749</v>
      </c>
      <c r="V21" s="53" t="s">
        <v>503</v>
      </c>
      <c r="W21" s="71" t="s">
        <v>1191</v>
      </c>
      <c r="X21" s="71" t="s">
        <v>2751</v>
      </c>
      <c r="AA21" s="53" t="s">
        <v>1398</v>
      </c>
      <c r="AB21" s="57" t="s">
        <v>1955</v>
      </c>
    </row>
    <row r="22" spans="6:28" x14ac:dyDescent="0.2">
      <c r="F22" s="7" t="s">
        <v>1281</v>
      </c>
      <c r="H22" t="b">
        <f t="shared" si="1"/>
        <v>0</v>
      </c>
      <c r="I22" s="35" t="s">
        <v>1065</v>
      </c>
      <c r="N22" t="b">
        <f t="shared" si="0"/>
        <v>1</v>
      </c>
      <c r="O22" s="38" t="s">
        <v>1065</v>
      </c>
      <c r="U22" s="71" t="s">
        <v>2748</v>
      </c>
      <c r="V22" s="54" t="s">
        <v>511</v>
      </c>
      <c r="W22" s="71" t="s">
        <v>2750</v>
      </c>
      <c r="X22" s="71" t="s">
        <v>1191</v>
      </c>
      <c r="AA22" s="53" t="s">
        <v>809</v>
      </c>
      <c r="AB22" s="57" t="s">
        <v>1956</v>
      </c>
    </row>
    <row r="23" spans="6:28" x14ac:dyDescent="0.2">
      <c r="F23" s="7" t="s">
        <v>1294</v>
      </c>
      <c r="H23" t="b">
        <f t="shared" si="1"/>
        <v>0</v>
      </c>
      <c r="I23" s="35" t="s">
        <v>905</v>
      </c>
      <c r="N23" t="b">
        <f t="shared" si="0"/>
        <v>1</v>
      </c>
      <c r="O23" s="38" t="s">
        <v>905</v>
      </c>
      <c r="U23" s="71" t="s">
        <v>2746</v>
      </c>
      <c r="V23" s="53" t="s">
        <v>517</v>
      </c>
      <c r="W23" s="71" t="s">
        <v>2749</v>
      </c>
      <c r="X23" s="71" t="s">
        <v>2750</v>
      </c>
      <c r="AA23" s="54" t="s">
        <v>809</v>
      </c>
      <c r="AB23" s="56" t="s">
        <v>1960</v>
      </c>
    </row>
    <row r="24" spans="6:28" x14ac:dyDescent="0.2">
      <c r="F24" s="7" t="s">
        <v>725</v>
      </c>
      <c r="H24" t="b">
        <f t="shared" si="1"/>
        <v>0</v>
      </c>
      <c r="I24" s="35" t="s">
        <v>1398</v>
      </c>
      <c r="N24" t="b">
        <f t="shared" si="0"/>
        <v>1</v>
      </c>
      <c r="O24" s="38" t="s">
        <v>1398</v>
      </c>
      <c r="U24" s="71" t="s">
        <v>2745</v>
      </c>
      <c r="V24" s="54" t="s">
        <v>526</v>
      </c>
      <c r="W24" s="71" t="s">
        <v>2748</v>
      </c>
      <c r="X24" s="71" t="s">
        <v>2749</v>
      </c>
      <c r="AA24" s="53" t="s">
        <v>1191</v>
      </c>
      <c r="AB24" s="57" t="s">
        <v>1961</v>
      </c>
    </row>
    <row r="25" spans="6:28" x14ac:dyDescent="0.2">
      <c r="F25" s="7" t="s">
        <v>335</v>
      </c>
      <c r="H25" t="b">
        <f t="shared" si="1"/>
        <v>1</v>
      </c>
      <c r="I25" s="35"/>
      <c r="N25" t="b">
        <f t="shared" si="0"/>
        <v>0</v>
      </c>
      <c r="O25" s="38" t="s">
        <v>809</v>
      </c>
      <c r="U25" s="71" t="s">
        <v>2744</v>
      </c>
      <c r="V25" s="53" t="s">
        <v>544</v>
      </c>
      <c r="W25" s="72" t="s">
        <v>809</v>
      </c>
      <c r="X25" s="71" t="s">
        <v>2748</v>
      </c>
      <c r="AA25" s="54" t="s">
        <v>1191</v>
      </c>
      <c r="AB25" s="56" t="s">
        <v>1956</v>
      </c>
    </row>
    <row r="26" spans="6:28" x14ac:dyDescent="0.2">
      <c r="F26" s="7" t="s">
        <v>1466</v>
      </c>
      <c r="G26" s="36" t="s">
        <v>2757</v>
      </c>
      <c r="H26" t="b">
        <f t="shared" si="1"/>
        <v>1</v>
      </c>
      <c r="I26" s="33" t="s">
        <v>2757</v>
      </c>
      <c r="N26" t="b">
        <f t="shared" si="0"/>
        <v>1</v>
      </c>
      <c r="O26" s="32" t="s">
        <v>2757</v>
      </c>
      <c r="U26" s="71" t="s">
        <v>2743</v>
      </c>
      <c r="V26" s="54" t="s">
        <v>552</v>
      </c>
      <c r="W26" s="72" t="s">
        <v>816</v>
      </c>
      <c r="X26" s="72" t="s">
        <v>809</v>
      </c>
      <c r="AA26" s="54" t="s">
        <v>1191</v>
      </c>
      <c r="AB26" s="56" t="s">
        <v>1959</v>
      </c>
    </row>
    <row r="27" spans="6:28" x14ac:dyDescent="0.2">
      <c r="F27" s="7" t="s">
        <v>468</v>
      </c>
      <c r="G27" s="36" t="s">
        <v>2745</v>
      </c>
      <c r="H27" t="b">
        <f t="shared" si="1"/>
        <v>1</v>
      </c>
      <c r="I27" s="33" t="s">
        <v>2745</v>
      </c>
      <c r="N27" t="b">
        <f t="shared" si="0"/>
        <v>1</v>
      </c>
      <c r="O27" s="32" t="s">
        <v>2745</v>
      </c>
      <c r="U27" s="71" t="s">
        <v>1031</v>
      </c>
      <c r="V27" s="53" t="s">
        <v>574</v>
      </c>
      <c r="W27" s="71" t="s">
        <v>2746</v>
      </c>
      <c r="X27" s="72" t="s">
        <v>816</v>
      </c>
      <c r="AA27" s="54" t="s">
        <v>1191</v>
      </c>
      <c r="AB27" s="56" t="s">
        <v>1962</v>
      </c>
    </row>
    <row r="28" spans="6:28" x14ac:dyDescent="0.2">
      <c r="F28" s="7" t="s">
        <v>1550</v>
      </c>
      <c r="G28" s="36" t="s">
        <v>2755</v>
      </c>
      <c r="H28" t="b">
        <f t="shared" si="1"/>
        <v>1</v>
      </c>
      <c r="I28" s="33" t="s">
        <v>2755</v>
      </c>
      <c r="N28" t="b">
        <f t="shared" si="0"/>
        <v>1</v>
      </c>
      <c r="O28" s="32" t="s">
        <v>2755</v>
      </c>
      <c r="U28" s="71" t="s">
        <v>1156</v>
      </c>
      <c r="V28" s="54" t="s">
        <v>583</v>
      </c>
      <c r="W28" s="71" t="s">
        <v>2745</v>
      </c>
      <c r="X28" s="71" t="s">
        <v>2746</v>
      </c>
      <c r="AA28" s="54" t="s">
        <v>1191</v>
      </c>
      <c r="AB28" s="56" t="s">
        <v>1965</v>
      </c>
    </row>
    <row r="29" spans="6:28" x14ac:dyDescent="0.2">
      <c r="F29" s="7" t="s">
        <v>480</v>
      </c>
      <c r="G29" s="36" t="s">
        <v>2749</v>
      </c>
      <c r="H29" t="b">
        <f t="shared" si="1"/>
        <v>1</v>
      </c>
      <c r="I29" s="33" t="s">
        <v>2749</v>
      </c>
      <c r="N29" t="b">
        <f t="shared" si="0"/>
        <v>1</v>
      </c>
      <c r="O29" s="32" t="s">
        <v>2749</v>
      </c>
      <c r="U29" s="71" t="s">
        <v>2742</v>
      </c>
      <c r="V29" s="53" t="s">
        <v>601</v>
      </c>
      <c r="W29" s="72" t="s">
        <v>905</v>
      </c>
      <c r="X29" s="71" t="s">
        <v>2745</v>
      </c>
      <c r="AA29" s="53" t="s">
        <v>1191</v>
      </c>
      <c r="AB29" s="57" t="s">
        <v>1955</v>
      </c>
    </row>
    <row r="30" spans="6:28" x14ac:dyDescent="0.2">
      <c r="F30" s="7" t="s">
        <v>1660</v>
      </c>
      <c r="G30" s="36" t="s">
        <v>2740</v>
      </c>
      <c r="H30" t="b">
        <f t="shared" si="1"/>
        <v>1</v>
      </c>
      <c r="I30" s="33" t="s">
        <v>2740</v>
      </c>
      <c r="N30" t="b">
        <f t="shared" si="0"/>
        <v>1</v>
      </c>
      <c r="O30" s="32" t="s">
        <v>2740</v>
      </c>
      <c r="U30" s="71" t="s">
        <v>2741</v>
      </c>
      <c r="V30" s="54" t="s">
        <v>611</v>
      </c>
      <c r="W30" s="72" t="s">
        <v>933</v>
      </c>
      <c r="X30" s="72" t="s">
        <v>905</v>
      </c>
      <c r="AA30" s="54" t="s">
        <v>1191</v>
      </c>
      <c r="AB30" s="56" t="s">
        <v>1960</v>
      </c>
    </row>
    <row r="31" spans="6:28" x14ac:dyDescent="0.2">
      <c r="F31" s="7" t="s">
        <v>754</v>
      </c>
      <c r="G31" s="36" t="s">
        <v>1191</v>
      </c>
      <c r="H31" t="b">
        <f t="shared" si="1"/>
        <v>1</v>
      </c>
      <c r="I31" s="33" t="s">
        <v>1191</v>
      </c>
      <c r="N31" t="b">
        <f t="shared" si="0"/>
        <v>1</v>
      </c>
      <c r="O31" s="32" t="s">
        <v>1191</v>
      </c>
      <c r="U31" s="71" t="s">
        <v>2740</v>
      </c>
      <c r="V31" s="53" t="s">
        <v>619</v>
      </c>
      <c r="W31" s="71" t="s">
        <v>2744</v>
      </c>
      <c r="X31" s="72" t="s">
        <v>933</v>
      </c>
      <c r="AA31" s="54" t="s">
        <v>1191</v>
      </c>
      <c r="AB31" s="56" t="s">
        <v>441</v>
      </c>
    </row>
    <row r="32" spans="6:28" x14ac:dyDescent="0.2">
      <c r="F32" s="7" t="s">
        <v>1795</v>
      </c>
      <c r="G32" s="36" t="s">
        <v>2738</v>
      </c>
      <c r="H32" t="b">
        <f t="shared" si="1"/>
        <v>1</v>
      </c>
      <c r="I32" s="33" t="s">
        <v>2738</v>
      </c>
      <c r="N32" t="b">
        <f t="shared" si="0"/>
        <v>1</v>
      </c>
      <c r="O32" s="32" t="s">
        <v>2738</v>
      </c>
      <c r="U32" s="71" t="s">
        <v>2739</v>
      </c>
      <c r="V32" s="54" t="s">
        <v>632</v>
      </c>
      <c r="W32" s="71" t="s">
        <v>2743</v>
      </c>
      <c r="X32" s="71" t="s">
        <v>2744</v>
      </c>
      <c r="AA32" s="54" t="s">
        <v>1191</v>
      </c>
      <c r="AB32" s="56" t="s">
        <v>1957</v>
      </c>
    </row>
    <row r="33" spans="6:28" x14ac:dyDescent="0.2">
      <c r="F33" s="7" t="s">
        <v>1838</v>
      </c>
      <c r="H33" t="b">
        <f>G31=I33</f>
        <v>0</v>
      </c>
      <c r="I33" s="35" t="s">
        <v>529</v>
      </c>
      <c r="N33" t="b">
        <f t="shared" si="0"/>
        <v>1</v>
      </c>
      <c r="O33" s="38" t="s">
        <v>529</v>
      </c>
      <c r="U33" s="71" t="s">
        <v>2738</v>
      </c>
      <c r="V33" s="53" t="s">
        <v>639</v>
      </c>
      <c r="W33" s="71" t="s">
        <v>1031</v>
      </c>
      <c r="X33" s="71" t="s">
        <v>2743</v>
      </c>
      <c r="AA33" s="54" t="s">
        <v>529</v>
      </c>
      <c r="AB33" s="56" t="s">
        <v>1958</v>
      </c>
    </row>
    <row r="34" spans="6:28" x14ac:dyDescent="0.2">
      <c r="F34" s="7" t="s">
        <v>1879</v>
      </c>
      <c r="G34" s="36" t="s">
        <v>1031</v>
      </c>
      <c r="H34" t="b">
        <f t="shared" si="1"/>
        <v>1</v>
      </c>
      <c r="I34" s="33" t="s">
        <v>1031</v>
      </c>
      <c r="N34" t="b">
        <f t="shared" si="0"/>
        <v>1</v>
      </c>
      <c r="O34" s="32" t="s">
        <v>1031</v>
      </c>
      <c r="U34" s="71" t="s">
        <v>2737</v>
      </c>
      <c r="V34" s="54" t="s">
        <v>644</v>
      </c>
      <c r="W34" s="72" t="s">
        <v>1065</v>
      </c>
      <c r="X34" s="71" t="s">
        <v>1031</v>
      </c>
      <c r="AA34" s="53" t="s">
        <v>529</v>
      </c>
      <c r="AB34" s="57" t="s">
        <v>1960</v>
      </c>
    </row>
    <row r="35" spans="6:28" x14ac:dyDescent="0.2">
      <c r="G35" s="36" t="s">
        <v>2736</v>
      </c>
      <c r="H35" t="b">
        <f t="shared" si="1"/>
        <v>1</v>
      </c>
      <c r="I35" s="33" t="s">
        <v>2736</v>
      </c>
      <c r="N35" t="b">
        <f t="shared" si="0"/>
        <v>1</v>
      </c>
      <c r="O35" s="32" t="s">
        <v>2736</v>
      </c>
      <c r="U35" s="71" t="s">
        <v>1474</v>
      </c>
      <c r="V35" s="53" t="s">
        <v>650</v>
      </c>
      <c r="W35" s="72" t="s">
        <v>1135</v>
      </c>
      <c r="X35" s="72" t="s">
        <v>1065</v>
      </c>
      <c r="AA35" s="54" t="s">
        <v>529</v>
      </c>
      <c r="AB35" s="56" t="s">
        <v>1961</v>
      </c>
    </row>
    <row r="36" spans="6:28" x14ac:dyDescent="0.2">
      <c r="H36" t="b">
        <f t="shared" si="1"/>
        <v>1</v>
      </c>
      <c r="I36" s="35"/>
      <c r="N36" t="b">
        <f t="shared" si="0"/>
        <v>0</v>
      </c>
      <c r="O36" s="38" t="s">
        <v>816</v>
      </c>
      <c r="U36" s="71" t="s">
        <v>1529</v>
      </c>
      <c r="V36" s="54" t="s">
        <v>657</v>
      </c>
      <c r="W36" s="72" t="s">
        <v>1142</v>
      </c>
      <c r="X36" s="72" t="s">
        <v>1135</v>
      </c>
      <c r="AA36" s="53" t="s">
        <v>529</v>
      </c>
      <c r="AB36" s="57" t="s">
        <v>1957</v>
      </c>
    </row>
    <row r="37" spans="6:28" x14ac:dyDescent="0.2">
      <c r="G37" s="36" t="s">
        <v>288</v>
      </c>
      <c r="H37" t="b">
        <f t="shared" si="1"/>
        <v>1</v>
      </c>
      <c r="I37" s="33" t="s">
        <v>288</v>
      </c>
      <c r="N37" t="b">
        <f t="shared" si="0"/>
        <v>1</v>
      </c>
      <c r="O37" s="32" t="s">
        <v>288</v>
      </c>
      <c r="U37" s="71" t="s">
        <v>2747</v>
      </c>
      <c r="V37" s="53" t="s">
        <v>672</v>
      </c>
      <c r="W37" s="71" t="s">
        <v>1156</v>
      </c>
      <c r="X37" s="72" t="s">
        <v>1142</v>
      </c>
      <c r="AA37" s="54" t="s">
        <v>529</v>
      </c>
      <c r="AB37" s="56" t="s">
        <v>1962</v>
      </c>
    </row>
    <row r="38" spans="6:28" x14ac:dyDescent="0.2">
      <c r="H38" t="b">
        <f t="shared" si="1"/>
        <v>1</v>
      </c>
      <c r="I38" s="35"/>
      <c r="N38" t="b">
        <f t="shared" si="0"/>
        <v>0</v>
      </c>
      <c r="O38" s="38" t="s">
        <v>933</v>
      </c>
      <c r="U38" s="71" t="s">
        <v>2736</v>
      </c>
      <c r="V38" s="54" t="s">
        <v>702</v>
      </c>
      <c r="W38" s="71" t="s">
        <v>2742</v>
      </c>
      <c r="X38" s="71" t="s">
        <v>1156</v>
      </c>
      <c r="AA38" s="54" t="s">
        <v>816</v>
      </c>
      <c r="AB38" s="56" t="s">
        <v>1956</v>
      </c>
    </row>
    <row r="39" spans="6:28" x14ac:dyDescent="0.2">
      <c r="G39" s="36" t="s">
        <v>2751</v>
      </c>
      <c r="H39" t="b">
        <f t="shared" si="1"/>
        <v>1</v>
      </c>
      <c r="I39" s="33" t="s">
        <v>2751</v>
      </c>
      <c r="N39" t="b">
        <f t="shared" si="0"/>
        <v>1</v>
      </c>
      <c r="O39" s="32" t="s">
        <v>2751</v>
      </c>
      <c r="U39" s="71" t="s">
        <v>2735</v>
      </c>
      <c r="V39" s="53" t="s">
        <v>720</v>
      </c>
      <c r="W39" s="71" t="s">
        <v>2741</v>
      </c>
      <c r="X39" s="71" t="s">
        <v>2742</v>
      </c>
      <c r="AA39" s="53" t="s">
        <v>933</v>
      </c>
      <c r="AB39" s="57" t="s">
        <v>1958</v>
      </c>
    </row>
    <row r="40" spans="6:28" x14ac:dyDescent="0.2">
      <c r="G40" s="36" t="s">
        <v>2762</v>
      </c>
      <c r="H40" t="b">
        <f t="shared" si="1"/>
        <v>0</v>
      </c>
      <c r="I40" s="35"/>
      <c r="N40" t="b">
        <f t="shared" si="0"/>
        <v>0</v>
      </c>
      <c r="O40" s="38" t="s">
        <v>1846</v>
      </c>
      <c r="U40" s="71" t="s">
        <v>2734</v>
      </c>
      <c r="V40" s="54" t="s">
        <v>737</v>
      </c>
      <c r="W40" s="71" t="s">
        <v>2740</v>
      </c>
      <c r="X40" s="71" t="s">
        <v>2741</v>
      </c>
      <c r="AA40" s="54" t="s">
        <v>1846</v>
      </c>
      <c r="AB40" s="56" t="s">
        <v>1960</v>
      </c>
    </row>
    <row r="41" spans="6:28" x14ac:dyDescent="0.2">
      <c r="G41" s="36" t="s">
        <v>2763</v>
      </c>
      <c r="H41" t="b">
        <f t="shared" si="1"/>
        <v>0</v>
      </c>
      <c r="I41" s="33" t="s">
        <v>2747</v>
      </c>
      <c r="N41" t="b">
        <f t="shared" si="0"/>
        <v>1</v>
      </c>
      <c r="O41" s="32" t="s">
        <v>2747</v>
      </c>
      <c r="V41" s="53" t="s">
        <v>753</v>
      </c>
      <c r="W41" s="71" t="s">
        <v>2739</v>
      </c>
      <c r="X41" s="71" t="s">
        <v>2740</v>
      </c>
      <c r="AA41" s="53" t="s">
        <v>1846</v>
      </c>
      <c r="AB41" s="57" t="s">
        <v>1961</v>
      </c>
    </row>
    <row r="42" spans="6:28" x14ac:dyDescent="0.2">
      <c r="H42" t="b">
        <f t="shared" si="1"/>
        <v>1</v>
      </c>
      <c r="I42" s="35"/>
      <c r="N42" t="b">
        <f t="shared" si="0"/>
        <v>0</v>
      </c>
      <c r="O42" s="38" t="s">
        <v>1369</v>
      </c>
      <c r="V42" s="54" t="s">
        <v>764</v>
      </c>
      <c r="W42" s="71" t="s">
        <v>2738</v>
      </c>
      <c r="X42" s="71" t="s">
        <v>2739</v>
      </c>
      <c r="AA42" s="53" t="s">
        <v>1846</v>
      </c>
      <c r="AB42" s="57" t="s">
        <v>1956</v>
      </c>
    </row>
    <row r="43" spans="6:28" x14ac:dyDescent="0.2">
      <c r="H43" t="b">
        <f t="shared" si="1"/>
        <v>0</v>
      </c>
      <c r="I43" s="33" t="s">
        <v>2734</v>
      </c>
      <c r="N43" t="b">
        <f t="shared" si="0"/>
        <v>1</v>
      </c>
      <c r="O43" s="32" t="s">
        <v>2734</v>
      </c>
      <c r="V43" s="53" t="s">
        <v>771</v>
      </c>
      <c r="W43" s="72" t="s">
        <v>1324</v>
      </c>
      <c r="X43" s="71" t="s">
        <v>2738</v>
      </c>
      <c r="AA43" s="54" t="s">
        <v>1846</v>
      </c>
      <c r="AB43" s="56" t="s">
        <v>1962</v>
      </c>
    </row>
    <row r="44" spans="6:28" x14ac:dyDescent="0.2">
      <c r="G44" s="36" t="s">
        <v>2752</v>
      </c>
      <c r="H44" t="b">
        <f t="shared" si="1"/>
        <v>1</v>
      </c>
      <c r="I44" s="33" t="s">
        <v>2752</v>
      </c>
      <c r="N44" t="b">
        <f t="shared" si="0"/>
        <v>1</v>
      </c>
      <c r="O44" s="32" t="s">
        <v>2752</v>
      </c>
      <c r="V44" s="54" t="s">
        <v>781</v>
      </c>
      <c r="W44" s="72" t="s">
        <v>1369</v>
      </c>
      <c r="X44" s="72" t="s">
        <v>1324</v>
      </c>
      <c r="AA44" s="53" t="s">
        <v>1369</v>
      </c>
      <c r="AB44" s="57" t="s">
        <v>1946</v>
      </c>
    </row>
    <row r="45" spans="6:28" x14ac:dyDescent="0.2">
      <c r="H45" t="b">
        <f t="shared" si="1"/>
        <v>0</v>
      </c>
      <c r="I45" s="35" t="s">
        <v>1638</v>
      </c>
      <c r="N45" t="b">
        <f t="shared" si="0"/>
        <v>1</v>
      </c>
      <c r="O45" s="38" t="s">
        <v>1638</v>
      </c>
      <c r="V45" s="53" t="s">
        <v>787</v>
      </c>
      <c r="W45" s="72" t="s">
        <v>1398</v>
      </c>
      <c r="X45" s="53"/>
      <c r="AA45" s="53" t="s">
        <v>1369</v>
      </c>
      <c r="AB45" s="57" t="s">
        <v>1960</v>
      </c>
    </row>
    <row r="46" spans="6:28" x14ac:dyDescent="0.2">
      <c r="G46" s="36" t="s">
        <v>2737</v>
      </c>
      <c r="H46" t="b">
        <f t="shared" si="1"/>
        <v>1</v>
      </c>
      <c r="I46" s="33" t="s">
        <v>2737</v>
      </c>
      <c r="N46" t="b">
        <f t="shared" si="0"/>
        <v>1</v>
      </c>
      <c r="O46" s="32" t="s">
        <v>2737</v>
      </c>
      <c r="V46" s="54" t="s">
        <v>796</v>
      </c>
      <c r="W46" s="71" t="s">
        <v>2737</v>
      </c>
      <c r="X46" s="72" t="s">
        <v>1369</v>
      </c>
      <c r="AA46" s="54" t="s">
        <v>1369</v>
      </c>
      <c r="AB46" s="56" t="s">
        <v>1955</v>
      </c>
    </row>
    <row r="47" spans="6:28" x14ac:dyDescent="0.2">
      <c r="G47" s="36" t="s">
        <v>2743</v>
      </c>
      <c r="H47" t="b">
        <f t="shared" si="1"/>
        <v>1</v>
      </c>
      <c r="I47" s="33" t="s">
        <v>2743</v>
      </c>
      <c r="N47" t="b">
        <f t="shared" si="0"/>
        <v>1</v>
      </c>
      <c r="O47" s="32" t="s">
        <v>2743</v>
      </c>
      <c r="V47" s="53" t="s">
        <v>802</v>
      </c>
      <c r="W47" s="71" t="s">
        <v>1474</v>
      </c>
      <c r="X47" s="72" t="s">
        <v>1398</v>
      </c>
      <c r="AA47" s="53" t="s">
        <v>1638</v>
      </c>
      <c r="AB47" s="57" t="s">
        <v>1956</v>
      </c>
    </row>
    <row r="48" spans="6:28" x14ac:dyDescent="0.2">
      <c r="G48" s="36" t="s">
        <v>2739</v>
      </c>
      <c r="H48" t="b">
        <f t="shared" si="1"/>
        <v>1</v>
      </c>
      <c r="I48" s="33" t="s">
        <v>2739</v>
      </c>
      <c r="N48" t="b">
        <f t="shared" si="0"/>
        <v>1</v>
      </c>
      <c r="O48" s="32" t="s">
        <v>2739</v>
      </c>
      <c r="V48" s="70" t="s">
        <v>806</v>
      </c>
      <c r="W48" s="72" t="s">
        <v>1518</v>
      </c>
      <c r="X48" s="54"/>
      <c r="AA48" s="54" t="s">
        <v>1638</v>
      </c>
      <c r="AB48" s="56" t="s">
        <v>1958</v>
      </c>
    </row>
    <row r="49" spans="7:28" x14ac:dyDescent="0.2">
      <c r="H49" t="b">
        <f t="shared" si="1"/>
        <v>0</v>
      </c>
      <c r="I49" s="35" t="s">
        <v>1518</v>
      </c>
      <c r="N49" t="b">
        <f t="shared" si="0"/>
        <v>1</v>
      </c>
      <c r="O49" s="38" t="s">
        <v>1518</v>
      </c>
      <c r="V49" s="70" t="s">
        <v>815</v>
      </c>
      <c r="W49" s="71" t="s">
        <v>1529</v>
      </c>
      <c r="X49" s="71" t="s">
        <v>2737</v>
      </c>
      <c r="AA49" s="53" t="s">
        <v>1638</v>
      </c>
      <c r="AB49" s="57" t="s">
        <v>1960</v>
      </c>
    </row>
    <row r="50" spans="7:28" x14ac:dyDescent="0.2">
      <c r="G50" s="36" t="s">
        <v>2742</v>
      </c>
      <c r="H50" t="b">
        <f t="shared" si="1"/>
        <v>1</v>
      </c>
      <c r="I50" s="33" t="s">
        <v>2742</v>
      </c>
      <c r="N50" t="b">
        <f t="shared" si="0"/>
        <v>1</v>
      </c>
      <c r="O50" s="32" t="s">
        <v>2742</v>
      </c>
      <c r="V50" s="54" t="s">
        <v>829</v>
      </c>
      <c r="W50" s="71" t="s">
        <v>2747</v>
      </c>
      <c r="X50" s="71" t="s">
        <v>1474</v>
      </c>
      <c r="AA50" s="54" t="s">
        <v>1638</v>
      </c>
      <c r="AB50" s="56" t="s">
        <v>1955</v>
      </c>
    </row>
    <row r="51" spans="7:28" x14ac:dyDescent="0.2">
      <c r="G51" s="36" t="s">
        <v>2741</v>
      </c>
      <c r="H51" t="b">
        <f t="shared" si="1"/>
        <v>1</v>
      </c>
      <c r="I51" s="33" t="s">
        <v>2741</v>
      </c>
      <c r="N51" t="b">
        <f t="shared" si="0"/>
        <v>1</v>
      </c>
      <c r="O51" s="32" t="s">
        <v>2741</v>
      </c>
      <c r="V51" s="53" t="s">
        <v>836</v>
      </c>
      <c r="W51" s="72" t="s">
        <v>1556</v>
      </c>
      <c r="X51" s="72" t="s">
        <v>1518</v>
      </c>
      <c r="AA51" s="53" t="s">
        <v>1638</v>
      </c>
      <c r="AB51" s="57" t="s">
        <v>1957</v>
      </c>
    </row>
    <row r="52" spans="7:28" x14ac:dyDescent="0.2">
      <c r="H52" t="b">
        <f t="shared" si="1"/>
        <v>0</v>
      </c>
      <c r="I52" s="37" t="s">
        <v>2753</v>
      </c>
      <c r="N52" t="b">
        <f t="shared" si="0"/>
        <v>1</v>
      </c>
      <c r="O52" s="32" t="s">
        <v>2753</v>
      </c>
      <c r="V52" s="54" t="s">
        <v>850</v>
      </c>
      <c r="W52" s="72" t="s">
        <v>1638</v>
      </c>
      <c r="X52" s="71" t="s">
        <v>1529</v>
      </c>
      <c r="AA52" s="54" t="s">
        <v>1638</v>
      </c>
      <c r="AB52" s="56" t="s">
        <v>1962</v>
      </c>
    </row>
    <row r="53" spans="7:28" x14ac:dyDescent="0.2">
      <c r="H53" t="b">
        <f t="shared" si="1"/>
        <v>0</v>
      </c>
      <c r="I53" s="35" t="s">
        <v>1135</v>
      </c>
      <c r="N53" t="b">
        <f t="shared" si="0"/>
        <v>1</v>
      </c>
      <c r="O53" s="38" t="s">
        <v>1135</v>
      </c>
      <c r="V53" s="53" t="s">
        <v>873</v>
      </c>
      <c r="W53" s="71" t="s">
        <v>2736</v>
      </c>
      <c r="X53" s="71" t="s">
        <v>2747</v>
      </c>
      <c r="AA53" s="53" t="s">
        <v>1518</v>
      </c>
      <c r="AB53" s="57" t="s">
        <v>1955</v>
      </c>
    </row>
    <row r="54" spans="7:28" x14ac:dyDescent="0.2">
      <c r="G54" s="36" t="s">
        <v>2744</v>
      </c>
      <c r="H54" t="b">
        <f t="shared" si="1"/>
        <v>1</v>
      </c>
      <c r="I54" s="33" t="s">
        <v>2744</v>
      </c>
      <c r="N54" t="b">
        <f t="shared" si="0"/>
        <v>1</v>
      </c>
      <c r="O54" s="32" t="s">
        <v>2744</v>
      </c>
      <c r="V54" s="54" t="s">
        <v>888</v>
      </c>
      <c r="W54" s="71" t="s">
        <v>2735</v>
      </c>
      <c r="X54" s="72" t="s">
        <v>1556</v>
      </c>
      <c r="AA54" s="54" t="s">
        <v>1135</v>
      </c>
      <c r="AB54" s="56" t="s">
        <v>1957</v>
      </c>
    </row>
    <row r="55" spans="7:28" x14ac:dyDescent="0.2">
      <c r="G55" s="36" t="s">
        <v>1529</v>
      </c>
      <c r="H55" t="b">
        <f t="shared" si="1"/>
        <v>1</v>
      </c>
      <c r="I55" s="33" t="s">
        <v>1529</v>
      </c>
      <c r="N55" t="b">
        <f t="shared" si="0"/>
        <v>1</v>
      </c>
      <c r="O55" s="32" t="s">
        <v>1529</v>
      </c>
      <c r="V55" s="53" t="s">
        <v>903</v>
      </c>
      <c r="W55" s="72" t="s">
        <v>1846</v>
      </c>
      <c r="X55" s="72" t="s">
        <v>1638</v>
      </c>
      <c r="AA55" s="54" t="s">
        <v>1855</v>
      </c>
      <c r="AB55" s="56" t="s">
        <v>1956</v>
      </c>
    </row>
    <row r="56" spans="7:28" x14ac:dyDescent="0.2">
      <c r="N56" t="b">
        <f t="shared" si="0"/>
        <v>0</v>
      </c>
      <c r="O56" s="38" t="s">
        <v>1855</v>
      </c>
      <c r="V56" s="54" t="s">
        <v>916</v>
      </c>
      <c r="W56" s="72" t="s">
        <v>1855</v>
      </c>
      <c r="X56" s="54"/>
      <c r="AA56" s="53" t="s">
        <v>1324</v>
      </c>
      <c r="AB56" s="57" t="s">
        <v>1955</v>
      </c>
    </row>
    <row r="57" spans="7:28" x14ac:dyDescent="0.2">
      <c r="N57" t="b">
        <f>I58=O57</f>
        <v>0</v>
      </c>
      <c r="O57" s="38" t="s">
        <v>1324</v>
      </c>
      <c r="V57" s="53" t="s">
        <v>921</v>
      </c>
      <c r="W57" s="71" t="s">
        <v>2734</v>
      </c>
      <c r="X57" s="71" t="s">
        <v>2736</v>
      </c>
    </row>
    <row r="58" spans="7:28" x14ac:dyDescent="0.2">
      <c r="V58" s="54" t="s">
        <v>931</v>
      </c>
      <c r="X58" s="53"/>
    </row>
    <row r="59" spans="7:28" x14ac:dyDescent="0.2">
      <c r="V59" s="53" t="s">
        <v>961</v>
      </c>
      <c r="X59" s="71" t="s">
        <v>2735</v>
      </c>
    </row>
    <row r="60" spans="7:28" x14ac:dyDescent="0.2">
      <c r="V60" s="54" t="s">
        <v>968</v>
      </c>
      <c r="X60" s="72" t="s">
        <v>1846</v>
      </c>
    </row>
    <row r="61" spans="7:28" x14ac:dyDescent="0.2">
      <c r="V61" s="53" t="s">
        <v>985</v>
      </c>
      <c r="X61" s="72" t="s">
        <v>1855</v>
      </c>
    </row>
    <row r="62" spans="7:28" x14ac:dyDescent="0.2">
      <c r="V62" s="54" t="s">
        <v>1003</v>
      </c>
      <c r="X62" s="71" t="s">
        <v>2734</v>
      </c>
    </row>
    <row r="63" spans="7:28" x14ac:dyDescent="0.2">
      <c r="V63" s="53" t="s">
        <v>1016</v>
      </c>
    </row>
    <row r="64" spans="7:28" x14ac:dyDescent="0.2">
      <c r="V64" s="54" t="s">
        <v>1022</v>
      </c>
    </row>
    <row r="65" spans="22:22" x14ac:dyDescent="0.2">
      <c r="V65" s="69" t="s">
        <v>1029</v>
      </c>
    </row>
    <row r="66" spans="22:22" x14ac:dyDescent="0.2">
      <c r="V66" s="54" t="s">
        <v>1041</v>
      </c>
    </row>
    <row r="67" spans="22:22" x14ac:dyDescent="0.2">
      <c r="V67" s="53" t="s">
        <v>1049</v>
      </c>
    </row>
    <row r="68" spans="22:22" x14ac:dyDescent="0.2">
      <c r="V68" s="54" t="s">
        <v>1053</v>
      </c>
    </row>
    <row r="69" spans="22:22" x14ac:dyDescent="0.2">
      <c r="V69" s="53" t="s">
        <v>1060</v>
      </c>
    </row>
    <row r="70" spans="22:22" x14ac:dyDescent="0.2">
      <c r="V70" s="54" t="s">
        <v>1064</v>
      </c>
    </row>
    <row r="71" spans="22:22" x14ac:dyDescent="0.2">
      <c r="V71" s="53" t="s">
        <v>1071</v>
      </c>
    </row>
    <row r="72" spans="22:22" x14ac:dyDescent="0.2">
      <c r="V72" s="54" t="s">
        <v>1075</v>
      </c>
    </row>
    <row r="73" spans="22:22" x14ac:dyDescent="0.2">
      <c r="V73" s="53" t="s">
        <v>1088</v>
      </c>
    </row>
    <row r="74" spans="22:22" x14ac:dyDescent="0.2">
      <c r="V74" s="54" t="s">
        <v>1125</v>
      </c>
    </row>
    <row r="75" spans="22:22" x14ac:dyDescent="0.2">
      <c r="V75" s="53" t="s">
        <v>1128</v>
      </c>
    </row>
    <row r="76" spans="22:22" x14ac:dyDescent="0.2">
      <c r="V76" s="70" t="s">
        <v>1133</v>
      </c>
    </row>
    <row r="77" spans="22:22" x14ac:dyDescent="0.2">
      <c r="V77" s="53" t="s">
        <v>1140</v>
      </c>
    </row>
    <row r="78" spans="22:22" x14ac:dyDescent="0.2">
      <c r="V78" s="69" t="s">
        <v>1154</v>
      </c>
    </row>
    <row r="79" spans="22:22" x14ac:dyDescent="0.2">
      <c r="V79" s="53" t="s">
        <v>1167</v>
      </c>
    </row>
    <row r="80" spans="22:22" x14ac:dyDescent="0.2">
      <c r="V80" s="54" t="s">
        <v>1185</v>
      </c>
    </row>
    <row r="81" spans="22:22" x14ac:dyDescent="0.2">
      <c r="V81" s="70" t="s">
        <v>1189</v>
      </c>
    </row>
    <row r="82" spans="22:22" x14ac:dyDescent="0.2">
      <c r="V82" s="54" t="s">
        <v>1210</v>
      </c>
    </row>
    <row r="83" spans="22:22" x14ac:dyDescent="0.2">
      <c r="V83" s="53" t="s">
        <v>1220</v>
      </c>
    </row>
    <row r="84" spans="22:22" x14ac:dyDescent="0.2">
      <c r="V84" s="54" t="s">
        <v>1233</v>
      </c>
    </row>
    <row r="85" spans="22:22" x14ac:dyDescent="0.2">
      <c r="V85" s="53" t="s">
        <v>1246</v>
      </c>
    </row>
    <row r="86" spans="22:22" x14ac:dyDescent="0.2">
      <c r="V86" s="54" t="s">
        <v>1248</v>
      </c>
    </row>
    <row r="87" spans="22:22" x14ac:dyDescent="0.2">
      <c r="V87" s="53" t="s">
        <v>1256</v>
      </c>
    </row>
    <row r="88" spans="22:22" x14ac:dyDescent="0.2">
      <c r="V88" s="54" t="s">
        <v>1263</v>
      </c>
    </row>
    <row r="89" spans="22:22" x14ac:dyDescent="0.2">
      <c r="V89" s="53" t="s">
        <v>1272</v>
      </c>
    </row>
    <row r="90" spans="22:22" x14ac:dyDescent="0.2">
      <c r="V90" s="54" t="s">
        <v>1276</v>
      </c>
    </row>
    <row r="91" spans="22:22" x14ac:dyDescent="0.2">
      <c r="V91" s="53" t="s">
        <v>1292</v>
      </c>
    </row>
    <row r="92" spans="22:22" x14ac:dyDescent="0.2">
      <c r="V92" s="54" t="s">
        <v>1299</v>
      </c>
    </row>
    <row r="93" spans="22:22" x14ac:dyDescent="0.2">
      <c r="V93" s="53" t="s">
        <v>1315</v>
      </c>
    </row>
    <row r="94" spans="22:22" x14ac:dyDescent="0.2">
      <c r="V94" s="54" t="s">
        <v>1320</v>
      </c>
    </row>
    <row r="95" spans="22:22" x14ac:dyDescent="0.2">
      <c r="V95" s="53" t="s">
        <v>1323</v>
      </c>
    </row>
    <row r="96" spans="22:22" x14ac:dyDescent="0.2">
      <c r="V96" s="54" t="s">
        <v>1342</v>
      </c>
    </row>
    <row r="97" spans="22:22" x14ac:dyDescent="0.2">
      <c r="V97" s="53" t="s">
        <v>1367</v>
      </c>
    </row>
    <row r="98" spans="22:22" x14ac:dyDescent="0.2">
      <c r="V98" s="54" t="s">
        <v>1378</v>
      </c>
    </row>
    <row r="99" spans="22:22" x14ac:dyDescent="0.2">
      <c r="V99" s="70" t="s">
        <v>1397</v>
      </c>
    </row>
    <row r="100" spans="22:22" x14ac:dyDescent="0.2">
      <c r="V100" s="54" t="s">
        <v>1414</v>
      </c>
    </row>
    <row r="101" spans="22:22" x14ac:dyDescent="0.2">
      <c r="V101" s="53" t="s">
        <v>1447</v>
      </c>
    </row>
    <row r="102" spans="22:22" x14ac:dyDescent="0.2">
      <c r="V102" s="54" t="s">
        <v>1450</v>
      </c>
    </row>
    <row r="103" spans="22:22" x14ac:dyDescent="0.2">
      <c r="V103" s="53" t="s">
        <v>1454</v>
      </c>
    </row>
    <row r="104" spans="22:22" x14ac:dyDescent="0.2">
      <c r="V104" s="54" t="s">
        <v>1458</v>
      </c>
    </row>
    <row r="105" spans="22:22" x14ac:dyDescent="0.2">
      <c r="V105" s="53" t="s">
        <v>1464</v>
      </c>
    </row>
    <row r="106" spans="22:22" x14ac:dyDescent="0.2">
      <c r="V106" s="69" t="s">
        <v>1472</v>
      </c>
    </row>
    <row r="107" spans="22:22" x14ac:dyDescent="0.2">
      <c r="V107" s="53" t="s">
        <v>1479</v>
      </c>
    </row>
    <row r="108" spans="22:22" x14ac:dyDescent="0.2">
      <c r="V108" s="54" t="s">
        <v>1497</v>
      </c>
    </row>
    <row r="109" spans="22:22" x14ac:dyDescent="0.2">
      <c r="V109" s="53" t="s">
        <v>1505</v>
      </c>
    </row>
    <row r="110" spans="22:22" x14ac:dyDescent="0.2">
      <c r="V110" s="70" t="s">
        <v>1511</v>
      </c>
    </row>
    <row r="111" spans="22:22" x14ac:dyDescent="0.2">
      <c r="V111" s="53" t="s">
        <v>1516</v>
      </c>
    </row>
    <row r="112" spans="22:22" x14ac:dyDescent="0.2">
      <c r="V112" s="69" t="s">
        <v>1527</v>
      </c>
    </row>
    <row r="113" spans="22:22" x14ac:dyDescent="0.2">
      <c r="V113" s="53" t="s">
        <v>1540</v>
      </c>
    </row>
    <row r="114" spans="22:22" x14ac:dyDescent="0.2">
      <c r="V114" s="54" t="s">
        <v>1544</v>
      </c>
    </row>
    <row r="115" spans="22:22" x14ac:dyDescent="0.2">
      <c r="V115" s="53" t="s">
        <v>1548</v>
      </c>
    </row>
    <row r="116" spans="22:22" x14ac:dyDescent="0.2">
      <c r="V116" s="70" t="s">
        <v>1555</v>
      </c>
    </row>
    <row r="117" spans="22:22" x14ac:dyDescent="0.2">
      <c r="V117" s="53" t="s">
        <v>1564</v>
      </c>
    </row>
    <row r="118" spans="22:22" x14ac:dyDescent="0.2">
      <c r="V118" s="54" t="s">
        <v>1577</v>
      </c>
    </row>
    <row r="119" spans="22:22" x14ac:dyDescent="0.2">
      <c r="V119" s="53" t="s">
        <v>1587</v>
      </c>
    </row>
    <row r="120" spans="22:22" x14ac:dyDescent="0.2">
      <c r="V120" s="54" t="s">
        <v>1601</v>
      </c>
    </row>
    <row r="121" spans="22:22" x14ac:dyDescent="0.2">
      <c r="V121" s="53" t="s">
        <v>1636</v>
      </c>
    </row>
    <row r="122" spans="22:22" x14ac:dyDescent="0.2">
      <c r="V122" s="54" t="s">
        <v>1645</v>
      </c>
    </row>
    <row r="123" spans="22:22" x14ac:dyDescent="0.2">
      <c r="V123" s="53" t="s">
        <v>1653</v>
      </c>
    </row>
    <row r="124" spans="22:22" x14ac:dyDescent="0.2">
      <c r="V124" s="54" t="s">
        <v>1658</v>
      </c>
    </row>
    <row r="125" spans="22:22" x14ac:dyDescent="0.2">
      <c r="V125" s="53" t="s">
        <v>1666</v>
      </c>
    </row>
    <row r="126" spans="22:22" x14ac:dyDescent="0.2">
      <c r="V126" s="54" t="s">
        <v>1671</v>
      </c>
    </row>
    <row r="127" spans="22:22" x14ac:dyDescent="0.2">
      <c r="V127" s="53" t="s">
        <v>1680</v>
      </c>
    </row>
    <row r="128" spans="22:22" x14ac:dyDescent="0.2">
      <c r="V128" s="54" t="s">
        <v>1687</v>
      </c>
    </row>
    <row r="129" spans="22:22" x14ac:dyDescent="0.2">
      <c r="V129" s="53" t="s">
        <v>1696</v>
      </c>
    </row>
    <row r="130" spans="22:22" x14ac:dyDescent="0.2">
      <c r="V130" s="54" t="s">
        <v>1707</v>
      </c>
    </row>
    <row r="131" spans="22:22" x14ac:dyDescent="0.2">
      <c r="V131" s="53" t="s">
        <v>1711</v>
      </c>
    </row>
    <row r="132" spans="22:22" x14ac:dyDescent="0.2">
      <c r="V132" s="54" t="s">
        <v>1714</v>
      </c>
    </row>
    <row r="133" spans="22:22" x14ac:dyDescent="0.2">
      <c r="V133" s="53" t="s">
        <v>1719</v>
      </c>
    </row>
    <row r="134" spans="22:22" x14ac:dyDescent="0.2">
      <c r="V134" s="54" t="s">
        <v>1738</v>
      </c>
    </row>
    <row r="135" spans="22:22" x14ac:dyDescent="0.2">
      <c r="V135" s="53" t="s">
        <v>1749</v>
      </c>
    </row>
    <row r="136" spans="22:22" x14ac:dyDescent="0.2">
      <c r="V136" s="54" t="s">
        <v>1753</v>
      </c>
    </row>
    <row r="137" spans="22:22" x14ac:dyDescent="0.2">
      <c r="V137" s="53" t="s">
        <v>1755</v>
      </c>
    </row>
    <row r="138" spans="22:22" x14ac:dyDescent="0.2">
      <c r="V138" s="54" t="s">
        <v>1764</v>
      </c>
    </row>
    <row r="139" spans="22:22" x14ac:dyDescent="0.2">
      <c r="V139" s="53" t="s">
        <v>1770</v>
      </c>
    </row>
    <row r="140" spans="22:22" x14ac:dyDescent="0.2">
      <c r="V140" s="54" t="s">
        <v>1776</v>
      </c>
    </row>
    <row r="141" spans="22:22" x14ac:dyDescent="0.2">
      <c r="V141" s="53" t="s">
        <v>1788</v>
      </c>
    </row>
    <row r="142" spans="22:22" x14ac:dyDescent="0.2">
      <c r="V142" s="54" t="s">
        <v>1793</v>
      </c>
    </row>
    <row r="143" spans="22:22" x14ac:dyDescent="0.2">
      <c r="V143" s="70" t="s">
        <v>1800</v>
      </c>
    </row>
    <row r="144" spans="22:22" x14ac:dyDescent="0.2">
      <c r="V144" s="54" t="s">
        <v>1809</v>
      </c>
    </row>
    <row r="145" spans="22:22" x14ac:dyDescent="0.2">
      <c r="V145" s="53" t="s">
        <v>1824</v>
      </c>
    </row>
    <row r="146" spans="22:22" x14ac:dyDescent="0.2">
      <c r="V146" s="54" t="s">
        <v>1844</v>
      </c>
    </row>
    <row r="147" spans="22:22" x14ac:dyDescent="0.2">
      <c r="V147" s="70" t="s">
        <v>1853</v>
      </c>
    </row>
    <row r="148" spans="22:22" x14ac:dyDescent="0.2">
      <c r="V148" s="54" t="s">
        <v>1873</v>
      </c>
    </row>
    <row r="149" spans="22:22" x14ac:dyDescent="0.2">
      <c r="V149" s="53" t="s">
        <v>1877</v>
      </c>
    </row>
    <row r="150" spans="22:22" x14ac:dyDescent="0.2">
      <c r="V150" s="54" t="s">
        <v>1891</v>
      </c>
    </row>
    <row r="151" spans="22:22" x14ac:dyDescent="0.2">
      <c r="V151" s="53" t="s">
        <v>1897</v>
      </c>
    </row>
    <row r="152" spans="22:22" x14ac:dyDescent="0.2">
      <c r="V152" s="54" t="s">
        <v>1901</v>
      </c>
    </row>
    <row r="153" spans="22:22" x14ac:dyDescent="0.2">
      <c r="V153" s="70" t="s">
        <v>1912</v>
      </c>
    </row>
    <row r="154" spans="22:22" x14ac:dyDescent="0.2">
      <c r="V154" s="54" t="s">
        <v>1917</v>
      </c>
    </row>
    <row r="155" spans="22:22" x14ac:dyDescent="0.2">
      <c r="V155" s="53" t="s">
        <v>1932</v>
      </c>
    </row>
    <row r="156" spans="22:22" x14ac:dyDescent="0.2">
      <c r="V156" s="54" t="s">
        <v>1942</v>
      </c>
    </row>
  </sheetData>
  <sortState xmlns:xlrd2="http://schemas.microsoft.com/office/spreadsheetml/2017/richdata2" ref="AA4:AB63">
    <sortCondition ref="AA4:AA63"/>
  </sortState>
  <pageMargins left="0.7" right="0.7" top="0.75" bottom="0.75" header="0.3" footer="0.3"/>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22CEF-0282-7140-B4FA-74D650A56679}">
  <dimension ref="A1:K6"/>
  <sheetViews>
    <sheetView tabSelected="1" workbookViewId="0">
      <selection activeCell="L14" sqref="L14"/>
    </sheetView>
  </sheetViews>
  <sheetFormatPr baseColWidth="10" defaultRowHeight="16" x14ac:dyDescent="0.2"/>
  <cols>
    <col min="1" max="1" width="3.83203125" bestFit="1" customWidth="1"/>
    <col min="2" max="2" width="14.6640625" bestFit="1" customWidth="1"/>
    <col min="3" max="3" width="13.33203125" bestFit="1" customWidth="1"/>
    <col min="4" max="4" width="13.5" bestFit="1" customWidth="1"/>
    <col min="5" max="5" width="12.1640625" bestFit="1" customWidth="1"/>
    <col min="6" max="6" width="13.33203125" bestFit="1" customWidth="1"/>
    <col min="7" max="7" width="12" bestFit="1" customWidth="1"/>
  </cols>
  <sheetData>
    <row r="1" spans="1:11" x14ac:dyDescent="0.2">
      <c r="A1" s="68" t="s">
        <v>2857</v>
      </c>
      <c r="B1" s="68" t="s">
        <v>2863</v>
      </c>
      <c r="C1" s="68" t="s">
        <v>2862</v>
      </c>
      <c r="D1" s="68" t="s">
        <v>2858</v>
      </c>
      <c r="E1" s="68" t="s">
        <v>2859</v>
      </c>
      <c r="F1" s="68" t="s">
        <v>2860</v>
      </c>
      <c r="G1" s="68" t="s">
        <v>2861</v>
      </c>
      <c r="H1" s="68" t="s">
        <v>2869</v>
      </c>
      <c r="I1" s="68" t="s">
        <v>2870</v>
      </c>
      <c r="J1" s="68" t="s">
        <v>2871</v>
      </c>
      <c r="K1" s="68" t="s">
        <v>2872</v>
      </c>
    </row>
    <row r="2" spans="1:11" x14ac:dyDescent="0.2">
      <c r="A2" s="68" t="s">
        <v>2864</v>
      </c>
      <c r="B2" s="68">
        <v>0.73380000000000001</v>
      </c>
      <c r="C2" s="68">
        <v>38</v>
      </c>
      <c r="D2" s="68">
        <v>0.69640000000000002</v>
      </c>
      <c r="E2" s="68">
        <v>283</v>
      </c>
      <c r="F2" s="68">
        <v>0.67449999999999999</v>
      </c>
      <c r="G2" s="68">
        <v>23</v>
      </c>
      <c r="H2" s="68">
        <v>0.70730000000000004</v>
      </c>
      <c r="I2" s="68">
        <v>19</v>
      </c>
      <c r="J2" s="68">
        <v>0.72929999999999995</v>
      </c>
      <c r="K2" s="68">
        <v>66</v>
      </c>
    </row>
    <row r="3" spans="1:11" x14ac:dyDescent="0.2">
      <c r="A3" s="68" t="s">
        <v>2865</v>
      </c>
      <c r="B3" s="68">
        <v>0.73380000000000001</v>
      </c>
      <c r="C3" s="68">
        <v>38</v>
      </c>
      <c r="D3" s="68">
        <v>0.90069999999999995</v>
      </c>
      <c r="E3" s="68">
        <v>38</v>
      </c>
      <c r="F3" s="68">
        <v>0.91559999999999997</v>
      </c>
      <c r="G3" s="68">
        <v>2</v>
      </c>
      <c r="H3" s="68">
        <v>0.93049999999999999</v>
      </c>
      <c r="I3" s="68">
        <v>8</v>
      </c>
      <c r="J3" s="68">
        <v>0.87819999999999998</v>
      </c>
      <c r="K3" s="68">
        <v>24</v>
      </c>
    </row>
    <row r="4" spans="1:11" x14ac:dyDescent="0.2">
      <c r="A4" s="68" t="s">
        <v>2866</v>
      </c>
      <c r="B4" s="68">
        <v>0.79769999999999996</v>
      </c>
      <c r="C4" s="68">
        <v>28</v>
      </c>
      <c r="D4" s="76">
        <v>1</v>
      </c>
      <c r="E4" s="68">
        <v>25</v>
      </c>
      <c r="F4" s="76">
        <v>1</v>
      </c>
      <c r="G4" s="68">
        <v>1</v>
      </c>
      <c r="H4" s="76">
        <v>0.97619999999999996</v>
      </c>
      <c r="I4" s="68">
        <v>4</v>
      </c>
      <c r="J4" s="76">
        <v>1</v>
      </c>
      <c r="K4" s="68">
        <v>11</v>
      </c>
    </row>
    <row r="5" spans="1:11" x14ac:dyDescent="0.2">
      <c r="A5" s="68" t="s">
        <v>2867</v>
      </c>
      <c r="B5" s="68">
        <v>0.84689999999999999</v>
      </c>
      <c r="C5" s="68">
        <v>15</v>
      </c>
      <c r="D5" s="76">
        <v>1</v>
      </c>
      <c r="E5" s="68">
        <v>21</v>
      </c>
      <c r="F5" s="76">
        <v>1</v>
      </c>
      <c r="G5" s="68">
        <v>1</v>
      </c>
      <c r="H5" s="76">
        <v>1</v>
      </c>
      <c r="I5" s="68">
        <v>2</v>
      </c>
      <c r="J5" s="76">
        <v>1</v>
      </c>
      <c r="K5" s="68">
        <v>9</v>
      </c>
    </row>
    <row r="6" spans="1:11" x14ac:dyDescent="0.2">
      <c r="A6" s="68" t="s">
        <v>2868</v>
      </c>
      <c r="B6" s="68">
        <v>0.81430000000000002</v>
      </c>
      <c r="C6" s="68">
        <v>24</v>
      </c>
      <c r="D6" s="68">
        <v>0.97370000000000001</v>
      </c>
      <c r="E6" s="68">
        <v>26</v>
      </c>
      <c r="F6" s="76">
        <v>1</v>
      </c>
      <c r="G6" s="68">
        <v>1</v>
      </c>
      <c r="H6" s="68">
        <v>0.90849999999999997</v>
      </c>
      <c r="I6" s="68">
        <v>7</v>
      </c>
      <c r="J6" s="76">
        <v>1</v>
      </c>
      <c r="K6" s="68">
        <v>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opLeftCell="A5" workbookViewId="0">
      <selection activeCell="I11" sqref="I11"/>
    </sheetView>
  </sheetViews>
  <sheetFormatPr baseColWidth="10" defaultRowHeight="16" x14ac:dyDescent="0.2"/>
  <cols>
    <col min="4" max="4" width="22.5" customWidth="1"/>
  </cols>
  <sheetData>
    <row r="6" spans="3:11" x14ac:dyDescent="0.2">
      <c r="C6" s="28" t="s">
        <v>2660</v>
      </c>
      <c r="D6" s="28" t="s">
        <v>2661</v>
      </c>
      <c r="E6" s="28" t="s">
        <v>2662</v>
      </c>
      <c r="F6" s="28" t="s">
        <v>2663</v>
      </c>
      <c r="G6" s="28" t="s">
        <v>2664</v>
      </c>
      <c r="H6" s="28" t="s">
        <v>2665</v>
      </c>
      <c r="I6" s="28" t="s">
        <v>2666</v>
      </c>
      <c r="J6" s="28" t="s">
        <v>2697</v>
      </c>
      <c r="K6" s="28" t="s">
        <v>2698</v>
      </c>
    </row>
    <row r="7" spans="3:11" x14ac:dyDescent="0.2">
      <c r="C7" t="s">
        <v>2681</v>
      </c>
      <c r="D7" s="30" t="s">
        <v>2667</v>
      </c>
    </row>
    <row r="8" spans="3:11" x14ac:dyDescent="0.2">
      <c r="C8" t="s">
        <v>2682</v>
      </c>
      <c r="D8" t="s">
        <v>2668</v>
      </c>
      <c r="I8" t="s">
        <v>2669</v>
      </c>
      <c r="J8" t="s">
        <v>2670</v>
      </c>
    </row>
    <row r="9" spans="3:11" x14ac:dyDescent="0.2">
      <c r="C9" t="s">
        <v>2682</v>
      </c>
      <c r="D9" t="s">
        <v>2671</v>
      </c>
      <c r="J9" t="s">
        <v>2672</v>
      </c>
    </row>
    <row r="10" spans="3:11" x14ac:dyDescent="0.2">
      <c r="C10" t="s">
        <v>2682</v>
      </c>
      <c r="D10" t="s">
        <v>2673</v>
      </c>
      <c r="J10" t="s">
        <v>2674</v>
      </c>
    </row>
    <row r="11" spans="3:11" x14ac:dyDescent="0.2">
      <c r="C11" t="s">
        <v>2682</v>
      </c>
      <c r="D11" t="s">
        <v>2675</v>
      </c>
      <c r="E11" t="s">
        <v>2700</v>
      </c>
      <c r="F11" t="s">
        <v>2703</v>
      </c>
      <c r="I11" t="s">
        <v>2702</v>
      </c>
      <c r="J11" t="s">
        <v>2701</v>
      </c>
      <c r="K11" t="s">
        <v>2699</v>
      </c>
    </row>
    <row r="12" spans="3:11" x14ac:dyDescent="0.2">
      <c r="C12" t="s">
        <v>2682</v>
      </c>
      <c r="D12" s="30" t="s">
        <v>2676</v>
      </c>
    </row>
    <row r="13" spans="3:11" x14ac:dyDescent="0.2">
      <c r="C13" t="s">
        <v>2682</v>
      </c>
      <c r="D13" t="s">
        <v>2677</v>
      </c>
      <c r="E13" t="s">
        <v>2704</v>
      </c>
      <c r="F13" t="s">
        <v>2705</v>
      </c>
      <c r="G13" t="s">
        <v>2709</v>
      </c>
      <c r="J13" t="s">
        <v>2706</v>
      </c>
      <c r="K13" t="s">
        <v>2708</v>
      </c>
    </row>
    <row r="14" spans="3:11" x14ac:dyDescent="0.2">
      <c r="D14" s="29" t="s">
        <v>2678</v>
      </c>
      <c r="J14" t="s">
        <v>2707</v>
      </c>
    </row>
    <row r="15" spans="3:11" x14ac:dyDescent="0.2">
      <c r="D15" s="29" t="s">
        <v>2679</v>
      </c>
      <c r="J15" t="s">
        <v>2680</v>
      </c>
    </row>
    <row r="16" spans="3:11" x14ac:dyDescent="0.2">
      <c r="C16" t="s">
        <v>2686</v>
      </c>
      <c r="D16" t="s">
        <v>2683</v>
      </c>
      <c r="E16" t="s">
        <v>2710</v>
      </c>
      <c r="F16" t="s">
        <v>2712</v>
      </c>
      <c r="J16" t="s">
        <v>2711</v>
      </c>
    </row>
    <row r="17" spans="3:11" x14ac:dyDescent="0.2">
      <c r="C17" t="s">
        <v>2686</v>
      </c>
      <c r="D17" t="s">
        <v>2684</v>
      </c>
      <c r="J17" t="s">
        <v>2713</v>
      </c>
    </row>
    <row r="18" spans="3:11" x14ac:dyDescent="0.2">
      <c r="C18" s="31" t="s">
        <v>2686</v>
      </c>
      <c r="D18" s="31" t="s">
        <v>2685</v>
      </c>
      <c r="E18" s="31"/>
      <c r="F18" s="31"/>
      <c r="G18" s="31"/>
      <c r="H18" s="31"/>
      <c r="I18" s="31"/>
      <c r="J18" s="31" t="s">
        <v>2714</v>
      </c>
    </row>
    <row r="19" spans="3:11" x14ac:dyDescent="0.2">
      <c r="C19" t="s">
        <v>2687</v>
      </c>
      <c r="D19" t="s">
        <v>2720</v>
      </c>
      <c r="E19" t="s">
        <v>2715</v>
      </c>
      <c r="F19" t="s">
        <v>2716</v>
      </c>
      <c r="J19" t="s">
        <v>2717</v>
      </c>
      <c r="K19" t="s">
        <v>2719</v>
      </c>
    </row>
    <row r="20" spans="3:11" x14ac:dyDescent="0.2">
      <c r="D20" t="s">
        <v>2718</v>
      </c>
      <c r="K20" t="s">
        <v>2721</v>
      </c>
    </row>
    <row r="21" spans="3:11" x14ac:dyDescent="0.2">
      <c r="C21" t="s">
        <v>2687</v>
      </c>
      <c r="D21" t="s">
        <v>2688</v>
      </c>
      <c r="J21" t="s">
        <v>2722</v>
      </c>
    </row>
    <row r="22" spans="3:11" x14ac:dyDescent="0.2">
      <c r="C22" t="s">
        <v>2687</v>
      </c>
      <c r="D22" t="s">
        <v>2689</v>
      </c>
      <c r="G22" t="s">
        <v>2725</v>
      </c>
      <c r="J22" t="s">
        <v>2724</v>
      </c>
    </row>
    <row r="23" spans="3:11" x14ac:dyDescent="0.2">
      <c r="C23" t="s">
        <v>2687</v>
      </c>
      <c r="D23" t="s">
        <v>2690</v>
      </c>
      <c r="J23" t="s">
        <v>2723</v>
      </c>
    </row>
    <row r="24" spans="3:11" x14ac:dyDescent="0.2">
      <c r="C24" t="s">
        <v>2687</v>
      </c>
      <c r="D24" t="s">
        <v>2691</v>
      </c>
      <c r="J24" t="s">
        <v>2733</v>
      </c>
    </row>
    <row r="25" spans="3:11" x14ac:dyDescent="0.2">
      <c r="C25" t="s">
        <v>2687</v>
      </c>
      <c r="D25" t="s">
        <v>2692</v>
      </c>
      <c r="G25" t="s">
        <v>2726</v>
      </c>
      <c r="J25" t="s">
        <v>2729</v>
      </c>
    </row>
    <row r="26" spans="3:11" x14ac:dyDescent="0.2">
      <c r="C26" t="s">
        <v>2687</v>
      </c>
      <c r="D26" t="s">
        <v>2693</v>
      </c>
      <c r="G26" t="s">
        <v>2728</v>
      </c>
      <c r="J26" t="s">
        <v>2727</v>
      </c>
    </row>
    <row r="27" spans="3:11" x14ac:dyDescent="0.2">
      <c r="C27" t="s">
        <v>2687</v>
      </c>
      <c r="D27" t="s">
        <v>2694</v>
      </c>
      <c r="J27" t="s">
        <v>2722</v>
      </c>
    </row>
    <row r="28" spans="3:11" x14ac:dyDescent="0.2">
      <c r="C28" t="s">
        <v>2687</v>
      </c>
      <c r="D28" t="s">
        <v>2695</v>
      </c>
      <c r="J28" t="s">
        <v>2730</v>
      </c>
    </row>
    <row r="29" spans="3:11" x14ac:dyDescent="0.2">
      <c r="C29" t="s">
        <v>2687</v>
      </c>
      <c r="D29" t="s">
        <v>2696</v>
      </c>
      <c r="J29" t="s">
        <v>2731</v>
      </c>
      <c r="K29" t="s">
        <v>2732</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F35"/>
  <sheetViews>
    <sheetView workbookViewId="0">
      <selection activeCell="A23" sqref="A23"/>
    </sheetView>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6" x14ac:dyDescent="0.2">
      <c r="A1" s="28" t="s">
        <v>2773</v>
      </c>
      <c r="B1" s="28" t="s">
        <v>2774</v>
      </c>
      <c r="C1" s="28" t="s">
        <v>2769</v>
      </c>
      <c r="D1" s="28" t="s">
        <v>2770</v>
      </c>
      <c r="E1" s="28" t="s">
        <v>2771</v>
      </c>
      <c r="F1" s="28" t="s">
        <v>2772</v>
      </c>
    </row>
    <row r="2" spans="1:6" x14ac:dyDescent="0.2">
      <c r="A2" t="s">
        <v>1156</v>
      </c>
      <c r="B2" t="s">
        <v>2766</v>
      </c>
      <c r="C2">
        <v>0</v>
      </c>
      <c r="D2">
        <v>1</v>
      </c>
      <c r="E2">
        <v>0</v>
      </c>
      <c r="F2">
        <v>0</v>
      </c>
    </row>
    <row r="3" spans="1:6" x14ac:dyDescent="0.2">
      <c r="A3" t="s">
        <v>2746</v>
      </c>
      <c r="B3" t="s">
        <v>2767</v>
      </c>
      <c r="C3">
        <v>0</v>
      </c>
      <c r="D3">
        <v>0</v>
      </c>
      <c r="E3">
        <v>1</v>
      </c>
      <c r="F3">
        <v>6</v>
      </c>
    </row>
    <row r="4" spans="1:6" x14ac:dyDescent="0.2">
      <c r="A4" t="s">
        <v>1415</v>
      </c>
      <c r="B4" t="s">
        <v>2767</v>
      </c>
      <c r="C4">
        <v>0</v>
      </c>
      <c r="D4">
        <v>0</v>
      </c>
      <c r="E4">
        <v>1</v>
      </c>
      <c r="F4">
        <v>5</v>
      </c>
    </row>
    <row r="5" spans="1:6" x14ac:dyDescent="0.2">
      <c r="A5" t="s">
        <v>2754</v>
      </c>
      <c r="B5" t="s">
        <v>2767</v>
      </c>
      <c r="C5">
        <v>0</v>
      </c>
      <c r="D5">
        <v>0</v>
      </c>
      <c r="E5">
        <v>1</v>
      </c>
      <c r="F5">
        <v>8</v>
      </c>
    </row>
    <row r="6" spans="1:6" x14ac:dyDescent="0.2">
      <c r="A6" t="s">
        <v>2760</v>
      </c>
      <c r="B6" t="s">
        <v>2767</v>
      </c>
      <c r="C6">
        <v>0</v>
      </c>
      <c r="D6">
        <v>0</v>
      </c>
      <c r="E6">
        <v>1</v>
      </c>
      <c r="F6">
        <v>4</v>
      </c>
    </row>
    <row r="7" spans="1:6" x14ac:dyDescent="0.2">
      <c r="A7" t="s">
        <v>2748</v>
      </c>
      <c r="B7" t="s">
        <v>2767</v>
      </c>
      <c r="C7">
        <v>1</v>
      </c>
      <c r="D7">
        <v>0</v>
      </c>
      <c r="E7">
        <v>0</v>
      </c>
      <c r="F7">
        <v>0</v>
      </c>
    </row>
    <row r="8" spans="1:6" x14ac:dyDescent="0.2">
      <c r="A8" t="s">
        <v>2761</v>
      </c>
      <c r="B8" t="s">
        <v>2767</v>
      </c>
      <c r="C8">
        <v>0</v>
      </c>
      <c r="D8">
        <v>0</v>
      </c>
      <c r="E8">
        <v>1</v>
      </c>
      <c r="F8">
        <v>6</v>
      </c>
    </row>
    <row r="9" spans="1:6" x14ac:dyDescent="0.2">
      <c r="A9" t="s">
        <v>1072</v>
      </c>
      <c r="B9" t="s">
        <v>2767</v>
      </c>
      <c r="C9">
        <v>0</v>
      </c>
      <c r="D9">
        <v>0</v>
      </c>
      <c r="E9">
        <v>1</v>
      </c>
      <c r="F9">
        <v>3</v>
      </c>
    </row>
    <row r="10" spans="1:6" x14ac:dyDescent="0.2">
      <c r="A10" t="s">
        <v>2750</v>
      </c>
      <c r="B10" t="s">
        <v>2767</v>
      </c>
      <c r="C10">
        <v>0</v>
      </c>
      <c r="D10">
        <v>1</v>
      </c>
      <c r="E10">
        <v>0</v>
      </c>
      <c r="F10">
        <v>0</v>
      </c>
    </row>
    <row r="11" spans="1:6" x14ac:dyDescent="0.2">
      <c r="A11" t="s">
        <v>2757</v>
      </c>
      <c r="B11" t="s">
        <v>2767</v>
      </c>
      <c r="C11">
        <v>0</v>
      </c>
      <c r="D11">
        <v>0</v>
      </c>
      <c r="E11">
        <v>1</v>
      </c>
      <c r="F11">
        <v>2</v>
      </c>
    </row>
    <row r="12" spans="1:6" x14ac:dyDescent="0.2">
      <c r="A12" t="s">
        <v>2745</v>
      </c>
      <c r="B12" t="s">
        <v>2767</v>
      </c>
      <c r="C12">
        <v>0</v>
      </c>
      <c r="D12">
        <v>0</v>
      </c>
      <c r="E12">
        <v>1</v>
      </c>
      <c r="F12">
        <v>2</v>
      </c>
    </row>
    <row r="13" spans="1:6" x14ac:dyDescent="0.2">
      <c r="A13" t="s">
        <v>2755</v>
      </c>
      <c r="B13" t="s">
        <v>2767</v>
      </c>
      <c r="C13">
        <v>0</v>
      </c>
      <c r="D13">
        <v>1</v>
      </c>
      <c r="E13">
        <v>0</v>
      </c>
      <c r="F13">
        <v>0</v>
      </c>
    </row>
    <row r="14" spans="1:6" x14ac:dyDescent="0.2">
      <c r="A14" t="s">
        <v>2740</v>
      </c>
      <c r="B14" t="s">
        <v>2767</v>
      </c>
      <c r="C14">
        <v>1</v>
      </c>
      <c r="D14">
        <v>0</v>
      </c>
      <c r="E14">
        <v>0</v>
      </c>
      <c r="F14">
        <v>0</v>
      </c>
    </row>
    <row r="15" spans="1:6" x14ac:dyDescent="0.2">
      <c r="A15" t="s">
        <v>2738</v>
      </c>
      <c r="B15" t="s">
        <v>2767</v>
      </c>
      <c r="C15">
        <v>0</v>
      </c>
      <c r="D15">
        <v>0</v>
      </c>
      <c r="E15">
        <v>1</v>
      </c>
      <c r="F15">
        <v>4</v>
      </c>
    </row>
    <row r="16" spans="1:6" x14ac:dyDescent="0.2">
      <c r="A16" t="s">
        <v>2736</v>
      </c>
      <c r="B16" t="s">
        <v>2767</v>
      </c>
      <c r="C16">
        <v>0</v>
      </c>
      <c r="D16">
        <v>0</v>
      </c>
      <c r="E16">
        <v>1</v>
      </c>
      <c r="F16">
        <v>3</v>
      </c>
    </row>
    <row r="17" spans="1:6" x14ac:dyDescent="0.2">
      <c r="A17" t="s">
        <v>288</v>
      </c>
      <c r="B17" t="s">
        <v>2766</v>
      </c>
      <c r="C17">
        <v>0</v>
      </c>
      <c r="D17">
        <v>0</v>
      </c>
      <c r="E17">
        <v>1</v>
      </c>
      <c r="F17">
        <v>2</v>
      </c>
    </row>
    <row r="18" spans="1:6" x14ac:dyDescent="0.2">
      <c r="A18" t="s">
        <v>2751</v>
      </c>
      <c r="B18" t="s">
        <v>2767</v>
      </c>
      <c r="C18">
        <v>0</v>
      </c>
      <c r="D18">
        <v>1</v>
      </c>
      <c r="E18">
        <v>0</v>
      </c>
      <c r="F18">
        <v>0</v>
      </c>
    </row>
    <row r="19" spans="1:6" x14ac:dyDescent="0.2">
      <c r="A19" s="23" t="s">
        <v>2762</v>
      </c>
      <c r="B19" t="s">
        <v>2767</v>
      </c>
      <c r="C19">
        <v>0</v>
      </c>
      <c r="D19">
        <v>0</v>
      </c>
      <c r="E19">
        <v>1</v>
      </c>
      <c r="F19">
        <v>2</v>
      </c>
    </row>
    <row r="20" spans="1:6" x14ac:dyDescent="0.2">
      <c r="A20" t="s">
        <v>2737</v>
      </c>
      <c r="B20" t="s">
        <v>2767</v>
      </c>
      <c r="C20">
        <v>0</v>
      </c>
      <c r="D20">
        <v>0</v>
      </c>
      <c r="E20">
        <v>1</v>
      </c>
      <c r="F20">
        <v>8</v>
      </c>
    </row>
    <row r="21" spans="1:6" x14ac:dyDescent="0.2">
      <c r="A21" t="s">
        <v>2741</v>
      </c>
      <c r="B21" t="s">
        <v>2767</v>
      </c>
      <c r="C21">
        <v>0</v>
      </c>
      <c r="D21">
        <v>1</v>
      </c>
      <c r="E21">
        <v>0</v>
      </c>
      <c r="F21">
        <v>0</v>
      </c>
    </row>
    <row r="22" spans="1:6" x14ac:dyDescent="0.2">
      <c r="A22" t="s">
        <v>2744</v>
      </c>
      <c r="B22" t="s">
        <v>2767</v>
      </c>
      <c r="C22">
        <v>0</v>
      </c>
      <c r="D22">
        <v>0</v>
      </c>
      <c r="E22">
        <v>1</v>
      </c>
      <c r="F22">
        <v>2</v>
      </c>
    </row>
    <row r="23" spans="1:6" x14ac:dyDescent="0.2">
      <c r="A23" t="s">
        <v>1529</v>
      </c>
      <c r="B23" t="s">
        <v>2767</v>
      </c>
      <c r="C23">
        <v>0</v>
      </c>
      <c r="D23">
        <v>0</v>
      </c>
      <c r="E23">
        <v>1</v>
      </c>
      <c r="F23">
        <v>3</v>
      </c>
    </row>
    <row r="24" spans="1:6" x14ac:dyDescent="0.2">
      <c r="A24" t="s">
        <v>2759</v>
      </c>
      <c r="B24" t="s">
        <v>2767</v>
      </c>
      <c r="C24">
        <v>0</v>
      </c>
      <c r="D24">
        <v>0</v>
      </c>
      <c r="E24">
        <v>1</v>
      </c>
      <c r="F24" s="3">
        <v>6</v>
      </c>
    </row>
    <row r="25" spans="1:6" x14ac:dyDescent="0.2">
      <c r="A25" t="s">
        <v>2749</v>
      </c>
      <c r="B25" t="s">
        <v>2767</v>
      </c>
      <c r="C25">
        <v>0</v>
      </c>
      <c r="D25">
        <v>1</v>
      </c>
      <c r="E25">
        <v>0</v>
      </c>
      <c r="F25">
        <v>0</v>
      </c>
    </row>
    <row r="26" spans="1:6" x14ac:dyDescent="0.2">
      <c r="A26" t="s">
        <v>2758</v>
      </c>
      <c r="B26" t="s">
        <v>2767</v>
      </c>
      <c r="C26">
        <v>1</v>
      </c>
      <c r="D26">
        <v>0</v>
      </c>
      <c r="E26">
        <v>0</v>
      </c>
      <c r="F26">
        <v>0</v>
      </c>
    </row>
    <row r="27" spans="1:6" x14ac:dyDescent="0.2">
      <c r="A27" t="s">
        <v>2735</v>
      </c>
      <c r="B27" t="s">
        <v>2767</v>
      </c>
      <c r="C27">
        <v>0</v>
      </c>
      <c r="D27">
        <v>0</v>
      </c>
      <c r="E27">
        <v>1</v>
      </c>
      <c r="F27">
        <v>5</v>
      </c>
    </row>
    <row r="28" spans="1:6" x14ac:dyDescent="0.2">
      <c r="A28" t="s">
        <v>2756</v>
      </c>
      <c r="B28" t="s">
        <v>2767</v>
      </c>
      <c r="C28">
        <v>0</v>
      </c>
      <c r="D28">
        <v>0</v>
      </c>
      <c r="E28">
        <v>1</v>
      </c>
      <c r="F28">
        <v>8</v>
      </c>
    </row>
    <row r="29" spans="1:6" x14ac:dyDescent="0.2">
      <c r="A29" t="s">
        <v>2768</v>
      </c>
      <c r="B29" t="s">
        <v>2767</v>
      </c>
      <c r="C29">
        <v>0</v>
      </c>
      <c r="D29">
        <v>1</v>
      </c>
      <c r="E29">
        <v>0</v>
      </c>
      <c r="F29">
        <v>0</v>
      </c>
    </row>
    <row r="30" spans="1:6" x14ac:dyDescent="0.2">
      <c r="A30" t="s">
        <v>2752</v>
      </c>
      <c r="B30" t="s">
        <v>2767</v>
      </c>
      <c r="C30">
        <v>0</v>
      </c>
      <c r="D30">
        <v>1</v>
      </c>
      <c r="E30">
        <v>0</v>
      </c>
      <c r="F30">
        <v>0</v>
      </c>
    </row>
    <row r="31" spans="1:6" x14ac:dyDescent="0.2">
      <c r="A31" t="s">
        <v>2743</v>
      </c>
      <c r="B31" t="s">
        <v>2767</v>
      </c>
      <c r="C31">
        <v>0</v>
      </c>
      <c r="D31">
        <v>0</v>
      </c>
      <c r="E31">
        <v>1</v>
      </c>
      <c r="F31">
        <v>8</v>
      </c>
    </row>
    <row r="32" spans="1:6" x14ac:dyDescent="0.2">
      <c r="A32" t="s">
        <v>2742</v>
      </c>
      <c r="B32" t="s">
        <v>2767</v>
      </c>
      <c r="C32">
        <v>0</v>
      </c>
      <c r="D32">
        <v>1</v>
      </c>
      <c r="E32">
        <v>0</v>
      </c>
      <c r="F32">
        <v>0</v>
      </c>
    </row>
    <row r="33" spans="1:6" x14ac:dyDescent="0.2">
      <c r="A33" t="s">
        <v>2739</v>
      </c>
      <c r="B33" t="s">
        <v>2767</v>
      </c>
      <c r="C33">
        <v>0</v>
      </c>
      <c r="D33">
        <v>0</v>
      </c>
      <c r="E33">
        <v>1</v>
      </c>
      <c r="F33">
        <v>8</v>
      </c>
    </row>
    <row r="34" spans="1:6" x14ac:dyDescent="0.2">
      <c r="A34" t="s">
        <v>1191</v>
      </c>
      <c r="B34" t="s">
        <v>2767</v>
      </c>
      <c r="C34">
        <v>0</v>
      </c>
      <c r="D34">
        <v>1</v>
      </c>
      <c r="E34">
        <v>0</v>
      </c>
      <c r="F34">
        <v>0</v>
      </c>
    </row>
    <row r="35" spans="1:6" x14ac:dyDescent="0.2">
      <c r="A35" t="s">
        <v>1031</v>
      </c>
      <c r="B35" t="s">
        <v>2766</v>
      </c>
      <c r="C35">
        <v>0</v>
      </c>
      <c r="D35">
        <v>1</v>
      </c>
      <c r="E35">
        <v>0</v>
      </c>
      <c r="F35">
        <v>0</v>
      </c>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C9DDE-869A-F94E-8192-2C7908C32B79}">
  <dimension ref="A1:H18"/>
  <sheetViews>
    <sheetView workbookViewId="0">
      <selection activeCell="A18" sqref="A18"/>
    </sheetView>
  </sheetViews>
  <sheetFormatPr baseColWidth="10" defaultRowHeight="16" x14ac:dyDescent="0.2"/>
  <cols>
    <col min="1" max="1" width="57.83203125" bestFit="1" customWidth="1"/>
    <col min="2" max="2" width="24" bestFit="1" customWidth="1"/>
    <col min="3" max="3" width="24" customWidth="1"/>
    <col min="4" max="4" width="27.1640625" customWidth="1"/>
    <col min="5" max="5" width="12.1640625" bestFit="1" customWidth="1"/>
    <col min="6" max="6" width="14.1640625" bestFit="1" customWidth="1"/>
    <col min="7" max="7" width="9.33203125" bestFit="1" customWidth="1"/>
    <col min="8" max="8" width="14.5" bestFit="1" customWidth="1"/>
  </cols>
  <sheetData>
    <row r="1" spans="1:8" x14ac:dyDescent="0.2">
      <c r="A1" s="28" t="s">
        <v>2773</v>
      </c>
      <c r="B1" s="28" t="s">
        <v>2774</v>
      </c>
      <c r="C1" s="28" t="s">
        <v>2842</v>
      </c>
      <c r="D1" s="28" t="s">
        <v>2775</v>
      </c>
      <c r="E1" s="28" t="s">
        <v>2769</v>
      </c>
      <c r="F1" s="28" t="s">
        <v>2770</v>
      </c>
      <c r="G1" s="28" t="s">
        <v>2771</v>
      </c>
      <c r="H1" s="28" t="s">
        <v>2772</v>
      </c>
    </row>
    <row r="2" spans="1:8" x14ac:dyDescent="0.2">
      <c r="A2" t="s">
        <v>1142</v>
      </c>
      <c r="B2" t="s">
        <v>2766</v>
      </c>
      <c r="C2" t="s">
        <v>2843</v>
      </c>
      <c r="D2" t="s">
        <v>382</v>
      </c>
      <c r="E2" s="62">
        <v>0</v>
      </c>
      <c r="F2" s="62">
        <v>1</v>
      </c>
      <c r="G2" s="62">
        <v>0</v>
      </c>
      <c r="H2" s="62">
        <v>1</v>
      </c>
    </row>
    <row r="3" spans="1:8" x14ac:dyDescent="0.2">
      <c r="A3" t="s">
        <v>577</v>
      </c>
      <c r="B3" t="s">
        <v>2766</v>
      </c>
      <c r="C3" t="s">
        <v>2843</v>
      </c>
      <c r="D3" t="s">
        <v>382</v>
      </c>
      <c r="E3" s="62">
        <v>0</v>
      </c>
      <c r="F3" s="62">
        <v>1</v>
      </c>
      <c r="G3" s="62">
        <v>0</v>
      </c>
      <c r="H3" s="62">
        <v>1</v>
      </c>
    </row>
    <row r="4" spans="1:8" x14ac:dyDescent="0.2">
      <c r="A4" t="s">
        <v>1556</v>
      </c>
      <c r="B4" t="s">
        <v>2766</v>
      </c>
      <c r="C4" t="s">
        <v>2843</v>
      </c>
      <c r="D4" t="s">
        <v>382</v>
      </c>
      <c r="E4" s="62">
        <v>0</v>
      </c>
      <c r="F4" s="62">
        <v>1</v>
      </c>
      <c r="G4" s="62">
        <v>0</v>
      </c>
      <c r="H4" s="62">
        <v>1</v>
      </c>
    </row>
    <row r="5" spans="1:8" x14ac:dyDescent="0.2">
      <c r="A5" t="s">
        <v>1065</v>
      </c>
      <c r="B5" t="s">
        <v>2766</v>
      </c>
      <c r="C5" t="s">
        <v>2846</v>
      </c>
      <c r="D5" t="s">
        <v>382</v>
      </c>
      <c r="E5" s="62">
        <v>0</v>
      </c>
      <c r="F5" s="62">
        <v>0</v>
      </c>
      <c r="G5" s="62">
        <v>1</v>
      </c>
      <c r="H5" s="62">
        <v>4</v>
      </c>
    </row>
    <row r="6" spans="1:8" x14ac:dyDescent="0.2">
      <c r="A6" t="s">
        <v>905</v>
      </c>
      <c r="B6" t="s">
        <v>2766</v>
      </c>
      <c r="C6" t="s">
        <v>2844</v>
      </c>
      <c r="D6" t="s">
        <v>2854</v>
      </c>
      <c r="E6" s="62">
        <v>0</v>
      </c>
      <c r="F6" s="62">
        <v>0</v>
      </c>
      <c r="G6" s="62">
        <v>1</v>
      </c>
      <c r="H6" s="62">
        <v>4</v>
      </c>
    </row>
    <row r="7" spans="1:8" x14ac:dyDescent="0.2">
      <c r="A7" t="s">
        <v>2855</v>
      </c>
      <c r="B7" t="s">
        <v>2766</v>
      </c>
      <c r="C7" t="s">
        <v>2847</v>
      </c>
      <c r="D7" t="s">
        <v>382</v>
      </c>
      <c r="E7" s="62">
        <v>1</v>
      </c>
      <c r="F7" s="62">
        <v>0</v>
      </c>
      <c r="G7" s="62">
        <v>0</v>
      </c>
      <c r="H7" s="62">
        <v>3</v>
      </c>
    </row>
    <row r="8" spans="1:8" x14ac:dyDescent="0.2">
      <c r="A8" t="s">
        <v>1191</v>
      </c>
      <c r="B8" t="s">
        <v>2766</v>
      </c>
      <c r="C8" t="s">
        <v>2848</v>
      </c>
      <c r="D8" t="s">
        <v>382</v>
      </c>
      <c r="E8" s="62">
        <v>0</v>
      </c>
      <c r="F8" s="62">
        <v>0</v>
      </c>
      <c r="G8" s="62">
        <v>1</v>
      </c>
      <c r="H8" s="62">
        <v>9</v>
      </c>
    </row>
    <row r="9" spans="1:8" x14ac:dyDescent="0.2">
      <c r="A9" t="s">
        <v>816</v>
      </c>
      <c r="B9" t="s">
        <v>2766</v>
      </c>
      <c r="C9" t="s">
        <v>2847</v>
      </c>
      <c r="D9" t="s">
        <v>382</v>
      </c>
      <c r="E9" s="62">
        <v>1</v>
      </c>
      <c r="F9" s="62">
        <v>0</v>
      </c>
      <c r="G9" s="62">
        <v>0</v>
      </c>
      <c r="H9" s="62">
        <v>2</v>
      </c>
    </row>
    <row r="10" spans="1:8" x14ac:dyDescent="0.2">
      <c r="A10" t="s">
        <v>933</v>
      </c>
      <c r="B10" t="s">
        <v>2766</v>
      </c>
      <c r="C10" t="s">
        <v>2847</v>
      </c>
      <c r="D10" t="s">
        <v>2850</v>
      </c>
      <c r="E10" s="62">
        <v>0</v>
      </c>
      <c r="F10" s="62">
        <v>0</v>
      </c>
      <c r="G10" s="62">
        <v>1</v>
      </c>
      <c r="H10" s="62">
        <v>4</v>
      </c>
    </row>
    <row r="11" spans="1:8" x14ac:dyDescent="0.2">
      <c r="A11" t="s">
        <v>1846</v>
      </c>
      <c r="B11" t="s">
        <v>2766</v>
      </c>
      <c r="C11" t="s">
        <v>2847</v>
      </c>
      <c r="D11" t="s">
        <v>382</v>
      </c>
      <c r="E11" s="62">
        <v>1</v>
      </c>
      <c r="F11" s="62">
        <v>0</v>
      </c>
      <c r="G11" s="62">
        <v>0</v>
      </c>
      <c r="H11" s="62">
        <v>5</v>
      </c>
    </row>
    <row r="12" spans="1:8" x14ac:dyDescent="0.2">
      <c r="A12" t="s">
        <v>1135</v>
      </c>
      <c r="B12" t="s">
        <v>2766</v>
      </c>
      <c r="C12" t="s">
        <v>2847</v>
      </c>
      <c r="D12" t="s">
        <v>382</v>
      </c>
      <c r="E12" s="62">
        <v>1</v>
      </c>
      <c r="F12" s="62">
        <v>0</v>
      </c>
      <c r="G12" s="62">
        <v>0</v>
      </c>
      <c r="H12" s="62">
        <v>2</v>
      </c>
    </row>
    <row r="13" spans="1:8" x14ac:dyDescent="0.2">
      <c r="A13" t="s">
        <v>1855</v>
      </c>
      <c r="B13" t="s">
        <v>2766</v>
      </c>
      <c r="C13" t="s">
        <v>2847</v>
      </c>
      <c r="D13" t="s">
        <v>382</v>
      </c>
      <c r="E13" s="62">
        <v>1</v>
      </c>
      <c r="F13" s="62">
        <v>0</v>
      </c>
      <c r="G13" s="62">
        <v>0</v>
      </c>
      <c r="H13" s="62">
        <v>4</v>
      </c>
    </row>
    <row r="14" spans="1:8" x14ac:dyDescent="0.2">
      <c r="A14" t="s">
        <v>1324</v>
      </c>
      <c r="B14" t="s">
        <v>2766</v>
      </c>
      <c r="C14" t="s">
        <v>2843</v>
      </c>
      <c r="D14" t="s">
        <v>382</v>
      </c>
      <c r="E14" s="62">
        <v>0</v>
      </c>
      <c r="F14" s="62">
        <v>1</v>
      </c>
      <c r="G14" s="62">
        <v>0</v>
      </c>
      <c r="H14" s="62">
        <v>1</v>
      </c>
    </row>
    <row r="15" spans="1:8" x14ac:dyDescent="0.2">
      <c r="A15" t="s">
        <v>529</v>
      </c>
      <c r="B15" t="s">
        <v>2766</v>
      </c>
      <c r="C15" t="s">
        <v>2847</v>
      </c>
      <c r="D15" t="s">
        <v>2850</v>
      </c>
      <c r="E15" s="62">
        <v>0</v>
      </c>
      <c r="F15" s="62">
        <v>0</v>
      </c>
      <c r="G15">
        <v>1</v>
      </c>
      <c r="H15" s="62">
        <v>7</v>
      </c>
    </row>
    <row r="16" spans="1:8" x14ac:dyDescent="0.2">
      <c r="A16" t="s">
        <v>2856</v>
      </c>
      <c r="B16" t="s">
        <v>2766</v>
      </c>
      <c r="C16" t="s">
        <v>2847</v>
      </c>
      <c r="D16" t="s">
        <v>2850</v>
      </c>
      <c r="E16" s="62">
        <v>0</v>
      </c>
      <c r="F16" s="62">
        <v>0</v>
      </c>
      <c r="G16" s="62">
        <v>1</v>
      </c>
      <c r="H16" s="62">
        <v>2</v>
      </c>
    </row>
    <row r="17" spans="1:8" x14ac:dyDescent="0.2">
      <c r="A17" t="s">
        <v>1518</v>
      </c>
      <c r="B17" t="s">
        <v>2766</v>
      </c>
      <c r="C17" t="s">
        <v>2843</v>
      </c>
      <c r="D17" t="s">
        <v>2850</v>
      </c>
      <c r="E17" s="62">
        <v>0</v>
      </c>
      <c r="F17" s="62">
        <v>0</v>
      </c>
      <c r="G17" s="62">
        <v>1</v>
      </c>
      <c r="H17" s="62">
        <v>7</v>
      </c>
    </row>
    <row r="18" spans="1:8" x14ac:dyDescent="0.2">
      <c r="A18" t="s">
        <v>1398</v>
      </c>
      <c r="B18" t="s">
        <v>2766</v>
      </c>
      <c r="C18" t="s">
        <v>2843</v>
      </c>
      <c r="D18" t="s">
        <v>382</v>
      </c>
      <c r="E18" s="62">
        <v>0</v>
      </c>
      <c r="F18" s="62">
        <v>1</v>
      </c>
      <c r="G18" s="62">
        <v>0</v>
      </c>
      <c r="H18" s="62">
        <v>1</v>
      </c>
    </row>
  </sheetData>
  <autoFilter ref="C1:H18" xr:uid="{E0EC9DDE-869A-F94E-8192-2C7908C32B79}"/>
  <sortState xmlns:xlrd2="http://schemas.microsoft.com/office/spreadsheetml/2017/richdata2" ref="A3:H18">
    <sortCondition ref="A3:A18"/>
  </sortState>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7A9A-5D85-2744-856A-A43AF42981D3}">
  <dimension ref="A1:J18"/>
  <sheetViews>
    <sheetView workbookViewId="0">
      <selection activeCell="B1" sqref="B1:B6"/>
    </sheetView>
  </sheetViews>
  <sheetFormatPr baseColWidth="10" defaultRowHeight="16" x14ac:dyDescent="0.2"/>
  <cols>
    <col min="2" max="2" width="74.5" bestFit="1" customWidth="1"/>
  </cols>
  <sheetData>
    <row r="1" spans="1:10" x14ac:dyDescent="0.2">
      <c r="B1" t="s">
        <v>1474</v>
      </c>
      <c r="C1" t="s">
        <v>2766</v>
      </c>
      <c r="D1">
        <v>0</v>
      </c>
      <c r="E1">
        <v>0</v>
      </c>
      <c r="F1">
        <v>1</v>
      </c>
      <c r="G1">
        <v>3</v>
      </c>
    </row>
    <row r="2" spans="1:10" x14ac:dyDescent="0.2">
      <c r="B2" t="s">
        <v>2734</v>
      </c>
      <c r="C2" t="s">
        <v>2767</v>
      </c>
      <c r="D2">
        <v>0</v>
      </c>
      <c r="E2">
        <v>0</v>
      </c>
      <c r="F2">
        <v>1</v>
      </c>
      <c r="G2">
        <v>8</v>
      </c>
    </row>
    <row r="3" spans="1:10" x14ac:dyDescent="0.2">
      <c r="B3" t="s">
        <v>2753</v>
      </c>
      <c r="C3" t="s">
        <v>2767</v>
      </c>
      <c r="D3">
        <v>1</v>
      </c>
      <c r="E3">
        <v>0</v>
      </c>
      <c r="F3">
        <v>0</v>
      </c>
      <c r="G3">
        <v>0</v>
      </c>
    </row>
    <row r="6" spans="1:10" x14ac:dyDescent="0.2">
      <c r="A6" t="s">
        <v>2852</v>
      </c>
      <c r="B6" t="s">
        <v>2812</v>
      </c>
      <c r="C6" t="s">
        <v>2766</v>
      </c>
      <c r="D6" t="s">
        <v>2849</v>
      </c>
      <c r="E6">
        <v>1</v>
      </c>
      <c r="F6" s="62"/>
      <c r="G6" s="62"/>
      <c r="H6">
        <v>1</v>
      </c>
      <c r="I6" s="62">
        <v>8</v>
      </c>
    </row>
    <row r="14" spans="1:10" x14ac:dyDescent="0.2">
      <c r="A14" s="75" t="s">
        <v>2853</v>
      </c>
      <c r="B14" s="75"/>
    </row>
    <row r="15" spans="1:10" x14ac:dyDescent="0.2">
      <c r="B15" t="s">
        <v>2851</v>
      </c>
      <c r="C15" s="68" t="s">
        <v>1415</v>
      </c>
      <c r="D15" t="s">
        <v>2766</v>
      </c>
      <c r="E15" t="s">
        <v>2844</v>
      </c>
      <c r="F15">
        <v>1</v>
      </c>
      <c r="G15" s="62"/>
      <c r="H15" s="62"/>
      <c r="I15" s="62">
        <v>1</v>
      </c>
      <c r="J15" s="62">
        <v>5</v>
      </c>
    </row>
    <row r="16" spans="1:10" x14ac:dyDescent="0.2">
      <c r="B16" t="s">
        <v>2851</v>
      </c>
      <c r="C16" s="68" t="s">
        <v>1316</v>
      </c>
      <c r="D16" t="s">
        <v>2766</v>
      </c>
      <c r="E16" t="s">
        <v>2844</v>
      </c>
      <c r="F16">
        <v>1</v>
      </c>
      <c r="G16" s="62"/>
      <c r="H16" s="62"/>
      <c r="I16" s="62">
        <v>1</v>
      </c>
      <c r="J16" s="62">
        <v>4</v>
      </c>
    </row>
    <row r="17" spans="2:10" x14ac:dyDescent="0.2">
      <c r="B17" t="s">
        <v>2851</v>
      </c>
      <c r="C17" s="68" t="s">
        <v>651</v>
      </c>
      <c r="D17" t="s">
        <v>2766</v>
      </c>
      <c r="E17" t="s">
        <v>2845</v>
      </c>
      <c r="F17">
        <v>1</v>
      </c>
      <c r="G17" s="62"/>
      <c r="H17" s="62"/>
      <c r="I17" s="62">
        <v>1</v>
      </c>
      <c r="J17" s="62">
        <v>6</v>
      </c>
    </row>
    <row r="18" spans="2:10" x14ac:dyDescent="0.2">
      <c r="B18" t="s">
        <v>2851</v>
      </c>
      <c r="C18" s="68" t="s">
        <v>1072</v>
      </c>
      <c r="D18" t="s">
        <v>2766</v>
      </c>
      <c r="E18" t="s">
        <v>2843</v>
      </c>
      <c r="F18" t="s">
        <v>2850</v>
      </c>
      <c r="G18" s="62"/>
      <c r="H18" s="62"/>
      <c r="I18" s="62">
        <v>1</v>
      </c>
      <c r="J18" s="62">
        <v>4</v>
      </c>
    </row>
  </sheetData>
  <mergeCells count="1">
    <mergeCell ref="A14:B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README</vt:lpstr>
      <vt:lpstr>results</vt:lpstr>
      <vt:lpstr>Category words</vt:lpstr>
      <vt:lpstr>start and stop times</vt:lpstr>
      <vt:lpstr>Sheet3</vt:lpstr>
      <vt:lpstr>bondsJune7</vt:lpstr>
      <vt:lpstr>expected results</vt:lpstr>
      <vt:lpstr>allocationsJune7</vt:lpstr>
      <vt:lpstr>Sheet2</vt:lpstr>
      <vt:lpstr>simScoreMap</vt:lpstr>
      <vt:lpstr>Project timeline</vt:lpstr>
      <vt:lpstr>ground_truth_train</vt:lpstr>
      <vt:lpstr>manual_baseline</vt:lpstr>
      <vt:lpstr>rpts failing to execute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2026-08-14T08:02:25Z</dcterms:modified>
</cp:coreProperties>
</file>