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6152642E-92BA-3449-B7A0-45CBE84FE4EC}" xr6:coauthVersionLast="47" xr6:coauthVersionMax="47" xr10:uidLastSave="{00000000-0000-0000-0000-000000000000}"/>
  <bookViews>
    <workbookView xWindow="20560" yWindow="660" windowWidth="20240" windowHeight="22220" firstSheet="6" activeTab="10"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Report charteristics" sheetId="16" r:id="rId12"/>
    <sheet name="Project timeline" sheetId="6" state="hidden"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tables'!$B$35:$J$76</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4" i="17" l="1"/>
  <c r="J29" i="17"/>
  <c r="J28" i="17"/>
  <c r="J31" i="17"/>
  <c r="J30" i="17"/>
  <c r="F72" i="17"/>
  <c r="F71" i="17"/>
  <c r="F27" i="17"/>
  <c r="F26" i="17"/>
  <c r="J58" i="17"/>
  <c r="J59" i="17"/>
  <c r="J60" i="17"/>
  <c r="J61" i="17"/>
  <c r="J62" i="17"/>
  <c r="J63" i="17"/>
  <c r="J64" i="17"/>
  <c r="J65" i="17"/>
  <c r="J66" i="17"/>
  <c r="J67" i="17"/>
  <c r="J68" i="17"/>
  <c r="J69" i="17"/>
  <c r="J49" i="17"/>
  <c r="J50" i="17"/>
  <c r="J51" i="17"/>
  <c r="J52" i="17"/>
  <c r="J53" i="17"/>
  <c r="J54" i="17"/>
  <c r="J55" i="17"/>
  <c r="J56" i="17"/>
  <c r="J57" i="17"/>
  <c r="J37" i="17"/>
  <c r="J38" i="17"/>
  <c r="J39" i="17"/>
  <c r="J40" i="17"/>
  <c r="J41" i="17"/>
  <c r="J42" i="17"/>
  <c r="J43" i="17"/>
  <c r="J44" i="17"/>
  <c r="J45" i="17"/>
  <c r="J46" i="17"/>
  <c r="J47" i="17"/>
  <c r="J48" i="17"/>
  <c r="J36" i="17"/>
  <c r="J16" i="13"/>
  <c r="C15" i="13"/>
  <c r="J15" i="13" s="1"/>
  <c r="J13" i="13"/>
  <c r="J12" i="13"/>
  <c r="J11" i="13"/>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 r="J76" i="17" l="1"/>
  <c r="J73" i="17"/>
  <c r="J7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<sst xmlns="http://schemas.openxmlformats.org/spreadsheetml/2006/main" count="25147" uniqueCount="3004">
  <si>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</si>
  <si>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</si>
  <si>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</si>
  <si>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</si>
  <si>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</si>
  <si>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</si>
  <si>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</si>
  <si>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</si>
  <si>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</si>
  <si>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</si>
  <si>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</si>
  <si>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</si>
  <si>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</si>
  <si>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</si>
  <si>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</si>
  <si>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</si>
  <si>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</si>
  <si>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</si>
  <si>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</si>
  <si>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</si>
  <si>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</si>
  <si>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</si>
  <si>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</si>
  <si>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</si>
  <si>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</si>
  <si>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</si>
  <si>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</si>
  <si>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</si>
  <si>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</si>
  <si>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</si>
  <si>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</si>
  <si>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</si>
  <si>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</si>
  <si>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</si>
  <si>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</si>
  <si>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</si>
  <si>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</si>
  <si>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</si>
  <si>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</si>
  <si>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</si>
  <si>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</si>
  <si>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</si>
  <si>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</si>
  <si>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</si>
  <si>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</si>
  <si>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</si>
  <si>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</si>
  <si>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</si>
  <si>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</si>
  <si>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</si>
  <si>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</si>
  <si>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</si>
  <si>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</si>
  <si>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</si>
  <si>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</si>
  <si>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</si>
  <si>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</si>
  <si>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</si>
  <si>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</si>
  <si>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</si>
  <si>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</si>
  <si>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</si>
  <si>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</si>
  <si>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</si>
  <si>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</si>
  <si>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</si>
  <si>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</si>
  <si>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</si>
  <si>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</si>
  <si>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</si>
  <si>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</si>
  <si>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</si>
  <si>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</si>
  <si>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</si>
  <si>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</si>
  <si>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</si>
  <si>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</si>
  <si>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</si>
  <si>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</si>
  <si>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</si>
  <si>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</si>
  <si>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</si>
  <si>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</si>
  <si>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</si>
  <si>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</si>
  <si>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</si>
  <si>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</si>
  <si>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</si>
  <si>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</si>
  <si>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</si>
  <si>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</si>
  <si>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</si>
  <si>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</si>
  <si>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</si>
  <si>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</si>
  <si>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</si>
  <si>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</si>
  <si>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</si>
  <si>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</si>
  <si>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</si>
  <si>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</si>
  <si>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</si>
  <si>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</si>
  <si>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</si>
  <si>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</si>
  <si>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</si>
  <si>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</si>
  <si>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</si>
  <si>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</si>
  <si>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</si>
  <si>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</si>
  <si>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</si>
  <si>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</si>
  <si>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</si>
  <si>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</si>
  <si>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</si>
  <si>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</si>
  <si>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</si>
  <si>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</si>
  <si>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</si>
  <si>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</si>
  <si>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</si>
  <si>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</si>
  <si>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</si>
  <si>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</si>
  <si>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</si>
  <si>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</si>
  <si>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</si>
  <si>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</si>
  <si>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</si>
  <si>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</si>
  <si>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</si>
  <si>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</si>
  <si>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</si>
  <si>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</si>
  <si>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</si>
  <si>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</si>
  <si>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</si>
  <si>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</si>
  <si>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</si>
  <si>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</si>
  <si>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</si>
  <si>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</si>
  <si>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</si>
  <si>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</si>
  <si>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</si>
  <si>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</si>
  <si>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</si>
  <si>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</si>
  <si>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</si>
  <si>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</si>
  <si>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</si>
  <si>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</si>
  <si>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</si>
  <si>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</si>
  <si>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</si>
  <si>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</si>
  <si>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</si>
  <si>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</si>
  <si>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</si>
  <si>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</si>
  <si>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</si>
  <si>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</si>
  <si>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</si>
  <si>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</si>
  <si>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</si>
  <si>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</si>
  <si>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</si>
  <si>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</si>
  <si>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</si>
  <si>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</si>
  <si>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</si>
  <si>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</si>
  <si>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</si>
  <si>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</si>
  <si>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</si>
  <si>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</si>
  <si>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</si>
  <si>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</si>
  <si>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</si>
  <si>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</si>
  <si>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</si>
  <si>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</si>
  <si>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</si>
  <si>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</si>
  <si>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</si>
  <si>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</si>
  <si>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</si>
  <si>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</si>
  <si>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</si>
  <si>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</si>
  <si>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</si>
  <si>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</si>
  <si>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</si>
  <si>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</si>
  <si>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</si>
  <si>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</si>
  <si>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</si>
  <si>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</si>
  <si>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</si>
  <si>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</si>
  <si>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</si>
  <si>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</si>
  <si>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</si>
  <si>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</si>
  <si>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</si>
  <si>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</si>
  <si>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</si>
  <si>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</si>
  <si>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</si>
  <si>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</si>
  <si>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</si>
  <si>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</si>
  <si>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</si>
  <si>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</si>
  <si>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</si>
  <si>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</si>
  <si>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</si>
  <si>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</si>
  <si>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</si>
  <si>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</si>
  <si>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</si>
  <si>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</si>
  <si>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</si>
  <si>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</si>
  <si>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</si>
  <si>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</si>
  <si>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</si>
  <si>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</si>
  <si>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</si>
  <si>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</si>
  <si>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</si>
  <si>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</si>
  <si>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</si>
  <si>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</si>
  <si>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</si>
  <si>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</si>
  <si>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</si>
  <si>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</si>
  <si>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</si>
  <si>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</si>
  <si>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</si>
  <si>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</si>
  <si>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</si>
  <si>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</si>
  <si>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</si>
  <si>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</si>
  <si>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</si>
  <si>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</si>
  <si>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</si>
  <si>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</si>
  <si>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</si>
  <si>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</si>
  <si>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</si>
  <si>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</si>
  <si>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</si>
  <si>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</si>
  <si>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</si>
  <si>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</si>
  <si>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</si>
  <si>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</si>
  <si>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</si>
  <si>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</si>
  <si>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</si>
  <si>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</si>
  <si>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</si>
  <si>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</si>
  <si>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</si>
  <si>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</si>
  <si>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</si>
  <si>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</si>
  <si>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</si>
  <si>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</si>
  <si>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</si>
  <si>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</si>
  <si>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</si>
  <si>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</si>
  <si>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</si>
  <si>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</si>
  <si>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</si>
  <si>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</si>
  <si>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</si>
  <si>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</si>
  <si>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</si>
  <si>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</si>
  <si>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</si>
  <si>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</si>
  <si>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</si>
  <si>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</si>
  <si>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</si>
  <si>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</si>
  <si>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</si>
  <si>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</si>
  <si>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</si>
  <si>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</si>
  <si>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</si>
  <si>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</si>
  <si>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</si>
  <si>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</si>
  <si>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</si>
  <si>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</si>
  <si>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</si>
  <si>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</si>
  <si>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</si>
  <si>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</si>
  <si>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</si>
  <si>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</si>
  <si>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</si>
  <si>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</si>
  <si>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</si>
  <si>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</si>
  <si>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</si>
  <si>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</si>
  <si>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</si>
  <si>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</si>
  <si>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</si>
  <si>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</si>
  <si>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</si>
  <si>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</si>
  <si>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</si>
  <si>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</si>
  <si>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</si>
  <si>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</si>
  <si>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</si>
  <si>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</si>
  <si>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</si>
  <si>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</si>
  <si>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</si>
  <si>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</si>
  <si>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</si>
  <si>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</si>
  <si>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</si>
  <si>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</si>
  <si>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</si>
  <si>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</si>
  <si>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</si>
  <si>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</si>
  <si>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</si>
  <si>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</si>
  <si>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</si>
  <si>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</si>
  <si>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</si>
  <si>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</si>
  <si>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</si>
  <si>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</si>
  <si>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</si>
  <si>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</si>
  <si>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</si>
  <si>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</si>
  <si>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</si>
  <si>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</si>
  <si>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</si>
  <si>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</si>
  <si>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</si>
  <si>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</si>
  <si>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</si>
  <si>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</si>
  <si>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</si>
  <si>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</si>
  <si>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</si>
  <si>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</si>
  <si>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</si>
  <si>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</si>
  <si>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</si>
  <si>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</si>
  <si>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</si>
  <si>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</si>
  <si>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</si>
  <si>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</si>
  <si>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</si>
  <si>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</si>
  <si>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</si>
  <si>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</si>
  <si>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</si>
  <si>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</si>
  <si>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</si>
  <si>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</si>
  <si>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</si>
  <si>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</si>
  <si>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</si>
  <si>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</si>
  <si>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</si>
  <si>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</si>
  <si>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</si>
  <si>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</si>
  <si>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</si>
  <si>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</si>
  <si>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</si>
  <si>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</si>
  <si>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</si>
  <si>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</si>
  <si>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</si>
  <si>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</si>
  <si>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</si>
  <si>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</si>
  <si>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</si>
  <si>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</si>
  <si>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</si>
  <si>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</si>
  <si>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</si>
  <si>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</si>
  <si>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</si>
  <si>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</si>
  <si>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</si>
  <si>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</si>
  <si>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</si>
  <si>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</si>
  <si>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</si>
  <si>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</si>
  <si>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</si>
  <si>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</si>
  <si>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</si>
  <si>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</si>
  <si>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</si>
  <si>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</si>
  <si>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</si>
  <si>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</si>
  <si>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</si>
  <si>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</si>
  <si>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</si>
  <si>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</si>
  <si>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</si>
  <si>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</si>
  <si>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</si>
  <si>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</si>
  <si>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</si>
  <si>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</si>
  <si>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</si>
  <si>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</si>
  <si>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</si>
  <si>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</si>
  <si>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</si>
  <si>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</si>
  <si>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</si>
  <si>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</si>
  <si>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</si>
  <si>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</si>
  <si>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</si>
  <si>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</si>
  <si>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</si>
  <si>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</si>
  <si>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</si>
  <si>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</si>
  <si>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</si>
  <si>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</si>
  <si>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</si>
  <si>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</si>
  <si>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</si>
  <si>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</si>
  <si>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</si>
  <si>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</si>
  <si>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</si>
  <si>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</si>
  <si>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</si>
  <si>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</si>
  <si>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</si>
  <si>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</si>
  <si>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</si>
  <si>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</si>
  <si>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</si>
  <si>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</si>
  <si>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</si>
  <si>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</si>
  <si>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</si>
  <si>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</si>
  <si>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</si>
  <si>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</si>
  <si>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</si>
  <si>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</si>
  <si>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</si>
  <si>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</si>
  <si>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</si>
  <si>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</si>
  <si>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</si>
  <si>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</si>
  <si>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</si>
  <si>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</si>
  <si>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</si>
  <si>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</si>
  <si>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</si>
  <si>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</si>
  <si>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</si>
  <si>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</si>
  <si>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</si>
  <si>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</si>
  <si>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</si>
  <si>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</si>
  <si>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</si>
  <si>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</si>
  <si>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</si>
  <si>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</si>
  <si>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</si>
  <si>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</si>
  <si>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</si>
  <si>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</si>
  <si>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</si>
  <si>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</si>
  <si>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</si>
  <si>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</si>
  <si>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</si>
  <si>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</si>
  <si>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</si>
  <si>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</si>
  <si>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</si>
  <si>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</si>
  <si>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</si>
  <si>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</si>
  <si>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</si>
  <si>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</si>
  <si>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</si>
  <si>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</si>
  <si>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</si>
  <si>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</si>
  <si>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</si>
  <si>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</si>
  <si>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</si>
  <si>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</si>
  <si>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</si>
  <si>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</si>
  <si>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</si>
  <si>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</si>
  <si>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</si>
  <si>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</si>
  <si>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</si>
  <si>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</si>
  <si>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</si>
  <si>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</si>
  <si>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</si>
  <si>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</si>
  <si>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</si>
  <si>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</si>
  <si>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</si>
  <si>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</si>
  <si>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</si>
  <si>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</si>
  <si>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</si>
  <si>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</si>
  <si>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</si>
  <si>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</si>
  <si>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</si>
  <si>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</si>
  <si>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</si>
  <si>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</si>
  <si>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</si>
  <si>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</si>
  <si>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</si>
  <si>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</si>
  <si>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</si>
  <si>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</si>
  <si>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</si>
  <si>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</si>
  <si>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</si>
  <si>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</si>
  <si>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</si>
  <si>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</si>
  <si>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</si>
  <si>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</si>
  <si>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</si>
  <si>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</si>
  <si>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</si>
  <si>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</si>
  <si>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</si>
  <si>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</si>
  <si>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</si>
  <si>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</si>
  <si>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</si>
  <si>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</si>
  <si>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</si>
  <si>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</si>
  <si>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</si>
  <si>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</si>
  <si>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</si>
  <si>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</si>
  <si>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</si>
  <si>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</si>
  <si>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</si>
  <si>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</si>
  <si>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</si>
  <si>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</si>
  <si>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</si>
  <si>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</si>
  <si>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</si>
  <si>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</si>
  <si>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</si>
  <si>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</si>
  <si>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</si>
  <si>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</si>
  <si>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</si>
  <si>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</si>
  <si>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</si>
  <si>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</si>
  <si>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</si>
  <si>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</si>
  <si>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</si>
  <si>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</si>
  <si>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</si>
  <si>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</si>
  <si>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</si>
  <si>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</si>
  <si>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</si>
  <si>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</si>
  <si>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</si>
  <si>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</si>
  <si>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</si>
  <si>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</si>
  <si>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</si>
  <si>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</si>
  <si>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</si>
  <si>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</si>
  <si>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</si>
  <si>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</si>
  <si>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</si>
  <si>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</si>
  <si>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</si>
  <si>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</si>
  <si>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</si>
  <si>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</si>
  <si>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</si>
  <si>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</si>
  <si>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</si>
  <si>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</si>
  <si>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</si>
  <si>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</si>
  <si>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</si>
  <si>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</si>
  <si>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</si>
  <si>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</si>
  <si>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</si>
  <si>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</si>
  <si>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</si>
  <si>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</si>
  <si>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</si>
  <si>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</si>
  <si>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</si>
  <si>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</si>
  <si>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</si>
  <si>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</si>
  <si>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</si>
  <si>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</si>
  <si>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</si>
  <si>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</si>
  <si>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</si>
  <si>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</si>
  <si>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</si>
  <si>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</si>
  <si>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</si>
  <si>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</si>
  <si>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</si>
  <si>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</si>
  <si>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</si>
  <si>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</si>
  <si>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</si>
  <si>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</si>
  <si>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</si>
  <si>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</si>
  <si>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</si>
  <si>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</si>
  <si>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</si>
  <si>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</si>
  <si>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</si>
  <si>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</si>
  <si>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</si>
  <si>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</si>
  <si>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</si>
  <si>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</si>
  <si>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</si>
  <si>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</si>
  <si>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</si>
  <si>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</si>
  <si>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</si>
  <si>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</si>
  <si>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</si>
  <si>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</si>
  <si>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</si>
  <si>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</si>
  <si>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</si>
  <si>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</si>
  <si>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</si>
  <si>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</si>
  <si>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</si>
  <si>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</si>
  <si>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</si>
  <si>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</si>
  <si>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</si>
  <si>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</si>
  <si>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</si>
  <si>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</si>
  <si>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</si>
  <si>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</si>
  <si>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</si>
  <si>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</si>
  <si>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</si>
  <si>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</si>
  <si>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</si>
  <si>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</si>
  <si>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</si>
  <si>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</si>
  <si>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</si>
  <si>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</si>
  <si>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</si>
  <si>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</si>
  <si>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</si>
  <si>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</si>
  <si>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</si>
  <si>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</si>
  <si>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</si>
  <si>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</si>
  <si>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</si>
  <si>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</si>
  <si>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</si>
  <si>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</si>
  <si>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</si>
  <si>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</si>
  <si>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</si>
  <si>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</si>
  <si>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</si>
  <si>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</si>
  <si>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</si>
  <si>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</si>
  <si>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</si>
  <si>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</si>
  <si>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</si>
  <si>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</si>
  <si>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</si>
  <si>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</si>
  <si>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</si>
  <si>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</si>
  <si>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</si>
  <si>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</si>
  <si>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</si>
  <si>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</si>
  <si>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</si>
  <si>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</si>
  <si>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</si>
  <si>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</si>
  <si>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</si>
  <si>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</si>
  <si>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</si>
  <si>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</si>
  <si>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</si>
  <si>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</si>
  <si>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</si>
  <si>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</si>
  <si>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</si>
  <si>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</si>
  <si>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</si>
  <si>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</si>
  <si>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</si>
  <si>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</si>
  <si>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</si>
  <si>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</si>
  <si>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</si>
  <si>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</si>
  <si>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</si>
  <si>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</si>
  <si>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</si>
  <si>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</si>
  <si>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</si>
  <si>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</si>
  <si>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</si>
  <si>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</si>
  <si>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</si>
  <si>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</si>
  <si>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</si>
  <si>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</si>
  <si>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</si>
  <si>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</si>
  <si>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</si>
  <si>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</si>
  <si>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</si>
  <si>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</si>
  <si>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</si>
  <si>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</si>
  <si>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</si>
  <si>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</si>
  <si>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</si>
  <si>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</si>
  <si>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</si>
  <si>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</si>
  <si>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</si>
  <si>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</si>
  <si>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</si>
  <si>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</si>
  <si>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</si>
  <si>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</si>
  <si>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</si>
  <si>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</si>
  <si>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</si>
  <si>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</si>
  <si>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</si>
  <si>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</si>
  <si>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</si>
  <si>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</si>
  <si>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</si>
  <si>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</si>
  <si>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</si>
  <si>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</si>
  <si>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</si>
  <si>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</si>
  <si>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</si>
  <si>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</si>
  <si>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</si>
  <si>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</si>
  <si>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</si>
  <si>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</si>
  <si>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</si>
  <si>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</si>
  <si>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</si>
  <si>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</si>
  <si>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</si>
  <si>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</si>
  <si>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</si>
  <si>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</si>
  <si>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</si>
  <si>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</si>
  <si>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</si>
  <si>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</si>
  <si>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</si>
  <si>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</si>
  <si>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</si>
  <si>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</si>
  <si>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</si>
  <si>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</si>
  <si>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</si>
  <si>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</si>
  <si>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</si>
  <si>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</si>
  <si>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</si>
  <si>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</si>
  <si>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</si>
  <si>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</si>
  <si>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</si>
  <si>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</si>
  <si>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</si>
  <si>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</si>
  <si>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</si>
  <si>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</si>
  <si>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</si>
  <si>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</si>
  <si>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</si>
  <si>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</si>
  <si>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</si>
  <si>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</si>
  <si>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</si>
  <si>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</si>
  <si>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</si>
  <si>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</si>
  <si>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</si>
  <si>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</si>
  <si>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</si>
  <si>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</si>
  <si>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</si>
  <si>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</si>
  <si>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</si>
  <si>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</si>
  <si>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</si>
  <si>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</si>
  <si>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</si>
  <si>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</si>
  <si>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</si>
  <si>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</si>
  <si>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</si>
  <si>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</si>
  <si>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</si>
  <si>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</si>
  <si>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</si>
  <si>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</si>
  <si>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</si>
  <si>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</si>
  <si>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</si>
  <si>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</si>
  <si>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</si>
  <si>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</si>
  <si>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</si>
  <si>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</si>
  <si>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</si>
  <si>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</si>
  <si>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</si>
  <si>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</si>
  <si>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</si>
  <si>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</si>
  <si>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</si>
  <si>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</si>
  <si>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</si>
  <si>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</si>
  <si>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</si>
  <si>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</si>
  <si>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</si>
  <si>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</si>
  <si>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</si>
  <si>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</si>
  <si>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</si>
  <si>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</si>
  <si>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</si>
  <si>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</si>
  <si>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</si>
  <si>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</si>
  <si>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</si>
  <si>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</si>
  <si>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</si>
  <si>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</si>
  <si>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</si>
  <si>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</si>
  <si>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</si>
  <si>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</si>
  <si>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</si>
  <si>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</si>
  <si>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</si>
  <si>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</si>
  <si>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</si>
  <si>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</si>
  <si>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</si>
  <si>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</si>
  <si>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</si>
  <si>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</si>
  <si>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</si>
  <si>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</si>
  <si>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</si>
  <si>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</si>
  <si>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</si>
  <si>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</si>
  <si>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</si>
  <si>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</si>
  <si>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</si>
  <si>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</si>
  <si>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</si>
  <si>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</si>
  <si>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</si>
  <si>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</si>
  <si>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</si>
  <si>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</si>
  <si>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</si>
  <si>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</si>
  <si>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</si>
  <si>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</si>
  <si>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</si>
  <si>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</si>
  <si>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</si>
  <si>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</si>
  <si>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</si>
  <si>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</si>
  <si>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</si>
  <si>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</si>
  <si>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</si>
  <si>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</si>
  <si>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</si>
  <si>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</si>
  <si>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</si>
  <si>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</si>
  <si>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</si>
  <si>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</si>
  <si>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</si>
  <si>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</si>
  <si>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</si>
  <si>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</si>
  <si>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</si>
  <si>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</si>
  <si>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</si>
  <si>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</si>
  <si>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</si>
  <si>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</si>
  <si>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</si>
  <si>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</si>
  <si>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</si>
  <si>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</si>
  <si>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</si>
  <si>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</si>
  <si>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</si>
  <si>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</si>
  <si>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</si>
  <si>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</si>
  <si>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</si>
  <si>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</si>
  <si>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</si>
  <si>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</si>
  <si>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</si>
  <si>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</si>
  <si>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</si>
  <si>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</si>
  <si>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</si>
  <si>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</si>
  <si>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</si>
  <si>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</si>
  <si>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</si>
  <si>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</si>
  <si>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</si>
  <si>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</si>
  <si>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</si>
  <si>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</si>
  <si>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</si>
  <si>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</si>
  <si>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</si>
  <si>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</si>
  <si>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</si>
  <si>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</si>
  <si>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</si>
  <si>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</si>
  <si>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</si>
  <si>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</si>
  <si>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</si>
  <si>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</si>
  <si>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</si>
  <si>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</si>
  <si>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</si>
  <si>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</si>
  <si>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</si>
  <si>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</si>
  <si>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</si>
  <si>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</si>
  <si>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</si>
  <si>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</si>
  <si>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</si>
  <si>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</si>
  <si>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</si>
  <si>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</si>
  <si>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</si>
  <si>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</si>
  <si>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</si>
  <si>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</si>
  <si>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</si>
  <si>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</si>
  <si>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</si>
  <si>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</si>
  <si>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</si>
  <si>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</si>
  <si>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</si>
  <si>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</si>
  <si>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</si>
  <si>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</si>
  <si>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</si>
  <si>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</si>
  <si>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</si>
  <si>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</si>
  <si>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</si>
  <si>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</si>
  <si>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</si>
  <si>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</si>
  <si>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</si>
  <si>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</si>
  <si>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</si>
  <si>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</si>
  <si>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</si>
  <si>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</si>
  <si>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</si>
  <si>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</si>
  <si>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</si>
  <si>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</si>
  <si>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</si>
  <si>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</si>
  <si>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</si>
  <si>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</si>
  <si>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</si>
  <si>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</si>
  <si>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</si>
  <si>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</si>
  <si>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</si>
  <si>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</si>
  <si>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</si>
  <si>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</si>
  <si>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</si>
  <si>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</si>
  <si>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</si>
  <si>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</si>
  <si>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</si>
  <si>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</si>
  <si>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</si>
  <si>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</si>
  <si>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</si>
  <si>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</si>
  <si>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</si>
  <si>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</si>
  <si>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</si>
  <si>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</si>
  <si>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</si>
  <si>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</si>
  <si>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</si>
  <si>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</si>
  <si>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</si>
  <si>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</si>
  <si>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</si>
  <si>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</si>
  <si>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</si>
  <si>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</si>
  <si>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</si>
  <si>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</si>
  <si>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</si>
  <si>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</si>
  <si>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</si>
  <si>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</si>
  <si>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</si>
  <si>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</si>
  <si>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</si>
  <si>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</si>
  <si>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</si>
  <si>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</si>
  <si>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</si>
  <si>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</si>
  <si>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</si>
  <si>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</si>
  <si>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</si>
  <si>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</si>
  <si>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</si>
  <si>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</si>
  <si>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</si>
  <si>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</si>
  <si>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</si>
  <si>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</si>
  <si>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</si>
  <si>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</si>
  <si>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</si>
  <si>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</si>
  <si>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</si>
  <si>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</si>
  <si>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</si>
  <si>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</si>
  <si>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</si>
  <si>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</si>
  <si>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</si>
  <si>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</si>
  <si>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</si>
  <si>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</si>
  <si>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</si>
  <si>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</si>
  <si>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</si>
  <si>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</si>
  <si>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</si>
  <si>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</si>
  <si>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</si>
  <si>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</si>
  <si>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</si>
  <si>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</si>
  <si>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</si>
  <si>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</si>
  <si>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</si>
  <si>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</si>
  <si>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</si>
  <si>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</si>
  <si>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</si>
  <si>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</si>
  <si>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</si>
  <si>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</si>
  <si>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</si>
  <si>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</si>
  <si>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</si>
  <si>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</si>
  <si>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</si>
  <si>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</si>
  <si>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</si>
  <si>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</si>
  <si>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</si>
  <si>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</si>
  <si>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</si>
  <si>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</si>
  <si>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</si>
  <si>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</si>
  <si>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</si>
  <si>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</si>
  <si>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</si>
  <si>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</si>
  <si>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</si>
  <si>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</si>
  <si>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</si>
  <si>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</si>
  <si>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</si>
  <si>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</si>
  <si>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</si>
  <si>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</si>
  <si>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</si>
  <si>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</si>
  <si>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</si>
  <si>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</si>
  <si>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</si>
  <si>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</si>
  <si>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</si>
  <si>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</si>
  <si>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</si>
  <si>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</si>
  <si>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</si>
  <si>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</si>
  <si>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</si>
  <si>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</si>
  <si>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</si>
  <si>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</si>
  <si>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</si>
  <si>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</si>
  <si>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</si>
  <si>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</si>
  <si>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</si>
  <si>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</si>
  <si>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</si>
  <si>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</si>
  <si>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</si>
  <si>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</si>
  <si>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</si>
  <si>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</si>
  <si>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</si>
  <si>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</si>
  <si>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</si>
  <si>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</si>
  <si>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</si>
  <si>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</si>
  <si>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</si>
  <si>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</si>
  <si>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</si>
  <si>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</si>
  <si>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</si>
  <si>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</si>
  <si>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</si>
  <si>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</si>
  <si>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</si>
  <si>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</si>
  <si>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</si>
  <si>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</si>
  <si>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</si>
  <si>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</si>
  <si>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</si>
  <si>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</si>
  <si>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</si>
  <si>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</si>
  <si>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</si>
  <si>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</si>
  <si>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</si>
  <si>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</si>
  <si>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</si>
  <si>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</si>
  <si>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</si>
  <si>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</si>
  <si>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</si>
  <si>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</si>
  <si>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</si>
  <si>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</si>
  <si>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</si>
  <si>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</si>
  <si>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</si>
  <si>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</si>
  <si>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</si>
  <si>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</si>
  <si>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</si>
  <si>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</si>
  <si>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</si>
  <si>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</si>
  <si>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</si>
  <si>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</si>
  <si>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</si>
  <si>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</si>
  <si>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</si>
  <si>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</si>
  <si>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</si>
  <si>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</si>
  <si>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</si>
  <si>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</si>
  <si>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</si>
  <si>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</si>
  <si>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</si>
  <si>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</si>
  <si>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</si>
  <si>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</si>
  <si>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</si>
  <si>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</si>
  <si>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</si>
  <si>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</si>
  <si>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</si>
  <si>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</si>
  <si>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</si>
  <si>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</si>
  <si>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</si>
  <si>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</si>
  <si>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</si>
  <si>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</si>
  <si>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</si>
  <si>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</si>
  <si>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</si>
  <si>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</si>
  <si>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</si>
  <si>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</si>
  <si>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</si>
  <si>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</si>
  <si>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</si>
  <si>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</si>
  <si>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</si>
  <si>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</si>
  <si>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</si>
  <si>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</si>
  <si>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</si>
  <si>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</si>
  <si>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</si>
  <si>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</si>
  <si>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</si>
  <si>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</si>
  <si>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</si>
  <si>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</si>
  <si>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</si>
  <si>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</si>
  <si>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</si>
  <si>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</si>
  <si>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</si>
  <si>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</si>
  <si>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</si>
  <si>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</si>
  <si>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</si>
  <si>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</si>
  <si>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</si>
  <si>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</si>
  <si>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</si>
  <si>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</si>
  <si>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</si>
  <si>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</si>
  <si>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</si>
  <si>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</si>
  <si>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</si>
  <si>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</si>
  <si>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</si>
  <si>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</si>
  <si>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</si>
  <si>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</si>
  <si>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</si>
  <si>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</si>
  <si>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</si>
  <si>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</si>
  <si>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</si>
  <si>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</si>
  <si>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</si>
  <si>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</si>
  <si>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</si>
  <si>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</si>
  <si>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</si>
  <si>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</si>
  <si>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</si>
  <si>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</si>
  <si>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</si>
  <si>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</si>
  <si>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</si>
  <si>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</si>
  <si>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</si>
  <si>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</si>
  <si>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</si>
  <si>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</si>
  <si>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</si>
  <si>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</si>
  <si>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</si>
  <si>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</si>
  <si>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</si>
  <si>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</si>
  <si>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</si>
  <si>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</si>
  <si>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</si>
  <si>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</si>
  <si>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</si>
  <si>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</si>
  <si>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</si>
  <si>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</si>
  <si>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</si>
  <si>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</si>
  <si>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</si>
  <si>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</si>
  <si>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</si>
  <si>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</si>
  <si>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</si>
  <si>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</si>
  <si>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</si>
  <si>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</si>
  <si>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</si>
  <si>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</si>
  <si>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</si>
  <si>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</si>
  <si>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</si>
  <si>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</si>
  <si>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</si>
  <si>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</si>
  <si>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</si>
  <si>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</si>
  <si>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</si>
  <si>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</si>
  <si>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</si>
  <si>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</si>
  <si>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</si>
  <si>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</si>
  <si>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</si>
  <si>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</si>
  <si>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</si>
  <si>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</si>
  <si>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</si>
  <si>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</si>
  <si>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</si>
  <si>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</si>
  <si>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</si>
  <si>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</si>
  <si>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</si>
  <si>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</si>
  <si>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</si>
  <si>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</si>
  <si>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</si>
  <si>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</si>
  <si>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</si>
  <si>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</si>
  <si>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</si>
  <si>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</si>
  <si>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</si>
  <si>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</si>
  <si>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</si>
  <si>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</si>
  <si>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</si>
  <si>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</si>
  <si>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</si>
  <si>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</si>
  <si>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</si>
  <si>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</si>
  <si>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</si>
  <si>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</si>
  <si>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</si>
  <si>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</si>
  <si>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</si>
  <si>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</si>
  <si>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</si>
  <si>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</si>
  <si>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</si>
  <si>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</si>
  <si>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</si>
  <si>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</si>
  <si>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</si>
  <si>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</si>
  <si>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</si>
  <si>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</si>
  <si>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</si>
  <si>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</si>
  <si>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</si>
  <si>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</si>
  <si>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</si>
  <si>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</si>
  <si>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</si>
  <si>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</si>
  <si>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</si>
  <si>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</si>
  <si>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</si>
  <si>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</si>
  <si>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</si>
  <si>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</si>
  <si>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</si>
  <si>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</si>
  <si>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</si>
  <si>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</si>
  <si>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</si>
  <si>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</si>
  <si>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</si>
  <si>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</si>
  <si>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</si>
  <si>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</si>
  <si>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</si>
  <si>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</si>
  <si>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</si>
  <si>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</si>
  <si>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</si>
  <si>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</si>
  <si>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</si>
  <si>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</si>
  <si>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</si>
  <si>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</si>
  <si>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</si>
  <si>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</si>
  <si>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</si>
  <si>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</si>
  <si>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</si>
  <si>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</si>
  <si>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</si>
  <si>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</si>
  <si>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</si>
  <si>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</si>
  <si>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</si>
  <si>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</si>
  <si>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</si>
  <si>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</si>
  <si>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</si>
  <si>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</si>
  <si>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</si>
  <si>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</si>
  <si>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</si>
  <si>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</si>
  <si>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</si>
  <si>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</si>
  <si>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</si>
  <si>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</si>
  <si>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</si>
  <si>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</si>
  <si>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</si>
  <si>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</si>
  <si>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</si>
  <si>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</si>
  <si>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</si>
  <si>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</si>
  <si>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</si>
  <si>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</si>
  <si>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</si>
  <si>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</si>
  <si>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</si>
  <si>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</si>
  <si>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</si>
  <si>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</si>
  <si>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</si>
  <si>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</si>
  <si>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</si>
  <si>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</si>
  <si>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</si>
  <si>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</si>
  <si>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</si>
  <si>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</si>
  <si>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</si>
  <si>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</si>
  <si>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</si>
  <si>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</si>
  <si>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</si>
  <si>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</si>
  <si>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</si>
  <si>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</si>
  <si>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</si>
  <si>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</si>
  <si>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</si>
  <si>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</si>
  <si>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</si>
  <si>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</si>
  <si>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</si>
  <si>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</si>
  <si>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</si>
  <si>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</si>
  <si>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</si>
  <si>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</si>
  <si>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</si>
  <si>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</si>
  <si>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</si>
  <si>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</si>
  <si>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</si>
  <si>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</si>
  <si>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</si>
  <si>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</si>
  <si>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</si>
  <si>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</si>
  <si>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</si>
  <si>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</si>
  <si>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</si>
  <si>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</si>
  <si>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</si>
  <si>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</si>
  <si>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</si>
  <si>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</si>
  <si>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</si>
  <si>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</si>
  <si>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</si>
  <si>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</si>
  <si>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</si>
  <si>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</si>
  <si>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</si>
  <si>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</si>
  <si>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</si>
  <si>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</si>
  <si>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</si>
  <si>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</si>
  <si>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</si>
  <si>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</si>
  <si>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</si>
  <si>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</si>
  <si>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</si>
  <si>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</si>
  <si>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</si>
  <si>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</si>
  <si>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</si>
  <si>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</si>
  <si>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</si>
  <si>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</si>
  <si>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</si>
  <si>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</si>
  <si>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</si>
  <si>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</si>
  <si>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</si>
  <si>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</si>
  <si>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</si>
  <si>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</si>
  <si>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</si>
  <si>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</si>
  <si>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</si>
  <si>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</si>
  <si>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</si>
  <si>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</si>
  <si>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</si>
  <si>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</si>
  <si>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</si>
  <si>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</si>
  <si>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</si>
  <si>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</si>
  <si>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</si>
  <si>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</si>
  <si>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</si>
  <si>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</si>
  <si>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</si>
  <si>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</si>
  <si>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</si>
  <si>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</si>
  <si>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</si>
  <si>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</si>
  <si>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</si>
  <si>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</si>
  <si>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</si>
  <si>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</si>
  <si>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</si>
  <si>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</si>
  <si>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</si>
  <si>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</si>
  <si>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</si>
  <si>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</si>
  <si>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</si>
  <si>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</si>
  <si>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</si>
  <si>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</si>
  <si>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</si>
  <si>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</si>
  <si>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</si>
  <si>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</si>
  <si>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</si>
  <si>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</si>
  <si>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</si>
  <si>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</si>
  <si>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</si>
  <si>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</si>
  <si>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</si>
  <si>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</si>
  <si>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</si>
  <si>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</si>
  <si>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</si>
  <si>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</si>
  <si>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</si>
  <si>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</si>
  <si>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</si>
  <si>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</si>
  <si>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</si>
  <si>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</si>
  <si>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</si>
  <si>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</si>
  <si>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</si>
  <si>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</si>
  <si>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</si>
  <si>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</si>
  <si>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</si>
  <si>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</si>
  <si>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</si>
  <si>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</si>
  <si>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</si>
  <si>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</si>
  <si>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</si>
  <si>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</si>
  <si>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</si>
  <si>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</si>
  <si>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</si>
  <si>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</si>
  <si>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</si>
  <si>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</si>
  <si>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</si>
  <si>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</si>
  <si>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</si>
  <si>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</si>
  <si>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</si>
  <si>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</si>
  <si>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</si>
  <si>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</si>
  <si>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</si>
  <si>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</si>
  <si>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</si>
  <si>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</si>
  <si>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</si>
  <si>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</si>
  <si>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</si>
  <si>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</si>
  <si>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</si>
  <si>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</si>
  <si>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</si>
  <si>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</si>
  <si>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</si>
  <si>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</si>
  <si>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</si>
  <si>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</si>
  <si>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</si>
  <si>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</si>
  <si>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</si>
  <si>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</si>
  <si>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</si>
  <si>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</si>
  <si>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</si>
  <si>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</si>
  <si>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</si>
  <si>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</si>
  <si>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</si>
  <si>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</si>
  <si>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</si>
  <si>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</si>
  <si>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</si>
  <si>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</si>
  <si>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</si>
  <si>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</si>
  <si>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</si>
  <si>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</si>
  <si>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</si>
  <si>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</si>
  <si>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</si>
  <si>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</si>
  <si>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</si>
  <si>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</si>
  <si>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</si>
  <si>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</si>
  <si>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</si>
  <si>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</si>
  <si>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</si>
  <si>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</si>
  <si>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</si>
  <si>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</si>
  <si>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</si>
  <si>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</si>
  <si>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</si>
  <si>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</si>
  <si>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</si>
  <si>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</si>
  <si>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</si>
  <si>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</si>
  <si>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</si>
  <si>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</si>
  <si>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</si>
  <si>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</si>
  <si>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</si>
  <si>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</si>
  <si>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</si>
  <si>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</si>
  <si>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</si>
  <si>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</si>
  <si>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</si>
  <si>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</si>
  <si>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</si>
  <si>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</si>
  <si>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</si>
  <si>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</si>
  <si>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</si>
  <si>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</si>
  <si>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</si>
  <si>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</si>
  <si>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</si>
  <si>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</si>
  <si>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</si>
  <si>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</si>
  <si>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</si>
  <si>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</si>
  <si>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</si>
  <si>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</si>
  <si>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</si>
  <si>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</si>
  <si>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</si>
  <si>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</si>
  <si>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</si>
  <si>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</si>
  <si>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</si>
  <si>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</si>
  <si>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</si>
  <si>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</si>
  <si>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</si>
  <si>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</si>
  <si>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</si>
  <si>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</si>
  <si>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</si>
  <si>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</si>
  <si>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</si>
  <si>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</si>
  <si>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</si>
  <si>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</si>
  <si>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</si>
  <si>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</si>
  <si>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</si>
  <si>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</si>
  <si>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</si>
  <si>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</si>
  <si>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</si>
  <si>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</si>
  <si>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</si>
  <si>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</si>
  <si>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</si>
  <si>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</si>
  <si>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</si>
  <si>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</si>
  <si>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</si>
  <si>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</si>
  <si>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</si>
  <si>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</si>
  <si>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</si>
  <si>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</si>
  <si>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</si>
  <si>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</si>
  <si>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</si>
  <si>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</si>
  <si>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</si>
  <si>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</si>
  <si>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</si>
  <si>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</si>
  <si>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</si>
  <si>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</si>
  <si>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</si>
  <si>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</si>
  <si>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</si>
  <si>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</si>
  <si>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</si>
  <si>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</si>
  <si>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</si>
  <si>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</si>
  <si>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</si>
  <si>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</si>
  <si>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</si>
  <si>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</si>
  <si>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</si>
  <si>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</si>
  <si>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</si>
  <si>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</si>
  <si>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</si>
  <si>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</si>
  <si>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</si>
  <si>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</si>
  <si>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</si>
  <si>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</si>
  <si>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</si>
  <si>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</si>
  <si>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</si>
  <si>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</si>
  <si>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</si>
  <si>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</si>
  <si>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</si>
  <si>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</si>
  <si>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</si>
  <si>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</si>
  <si>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</si>
  <si>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</si>
  <si>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</si>
  <si>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</si>
  <si>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</si>
  <si>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</si>
  <si>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</si>
  <si>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</si>
  <si>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</si>
  <si>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</si>
  <si>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</si>
  <si>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</si>
  <si>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</si>
  <si>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</si>
  <si>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</si>
  <si>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</si>
  <si>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</si>
  <si>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</si>
  <si>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</si>
  <si>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</si>
  <si>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</si>
  <si>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</si>
  <si>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</si>
  <si>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</si>
  <si>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</si>
  <si>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</si>
  <si>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</si>
  <si>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</si>
  <si>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</si>
  <si>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</si>
  <si>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</si>
  <si>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</si>
  <si>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</si>
  <si>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</si>
  <si>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</si>
  <si>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</si>
  <si>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</si>
  <si>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</si>
  <si>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</si>
  <si>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</si>
  <si>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</si>
  <si>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</si>
  <si>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</si>
  <si>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</si>
  <si>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</si>
  <si>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</si>
  <si>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</si>
  <si>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</si>
  <si>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</si>
  <si>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</si>
  <si>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</si>
  <si>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</si>
  <si>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</si>
  <si>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</si>
  <si>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</si>
  <si>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</si>
  <si>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</si>
  <si>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</si>
  <si>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</si>
  <si>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</si>
  <si>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</si>
  <si>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</si>
  <si>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</si>
  <si>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</si>
  <si>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</si>
  <si>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</si>
  <si>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</si>
  <si>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</si>
  <si>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</si>
  <si>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</si>
  <si>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</si>
  <si>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</si>
  <si>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</si>
  <si>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</si>
  <si>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</si>
  <si>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</si>
  <si>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</si>
  <si>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</si>
  <si>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</si>
  <si>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</si>
  <si>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</si>
  <si>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</si>
  <si>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</si>
  <si>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</si>
  <si>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</si>
  <si>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</si>
  <si>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</si>
  <si>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</si>
  <si>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</si>
  <si>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</si>
  <si>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</si>
  <si>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</si>
  <si>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</si>
  <si>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</si>
  <si>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</si>
  <si>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</si>
  <si>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</si>
  <si>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</si>
  <si>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</si>
  <si>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</si>
  <si>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</si>
  <si>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</si>
  <si>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</si>
  <si>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</si>
  <si>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</si>
  <si>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</si>
  <si>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</si>
  <si>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</si>
  <si>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</si>
  <si>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</si>
  <si>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</si>
  <si>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</si>
  <si>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</si>
  <si>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</si>
  <si>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</si>
  <si>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</si>
  <si>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</si>
  <si>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</si>
  <si>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</si>
  <si>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</si>
  <si>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</si>
  <si>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</si>
  <si>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</si>
  <si>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</si>
  <si>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</si>
  <si>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</si>
  <si>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</si>
  <si>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</si>
  <si>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</si>
  <si>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</si>
  <si>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</si>
  <si>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</si>
  <si>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</si>
  <si>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</si>
  <si>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</si>
  <si>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</si>
  <si>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</si>
  <si>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</si>
  <si>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</si>
  <si>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</si>
  <si>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</si>
  <si>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</si>
  <si>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</si>
  <si>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</si>
  <si>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</si>
  <si>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</si>
  <si>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</si>
  <si>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</si>
  <si>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</si>
  <si>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</si>
  <si>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</si>
  <si>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</si>
  <si>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</si>
  <si>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</si>
  <si>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</si>
  <si>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</si>
  <si>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</si>
  <si>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</si>
  <si>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</si>
  <si>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</si>
  <si>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</si>
  <si>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</si>
  <si>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</si>
  <si>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</si>
  <si>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</si>
  <si>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</si>
  <si>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</si>
  <si>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</si>
  <si>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</si>
  <si>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</si>
  <si>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</si>
  <si>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</si>
  <si>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</si>
  <si>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</si>
  <si>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</si>
  <si>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</si>
  <si>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</si>
  <si>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</si>
  <si>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</si>
  <si>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</si>
  <si>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</si>
  <si>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</si>
  <si>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</si>
  <si>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</si>
  <si>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</si>
  <si>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</si>
  <si>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</si>
  <si>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</si>
  <si>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</si>
  <si>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</si>
  <si>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</si>
  <si>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</si>
  <si>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</si>
  <si>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</si>
  <si>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</si>
  <si>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</si>
  <si>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</si>
  <si>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</si>
  <si>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</si>
  <si>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</si>
  <si>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</si>
  <si>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</si>
  <si>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</si>
  <si>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</si>
  <si>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</si>
  <si>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</si>
  <si>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</si>
  <si>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</si>
  <si>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</si>
  <si>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</si>
  <si>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</si>
  <si>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</si>
  <si>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</si>
  <si>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</si>
  <si>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</si>
  <si>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</si>
  <si>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</si>
  <si>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</si>
  <si>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</si>
  <si>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</si>
  <si>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</si>
  <si>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</si>
  <si>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</si>
  <si>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</si>
  <si>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</si>
  <si>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</si>
  <si>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</si>
  <si>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</si>
  <si>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</si>
  <si>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</si>
  <si>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</si>
  <si>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</si>
  <si>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</si>
  <si>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</si>
  <si>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</si>
  <si>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</si>
  <si>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</si>
  <si>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</si>
  <si>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</si>
  <si>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</si>
  <si>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</si>
  <si>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</si>
  <si>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</si>
  <si>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</si>
  <si>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</si>
  <si>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</si>
  <si>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</si>
  <si>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</si>
  <si>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</si>
  <si>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</si>
  <si>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</si>
  <si>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</si>
  <si>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</si>
  <si>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</si>
  <si>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</si>
  <si>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</si>
  <si>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</si>
  <si>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</si>
  <si>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</si>
  <si>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</si>
  <si>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</si>
  <si>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</si>
  <si>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</si>
  <si>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</si>
  <si>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</si>
  <si>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</si>
  <si>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</si>
  <si>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</si>
  <si>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</si>
  <si>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</si>
  <si>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</si>
  <si>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</si>
  <si>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</si>
  <si>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</si>
  <si>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</si>
  <si>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</si>
  <si>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</si>
  <si>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</si>
  <si>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</si>
  <si>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</si>
  <si>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</si>
  <si>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</si>
  <si>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</si>
  <si>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</si>
  <si>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</si>
  <si>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</si>
  <si>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</si>
  <si>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</si>
  <si>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</si>
  <si>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</si>
  <si>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</si>
  <si>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</si>
  <si>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</si>
  <si>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</si>
  <si>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</si>
  <si>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</si>
  <si>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</si>
  <si>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</si>
  <si>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</si>
  <si>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</si>
  <si>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</si>
  <si>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</si>
  <si>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</si>
  <si>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</si>
  <si>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</si>
  <si>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</si>
  <si>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</si>
  <si>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</si>
  <si>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</si>
  <si>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</si>
  <si>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</si>
  <si>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</si>
  <si>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</si>
  <si>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</si>
  <si>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</si>
  <si>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</si>
  <si>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</si>
  <si>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</si>
  <si>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</si>
  <si>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</si>
  <si>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</si>
  <si>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</si>
  <si>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</si>
  <si>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</si>
  <si>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</si>
  <si>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</si>
  <si>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</si>
  <si>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</si>
  <si>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</si>
  <si>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</si>
  <si>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</si>
  <si>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</si>
  <si>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</si>
  <si>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</si>
  <si>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</si>
  <si>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</si>
  <si>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</si>
  <si>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</si>
  <si>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</si>
  <si>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</si>
  <si>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</si>
  <si>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</si>
  <si>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</si>
  <si>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</si>
  <si>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</si>
  <si>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</si>
  <si>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</si>
  <si>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</si>
  <si>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</si>
  <si>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</si>
  <si>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</si>
  <si>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</si>
  <si>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</si>
  <si>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</si>
  <si>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</si>
  <si>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</si>
  <si>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</si>
  <si>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</si>
  <si>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</si>
  <si>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</si>
  <si>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</si>
  <si>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</si>
  <si>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</si>
  <si>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</si>
  <si>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</si>
  <si>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</si>
  <si>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</si>
  <si>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</si>
  <si>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</si>
  <si>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</si>
  <si>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</si>
  <si>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</si>
  <si>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</si>
  <si>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</si>
  <si>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</si>
  <si>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</si>
  <si>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</si>
  <si>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</si>
  <si>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</si>
  <si>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</si>
  <si>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</si>
  <si>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</si>
  <si>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</si>
  <si>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</si>
  <si>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</si>
  <si>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</si>
  <si>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</si>
  <si>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</si>
  <si>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</si>
  <si>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</si>
  <si>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</si>
  <si>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</si>
  <si>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</si>
  <si>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</si>
  <si>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</si>
  <si>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</si>
  <si>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</si>
  <si>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</si>
  <si>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</si>
  <si>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</si>
  <si>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</si>
  <si>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</si>
  <si>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</si>
  <si>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</si>
  <si>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</si>
  <si>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</si>
  <si>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</si>
  <si>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</si>
  <si>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</si>
  <si>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</si>
  <si>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</si>
  <si>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</si>
  <si>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</si>
  <si>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</si>
  <si>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</si>
  <si>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</si>
  <si>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</si>
  <si>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</si>
  <si>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</si>
  <si>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</si>
  <si>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</si>
  <si>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</si>
  <si>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</si>
  <si>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</si>
  <si>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</si>
  <si>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</si>
  <si>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</si>
  <si>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</si>
  <si>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</si>
  <si>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</si>
  <si>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</si>
  <si>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</si>
  <si>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</si>
  <si>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</si>
  <si>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</si>
  <si>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</si>
  <si>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</si>
  <si>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</si>
  <si>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</si>
  <si>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</si>
  <si>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</si>
  <si>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</si>
  <si>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</si>
  <si>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</si>
  <si>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</si>
  <si>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</si>
  <si>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</si>
  <si>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</si>
  <si>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</si>
  <si>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</si>
  <si>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</si>
  <si>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</si>
  <si>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</si>
  <si>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</si>
  <si>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</si>
  <si>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</si>
  <si>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</si>
  <si>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</si>
  <si>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</si>
  <si>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</si>
  <si>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</si>
  <si>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</si>
  <si>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</si>
  <si>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</si>
  <si>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</si>
  <si>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</si>
  <si>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</si>
  <si>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</si>
  <si>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</si>
  <si>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</si>
  <si>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</si>
  <si>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</si>
  <si>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</si>
  <si>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</si>
  <si>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</si>
  <si>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</si>
  <si>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</si>
  <si>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</si>
  <si>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</si>
  <si>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</si>
  <si>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</si>
  <si>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</si>
  <si>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</si>
  <si>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</si>
  <si>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</si>
  <si>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</si>
  <si>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</si>
  <si>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</si>
  <si>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</si>
  <si>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</si>
  <si>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</si>
  <si>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</si>
  <si>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</si>
  <si>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</si>
  <si>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</si>
  <si>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</si>
  <si>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</si>
  <si>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</si>
  <si>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</si>
  <si>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</si>
  <si>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</si>
  <si>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</si>
  <si>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</si>
  <si>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</si>
  <si>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</si>
  <si>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</si>
  <si>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</si>
  <si>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</si>
  <si>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</si>
  <si>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</si>
  <si>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</si>
  <si>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</si>
  <si>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</si>
  <si>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</si>
  <si>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</si>
  <si>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</si>
  <si>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</si>
  <si>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</si>
  <si>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</si>
  <si>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</si>
  <si>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</si>
  <si>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</si>
  <si>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</si>
  <si>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</si>
  <si>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</si>
  <si>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</si>
  <si>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</si>
  <si>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</si>
  <si>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</si>
  <si>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</si>
  <si>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</si>
  <si>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</si>
  <si>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</si>
  <si>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</si>
  <si>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</si>
  <si>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</si>
  <si>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</si>
  <si>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</si>
  <si>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</si>
  <si>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</si>
  <si>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</si>
  <si>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</si>
  <si>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</si>
  <si>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</si>
  <si>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</si>
  <si>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</si>
  <si>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</si>
  <si>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</si>
  <si>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</si>
  <si>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</si>
  <si>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</si>
  <si>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</si>
  <si>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</si>
  <si>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</si>
  <si>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</si>
  <si>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</si>
  <si>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</si>
  <si>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</si>
  <si>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</si>
  <si>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</si>
  <si>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</si>
  <si>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</si>
  <si>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</si>
  <si>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</si>
  <si>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</si>
  <si>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</si>
  <si>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</si>
  <si>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</si>
  <si>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</si>
  <si>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</si>
  <si>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</si>
  <si>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</si>
  <si>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</si>
  <si>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</si>
  <si>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</si>
  <si>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</si>
  <si>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</si>
  <si>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</si>
  <si>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</si>
  <si>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</si>
  <si>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</si>
  <si>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</si>
  <si>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</si>
  <si>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</si>
  <si>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</si>
  <si>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</si>
  <si>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</si>
  <si>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</si>
  <si>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</si>
  <si>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</si>
  <si>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</si>
  <si>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</si>
  <si>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</si>
  <si>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</si>
  <si>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</si>
  <si>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</si>
  <si>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</si>
  <si>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</si>
  <si>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</si>
  <si>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</si>
  <si>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</si>
  <si>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</si>
  <si>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</si>
  <si>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</si>
  <si>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</si>
  <si>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</si>
  <si>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</si>
  <si>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</si>
  <si>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</si>
  <si>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</si>
  <si>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</si>
  <si>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</si>
  <si>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</si>
  <si>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</si>
  <si>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</si>
  <si>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</si>
  <si>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</si>
  <si>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</si>
  <si>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</si>
  <si>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</si>
  <si>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</si>
  <si>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</si>
  <si>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</si>
  <si>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</si>
  <si>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</si>
  <si>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</si>
  <si>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</si>
  <si>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</si>
  <si>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</si>
  <si>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</si>
  <si>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</si>
  <si>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</si>
  <si>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</si>
  <si>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</si>
  <si>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</si>
  <si>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</si>
  <si>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</si>
  <si>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</si>
  <si>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</si>
  <si>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</si>
  <si>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</si>
  <si>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</si>
  <si>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</si>
  <si>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</si>
  <si>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</si>
  <si>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</si>
  <si>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</si>
  <si>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</si>
  <si>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</si>
  <si>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</si>
  <si>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</si>
  <si>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</si>
  <si>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</si>
  <si>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</si>
  <si>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</si>
  <si>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</si>
  <si>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</si>
  <si>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</si>
  <si>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</si>
  <si>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</si>
  <si>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</si>
  <si>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</si>
  <si>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</si>
  <si>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</si>
  <si>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</si>
  <si>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</si>
  <si>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</si>
  <si>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</si>
  <si>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</si>
  <si>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</si>
  <si>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</si>
  <si>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</si>
  <si>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</si>
  <si>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</si>
  <si>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</si>
  <si>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</si>
  <si>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</si>
  <si>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</si>
  <si>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</si>
  <si>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</si>
  <si>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</si>
  <si>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</si>
  <si>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</si>
  <si>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</si>
  <si>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</si>
  <si>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</si>
  <si>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</si>
  <si>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</si>
  <si>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</si>
  <si>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</si>
  <si>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</si>
  <si>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</si>
  <si>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</si>
  <si>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</si>
  <si>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</si>
  <si>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</si>
  <si>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</si>
  <si>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</si>
  <si>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</si>
  <si>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</si>
  <si>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</si>
  <si>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</si>
  <si>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</si>
  <si>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</si>
  <si>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</si>
  <si>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</si>
  <si>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</si>
  <si>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</si>
  <si>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</si>
  <si>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</si>
  <si>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</si>
  <si>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</si>
  <si>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</si>
  <si>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</si>
  <si>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</si>
  <si>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</si>
  <si>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</si>
  <si>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</si>
  <si>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</si>
  <si>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</si>
  <si>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</si>
  <si>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</si>
  <si>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</si>
  <si>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</si>
  <si>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</si>
  <si>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</si>
  <si>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</si>
  <si>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</si>
  <si>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</si>
  <si>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</si>
  <si>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</si>
  <si>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</si>
  <si>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</si>
  <si>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</si>
  <si>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</si>
  <si>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</si>
  <si>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</si>
  <si>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</si>
  <si>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</si>
  <si>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</si>
  <si>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</si>
  <si>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</si>
  <si>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</si>
  <si>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</si>
  <si>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</si>
  <si>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</si>
  <si>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</si>
  <si>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</si>
  <si>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</si>
  <si>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</si>
  <si>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</si>
  <si>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</si>
  <si>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</si>
  <si>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</si>
  <si>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</si>
  <si>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</si>
  <si>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</si>
  <si>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</si>
  <si>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</si>
  <si>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</si>
  <si>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</si>
  <si>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</si>
  <si>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</si>
  <si>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</si>
  <si>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</si>
  <si>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</si>
  <si>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</si>
  <si>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</si>
  <si>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</si>
  <si>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</si>
  <si>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</si>
  <si>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</si>
  <si>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</si>
  <si>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</si>
  <si>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</si>
  <si>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</si>
  <si>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</si>
  <si>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</si>
  <si>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</si>
  <si>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</si>
  <si>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</si>
  <si>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</si>
  <si>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</si>
  <si>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</si>
  <si>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</si>
  <si>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</si>
  <si>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</si>
  <si>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</si>
  <si>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</si>
  <si>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</si>
  <si>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</si>
  <si>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</si>
  <si>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</si>
  <si>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</si>
  <si>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</si>
  <si>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</si>
  <si>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</si>
  <si>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</si>
  <si>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</si>
  <si>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</si>
  <si>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</si>
  <si>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</si>
  <si>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</si>
  <si>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</si>
  <si>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</si>
  <si>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</si>
  <si>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</si>
  <si>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</si>
  <si>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</si>
  <si>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</si>
  <si>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</si>
  <si>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</si>
  <si>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</si>
  <si>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</si>
  <si>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</si>
  <si>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</si>
  <si>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</si>
  <si>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</si>
  <si>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</si>
  <si>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</si>
  <si>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</si>
  <si>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</si>
  <si>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</si>
  <si>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</si>
  <si>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</si>
  <si>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</si>
  <si>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</si>
  <si>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</si>
  <si>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</si>
  <si>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</si>
  <si>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</si>
  <si>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</si>
  <si>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</si>
  <si>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</si>
  <si>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</si>
  <si>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</si>
  <si>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</si>
  <si>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</si>
  <si>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</si>
  <si>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</si>
  <si>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</si>
  <si>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</si>
  <si>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</si>
  <si>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</si>
  <si>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</si>
  <si>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</si>
  <si>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</si>
  <si>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</si>
  <si>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</si>
  <si>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</si>
  <si>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</si>
  <si>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</si>
  <si>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</si>
  <si>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</si>
  <si>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</si>
  <si>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</si>
  <si>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</si>
  <si>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</si>
  <si>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</si>
  <si>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</si>
  <si>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</si>
  <si>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</si>
  <si>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</si>
  <si>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</si>
  <si>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</si>
  <si>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</si>
  <si>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</si>
  <si>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</si>
  <si>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</si>
  <si>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</si>
  <si>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</si>
  <si>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</si>
  <si>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</si>
  <si>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</si>
  <si>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</si>
  <si>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</si>
  <si>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</si>
  <si>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</si>
  <si>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</si>
  <si>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</si>
  <si>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</si>
  <si>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</si>
  <si>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</si>
  <si>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</si>
  <si>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</si>
  <si>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</si>
  <si>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</si>
  <si>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</si>
  <si>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</si>
  <si>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</si>
  <si>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</si>
  <si>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</si>
  <si>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</si>
  <si>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</si>
  <si>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</si>
  <si>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</si>
  <si>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</si>
  <si>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</si>
  <si>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</si>
  <si>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</si>
  <si>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</si>
  <si>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</si>
  <si>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</si>
  <si>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</si>
  <si>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</si>
  <si>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</si>
  <si>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</si>
  <si>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</si>
  <si>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</si>
  <si>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</si>
  <si>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</si>
  <si>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</si>
  <si>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</si>
  <si>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</si>
  <si>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</si>
  <si>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</si>
  <si>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</si>
  <si>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</si>
  <si>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</si>
  <si>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</si>
  <si>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</si>
  <si>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</si>
  <si>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</si>
  <si>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</si>
  <si>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</si>
  <si>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</si>
  <si>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</si>
  <si>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</si>
  <si>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</si>
  <si>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</si>
  <si>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</si>
  <si>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</si>
  <si>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</si>
  <si>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</si>
  <si>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</si>
  <si>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</si>
  <si>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</si>
  <si>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</si>
  <si>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</si>
  <si>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</si>
  <si>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</si>
  <si>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</si>
  <si>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</si>
  <si>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</si>
  <si>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</si>
  <si>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</si>
  <si>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</si>
  <si>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</si>
  <si>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</si>
  <si>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</si>
  <si>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</si>
  <si>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</si>
  <si>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</si>
  <si>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</si>
  <si>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</si>
  <si>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</si>
  <si>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</si>
  <si>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</si>
  <si>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</si>
  <si>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</si>
  <si>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</si>
  <si>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</si>
  <si>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</si>
  <si>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</si>
  <si>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</si>
  <si>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</si>
  <si>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</si>
  <si>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</si>
  <si>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</si>
  <si>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</si>
  <si>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</si>
  <si>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</si>
  <si>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</si>
  <si>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</si>
  <si>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</si>
  <si>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</si>
  <si>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</si>
  <si>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</si>
  <si>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</si>
  <si>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</si>
  <si>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</si>
  <si>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</si>
  <si>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</si>
  <si>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</si>
  <si>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</si>
  <si>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</si>
  <si>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</si>
  <si>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</si>
  <si>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</si>
  <si>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</si>
  <si>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</si>
  <si>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</si>
  <si>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</si>
  <si>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</si>
  <si>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</si>
  <si>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</si>
  <si>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</si>
  <si>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</si>
  <si>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</si>
  <si>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</si>
  <si>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</si>
  <si>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</si>
  <si>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</si>
  <si>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</si>
  <si>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</si>
  <si>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</si>
  <si>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</si>
  <si>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</si>
  <si>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</si>
  <si>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</si>
  <si>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</si>
  <si>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</si>
  <si>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</si>
  <si>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</si>
  <si>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</si>
  <si>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</si>
  <si>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</si>
  <si>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</si>
  <si>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</si>
  <si>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</si>
  <si>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</si>
  <si>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</si>
  <si>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</si>
  <si>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</si>
  <si>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</si>
  <si>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</si>
  <si>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</si>
  <si>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</si>
  <si>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</si>
  <si>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</si>
  <si>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</si>
  <si>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</si>
  <si>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</si>
  <si>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</si>
  <si>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</si>
  <si>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</si>
  <si>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</si>
  <si>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</si>
  <si>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</si>
  <si>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</si>
  <si>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</si>
  <si>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</si>
  <si>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</si>
  <si>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</si>
  <si>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</si>
  <si>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</si>
  <si>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</si>
  <si>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</si>
  <si>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</si>
  <si>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</si>
  <si>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</si>
  <si>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</si>
  <si>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</si>
  <si>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</si>
  <si>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</si>
  <si>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</si>
  <si>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</si>
  <si>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</si>
  <si>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</si>
  <si>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</si>
  <si>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</si>
  <si>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</si>
  <si>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</si>
  <si>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</si>
  <si>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</si>
  <si>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</si>
  <si>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</si>
  <si>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</si>
  <si>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</si>
  <si>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</si>
  <si>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</si>
  <si>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</si>
  <si>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</si>
  <si>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</si>
  <si>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</si>
  <si>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</si>
  <si>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</si>
  <si>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</si>
  <si>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</si>
  <si>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</si>
  <si>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</si>
  <si>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</si>
  <si>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</si>
  <si>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</si>
  <si>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</si>
  <si>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</si>
  <si>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</si>
  <si>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</si>
  <si>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</si>
  <si>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</si>
  <si>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</si>
  <si>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</si>
  <si>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</si>
  <si>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</si>
  <si>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</si>
  <si>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</si>
  <si>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</si>
  <si>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</si>
  <si>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</si>
  <si>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</si>
  <si>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</si>
  <si>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</si>
  <si>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</si>
  <si>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</si>
  <si>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</si>
  <si>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</si>
  <si>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16-33</t>
  </si>
  <si>
    <t>15-17</t>
  </si>
  <si>
    <t>8-11</t>
  </si>
  <si>
    <t>10-12</t>
  </si>
  <si>
    <t>-1 - context</t>
  </si>
  <si>
    <t>-5 - context</t>
  </si>
  <si>
    <t>-3 - context</t>
  </si>
  <si>
    <t>FALSE - lack of context results in ES100% FN</t>
  </si>
  <si>
    <t>-1 - table assumptions don't hold</t>
  </si>
  <si>
    <t>FALSE - table LHCol at lower gain so logic assumptions don't hold &gt;1 Cat is counted</t>
  </si>
  <si>
    <t>FALSE - RE not in LH Col</t>
  </si>
  <si>
    <t>0 - diff in assessment of RE rather than count - fails table assumpt</t>
  </si>
  <si>
    <t>FALSE - table strats don't work</t>
  </si>
  <si>
    <t>UOP_section_false</t>
  </si>
  <si>
    <t>UOP_section_true</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</si>
  <si>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</si>
  <si>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</si>
  <si>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</si>
  <si>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</si>
  <si>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</si>
  <si>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</si>
  <si>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</si>
  <si>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</si>
  <si>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</si>
  <si>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</si>
  <si>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</si>
  <si>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</si>
  <si>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</si>
  <si>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</si>
  <si>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</si>
  <si>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</si>
  <si>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</si>
  <si>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</si>
  <si>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</si>
  <si>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</si>
  <si>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</si>
  <si>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</si>
  <si>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</si>
  <si>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</si>
  <si>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</si>
  <si>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nlp_path</t>
  </si>
  <si>
    <t>GT number of cats</t>
  </si>
  <si>
    <t>ppl number_of_cats</t>
  </si>
  <si>
    <t>Mean ttl popn</t>
  </si>
  <si>
    <t>Mean ES partial</t>
  </si>
  <si>
    <t>Standard dev'n cat diffs - with table</t>
  </si>
  <si>
    <t>Standard dev'n cat diffs - no table</t>
  </si>
  <si>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</si>
  <si>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</si>
  <si>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t>PDF name
manual processing time: 2 hours 46 mins
pipeline processing time: 4 minutes 7.8 seconds</t>
  </si>
  <si>
    <t>Col 'Renewble Energy 0%': Enter 1 if the renewable energy is not present in the categories or leave blank</t>
  </si>
  <si>
    <t>Col 'Renewble Energy 100%': Enter 1 if the renewable energy is  the only category or leave blank</t>
  </si>
  <si>
    <t>Col 'Renewble Energy partial%': Enter 1 if the renewable energy is one of a number of different categories or leave blank</t>
  </si>
  <si>
    <t>Col 'Num Cats (perial % only)': For the rows where Renewable Energy partial% = 1, enter the total unique number of categories</t>
  </si>
  <si>
    <t xml:space="preserve">characteristics &gt;&gt; </t>
  </si>
  <si>
    <t>Run scenario</t>
  </si>
  <si>
    <t xml:space="preserve">Run # </t>
  </si>
  <si>
    <t>English</t>
  </si>
  <si>
    <t>Spanish</t>
  </si>
  <si>
    <t>Portuguese</t>
  </si>
  <si>
    <t>Threshold for classifying category words</t>
  </si>
  <si>
    <t>Threshold for cleaning up table content</t>
  </si>
  <si>
    <t>Baseline overly permissive run</t>
  </si>
  <si>
    <t>Increase threshold for category word classification</t>
  </si>
  <si>
    <t>Increase both thresholds</t>
  </si>
  <si>
    <t>Re-run final run after correcting a logical error found in evaluation</t>
  </si>
  <si>
    <t>Final optimisation run set thresholds by language</t>
  </si>
  <si>
    <t>Standard dev'n cat diffs - ttl</t>
  </si>
  <si>
    <t>Standard dev'n cat diffs - excl. outlier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</si>
</sst>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40"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6"/>
      <color theme="9" tint="-0.249977111117893"/>
      <name val="Aptos Narrow"/>
      <family val="2"/>
      <scheme val="minor"/>
    </font>
    <font>
      <b/>
      <sz val="12"/>
      <color theme="3" tint="0.249977111117893"/>
      <name val="Aptos Narrow"/>
      <scheme val="minor"/>
    </font>
    <font>
      <sz val="16"/>
      <color theme="0"/>
      <name val="Aptos Narrow"/>
      <family val="2"/>
      <scheme val="minor"/>
    </font>
    <font>
      <sz val="16"/>
      <color theme="1"/>
      <name val="Aptos Narrow"/>
      <family val="2"/>
      <scheme val="minor"/>
    </font>
    <font>
      <sz val="16"/>
      <color theme="0" tint="-0.499984740745262"/>
      <name val="Aptos Narrow"/>
      <family val="2"/>
      <scheme val="minor"/>
    </font>
  </fonts>
  <fills count="43">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3" tint="9.9978637043366805E-2"/>
        <bgColor theme="4"/>
      </patternFill>
    </fill>
    <fill>
      <patternFill patternType="solid">
        <fgColor theme="3" tint="0.89999084444715716"/>
        <bgColor indexed="64"/>
      </patternFill>
    </fill>
  </fills>
  <borders count="30">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style="thin">
        <color theme="3"/>
      </left>
      <right style="thin">
        <color theme="3"/>
      </right>
      <top style="thin">
        <color theme="3"/>
      </top>
      <bottom style="thin">
        <color theme="3"/>
      </bottom>
      <diagonal/>
    </border>
    <border>
      <left style="thin">
        <color theme="2"/>
      </left>
      <right style="thin">
        <color theme="2"/>
      </right>
      <top style="thin">
        <color theme="2"/>
      </top>
      <bottom style="thin">
        <color theme="2"/>
      </bottom>
      <diagonal/>
    </border>
    <border>
      <left style="thin">
        <color theme="9" tint="-0.249977111117893"/>
      </left>
      <right/>
      <top style="thin">
        <color theme="9" tint="-0.249977111117893"/>
      </top>
      <bottom/>
      <diagonal/>
    </border>
    <border>
      <left style="thin">
        <color theme="9" tint="-0.249977111117893"/>
      </left>
      <right/>
      <top/>
      <bottom/>
      <diagonal/>
    </border>
    <border>
      <left style="thin">
        <color theme="9" tint="-0.249977111117893"/>
      </left>
      <right/>
      <top/>
      <bottom style="thin">
        <color theme="9" tint="-0.249977111117893"/>
      </bottom>
      <diagonal/>
    </border>
    <border>
      <left style="thin">
        <color theme="3" tint="0.89999084444715716"/>
      </left>
      <right style="thin">
        <color theme="3" tint="0.89999084444715716"/>
      </right>
      <top style="thin">
        <color theme="3" tint="0.89999084444715716"/>
      </top>
      <bottom style="thin">
        <color theme="3" tint="0.89999084444715716"/>
      </bottom>
      <diagonal/>
    </border>
    <border>
      <left/>
      <right style="thin">
        <color theme="3" tint="0.89999084444715716"/>
      </right>
      <top style="thin">
        <color theme="3" tint="0.89999084444715716"/>
      </top>
      <bottom style="thin">
        <color theme="3" tint="0.89999084444715716"/>
      </bottom>
      <diagonal/>
    </border>
    <border>
      <left style="thin">
        <color theme="3" tint="0.89999084444715716"/>
      </left>
      <right style="thin">
        <color theme="3" tint="0.89999084444715716"/>
      </right>
      <top/>
      <bottom style="thin">
        <color theme="3" tint="0.89999084444715716"/>
      </bottom>
      <diagonal/>
    </border>
    <border>
      <left style="medium">
        <color theme="3" tint="0.249977111117893"/>
      </left>
      <right style="medium">
        <color theme="3" tint="0.249977111117893"/>
      </right>
      <top style="medium">
        <color theme="3" tint="0.249977111117893"/>
      </top>
      <bottom style="medium">
        <color theme="3" tint="0.249977111117893"/>
      </bottom>
      <diagonal/>
    </border>
    <border>
      <left style="thin">
        <color theme="3" tint="0.89999084444715716"/>
      </left>
      <right/>
      <top style="thin">
        <color theme="3" tint="0.89999084444715716"/>
      </top>
      <bottom style="thin">
        <color theme="3" tint="0.89999084444715716"/>
      </bottom>
      <diagonal/>
    </border>
    <border>
      <left style="thin">
        <color theme="3" tint="0.89999084444715716"/>
      </left>
      <right style="thin">
        <color theme="3" tint="0.89999084444715716"/>
      </right>
      <top style="thin">
        <color theme="3" tint="0.89999084444715716"/>
      </top>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19">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2" fontId="0" fillId="0" borderId="0" xfId="0" applyNumberFormat="1"/>
    <xf numFmtId="165" fontId="0" fillId="34" borderId="0" xfId="0" applyNumberFormat="1" applyFill="1"/>
    <xf numFmtId="49" fontId="0" fillId="0" borderId="0" xfId="0" quotePrefix="1" applyNumberFormat="1"/>
    <xf numFmtId="0" fontId="16" fillId="37" borderId="14" xfId="0" applyFont="1" applyFill="1" applyBorder="1"/>
    <xf numFmtId="0" fontId="0" fillId="0" borderId="13" xfId="0" applyBorder="1"/>
    <xf numFmtId="49" fontId="0" fillId="0" borderId="13" xfId="0" applyNumberFormat="1" applyBorder="1"/>
    <xf numFmtId="0" fontId="0" fillId="0" borderId="13" xfId="0" quotePrefix="1" applyBorder="1"/>
    <xf numFmtId="0" fontId="16" fillId="37" borderId="14" xfId="0" applyFont="1" applyFill="1" applyBorder="1" applyAlignment="1">
      <alignment wrapText="1"/>
    </xf>
    <xf numFmtId="0" fontId="16" fillId="37" borderId="15" xfId="0" applyFont="1" applyFill="1" applyBorder="1" applyAlignment="1">
      <alignment wrapText="1"/>
    </xf>
    <xf numFmtId="0" fontId="0" fillId="0" borderId="13" xfId="0" applyBorder="1" applyAlignment="1">
      <alignment horizontal="left"/>
    </xf>
    <xf numFmtId="49" fontId="0" fillId="0" borderId="13" xfId="0" applyNumberFormat="1" applyBorder="1" applyAlignment="1">
      <alignment horizontal="left"/>
    </xf>
    <xf numFmtId="0" fontId="0" fillId="0" borderId="13" xfId="0" quotePrefix="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quotePrefix="1" applyFont="1" applyFill="1" applyBorder="1" applyAlignment="1">
      <alignment horizontal="left"/>
    </xf>
    <xf numFmtId="0" fontId="25" fillId="38" borderId="13" xfId="0" applyFont="1" applyFill="1" applyBorder="1"/>
    <xf numFmtId="0" fontId="0" fillId="0" borderId="0" xfId="0" applyAlignment="1">
      <alignment horizontal="right"/>
    </xf>
    <xf numFmtId="2" fontId="0" fillId="0" borderId="13" xfId="0" applyNumberFormat="1" applyBorder="1"/>
    <xf numFmtId="0" fontId="0" fillId="0" borderId="13" xfId="0" applyBorder="1" applyAlignment="1">
      <alignment horizontal="right"/>
    </xf>
    <xf numFmtId="0" fontId="0" fillId="40" borderId="0" xfId="0" applyFill="1"/>
    <xf numFmtId="0" fontId="36" fillId="0" borderId="0" xfId="0" applyFont="1"/>
    <xf numFmtId="0" fontId="29" fillId="0" borderId="0" xfId="0" applyFont="1"/>
    <xf numFmtId="0" fontId="0" fillId="0" borderId="0" xfId="0" applyAlignment="1">
      <alignment horizontal="left" vertical="center"/>
    </xf>
    <xf numFmtId="0" fontId="30" fillId="0" borderId="19" xfId="0" applyFont="1" applyBorder="1" applyAlignment="1">
      <alignment horizontal="left" vertical="center" wrapText="1"/>
    </xf>
    <xf numFmtId="0" fontId="30" fillId="0" borderId="19" xfId="0" applyFont="1" applyBorder="1" applyAlignment="1">
      <alignment horizontal="left" vertical="center"/>
    </xf>
    <xf numFmtId="0" fontId="36" fillId="0" borderId="0" xfId="0" applyFont="1" applyAlignment="1">
      <alignment horizontal="left"/>
    </xf>
    <xf numFmtId="0" fontId="37" fillId="35" borderId="0" xfId="0" applyFont="1" applyFill="1" applyAlignment="1">
      <alignment wrapText="1"/>
    </xf>
    <xf numFmtId="0" fontId="37" fillId="35" borderId="0" xfId="0" applyFont="1" applyFill="1" applyAlignment="1">
      <alignment horizontal="right" wrapText="1"/>
    </xf>
    <xf numFmtId="0" fontId="38" fillId="36" borderId="20" xfId="0" applyFont="1" applyFill="1" applyBorder="1" applyAlignment="1">
      <alignment wrapText="1"/>
    </xf>
    <xf numFmtId="0" fontId="39" fillId="36" borderId="20" xfId="0" applyFont="1" applyFill="1" applyBorder="1" applyAlignment="1">
      <alignment wrapText="1"/>
    </xf>
    <xf numFmtId="0" fontId="38" fillId="36" borderId="20" xfId="0" quotePrefix="1" applyFont="1" applyFill="1" applyBorder="1" applyAlignment="1">
      <alignment wrapText="1"/>
    </xf>
    <xf numFmtId="0" fontId="0" fillId="0" borderId="0" xfId="0" quotePrefix="1" applyAlignment="1">
      <alignment horizontal="left"/>
    </xf>
    <xf numFmtId="0" fontId="25" fillId="0" borderId="0" xfId="0" applyFont="1" applyAlignment="1">
      <alignment horizontal="left"/>
    </xf>
    <xf numFmtId="0" fontId="25" fillId="0" borderId="0" xfId="0" quotePrefix="1" applyFont="1" applyAlignment="1">
      <alignment horizontal="left"/>
    </xf>
    <xf numFmtId="0" fontId="16" fillId="41" borderId="24" xfId="0" applyFont="1" applyFill="1" applyBorder="1" applyAlignment="1">
      <alignment wrapText="1"/>
    </xf>
    <xf numFmtId="0" fontId="0" fillId="0" borderId="24" xfId="0" applyBorder="1"/>
    <xf numFmtId="0" fontId="16" fillId="41" borderId="26" xfId="0" applyFont="1" applyFill="1" applyBorder="1" applyAlignment="1">
      <alignment wrapText="1"/>
    </xf>
    <xf numFmtId="0" fontId="0" fillId="39" borderId="0" xfId="0" applyFill="1"/>
    <xf numFmtId="2" fontId="0" fillId="0" borderId="24" xfId="0" applyNumberFormat="1" applyBorder="1"/>
    <xf numFmtId="0" fontId="0" fillId="0" borderId="28" xfId="0" applyBorder="1"/>
    <xf numFmtId="0" fontId="0" fillId="0" borderId="25" xfId="0" applyBorder="1"/>
    <xf numFmtId="0" fontId="0" fillId="0" borderId="29" xfId="0" applyBorder="1"/>
    <xf numFmtId="0" fontId="0" fillId="0" borderId="26" xfId="0" applyBorder="1"/>
    <xf numFmtId="0" fontId="0" fillId="0" borderId="27" xfId="0" applyBorder="1"/>
    <xf numFmtId="0" fontId="0" fillId="42" borderId="24" xfId="0" applyFill="1" applyBorder="1"/>
    <xf numFmtId="0" fontId="0" fillId="42" borderId="26" xfId="0" applyFill="1" applyBorder="1"/>
    <xf numFmtId="2" fontId="0" fillId="42" borderId="24" xfId="0" applyNumberFormat="1" applyFill="1" applyBorder="1"/>
    <xf numFmtId="2" fontId="0" fillId="0" borderId="27" xfId="0" applyNumberFormat="1" applyBorder="1"/>
    <xf numFmtId="0" fontId="0" fillId="0" borderId="0" xfId="0" applyAlignment="1">
      <alignment horizontal="center"/>
    </xf>
    <xf numFmtId="0" fontId="0" fillId="33" borderId="0" xfId="0" applyFill="1" applyAlignment="1">
      <alignment horizontal="center" vertical="center" wrapText="1"/>
    </xf>
    <xf numFmtId="0" fontId="34" fillId="0" borderId="0" xfId="0" applyFont="1" applyAlignment="1">
      <alignment horizontal="center" vertical="center" wrapText="1"/>
    </xf>
    <xf numFmtId="49" fontId="0" fillId="0" borderId="16" xfId="0" applyNumberFormat="1" applyBorder="1" applyAlignment="1">
      <alignment horizontal="center"/>
    </xf>
    <xf numFmtId="49" fontId="0" fillId="0" borderId="17" xfId="0" applyNumberFormat="1" applyBorder="1" applyAlignment="1">
      <alignment horizontal="center"/>
    </xf>
    <xf numFmtId="49" fontId="0" fillId="0" borderId="18" xfId="0" applyNumberFormat="1" applyBorder="1" applyAlignment="1">
      <alignment horizontal="center"/>
    </xf>
    <xf numFmtId="0" fontId="16" fillId="41" borderId="25" xfId="0" applyFont="1" applyFill="1" applyBorder="1" applyAlignment="1">
      <alignment horizontal="center" wrapText="1"/>
    </xf>
    <xf numFmtId="0" fontId="16" fillId="41" borderId="24" xfId="0" applyFont="1" applyFill="1" applyBorder="1" applyAlignment="1">
      <alignment horizontal="center" wrapText="1"/>
    </xf>
    <xf numFmtId="0" fontId="35" fillId="0" borderId="0" xfId="0" applyFont="1" applyAlignment="1">
      <alignment horizontal="center"/>
    </xf>
    <xf numFmtId="0" fontId="38" fillId="36" borderId="21" xfId="0" applyFont="1" applyFill="1" applyBorder="1" applyAlignment="1">
      <alignment horizontal="center" vertical="center" wrapText="1"/>
    </xf>
    <xf numFmtId="0" fontId="38" fillId="36" borderId="22" xfId="0" applyFont="1" applyFill="1" applyBorder="1" applyAlignment="1">
      <alignment horizontal="center" vertical="center" wrapText="1"/>
    </xf>
    <xf numFmtId="0" fontId="38" fillId="36" borderId="23" xfId="0" applyFont="1" applyFill="1" applyBorder="1" applyAlignment="1">
      <alignment horizontal="center" vertical="center" wrapText="1"/>
    </xf>
    <xf numFmtId="0" fontId="35" fillId="0" borderId="0" xfId="0" applyFont="1" applyAlignment="1">
      <alignment horizontal="center" vertical="center"/>
    </xf>
    <xf numFmtId="2" fontId="0" fillId="0" borderId="0" xfId="0" applyNumberFormat="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TRUE - Wave 1"/>
        <filter val="FALSE"/>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7"/>
    <tableColumn id="29" xr3:uid="{B0DE8849-E264-0846-A5DB-2C6DB8567ED2}" name="cateogry table" dataDxfId="6"/>
    <tableColumn id="30" xr3:uid="{7355D3FD-9F58-364E-AC69-A225B9BD1252}" name="UOP page idx" dataDxfId="5"/>
    <tableColumn id="36" xr3:uid="{9D5BA104-6CC5-4C4B-AE19-CD891C1F7664}" name="ppl tbl" dataDxfId="4"/>
    <tableColumn id="31" xr3:uid="{38630D99-71B2-D540-9C15-9FF93114478C}" name="ppl uop" dataDxfId="3"/>
    <tableColumn id="32" xr3:uid="{877BEDD5-FF18-8B40-8CA6-687C264EB185}" name="language" dataDxfId="2"/>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A3" sqref="A3:B33"/>
    </sheetView>
  </sheetViews>
  <sheetFormatPr baseColWidth="10" defaultColWidth="11" defaultRowHeight="16" x14ac:dyDescent="0.2"/>
  <cols>
    <col min="2" max="2" width="130.83203125" customWidth="1"/>
    <col min="3" max="3" width="78.6640625" bestFit="1" customWidth="1"/>
  </cols>
  <sheetData>
    <row r="3" spans="1:3" x14ac:dyDescent="0.2">
      <c r="B3" s="28" t="s">
        <v>2793</v>
      </c>
    </row>
    <row r="4" spans="1:3" x14ac:dyDescent="0.2">
      <c r="A4" s="106" t="s">
        <v>2792</v>
      </c>
      <c r="B4" t="s">
        <v>2791</v>
      </c>
    </row>
    <row r="5" spans="1:3" x14ac:dyDescent="0.2">
      <c r="A5" s="106"/>
      <c r="B5" t="s">
        <v>2790</v>
      </c>
    </row>
    <row r="6" spans="1:3" x14ac:dyDescent="0.2">
      <c r="A6" s="106"/>
      <c r="B6" t="s">
        <v>2789</v>
      </c>
    </row>
    <row r="7" spans="1:3" x14ac:dyDescent="0.2">
      <c r="A7" s="106"/>
      <c r="B7" s="46" t="s">
        <v>2788</v>
      </c>
    </row>
    <row r="8" spans="1:3" x14ac:dyDescent="0.2">
      <c r="A8" s="106"/>
      <c r="B8" s="46" t="s">
        <v>2787</v>
      </c>
    </row>
    <row r="9" spans="1:3" x14ac:dyDescent="0.2">
      <c r="A9" s="106"/>
      <c r="B9" s="46" t="s">
        <v>2786</v>
      </c>
    </row>
    <row r="10" spans="1:3" x14ac:dyDescent="0.2">
      <c r="A10" s="106"/>
      <c r="B10" t="s">
        <v>2785</v>
      </c>
    </row>
    <row r="11" spans="1:3" x14ac:dyDescent="0.2">
      <c r="A11" s="45"/>
    </row>
    <row r="12" spans="1:3" x14ac:dyDescent="0.2">
      <c r="A12" s="106" t="s">
        <v>2784</v>
      </c>
      <c r="B12" t="s">
        <v>2783</v>
      </c>
    </row>
    <row r="13" spans="1:3" x14ac:dyDescent="0.2">
      <c r="A13" s="106"/>
      <c r="B13" s="82" t="s">
        <v>2985</v>
      </c>
      <c r="C13" s="77"/>
    </row>
    <row r="14" spans="1:3" x14ac:dyDescent="0.2">
      <c r="A14" s="106"/>
      <c r="B14" s="82" t="s">
        <v>2986</v>
      </c>
      <c r="C14" s="77"/>
    </row>
    <row r="15" spans="1:3" x14ac:dyDescent="0.2">
      <c r="A15" s="106"/>
      <c r="B15" s="82" t="s">
        <v>2987</v>
      </c>
      <c r="C15" s="77"/>
    </row>
    <row r="16" spans="1:3" x14ac:dyDescent="0.2">
      <c r="A16" s="106"/>
      <c r="B16" s="82" t="s">
        <v>2988</v>
      </c>
      <c r="C16" s="77"/>
    </row>
    <row r="17" spans="1:2" x14ac:dyDescent="0.2">
      <c r="A17" s="106"/>
      <c r="B17" t="s">
        <v>2782</v>
      </c>
    </row>
    <row r="18" spans="1:2" x14ac:dyDescent="0.2">
      <c r="A18" s="106"/>
      <c r="B18" t="s">
        <v>2781</v>
      </c>
    </row>
    <row r="19" spans="1:2" x14ac:dyDescent="0.2">
      <c r="A19" s="106"/>
      <c r="B19" s="26" t="s">
        <v>2780</v>
      </c>
    </row>
    <row r="20" spans="1:2" x14ac:dyDescent="0.2">
      <c r="A20" s="106"/>
      <c r="B20" s="46" t="s">
        <v>2779</v>
      </c>
    </row>
    <row r="21" spans="1:2" x14ac:dyDescent="0.2">
      <c r="A21" s="45"/>
    </row>
    <row r="22" spans="1:2" x14ac:dyDescent="0.2">
      <c r="A22" s="106" t="s">
        <v>2778</v>
      </c>
      <c r="B22" t="s">
        <v>2777</v>
      </c>
    </row>
    <row r="23" spans="1:2" x14ac:dyDescent="0.2">
      <c r="A23" s="106"/>
      <c r="B23" t="s">
        <v>2776</v>
      </c>
    </row>
    <row r="24" spans="1:2" x14ac:dyDescent="0.2">
      <c r="A24" s="106"/>
      <c r="B24" t="s">
        <v>2775</v>
      </c>
    </row>
    <row r="25" spans="1:2" x14ac:dyDescent="0.2">
      <c r="A25" s="106"/>
      <c r="B25" t="s">
        <v>2774</v>
      </c>
    </row>
    <row r="26" spans="1:2" x14ac:dyDescent="0.2">
      <c r="A26" s="106"/>
      <c r="B26" t="s">
        <v>2773</v>
      </c>
    </row>
    <row r="27" spans="1:2" x14ac:dyDescent="0.2">
      <c r="A27" s="106"/>
      <c r="B27" t="s">
        <v>2772</v>
      </c>
    </row>
    <row r="28" spans="1:2" x14ac:dyDescent="0.2">
      <c r="A28" s="45"/>
    </row>
    <row r="29" spans="1:2" ht="16" customHeight="1" x14ac:dyDescent="0.2">
      <c r="A29" s="106" t="s">
        <v>2771</v>
      </c>
      <c r="B29" t="s">
        <v>2770</v>
      </c>
    </row>
    <row r="30" spans="1:2" x14ac:dyDescent="0.2">
      <c r="A30" s="106"/>
      <c r="B30" t="s">
        <v>2769</v>
      </c>
    </row>
    <row r="31" spans="1:2" x14ac:dyDescent="0.2">
      <c r="A31" s="106"/>
      <c r="B31" t="s">
        <v>2768</v>
      </c>
    </row>
    <row r="32" spans="1:2" ht="34" x14ac:dyDescent="0.2">
      <c r="A32" s="106"/>
      <c r="B32" s="5" t="s">
        <v>2767</v>
      </c>
    </row>
    <row r="33" spans="1:2" x14ac:dyDescent="0.2">
      <c r="A33" s="106"/>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zoomScale="90" zoomScaleNormal="90" workbookViewId="0">
      <selection activeCell="H3" sqref="A3:XFD3"/>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0" t="s">
        <v>221</v>
      </c>
      <c r="B1" s="50" t="s">
        <v>222</v>
      </c>
      <c r="C1" s="50" t="s">
        <v>223</v>
      </c>
      <c r="D1" s="50" t="s">
        <v>224</v>
      </c>
      <c r="E1" s="50" t="s">
        <v>225</v>
      </c>
      <c r="F1" s="50" t="s">
        <v>229</v>
      </c>
      <c r="G1" s="50" t="s">
        <v>230</v>
      </c>
      <c r="H1" s="50" t="s">
        <v>234</v>
      </c>
      <c r="I1" s="50" t="s">
        <v>235</v>
      </c>
      <c r="J1" s="50" t="s">
        <v>236</v>
      </c>
      <c r="K1" s="50" t="s">
        <v>237</v>
      </c>
      <c r="L1" s="50" t="s">
        <v>2805</v>
      </c>
      <c r="M1" s="50" t="s">
        <v>244</v>
      </c>
      <c r="N1" s="50" t="s">
        <v>245</v>
      </c>
      <c r="O1" s="50" t="s">
        <v>2804</v>
      </c>
      <c r="P1" s="50" t="s">
        <v>2803</v>
      </c>
      <c r="Q1" s="50" t="s">
        <v>2802</v>
      </c>
      <c r="R1" s="50" t="s">
        <v>2801</v>
      </c>
      <c r="S1" s="50" t="s">
        <v>2800</v>
      </c>
      <c r="T1" s="50" t="s">
        <v>2799</v>
      </c>
    </row>
    <row r="2" spans="1:20" x14ac:dyDescent="0.2">
      <c r="A2" t="s">
        <v>1139</v>
      </c>
      <c r="E2" t="s">
        <v>1140</v>
      </c>
      <c r="F2" s="1">
        <v>43879</v>
      </c>
      <c r="G2" s="1">
        <v>44153</v>
      </c>
      <c r="H2" t="s">
        <v>1141</v>
      </c>
      <c r="I2" t="s">
        <v>256</v>
      </c>
      <c r="J2" t="s">
        <v>269</v>
      </c>
      <c r="K2" t="s">
        <v>1142</v>
      </c>
      <c r="L2">
        <v>1</v>
      </c>
      <c r="M2" t="s">
        <v>270</v>
      </c>
      <c r="N2" s="48">
        <v>48450360</v>
      </c>
      <c r="O2" s="47"/>
      <c r="P2" s="47">
        <v>1</v>
      </c>
      <c r="Q2" s="47"/>
      <c r="R2" s="47"/>
      <c r="S2" s="47" t="s">
        <v>1992</v>
      </c>
      <c r="T2" s="47" t="s">
        <v>1952</v>
      </c>
    </row>
    <row r="3" spans="1:20" x14ac:dyDescent="0.2">
      <c r="D3" t="s">
        <v>930</v>
      </c>
      <c r="E3" t="s">
        <v>931</v>
      </c>
      <c r="F3" s="1">
        <v>42850</v>
      </c>
      <c r="G3" s="1">
        <v>46502</v>
      </c>
      <c r="H3" t="s">
        <v>932</v>
      </c>
      <c r="I3" t="s">
        <v>278</v>
      </c>
      <c r="J3" t="s">
        <v>384</v>
      </c>
      <c r="K3" t="s">
        <v>933</v>
      </c>
      <c r="L3">
        <v>1</v>
      </c>
      <c r="M3" t="s">
        <v>386</v>
      </c>
      <c r="N3" s="48">
        <v>433000000000</v>
      </c>
      <c r="O3" s="47"/>
      <c r="P3" s="47"/>
      <c r="Q3" s="47">
        <v>1</v>
      </c>
      <c r="R3" s="47">
        <v>4</v>
      </c>
      <c r="S3" s="47"/>
      <c r="T3" s="47"/>
    </row>
    <row r="4" spans="1:20" x14ac:dyDescent="0.2">
      <c r="D4" t="s">
        <v>1366</v>
      </c>
      <c r="E4" t="s">
        <v>1367</v>
      </c>
      <c r="F4" s="1">
        <v>43441</v>
      </c>
      <c r="G4" s="1">
        <v>45266</v>
      </c>
      <c r="H4" t="s">
        <v>1368</v>
      </c>
      <c r="I4" t="s">
        <v>305</v>
      </c>
      <c r="J4" t="s">
        <v>269</v>
      </c>
      <c r="K4" t="s">
        <v>2798</v>
      </c>
      <c r="L4">
        <v>1</v>
      </c>
      <c r="M4" t="s">
        <v>270</v>
      </c>
      <c r="N4" s="48">
        <v>30000000</v>
      </c>
      <c r="O4" s="47"/>
      <c r="P4" s="47"/>
      <c r="Q4" s="47">
        <v>1</v>
      </c>
      <c r="R4" s="47">
        <v>2</v>
      </c>
      <c r="S4" s="47"/>
      <c r="T4" s="47"/>
    </row>
    <row r="5" spans="1:20" x14ac:dyDescent="0.2">
      <c r="D5" t="s">
        <v>1413</v>
      </c>
      <c r="E5" t="s">
        <v>1414</v>
      </c>
      <c r="G5" s="1">
        <v>46033</v>
      </c>
      <c r="H5" t="s">
        <v>506</v>
      </c>
      <c r="I5" t="s">
        <v>278</v>
      </c>
      <c r="J5" t="s">
        <v>257</v>
      </c>
      <c r="K5" t="s">
        <v>1415</v>
      </c>
      <c r="L5">
        <v>1</v>
      </c>
      <c r="M5" t="s">
        <v>270</v>
      </c>
      <c r="N5" s="48"/>
      <c r="O5" s="47"/>
      <c r="P5" s="47"/>
      <c r="Q5" s="47">
        <v>1</v>
      </c>
      <c r="R5" s="47">
        <v>5</v>
      </c>
      <c r="S5" s="47"/>
      <c r="T5" s="47"/>
    </row>
    <row r="6" spans="1:20" x14ac:dyDescent="0.2">
      <c r="A6" t="s">
        <v>72</v>
      </c>
      <c r="B6" t="s">
        <v>1314</v>
      </c>
      <c r="E6" t="s">
        <v>1315</v>
      </c>
      <c r="F6" s="1">
        <v>43769</v>
      </c>
      <c r="G6" s="1">
        <v>45611</v>
      </c>
      <c r="H6" t="s">
        <v>304</v>
      </c>
      <c r="I6" t="s">
        <v>305</v>
      </c>
      <c r="J6" t="s">
        <v>306</v>
      </c>
      <c r="K6" t="s">
        <v>1316</v>
      </c>
      <c r="L6">
        <v>1</v>
      </c>
      <c r="M6" t="s">
        <v>270</v>
      </c>
      <c r="N6" s="48">
        <v>375000000</v>
      </c>
      <c r="O6" s="47"/>
      <c r="P6" s="47"/>
      <c r="Q6" s="47">
        <v>1</v>
      </c>
      <c r="R6" s="47">
        <v>4</v>
      </c>
      <c r="S6" s="47"/>
      <c r="T6" s="47"/>
    </row>
    <row r="7" spans="1:20" x14ac:dyDescent="0.2">
      <c r="D7" t="s">
        <v>649</v>
      </c>
      <c r="E7" t="s">
        <v>650</v>
      </c>
      <c r="H7" t="s">
        <v>467</v>
      </c>
      <c r="I7" t="s">
        <v>305</v>
      </c>
      <c r="J7" t="s">
        <v>306</v>
      </c>
      <c r="K7" t="s">
        <v>651</v>
      </c>
      <c r="L7">
        <v>1</v>
      </c>
      <c r="M7" t="s">
        <v>270</v>
      </c>
      <c r="N7" s="48"/>
      <c r="O7" s="47"/>
      <c r="P7" s="47"/>
      <c r="Q7" s="47">
        <v>1</v>
      </c>
      <c r="R7" s="47">
        <v>6</v>
      </c>
      <c r="S7" s="47"/>
      <c r="T7" s="47"/>
    </row>
    <row r="8" spans="1:20" ht="34" x14ac:dyDescent="0.2">
      <c r="D8" t="s">
        <v>1070</v>
      </c>
      <c r="E8" t="s">
        <v>1071</v>
      </c>
      <c r="H8" t="s">
        <v>277</v>
      </c>
      <c r="I8" t="s">
        <v>278</v>
      </c>
      <c r="J8" t="s">
        <v>279</v>
      </c>
      <c r="K8" t="s">
        <v>1072</v>
      </c>
      <c r="L8">
        <v>1</v>
      </c>
      <c r="M8" t="s">
        <v>270</v>
      </c>
      <c r="N8" s="48"/>
      <c r="O8" s="47"/>
      <c r="P8" s="47"/>
      <c r="Q8" s="47">
        <v>1</v>
      </c>
      <c r="R8" s="47">
        <v>4</v>
      </c>
      <c r="S8" s="49" t="s">
        <v>2797</v>
      </c>
      <c r="T8" s="49" t="s">
        <v>2796</v>
      </c>
    </row>
    <row r="9" spans="1:20" x14ac:dyDescent="0.2">
      <c r="A9" s="78"/>
      <c r="D9" t="s">
        <v>1554</v>
      </c>
      <c r="E9" t="s">
        <v>1555</v>
      </c>
      <c r="F9" s="1">
        <v>44427</v>
      </c>
      <c r="G9" s="1">
        <v>49552</v>
      </c>
      <c r="H9" t="s">
        <v>1030</v>
      </c>
      <c r="I9" t="s">
        <v>256</v>
      </c>
      <c r="J9" t="s">
        <v>257</v>
      </c>
      <c r="K9" t="s">
        <v>1556</v>
      </c>
      <c r="L9">
        <v>1</v>
      </c>
      <c r="M9" t="s">
        <v>260</v>
      </c>
      <c r="N9" s="48">
        <v>82850000</v>
      </c>
      <c r="O9" s="47"/>
      <c r="P9" s="47">
        <v>1</v>
      </c>
      <c r="Q9" s="47"/>
      <c r="R9" s="47"/>
      <c r="S9" s="47"/>
      <c r="T9" s="47"/>
    </row>
    <row r="10" spans="1:20" x14ac:dyDescent="0.2">
      <c r="A10" t="s">
        <v>174</v>
      </c>
      <c r="E10" t="s">
        <v>1064</v>
      </c>
      <c r="F10" s="1">
        <v>44008</v>
      </c>
      <c r="G10" s="1">
        <v>45100</v>
      </c>
      <c r="H10" t="s">
        <v>904</v>
      </c>
      <c r="I10" t="s">
        <v>305</v>
      </c>
      <c r="J10" t="s">
        <v>343</v>
      </c>
      <c r="K10" t="s">
        <v>1065</v>
      </c>
      <c r="L10">
        <v>2</v>
      </c>
      <c r="M10" t="s">
        <v>345</v>
      </c>
      <c r="N10" s="48">
        <v>3000000000</v>
      </c>
      <c r="O10" s="47"/>
      <c r="P10" s="47"/>
      <c r="Q10" s="47">
        <v>1</v>
      </c>
      <c r="R10" s="47">
        <v>4</v>
      </c>
      <c r="S10" s="47"/>
      <c r="T10" s="47"/>
    </row>
    <row r="11" spans="1:20" x14ac:dyDescent="0.2">
      <c r="A11" t="s">
        <v>109</v>
      </c>
      <c r="E11" t="s">
        <v>903</v>
      </c>
      <c r="F11" s="1">
        <v>43791</v>
      </c>
      <c r="G11" s="1">
        <v>44967</v>
      </c>
      <c r="H11" t="s">
        <v>904</v>
      </c>
      <c r="I11" t="s">
        <v>305</v>
      </c>
      <c r="J11" t="s">
        <v>343</v>
      </c>
      <c r="K11" t="s">
        <v>905</v>
      </c>
      <c r="L11">
        <v>2</v>
      </c>
      <c r="M11" t="s">
        <v>345</v>
      </c>
      <c r="N11" s="48">
        <v>2500000000</v>
      </c>
      <c r="O11" s="47"/>
      <c r="P11" s="47"/>
      <c r="Q11" s="47">
        <v>1</v>
      </c>
      <c r="R11" s="47">
        <v>4</v>
      </c>
      <c r="S11" s="47"/>
      <c r="T11" s="47"/>
    </row>
    <row r="12" spans="1:20" x14ac:dyDescent="0.2">
      <c r="A12" t="s">
        <v>108</v>
      </c>
      <c r="E12" t="s">
        <v>1714</v>
      </c>
      <c r="F12" s="1">
        <v>43396</v>
      </c>
      <c r="G12" s="1">
        <v>44488</v>
      </c>
      <c r="H12" t="s">
        <v>904</v>
      </c>
      <c r="I12" t="s">
        <v>305</v>
      </c>
      <c r="J12" t="s">
        <v>343</v>
      </c>
      <c r="K12" t="s">
        <v>905</v>
      </c>
      <c r="L12">
        <v>2</v>
      </c>
      <c r="M12" t="s">
        <v>345</v>
      </c>
      <c r="N12" s="48">
        <v>2500000000</v>
      </c>
      <c r="O12" s="47"/>
      <c r="P12" s="47"/>
      <c r="Q12" s="47">
        <v>1</v>
      </c>
      <c r="R12" s="47">
        <v>4</v>
      </c>
      <c r="S12" s="47"/>
      <c r="T12" s="47"/>
    </row>
    <row r="13" spans="1:20" x14ac:dyDescent="0.2">
      <c r="A13" s="78" t="s">
        <v>101</v>
      </c>
      <c r="B13" t="s">
        <v>1395</v>
      </c>
      <c r="D13" t="s">
        <v>1396</v>
      </c>
      <c r="E13" t="s">
        <v>1397</v>
      </c>
      <c r="F13" s="1">
        <v>44237</v>
      </c>
      <c r="G13" s="1">
        <v>52793</v>
      </c>
      <c r="H13" t="s">
        <v>1042</v>
      </c>
      <c r="I13" t="s">
        <v>256</v>
      </c>
      <c r="J13" t="s">
        <v>257</v>
      </c>
      <c r="K13" t="s">
        <v>1398</v>
      </c>
      <c r="L13">
        <v>2</v>
      </c>
      <c r="M13" t="s">
        <v>260</v>
      </c>
      <c r="N13" s="48">
        <v>672500000</v>
      </c>
      <c r="O13" s="47"/>
      <c r="P13" s="47">
        <v>1</v>
      </c>
      <c r="Q13" s="47"/>
      <c r="R13" s="47"/>
      <c r="S13" s="47"/>
      <c r="T13" s="47"/>
    </row>
    <row r="14" spans="1:20" x14ac:dyDescent="0.2">
      <c r="A14" s="78" t="s">
        <v>100</v>
      </c>
      <c r="B14" t="s">
        <v>1509</v>
      </c>
      <c r="D14" t="s">
        <v>1510</v>
      </c>
      <c r="E14" t="s">
        <v>1511</v>
      </c>
      <c r="F14" s="1">
        <v>44172</v>
      </c>
      <c r="G14" s="1">
        <v>52732</v>
      </c>
      <c r="H14" t="s">
        <v>1042</v>
      </c>
      <c r="I14" t="s">
        <v>256</v>
      </c>
      <c r="J14" t="s">
        <v>257</v>
      </c>
      <c r="K14" t="s">
        <v>1398</v>
      </c>
      <c r="L14">
        <v>2</v>
      </c>
      <c r="M14" t="s">
        <v>260</v>
      </c>
      <c r="N14" s="48">
        <v>800000000</v>
      </c>
      <c r="O14" s="47"/>
      <c r="P14" s="47">
        <v>1</v>
      </c>
      <c r="Q14" s="47"/>
      <c r="R14" s="47"/>
      <c r="S14" s="47"/>
      <c r="T14" s="47"/>
    </row>
    <row r="15" spans="1:20" x14ac:dyDescent="0.2">
      <c r="A15" s="78" t="s">
        <v>102</v>
      </c>
      <c r="B15" t="s">
        <v>1911</v>
      </c>
      <c r="E15" t="s">
        <v>1912</v>
      </c>
      <c r="F15" s="1">
        <v>44484</v>
      </c>
      <c r="G15" s="1">
        <v>51058</v>
      </c>
      <c r="H15" t="s">
        <v>1042</v>
      </c>
      <c r="I15" t="s">
        <v>256</v>
      </c>
      <c r="J15" t="s">
        <v>257</v>
      </c>
      <c r="K15" t="s">
        <v>1398</v>
      </c>
      <c r="L15">
        <v>2</v>
      </c>
      <c r="M15" t="s">
        <v>260</v>
      </c>
      <c r="N15" s="48">
        <v>950000000</v>
      </c>
      <c r="O15" s="47"/>
      <c r="P15" s="47">
        <v>1</v>
      </c>
      <c r="Q15" s="47"/>
      <c r="R15" s="47"/>
      <c r="S15" s="47"/>
      <c r="T15" s="47"/>
    </row>
    <row r="16" spans="1:20" x14ac:dyDescent="0.2">
      <c r="A16" s="78" t="s">
        <v>146</v>
      </c>
      <c r="B16" t="s">
        <v>805</v>
      </c>
      <c r="E16" t="s">
        <v>806</v>
      </c>
      <c r="F16" s="1">
        <v>43396</v>
      </c>
      <c r="G16" s="1">
        <v>45588</v>
      </c>
      <c r="H16" t="s">
        <v>807</v>
      </c>
      <c r="I16" t="s">
        <v>256</v>
      </c>
      <c r="J16" t="s">
        <v>808</v>
      </c>
      <c r="K16" t="s">
        <v>2795</v>
      </c>
      <c r="L16">
        <v>2</v>
      </c>
      <c r="M16" t="s">
        <v>811</v>
      </c>
      <c r="N16" s="48">
        <v>100000000</v>
      </c>
      <c r="O16" s="47"/>
      <c r="P16" s="47"/>
      <c r="Q16" s="47"/>
      <c r="R16" s="47">
        <v>3</v>
      </c>
      <c r="S16" s="47"/>
      <c r="T16" s="47"/>
    </row>
    <row r="17" spans="1:20" x14ac:dyDescent="0.2">
      <c r="A17" s="78" t="s">
        <v>124</v>
      </c>
      <c r="B17" t="s">
        <v>1188</v>
      </c>
      <c r="E17" t="s">
        <v>1189</v>
      </c>
      <c r="F17" s="1">
        <v>42997</v>
      </c>
      <c r="G17" s="1">
        <v>46649</v>
      </c>
      <c r="H17" t="s">
        <v>1190</v>
      </c>
      <c r="I17" t="s">
        <v>256</v>
      </c>
      <c r="J17" t="s">
        <v>257</v>
      </c>
      <c r="K17" t="s">
        <v>1191</v>
      </c>
      <c r="L17">
        <v>2</v>
      </c>
      <c r="M17" t="s">
        <v>270</v>
      </c>
      <c r="N17" s="48">
        <v>500000000</v>
      </c>
      <c r="O17" s="47"/>
      <c r="P17" s="47"/>
      <c r="Q17" s="47">
        <v>1</v>
      </c>
      <c r="R17" s="47">
        <v>9</v>
      </c>
      <c r="S17" s="47"/>
      <c r="T17" s="47"/>
    </row>
    <row r="18" spans="1:20" x14ac:dyDescent="0.2">
      <c r="A18" s="78" t="s">
        <v>123</v>
      </c>
      <c r="B18" t="s">
        <v>1799</v>
      </c>
      <c r="E18" t="s">
        <v>1800</v>
      </c>
      <c r="F18" s="1">
        <v>43558</v>
      </c>
      <c r="G18" s="1">
        <v>54516</v>
      </c>
      <c r="H18" t="s">
        <v>1190</v>
      </c>
      <c r="I18" t="s">
        <v>256</v>
      </c>
      <c r="J18" t="s">
        <v>257</v>
      </c>
      <c r="K18" t="s">
        <v>1191</v>
      </c>
      <c r="L18">
        <v>2</v>
      </c>
      <c r="M18" t="s">
        <v>270</v>
      </c>
      <c r="N18" s="48">
        <v>700000000</v>
      </c>
      <c r="O18" s="47"/>
      <c r="P18" s="47"/>
      <c r="Q18" s="47">
        <v>1</v>
      </c>
      <c r="R18" s="47">
        <v>9</v>
      </c>
      <c r="S18" s="47"/>
      <c r="T18" s="47"/>
    </row>
    <row r="19" spans="1:20" x14ac:dyDescent="0.2">
      <c r="B19" t="s">
        <v>524</v>
      </c>
      <c r="D19" t="s">
        <v>525</v>
      </c>
      <c r="E19" t="s">
        <v>526</v>
      </c>
      <c r="F19" s="1">
        <v>43819</v>
      </c>
      <c r="G19" s="1">
        <v>45646</v>
      </c>
      <c r="H19" t="s">
        <v>527</v>
      </c>
      <c r="I19" t="s">
        <v>278</v>
      </c>
      <c r="J19" t="s">
        <v>528</v>
      </c>
      <c r="K19" t="s">
        <v>529</v>
      </c>
      <c r="L19">
        <v>2</v>
      </c>
      <c r="M19" t="s">
        <v>270</v>
      </c>
      <c r="N19" s="48">
        <v>150000000</v>
      </c>
      <c r="O19" s="47"/>
      <c r="P19" s="47"/>
      <c r="Q19" s="47">
        <v>1</v>
      </c>
      <c r="R19" s="47">
        <v>7</v>
      </c>
      <c r="S19" s="47"/>
      <c r="T19" s="47"/>
    </row>
    <row r="20" spans="1:20" x14ac:dyDescent="0.2">
      <c r="A20" s="78" t="s">
        <v>206</v>
      </c>
      <c r="E20" t="s">
        <v>815</v>
      </c>
      <c r="F20" s="1">
        <v>43208</v>
      </c>
      <c r="G20" s="1">
        <v>45730</v>
      </c>
      <c r="H20" t="s">
        <v>286</v>
      </c>
      <c r="I20" t="s">
        <v>256</v>
      </c>
      <c r="J20" t="s">
        <v>287</v>
      </c>
      <c r="K20" t="s">
        <v>816</v>
      </c>
      <c r="L20">
        <v>2</v>
      </c>
      <c r="M20" t="s">
        <v>290</v>
      </c>
      <c r="N20" s="48">
        <v>1500000</v>
      </c>
      <c r="O20" s="47">
        <v>1</v>
      </c>
      <c r="P20" s="47"/>
      <c r="Q20" s="47"/>
      <c r="R20" s="47">
        <v>2</v>
      </c>
      <c r="S20" s="47"/>
      <c r="T20" s="47"/>
    </row>
    <row r="21" spans="1:20" x14ac:dyDescent="0.2">
      <c r="A21" t="s">
        <v>1842</v>
      </c>
      <c r="B21" t="s">
        <v>1843</v>
      </c>
      <c r="E21" t="s">
        <v>1844</v>
      </c>
      <c r="F21" s="1">
        <v>42829</v>
      </c>
      <c r="G21" s="1">
        <v>46481</v>
      </c>
      <c r="H21" t="s">
        <v>1845</v>
      </c>
      <c r="I21" t="s">
        <v>256</v>
      </c>
      <c r="J21" t="s">
        <v>287</v>
      </c>
      <c r="K21" t="s">
        <v>1846</v>
      </c>
      <c r="L21">
        <v>2</v>
      </c>
      <c r="M21" t="s">
        <v>270</v>
      </c>
      <c r="N21" s="48">
        <v>500000000</v>
      </c>
      <c r="O21" s="47">
        <v>1</v>
      </c>
      <c r="P21" s="47"/>
      <c r="Q21" s="47"/>
      <c r="R21" s="47">
        <v>5</v>
      </c>
      <c r="S21" s="47"/>
      <c r="T21" s="47"/>
    </row>
    <row r="22" spans="1:20" x14ac:dyDescent="0.2">
      <c r="A22" t="s">
        <v>184</v>
      </c>
      <c r="B22" t="s">
        <v>572</v>
      </c>
      <c r="C22" t="s">
        <v>573</v>
      </c>
      <c r="E22" t="s">
        <v>574</v>
      </c>
      <c r="F22" s="1">
        <v>42864</v>
      </c>
      <c r="G22" s="1">
        <v>45421</v>
      </c>
      <c r="H22" t="s">
        <v>576</v>
      </c>
      <c r="I22" t="s">
        <v>305</v>
      </c>
      <c r="J22" t="s">
        <v>257</v>
      </c>
      <c r="K22" t="s">
        <v>577</v>
      </c>
      <c r="L22">
        <v>3</v>
      </c>
      <c r="M22" t="s">
        <v>270</v>
      </c>
      <c r="N22" s="48">
        <v>1000000000</v>
      </c>
      <c r="O22" s="47"/>
      <c r="P22" s="47">
        <v>1</v>
      </c>
      <c r="Q22" s="47"/>
      <c r="R22" s="47"/>
      <c r="S22" s="47"/>
      <c r="T22" s="47"/>
    </row>
    <row r="23" spans="1:20" x14ac:dyDescent="0.2">
      <c r="A23" t="s">
        <v>198</v>
      </c>
      <c r="C23" t="s">
        <v>1635</v>
      </c>
      <c r="E23" t="s">
        <v>1636</v>
      </c>
      <c r="F23" s="1">
        <v>44098</v>
      </c>
      <c r="G23" s="1">
        <v>45924</v>
      </c>
      <c r="H23" t="s">
        <v>1637</v>
      </c>
      <c r="I23" t="s">
        <v>278</v>
      </c>
      <c r="J23" t="s">
        <v>384</v>
      </c>
      <c r="K23" t="s">
        <v>2794</v>
      </c>
      <c r="L23">
        <v>3</v>
      </c>
      <c r="M23" t="s">
        <v>386</v>
      </c>
      <c r="N23" s="48">
        <v>300000000000</v>
      </c>
      <c r="O23" s="47"/>
      <c r="P23" s="47"/>
      <c r="Q23">
        <v>1</v>
      </c>
      <c r="R23" s="47">
        <v>8</v>
      </c>
      <c r="S23" s="47"/>
      <c r="T23" s="47"/>
    </row>
    <row r="24" spans="1:20" x14ac:dyDescent="0.2">
      <c r="A24" t="s">
        <v>164</v>
      </c>
      <c r="B24" t="s">
        <v>1515</v>
      </c>
      <c r="E24" t="s">
        <v>1516</v>
      </c>
      <c r="F24" s="1">
        <v>43581</v>
      </c>
      <c r="G24" s="1">
        <v>44677</v>
      </c>
      <c r="H24" t="s">
        <v>1517</v>
      </c>
      <c r="I24" t="s">
        <v>305</v>
      </c>
      <c r="J24" t="s">
        <v>808</v>
      </c>
      <c r="K24" t="s">
        <v>1518</v>
      </c>
      <c r="L24">
        <v>3</v>
      </c>
      <c r="M24" t="s">
        <v>811</v>
      </c>
      <c r="N24" s="48">
        <v>100000000</v>
      </c>
      <c r="O24" s="47"/>
      <c r="P24" s="47"/>
      <c r="Q24" s="47">
        <v>1</v>
      </c>
      <c r="R24" s="47">
        <v>7</v>
      </c>
      <c r="S24" s="47"/>
      <c r="T24" s="47"/>
    </row>
    <row r="25" spans="1:20" x14ac:dyDescent="0.2">
      <c r="A25" s="78" t="s">
        <v>152</v>
      </c>
      <c r="B25" t="s">
        <v>1131</v>
      </c>
      <c r="D25" t="s">
        <v>1132</v>
      </c>
      <c r="E25" t="s">
        <v>1133</v>
      </c>
      <c r="F25" s="1">
        <v>44012</v>
      </c>
      <c r="G25" s="1">
        <v>46762</v>
      </c>
      <c r="H25" t="s">
        <v>1134</v>
      </c>
      <c r="I25" t="s">
        <v>256</v>
      </c>
      <c r="J25" t="s">
        <v>257</v>
      </c>
      <c r="K25" t="s">
        <v>1135</v>
      </c>
      <c r="L25">
        <v>3</v>
      </c>
      <c r="M25" t="s">
        <v>270</v>
      </c>
      <c r="N25" s="48">
        <v>500000000</v>
      </c>
      <c r="O25" s="47">
        <v>1</v>
      </c>
      <c r="P25" s="47"/>
      <c r="Q25" s="47"/>
      <c r="R25" s="47">
        <v>2</v>
      </c>
      <c r="S25" s="47"/>
      <c r="T25" s="47"/>
    </row>
    <row r="26" spans="1:20" x14ac:dyDescent="0.2">
      <c r="A26" s="78" t="s">
        <v>200</v>
      </c>
      <c r="B26" t="s">
        <v>1851</v>
      </c>
      <c r="D26" t="s">
        <v>1852</v>
      </c>
      <c r="E26" t="s">
        <v>1853</v>
      </c>
      <c r="F26" s="1">
        <v>42914</v>
      </c>
      <c r="G26" s="1">
        <v>46566</v>
      </c>
      <c r="H26" t="s">
        <v>1854</v>
      </c>
      <c r="I26" t="s">
        <v>256</v>
      </c>
      <c r="J26" t="s">
        <v>343</v>
      </c>
      <c r="K26" t="s">
        <v>1855</v>
      </c>
      <c r="L26">
        <v>3</v>
      </c>
      <c r="M26" t="s">
        <v>345</v>
      </c>
      <c r="N26" s="48">
        <v>4600000000</v>
      </c>
      <c r="O26" s="47">
        <v>1</v>
      </c>
      <c r="P26" s="47"/>
      <c r="Q26" s="47"/>
      <c r="R26" s="47">
        <v>4</v>
      </c>
      <c r="S26" s="47"/>
      <c r="T26" s="47"/>
    </row>
    <row r="27" spans="1:20" x14ac:dyDescent="0.2">
      <c r="D27" t="s">
        <v>1322</v>
      </c>
      <c r="E27" t="s">
        <v>1323</v>
      </c>
      <c r="H27" t="s">
        <v>399</v>
      </c>
      <c r="I27" t="s">
        <v>256</v>
      </c>
      <c r="J27" t="s">
        <v>400</v>
      </c>
      <c r="K27" t="s">
        <v>1324</v>
      </c>
      <c r="L27">
        <v>3</v>
      </c>
      <c r="M27" t="s">
        <v>401</v>
      </c>
      <c r="N27" s="48"/>
      <c r="O27" s="47"/>
      <c r="P27" s="47">
        <v>1</v>
      </c>
      <c r="Q27" s="47"/>
      <c r="R27" s="47"/>
      <c r="S27" s="47"/>
      <c r="T27" s="47"/>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A23" sqref="A23"/>
    </sheetView>
  </sheetViews>
  <sheetFormatPr baseColWidth="10" defaultColWidth="11" defaultRowHeight="16" x14ac:dyDescent="0.2"/>
  <cols>
    <col min="1" max="1" width="161.6640625" customWidth="1"/>
  </cols>
  <sheetData>
    <row r="5" spans="1:1" s="79" customFormat="1" ht="36" customHeight="1" x14ac:dyDescent="0.2">
      <c r="A5" s="80" t="s">
        <v>2982</v>
      </c>
    </row>
    <row r="6" spans="1:1" s="79" customFormat="1" ht="36" customHeight="1" x14ac:dyDescent="0.2">
      <c r="A6" s="81" t="s">
        <v>2813</v>
      </c>
    </row>
    <row r="7" spans="1:1" s="79" customFormat="1" ht="36" customHeight="1" x14ac:dyDescent="0.2">
      <c r="A7" s="81" t="s">
        <v>2812</v>
      </c>
    </row>
    <row r="8" spans="1:1" s="79" customFormat="1" ht="36" customHeight="1" x14ac:dyDescent="0.2">
      <c r="A8" s="81" t="s">
        <v>2811</v>
      </c>
    </row>
    <row r="9" spans="1:1" s="79" customFormat="1" ht="36" customHeight="1" x14ac:dyDescent="0.2">
      <c r="A9" s="81" t="s">
        <v>2810</v>
      </c>
    </row>
    <row r="10" spans="1:1" s="79" customFormat="1" ht="36" customHeight="1" x14ac:dyDescent="0.2">
      <c r="A10" s="80" t="s">
        <v>2983</v>
      </c>
    </row>
    <row r="11" spans="1:1" s="79" customFormat="1" ht="36" customHeight="1" x14ac:dyDescent="0.2">
      <c r="A11" s="81" t="s">
        <v>2809</v>
      </c>
    </row>
    <row r="12" spans="1:1" s="79" customFormat="1" ht="36" customHeight="1" x14ac:dyDescent="0.2">
      <c r="A12" s="81" t="s">
        <v>2808</v>
      </c>
    </row>
    <row r="13" spans="1:1" s="79" customFormat="1" ht="36" customHeight="1" x14ac:dyDescent="0.2">
      <c r="A13" s="81" t="s">
        <v>2807</v>
      </c>
    </row>
    <row r="14" spans="1:1" s="79" customFormat="1" ht="36" customHeight="1" x14ac:dyDescent="0.2">
      <c r="A14" s="81" t="s">
        <v>2806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topLeftCell="C1"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105" t="s">
        <v>2821</v>
      </c>
      <c r="E2" s="105"/>
      <c r="F2" s="105" t="s">
        <v>2820</v>
      </c>
      <c r="G2" s="105"/>
      <c r="H2" s="105" t="s">
        <v>2819</v>
      </c>
      <c r="I2" s="105"/>
    </row>
    <row r="3" spans="2:10" x14ac:dyDescent="0.2">
      <c r="D3" s="28" t="s">
        <v>2818</v>
      </c>
      <c r="E3" s="28" t="s">
        <v>2817</v>
      </c>
      <c r="F3" s="28" t="s">
        <v>2818</v>
      </c>
      <c r="G3" s="28" t="s">
        <v>2817</v>
      </c>
      <c r="H3" s="28" t="s">
        <v>2818</v>
      </c>
      <c r="I3" s="28" t="s">
        <v>2817</v>
      </c>
    </row>
    <row r="4" spans="2:10" x14ac:dyDescent="0.2">
      <c r="C4" s="28" t="s">
        <v>2815</v>
      </c>
      <c r="D4" s="51">
        <v>0.62708333333333333</v>
      </c>
      <c r="E4" s="51">
        <v>0.54166666666666663</v>
      </c>
      <c r="F4" s="47">
        <v>16.079999999999998</v>
      </c>
      <c r="G4" s="47">
        <v>13.52</v>
      </c>
      <c r="H4" s="47">
        <v>16.09</v>
      </c>
      <c r="I4" s="47">
        <v>15.19</v>
      </c>
    </row>
    <row r="5" spans="2:10" x14ac:dyDescent="0.2">
      <c r="C5" s="28" t="s">
        <v>2814</v>
      </c>
      <c r="D5" s="51">
        <v>0.64236111111111116</v>
      </c>
      <c r="E5" s="51">
        <v>0.56111111111111112</v>
      </c>
      <c r="F5" s="47">
        <v>17.57</v>
      </c>
      <c r="G5" s="47">
        <v>14.29</v>
      </c>
      <c r="H5" s="47">
        <v>16.45</v>
      </c>
      <c r="I5" s="47">
        <v>15.32</v>
      </c>
    </row>
    <row r="6" spans="2:10" x14ac:dyDescent="0.2">
      <c r="B6" s="107" t="s">
        <v>2816</v>
      </c>
      <c r="C6" s="28" t="s">
        <v>2815</v>
      </c>
      <c r="D6" s="51"/>
      <c r="E6" s="47"/>
      <c r="F6" s="47"/>
      <c r="G6" s="47"/>
      <c r="H6" s="47"/>
      <c r="I6" s="47"/>
    </row>
    <row r="7" spans="2:10" x14ac:dyDescent="0.2">
      <c r="B7" s="107"/>
      <c r="C7" s="28" t="s">
        <v>2814</v>
      </c>
      <c r="D7" s="51"/>
      <c r="E7" s="47"/>
      <c r="F7" s="47"/>
      <c r="G7" s="47"/>
      <c r="H7" s="47"/>
      <c r="I7" s="47"/>
    </row>
    <row r="8" spans="2:10" x14ac:dyDescent="0.2">
      <c r="B8" s="107" t="s">
        <v>2816</v>
      </c>
      <c r="C8" s="28" t="s">
        <v>2815</v>
      </c>
      <c r="D8" s="47"/>
      <c r="E8" s="47"/>
      <c r="F8" s="47"/>
      <c r="G8" s="47"/>
      <c r="H8" s="47"/>
      <c r="I8" s="47"/>
    </row>
    <row r="9" spans="2:10" x14ac:dyDescent="0.2">
      <c r="B9" s="107"/>
      <c r="C9" s="28" t="s">
        <v>2814</v>
      </c>
      <c r="D9" s="47"/>
      <c r="E9" s="47"/>
      <c r="F9" s="47"/>
      <c r="G9" s="47"/>
      <c r="H9" s="47"/>
      <c r="I9" s="47"/>
    </row>
    <row r="11" spans="2:10" x14ac:dyDescent="0.2">
      <c r="C11" s="28" t="s">
        <v>2962</v>
      </c>
      <c r="D11">
        <v>22</v>
      </c>
      <c r="E11">
        <v>28</v>
      </c>
      <c r="F11">
        <v>49</v>
      </c>
      <c r="G11">
        <v>37</v>
      </c>
      <c r="H11">
        <v>36</v>
      </c>
      <c r="I11">
        <v>43</v>
      </c>
      <c r="J11">
        <f>SUM(D11:I11)</f>
        <v>215</v>
      </c>
    </row>
    <row r="12" spans="2:10" x14ac:dyDescent="0.2">
      <c r="C12" s="28" t="s">
        <v>2963</v>
      </c>
      <c r="J12">
        <f>J11/60</f>
        <v>3.5833333333333335</v>
      </c>
    </row>
    <row r="13" spans="2:10" x14ac:dyDescent="0.2">
      <c r="J13">
        <f>0.583*60</f>
        <v>34.979999999999997</v>
      </c>
    </row>
    <row r="14" spans="2:10" x14ac:dyDescent="0.2">
      <c r="C14" s="28" t="s">
        <v>2964</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5" t="s">
        <v>1072</v>
      </c>
      <c r="V5" s="40" t="s">
        <v>274</v>
      </c>
      <c r="W5" s="55" t="s">
        <v>1072</v>
      </c>
      <c r="X5" s="55" t="s">
        <v>1072</v>
      </c>
      <c r="AA5" s="41" t="s">
        <v>577</v>
      </c>
      <c r="AB5" s="43" t="s">
        <v>1952</v>
      </c>
    </row>
    <row r="6" spans="6:28" x14ac:dyDescent="0.2">
      <c r="G6" s="36" t="s">
        <v>2737</v>
      </c>
      <c r="H6" t="b">
        <f>G6=I6</f>
        <v>1</v>
      </c>
      <c r="I6" s="33" t="s">
        <v>2737</v>
      </c>
      <c r="N6" t="b">
        <f t="shared" ref="N6:N56" si="0">I6=O6</f>
        <v>1</v>
      </c>
      <c r="O6" s="32" t="s">
        <v>2737</v>
      </c>
      <c r="U6" s="55" t="s">
        <v>288</v>
      </c>
      <c r="V6" s="53" t="s">
        <v>284</v>
      </c>
      <c r="W6" s="55" t="s">
        <v>288</v>
      </c>
      <c r="X6" s="55" t="s">
        <v>288</v>
      </c>
      <c r="AA6" s="41" t="s">
        <v>1415</v>
      </c>
      <c r="AB6" s="43" t="s">
        <v>1952</v>
      </c>
    </row>
    <row r="7" spans="6:28" x14ac:dyDescent="0.2">
      <c r="F7" s="7" t="s">
        <v>854</v>
      </c>
      <c r="H7" t="b">
        <f t="shared" ref="H7:H55" si="1">G7=I7</f>
        <v>0</v>
      </c>
      <c r="I7" s="35" t="s">
        <v>577</v>
      </c>
      <c r="N7" t="b">
        <f t="shared" si="0"/>
        <v>1</v>
      </c>
      <c r="O7" s="38" t="s">
        <v>577</v>
      </c>
      <c r="U7" s="55" t="s">
        <v>1316</v>
      </c>
      <c r="V7" s="40" t="s">
        <v>303</v>
      </c>
      <c r="W7" s="55" t="s">
        <v>1316</v>
      </c>
      <c r="X7" s="55" t="s">
        <v>1316</v>
      </c>
      <c r="AA7" s="40" t="s">
        <v>1415</v>
      </c>
      <c r="AB7" s="44" t="s">
        <v>1953</v>
      </c>
    </row>
    <row r="8" spans="6:28" x14ac:dyDescent="0.2">
      <c r="F8" s="7" t="s">
        <v>874</v>
      </c>
      <c r="G8" s="36" t="s">
        <v>2749</v>
      </c>
      <c r="H8" t="b">
        <f t="shared" si="1"/>
        <v>1</v>
      </c>
      <c r="I8" s="33" t="s">
        <v>2749</v>
      </c>
      <c r="N8" t="b">
        <f t="shared" si="0"/>
        <v>1</v>
      </c>
      <c r="O8" s="32" t="s">
        <v>2749</v>
      </c>
      <c r="U8" s="55" t="s">
        <v>2745</v>
      </c>
      <c r="V8" s="41" t="s">
        <v>312</v>
      </c>
      <c r="W8" s="55" t="s">
        <v>2745</v>
      </c>
      <c r="X8" s="55" t="s">
        <v>2745</v>
      </c>
      <c r="AA8" s="41" t="s">
        <v>1316</v>
      </c>
      <c r="AB8" s="43" t="s">
        <v>1952</v>
      </c>
    </row>
    <row r="9" spans="6:28" x14ac:dyDescent="0.2">
      <c r="F9" s="7" t="s">
        <v>280</v>
      </c>
      <c r="G9" s="36" t="s">
        <v>2726</v>
      </c>
      <c r="H9" t="b">
        <f t="shared" si="1"/>
        <v>1</v>
      </c>
      <c r="I9" s="33" t="s">
        <v>2726</v>
      </c>
      <c r="N9" t="b">
        <f t="shared" si="0"/>
        <v>1</v>
      </c>
      <c r="O9" s="32" t="s">
        <v>2726</v>
      </c>
      <c r="U9" s="55" t="s">
        <v>2746</v>
      </c>
      <c r="V9" s="40" t="s">
        <v>318</v>
      </c>
      <c r="W9" s="55" t="s">
        <v>2746</v>
      </c>
      <c r="X9" s="55" t="s">
        <v>2746</v>
      </c>
      <c r="AA9" s="41" t="s">
        <v>1316</v>
      </c>
      <c r="AB9" s="43" t="s">
        <v>1953</v>
      </c>
    </row>
    <row r="10" spans="6:28" x14ac:dyDescent="0.2">
      <c r="F10" s="7" t="s">
        <v>507</v>
      </c>
      <c r="G10" s="36" t="s">
        <v>1415</v>
      </c>
      <c r="H10" t="b">
        <f t="shared" si="1"/>
        <v>1</v>
      </c>
      <c r="I10" s="33" t="s">
        <v>1415</v>
      </c>
      <c r="N10" t="b">
        <f t="shared" si="0"/>
        <v>1</v>
      </c>
      <c r="O10" s="33" t="s">
        <v>1415</v>
      </c>
      <c r="U10" s="55" t="s">
        <v>2750</v>
      </c>
      <c r="V10" s="41" t="s">
        <v>330</v>
      </c>
      <c r="W10" s="55" t="s">
        <v>2750</v>
      </c>
      <c r="X10" s="55" t="s">
        <v>2750</v>
      </c>
      <c r="AA10" s="40" t="s">
        <v>651</v>
      </c>
      <c r="AB10" s="44" t="s">
        <v>1952</v>
      </c>
    </row>
    <row r="11" spans="6:28" x14ac:dyDescent="0.2">
      <c r="F11" s="7" t="s">
        <v>307</v>
      </c>
      <c r="G11" s="36" t="s">
        <v>2745</v>
      </c>
      <c r="H11" t="b">
        <f t="shared" si="1"/>
        <v>1</v>
      </c>
      <c r="I11" s="33" t="s">
        <v>2745</v>
      </c>
      <c r="N11" t="b">
        <f t="shared" si="0"/>
        <v>1</v>
      </c>
      <c r="O11" s="32" t="s">
        <v>2745</v>
      </c>
      <c r="U11" s="55" t="s">
        <v>2749</v>
      </c>
      <c r="V11" s="40" t="s">
        <v>349</v>
      </c>
      <c r="W11" s="55" t="s">
        <v>2749</v>
      </c>
      <c r="X11" s="55" t="s">
        <v>2749</v>
      </c>
      <c r="AA11" s="41" t="s">
        <v>651</v>
      </c>
      <c r="AB11" s="43" t="s">
        <v>1954</v>
      </c>
    </row>
    <row r="12" spans="6:28" x14ac:dyDescent="0.2">
      <c r="F12" s="7" t="s">
        <v>986</v>
      </c>
      <c r="G12" s="36" t="s">
        <v>2751</v>
      </c>
      <c r="H12" t="b">
        <f t="shared" si="1"/>
        <v>1</v>
      </c>
      <c r="I12" s="33" t="s">
        <v>2751</v>
      </c>
      <c r="N12" t="b">
        <f t="shared" si="0"/>
        <v>0</v>
      </c>
      <c r="O12" s="32" t="s">
        <v>1316</v>
      </c>
      <c r="U12" s="55" t="s">
        <v>2747</v>
      </c>
      <c r="V12" s="41" t="s">
        <v>381</v>
      </c>
      <c r="W12" s="55" t="s">
        <v>2747</v>
      </c>
      <c r="X12" s="55" t="s">
        <v>2747</v>
      </c>
      <c r="AA12" s="40" t="s">
        <v>651</v>
      </c>
      <c r="AB12" s="44" t="s">
        <v>1953</v>
      </c>
    </row>
    <row r="13" spans="6:28" x14ac:dyDescent="0.2">
      <c r="F13" s="7" t="s">
        <v>320</v>
      </c>
      <c r="G13" s="36" t="s">
        <v>2739</v>
      </c>
      <c r="H13" t="b">
        <f t="shared" si="1"/>
        <v>1</v>
      </c>
      <c r="I13" s="33" t="s">
        <v>2739</v>
      </c>
      <c r="N13" t="b">
        <f t="shared" si="0"/>
        <v>1</v>
      </c>
      <c r="O13" s="32" t="s">
        <v>2739</v>
      </c>
      <c r="U13" s="55" t="s">
        <v>2748</v>
      </c>
      <c r="V13" s="40" t="s">
        <v>413</v>
      </c>
      <c r="W13" s="55" t="s">
        <v>2748</v>
      </c>
      <c r="X13" s="55" t="s">
        <v>2748</v>
      </c>
      <c r="AA13" s="41" t="s">
        <v>1072</v>
      </c>
      <c r="AB13" s="43" t="s">
        <v>1952</v>
      </c>
    </row>
    <row r="14" spans="6:28" x14ac:dyDescent="0.2">
      <c r="F14" s="7" t="s">
        <v>1024</v>
      </c>
      <c r="G14" s="36" t="s">
        <v>2752</v>
      </c>
      <c r="H14" t="b">
        <f t="shared" si="1"/>
        <v>1</v>
      </c>
      <c r="I14" s="33" t="s">
        <v>2752</v>
      </c>
      <c r="N14" t="b">
        <f t="shared" si="0"/>
        <v>0</v>
      </c>
      <c r="O14" s="32" t="s">
        <v>651</v>
      </c>
      <c r="U14" s="55" t="s">
        <v>651</v>
      </c>
      <c r="V14" s="41" t="s">
        <v>421</v>
      </c>
      <c r="W14" s="55" t="s">
        <v>651</v>
      </c>
      <c r="X14" s="55" t="s">
        <v>651</v>
      </c>
      <c r="AA14" s="40" t="s">
        <v>1556</v>
      </c>
      <c r="AB14" s="44" t="s">
        <v>1952</v>
      </c>
    </row>
    <row r="15" spans="6:28" x14ac:dyDescent="0.2">
      <c r="F15" s="7" t="s">
        <v>427</v>
      </c>
      <c r="G15" s="36" t="s">
        <v>2747</v>
      </c>
      <c r="H15" t="b">
        <f t="shared" si="1"/>
        <v>1</v>
      </c>
      <c r="I15" s="33" t="s">
        <v>2747</v>
      </c>
      <c r="N15" t="b">
        <f t="shared" si="0"/>
        <v>1</v>
      </c>
      <c r="O15" s="32" t="s">
        <v>2747</v>
      </c>
      <c r="U15" s="55" t="s">
        <v>2744</v>
      </c>
      <c r="V15" s="40" t="s">
        <v>425</v>
      </c>
      <c r="W15" s="55" t="s">
        <v>2744</v>
      </c>
      <c r="X15" s="55" t="s">
        <v>2744</v>
      </c>
      <c r="AA15" s="40" t="s">
        <v>1065</v>
      </c>
      <c r="AB15" s="44" t="s">
        <v>1958</v>
      </c>
    </row>
    <row r="16" spans="6:28" x14ac:dyDescent="0.2">
      <c r="F16" s="7" t="s">
        <v>659</v>
      </c>
      <c r="G16" s="36" t="s">
        <v>2750</v>
      </c>
      <c r="H16" t="b">
        <f t="shared" si="1"/>
        <v>1</v>
      </c>
      <c r="I16" s="33" t="s">
        <v>2750</v>
      </c>
      <c r="N16" t="b">
        <f t="shared" si="0"/>
        <v>1</v>
      </c>
      <c r="O16" s="32" t="s">
        <v>2750</v>
      </c>
      <c r="U16" s="55" t="s">
        <v>1415</v>
      </c>
      <c r="V16" s="41" t="s">
        <v>440</v>
      </c>
      <c r="W16" s="55" t="s">
        <v>1415</v>
      </c>
      <c r="X16" s="55" t="s">
        <v>1415</v>
      </c>
      <c r="AA16" s="41" t="s">
        <v>1065</v>
      </c>
      <c r="AB16" s="43" t="s">
        <v>1953</v>
      </c>
    </row>
    <row r="17" spans="6:28" x14ac:dyDescent="0.2">
      <c r="F17" s="7" t="s">
        <v>646</v>
      </c>
      <c r="G17" s="36" t="s">
        <v>1072</v>
      </c>
      <c r="H17" t="b">
        <f t="shared" si="1"/>
        <v>1</v>
      </c>
      <c r="I17" s="33" t="s">
        <v>1072</v>
      </c>
      <c r="N17" t="b">
        <f t="shared" si="0"/>
        <v>1</v>
      </c>
      <c r="O17" s="32" t="s">
        <v>1072</v>
      </c>
      <c r="U17" s="55" t="s">
        <v>2743</v>
      </c>
      <c r="V17" s="40" t="s">
        <v>447</v>
      </c>
      <c r="W17" s="56" t="s">
        <v>529</v>
      </c>
      <c r="X17" s="56" t="s">
        <v>529</v>
      </c>
      <c r="AA17" s="40" t="s">
        <v>1065</v>
      </c>
      <c r="AB17" s="44" t="s">
        <v>1952</v>
      </c>
    </row>
    <row r="18" spans="6:28" x14ac:dyDescent="0.2">
      <c r="F18" s="7" t="s">
        <v>385</v>
      </c>
      <c r="H18" t="b">
        <f t="shared" si="1"/>
        <v>0</v>
      </c>
      <c r="I18" s="35" t="s">
        <v>1556</v>
      </c>
      <c r="N18" t="b">
        <f t="shared" si="0"/>
        <v>1</v>
      </c>
      <c r="O18" s="38" t="s">
        <v>1556</v>
      </c>
      <c r="U18" s="55" t="s">
        <v>2742</v>
      </c>
      <c r="V18" s="41" t="s">
        <v>459</v>
      </c>
      <c r="W18" s="56" t="s">
        <v>577</v>
      </c>
      <c r="X18" s="41"/>
      <c r="AA18" s="41" t="s">
        <v>1065</v>
      </c>
      <c r="AB18" s="43" t="s">
        <v>1957</v>
      </c>
    </row>
    <row r="19" spans="6:28" x14ac:dyDescent="0.2">
      <c r="F19" s="7" t="s">
        <v>1221</v>
      </c>
      <c r="G19" s="36" t="s">
        <v>1156</v>
      </c>
      <c r="H19" t="b">
        <f t="shared" si="1"/>
        <v>1</v>
      </c>
      <c r="I19" s="33" t="s">
        <v>1156</v>
      </c>
      <c r="N19" t="b">
        <f t="shared" si="0"/>
        <v>1</v>
      </c>
      <c r="O19" s="32" t="s">
        <v>1156</v>
      </c>
      <c r="U19" s="55" t="s">
        <v>1191</v>
      </c>
      <c r="V19" s="40" t="s">
        <v>464</v>
      </c>
      <c r="W19" s="55" t="s">
        <v>2743</v>
      </c>
      <c r="X19" s="56" t="s">
        <v>577</v>
      </c>
      <c r="AA19" s="40" t="s">
        <v>905</v>
      </c>
      <c r="AB19" s="44" t="s">
        <v>1958</v>
      </c>
    </row>
    <row r="20" spans="6:28" x14ac:dyDescent="0.2">
      <c r="F20" s="7" t="s">
        <v>1247</v>
      </c>
      <c r="H20" t="b">
        <f t="shared" si="1"/>
        <v>0</v>
      </c>
      <c r="I20" s="37" t="s">
        <v>1474</v>
      </c>
      <c r="N20" t="b">
        <f t="shared" si="0"/>
        <v>1</v>
      </c>
      <c r="O20" s="32" t="s">
        <v>1474</v>
      </c>
      <c r="U20" s="55" t="s">
        <v>2741</v>
      </c>
      <c r="V20" s="41" t="s">
        <v>475</v>
      </c>
      <c r="W20" s="55" t="s">
        <v>2742</v>
      </c>
      <c r="X20" s="55" t="s">
        <v>2743</v>
      </c>
      <c r="AA20" s="40" t="s">
        <v>905</v>
      </c>
      <c r="AB20" s="44" t="s">
        <v>1952</v>
      </c>
    </row>
    <row r="21" spans="6:28" x14ac:dyDescent="0.2">
      <c r="F21" s="7" t="s">
        <v>1258</v>
      </c>
      <c r="G21" s="36" t="s">
        <v>2741</v>
      </c>
      <c r="H21" t="b">
        <f t="shared" si="1"/>
        <v>1</v>
      </c>
      <c r="I21" s="33" t="s">
        <v>2741</v>
      </c>
      <c r="N21" t="b">
        <f t="shared" si="0"/>
        <v>1</v>
      </c>
      <c r="O21" s="32" t="s">
        <v>2741</v>
      </c>
      <c r="U21" s="55" t="s">
        <v>2740</v>
      </c>
      <c r="V21" s="40" t="s">
        <v>503</v>
      </c>
      <c r="W21" s="55" t="s">
        <v>1191</v>
      </c>
      <c r="X21" s="55" t="s">
        <v>2742</v>
      </c>
      <c r="AA21" s="40" t="s">
        <v>1398</v>
      </c>
      <c r="AB21" s="44" t="s">
        <v>1952</v>
      </c>
    </row>
    <row r="22" spans="6:28" x14ac:dyDescent="0.2">
      <c r="F22" s="7" t="s">
        <v>1281</v>
      </c>
      <c r="H22" t="b">
        <f t="shared" si="1"/>
        <v>0</v>
      </c>
      <c r="I22" s="35" t="s">
        <v>1065</v>
      </c>
      <c r="N22" t="b">
        <f t="shared" si="0"/>
        <v>1</v>
      </c>
      <c r="O22" s="38" t="s">
        <v>1065</v>
      </c>
      <c r="U22" s="55" t="s">
        <v>2739</v>
      </c>
      <c r="V22" s="41" t="s">
        <v>511</v>
      </c>
      <c r="W22" s="55" t="s">
        <v>2741</v>
      </c>
      <c r="X22" s="55" t="s">
        <v>1191</v>
      </c>
      <c r="AA22" s="40" t="s">
        <v>809</v>
      </c>
      <c r="AB22" s="44" t="s">
        <v>1953</v>
      </c>
    </row>
    <row r="23" spans="6:28" x14ac:dyDescent="0.2">
      <c r="F23" s="7" t="s">
        <v>1294</v>
      </c>
      <c r="H23" t="b">
        <f t="shared" si="1"/>
        <v>0</v>
      </c>
      <c r="I23" s="35" t="s">
        <v>905</v>
      </c>
      <c r="N23" t="b">
        <f t="shared" si="0"/>
        <v>1</v>
      </c>
      <c r="O23" s="38" t="s">
        <v>905</v>
      </c>
      <c r="U23" s="55" t="s">
        <v>2737</v>
      </c>
      <c r="V23" s="40" t="s">
        <v>517</v>
      </c>
      <c r="W23" s="55" t="s">
        <v>2740</v>
      </c>
      <c r="X23" s="55" t="s">
        <v>2741</v>
      </c>
      <c r="AA23" s="41" t="s">
        <v>809</v>
      </c>
      <c r="AB23" s="43" t="s">
        <v>1957</v>
      </c>
    </row>
    <row r="24" spans="6:28" x14ac:dyDescent="0.2">
      <c r="F24" s="7" t="s">
        <v>725</v>
      </c>
      <c r="H24" t="b">
        <f t="shared" si="1"/>
        <v>0</v>
      </c>
      <c r="I24" s="35" t="s">
        <v>1398</v>
      </c>
      <c r="N24" t="b">
        <f t="shared" si="0"/>
        <v>1</v>
      </c>
      <c r="O24" s="38" t="s">
        <v>1398</v>
      </c>
      <c r="U24" s="55" t="s">
        <v>2736</v>
      </c>
      <c r="V24" s="41" t="s">
        <v>526</v>
      </c>
      <c r="W24" s="55" t="s">
        <v>2739</v>
      </c>
      <c r="X24" s="55" t="s">
        <v>2740</v>
      </c>
      <c r="AA24" s="40" t="s">
        <v>1191</v>
      </c>
      <c r="AB24" s="44" t="s">
        <v>1958</v>
      </c>
    </row>
    <row r="25" spans="6:28" x14ac:dyDescent="0.2">
      <c r="F25" s="7" t="s">
        <v>335</v>
      </c>
      <c r="H25" t="b">
        <f t="shared" si="1"/>
        <v>1</v>
      </c>
      <c r="I25" s="35"/>
      <c r="N25" t="b">
        <f t="shared" si="0"/>
        <v>0</v>
      </c>
      <c r="O25" s="38" t="s">
        <v>809</v>
      </c>
      <c r="U25" s="55" t="s">
        <v>2735</v>
      </c>
      <c r="V25" s="40" t="s">
        <v>544</v>
      </c>
      <c r="W25" s="56" t="s">
        <v>809</v>
      </c>
      <c r="X25" s="55" t="s">
        <v>2739</v>
      </c>
      <c r="AA25" s="41" t="s">
        <v>1191</v>
      </c>
      <c r="AB25" s="43" t="s">
        <v>1953</v>
      </c>
    </row>
    <row r="26" spans="6:28" x14ac:dyDescent="0.2">
      <c r="F26" s="7" t="s">
        <v>1466</v>
      </c>
      <c r="G26" s="36" t="s">
        <v>2748</v>
      </c>
      <c r="H26" t="b">
        <f t="shared" si="1"/>
        <v>1</v>
      </c>
      <c r="I26" s="33" t="s">
        <v>2748</v>
      </c>
      <c r="N26" t="b">
        <f t="shared" si="0"/>
        <v>1</v>
      </c>
      <c r="O26" s="32" t="s">
        <v>2748</v>
      </c>
      <c r="U26" s="55" t="s">
        <v>2734</v>
      </c>
      <c r="V26" s="41" t="s">
        <v>552</v>
      </c>
      <c r="W26" s="56" t="s">
        <v>816</v>
      </c>
      <c r="X26" s="56" t="s">
        <v>809</v>
      </c>
      <c r="AA26" s="41" t="s">
        <v>1191</v>
      </c>
      <c r="AB26" s="43" t="s">
        <v>1956</v>
      </c>
    </row>
    <row r="27" spans="6:28" x14ac:dyDescent="0.2">
      <c r="F27" s="7" t="s">
        <v>468</v>
      </c>
      <c r="G27" s="36" t="s">
        <v>2736</v>
      </c>
      <c r="H27" t="b">
        <f t="shared" si="1"/>
        <v>1</v>
      </c>
      <c r="I27" s="33" t="s">
        <v>2736</v>
      </c>
      <c r="N27" t="b">
        <f t="shared" si="0"/>
        <v>1</v>
      </c>
      <c r="O27" s="32" t="s">
        <v>2736</v>
      </c>
      <c r="U27" s="55" t="s">
        <v>1031</v>
      </c>
      <c r="V27" s="40" t="s">
        <v>574</v>
      </c>
      <c r="W27" s="55" t="s">
        <v>2737</v>
      </c>
      <c r="X27" s="56" t="s">
        <v>816</v>
      </c>
      <c r="AA27" s="41" t="s">
        <v>1191</v>
      </c>
      <c r="AB27" s="43" t="s">
        <v>1959</v>
      </c>
    </row>
    <row r="28" spans="6:28" x14ac:dyDescent="0.2">
      <c r="F28" s="7" t="s">
        <v>1550</v>
      </c>
      <c r="G28" s="36" t="s">
        <v>2746</v>
      </c>
      <c r="H28" t="b">
        <f t="shared" si="1"/>
        <v>1</v>
      </c>
      <c r="I28" s="33" t="s">
        <v>2746</v>
      </c>
      <c r="N28" t="b">
        <f t="shared" si="0"/>
        <v>1</v>
      </c>
      <c r="O28" s="32" t="s">
        <v>2746</v>
      </c>
      <c r="U28" s="55" t="s">
        <v>1156</v>
      </c>
      <c r="V28" s="41" t="s">
        <v>583</v>
      </c>
      <c r="W28" s="55" t="s">
        <v>2736</v>
      </c>
      <c r="X28" s="55" t="s">
        <v>2737</v>
      </c>
      <c r="AA28" s="41" t="s">
        <v>1191</v>
      </c>
      <c r="AB28" s="43" t="s">
        <v>1960</v>
      </c>
    </row>
    <row r="29" spans="6:28" x14ac:dyDescent="0.2">
      <c r="F29" s="7" t="s">
        <v>480</v>
      </c>
      <c r="G29" s="36" t="s">
        <v>2740</v>
      </c>
      <c r="H29" t="b">
        <f t="shared" si="1"/>
        <v>1</v>
      </c>
      <c r="I29" s="33" t="s">
        <v>2740</v>
      </c>
      <c r="N29" t="b">
        <f t="shared" si="0"/>
        <v>1</v>
      </c>
      <c r="O29" s="32" t="s">
        <v>2740</v>
      </c>
      <c r="U29" s="55" t="s">
        <v>2733</v>
      </c>
      <c r="V29" s="40" t="s">
        <v>601</v>
      </c>
      <c r="W29" s="56" t="s">
        <v>905</v>
      </c>
      <c r="X29" s="55" t="s">
        <v>2736</v>
      </c>
      <c r="AA29" s="40" t="s">
        <v>1191</v>
      </c>
      <c r="AB29" s="44" t="s">
        <v>1952</v>
      </c>
    </row>
    <row r="30" spans="6:28" x14ac:dyDescent="0.2">
      <c r="F30" s="7" t="s">
        <v>1660</v>
      </c>
      <c r="G30" s="36" t="s">
        <v>2731</v>
      </c>
      <c r="H30" t="b">
        <f t="shared" si="1"/>
        <v>1</v>
      </c>
      <c r="I30" s="33" t="s">
        <v>2731</v>
      </c>
      <c r="N30" t="b">
        <f t="shared" si="0"/>
        <v>1</v>
      </c>
      <c r="O30" s="32" t="s">
        <v>2731</v>
      </c>
      <c r="U30" s="55" t="s">
        <v>2732</v>
      </c>
      <c r="V30" s="41" t="s">
        <v>611</v>
      </c>
      <c r="W30" s="56" t="s">
        <v>933</v>
      </c>
      <c r="X30" s="56" t="s">
        <v>905</v>
      </c>
      <c r="AA30" s="41" t="s">
        <v>1191</v>
      </c>
      <c r="AB30" s="43" t="s">
        <v>1957</v>
      </c>
    </row>
    <row r="31" spans="6:28" x14ac:dyDescent="0.2">
      <c r="F31" s="7" t="s">
        <v>754</v>
      </c>
      <c r="G31" s="36" t="s">
        <v>1191</v>
      </c>
      <c r="H31" t="b">
        <f t="shared" si="1"/>
        <v>1</v>
      </c>
      <c r="I31" s="33" t="s">
        <v>1191</v>
      </c>
      <c r="N31" t="b">
        <f t="shared" si="0"/>
        <v>1</v>
      </c>
      <c r="O31" s="32" t="s">
        <v>1191</v>
      </c>
      <c r="U31" s="55" t="s">
        <v>2731</v>
      </c>
      <c r="V31" s="40" t="s">
        <v>619</v>
      </c>
      <c r="W31" s="55" t="s">
        <v>2735</v>
      </c>
      <c r="X31" s="56" t="s">
        <v>933</v>
      </c>
      <c r="AA31" s="41" t="s">
        <v>1191</v>
      </c>
      <c r="AB31" s="43" t="s">
        <v>441</v>
      </c>
    </row>
    <row r="32" spans="6:28" x14ac:dyDescent="0.2">
      <c r="F32" s="7" t="s">
        <v>1795</v>
      </c>
      <c r="G32" s="36" t="s">
        <v>2729</v>
      </c>
      <c r="H32" t="b">
        <f t="shared" si="1"/>
        <v>1</v>
      </c>
      <c r="I32" s="33" t="s">
        <v>2729</v>
      </c>
      <c r="N32" t="b">
        <f t="shared" si="0"/>
        <v>1</v>
      </c>
      <c r="O32" s="32" t="s">
        <v>2729</v>
      </c>
      <c r="U32" s="55" t="s">
        <v>2730</v>
      </c>
      <c r="V32" s="41" t="s">
        <v>632</v>
      </c>
      <c r="W32" s="55" t="s">
        <v>2734</v>
      </c>
      <c r="X32" s="55" t="s">
        <v>2735</v>
      </c>
      <c r="AA32" s="41" t="s">
        <v>1191</v>
      </c>
      <c r="AB32" s="43" t="s">
        <v>1954</v>
      </c>
    </row>
    <row r="33" spans="6:28" x14ac:dyDescent="0.2">
      <c r="F33" s="7" t="s">
        <v>1838</v>
      </c>
      <c r="H33" t="b">
        <f>G31=I33</f>
        <v>0</v>
      </c>
      <c r="I33" s="35" t="s">
        <v>529</v>
      </c>
      <c r="N33" t="b">
        <f t="shared" si="0"/>
        <v>1</v>
      </c>
      <c r="O33" s="38" t="s">
        <v>529</v>
      </c>
      <c r="U33" s="55" t="s">
        <v>2729</v>
      </c>
      <c r="V33" s="40" t="s">
        <v>639</v>
      </c>
      <c r="W33" s="55" t="s">
        <v>1031</v>
      </c>
      <c r="X33" s="55" t="s">
        <v>2734</v>
      </c>
      <c r="AA33" s="41" t="s">
        <v>529</v>
      </c>
      <c r="AB33" s="43" t="s">
        <v>1955</v>
      </c>
    </row>
    <row r="34" spans="6:28" x14ac:dyDescent="0.2">
      <c r="F34" s="7" t="s">
        <v>1879</v>
      </c>
      <c r="G34" s="36" t="s">
        <v>1031</v>
      </c>
      <c r="H34" t="b">
        <f t="shared" si="1"/>
        <v>1</v>
      </c>
      <c r="I34" s="33" t="s">
        <v>1031</v>
      </c>
      <c r="N34" t="b">
        <f t="shared" si="0"/>
        <v>1</v>
      </c>
      <c r="O34" s="32" t="s">
        <v>1031</v>
      </c>
      <c r="U34" s="55" t="s">
        <v>2728</v>
      </c>
      <c r="V34" s="41" t="s">
        <v>644</v>
      </c>
      <c r="W34" s="56" t="s">
        <v>1065</v>
      </c>
      <c r="X34" s="55" t="s">
        <v>1031</v>
      </c>
      <c r="AA34" s="40" t="s">
        <v>529</v>
      </c>
      <c r="AB34" s="44" t="s">
        <v>1957</v>
      </c>
    </row>
    <row r="35" spans="6:28" x14ac:dyDescent="0.2">
      <c r="G35" s="36" t="s">
        <v>2727</v>
      </c>
      <c r="H35" t="b">
        <f t="shared" si="1"/>
        <v>1</v>
      </c>
      <c r="I35" s="33" t="s">
        <v>2727</v>
      </c>
      <c r="N35" t="b">
        <f t="shared" si="0"/>
        <v>1</v>
      </c>
      <c r="O35" s="32" t="s">
        <v>2727</v>
      </c>
      <c r="U35" s="55" t="s">
        <v>1474</v>
      </c>
      <c r="V35" s="40" t="s">
        <v>650</v>
      </c>
      <c r="W35" s="56" t="s">
        <v>1135</v>
      </c>
      <c r="X35" s="56" t="s">
        <v>1065</v>
      </c>
      <c r="AA35" s="41" t="s">
        <v>529</v>
      </c>
      <c r="AB35" s="43" t="s">
        <v>1958</v>
      </c>
    </row>
    <row r="36" spans="6:28" x14ac:dyDescent="0.2">
      <c r="H36" t="b">
        <f t="shared" si="1"/>
        <v>1</v>
      </c>
      <c r="I36" s="35"/>
      <c r="N36" t="b">
        <f t="shared" si="0"/>
        <v>0</v>
      </c>
      <c r="O36" s="38" t="s">
        <v>816</v>
      </c>
      <c r="U36" s="55" t="s">
        <v>1529</v>
      </c>
      <c r="V36" s="41" t="s">
        <v>657</v>
      </c>
      <c r="W36" s="56" t="s">
        <v>1142</v>
      </c>
      <c r="X36" s="56" t="s">
        <v>1135</v>
      </c>
      <c r="AA36" s="40" t="s">
        <v>529</v>
      </c>
      <c r="AB36" s="44" t="s">
        <v>1954</v>
      </c>
    </row>
    <row r="37" spans="6:28" x14ac:dyDescent="0.2">
      <c r="G37" s="36" t="s">
        <v>288</v>
      </c>
      <c r="H37" t="b">
        <f t="shared" si="1"/>
        <v>1</v>
      </c>
      <c r="I37" s="33" t="s">
        <v>288</v>
      </c>
      <c r="N37" t="b">
        <f t="shared" si="0"/>
        <v>1</v>
      </c>
      <c r="O37" s="32" t="s">
        <v>288</v>
      </c>
      <c r="U37" s="55" t="s">
        <v>2738</v>
      </c>
      <c r="V37" s="40" t="s">
        <v>672</v>
      </c>
      <c r="W37" s="55" t="s">
        <v>1156</v>
      </c>
      <c r="X37" s="56" t="s">
        <v>1142</v>
      </c>
      <c r="AA37" s="41" t="s">
        <v>529</v>
      </c>
      <c r="AB37" s="43" t="s">
        <v>1959</v>
      </c>
    </row>
    <row r="38" spans="6:28" x14ac:dyDescent="0.2">
      <c r="H38" t="b">
        <f t="shared" si="1"/>
        <v>1</v>
      </c>
      <c r="I38" s="35"/>
      <c r="N38" t="b">
        <f t="shared" si="0"/>
        <v>0</v>
      </c>
      <c r="O38" s="38" t="s">
        <v>933</v>
      </c>
      <c r="U38" s="55" t="s">
        <v>2727</v>
      </c>
      <c r="V38" s="41" t="s">
        <v>702</v>
      </c>
      <c r="W38" s="55" t="s">
        <v>2733</v>
      </c>
      <c r="X38" s="55" t="s">
        <v>1156</v>
      </c>
      <c r="AA38" s="41" t="s">
        <v>816</v>
      </c>
      <c r="AB38" s="43" t="s">
        <v>1953</v>
      </c>
    </row>
    <row r="39" spans="6:28" x14ac:dyDescent="0.2">
      <c r="G39" s="36" t="s">
        <v>2742</v>
      </c>
      <c r="H39" t="b">
        <f t="shared" si="1"/>
        <v>1</v>
      </c>
      <c r="I39" s="33" t="s">
        <v>2742</v>
      </c>
      <c r="N39" t="b">
        <f t="shared" si="0"/>
        <v>1</v>
      </c>
      <c r="O39" s="32" t="s">
        <v>2742</v>
      </c>
      <c r="U39" s="55" t="s">
        <v>2726</v>
      </c>
      <c r="V39" s="40" t="s">
        <v>720</v>
      </c>
      <c r="W39" s="55" t="s">
        <v>2732</v>
      </c>
      <c r="X39" s="55" t="s">
        <v>2733</v>
      </c>
      <c r="AA39" s="40" t="s">
        <v>933</v>
      </c>
      <c r="AB39" s="44" t="s">
        <v>1955</v>
      </c>
    </row>
    <row r="40" spans="6:28" x14ac:dyDescent="0.2">
      <c r="G40" s="36" t="s">
        <v>2753</v>
      </c>
      <c r="H40" t="b">
        <f t="shared" si="1"/>
        <v>0</v>
      </c>
      <c r="I40" s="35"/>
      <c r="N40" t="b">
        <f t="shared" si="0"/>
        <v>0</v>
      </c>
      <c r="O40" s="38" t="s">
        <v>1846</v>
      </c>
      <c r="U40" s="55" t="s">
        <v>2725</v>
      </c>
      <c r="V40" s="41" t="s">
        <v>737</v>
      </c>
      <c r="W40" s="55" t="s">
        <v>2731</v>
      </c>
      <c r="X40" s="55" t="s">
        <v>2732</v>
      </c>
      <c r="AA40" s="41" t="s">
        <v>1846</v>
      </c>
      <c r="AB40" s="43" t="s">
        <v>1957</v>
      </c>
    </row>
    <row r="41" spans="6:28" x14ac:dyDescent="0.2">
      <c r="G41" s="36" t="s">
        <v>2754</v>
      </c>
      <c r="H41" t="b">
        <f t="shared" si="1"/>
        <v>0</v>
      </c>
      <c r="I41" s="33" t="s">
        <v>2738</v>
      </c>
      <c r="N41" t="b">
        <f t="shared" si="0"/>
        <v>1</v>
      </c>
      <c r="O41" s="32" t="s">
        <v>2738</v>
      </c>
      <c r="V41" s="40" t="s">
        <v>753</v>
      </c>
      <c r="W41" s="55" t="s">
        <v>2730</v>
      </c>
      <c r="X41" s="55" t="s">
        <v>2731</v>
      </c>
      <c r="AA41" s="40" t="s">
        <v>1846</v>
      </c>
      <c r="AB41" s="44" t="s">
        <v>1958</v>
      </c>
    </row>
    <row r="42" spans="6:28" x14ac:dyDescent="0.2">
      <c r="H42" t="b">
        <f t="shared" si="1"/>
        <v>1</v>
      </c>
      <c r="I42" s="35"/>
      <c r="N42" t="b">
        <f t="shared" si="0"/>
        <v>0</v>
      </c>
      <c r="O42" s="38" t="s">
        <v>1369</v>
      </c>
      <c r="V42" s="41" t="s">
        <v>764</v>
      </c>
      <c r="W42" s="55" t="s">
        <v>2729</v>
      </c>
      <c r="X42" s="55" t="s">
        <v>2730</v>
      </c>
      <c r="AA42" s="40" t="s">
        <v>1846</v>
      </c>
      <c r="AB42" s="44" t="s">
        <v>1953</v>
      </c>
    </row>
    <row r="43" spans="6:28" x14ac:dyDescent="0.2">
      <c r="H43" t="b">
        <f t="shared" si="1"/>
        <v>0</v>
      </c>
      <c r="I43" s="33" t="s">
        <v>2725</v>
      </c>
      <c r="N43" t="b">
        <f t="shared" si="0"/>
        <v>1</v>
      </c>
      <c r="O43" s="32" t="s">
        <v>2725</v>
      </c>
      <c r="V43" s="40" t="s">
        <v>771</v>
      </c>
      <c r="W43" s="56" t="s">
        <v>1324</v>
      </c>
      <c r="X43" s="55" t="s">
        <v>2729</v>
      </c>
      <c r="AA43" s="41" t="s">
        <v>1846</v>
      </c>
      <c r="AB43" s="43" t="s">
        <v>1959</v>
      </c>
    </row>
    <row r="44" spans="6:28" x14ac:dyDescent="0.2">
      <c r="G44" s="36" t="s">
        <v>2743</v>
      </c>
      <c r="H44" t="b">
        <f t="shared" si="1"/>
        <v>1</v>
      </c>
      <c r="I44" s="33" t="s">
        <v>2743</v>
      </c>
      <c r="N44" t="b">
        <f t="shared" si="0"/>
        <v>1</v>
      </c>
      <c r="O44" s="32" t="s">
        <v>2743</v>
      </c>
      <c r="V44" s="41" t="s">
        <v>781</v>
      </c>
      <c r="W44" s="56" t="s">
        <v>1369</v>
      </c>
      <c r="X44" s="56" t="s">
        <v>1324</v>
      </c>
      <c r="AA44" s="40" t="s">
        <v>1369</v>
      </c>
      <c r="AB44" s="44" t="s">
        <v>1946</v>
      </c>
    </row>
    <row r="45" spans="6:28" x14ac:dyDescent="0.2">
      <c r="H45" t="b">
        <f t="shared" si="1"/>
        <v>0</v>
      </c>
      <c r="I45" s="35" t="s">
        <v>1638</v>
      </c>
      <c r="N45" t="b">
        <f t="shared" si="0"/>
        <v>1</v>
      </c>
      <c r="O45" s="38" t="s">
        <v>1638</v>
      </c>
      <c r="V45" s="40" t="s">
        <v>787</v>
      </c>
      <c r="W45" s="56" t="s">
        <v>1398</v>
      </c>
      <c r="X45" s="40"/>
      <c r="AA45" s="40" t="s">
        <v>1369</v>
      </c>
      <c r="AB45" s="44" t="s">
        <v>1957</v>
      </c>
    </row>
    <row r="46" spans="6:28" x14ac:dyDescent="0.2">
      <c r="G46" s="36" t="s">
        <v>2728</v>
      </c>
      <c r="H46" t="b">
        <f t="shared" si="1"/>
        <v>1</v>
      </c>
      <c r="I46" s="33" t="s">
        <v>2728</v>
      </c>
      <c r="N46" t="b">
        <f t="shared" si="0"/>
        <v>1</v>
      </c>
      <c r="O46" s="32" t="s">
        <v>2728</v>
      </c>
      <c r="V46" s="41" t="s">
        <v>796</v>
      </c>
      <c r="W46" s="55" t="s">
        <v>2728</v>
      </c>
      <c r="X46" s="56" t="s">
        <v>1369</v>
      </c>
      <c r="AA46" s="41" t="s">
        <v>1369</v>
      </c>
      <c r="AB46" s="43" t="s">
        <v>1952</v>
      </c>
    </row>
    <row r="47" spans="6:28" x14ac:dyDescent="0.2">
      <c r="G47" s="36" t="s">
        <v>2734</v>
      </c>
      <c r="H47" t="b">
        <f t="shared" si="1"/>
        <v>1</v>
      </c>
      <c r="I47" s="33" t="s">
        <v>2734</v>
      </c>
      <c r="N47" t="b">
        <f t="shared" si="0"/>
        <v>1</v>
      </c>
      <c r="O47" s="32" t="s">
        <v>2734</v>
      </c>
      <c r="V47" s="40" t="s">
        <v>802</v>
      </c>
      <c r="W47" s="55" t="s">
        <v>1474</v>
      </c>
      <c r="X47" s="56" t="s">
        <v>1398</v>
      </c>
      <c r="AA47" s="40" t="s">
        <v>1638</v>
      </c>
      <c r="AB47" s="44" t="s">
        <v>1953</v>
      </c>
    </row>
    <row r="48" spans="6:28" x14ac:dyDescent="0.2">
      <c r="G48" s="36" t="s">
        <v>2730</v>
      </c>
      <c r="H48" t="b">
        <f t="shared" si="1"/>
        <v>1</v>
      </c>
      <c r="I48" s="33" t="s">
        <v>2730</v>
      </c>
      <c r="N48" t="b">
        <f t="shared" si="0"/>
        <v>1</v>
      </c>
      <c r="O48" s="32" t="s">
        <v>2730</v>
      </c>
      <c r="V48" s="54" t="s">
        <v>806</v>
      </c>
      <c r="W48" s="56" t="s">
        <v>1518</v>
      </c>
      <c r="X48" s="41"/>
      <c r="AA48" s="41" t="s">
        <v>1638</v>
      </c>
      <c r="AB48" s="43" t="s">
        <v>1955</v>
      </c>
    </row>
    <row r="49" spans="7:28" x14ac:dyDescent="0.2">
      <c r="H49" t="b">
        <f t="shared" si="1"/>
        <v>0</v>
      </c>
      <c r="I49" s="35" t="s">
        <v>1518</v>
      </c>
      <c r="N49" t="b">
        <f t="shared" si="0"/>
        <v>1</v>
      </c>
      <c r="O49" s="38" t="s">
        <v>1518</v>
      </c>
      <c r="V49" s="54" t="s">
        <v>815</v>
      </c>
      <c r="W49" s="55" t="s">
        <v>1529</v>
      </c>
      <c r="X49" s="55" t="s">
        <v>2728</v>
      </c>
      <c r="AA49" s="40" t="s">
        <v>1638</v>
      </c>
      <c r="AB49" s="44" t="s">
        <v>1957</v>
      </c>
    </row>
    <row r="50" spans="7:28" x14ac:dyDescent="0.2">
      <c r="G50" s="36" t="s">
        <v>2733</v>
      </c>
      <c r="H50" t="b">
        <f t="shared" si="1"/>
        <v>1</v>
      </c>
      <c r="I50" s="33" t="s">
        <v>2733</v>
      </c>
      <c r="N50" t="b">
        <f t="shared" si="0"/>
        <v>1</v>
      </c>
      <c r="O50" s="32" t="s">
        <v>2733</v>
      </c>
      <c r="V50" s="41" t="s">
        <v>829</v>
      </c>
      <c r="W50" s="55" t="s">
        <v>2738</v>
      </c>
      <c r="X50" s="55" t="s">
        <v>1474</v>
      </c>
      <c r="AA50" s="41" t="s">
        <v>1638</v>
      </c>
      <c r="AB50" s="43" t="s">
        <v>1952</v>
      </c>
    </row>
    <row r="51" spans="7:28" x14ac:dyDescent="0.2">
      <c r="G51" s="36" t="s">
        <v>2732</v>
      </c>
      <c r="H51" t="b">
        <f t="shared" si="1"/>
        <v>1</v>
      </c>
      <c r="I51" s="33" t="s">
        <v>2732</v>
      </c>
      <c r="N51" t="b">
        <f t="shared" si="0"/>
        <v>1</v>
      </c>
      <c r="O51" s="32" t="s">
        <v>2732</v>
      </c>
      <c r="V51" s="40" t="s">
        <v>836</v>
      </c>
      <c r="W51" s="56" t="s">
        <v>1556</v>
      </c>
      <c r="X51" s="56" t="s">
        <v>1518</v>
      </c>
      <c r="AA51" s="40" t="s">
        <v>1638</v>
      </c>
      <c r="AB51" s="44" t="s">
        <v>1954</v>
      </c>
    </row>
    <row r="52" spans="7:28" x14ac:dyDescent="0.2">
      <c r="H52" t="b">
        <f t="shared" si="1"/>
        <v>0</v>
      </c>
      <c r="I52" s="37" t="s">
        <v>2744</v>
      </c>
      <c r="N52" t="b">
        <f t="shared" si="0"/>
        <v>1</v>
      </c>
      <c r="O52" s="32" t="s">
        <v>2744</v>
      </c>
      <c r="V52" s="41" t="s">
        <v>850</v>
      </c>
      <c r="W52" s="56" t="s">
        <v>1638</v>
      </c>
      <c r="X52" s="55" t="s">
        <v>1529</v>
      </c>
      <c r="AA52" s="41" t="s">
        <v>1638</v>
      </c>
      <c r="AB52" s="43" t="s">
        <v>1959</v>
      </c>
    </row>
    <row r="53" spans="7:28" x14ac:dyDescent="0.2">
      <c r="H53" t="b">
        <f t="shared" si="1"/>
        <v>0</v>
      </c>
      <c r="I53" s="35" t="s">
        <v>1135</v>
      </c>
      <c r="N53" t="b">
        <f t="shared" si="0"/>
        <v>1</v>
      </c>
      <c r="O53" s="38" t="s">
        <v>1135</v>
      </c>
      <c r="V53" s="40" t="s">
        <v>873</v>
      </c>
      <c r="W53" s="55" t="s">
        <v>2727</v>
      </c>
      <c r="X53" s="55" t="s">
        <v>2738</v>
      </c>
      <c r="AA53" s="40" t="s">
        <v>1518</v>
      </c>
      <c r="AB53" s="44" t="s">
        <v>1952</v>
      </c>
    </row>
    <row r="54" spans="7:28" x14ac:dyDescent="0.2">
      <c r="G54" s="36" t="s">
        <v>2735</v>
      </c>
      <c r="H54" t="b">
        <f t="shared" si="1"/>
        <v>1</v>
      </c>
      <c r="I54" s="33" t="s">
        <v>2735</v>
      </c>
      <c r="N54" t="b">
        <f t="shared" si="0"/>
        <v>1</v>
      </c>
      <c r="O54" s="32" t="s">
        <v>2735</v>
      </c>
      <c r="V54" s="41" t="s">
        <v>888</v>
      </c>
      <c r="W54" s="55" t="s">
        <v>2726</v>
      </c>
      <c r="X54" s="56" t="s">
        <v>1556</v>
      </c>
      <c r="AA54" s="41" t="s">
        <v>1135</v>
      </c>
      <c r="AB54" s="43" t="s">
        <v>1954</v>
      </c>
    </row>
    <row r="55" spans="7:28" x14ac:dyDescent="0.2">
      <c r="G55" s="36" t="s">
        <v>1529</v>
      </c>
      <c r="H55" t="b">
        <f t="shared" si="1"/>
        <v>1</v>
      </c>
      <c r="I55" s="33" t="s">
        <v>1529</v>
      </c>
      <c r="N55" t="b">
        <f t="shared" si="0"/>
        <v>1</v>
      </c>
      <c r="O55" s="32" t="s">
        <v>1529</v>
      </c>
      <c r="V55" s="40" t="s">
        <v>903</v>
      </c>
      <c r="W55" s="56" t="s">
        <v>1846</v>
      </c>
      <c r="X55" s="56" t="s">
        <v>1638</v>
      </c>
      <c r="AA55" s="41" t="s">
        <v>1855</v>
      </c>
      <c r="AB55" s="43" t="s">
        <v>1953</v>
      </c>
    </row>
    <row r="56" spans="7:28" x14ac:dyDescent="0.2">
      <c r="N56" t="b">
        <f t="shared" si="0"/>
        <v>0</v>
      </c>
      <c r="O56" s="38" t="s">
        <v>1855</v>
      </c>
      <c r="V56" s="41" t="s">
        <v>916</v>
      </c>
      <c r="W56" s="56" t="s">
        <v>1855</v>
      </c>
      <c r="X56" s="41"/>
      <c r="AA56" s="40" t="s">
        <v>1324</v>
      </c>
      <c r="AB56" s="44" t="s">
        <v>1952</v>
      </c>
    </row>
    <row r="57" spans="7:28" x14ac:dyDescent="0.2">
      <c r="N57" t="b">
        <f>I58=O57</f>
        <v>0</v>
      </c>
      <c r="O57" s="38" t="s">
        <v>1324</v>
      </c>
      <c r="V57" s="40" t="s">
        <v>921</v>
      </c>
      <c r="W57" s="55" t="s">
        <v>2725</v>
      </c>
      <c r="X57" s="55" t="s">
        <v>2727</v>
      </c>
    </row>
    <row r="58" spans="7:28" x14ac:dyDescent="0.2">
      <c r="V58" s="41" t="s">
        <v>931</v>
      </c>
      <c r="X58" s="40"/>
    </row>
    <row r="59" spans="7:28" x14ac:dyDescent="0.2">
      <c r="V59" s="40" t="s">
        <v>961</v>
      </c>
      <c r="X59" s="55" t="s">
        <v>2726</v>
      </c>
    </row>
    <row r="60" spans="7:28" x14ac:dyDescent="0.2">
      <c r="V60" s="41" t="s">
        <v>968</v>
      </c>
      <c r="X60" s="56" t="s">
        <v>1846</v>
      </c>
    </row>
    <row r="61" spans="7:28" x14ac:dyDescent="0.2">
      <c r="V61" s="40" t="s">
        <v>985</v>
      </c>
      <c r="X61" s="56" t="s">
        <v>1855</v>
      </c>
    </row>
    <row r="62" spans="7:28" x14ac:dyDescent="0.2">
      <c r="V62" s="41" t="s">
        <v>1003</v>
      </c>
      <c r="X62" s="55" t="s">
        <v>2725</v>
      </c>
    </row>
    <row r="63" spans="7:28" x14ac:dyDescent="0.2">
      <c r="V63" s="40" t="s">
        <v>1016</v>
      </c>
    </row>
    <row r="64" spans="7:28" x14ac:dyDescent="0.2">
      <c r="V64" s="41" t="s">
        <v>1022</v>
      </c>
    </row>
    <row r="65" spans="22:22" x14ac:dyDescent="0.2">
      <c r="V65" s="53"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4" t="s">
        <v>1133</v>
      </c>
    </row>
    <row r="77" spans="22:22" x14ac:dyDescent="0.2">
      <c r="V77" s="40" t="s">
        <v>1140</v>
      </c>
    </row>
    <row r="78" spans="22:22" x14ac:dyDescent="0.2">
      <c r="V78" s="53" t="s">
        <v>1154</v>
      </c>
    </row>
    <row r="79" spans="22:22" x14ac:dyDescent="0.2">
      <c r="V79" s="40" t="s">
        <v>1167</v>
      </c>
    </row>
    <row r="80" spans="22:22" x14ac:dyDescent="0.2">
      <c r="V80" s="41" t="s">
        <v>1185</v>
      </c>
    </row>
    <row r="81" spans="22:22" x14ac:dyDescent="0.2">
      <c r="V81" s="54"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4"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3" t="s">
        <v>1472</v>
      </c>
    </row>
    <row r="107" spans="22:22" x14ac:dyDescent="0.2">
      <c r="V107" s="40" t="s">
        <v>1479</v>
      </c>
    </row>
    <row r="108" spans="22:22" x14ac:dyDescent="0.2">
      <c r="V108" s="41" t="s">
        <v>1497</v>
      </c>
    </row>
    <row r="109" spans="22:22" x14ac:dyDescent="0.2">
      <c r="V109" s="40" t="s">
        <v>1505</v>
      </c>
    </row>
    <row r="110" spans="22:22" x14ac:dyDescent="0.2">
      <c r="V110" s="54" t="s">
        <v>1511</v>
      </c>
    </row>
    <row r="111" spans="22:22" x14ac:dyDescent="0.2">
      <c r="V111" s="40" t="s">
        <v>1516</v>
      </c>
    </row>
    <row r="112" spans="22:22" x14ac:dyDescent="0.2">
      <c r="V112" s="53" t="s">
        <v>1527</v>
      </c>
    </row>
    <row r="113" spans="22:22" x14ac:dyDescent="0.2">
      <c r="V113" s="40" t="s">
        <v>1540</v>
      </c>
    </row>
    <row r="114" spans="22:22" x14ac:dyDescent="0.2">
      <c r="V114" s="41" t="s">
        <v>1544</v>
      </c>
    </row>
    <row r="115" spans="22:22" x14ac:dyDescent="0.2">
      <c r="V115" s="40" t="s">
        <v>1548</v>
      </c>
    </row>
    <row r="116" spans="22:22" x14ac:dyDescent="0.2">
      <c r="V116" s="54"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4" t="s">
        <v>1800</v>
      </c>
    </row>
    <row r="144" spans="22:22" x14ac:dyDescent="0.2">
      <c r="V144" s="41" t="s">
        <v>1809</v>
      </c>
    </row>
    <row r="145" spans="22:22" x14ac:dyDescent="0.2">
      <c r="V145" s="40" t="s">
        <v>1824</v>
      </c>
    </row>
    <row r="146" spans="22:22" x14ac:dyDescent="0.2">
      <c r="V146" s="41" t="s">
        <v>1844</v>
      </c>
    </row>
    <row r="147" spans="22:22" x14ac:dyDescent="0.2">
      <c r="V147" s="54"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4"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2" t="s">
        <v>2837</v>
      </c>
      <c r="B1" s="52" t="s">
        <v>2843</v>
      </c>
      <c r="C1" s="52" t="s">
        <v>2842</v>
      </c>
      <c r="D1" s="52" t="s">
        <v>2838</v>
      </c>
      <c r="E1" s="52" t="s">
        <v>2839</v>
      </c>
      <c r="F1" s="52" t="s">
        <v>2840</v>
      </c>
      <c r="G1" s="52" t="s">
        <v>2841</v>
      </c>
      <c r="H1" s="52" t="s">
        <v>2849</v>
      </c>
      <c r="I1" s="52" t="s">
        <v>2850</v>
      </c>
      <c r="J1" s="52" t="s">
        <v>2851</v>
      </c>
      <c r="K1" s="52" t="s">
        <v>2852</v>
      </c>
    </row>
    <row r="2" spans="1:11" x14ac:dyDescent="0.2">
      <c r="A2" s="52" t="s">
        <v>2844</v>
      </c>
      <c r="B2" s="52">
        <v>0.73380000000000001</v>
      </c>
      <c r="C2" s="52">
        <v>38</v>
      </c>
      <c r="D2" s="52">
        <v>0.69640000000000002</v>
      </c>
      <c r="E2" s="52">
        <v>283</v>
      </c>
      <c r="F2" s="52">
        <v>0.67449999999999999</v>
      </c>
      <c r="G2" s="52">
        <v>23</v>
      </c>
      <c r="H2" s="52">
        <v>0.70730000000000004</v>
      </c>
      <c r="I2" s="52">
        <v>19</v>
      </c>
      <c r="J2" s="52">
        <v>0.72929999999999995</v>
      </c>
      <c r="K2" s="52">
        <v>66</v>
      </c>
    </row>
    <row r="3" spans="1:11" x14ac:dyDescent="0.2">
      <c r="A3" s="52" t="s">
        <v>2845</v>
      </c>
      <c r="B3" s="52">
        <v>0.73380000000000001</v>
      </c>
      <c r="C3" s="52">
        <v>38</v>
      </c>
      <c r="D3" s="52">
        <v>0.90069999999999995</v>
      </c>
      <c r="E3" s="52">
        <v>38</v>
      </c>
      <c r="F3" s="52">
        <v>0.91559999999999997</v>
      </c>
      <c r="G3" s="52">
        <v>2</v>
      </c>
      <c r="H3" s="52">
        <v>0.93049999999999999</v>
      </c>
      <c r="I3" s="52">
        <v>8</v>
      </c>
      <c r="J3" s="52">
        <v>0.87819999999999998</v>
      </c>
      <c r="K3" s="52">
        <v>24</v>
      </c>
    </row>
    <row r="4" spans="1:11" x14ac:dyDescent="0.2">
      <c r="A4" s="52" t="s">
        <v>2846</v>
      </c>
      <c r="B4" s="52">
        <v>0.79769999999999996</v>
      </c>
      <c r="C4" s="52">
        <v>28</v>
      </c>
      <c r="D4" s="58">
        <v>1</v>
      </c>
      <c r="E4" s="52">
        <v>25</v>
      </c>
      <c r="F4" s="58">
        <v>1</v>
      </c>
      <c r="G4" s="52">
        <v>1</v>
      </c>
      <c r="H4" s="58">
        <v>0.97619999999999996</v>
      </c>
      <c r="I4" s="52">
        <v>4</v>
      </c>
      <c r="J4" s="58">
        <v>1</v>
      </c>
      <c r="K4" s="52">
        <v>11</v>
      </c>
    </row>
    <row r="5" spans="1:11" x14ac:dyDescent="0.2">
      <c r="A5" s="52" t="s">
        <v>2847</v>
      </c>
      <c r="B5" s="52">
        <v>0.84689999999999999</v>
      </c>
      <c r="C5" s="52">
        <v>15</v>
      </c>
      <c r="D5" s="58">
        <v>1</v>
      </c>
      <c r="E5" s="52">
        <v>21</v>
      </c>
      <c r="F5" s="58">
        <v>1</v>
      </c>
      <c r="G5" s="52">
        <v>1</v>
      </c>
      <c r="H5" s="58">
        <v>1</v>
      </c>
      <c r="I5" s="52">
        <v>2</v>
      </c>
      <c r="J5" s="58">
        <v>1</v>
      </c>
      <c r="K5" s="52">
        <v>9</v>
      </c>
    </row>
    <row r="6" spans="1:11" x14ac:dyDescent="0.2">
      <c r="A6" s="52" t="s">
        <v>2848</v>
      </c>
      <c r="B6" s="52">
        <v>0.81430000000000002</v>
      </c>
      <c r="C6" s="52">
        <v>24</v>
      </c>
      <c r="D6" s="52">
        <v>0.97370000000000001</v>
      </c>
      <c r="E6" s="52">
        <v>26</v>
      </c>
      <c r="F6" s="58">
        <v>1</v>
      </c>
      <c r="G6" s="52">
        <v>1</v>
      </c>
      <c r="H6" s="52">
        <v>0.90849999999999997</v>
      </c>
      <c r="I6" s="52">
        <v>7</v>
      </c>
      <c r="J6" s="58">
        <v>1</v>
      </c>
      <c r="K6" s="52">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Y1" workbookViewId="0">
      <selection activeCell="Z287" sqref="Z287"/>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2878</v>
      </c>
      <c r="AD1" t="s">
        <v>2856</v>
      </c>
      <c r="AE1" t="s">
        <v>2855</v>
      </c>
      <c r="AF1" t="s">
        <v>2862</v>
      </c>
      <c r="AG1" t="s">
        <v>2863</v>
      </c>
      <c r="AH1" t="s">
        <v>2900</v>
      </c>
      <c r="AI1" t="s">
        <v>2886</v>
      </c>
      <c r="AJ1" t="s">
        <v>2887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2858</v>
      </c>
      <c r="AE5" s="23" t="s">
        <v>2860</v>
      </c>
      <c r="AF5" s="23"/>
      <c r="AG5" s="23"/>
      <c r="AH5" s="23"/>
      <c r="AI5" s="23" t="s">
        <v>2945</v>
      </c>
      <c r="AJ5" s="59" t="s">
        <v>2946</v>
      </c>
      <c r="AK5" s="9" t="s">
        <v>290</v>
      </c>
      <c r="AL5" s="9">
        <v>2000000</v>
      </c>
      <c r="AM5" s="12" t="s">
        <v>291</v>
      </c>
    </row>
    <row r="6" spans="1:39"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2858</v>
      </c>
      <c r="AE7" s="23" t="s">
        <v>2885</v>
      </c>
      <c r="AF7" s="23"/>
      <c r="AG7" s="23"/>
      <c r="AH7" s="23" t="s">
        <v>2831</v>
      </c>
      <c r="AI7" s="23" t="s">
        <v>2892</v>
      </c>
      <c r="AJ7" s="59" t="s">
        <v>2956</v>
      </c>
      <c r="AK7" t="s">
        <v>308</v>
      </c>
      <c r="AL7">
        <v>155000000</v>
      </c>
      <c r="AM7" s="3" t="s">
        <v>309</v>
      </c>
    </row>
    <row r="8" spans="1:39"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2884</v>
      </c>
      <c r="AD8" s="23" t="s">
        <v>2858</v>
      </c>
      <c r="AE8" s="23" t="s">
        <v>2951</v>
      </c>
      <c r="AF8" s="23" t="s">
        <v>2865</v>
      </c>
      <c r="AG8" s="23" t="s">
        <v>2864</v>
      </c>
      <c r="AH8" s="23" t="s">
        <v>2831</v>
      </c>
      <c r="AI8" s="23" t="s">
        <v>2892</v>
      </c>
      <c r="AJ8" s="59" t="s">
        <v>2953</v>
      </c>
      <c r="AK8" t="s">
        <v>270</v>
      </c>
      <c r="AL8">
        <v>20000000</v>
      </c>
      <c r="AM8" s="3" t="s">
        <v>315</v>
      </c>
    </row>
    <row r="9" spans="1:39"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2858</v>
      </c>
      <c r="AE9" s="23" t="s">
        <v>2938</v>
      </c>
      <c r="AF9" s="23" t="s">
        <v>2865</v>
      </c>
      <c r="AG9" s="23" t="s">
        <v>2864</v>
      </c>
      <c r="AH9" s="23" t="s">
        <v>2831</v>
      </c>
      <c r="AI9" s="23" t="s">
        <v>2942</v>
      </c>
      <c r="AJ9" s="59" t="s">
        <v>2939</v>
      </c>
      <c r="AK9" t="s">
        <v>270</v>
      </c>
      <c r="AL9">
        <v>10867627</v>
      </c>
      <c r="AM9" s="3" t="s">
        <v>321</v>
      </c>
    </row>
    <row r="10" spans="1:39"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2858</v>
      </c>
      <c r="AE11" s="23"/>
      <c r="AF11" s="23"/>
      <c r="AG11" s="23"/>
      <c r="AH11" s="23" t="s">
        <v>2831</v>
      </c>
      <c r="AI11" s="23" t="s">
        <v>2892</v>
      </c>
      <c r="AJ11" s="59" t="s">
        <v>2955</v>
      </c>
      <c r="AK11" t="s">
        <v>270</v>
      </c>
      <c r="AL11">
        <v>1500000000</v>
      </c>
      <c r="AM11" s="3" t="s">
        <v>336</v>
      </c>
    </row>
    <row r="12" spans="1:39"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2853</v>
      </c>
      <c r="AE13" s="23" t="s">
        <v>2881</v>
      </c>
      <c r="AF13" s="23"/>
      <c r="AG13" s="23"/>
      <c r="AH13" s="23" t="s">
        <v>2832</v>
      </c>
      <c r="AI13" s="23"/>
      <c r="AJ13" s="23"/>
      <c r="AK13" t="s">
        <v>270</v>
      </c>
      <c r="AL13">
        <v>50000000</v>
      </c>
      <c r="AM13" s="3" t="s">
        <v>353</v>
      </c>
    </row>
    <row r="14" spans="1:39"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2877</v>
      </c>
      <c r="AE22" s="23"/>
      <c r="AF22" s="23"/>
      <c r="AG22" s="23"/>
      <c r="AH22" s="23"/>
      <c r="AI22" s="23"/>
      <c r="AJ22" s="23"/>
      <c r="AK22" t="s">
        <v>270</v>
      </c>
      <c r="AL22">
        <v>366118638</v>
      </c>
      <c r="AM22" s="3" t="s">
        <v>422</v>
      </c>
    </row>
    <row r="23" spans="1:39"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2853</v>
      </c>
      <c r="AE23" s="23" t="s">
        <v>2961</v>
      </c>
      <c r="AF23" s="23" t="s">
        <v>2864</v>
      </c>
      <c r="AG23" s="23" t="s">
        <v>2864</v>
      </c>
      <c r="AH23" s="23" t="s">
        <v>2831</v>
      </c>
      <c r="AI23" s="23" t="s">
        <v>2892</v>
      </c>
      <c r="AJ23" s="23" t="s">
        <v>2890</v>
      </c>
      <c r="AK23" t="s">
        <v>270</v>
      </c>
      <c r="AL23">
        <v>680000000</v>
      </c>
      <c r="AM23" s="3" t="s">
        <v>428</v>
      </c>
    </row>
    <row r="24" spans="1:39"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2858</v>
      </c>
      <c r="AE29" s="23"/>
      <c r="AF29" s="23"/>
      <c r="AG29" s="23"/>
      <c r="AH29" s="23" t="s">
        <v>2831</v>
      </c>
      <c r="AI29" s="23" t="s">
        <v>2892</v>
      </c>
      <c r="AJ29" s="59" t="s">
        <v>2957</v>
      </c>
      <c r="AK29" t="s">
        <v>308</v>
      </c>
      <c r="AL29">
        <v>350000000</v>
      </c>
      <c r="AM29" s="3" t="s">
        <v>469</v>
      </c>
    </row>
    <row r="30" spans="1:39"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2858</v>
      </c>
      <c r="AE34" s="23" t="s">
        <v>2882</v>
      </c>
      <c r="AF34" s="23"/>
      <c r="AG34" s="23"/>
      <c r="AH34" s="23" t="s">
        <v>2831</v>
      </c>
      <c r="AI34" s="23" t="s">
        <v>2892</v>
      </c>
      <c r="AJ34" s="23" t="s">
        <v>2958</v>
      </c>
      <c r="AK34" t="s">
        <v>270</v>
      </c>
      <c r="AL34">
        <v>50000000</v>
      </c>
      <c r="AM34" s="3" t="s">
        <v>353</v>
      </c>
    </row>
    <row r="35" spans="1:39"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2853</v>
      </c>
      <c r="AE37" s="23" t="s">
        <v>2857</v>
      </c>
      <c r="AF37" s="23" t="s">
        <v>2864</v>
      </c>
      <c r="AG37" s="23" t="s">
        <v>2864</v>
      </c>
      <c r="AH37" s="23" t="s">
        <v>2832</v>
      </c>
      <c r="AI37" s="23" t="s">
        <v>2892</v>
      </c>
      <c r="AJ37" s="59" t="s">
        <v>2896</v>
      </c>
      <c r="AK37" t="s">
        <v>270</v>
      </c>
      <c r="AL37">
        <v>150000000</v>
      </c>
      <c r="AM37" s="3" t="s">
        <v>531</v>
      </c>
    </row>
    <row r="38" spans="1:39"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2853</v>
      </c>
      <c r="AE43" s="23" t="s">
        <v>2854</v>
      </c>
      <c r="AF43" s="23" t="s">
        <v>2864</v>
      </c>
      <c r="AG43" s="23" t="s">
        <v>2864</v>
      </c>
      <c r="AH43" s="23" t="s">
        <v>2831</v>
      </c>
      <c r="AI43" s="23" t="s">
        <v>2892</v>
      </c>
      <c r="AJ43" s="23" t="s">
        <v>2894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2877</v>
      </c>
      <c r="AE47" s="23"/>
      <c r="AF47" s="23"/>
      <c r="AG47" s="23"/>
      <c r="AH47" s="23"/>
      <c r="AI47" s="23"/>
      <c r="AJ47" s="23"/>
      <c r="AK47" t="s">
        <v>270</v>
      </c>
      <c r="AL47">
        <v>30000000</v>
      </c>
      <c r="AM47" s="3" t="s">
        <v>602</v>
      </c>
    </row>
    <row r="48" spans="1:39"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2879</v>
      </c>
      <c r="AD54" s="23" t="s">
        <v>2853</v>
      </c>
      <c r="AE54" s="23" t="s">
        <v>2936</v>
      </c>
      <c r="AF54" s="23" t="s">
        <v>2864</v>
      </c>
      <c r="AG54" s="23" t="s">
        <v>2864</v>
      </c>
      <c r="AH54" s="23" t="s">
        <v>2832</v>
      </c>
      <c r="AI54" s="23" t="s">
        <v>2942</v>
      </c>
      <c r="AJ54" s="59" t="s">
        <v>2940</v>
      </c>
      <c r="AK54" t="s">
        <v>647</v>
      </c>
      <c r="AL54">
        <v>4060000000</v>
      </c>
      <c r="AM54" s="3" t="s">
        <v>648</v>
      </c>
    </row>
    <row r="55" spans="1:39"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2875</v>
      </c>
      <c r="AE55" s="23" t="s">
        <v>2875</v>
      </c>
      <c r="AF55" s="23" t="s">
        <v>2875</v>
      </c>
      <c r="AG55" s="23" t="s">
        <v>2875</v>
      </c>
      <c r="AH55" s="23" t="s">
        <v>2875</v>
      </c>
      <c r="AI55" s="23"/>
      <c r="AJ55" s="23"/>
      <c r="AK55" t="s">
        <v>270</v>
      </c>
    </row>
    <row r="56" spans="1:39"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2879</v>
      </c>
      <c r="AD56" s="23" t="s">
        <v>2853</v>
      </c>
      <c r="AE56" s="23" t="s">
        <v>2888</v>
      </c>
      <c r="AF56" s="23" t="s">
        <v>2864</v>
      </c>
      <c r="AG56" s="23" t="s">
        <v>2865</v>
      </c>
      <c r="AH56" s="23" t="s">
        <v>2831</v>
      </c>
      <c r="AI56" s="23" t="s">
        <v>2942</v>
      </c>
      <c r="AJ56" s="59" t="s">
        <v>2890</v>
      </c>
      <c r="AK56" t="s">
        <v>270</v>
      </c>
      <c r="AL56">
        <v>153670000</v>
      </c>
      <c r="AM56" s="3" t="s">
        <v>660</v>
      </c>
    </row>
    <row r="57" spans="1:39"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2879</v>
      </c>
      <c r="AD65" s="23" t="s">
        <v>2853</v>
      </c>
      <c r="AE65" s="23" t="s">
        <v>2937</v>
      </c>
      <c r="AF65" s="23" t="s">
        <v>2864</v>
      </c>
      <c r="AG65" s="23" t="s">
        <v>2864</v>
      </c>
      <c r="AH65" s="23" t="s">
        <v>2831</v>
      </c>
      <c r="AI65" s="23" t="s">
        <v>2942</v>
      </c>
      <c r="AJ65" s="59" t="s">
        <v>2941</v>
      </c>
      <c r="AK65" t="s">
        <v>270</v>
      </c>
      <c r="AL65">
        <v>20000000</v>
      </c>
      <c r="AM65" s="3" t="s">
        <v>315</v>
      </c>
    </row>
    <row r="66" spans="1:39"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2877</v>
      </c>
      <c r="AE67" s="23"/>
      <c r="AF67" s="23"/>
      <c r="AG67" s="23"/>
      <c r="AH67" s="23"/>
      <c r="AI67" s="23"/>
      <c r="AJ67" s="23"/>
      <c r="AK67" t="s">
        <v>270</v>
      </c>
      <c r="AL67">
        <v>2318357000</v>
      </c>
      <c r="AM67" s="3" t="s">
        <v>738</v>
      </c>
    </row>
    <row r="68" spans="1:39"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2877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2853</v>
      </c>
      <c r="AE77" s="23" t="s">
        <v>2871</v>
      </c>
      <c r="AF77" s="23"/>
      <c r="AG77" s="23"/>
      <c r="AH77" s="23" t="s">
        <v>2831</v>
      </c>
      <c r="AI77" s="23"/>
      <c r="AJ77" s="23"/>
      <c r="AK77" t="s">
        <v>345</v>
      </c>
      <c r="AL77">
        <v>502100000</v>
      </c>
      <c r="AM77" s="3" t="s">
        <v>799</v>
      </c>
    </row>
    <row r="78" spans="1:39"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2858</v>
      </c>
      <c r="AE79" s="23" t="s">
        <v>2859</v>
      </c>
      <c r="AF79" s="23" t="s">
        <v>2864</v>
      </c>
      <c r="AG79" s="23" t="s">
        <v>2864</v>
      </c>
      <c r="AH79" s="23" t="s">
        <v>2831</v>
      </c>
      <c r="AI79" s="23" t="s">
        <v>2892</v>
      </c>
      <c r="AJ79" s="59" t="s">
        <v>2897</v>
      </c>
      <c r="AK79" s="14" t="s">
        <v>811</v>
      </c>
      <c r="AL79" s="14">
        <v>100000000</v>
      </c>
      <c r="AM79" s="16" t="s">
        <v>812</v>
      </c>
    </row>
    <row r="80" spans="1:39"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2858</v>
      </c>
      <c r="AE80" s="23" t="s">
        <v>2860</v>
      </c>
      <c r="AF80" s="23" t="s">
        <v>2864</v>
      </c>
      <c r="AG80" s="23" t="s">
        <v>2865</v>
      </c>
      <c r="AH80" s="23" t="s">
        <v>2831</v>
      </c>
      <c r="AI80" s="23" t="s">
        <v>2892</v>
      </c>
      <c r="AJ80" s="23" t="s">
        <v>2894</v>
      </c>
      <c r="AK80" s="14" t="s">
        <v>290</v>
      </c>
      <c r="AL80" s="14">
        <v>1500000</v>
      </c>
      <c r="AM80" s="16" t="s">
        <v>818</v>
      </c>
    </row>
    <row r="81" spans="1:39"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2883</v>
      </c>
      <c r="AD82" s="23" t="s">
        <v>2877</v>
      </c>
      <c r="AE82" s="23"/>
      <c r="AF82" s="23"/>
      <c r="AG82" s="23"/>
      <c r="AH82" s="23"/>
      <c r="AI82" s="23"/>
      <c r="AJ82" s="23"/>
      <c r="AK82" t="s">
        <v>830</v>
      </c>
      <c r="AL82">
        <v>25000000</v>
      </c>
      <c r="AM82" s="3" t="s">
        <v>831</v>
      </c>
    </row>
    <row r="83" spans="1:39"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2877</v>
      </c>
      <c r="AE83" s="23"/>
      <c r="AF83" s="23"/>
      <c r="AG83" s="23"/>
      <c r="AH83" s="23"/>
      <c r="AI83" s="23"/>
      <c r="AJ83" s="23"/>
      <c r="AK83" t="s">
        <v>308</v>
      </c>
      <c r="AL83">
        <v>350000000</v>
      </c>
      <c r="AM83" s="3" t="s">
        <v>837</v>
      </c>
    </row>
    <row r="84" spans="1:39"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2880</v>
      </c>
      <c r="AF86" s="23"/>
      <c r="AG86" s="23"/>
      <c r="AH86" s="23" t="s">
        <v>2831</v>
      </c>
      <c r="AI86" s="23"/>
      <c r="AJ86" s="23"/>
      <c r="AK86" t="s">
        <v>270</v>
      </c>
      <c r="AL86">
        <v>54000000</v>
      </c>
      <c r="AM86" s="3" t="s">
        <v>855</v>
      </c>
    </row>
    <row r="87" spans="1:39"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2853</v>
      </c>
      <c r="AE89" s="23" t="s">
        <v>2880</v>
      </c>
      <c r="AF89" s="23" t="s">
        <v>2864</v>
      </c>
      <c r="AG89" s="23" t="s">
        <v>2864</v>
      </c>
      <c r="AH89" s="23" t="s">
        <v>2831</v>
      </c>
      <c r="AI89" s="23" t="s">
        <v>2892</v>
      </c>
      <c r="AJ89" s="23" t="s">
        <v>2890</v>
      </c>
      <c r="AK89" t="s">
        <v>260</v>
      </c>
      <c r="AL89">
        <v>138507000</v>
      </c>
      <c r="AM89" s="3" t="s">
        <v>875</v>
      </c>
    </row>
    <row r="90" spans="1:39"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2858</v>
      </c>
      <c r="AE94" s="23" t="s">
        <v>2861</v>
      </c>
      <c r="AF94" s="23" t="s">
        <v>2864</v>
      </c>
      <c r="AG94" s="23" t="s">
        <v>2864</v>
      </c>
      <c r="AH94" s="23" t="s">
        <v>2831</v>
      </c>
      <c r="AI94" t="s">
        <v>2899</v>
      </c>
      <c r="AJ94">
        <v>1</v>
      </c>
      <c r="AK94" t="s">
        <v>345</v>
      </c>
      <c r="AL94">
        <v>2500000000</v>
      </c>
      <c r="AM94" s="3" t="s">
        <v>907</v>
      </c>
    </row>
    <row r="95" spans="1:39"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2877</v>
      </c>
      <c r="AE96" s="23" t="s">
        <v>2877</v>
      </c>
      <c r="AF96" s="23"/>
      <c r="AG96" s="23"/>
      <c r="AH96" s="23"/>
      <c r="AI96" s="23"/>
      <c r="AK96" t="s">
        <v>591</v>
      </c>
      <c r="AL96">
        <v>5000000000</v>
      </c>
      <c r="AM96" s="3" t="s">
        <v>917</v>
      </c>
    </row>
    <row r="97" spans="1:39"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2883</v>
      </c>
      <c r="AD97" s="23" t="s">
        <v>2877</v>
      </c>
      <c r="AE97" s="23"/>
      <c r="AF97" s="23"/>
      <c r="AG97" s="23"/>
      <c r="AH97" s="23"/>
      <c r="AI97" s="23"/>
      <c r="AK97" t="s">
        <v>270</v>
      </c>
      <c r="AL97">
        <v>500000000</v>
      </c>
      <c r="AM97" s="3" t="s">
        <v>922</v>
      </c>
    </row>
    <row r="98" spans="1:39"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2853</v>
      </c>
      <c r="AE99">
        <v>0</v>
      </c>
      <c r="AF99" t="s">
        <v>2864</v>
      </c>
      <c r="AG99" t="s">
        <v>2864</v>
      </c>
      <c r="AH99" t="s">
        <v>2831</v>
      </c>
      <c r="AI99" t="b">
        <v>1</v>
      </c>
      <c r="AJ99">
        <v>0</v>
      </c>
      <c r="AK99" t="s">
        <v>386</v>
      </c>
      <c r="AL99">
        <v>433000000000</v>
      </c>
      <c r="AM99" s="3" t="s">
        <v>531</v>
      </c>
    </row>
    <row r="100" spans="1:39"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2883</v>
      </c>
      <c r="AD105" s="23" t="s">
        <v>2877</v>
      </c>
      <c r="AE105" s="23"/>
      <c r="AF105" s="23"/>
      <c r="AG105" s="23"/>
      <c r="AH105" s="23"/>
      <c r="AI105" s="23"/>
      <c r="AK105" t="s">
        <v>308</v>
      </c>
      <c r="AL105">
        <v>220000000</v>
      </c>
      <c r="AM105" s="3" t="s">
        <v>969</v>
      </c>
    </row>
    <row r="106" spans="1:39"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2877</v>
      </c>
      <c r="AE114" s="23"/>
      <c r="AF114" s="23"/>
      <c r="AG114" s="23"/>
      <c r="AH114" s="23"/>
      <c r="AI114" s="23"/>
      <c r="AK114" t="s">
        <v>270</v>
      </c>
      <c r="AL114">
        <v>30000000</v>
      </c>
      <c r="AM114" s="3" t="s">
        <v>602</v>
      </c>
    </row>
    <row r="115" spans="1:39"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2853</v>
      </c>
      <c r="AE115" s="23" t="s">
        <v>2894</v>
      </c>
      <c r="AF115" s="23" t="s">
        <v>2864</v>
      </c>
      <c r="AG115" s="23" t="s">
        <v>2865</v>
      </c>
      <c r="AH115" s="23" t="s">
        <v>2832</v>
      </c>
      <c r="AI115" s="23" t="s">
        <v>2892</v>
      </c>
      <c r="AJ115" s="3" t="s">
        <v>2955</v>
      </c>
      <c r="AK115" t="s">
        <v>345</v>
      </c>
      <c r="AL115">
        <v>1100000000</v>
      </c>
      <c r="AM115" s="3" t="s">
        <v>1025</v>
      </c>
    </row>
    <row r="116" spans="1:39"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2877</v>
      </c>
      <c r="AE119" s="23"/>
      <c r="AF119" s="23"/>
      <c r="AG119" s="23"/>
      <c r="AH119" s="23"/>
      <c r="AI119" s="23"/>
      <c r="AK119" t="s">
        <v>270</v>
      </c>
      <c r="AL119">
        <v>15605522</v>
      </c>
      <c r="AM119" s="3" t="s">
        <v>1050</v>
      </c>
    </row>
    <row r="120" spans="1:39"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2877</v>
      </c>
      <c r="AE120" s="23"/>
      <c r="AF120" s="23"/>
      <c r="AG120" s="23"/>
      <c r="AH120" s="23"/>
      <c r="AI120" s="23"/>
      <c r="AK120" t="s">
        <v>260</v>
      </c>
      <c r="AL120">
        <v>16000000</v>
      </c>
      <c r="AM120" s="3" t="s">
        <v>1054</v>
      </c>
    </row>
    <row r="121" spans="1:39"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2877</v>
      </c>
      <c r="AE121" s="23"/>
      <c r="AF121" s="23"/>
      <c r="AG121" s="23"/>
      <c r="AH121" s="23"/>
      <c r="AI121" s="23"/>
      <c r="AK121" t="s">
        <v>270</v>
      </c>
      <c r="AL121">
        <v>250230000</v>
      </c>
      <c r="AM121" s="3" t="s">
        <v>1061</v>
      </c>
    </row>
    <row r="122" spans="1:39"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2858</v>
      </c>
      <c r="AE122" s="23" t="s">
        <v>2861</v>
      </c>
      <c r="AF122" s="23" t="s">
        <v>2864</v>
      </c>
      <c r="AG122" s="23" t="s">
        <v>2864</v>
      </c>
      <c r="AH122" s="23" t="s">
        <v>2831</v>
      </c>
      <c r="AI122" t="s">
        <v>2899</v>
      </c>
      <c r="AJ122">
        <v>1</v>
      </c>
      <c r="AK122" t="s">
        <v>345</v>
      </c>
      <c r="AL122">
        <v>3000000000</v>
      </c>
      <c r="AM122" s="3" t="s">
        <v>1067</v>
      </c>
    </row>
    <row r="123" spans="1:39"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2875</v>
      </c>
      <c r="AE124" s="23" t="s">
        <v>2875</v>
      </c>
      <c r="AF124" s="23" t="s">
        <v>2875</v>
      </c>
      <c r="AG124" s="23" t="s">
        <v>2875</v>
      </c>
      <c r="AH124" s="23" t="s">
        <v>2875</v>
      </c>
      <c r="AI124" s="23"/>
      <c r="AK124" t="s">
        <v>270</v>
      </c>
    </row>
    <row r="125" spans="1:39"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2877</v>
      </c>
      <c r="AE125" s="23"/>
      <c r="AF125" s="23"/>
      <c r="AG125" s="23"/>
      <c r="AH125" s="23"/>
      <c r="AI125" s="23"/>
      <c r="AK125" t="s">
        <v>647</v>
      </c>
      <c r="AL125">
        <v>6700000000</v>
      </c>
      <c r="AM125" s="3" t="s">
        <v>1078</v>
      </c>
    </row>
    <row r="126" spans="1:39"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2877</v>
      </c>
      <c r="AE133" s="23"/>
      <c r="AF133" s="23"/>
      <c r="AG133" s="23"/>
      <c r="AH133" s="23"/>
      <c r="AI133" s="23"/>
      <c r="AK133" t="s">
        <v>647</v>
      </c>
      <c r="AL133">
        <v>3000000000</v>
      </c>
      <c r="AM133" s="3" t="s">
        <v>1126</v>
      </c>
    </row>
    <row r="134" spans="1:39"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2877</v>
      </c>
      <c r="AE134" s="23" t="s">
        <v>2877</v>
      </c>
      <c r="AF134" s="23"/>
      <c r="AG134" s="23"/>
      <c r="AH134" s="23"/>
      <c r="AI134" s="23"/>
      <c r="AK134" t="s">
        <v>270</v>
      </c>
    </row>
    <row r="135" spans="1:39"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2858</v>
      </c>
      <c r="AE135" s="23" t="s">
        <v>2866</v>
      </c>
      <c r="AF135" s="23" t="s">
        <v>2865</v>
      </c>
      <c r="AG135" s="23" t="s">
        <v>2865</v>
      </c>
      <c r="AH135" s="23" t="s">
        <v>2831</v>
      </c>
      <c r="AI135" s="23" t="s">
        <v>2892</v>
      </c>
      <c r="AJ135" s="3" t="s">
        <v>2898</v>
      </c>
      <c r="AK135" s="14" t="s">
        <v>270</v>
      </c>
      <c r="AL135" s="14">
        <v>500000000</v>
      </c>
      <c r="AM135" s="16" t="s">
        <v>922</v>
      </c>
    </row>
    <row r="136" spans="1:39"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2858</v>
      </c>
      <c r="AE136">
        <v>3</v>
      </c>
      <c r="AF136" t="s">
        <v>2865</v>
      </c>
      <c r="AG136" t="s">
        <v>2865</v>
      </c>
      <c r="AH136" t="s">
        <v>2831</v>
      </c>
      <c r="AI136" t="s">
        <v>2889</v>
      </c>
      <c r="AJ136" s="3" t="s">
        <v>2890</v>
      </c>
      <c r="AK136" t="s">
        <v>270</v>
      </c>
      <c r="AL136">
        <v>48450360</v>
      </c>
      <c r="AM136" s="3" t="s">
        <v>1144</v>
      </c>
    </row>
    <row r="137" spans="1:39"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2877</v>
      </c>
      <c r="AE141" s="23" t="s">
        <v>2877</v>
      </c>
      <c r="AF141" s="23"/>
      <c r="AG141" s="23"/>
      <c r="AH141" s="23"/>
      <c r="AI141" s="23"/>
      <c r="AK141" t="s">
        <v>308</v>
      </c>
      <c r="AL141">
        <v>200000000</v>
      </c>
      <c r="AM141" s="3" t="s">
        <v>1168</v>
      </c>
    </row>
    <row r="142" spans="1:39"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2858</v>
      </c>
      <c r="AE145" s="23" t="s">
        <v>2867</v>
      </c>
      <c r="AF145" s="23" t="s">
        <v>2864</v>
      </c>
      <c r="AG145" s="23" t="s">
        <v>2864</v>
      </c>
      <c r="AH145" s="23" t="s">
        <v>2831</v>
      </c>
      <c r="AI145" s="23" t="s">
        <v>2892</v>
      </c>
      <c r="AJ145" t="s">
        <v>2893</v>
      </c>
      <c r="AK145" s="14" t="s">
        <v>270</v>
      </c>
      <c r="AL145" s="14">
        <v>500000000</v>
      </c>
      <c r="AM145" s="16" t="s">
        <v>922</v>
      </c>
    </row>
    <row r="146" spans="1:39"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2858</v>
      </c>
      <c r="AE151" s="23" t="s">
        <v>2854</v>
      </c>
      <c r="AF151" s="23" t="s">
        <v>2864</v>
      </c>
      <c r="AG151" s="23" t="s">
        <v>2864</v>
      </c>
      <c r="AH151" s="23" t="s">
        <v>2832</v>
      </c>
      <c r="AI151" s="23" t="s">
        <v>2944</v>
      </c>
      <c r="AJ151" s="3" t="s">
        <v>2943</v>
      </c>
      <c r="AK151" t="s">
        <v>345</v>
      </c>
      <c r="AL151">
        <v>2000000000</v>
      </c>
      <c r="AM151" s="3" t="s">
        <v>1222</v>
      </c>
    </row>
    <row r="152" spans="1:39"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2877</v>
      </c>
      <c r="AE153" s="23"/>
      <c r="AF153" s="23"/>
      <c r="AG153" s="23"/>
      <c r="AH153" s="23"/>
      <c r="AI153" s="23"/>
      <c r="AK153" t="s">
        <v>647</v>
      </c>
      <c r="AL153">
        <v>1500000000</v>
      </c>
      <c r="AM153" s="3" t="s">
        <v>1234</v>
      </c>
    </row>
    <row r="154" spans="1:39"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2877</v>
      </c>
      <c r="AE156" s="23"/>
      <c r="AF156" s="23"/>
      <c r="AG156" s="23"/>
      <c r="AH156" s="23"/>
      <c r="AI156" s="23"/>
      <c r="AK156" t="s">
        <v>647</v>
      </c>
    </row>
    <row r="157" spans="1:39"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2858</v>
      </c>
      <c r="AE162" s="23" t="s">
        <v>2935</v>
      </c>
      <c r="AF162" s="23" t="s">
        <v>2864</v>
      </c>
      <c r="AG162" s="23"/>
      <c r="AH162" s="23" t="s">
        <v>2832</v>
      </c>
      <c r="AI162" s="23" t="s">
        <v>2947</v>
      </c>
      <c r="AJ162">
        <v>7</v>
      </c>
      <c r="AK162" t="s">
        <v>1282</v>
      </c>
      <c r="AL162">
        <v>25725000</v>
      </c>
      <c r="AM162" s="3" t="s">
        <v>1283</v>
      </c>
    </row>
    <row r="163" spans="1:39"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2858</v>
      </c>
      <c r="AE165" s="23"/>
      <c r="AF165" s="23"/>
      <c r="AG165" s="23"/>
      <c r="AH165" s="23" t="s">
        <v>2831</v>
      </c>
      <c r="AI165" s="23" t="s">
        <v>2892</v>
      </c>
      <c r="AJ165" s="59" t="s">
        <v>2959</v>
      </c>
      <c r="AK165" t="s">
        <v>270</v>
      </c>
      <c r="AL165">
        <v>80000000</v>
      </c>
      <c r="AM165" s="3" t="s">
        <v>1295</v>
      </c>
    </row>
    <row r="166" spans="1:39"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2877</v>
      </c>
      <c r="AE166" s="23"/>
      <c r="AF166" s="23"/>
      <c r="AG166" s="23"/>
      <c r="AH166" s="23"/>
      <c r="AI166" s="23"/>
      <c r="AK166" t="s">
        <v>270</v>
      </c>
      <c r="AL166">
        <v>48971674</v>
      </c>
      <c r="AM166" s="3" t="s">
        <v>1300</v>
      </c>
    </row>
    <row r="167" spans="1:39"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2875</v>
      </c>
      <c r="AE169" s="23" t="s">
        <v>2875</v>
      </c>
      <c r="AF169" s="23" t="s">
        <v>2875</v>
      </c>
      <c r="AG169" s="23" t="s">
        <v>2875</v>
      </c>
      <c r="AH169" s="23" t="s">
        <v>2875</v>
      </c>
      <c r="AI169" s="23"/>
      <c r="AK169" t="s">
        <v>270</v>
      </c>
      <c r="AL169">
        <v>375000000</v>
      </c>
      <c r="AM169" s="3" t="s">
        <v>1317</v>
      </c>
    </row>
    <row r="170" spans="1:39"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2877</v>
      </c>
      <c r="AE170" s="23"/>
      <c r="AF170" s="23"/>
      <c r="AG170" s="23"/>
      <c r="AH170" s="23"/>
      <c r="AI170" s="23"/>
      <c r="AK170" t="s">
        <v>270</v>
      </c>
      <c r="AL170">
        <v>40000000</v>
      </c>
      <c r="AM170" s="3" t="s">
        <v>1321</v>
      </c>
    </row>
    <row r="171" spans="1:39"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2858</v>
      </c>
      <c r="AE171">
        <v>0</v>
      </c>
      <c r="AF171" t="s">
        <v>2864</v>
      </c>
      <c r="AG171" t="s">
        <v>2864</v>
      </c>
      <c r="AH171" t="s">
        <v>2831</v>
      </c>
      <c r="AI171" t="s">
        <v>2899</v>
      </c>
      <c r="AJ171">
        <v>0</v>
      </c>
      <c r="AK171" t="s">
        <v>401</v>
      </c>
    </row>
    <row r="172" spans="1:39"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2877</v>
      </c>
      <c r="AE174" s="23"/>
      <c r="AF174" s="23"/>
      <c r="AG174" s="23"/>
      <c r="AH174" s="23"/>
      <c r="AI174" s="23"/>
      <c r="AK174" t="s">
        <v>270</v>
      </c>
      <c r="AL174">
        <v>29917476</v>
      </c>
      <c r="AM174" s="3" t="s">
        <v>1343</v>
      </c>
    </row>
    <row r="175" spans="1:39"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2879</v>
      </c>
      <c r="AD178" s="23" t="s">
        <v>2858</v>
      </c>
      <c r="AE178" s="23" t="s">
        <v>2868</v>
      </c>
      <c r="AF178" s="23" t="s">
        <v>2864</v>
      </c>
      <c r="AG178" s="23" t="s">
        <v>2864</v>
      </c>
      <c r="AH178" s="23" t="s">
        <v>2832</v>
      </c>
      <c r="AI178" s="23" t="s">
        <v>2892</v>
      </c>
      <c r="AJ178" s="3" t="s">
        <v>2895</v>
      </c>
      <c r="AK178" t="s">
        <v>270</v>
      </c>
      <c r="AL178">
        <v>30000000</v>
      </c>
      <c r="AM178" s="3" t="s">
        <v>602</v>
      </c>
    </row>
    <row r="179" spans="1:39"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2877</v>
      </c>
      <c r="AE180" s="23"/>
      <c r="AF180" s="23"/>
      <c r="AG180" s="23"/>
      <c r="AH180" s="23"/>
      <c r="AI180" s="23"/>
      <c r="AK180" t="s">
        <v>270</v>
      </c>
      <c r="AL180">
        <v>20697951</v>
      </c>
      <c r="AM180" s="3" t="s">
        <v>1379</v>
      </c>
    </row>
    <row r="181" spans="1:39"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2853</v>
      </c>
      <c r="AE184" s="23" t="s">
        <v>2873</v>
      </c>
      <c r="AF184" s="23" t="s">
        <v>2864</v>
      </c>
      <c r="AG184" s="23" t="s">
        <v>2864</v>
      </c>
      <c r="AH184" s="23" t="s">
        <v>2872</v>
      </c>
      <c r="AI184" t="s">
        <v>2891</v>
      </c>
      <c r="AJ184" s="3" t="s">
        <v>2890</v>
      </c>
      <c r="AK184" s="14" t="s">
        <v>260</v>
      </c>
      <c r="AL184" s="14">
        <v>672500000</v>
      </c>
      <c r="AM184" s="16" t="s">
        <v>1400</v>
      </c>
    </row>
    <row r="185" spans="1:39"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2875</v>
      </c>
      <c r="AE187" s="23" t="s">
        <v>2875</v>
      </c>
      <c r="AF187" s="23" t="s">
        <v>2875</v>
      </c>
      <c r="AG187" s="23" t="s">
        <v>2875</v>
      </c>
      <c r="AH187" s="23" t="s">
        <v>2875</v>
      </c>
      <c r="AI187" s="23"/>
      <c r="AJ187" s="23"/>
      <c r="AK187" t="s">
        <v>270</v>
      </c>
    </row>
    <row r="188" spans="1:39"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2877</v>
      </c>
      <c r="AE193" s="23"/>
      <c r="AF193" s="23"/>
      <c r="AG193" s="23"/>
      <c r="AH193" s="23"/>
      <c r="AI193" s="23"/>
      <c r="AJ193" s="23"/>
      <c r="AK193" t="s">
        <v>830</v>
      </c>
      <c r="AL193">
        <v>1269017000</v>
      </c>
      <c r="AM193" s="3" t="s">
        <v>1448</v>
      </c>
    </row>
    <row r="194" spans="1:39"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2877</v>
      </c>
      <c r="AE194" s="23"/>
      <c r="AF194" s="23"/>
      <c r="AG194" s="23"/>
      <c r="AH194" s="23"/>
      <c r="AI194" s="23"/>
      <c r="AJ194" s="23"/>
      <c r="AK194" t="s">
        <v>1282</v>
      </c>
    </row>
    <row r="195" spans="1:39"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2877</v>
      </c>
      <c r="AE195" s="23"/>
      <c r="AF195" s="23"/>
      <c r="AG195" s="23"/>
      <c r="AH195" s="23"/>
      <c r="AI195" s="23"/>
      <c r="AJ195" s="23"/>
      <c r="AK195" t="s">
        <v>830</v>
      </c>
      <c r="AL195">
        <v>1954685000</v>
      </c>
      <c r="AM195" s="3" t="s">
        <v>1455</v>
      </c>
    </row>
    <row r="196" spans="1:39"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2877</v>
      </c>
      <c r="AE196" s="23"/>
      <c r="AF196" s="23"/>
      <c r="AG196" s="23"/>
      <c r="AH196" s="23"/>
      <c r="AI196" s="23"/>
      <c r="AJ196" s="23"/>
      <c r="AK196" t="s">
        <v>270</v>
      </c>
      <c r="AL196">
        <v>12502792</v>
      </c>
      <c r="AM196" s="3" t="s">
        <v>1459</v>
      </c>
    </row>
    <row r="197" spans="1:39"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2858</v>
      </c>
      <c r="AE197" s="23" t="s">
        <v>2950</v>
      </c>
      <c r="AF197" s="23" t="s">
        <v>2865</v>
      </c>
      <c r="AG197" s="23" t="s">
        <v>2864</v>
      </c>
      <c r="AH197" s="23" t="s">
        <v>2831</v>
      </c>
      <c r="AI197" s="23" t="s">
        <v>2892</v>
      </c>
      <c r="AJ197" s="59" t="s">
        <v>2954</v>
      </c>
      <c r="AK197" t="s">
        <v>386</v>
      </c>
      <c r="AL197">
        <v>1985525463369</v>
      </c>
      <c r="AM197" s="3" t="s">
        <v>1467</v>
      </c>
    </row>
    <row r="198" spans="1:39"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2877</v>
      </c>
      <c r="AE199" s="23"/>
      <c r="AF199" s="23"/>
      <c r="AG199" s="23"/>
      <c r="AH199" s="23"/>
      <c r="AI199" s="23"/>
      <c r="AJ199" s="23"/>
      <c r="AK199" t="s">
        <v>270</v>
      </c>
      <c r="AL199">
        <v>15196669</v>
      </c>
      <c r="AM199" s="3" t="s">
        <v>1480</v>
      </c>
    </row>
    <row r="200" spans="1:39"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2877</v>
      </c>
      <c r="AE203" s="23"/>
      <c r="AF203" s="23"/>
      <c r="AG203" s="23"/>
      <c r="AH203" s="23"/>
      <c r="AI203" s="23"/>
      <c r="AJ203" s="23"/>
      <c r="AK203" t="s">
        <v>830</v>
      </c>
      <c r="AL203">
        <v>750000000</v>
      </c>
      <c r="AM203" s="3" t="s">
        <v>1506</v>
      </c>
    </row>
    <row r="204" spans="1:39"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2877</v>
      </c>
      <c r="AE204" s="23" t="s">
        <v>2877</v>
      </c>
      <c r="AF204" s="23" t="s">
        <v>2877</v>
      </c>
      <c r="AG204" s="23" t="s">
        <v>2877</v>
      </c>
      <c r="AH204" s="23" t="s">
        <v>2877</v>
      </c>
      <c r="AI204" s="23"/>
      <c r="AJ204" s="23"/>
      <c r="AK204" s="14" t="s">
        <v>260</v>
      </c>
      <c r="AL204" s="14">
        <v>800000000</v>
      </c>
      <c r="AM204" s="16" t="s">
        <v>1512</v>
      </c>
    </row>
    <row r="205" spans="1:39"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2879</v>
      </c>
      <c r="AD205" s="23" t="s">
        <v>2858</v>
      </c>
      <c r="AE205" s="23" t="s">
        <v>2869</v>
      </c>
      <c r="AF205" s="23" t="s">
        <v>2864</v>
      </c>
      <c r="AG205" s="23" t="s">
        <v>2865</v>
      </c>
      <c r="AH205" s="23" t="s">
        <v>2832</v>
      </c>
      <c r="AI205" s="23" t="s">
        <v>2892</v>
      </c>
      <c r="AJ205" s="23" t="s">
        <v>2894</v>
      </c>
      <c r="AK205" t="s">
        <v>811</v>
      </c>
      <c r="AL205">
        <v>100000000</v>
      </c>
      <c r="AM205" s="3" t="s">
        <v>1520</v>
      </c>
    </row>
    <row r="206" spans="1:39"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2853</v>
      </c>
      <c r="AE207" s="23" t="s">
        <v>2952</v>
      </c>
      <c r="AF207" s="23" t="s">
        <v>2865</v>
      </c>
      <c r="AG207" s="23" t="s">
        <v>2864</v>
      </c>
      <c r="AH207" s="23" t="s">
        <v>2831</v>
      </c>
      <c r="AI207" s="23" t="s">
        <v>2892</v>
      </c>
      <c r="AJ207" s="59" t="s">
        <v>2953</v>
      </c>
      <c r="AK207" s="9" t="s">
        <v>290</v>
      </c>
      <c r="AL207" s="9">
        <v>1500000</v>
      </c>
      <c r="AM207" s="12" t="s">
        <v>1531</v>
      </c>
    </row>
    <row r="208" spans="1:39"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2877</v>
      </c>
      <c r="AE210" s="23"/>
      <c r="AF210" s="23"/>
      <c r="AG210" s="23"/>
      <c r="AH210" s="23"/>
      <c r="AI210" s="23"/>
      <c r="AJ210" s="23"/>
      <c r="AK210" t="s">
        <v>1282</v>
      </c>
      <c r="AL210">
        <v>30870000</v>
      </c>
      <c r="AM210" s="3" t="s">
        <v>1545</v>
      </c>
    </row>
    <row r="211" spans="1:39"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2853</v>
      </c>
      <c r="AE212" s="23" t="s">
        <v>2870</v>
      </c>
      <c r="AF212" s="23" t="s">
        <v>2864</v>
      </c>
      <c r="AG212" s="23" t="s">
        <v>2864</v>
      </c>
      <c r="AH212" s="23" t="s">
        <v>2831</v>
      </c>
      <c r="AI212" s="23" t="s">
        <v>2892</v>
      </c>
      <c r="AJ212" s="23" t="s">
        <v>2894</v>
      </c>
      <c r="AK212" s="14" t="s">
        <v>260</v>
      </c>
      <c r="AL212" s="14">
        <v>82850000</v>
      </c>
      <c r="AM212" s="16" t="s">
        <v>1558</v>
      </c>
    </row>
    <row r="213" spans="1:39"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2877</v>
      </c>
      <c r="AE219" s="23"/>
      <c r="AF219" s="23"/>
      <c r="AG219" s="23"/>
      <c r="AH219" s="23"/>
      <c r="AI219" s="23"/>
      <c r="AJ219" s="23"/>
      <c r="AK219" t="s">
        <v>270</v>
      </c>
      <c r="AL219">
        <v>73432000</v>
      </c>
      <c r="AM219" s="3" t="s">
        <v>1588</v>
      </c>
    </row>
    <row r="220" spans="1:39"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2876</v>
      </c>
      <c r="AE228" s="23" t="s">
        <v>2876</v>
      </c>
      <c r="AF228" s="23" t="s">
        <v>2876</v>
      </c>
      <c r="AG228" s="23" t="s">
        <v>2876</v>
      </c>
      <c r="AH228" s="23" t="s">
        <v>2876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2883</v>
      </c>
      <c r="AD230" s="23" t="s">
        <v>2877</v>
      </c>
      <c r="AE230" s="23"/>
      <c r="AF230" s="23"/>
      <c r="AG230" s="23"/>
      <c r="AH230" s="23"/>
      <c r="AI230" s="23"/>
      <c r="AJ230" s="23"/>
      <c r="AK230" t="s">
        <v>308</v>
      </c>
      <c r="AL230">
        <v>110000000</v>
      </c>
      <c r="AM230" s="3" t="s">
        <v>1654</v>
      </c>
    </row>
    <row r="231" spans="1:39"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2858</v>
      </c>
      <c r="AE231" s="23"/>
      <c r="AF231" s="23"/>
      <c r="AG231" s="23"/>
      <c r="AH231" s="23" t="s">
        <v>2831</v>
      </c>
      <c r="AI231" s="23" t="s">
        <v>2892</v>
      </c>
      <c r="AJ231" s="59" t="s">
        <v>2960</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2877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2877</v>
      </c>
      <c r="AE238" s="23"/>
      <c r="AF238" s="23"/>
      <c r="AG238" s="23"/>
      <c r="AH238" s="23"/>
      <c r="AI238" s="23"/>
      <c r="AJ238" s="23"/>
      <c r="AK238" t="s">
        <v>270</v>
      </c>
      <c r="AL238">
        <v>60000000</v>
      </c>
      <c r="AM238" s="3" t="s">
        <v>271</v>
      </c>
    </row>
    <row r="239" spans="1:39"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2877</v>
      </c>
      <c r="AE242" s="23" t="s">
        <v>2877</v>
      </c>
      <c r="AF242" s="23" t="s">
        <v>2877</v>
      </c>
      <c r="AG242" s="23" t="s">
        <v>2877</v>
      </c>
      <c r="AH242" s="23" t="s">
        <v>2877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2877</v>
      </c>
      <c r="AE249" s="23"/>
      <c r="AF249" s="23"/>
      <c r="AG249" s="23"/>
      <c r="AH249" s="23"/>
      <c r="AI249" s="23"/>
      <c r="AJ249" s="23"/>
      <c r="AK249" t="s">
        <v>270</v>
      </c>
    </row>
    <row r="250" spans="1:39"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2877</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2877</v>
      </c>
      <c r="AE256" s="23"/>
      <c r="AF256" s="23"/>
      <c r="AG256" s="23"/>
      <c r="AH256" s="23"/>
      <c r="AI256" s="23"/>
      <c r="AJ256" s="23"/>
      <c r="AK256" t="s">
        <v>647</v>
      </c>
      <c r="AL256">
        <v>3375000000</v>
      </c>
      <c r="AM256" s="3" t="s">
        <v>1789</v>
      </c>
    </row>
    <row r="257" spans="1:39"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2853</v>
      </c>
      <c r="AE257" s="23" t="s">
        <v>2860</v>
      </c>
      <c r="AF257" s="23" t="s">
        <v>2865</v>
      </c>
      <c r="AG257" s="23" t="s">
        <v>2865</v>
      </c>
      <c r="AH257" s="23" t="s">
        <v>2832</v>
      </c>
      <c r="AI257" s="23" t="s">
        <v>2892</v>
      </c>
      <c r="AJ257" s="59" t="s">
        <v>2953</v>
      </c>
      <c r="AK257" t="s">
        <v>386</v>
      </c>
      <c r="AL257">
        <v>200000000000</v>
      </c>
      <c r="AM257" s="3" t="s">
        <v>1796</v>
      </c>
    </row>
    <row r="258" spans="1:39"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2877</v>
      </c>
      <c r="AE258" s="23" t="s">
        <v>2877</v>
      </c>
      <c r="AF258" s="23" t="s">
        <v>2877</v>
      </c>
      <c r="AG258" s="23" t="s">
        <v>2877</v>
      </c>
      <c r="AH258" s="23" t="s">
        <v>2877</v>
      </c>
      <c r="AI258" s="23"/>
      <c r="AJ258" s="23"/>
      <c r="AK258" s="14" t="s">
        <v>270</v>
      </c>
      <c r="AL258" s="14">
        <v>700000000</v>
      </c>
      <c r="AM258" s="16" t="s">
        <v>585</v>
      </c>
    </row>
    <row r="259" spans="1:39"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2877</v>
      </c>
      <c r="AE260" s="23"/>
      <c r="AF260" s="23"/>
      <c r="AG260" s="23"/>
      <c r="AH260" s="23"/>
      <c r="AI260" s="23"/>
      <c r="AJ260" s="23"/>
      <c r="AK260" t="s">
        <v>260</v>
      </c>
      <c r="AL260">
        <v>64000000</v>
      </c>
      <c r="AM260" s="3" t="s">
        <v>1810</v>
      </c>
    </row>
    <row r="261" spans="1:39"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2879</v>
      </c>
      <c r="AD267" s="7" t="s">
        <v>2858</v>
      </c>
      <c r="AE267" s="7" t="s">
        <v>2874</v>
      </c>
      <c r="AF267" s="7"/>
      <c r="AG267" s="7"/>
      <c r="AH267" s="7" t="s">
        <v>2831</v>
      </c>
      <c r="AI267" s="7"/>
      <c r="AJ267" s="7"/>
      <c r="AK267" t="s">
        <v>270</v>
      </c>
      <c r="AL267">
        <v>500000000</v>
      </c>
      <c r="AM267" s="3" t="s">
        <v>922</v>
      </c>
    </row>
    <row r="268" spans="1:39"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2858</v>
      </c>
      <c r="AE268" s="23" t="s">
        <v>2871</v>
      </c>
      <c r="AF268" s="23" t="s">
        <v>2864</v>
      </c>
      <c r="AG268" s="23" t="s">
        <v>2864</v>
      </c>
      <c r="AH268" s="23" t="s">
        <v>2831</v>
      </c>
      <c r="AI268" s="23" t="s">
        <v>2892</v>
      </c>
      <c r="AJ268" s="59" t="s">
        <v>2897</v>
      </c>
      <c r="AK268" s="14" t="s">
        <v>345</v>
      </c>
      <c r="AL268" s="14">
        <v>4600000000</v>
      </c>
      <c r="AM268" s="16" t="s">
        <v>1857</v>
      </c>
    </row>
    <row r="269" spans="1:39"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2877</v>
      </c>
      <c r="AE276" s="23"/>
      <c r="AF276" s="23"/>
      <c r="AG276" s="23"/>
      <c r="AH276" s="23"/>
      <c r="AI276" s="23"/>
      <c r="AJ276" s="23"/>
      <c r="AK276" t="s">
        <v>1282</v>
      </c>
      <c r="AL276">
        <v>46305000</v>
      </c>
      <c r="AM276" s="3" t="s">
        <v>1898</v>
      </c>
    </row>
    <row r="277" spans="1:39"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2877</v>
      </c>
      <c r="AE280" s="23" t="s">
        <v>2877</v>
      </c>
      <c r="AF280" s="23" t="s">
        <v>2877</v>
      </c>
      <c r="AG280" s="23" t="s">
        <v>2877</v>
      </c>
      <c r="AH280" s="23" t="s">
        <v>2877</v>
      </c>
      <c r="AI280" s="23"/>
      <c r="AJ280" s="23"/>
      <c r="AK280" s="14" t="s">
        <v>260</v>
      </c>
      <c r="AL280" s="14">
        <v>950000000</v>
      </c>
      <c r="AM280" s="16" t="s">
        <v>1913</v>
      </c>
    </row>
    <row r="281" spans="1:39"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2877</v>
      </c>
      <c r="AE286" s="23"/>
      <c r="AF286" s="23"/>
      <c r="AG286" s="23"/>
      <c r="AH286" s="23"/>
      <c r="AI286" s="23"/>
      <c r="AJ286" s="23"/>
      <c r="AK286" t="s">
        <v>270</v>
      </c>
      <c r="AL286">
        <v>50000000</v>
      </c>
      <c r="AM286" s="3" t="s">
        <v>353</v>
      </c>
    </row>
    <row r="287" spans="1:39"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U97"/>
  <sheetViews>
    <sheetView tabSelected="1" topLeftCell="B33" workbookViewId="0">
      <selection activeCell="J75" sqref="J75"/>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 min="14" max="14" width="54.5" bestFit="1" customWidth="1"/>
    <col min="15" max="15" width="6" bestFit="1" customWidth="1"/>
  </cols>
  <sheetData>
    <row r="7" spans="2:10" ht="51" x14ac:dyDescent="0.2">
      <c r="B7" s="64" t="s">
        <v>2984</v>
      </c>
      <c r="C7" s="60" t="s">
        <v>2900</v>
      </c>
      <c r="D7" s="64" t="s">
        <v>2965</v>
      </c>
      <c r="E7" s="64" t="s">
        <v>2970</v>
      </c>
      <c r="F7" s="64" t="s">
        <v>2974</v>
      </c>
      <c r="G7" s="64" t="s">
        <v>2966</v>
      </c>
      <c r="H7" s="64" t="s">
        <v>2967</v>
      </c>
      <c r="I7" s="64" t="s">
        <v>2968</v>
      </c>
      <c r="J7" s="65" t="s">
        <v>2969</v>
      </c>
    </row>
    <row r="8" spans="2:10" x14ac:dyDescent="0.2">
      <c r="B8" s="61" t="s">
        <v>933</v>
      </c>
      <c r="C8" s="61" t="s">
        <v>2831</v>
      </c>
      <c r="D8" s="61" t="s">
        <v>2853</v>
      </c>
      <c r="E8" s="63" t="s">
        <v>2972</v>
      </c>
      <c r="F8" s="63">
        <v>4</v>
      </c>
      <c r="G8" s="61" t="s">
        <v>2864</v>
      </c>
      <c r="H8" s="61" t="s">
        <v>2864</v>
      </c>
      <c r="I8" s="66" t="b">
        <v>1</v>
      </c>
      <c r="J8" s="70">
        <v>0</v>
      </c>
    </row>
    <row r="9" spans="2:10" x14ac:dyDescent="0.2">
      <c r="B9" s="61" t="s">
        <v>1324</v>
      </c>
      <c r="C9" s="61" t="s">
        <v>2831</v>
      </c>
      <c r="D9" s="61" t="s">
        <v>2858</v>
      </c>
      <c r="E9" s="62" t="s">
        <v>2858</v>
      </c>
      <c r="F9" s="63">
        <v>1</v>
      </c>
      <c r="G9" s="61" t="s">
        <v>2864</v>
      </c>
      <c r="H9" s="63" t="s">
        <v>2972</v>
      </c>
      <c r="I9" s="67" t="s">
        <v>2892</v>
      </c>
      <c r="J9" s="66">
        <v>0</v>
      </c>
    </row>
    <row r="10" spans="2:10" x14ac:dyDescent="0.2">
      <c r="B10" s="61" t="s">
        <v>816</v>
      </c>
      <c r="C10" s="62" t="s">
        <v>2831</v>
      </c>
      <c r="D10" s="62" t="s">
        <v>2858</v>
      </c>
      <c r="E10" s="62" t="s">
        <v>2853</v>
      </c>
      <c r="F10" s="63">
        <v>2</v>
      </c>
      <c r="G10" s="62" t="s">
        <v>2864</v>
      </c>
      <c r="H10" s="63" t="s">
        <v>2972</v>
      </c>
      <c r="I10" s="67" t="s">
        <v>2892</v>
      </c>
      <c r="J10" s="66">
        <v>0</v>
      </c>
    </row>
    <row r="11" spans="2:10" x14ac:dyDescent="0.2">
      <c r="B11" s="61" t="s">
        <v>577</v>
      </c>
      <c r="C11" s="62" t="s">
        <v>2831</v>
      </c>
      <c r="D11" s="62" t="s">
        <v>2853</v>
      </c>
      <c r="E11" s="63" t="s">
        <v>2972</v>
      </c>
      <c r="F11" s="63">
        <v>1</v>
      </c>
      <c r="G11" s="62" t="s">
        <v>2864</v>
      </c>
      <c r="H11" s="62" t="s">
        <v>2864</v>
      </c>
      <c r="I11" s="67" t="s">
        <v>2892</v>
      </c>
      <c r="J11" s="66">
        <v>0</v>
      </c>
    </row>
    <row r="12" spans="2:10" x14ac:dyDescent="0.2">
      <c r="B12" s="61" t="s">
        <v>1518</v>
      </c>
      <c r="C12" s="62" t="s">
        <v>2832</v>
      </c>
      <c r="D12" s="62" t="s">
        <v>2858</v>
      </c>
      <c r="E12" s="63" t="s">
        <v>2972</v>
      </c>
      <c r="F12" s="63">
        <v>7</v>
      </c>
      <c r="G12" s="62" t="s">
        <v>2864</v>
      </c>
      <c r="H12" s="63" t="s">
        <v>2972</v>
      </c>
      <c r="I12" s="67" t="s">
        <v>2892</v>
      </c>
      <c r="J12" s="70">
        <v>0</v>
      </c>
    </row>
    <row r="13" spans="2:10" x14ac:dyDescent="0.2">
      <c r="B13" s="61" t="s">
        <v>1556</v>
      </c>
      <c r="C13" s="62" t="s">
        <v>2831</v>
      </c>
      <c r="D13" s="62" t="s">
        <v>2853</v>
      </c>
      <c r="E13" s="63" t="s">
        <v>2972</v>
      </c>
      <c r="F13" s="63">
        <v>1</v>
      </c>
      <c r="G13" s="62" t="s">
        <v>2864</v>
      </c>
      <c r="H13" s="62" t="s">
        <v>2864</v>
      </c>
      <c r="I13" s="67" t="s">
        <v>2892</v>
      </c>
      <c r="J13" s="66">
        <v>0</v>
      </c>
    </row>
    <row r="14" spans="2:10" x14ac:dyDescent="0.2">
      <c r="B14" s="61" t="s">
        <v>905</v>
      </c>
      <c r="C14" s="62" t="s">
        <v>2831</v>
      </c>
      <c r="D14" s="62" t="s">
        <v>2858</v>
      </c>
      <c r="E14" s="62" t="s">
        <v>2858</v>
      </c>
      <c r="F14" s="63">
        <v>4</v>
      </c>
      <c r="G14" s="62" t="s">
        <v>2864</v>
      </c>
      <c r="H14" s="63" t="s">
        <v>2972</v>
      </c>
      <c r="I14" s="67" t="s">
        <v>2892</v>
      </c>
      <c r="J14" s="70">
        <v>1</v>
      </c>
    </row>
    <row r="15" spans="2:10" x14ac:dyDescent="0.2">
      <c r="B15" s="61" t="s">
        <v>1065</v>
      </c>
      <c r="C15" s="62" t="s">
        <v>2831</v>
      </c>
      <c r="D15" s="62" t="s">
        <v>2858</v>
      </c>
      <c r="E15" s="62" t="s">
        <v>2858</v>
      </c>
      <c r="F15" s="63">
        <v>4</v>
      </c>
      <c r="G15" s="62" t="s">
        <v>2864</v>
      </c>
      <c r="H15" s="63" t="s">
        <v>2972</v>
      </c>
      <c r="I15" s="67" t="s">
        <v>2892</v>
      </c>
      <c r="J15" s="70">
        <v>1</v>
      </c>
    </row>
    <row r="16" spans="2:10" x14ac:dyDescent="0.2">
      <c r="B16" s="61" t="s">
        <v>529</v>
      </c>
      <c r="C16" s="62" t="s">
        <v>2832</v>
      </c>
      <c r="D16" s="62" t="s">
        <v>2853</v>
      </c>
      <c r="E16" s="63" t="s">
        <v>2972</v>
      </c>
      <c r="F16" s="63">
        <v>7</v>
      </c>
      <c r="G16" s="62" t="s">
        <v>2864</v>
      </c>
      <c r="H16" s="62" t="s">
        <v>2864</v>
      </c>
      <c r="I16" s="67" t="s">
        <v>2892</v>
      </c>
      <c r="J16" s="71">
        <v>1</v>
      </c>
    </row>
    <row r="17" spans="2:10" x14ac:dyDescent="0.2">
      <c r="B17" s="61" t="s">
        <v>1135</v>
      </c>
      <c r="C17" s="62" t="s">
        <v>2831</v>
      </c>
      <c r="D17" s="62" t="s">
        <v>2858</v>
      </c>
      <c r="E17" s="62" t="s">
        <v>2858</v>
      </c>
      <c r="F17" s="63">
        <v>2</v>
      </c>
      <c r="G17" s="62" t="s">
        <v>2865</v>
      </c>
      <c r="H17" s="62" t="s">
        <v>2865</v>
      </c>
      <c r="I17" s="67" t="s">
        <v>2892</v>
      </c>
      <c r="J17" s="68">
        <v>1</v>
      </c>
    </row>
    <row r="18" spans="2:10" x14ac:dyDescent="0.2">
      <c r="B18" s="61" t="s">
        <v>2835</v>
      </c>
      <c r="C18" s="62" t="s">
        <v>2831</v>
      </c>
      <c r="D18" s="62" t="s">
        <v>2858</v>
      </c>
      <c r="E18" s="62" t="s">
        <v>2858</v>
      </c>
      <c r="F18" s="63">
        <v>3</v>
      </c>
      <c r="G18" s="62" t="s">
        <v>2864</v>
      </c>
      <c r="H18" s="63" t="s">
        <v>2972</v>
      </c>
      <c r="I18" s="67" t="s">
        <v>2892</v>
      </c>
      <c r="J18" s="68">
        <v>2</v>
      </c>
    </row>
    <row r="19" spans="2:10" x14ac:dyDescent="0.2">
      <c r="B19" s="61" t="s">
        <v>1855</v>
      </c>
      <c r="C19" s="62" t="s">
        <v>2831</v>
      </c>
      <c r="D19" s="62" t="s">
        <v>2858</v>
      </c>
      <c r="E19" s="62" t="s">
        <v>2853</v>
      </c>
      <c r="F19" s="63">
        <v>4</v>
      </c>
      <c r="G19" s="62" t="s">
        <v>2864</v>
      </c>
      <c r="H19" s="63" t="s">
        <v>2972</v>
      </c>
      <c r="I19" s="67" t="s">
        <v>2892</v>
      </c>
      <c r="J19" s="68">
        <v>2</v>
      </c>
    </row>
    <row r="20" spans="2:10" x14ac:dyDescent="0.2">
      <c r="B20" s="61" t="s">
        <v>2836</v>
      </c>
      <c r="C20" s="62" t="s">
        <v>2832</v>
      </c>
      <c r="D20" s="62" t="s">
        <v>2858</v>
      </c>
      <c r="E20" s="63" t="s">
        <v>2972</v>
      </c>
      <c r="F20" s="63">
        <v>2</v>
      </c>
      <c r="G20" s="62" t="s">
        <v>2864</v>
      </c>
      <c r="H20" s="63" t="s">
        <v>2972</v>
      </c>
      <c r="I20" s="67" t="s">
        <v>2892</v>
      </c>
      <c r="J20" s="71">
        <v>-2</v>
      </c>
    </row>
    <row r="21" spans="2:10" x14ac:dyDescent="0.2">
      <c r="B21" s="61" t="s">
        <v>1191</v>
      </c>
      <c r="C21" s="62" t="s">
        <v>2831</v>
      </c>
      <c r="D21" s="62" t="s">
        <v>2858</v>
      </c>
      <c r="E21" s="62" t="s">
        <v>2853</v>
      </c>
      <c r="F21" s="63">
        <v>9</v>
      </c>
      <c r="G21" s="62" t="s">
        <v>2864</v>
      </c>
      <c r="H21" s="63" t="s">
        <v>2972</v>
      </c>
      <c r="I21" s="67" t="s">
        <v>2892</v>
      </c>
      <c r="J21" s="70">
        <v>7</v>
      </c>
    </row>
    <row r="22" spans="2:10" x14ac:dyDescent="0.2">
      <c r="B22" s="61" t="s">
        <v>1142</v>
      </c>
      <c r="C22" s="61" t="s">
        <v>2831</v>
      </c>
      <c r="D22" s="61" t="s">
        <v>2858</v>
      </c>
      <c r="E22" s="63" t="s">
        <v>2972</v>
      </c>
      <c r="F22" s="63">
        <v>1</v>
      </c>
      <c r="G22" s="61" t="s">
        <v>2865</v>
      </c>
      <c r="H22" s="61" t="s">
        <v>2865</v>
      </c>
      <c r="I22" s="61" t="s">
        <v>2889</v>
      </c>
      <c r="J22" s="68">
        <v>-2</v>
      </c>
    </row>
    <row r="23" spans="2:10" x14ac:dyDescent="0.2">
      <c r="B23" s="61" t="s">
        <v>1398</v>
      </c>
      <c r="C23" s="62" t="s">
        <v>2872</v>
      </c>
      <c r="D23" s="62" t="s">
        <v>2853</v>
      </c>
      <c r="E23" s="63" t="s">
        <v>2972</v>
      </c>
      <c r="F23" s="63">
        <v>1</v>
      </c>
      <c r="G23" s="62" t="s">
        <v>2864</v>
      </c>
      <c r="H23" s="62" t="s">
        <v>2864</v>
      </c>
      <c r="I23" s="61" t="s">
        <v>2891</v>
      </c>
      <c r="J23" s="68">
        <v>-2</v>
      </c>
    </row>
    <row r="24" spans="2:10" x14ac:dyDescent="0.2">
      <c r="B24" s="61" t="s">
        <v>1846</v>
      </c>
      <c r="C24" s="62" t="s">
        <v>2831</v>
      </c>
      <c r="D24" s="62" t="s">
        <v>2858</v>
      </c>
      <c r="E24" s="62" t="s">
        <v>2858</v>
      </c>
      <c r="F24" s="63">
        <v>5</v>
      </c>
      <c r="G24" s="108" t="s">
        <v>2971</v>
      </c>
      <c r="H24" s="109"/>
      <c r="I24" s="109"/>
      <c r="J24" s="110"/>
    </row>
    <row r="25" spans="2:10" x14ac:dyDescent="0.2">
      <c r="J25" s="69" t="s">
        <v>2973</v>
      </c>
    </row>
    <row r="26" spans="2:10" x14ac:dyDescent="0.2">
      <c r="B26" s="75" t="s">
        <v>2978</v>
      </c>
      <c r="F26" s="74">
        <f>AVERAGE(F8:F24)</f>
        <v>3.4117647058823528</v>
      </c>
    </row>
    <row r="27" spans="2:10" x14ac:dyDescent="0.2">
      <c r="B27" s="75" t="s">
        <v>2979</v>
      </c>
      <c r="F27" s="74">
        <f>AVERAGE(F8,F12,F14:F16,F20:F21)</f>
        <v>5.2857142857142856</v>
      </c>
    </row>
    <row r="28" spans="2:10" x14ac:dyDescent="0.2">
      <c r="B28" s="75" t="s">
        <v>3002</v>
      </c>
      <c r="F28" s="118"/>
      <c r="J28" s="74">
        <f>_xlfn.STDEV.S(J8:J23)</f>
        <v>2.1281838892977896</v>
      </c>
    </row>
    <row r="29" spans="2:10" x14ac:dyDescent="0.2">
      <c r="B29" s="75" t="s">
        <v>3003</v>
      </c>
      <c r="F29" s="118"/>
      <c r="J29" s="74">
        <f>_xlfn.STDEV.S(J8:J20,J22:J23)</f>
        <v>1.3020130933435712</v>
      </c>
    </row>
    <row r="30" spans="2:10" x14ac:dyDescent="0.2">
      <c r="B30" s="75" t="s">
        <v>2980</v>
      </c>
      <c r="J30" s="74">
        <f>_xlfn.STDEV.S(J9:J10,J12,J14:J15,J17:J22)</f>
        <v>2.4271195048676715</v>
      </c>
    </row>
    <row r="31" spans="2:10" x14ac:dyDescent="0.2">
      <c r="B31" s="75" t="s">
        <v>2981</v>
      </c>
      <c r="J31" s="74">
        <f>_xlfn.STDEV.S(J8,J11,J13,J16,J23)</f>
        <v>1.0954451150103321</v>
      </c>
    </row>
    <row r="32" spans="2:10" x14ac:dyDescent="0.2">
      <c r="B32" s="73"/>
      <c r="J32" s="57"/>
    </row>
    <row r="33" spans="2:10" x14ac:dyDescent="0.2">
      <c r="B33" s="73"/>
      <c r="J33" s="57"/>
    </row>
    <row r="35" spans="2:10" ht="51" x14ac:dyDescent="0.2">
      <c r="B35" s="64" t="s">
        <v>237</v>
      </c>
      <c r="C35" s="60" t="s">
        <v>2900</v>
      </c>
      <c r="D35" s="64" t="s">
        <v>2965</v>
      </c>
      <c r="E35" s="64" t="s">
        <v>2975</v>
      </c>
      <c r="F35" s="64" t="s">
        <v>2976</v>
      </c>
      <c r="G35" s="64" t="s">
        <v>2966</v>
      </c>
      <c r="H35" s="64" t="s">
        <v>2977</v>
      </c>
      <c r="I35" s="64" t="s">
        <v>2968</v>
      </c>
      <c r="J35" s="65" t="s">
        <v>2969</v>
      </c>
    </row>
    <row r="36" spans="2:10" x14ac:dyDescent="0.2">
      <c r="B36" s="61" t="s">
        <v>1156</v>
      </c>
      <c r="C36" s="61" t="s">
        <v>2831</v>
      </c>
      <c r="D36" s="62" t="s">
        <v>2853</v>
      </c>
      <c r="E36" s="61" t="s">
        <v>2949</v>
      </c>
      <c r="F36" s="61">
        <v>1</v>
      </c>
      <c r="G36" s="61" t="s">
        <v>2864</v>
      </c>
      <c r="H36" s="61">
        <v>1</v>
      </c>
      <c r="I36" s="61" t="b">
        <v>1</v>
      </c>
      <c r="J36" s="61">
        <f>F36-H36</f>
        <v>0</v>
      </c>
    </row>
    <row r="37" spans="2:10" x14ac:dyDescent="0.2">
      <c r="B37" s="61" t="s">
        <v>2737</v>
      </c>
      <c r="C37" s="61" t="s">
        <v>2831</v>
      </c>
      <c r="D37" s="62" t="s">
        <v>2853</v>
      </c>
      <c r="E37" s="61" t="s">
        <v>2948</v>
      </c>
      <c r="F37" s="61">
        <v>6</v>
      </c>
      <c r="G37" s="61" t="s">
        <v>2864</v>
      </c>
      <c r="H37" s="61">
        <v>6</v>
      </c>
      <c r="I37" s="61" t="b">
        <v>1</v>
      </c>
      <c r="J37" s="72">
        <f t="shared" ref="J37:J69" si="0">F37-H37</f>
        <v>0</v>
      </c>
    </row>
    <row r="38" spans="2:10" x14ac:dyDescent="0.2">
      <c r="B38" s="61" t="s">
        <v>1415</v>
      </c>
      <c r="C38" s="61" t="s">
        <v>2831</v>
      </c>
      <c r="D38" s="62" t="s">
        <v>2858</v>
      </c>
      <c r="E38" s="61" t="s">
        <v>2903</v>
      </c>
      <c r="F38" s="61">
        <v>5</v>
      </c>
      <c r="G38" s="61" t="s">
        <v>2864</v>
      </c>
      <c r="H38" s="61">
        <v>4</v>
      </c>
      <c r="I38" s="61" t="b">
        <v>1</v>
      </c>
      <c r="J38" s="72">
        <f t="shared" si="0"/>
        <v>1</v>
      </c>
    </row>
    <row r="39" spans="2:10" x14ac:dyDescent="0.2">
      <c r="B39" s="61" t="s">
        <v>2745</v>
      </c>
      <c r="C39" s="61" t="s">
        <v>2831</v>
      </c>
      <c r="D39" s="62" t="s">
        <v>2858</v>
      </c>
      <c r="E39" s="61" t="s">
        <v>2949</v>
      </c>
      <c r="F39" s="61">
        <v>8</v>
      </c>
      <c r="G39" s="61" t="s">
        <v>2865</v>
      </c>
      <c r="H39" s="61">
        <v>9</v>
      </c>
      <c r="I39" s="61" t="b">
        <v>1</v>
      </c>
      <c r="J39" s="72">
        <f t="shared" si="0"/>
        <v>-1</v>
      </c>
    </row>
    <row r="40" spans="2:10" x14ac:dyDescent="0.2">
      <c r="B40" s="61" t="s">
        <v>2751</v>
      </c>
      <c r="C40" s="61" t="s">
        <v>2831</v>
      </c>
      <c r="D40" s="62" t="s">
        <v>2858</v>
      </c>
      <c r="E40" s="61" t="s">
        <v>2903</v>
      </c>
      <c r="F40" s="61">
        <v>4</v>
      </c>
      <c r="G40" s="61" t="s">
        <v>2864</v>
      </c>
      <c r="H40" s="61">
        <v>2</v>
      </c>
      <c r="I40" s="61" t="b">
        <v>1</v>
      </c>
      <c r="J40" s="72">
        <f t="shared" si="0"/>
        <v>2</v>
      </c>
    </row>
    <row r="41" spans="2:10" x14ac:dyDescent="0.2">
      <c r="B41" s="61" t="s">
        <v>2739</v>
      </c>
      <c r="C41" s="61" t="s">
        <v>2831</v>
      </c>
      <c r="D41" s="62" t="s">
        <v>2853</v>
      </c>
      <c r="E41" s="61" t="s">
        <v>2948</v>
      </c>
      <c r="F41" s="61">
        <v>1</v>
      </c>
      <c r="G41" s="61" t="s">
        <v>2864</v>
      </c>
      <c r="H41" s="61">
        <v>4</v>
      </c>
      <c r="I41" s="61" t="b">
        <v>1</v>
      </c>
      <c r="J41" s="61">
        <f t="shared" si="0"/>
        <v>-3</v>
      </c>
    </row>
    <row r="42" spans="2:10" x14ac:dyDescent="0.2">
      <c r="B42" s="61" t="s">
        <v>2752</v>
      </c>
      <c r="C42" s="61" t="s">
        <v>2831</v>
      </c>
      <c r="D42" s="62" t="s">
        <v>2858</v>
      </c>
      <c r="E42" s="61" t="s">
        <v>2903</v>
      </c>
      <c r="F42" s="61">
        <v>6</v>
      </c>
      <c r="G42" s="61" t="s">
        <v>2864</v>
      </c>
      <c r="H42" s="61">
        <v>3</v>
      </c>
      <c r="I42" s="61" t="b">
        <v>1</v>
      </c>
      <c r="J42" s="72">
        <f t="shared" si="0"/>
        <v>3</v>
      </c>
    </row>
    <row r="43" spans="2:10" x14ac:dyDescent="0.2">
      <c r="B43" s="61" t="s">
        <v>1072</v>
      </c>
      <c r="C43" s="61" t="s">
        <v>2831</v>
      </c>
      <c r="D43" s="62" t="s">
        <v>2858</v>
      </c>
      <c r="E43" s="61" t="s">
        <v>2949</v>
      </c>
      <c r="F43" s="61">
        <v>3</v>
      </c>
      <c r="G43" s="61" t="s">
        <v>2865</v>
      </c>
      <c r="H43" s="61">
        <v>3</v>
      </c>
      <c r="I43" s="61" t="b">
        <v>1</v>
      </c>
      <c r="J43" s="72">
        <f t="shared" si="0"/>
        <v>0</v>
      </c>
    </row>
    <row r="44" spans="2:10" x14ac:dyDescent="0.2">
      <c r="B44" s="61" t="s">
        <v>2741</v>
      </c>
      <c r="C44" s="61" t="s">
        <v>2831</v>
      </c>
      <c r="D44" s="62" t="s">
        <v>2853</v>
      </c>
      <c r="E44" s="61" t="s">
        <v>2949</v>
      </c>
      <c r="F44" s="61">
        <v>1</v>
      </c>
      <c r="G44" s="61" t="s">
        <v>2864</v>
      </c>
      <c r="H44" s="61">
        <v>4</v>
      </c>
      <c r="I44" s="61" t="b">
        <v>0</v>
      </c>
      <c r="J44" s="61">
        <f t="shared" si="0"/>
        <v>-3</v>
      </c>
    </row>
    <row r="45" spans="2:10" x14ac:dyDescent="0.2">
      <c r="B45" s="61" t="s">
        <v>2748</v>
      </c>
      <c r="C45" s="61" t="s">
        <v>2831</v>
      </c>
      <c r="D45" s="62" t="s">
        <v>2853</v>
      </c>
      <c r="E45" s="61" t="s">
        <v>2948</v>
      </c>
      <c r="F45" s="61">
        <v>2</v>
      </c>
      <c r="G45" s="61" t="s">
        <v>2864</v>
      </c>
      <c r="H45" s="61">
        <v>4</v>
      </c>
      <c r="I45" s="61" t="b">
        <v>1</v>
      </c>
      <c r="J45" s="72">
        <f t="shared" si="0"/>
        <v>-2</v>
      </c>
    </row>
    <row r="46" spans="2:10" x14ac:dyDescent="0.2">
      <c r="B46" s="61" t="s">
        <v>2736</v>
      </c>
      <c r="C46" s="61" t="s">
        <v>2831</v>
      </c>
      <c r="D46" s="62" t="s">
        <v>2853</v>
      </c>
      <c r="E46" s="61" t="s">
        <v>2948</v>
      </c>
      <c r="F46" s="61">
        <v>2</v>
      </c>
      <c r="G46" s="61" t="s">
        <v>2864</v>
      </c>
      <c r="H46" s="61">
        <v>4</v>
      </c>
      <c r="I46" s="61" t="b">
        <v>1</v>
      </c>
      <c r="J46" s="72">
        <f t="shared" si="0"/>
        <v>-2</v>
      </c>
    </row>
    <row r="47" spans="2:10" x14ac:dyDescent="0.2">
      <c r="B47" s="61" t="s">
        <v>2746</v>
      </c>
      <c r="C47" s="61" t="s">
        <v>2831</v>
      </c>
      <c r="D47" s="62" t="s">
        <v>2858</v>
      </c>
      <c r="E47" s="61" t="s">
        <v>2949</v>
      </c>
      <c r="F47" s="61">
        <v>1</v>
      </c>
      <c r="G47" s="61" t="s">
        <v>2865</v>
      </c>
      <c r="H47" s="61">
        <v>2</v>
      </c>
      <c r="I47" s="61" t="b">
        <v>0</v>
      </c>
      <c r="J47" s="61">
        <f t="shared" si="0"/>
        <v>-1</v>
      </c>
    </row>
    <row r="48" spans="2:10" x14ac:dyDescent="0.2">
      <c r="B48" s="61" t="s">
        <v>2731</v>
      </c>
      <c r="C48" s="61" t="s">
        <v>2831</v>
      </c>
      <c r="D48" s="62" t="s">
        <v>2858</v>
      </c>
      <c r="E48" s="61" t="s">
        <v>2903</v>
      </c>
      <c r="F48" s="61">
        <v>2</v>
      </c>
      <c r="G48" s="61" t="s">
        <v>2864</v>
      </c>
      <c r="H48" s="61">
        <v>2</v>
      </c>
      <c r="I48" s="61" t="b">
        <v>1</v>
      </c>
      <c r="J48" s="61">
        <f t="shared" si="0"/>
        <v>0</v>
      </c>
    </row>
    <row r="49" spans="2:10" x14ac:dyDescent="0.2">
      <c r="B49" s="61" t="s">
        <v>2729</v>
      </c>
      <c r="C49" s="61" t="s">
        <v>2831</v>
      </c>
      <c r="D49" s="62" t="s">
        <v>2858</v>
      </c>
      <c r="E49" s="61" t="s">
        <v>2903</v>
      </c>
      <c r="F49" s="61">
        <v>4</v>
      </c>
      <c r="G49" s="61" t="s">
        <v>2864</v>
      </c>
      <c r="H49" s="61">
        <v>2</v>
      </c>
      <c r="I49" s="61" t="b">
        <v>1</v>
      </c>
      <c r="J49" s="72">
        <f>F49-H49</f>
        <v>2</v>
      </c>
    </row>
    <row r="50" spans="2:10" x14ac:dyDescent="0.2">
      <c r="B50" s="61" t="s">
        <v>2727</v>
      </c>
      <c r="C50" s="61" t="s">
        <v>2831</v>
      </c>
      <c r="D50" s="62" t="s">
        <v>2858</v>
      </c>
      <c r="E50" s="61" t="s">
        <v>2903</v>
      </c>
      <c r="F50" s="61">
        <v>3</v>
      </c>
      <c r="G50" s="61" t="s">
        <v>2864</v>
      </c>
      <c r="H50" s="61">
        <v>2</v>
      </c>
      <c r="I50" s="61" t="b">
        <v>1</v>
      </c>
      <c r="J50" s="72">
        <f t="shared" si="0"/>
        <v>1</v>
      </c>
    </row>
    <row r="51" spans="2:10" x14ac:dyDescent="0.2">
      <c r="B51" s="61" t="s">
        <v>288</v>
      </c>
      <c r="C51" s="61" t="s">
        <v>2831</v>
      </c>
      <c r="D51" s="62" t="s">
        <v>2858</v>
      </c>
      <c r="E51" s="61" t="s">
        <v>2903</v>
      </c>
      <c r="F51" s="61">
        <v>2</v>
      </c>
      <c r="G51" s="61" t="s">
        <v>2864</v>
      </c>
      <c r="H51" s="61">
        <v>2</v>
      </c>
      <c r="I51" s="61" t="b">
        <v>0</v>
      </c>
      <c r="J51" s="72">
        <f t="shared" si="0"/>
        <v>0</v>
      </c>
    </row>
    <row r="52" spans="2:10" x14ac:dyDescent="0.2">
      <c r="B52" s="61" t="s">
        <v>2742</v>
      </c>
      <c r="C52" s="61" t="s">
        <v>2831</v>
      </c>
      <c r="D52" s="62" t="s">
        <v>2853</v>
      </c>
      <c r="E52" s="61" t="s">
        <v>2948</v>
      </c>
      <c r="F52" s="61">
        <v>1</v>
      </c>
      <c r="G52" s="61" t="s">
        <v>2864</v>
      </c>
      <c r="H52" s="61">
        <v>3</v>
      </c>
      <c r="I52" s="61" t="b">
        <v>0</v>
      </c>
      <c r="J52" s="61">
        <f t="shared" si="0"/>
        <v>-2</v>
      </c>
    </row>
    <row r="53" spans="2:10" x14ac:dyDescent="0.2">
      <c r="B53" s="62" t="s">
        <v>2753</v>
      </c>
      <c r="C53" s="61" t="s">
        <v>2831</v>
      </c>
      <c r="D53" s="62" t="s">
        <v>2858</v>
      </c>
      <c r="E53" s="61" t="s">
        <v>2903</v>
      </c>
      <c r="F53" s="61">
        <v>2</v>
      </c>
      <c r="G53" s="61" t="s">
        <v>2864</v>
      </c>
      <c r="H53" s="61">
        <v>2</v>
      </c>
      <c r="I53" s="61" t="b">
        <v>1</v>
      </c>
      <c r="J53" s="72">
        <f t="shared" si="0"/>
        <v>0</v>
      </c>
    </row>
    <row r="54" spans="2:10" x14ac:dyDescent="0.2">
      <c r="B54" s="61" t="s">
        <v>2728</v>
      </c>
      <c r="C54" s="61" t="s">
        <v>2831</v>
      </c>
      <c r="D54" s="62" t="s">
        <v>2858</v>
      </c>
      <c r="E54" s="61" t="s">
        <v>2949</v>
      </c>
      <c r="F54" s="61">
        <v>8</v>
      </c>
      <c r="G54" s="61" t="s">
        <v>2865</v>
      </c>
      <c r="H54" s="61">
        <v>10</v>
      </c>
      <c r="I54" s="61" t="b">
        <v>1</v>
      </c>
      <c r="J54" s="72">
        <f t="shared" si="0"/>
        <v>-2</v>
      </c>
    </row>
    <row r="55" spans="2:10" x14ac:dyDescent="0.2">
      <c r="B55" s="61" t="s">
        <v>2732</v>
      </c>
      <c r="C55" s="61" t="s">
        <v>2831</v>
      </c>
      <c r="D55" s="62" t="s">
        <v>2853</v>
      </c>
      <c r="E55" s="61" t="s">
        <v>2949</v>
      </c>
      <c r="F55" s="61">
        <v>1</v>
      </c>
      <c r="G55" s="61" t="s">
        <v>2864</v>
      </c>
      <c r="H55" s="61">
        <v>1</v>
      </c>
      <c r="I55" s="61" t="b">
        <v>1</v>
      </c>
      <c r="J55" s="61">
        <f t="shared" si="0"/>
        <v>0</v>
      </c>
    </row>
    <row r="56" spans="2:10" x14ac:dyDescent="0.2">
      <c r="B56" s="61" t="s">
        <v>2735</v>
      </c>
      <c r="C56" s="61" t="s">
        <v>2831</v>
      </c>
      <c r="D56" s="62" t="s">
        <v>2858</v>
      </c>
      <c r="E56" s="61" t="s">
        <v>2903</v>
      </c>
      <c r="F56" s="61">
        <v>2</v>
      </c>
      <c r="G56" s="61" t="s">
        <v>2864</v>
      </c>
      <c r="H56" s="61">
        <v>2</v>
      </c>
      <c r="I56" s="61" t="b">
        <v>1</v>
      </c>
      <c r="J56" s="72">
        <f t="shared" si="0"/>
        <v>0</v>
      </c>
    </row>
    <row r="57" spans="2:10" x14ac:dyDescent="0.2">
      <c r="B57" s="61" t="s">
        <v>1529</v>
      </c>
      <c r="C57" s="61" t="s">
        <v>2831</v>
      </c>
      <c r="D57" s="62" t="s">
        <v>2853</v>
      </c>
      <c r="E57" s="61" t="s">
        <v>2949</v>
      </c>
      <c r="F57" s="61">
        <v>3</v>
      </c>
      <c r="G57" s="61" t="s">
        <v>2864</v>
      </c>
      <c r="H57" s="61">
        <v>4</v>
      </c>
      <c r="I57" s="61" t="b">
        <v>1</v>
      </c>
      <c r="J57" s="72">
        <f t="shared" si="0"/>
        <v>-1</v>
      </c>
    </row>
    <row r="58" spans="2:10" x14ac:dyDescent="0.2">
      <c r="B58" s="61" t="s">
        <v>2750</v>
      </c>
      <c r="C58" s="61" t="s">
        <v>2831</v>
      </c>
      <c r="D58" s="62" t="s">
        <v>2858</v>
      </c>
      <c r="E58" s="61" t="s">
        <v>2903</v>
      </c>
      <c r="F58" s="63">
        <v>6</v>
      </c>
      <c r="G58" s="61" t="s">
        <v>2864</v>
      </c>
      <c r="H58" s="61">
        <v>5</v>
      </c>
      <c r="I58" s="61" t="b">
        <v>1</v>
      </c>
      <c r="J58" s="72">
        <f>F58-H58</f>
        <v>1</v>
      </c>
    </row>
    <row r="59" spans="2:10" x14ac:dyDescent="0.2">
      <c r="B59" s="61" t="s">
        <v>2740</v>
      </c>
      <c r="C59" s="61" t="s">
        <v>2831</v>
      </c>
      <c r="D59" s="62" t="s">
        <v>2858</v>
      </c>
      <c r="E59" s="61" t="s">
        <v>2903</v>
      </c>
      <c r="F59" s="61">
        <v>1</v>
      </c>
      <c r="G59" s="61" t="s">
        <v>2864</v>
      </c>
      <c r="H59" s="61">
        <v>1</v>
      </c>
      <c r="I59" s="61" t="b">
        <v>1</v>
      </c>
      <c r="J59" s="61">
        <f t="shared" si="0"/>
        <v>0</v>
      </c>
    </row>
    <row r="60" spans="2:10" x14ac:dyDescent="0.2">
      <c r="B60" s="61" t="s">
        <v>2749</v>
      </c>
      <c r="C60" s="61" t="s">
        <v>2832</v>
      </c>
      <c r="D60" s="62" t="s">
        <v>2853</v>
      </c>
      <c r="E60" s="61" t="s">
        <v>2949</v>
      </c>
      <c r="F60" s="61">
        <v>3</v>
      </c>
      <c r="G60" s="61" t="s">
        <v>2864</v>
      </c>
      <c r="H60" s="61">
        <v>2</v>
      </c>
      <c r="I60" s="61" t="b">
        <v>1</v>
      </c>
      <c r="J60" s="61">
        <f t="shared" si="0"/>
        <v>1</v>
      </c>
    </row>
    <row r="61" spans="2:10" x14ac:dyDescent="0.2">
      <c r="B61" s="61" t="s">
        <v>2726</v>
      </c>
      <c r="C61" s="61" t="s">
        <v>2832</v>
      </c>
      <c r="D61" s="62" t="s">
        <v>2853</v>
      </c>
      <c r="E61" s="61" t="s">
        <v>2949</v>
      </c>
      <c r="F61" s="61">
        <v>5</v>
      </c>
      <c r="G61" s="61" t="s">
        <v>2864</v>
      </c>
      <c r="H61" s="61">
        <v>6</v>
      </c>
      <c r="I61" s="61" t="b">
        <v>1</v>
      </c>
      <c r="J61" s="72">
        <f t="shared" si="0"/>
        <v>-1</v>
      </c>
    </row>
    <row r="62" spans="2:10" x14ac:dyDescent="0.2">
      <c r="B62" s="61" t="s">
        <v>2747</v>
      </c>
      <c r="C62" s="61" t="s">
        <v>2832</v>
      </c>
      <c r="D62" s="62" t="s">
        <v>252</v>
      </c>
      <c r="E62" s="61" t="s">
        <v>2949</v>
      </c>
      <c r="F62" s="61">
        <v>8</v>
      </c>
      <c r="G62" s="61" t="s">
        <v>2864</v>
      </c>
      <c r="H62" s="61">
        <v>8</v>
      </c>
      <c r="I62" s="61" t="b">
        <v>1</v>
      </c>
      <c r="J62" s="72">
        <f t="shared" si="0"/>
        <v>0</v>
      </c>
    </row>
    <row r="63" spans="2:10" x14ac:dyDescent="0.2">
      <c r="B63" s="61" t="s">
        <v>2758</v>
      </c>
      <c r="C63" s="61" t="s">
        <v>2832</v>
      </c>
      <c r="D63" s="62" t="s">
        <v>2858</v>
      </c>
      <c r="E63" s="61" t="s">
        <v>2903</v>
      </c>
      <c r="F63" s="61">
        <v>1</v>
      </c>
      <c r="G63" s="61" t="s">
        <v>2864</v>
      </c>
      <c r="H63" s="61">
        <v>1</v>
      </c>
      <c r="I63" s="61" t="b">
        <v>1</v>
      </c>
      <c r="J63" s="61">
        <f t="shared" si="0"/>
        <v>0</v>
      </c>
    </row>
    <row r="64" spans="2:10" x14ac:dyDescent="0.2">
      <c r="B64" s="61" t="s">
        <v>2743</v>
      </c>
      <c r="C64" s="61" t="s">
        <v>2832</v>
      </c>
      <c r="D64" s="62" t="s">
        <v>2853</v>
      </c>
      <c r="E64" s="61" t="s">
        <v>2949</v>
      </c>
      <c r="F64" s="61">
        <v>1</v>
      </c>
      <c r="G64" s="61" t="s">
        <v>2864</v>
      </c>
      <c r="H64" s="61">
        <v>6</v>
      </c>
      <c r="I64" s="61" t="b">
        <v>0</v>
      </c>
      <c r="J64" s="61">
        <f t="shared" si="0"/>
        <v>-5</v>
      </c>
    </row>
    <row r="65" spans="2:21" x14ac:dyDescent="0.2">
      <c r="B65" s="61" t="s">
        <v>2734</v>
      </c>
      <c r="C65" s="61" t="s">
        <v>2832</v>
      </c>
      <c r="D65" s="62" t="s">
        <v>2853</v>
      </c>
      <c r="E65" s="61" t="s">
        <v>2948</v>
      </c>
      <c r="F65" s="61">
        <v>8</v>
      </c>
      <c r="G65" s="61" t="s">
        <v>2864</v>
      </c>
      <c r="H65" s="61">
        <v>7</v>
      </c>
      <c r="I65" s="61" t="b">
        <v>1</v>
      </c>
      <c r="J65" s="72">
        <f t="shared" si="0"/>
        <v>1</v>
      </c>
    </row>
    <row r="66" spans="2:21" x14ac:dyDescent="0.2">
      <c r="B66" s="61" t="s">
        <v>2733</v>
      </c>
      <c r="C66" s="61" t="s">
        <v>2832</v>
      </c>
      <c r="D66" s="62" t="s">
        <v>2858</v>
      </c>
      <c r="E66" s="61" t="s">
        <v>2903</v>
      </c>
      <c r="F66" s="61">
        <v>1</v>
      </c>
      <c r="G66" s="61" t="s">
        <v>2864</v>
      </c>
      <c r="H66" s="61">
        <v>2</v>
      </c>
      <c r="I66" s="61" t="b">
        <v>0</v>
      </c>
      <c r="J66" s="61">
        <f t="shared" si="0"/>
        <v>-1</v>
      </c>
    </row>
    <row r="67" spans="2:21" x14ac:dyDescent="0.2">
      <c r="B67" s="61" t="s">
        <v>2730</v>
      </c>
      <c r="C67" s="61" t="s">
        <v>2832</v>
      </c>
      <c r="D67" s="62" t="s">
        <v>2858</v>
      </c>
      <c r="E67" s="61" t="s">
        <v>2903</v>
      </c>
      <c r="F67" s="61">
        <v>8</v>
      </c>
      <c r="G67" s="61" t="s">
        <v>2864</v>
      </c>
      <c r="H67" s="61">
        <v>1</v>
      </c>
      <c r="I67" s="61" t="b">
        <v>0</v>
      </c>
      <c r="J67" s="72">
        <f t="shared" si="0"/>
        <v>7</v>
      </c>
    </row>
    <row r="68" spans="2:21" x14ac:dyDescent="0.2">
      <c r="B68" s="61" t="s">
        <v>1191</v>
      </c>
      <c r="C68" s="61" t="s">
        <v>2872</v>
      </c>
      <c r="D68" s="62" t="s">
        <v>2858</v>
      </c>
      <c r="E68" s="61" t="s">
        <v>2903</v>
      </c>
      <c r="F68" s="61">
        <v>1</v>
      </c>
      <c r="G68" s="61" t="s">
        <v>2864</v>
      </c>
      <c r="H68" s="61">
        <v>1</v>
      </c>
      <c r="I68" s="61" t="b">
        <v>1</v>
      </c>
      <c r="J68" s="61">
        <f t="shared" si="0"/>
        <v>0</v>
      </c>
    </row>
    <row r="69" spans="2:21" x14ac:dyDescent="0.2">
      <c r="B69" s="61" t="s">
        <v>1031</v>
      </c>
      <c r="C69" s="61" t="s">
        <v>2872</v>
      </c>
      <c r="D69" s="62" t="s">
        <v>2858</v>
      </c>
      <c r="E69" s="61" t="s">
        <v>2949</v>
      </c>
      <c r="F69" s="61">
        <v>1</v>
      </c>
      <c r="G69" s="61" t="s">
        <v>2865</v>
      </c>
      <c r="H69" s="61">
        <v>1</v>
      </c>
      <c r="I69" s="61" t="b">
        <v>1</v>
      </c>
      <c r="J69" s="61">
        <f t="shared" si="0"/>
        <v>0</v>
      </c>
    </row>
    <row r="70" spans="2:21" x14ac:dyDescent="0.2">
      <c r="J70" s="69" t="s">
        <v>2973</v>
      </c>
    </row>
    <row r="71" spans="2:21" x14ac:dyDescent="0.2">
      <c r="B71" s="75" t="s">
        <v>2978</v>
      </c>
      <c r="F71" s="74">
        <f>AVERAGE(F36:F69)</f>
        <v>3.2941176470588234</v>
      </c>
    </row>
    <row r="72" spans="2:21" x14ac:dyDescent="0.2">
      <c r="B72" s="75" t="s">
        <v>2979</v>
      </c>
      <c r="F72" s="74">
        <f>AVERAGE(F37:F40,F42:F43,F45:F46,F49:F51,F53:F54,F56:F58,F61:F62,F65,F67)</f>
        <v>4.75</v>
      </c>
    </row>
    <row r="73" spans="2:21" x14ac:dyDescent="0.2">
      <c r="B73" s="75" t="s">
        <v>3002</v>
      </c>
      <c r="F73" s="118"/>
      <c r="J73" s="74">
        <f>_xlfn.STDEV.S(J36:J69)</f>
        <v>2.0170838978536296</v>
      </c>
    </row>
    <row r="74" spans="2:21" x14ac:dyDescent="0.2">
      <c r="B74" s="75" t="s">
        <v>3003</v>
      </c>
      <c r="F74" s="118"/>
      <c r="J74" s="74">
        <f>_xlfn.STDEV.S(J36:J66, J68:J69)</f>
        <v>1.5972277118921909</v>
      </c>
    </row>
    <row r="75" spans="2:21" x14ac:dyDescent="0.2">
      <c r="B75" s="75" t="s">
        <v>2980</v>
      </c>
      <c r="J75" s="74">
        <f>_xlfn.STDEV.S(J38:J40,J42:J43,J47:J51,J53:J54,J56,J58:J59,J63,J66:J69)</f>
        <v>1.9029063643750175</v>
      </c>
    </row>
    <row r="76" spans="2:21" x14ac:dyDescent="0.2">
      <c r="B76" s="75" t="s">
        <v>2981</v>
      </c>
      <c r="J76" s="74">
        <f>_xlfn.STDEV.S(J36:J37,J41,J44:J46,J52,J55,J57,J60:J62,J64:J65)</f>
        <v>1.7177163475234933</v>
      </c>
      <c r="N76" s="94"/>
      <c r="O76" s="94"/>
    </row>
    <row r="77" spans="2:21" ht="34" customHeight="1" x14ac:dyDescent="0.2">
      <c r="N77" s="94"/>
      <c r="O77" s="94"/>
      <c r="P77" s="111" t="s">
        <v>2996</v>
      </c>
      <c r="Q77" s="112"/>
      <c r="R77" s="112"/>
      <c r="S77" s="112" t="s">
        <v>2995</v>
      </c>
      <c r="T77" s="112"/>
      <c r="U77" s="112"/>
    </row>
    <row r="78" spans="2:21" ht="17" x14ac:dyDescent="0.2">
      <c r="N78" s="93" t="s">
        <v>2990</v>
      </c>
      <c r="O78" s="93" t="s">
        <v>2991</v>
      </c>
      <c r="P78" s="91" t="s">
        <v>2992</v>
      </c>
      <c r="Q78" s="91" t="s">
        <v>2993</v>
      </c>
      <c r="R78" s="91" t="s">
        <v>2994</v>
      </c>
      <c r="S78" s="91" t="s">
        <v>2992</v>
      </c>
      <c r="T78" s="91" t="s">
        <v>2993</v>
      </c>
      <c r="U78" s="91" t="s">
        <v>2994</v>
      </c>
    </row>
    <row r="79" spans="2:21" ht="17" thickBot="1" x14ac:dyDescent="0.25">
      <c r="N79" s="92" t="s">
        <v>2997</v>
      </c>
      <c r="O79" s="92">
        <v>1</v>
      </c>
      <c r="P79" s="92">
        <v>0.65</v>
      </c>
      <c r="Q79" s="92">
        <v>0.65</v>
      </c>
      <c r="R79" s="92">
        <v>0.65</v>
      </c>
      <c r="S79" s="92">
        <v>0.65</v>
      </c>
      <c r="T79" s="92">
        <v>0.65</v>
      </c>
      <c r="U79" s="92">
        <v>0.65</v>
      </c>
    </row>
    <row r="80" spans="2:21" ht="17" thickBot="1" x14ac:dyDescent="0.25">
      <c r="N80" s="92" t="s">
        <v>2998</v>
      </c>
      <c r="O80" s="92">
        <v>2</v>
      </c>
      <c r="P80" s="95">
        <v>0.8</v>
      </c>
      <c r="Q80" s="104">
        <v>0.8</v>
      </c>
      <c r="R80" s="95">
        <v>0.8</v>
      </c>
      <c r="S80" s="92">
        <v>0.65</v>
      </c>
      <c r="T80" s="100">
        <v>0.65</v>
      </c>
      <c r="U80" s="92">
        <v>0.65</v>
      </c>
    </row>
    <row r="81" spans="9:21" ht="17" thickBot="1" x14ac:dyDescent="0.25">
      <c r="N81" s="92" t="s">
        <v>2999</v>
      </c>
      <c r="O81" s="92">
        <v>3</v>
      </c>
      <c r="P81" s="98">
        <v>0.88</v>
      </c>
      <c r="Q81" s="92">
        <v>0.88</v>
      </c>
      <c r="R81" s="100">
        <v>0.88</v>
      </c>
      <c r="S81" s="95">
        <v>0.7</v>
      </c>
      <c r="T81" s="95">
        <v>0.7</v>
      </c>
      <c r="U81" s="100">
        <v>0.7</v>
      </c>
    </row>
    <row r="82" spans="9:21" ht="17" thickBot="1" x14ac:dyDescent="0.25">
      <c r="N82" s="92" t="s">
        <v>2999</v>
      </c>
      <c r="O82" s="96">
        <v>4</v>
      </c>
      <c r="P82" s="100">
        <v>0.97</v>
      </c>
      <c r="Q82" s="97">
        <v>0.97</v>
      </c>
      <c r="R82" s="92">
        <v>0.97</v>
      </c>
      <c r="S82" s="100">
        <v>0.77</v>
      </c>
      <c r="T82" s="92">
        <v>0.77</v>
      </c>
      <c r="U82" s="92">
        <v>0.77</v>
      </c>
    </row>
    <row r="83" spans="9:21" x14ac:dyDescent="0.2">
      <c r="N83" s="101" t="s">
        <v>3001</v>
      </c>
      <c r="O83" s="101">
        <v>5</v>
      </c>
      <c r="P83" s="102">
        <v>0.97</v>
      </c>
      <c r="Q83" s="103">
        <v>0.8</v>
      </c>
      <c r="R83" s="101">
        <v>0.88</v>
      </c>
      <c r="S83" s="101">
        <v>0.77</v>
      </c>
      <c r="T83" s="101">
        <v>0.65</v>
      </c>
      <c r="U83" s="103">
        <v>0.7</v>
      </c>
    </row>
    <row r="84" spans="9:21" x14ac:dyDescent="0.2">
      <c r="I84" s="89"/>
      <c r="J84" s="26"/>
      <c r="K84" s="28"/>
      <c r="N84" s="92" t="s">
        <v>3000</v>
      </c>
      <c r="O84" s="92">
        <v>6</v>
      </c>
      <c r="P84" s="99">
        <v>0.97</v>
      </c>
      <c r="Q84" s="95">
        <v>0.8</v>
      </c>
      <c r="R84" s="92">
        <v>0.88</v>
      </c>
      <c r="S84" s="92">
        <v>0.77</v>
      </c>
      <c r="T84" s="92">
        <v>0.65</v>
      </c>
      <c r="U84" s="95">
        <v>0.7</v>
      </c>
    </row>
    <row r="85" spans="9:21" x14ac:dyDescent="0.2">
      <c r="I85" s="26"/>
      <c r="J85" s="26"/>
      <c r="K85" s="28"/>
      <c r="L85" s="28"/>
    </row>
    <row r="86" spans="9:21" x14ac:dyDescent="0.2">
      <c r="I86" s="26"/>
      <c r="J86" s="89"/>
      <c r="K86" s="28"/>
    </row>
    <row r="87" spans="9:21" x14ac:dyDescent="0.2">
      <c r="I87" s="90"/>
      <c r="J87" s="89"/>
      <c r="K87" s="28"/>
    </row>
    <row r="88" spans="9:21" x14ac:dyDescent="0.2">
      <c r="I88" s="88"/>
      <c r="J88" s="89"/>
      <c r="K88" s="28"/>
      <c r="L88" s="28"/>
    </row>
    <row r="89" spans="9:21" x14ac:dyDescent="0.2">
      <c r="J89" s="88"/>
      <c r="L89" s="28"/>
    </row>
    <row r="90" spans="9:21" x14ac:dyDescent="0.2">
      <c r="J90" s="88"/>
    </row>
    <row r="91" spans="9:21" x14ac:dyDescent="0.2">
      <c r="J91" s="88"/>
      <c r="K91" s="28"/>
    </row>
    <row r="92" spans="9:21" x14ac:dyDescent="0.2">
      <c r="J92" s="90"/>
      <c r="K92" s="28"/>
      <c r="L92" s="28"/>
    </row>
    <row r="93" spans="9:21" x14ac:dyDescent="0.2">
      <c r="J93" s="89"/>
    </row>
    <row r="94" spans="9:21" x14ac:dyDescent="0.2">
      <c r="J94" s="88"/>
      <c r="K94" s="28"/>
      <c r="L94" s="28"/>
    </row>
    <row r="95" spans="9:21" x14ac:dyDescent="0.2">
      <c r="K95" s="28"/>
      <c r="L95" s="28"/>
    </row>
    <row r="96" spans="9:21" x14ac:dyDescent="0.2">
      <c r="K96" s="28"/>
    </row>
    <row r="97" spans="11:12" x14ac:dyDescent="0.2">
      <c r="K97" s="28"/>
      <c r="L97" s="28"/>
    </row>
  </sheetData>
  <autoFilter ref="B35:J76" xr:uid="{E1786A73-C0A7-034D-B710-D3D9E8095D07}"/>
  <sortState xmlns:xlrd2="http://schemas.microsoft.com/office/spreadsheetml/2017/richdata2" ref="B8:J23">
    <sortCondition descending="1" ref="I8:I23"/>
    <sortCondition ref="J8:J23"/>
    <sortCondition descending="1" ref="G8:G23"/>
    <sortCondition descending="1" ref="E8:E23"/>
  </sortState>
  <mergeCells count="3">
    <mergeCell ref="G24:J24"/>
    <mergeCell ref="P77:R77"/>
    <mergeCell ref="S77:U7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F20"/>
  <sheetViews>
    <sheetView topLeftCell="E1" zoomScale="139" zoomScaleNormal="139" workbookViewId="0">
      <selection activeCell="B8" sqref="B8"/>
    </sheetView>
  </sheetViews>
  <sheetFormatPr baseColWidth="10" defaultRowHeight="16" x14ac:dyDescent="0.2"/>
  <cols>
    <col min="1" max="1" width="3" customWidth="1"/>
    <col min="2" max="3" width="19.5" customWidth="1"/>
    <col min="4" max="5" width="30.1640625" customWidth="1"/>
    <col min="6" max="6" width="89" customWidth="1"/>
    <col min="7" max="8" width="2.6640625" customWidth="1"/>
  </cols>
  <sheetData>
    <row r="1" spans="2:6" ht="22" x14ac:dyDescent="0.3">
      <c r="C1" s="113" t="s">
        <v>2932</v>
      </c>
      <c r="D1" s="113"/>
      <c r="E1" s="113"/>
      <c r="F1" s="113"/>
    </row>
    <row r="2" spans="2:6" ht="46" x14ac:dyDescent="0.3">
      <c r="B2" s="84" t="s">
        <v>2989</v>
      </c>
      <c r="C2" s="83" t="s">
        <v>2901</v>
      </c>
      <c r="D2" s="83" t="s">
        <v>2902</v>
      </c>
      <c r="E2" s="83" t="s">
        <v>2910</v>
      </c>
      <c r="F2" s="83" t="s">
        <v>2933</v>
      </c>
    </row>
    <row r="3" spans="2:6" ht="23" x14ac:dyDescent="0.3">
      <c r="B3" s="114" t="s">
        <v>2909</v>
      </c>
      <c r="C3" s="85" t="s">
        <v>2827</v>
      </c>
      <c r="D3" s="85" t="s">
        <v>2905</v>
      </c>
      <c r="E3" s="86" t="s">
        <v>2908</v>
      </c>
      <c r="F3" s="87" t="s">
        <v>2918</v>
      </c>
    </row>
    <row r="4" spans="2:6" ht="23" x14ac:dyDescent="0.3">
      <c r="B4" s="115"/>
      <c r="C4" s="85" t="s">
        <v>2823</v>
      </c>
      <c r="D4" s="86" t="s">
        <v>2906</v>
      </c>
      <c r="E4" s="86" t="s">
        <v>2926</v>
      </c>
      <c r="F4" s="87" t="s">
        <v>2916</v>
      </c>
    </row>
    <row r="5" spans="2:6" ht="23" x14ac:dyDescent="0.3">
      <c r="B5" s="116"/>
      <c r="C5" s="85" t="s">
        <v>2904</v>
      </c>
      <c r="D5" s="86" t="s">
        <v>2907</v>
      </c>
      <c r="E5" s="85" t="s">
        <v>2927</v>
      </c>
      <c r="F5" s="87" t="s">
        <v>2917</v>
      </c>
    </row>
    <row r="8" spans="2:6" ht="22" x14ac:dyDescent="0.2">
      <c r="C8" s="117" t="s">
        <v>2934</v>
      </c>
      <c r="D8" s="117"/>
      <c r="E8" s="117"/>
      <c r="F8" s="117"/>
    </row>
    <row r="9" spans="2:6" ht="46" x14ac:dyDescent="0.3">
      <c r="B9" s="84" t="s">
        <v>2989</v>
      </c>
      <c r="C9" s="83" t="s">
        <v>2902</v>
      </c>
      <c r="D9" s="83" t="s">
        <v>2910</v>
      </c>
      <c r="E9" s="83" t="s">
        <v>2911</v>
      </c>
      <c r="F9" s="83" t="s">
        <v>2928</v>
      </c>
    </row>
    <row r="10" spans="2:6" ht="23" x14ac:dyDescent="0.3">
      <c r="B10" s="114" t="s">
        <v>2909</v>
      </c>
      <c r="C10" s="85" t="s">
        <v>2905</v>
      </c>
      <c r="D10" s="85" t="s">
        <v>2908</v>
      </c>
      <c r="E10" s="85" t="s">
        <v>2912</v>
      </c>
      <c r="F10" s="85" t="s">
        <v>2919</v>
      </c>
    </row>
    <row r="11" spans="2:6" ht="46" x14ac:dyDescent="0.3">
      <c r="B11" s="115"/>
      <c r="C11" s="85" t="s">
        <v>2906</v>
      </c>
      <c r="D11" s="85" t="s">
        <v>2924</v>
      </c>
      <c r="E11" s="85" t="s">
        <v>2914</v>
      </c>
      <c r="F11" s="85" t="s">
        <v>2920</v>
      </c>
    </row>
    <row r="12" spans="2:6" ht="46" x14ac:dyDescent="0.3">
      <c r="B12" s="115"/>
      <c r="C12" s="85" t="s">
        <v>2907</v>
      </c>
      <c r="D12" s="85" t="s">
        <v>2925</v>
      </c>
      <c r="E12" s="85" t="s">
        <v>2915</v>
      </c>
      <c r="F12" s="85" t="s">
        <v>2921</v>
      </c>
    </row>
    <row r="13" spans="2:6" ht="46" x14ac:dyDescent="0.3">
      <c r="B13" s="115"/>
      <c r="C13" s="85"/>
      <c r="D13" s="85" t="s">
        <v>2913</v>
      </c>
      <c r="E13" s="85"/>
      <c r="F13" s="85" t="s">
        <v>2922</v>
      </c>
    </row>
    <row r="14" spans="2:6" ht="46" x14ac:dyDescent="0.3">
      <c r="B14" s="115"/>
      <c r="C14" s="85"/>
      <c r="D14" s="85" t="s">
        <v>2923</v>
      </c>
      <c r="E14" s="85"/>
      <c r="F14" s="85" t="s">
        <v>2929</v>
      </c>
    </row>
    <row r="15" spans="2:6" ht="23" x14ac:dyDescent="0.3">
      <c r="B15" s="115"/>
      <c r="C15" s="85"/>
      <c r="D15" s="85"/>
      <c r="E15" s="85"/>
      <c r="F15" s="85" t="s">
        <v>2930</v>
      </c>
    </row>
    <row r="16" spans="2:6" ht="23" x14ac:dyDescent="0.3">
      <c r="B16" s="116"/>
      <c r="C16" s="85"/>
      <c r="D16" s="85"/>
      <c r="E16" s="85"/>
      <c r="F16" s="85" t="s">
        <v>2931</v>
      </c>
    </row>
    <row r="20" ht="16" customHeight="1" x14ac:dyDescent="0.2"/>
  </sheetData>
  <mergeCells count="4">
    <mergeCell ref="C1:F1"/>
    <mergeCell ref="B3:B5"/>
    <mergeCell ref="C8:F8"/>
    <mergeCell ref="B10:B1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workbookViewId="0">
      <selection activeCell="A39" sqref="A39"/>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2763</v>
      </c>
      <c r="B1" s="28" t="s">
        <v>2764</v>
      </c>
      <c r="C1" s="28" t="s">
        <v>2759</v>
      </c>
      <c r="D1" s="28" t="s">
        <v>2760</v>
      </c>
      <c r="E1" s="28" t="s">
        <v>2761</v>
      </c>
      <c r="F1" s="28" t="s">
        <v>2762</v>
      </c>
    </row>
    <row r="2" spans="1:6" x14ac:dyDescent="0.2">
      <c r="A2" t="s">
        <v>1156</v>
      </c>
      <c r="B2" t="s">
        <v>2756</v>
      </c>
      <c r="C2">
        <v>0</v>
      </c>
      <c r="D2">
        <v>1</v>
      </c>
      <c r="E2">
        <v>0</v>
      </c>
      <c r="F2">
        <v>1</v>
      </c>
    </row>
    <row r="3" spans="1:6" x14ac:dyDescent="0.2">
      <c r="A3" t="s">
        <v>2737</v>
      </c>
      <c r="B3" t="s">
        <v>2757</v>
      </c>
      <c r="C3">
        <v>0</v>
      </c>
      <c r="D3">
        <v>0</v>
      </c>
      <c r="E3">
        <v>1</v>
      </c>
      <c r="F3">
        <v>6</v>
      </c>
    </row>
    <row r="4" spans="1:6" x14ac:dyDescent="0.2">
      <c r="A4" t="s">
        <v>1415</v>
      </c>
      <c r="B4" t="s">
        <v>2757</v>
      </c>
      <c r="C4">
        <v>0</v>
      </c>
      <c r="D4">
        <v>0</v>
      </c>
      <c r="E4">
        <v>1</v>
      </c>
      <c r="F4">
        <v>5</v>
      </c>
    </row>
    <row r="5" spans="1:6" x14ac:dyDescent="0.2">
      <c r="A5" t="s">
        <v>2745</v>
      </c>
      <c r="B5" t="s">
        <v>2757</v>
      </c>
      <c r="C5">
        <v>0</v>
      </c>
      <c r="D5">
        <v>0</v>
      </c>
      <c r="E5">
        <v>1</v>
      </c>
      <c r="F5">
        <v>8</v>
      </c>
    </row>
    <row r="6" spans="1:6" x14ac:dyDescent="0.2">
      <c r="A6" t="s">
        <v>2751</v>
      </c>
      <c r="B6" t="s">
        <v>2757</v>
      </c>
      <c r="C6">
        <v>0</v>
      </c>
      <c r="D6">
        <v>0</v>
      </c>
      <c r="E6">
        <v>1</v>
      </c>
      <c r="F6">
        <v>4</v>
      </c>
    </row>
    <row r="7" spans="1:6" x14ac:dyDescent="0.2">
      <c r="A7" t="s">
        <v>2739</v>
      </c>
      <c r="B7" t="s">
        <v>2757</v>
      </c>
      <c r="C7">
        <v>1</v>
      </c>
      <c r="D7">
        <v>0</v>
      </c>
      <c r="E7">
        <v>0</v>
      </c>
      <c r="F7">
        <v>1</v>
      </c>
    </row>
    <row r="8" spans="1:6" x14ac:dyDescent="0.2">
      <c r="A8" t="s">
        <v>2752</v>
      </c>
      <c r="B8" t="s">
        <v>2757</v>
      </c>
      <c r="C8">
        <v>0</v>
      </c>
      <c r="D8">
        <v>0</v>
      </c>
      <c r="E8">
        <v>1</v>
      </c>
      <c r="F8">
        <v>6</v>
      </c>
    </row>
    <row r="9" spans="1:6" x14ac:dyDescent="0.2">
      <c r="A9" t="s">
        <v>1072</v>
      </c>
      <c r="B9" t="s">
        <v>2757</v>
      </c>
      <c r="C9">
        <v>0</v>
      </c>
      <c r="D9">
        <v>0</v>
      </c>
      <c r="E9">
        <v>1</v>
      </c>
      <c r="F9">
        <v>3</v>
      </c>
    </row>
    <row r="10" spans="1:6" x14ac:dyDescent="0.2">
      <c r="A10" t="s">
        <v>2741</v>
      </c>
      <c r="B10" t="s">
        <v>2757</v>
      </c>
      <c r="C10">
        <v>0</v>
      </c>
      <c r="D10">
        <v>1</v>
      </c>
      <c r="E10">
        <v>0</v>
      </c>
      <c r="F10">
        <v>1</v>
      </c>
    </row>
    <row r="11" spans="1:6" x14ac:dyDescent="0.2">
      <c r="A11" t="s">
        <v>2748</v>
      </c>
      <c r="B11" t="s">
        <v>2757</v>
      </c>
      <c r="C11">
        <v>0</v>
      </c>
      <c r="D11">
        <v>0</v>
      </c>
      <c r="E11">
        <v>1</v>
      </c>
      <c r="F11">
        <v>2</v>
      </c>
    </row>
    <row r="12" spans="1:6" x14ac:dyDescent="0.2">
      <c r="A12" t="s">
        <v>2736</v>
      </c>
      <c r="B12" t="s">
        <v>2757</v>
      </c>
      <c r="C12">
        <v>0</v>
      </c>
      <c r="D12">
        <v>0</v>
      </c>
      <c r="E12">
        <v>1</v>
      </c>
      <c r="F12">
        <v>2</v>
      </c>
    </row>
    <row r="13" spans="1:6" x14ac:dyDescent="0.2">
      <c r="A13" t="s">
        <v>2746</v>
      </c>
      <c r="B13" t="s">
        <v>2757</v>
      </c>
      <c r="C13">
        <v>0</v>
      </c>
      <c r="D13">
        <v>1</v>
      </c>
      <c r="E13">
        <v>0</v>
      </c>
      <c r="F13">
        <v>1</v>
      </c>
    </row>
    <row r="14" spans="1:6" x14ac:dyDescent="0.2">
      <c r="A14" t="s">
        <v>2731</v>
      </c>
      <c r="B14" t="s">
        <v>2757</v>
      </c>
      <c r="C14">
        <v>1</v>
      </c>
      <c r="D14">
        <v>0</v>
      </c>
      <c r="E14">
        <v>0</v>
      </c>
      <c r="F14">
        <v>2</v>
      </c>
    </row>
    <row r="15" spans="1:6" x14ac:dyDescent="0.2">
      <c r="A15" t="s">
        <v>2729</v>
      </c>
      <c r="B15" t="s">
        <v>2757</v>
      </c>
      <c r="C15">
        <v>0</v>
      </c>
      <c r="D15">
        <v>0</v>
      </c>
      <c r="E15">
        <v>1</v>
      </c>
      <c r="F15">
        <v>4</v>
      </c>
    </row>
    <row r="16" spans="1:6" x14ac:dyDescent="0.2">
      <c r="A16" t="s">
        <v>2727</v>
      </c>
      <c r="B16" t="s">
        <v>2757</v>
      </c>
      <c r="C16">
        <v>0</v>
      </c>
      <c r="D16">
        <v>0</v>
      </c>
      <c r="E16">
        <v>1</v>
      </c>
      <c r="F16">
        <v>3</v>
      </c>
    </row>
    <row r="17" spans="1:6" x14ac:dyDescent="0.2">
      <c r="A17" t="s">
        <v>288</v>
      </c>
      <c r="B17" t="s">
        <v>2756</v>
      </c>
      <c r="C17">
        <v>0</v>
      </c>
      <c r="D17">
        <v>0</v>
      </c>
      <c r="E17">
        <v>1</v>
      </c>
      <c r="F17">
        <v>2</v>
      </c>
    </row>
    <row r="18" spans="1:6" x14ac:dyDescent="0.2">
      <c r="A18" t="s">
        <v>2742</v>
      </c>
      <c r="B18" t="s">
        <v>2757</v>
      </c>
      <c r="C18">
        <v>0</v>
      </c>
      <c r="D18">
        <v>1</v>
      </c>
      <c r="E18">
        <v>0</v>
      </c>
      <c r="F18">
        <v>1</v>
      </c>
    </row>
    <row r="19" spans="1:6" x14ac:dyDescent="0.2">
      <c r="A19" s="23" t="s">
        <v>2753</v>
      </c>
      <c r="B19" t="s">
        <v>2757</v>
      </c>
      <c r="C19">
        <v>0</v>
      </c>
      <c r="D19">
        <v>0</v>
      </c>
      <c r="E19">
        <v>1</v>
      </c>
      <c r="F19">
        <v>2</v>
      </c>
    </row>
    <row r="20" spans="1:6" x14ac:dyDescent="0.2">
      <c r="A20" t="s">
        <v>2728</v>
      </c>
      <c r="B20" t="s">
        <v>2757</v>
      </c>
      <c r="C20">
        <v>0</v>
      </c>
      <c r="D20">
        <v>0</v>
      </c>
      <c r="E20">
        <v>1</v>
      </c>
      <c r="F20">
        <v>8</v>
      </c>
    </row>
    <row r="21" spans="1:6" x14ac:dyDescent="0.2">
      <c r="A21" t="s">
        <v>2732</v>
      </c>
      <c r="B21" t="s">
        <v>2757</v>
      </c>
      <c r="C21">
        <v>0</v>
      </c>
      <c r="D21">
        <v>1</v>
      </c>
      <c r="E21">
        <v>0</v>
      </c>
      <c r="F21">
        <v>1</v>
      </c>
    </row>
    <row r="22" spans="1:6" x14ac:dyDescent="0.2">
      <c r="A22" t="s">
        <v>2735</v>
      </c>
      <c r="B22" t="s">
        <v>2757</v>
      </c>
      <c r="C22">
        <v>0</v>
      </c>
      <c r="D22">
        <v>0</v>
      </c>
      <c r="E22">
        <v>1</v>
      </c>
      <c r="F22">
        <v>2</v>
      </c>
    </row>
    <row r="23" spans="1:6" x14ac:dyDescent="0.2">
      <c r="A23" t="s">
        <v>1529</v>
      </c>
      <c r="B23" t="s">
        <v>2757</v>
      </c>
      <c r="C23">
        <v>0</v>
      </c>
      <c r="D23">
        <v>0</v>
      </c>
      <c r="E23">
        <v>1</v>
      </c>
      <c r="F23">
        <v>3</v>
      </c>
    </row>
    <row r="24" spans="1:6" x14ac:dyDescent="0.2">
      <c r="A24" t="s">
        <v>2750</v>
      </c>
      <c r="B24" t="s">
        <v>2757</v>
      </c>
      <c r="C24">
        <v>0</v>
      </c>
      <c r="D24">
        <v>0</v>
      </c>
      <c r="E24">
        <v>1</v>
      </c>
      <c r="F24" s="3">
        <v>6</v>
      </c>
    </row>
    <row r="25" spans="1:6" x14ac:dyDescent="0.2">
      <c r="A25" t="s">
        <v>2740</v>
      </c>
      <c r="B25" t="s">
        <v>2757</v>
      </c>
      <c r="C25">
        <v>0</v>
      </c>
      <c r="D25">
        <v>1</v>
      </c>
      <c r="E25">
        <v>0</v>
      </c>
      <c r="F25">
        <v>1</v>
      </c>
    </row>
    <row r="26" spans="1:6" x14ac:dyDescent="0.2">
      <c r="A26" t="s">
        <v>2749</v>
      </c>
      <c r="B26" t="s">
        <v>2757</v>
      </c>
      <c r="C26">
        <v>1</v>
      </c>
      <c r="D26">
        <v>0</v>
      </c>
      <c r="E26">
        <v>0</v>
      </c>
      <c r="F26">
        <v>3</v>
      </c>
    </row>
    <row r="27" spans="1:6" x14ac:dyDescent="0.2">
      <c r="A27" t="s">
        <v>2726</v>
      </c>
      <c r="B27" t="s">
        <v>2757</v>
      </c>
      <c r="C27">
        <v>0</v>
      </c>
      <c r="D27">
        <v>0</v>
      </c>
      <c r="E27">
        <v>1</v>
      </c>
      <c r="F27">
        <v>5</v>
      </c>
    </row>
    <row r="28" spans="1:6" x14ac:dyDescent="0.2">
      <c r="A28" t="s">
        <v>2747</v>
      </c>
      <c r="B28" t="s">
        <v>2757</v>
      </c>
      <c r="C28">
        <v>0</v>
      </c>
      <c r="D28">
        <v>0</v>
      </c>
      <c r="E28">
        <v>1</v>
      </c>
      <c r="F28">
        <v>8</v>
      </c>
    </row>
    <row r="29" spans="1:6" x14ac:dyDescent="0.2">
      <c r="A29" t="s">
        <v>2758</v>
      </c>
      <c r="B29" t="s">
        <v>2757</v>
      </c>
      <c r="C29">
        <v>0</v>
      </c>
      <c r="D29">
        <v>1</v>
      </c>
      <c r="E29">
        <v>0</v>
      </c>
      <c r="F29">
        <v>1</v>
      </c>
    </row>
    <row r="30" spans="1:6" x14ac:dyDescent="0.2">
      <c r="A30" t="s">
        <v>2743</v>
      </c>
      <c r="B30" t="s">
        <v>2757</v>
      </c>
      <c r="C30">
        <v>0</v>
      </c>
      <c r="D30">
        <v>1</v>
      </c>
      <c r="E30">
        <v>0</v>
      </c>
      <c r="F30">
        <v>1</v>
      </c>
    </row>
    <row r="31" spans="1:6" x14ac:dyDescent="0.2">
      <c r="A31" t="s">
        <v>2734</v>
      </c>
      <c r="B31" t="s">
        <v>2757</v>
      </c>
      <c r="C31">
        <v>0</v>
      </c>
      <c r="D31">
        <v>0</v>
      </c>
      <c r="E31">
        <v>1</v>
      </c>
      <c r="F31">
        <v>8</v>
      </c>
    </row>
    <row r="32" spans="1:6" x14ac:dyDescent="0.2">
      <c r="A32" t="s">
        <v>2733</v>
      </c>
      <c r="B32" t="s">
        <v>2757</v>
      </c>
      <c r="C32">
        <v>0</v>
      </c>
      <c r="D32">
        <v>1</v>
      </c>
      <c r="E32">
        <v>0</v>
      </c>
      <c r="F32">
        <v>1</v>
      </c>
    </row>
    <row r="33" spans="1:6" x14ac:dyDescent="0.2">
      <c r="A33" t="s">
        <v>2730</v>
      </c>
      <c r="B33" t="s">
        <v>2757</v>
      </c>
      <c r="C33">
        <v>0</v>
      </c>
      <c r="D33">
        <v>0</v>
      </c>
      <c r="E33">
        <v>1</v>
      </c>
      <c r="F33">
        <v>8</v>
      </c>
    </row>
    <row r="34" spans="1:6" x14ac:dyDescent="0.2">
      <c r="A34" t="s">
        <v>1191</v>
      </c>
      <c r="B34" t="s">
        <v>2757</v>
      </c>
      <c r="C34">
        <v>0</v>
      </c>
      <c r="D34">
        <v>1</v>
      </c>
      <c r="E34">
        <v>0</v>
      </c>
      <c r="F34">
        <v>1</v>
      </c>
    </row>
    <row r="35" spans="1:6" x14ac:dyDescent="0.2">
      <c r="A35" t="s">
        <v>1031</v>
      </c>
      <c r="B35" t="s">
        <v>2756</v>
      </c>
      <c r="C35">
        <v>0</v>
      </c>
      <c r="D35">
        <v>1</v>
      </c>
      <c r="E35">
        <v>0</v>
      </c>
      <c r="F35">
        <v>1</v>
      </c>
    </row>
  </sheetData>
  <autoFilter ref="A1:F35" xr:uid="{280AEBC7-FF14-604C-82D9-7F74AA680890}"/>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A30" sqref="A30"/>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2822</v>
      </c>
      <c r="D1" s="28" t="s">
        <v>2765</v>
      </c>
      <c r="E1" s="28" t="s">
        <v>2759</v>
      </c>
      <c r="F1" s="28" t="s">
        <v>2760</v>
      </c>
      <c r="G1" s="28" t="s">
        <v>2761</v>
      </c>
      <c r="H1" s="28" t="s">
        <v>2762</v>
      </c>
    </row>
    <row r="2" spans="1:8" x14ac:dyDescent="0.2">
      <c r="A2" t="s">
        <v>1142</v>
      </c>
      <c r="B2" t="s">
        <v>2756</v>
      </c>
      <c r="C2" t="s">
        <v>2823</v>
      </c>
      <c r="D2" t="s">
        <v>382</v>
      </c>
      <c r="E2" s="47">
        <v>0</v>
      </c>
      <c r="F2" s="47">
        <v>1</v>
      </c>
      <c r="G2" s="47">
        <v>0</v>
      </c>
      <c r="H2" s="47">
        <v>1</v>
      </c>
    </row>
    <row r="3" spans="1:8" x14ac:dyDescent="0.2">
      <c r="A3" t="s">
        <v>577</v>
      </c>
      <c r="B3" t="s">
        <v>2756</v>
      </c>
      <c r="C3" t="s">
        <v>2823</v>
      </c>
      <c r="D3" t="s">
        <v>382</v>
      </c>
      <c r="E3" s="47">
        <v>0</v>
      </c>
      <c r="F3" s="47">
        <v>1</v>
      </c>
      <c r="G3" s="47">
        <v>0</v>
      </c>
      <c r="H3" s="47">
        <v>1</v>
      </c>
    </row>
    <row r="4" spans="1:8" x14ac:dyDescent="0.2">
      <c r="A4" t="s">
        <v>1556</v>
      </c>
      <c r="B4" t="s">
        <v>2756</v>
      </c>
      <c r="C4" t="s">
        <v>2823</v>
      </c>
      <c r="D4" t="s">
        <v>382</v>
      </c>
      <c r="E4" s="47">
        <v>0</v>
      </c>
      <c r="F4" s="47">
        <v>1</v>
      </c>
      <c r="G4" s="47">
        <v>0</v>
      </c>
      <c r="H4" s="47">
        <v>1</v>
      </c>
    </row>
    <row r="5" spans="1:8" x14ac:dyDescent="0.2">
      <c r="A5" t="s">
        <v>2835</v>
      </c>
      <c r="B5" t="s">
        <v>2756</v>
      </c>
      <c r="C5" t="s">
        <v>2827</v>
      </c>
      <c r="D5" t="s">
        <v>382</v>
      </c>
      <c r="E5" s="47">
        <v>1</v>
      </c>
      <c r="F5" s="47">
        <v>0</v>
      </c>
      <c r="G5" s="47">
        <v>0</v>
      </c>
      <c r="H5" s="47">
        <v>3</v>
      </c>
    </row>
    <row r="6" spans="1:8" x14ac:dyDescent="0.2">
      <c r="A6" t="s">
        <v>1191</v>
      </c>
      <c r="B6" t="s">
        <v>2756</v>
      </c>
      <c r="C6" t="s">
        <v>2828</v>
      </c>
      <c r="D6" t="s">
        <v>382</v>
      </c>
      <c r="E6" s="47">
        <v>0</v>
      </c>
      <c r="F6" s="47">
        <v>0</v>
      </c>
      <c r="G6" s="47">
        <v>1</v>
      </c>
      <c r="H6" s="47">
        <v>9</v>
      </c>
    </row>
    <row r="7" spans="1:8" x14ac:dyDescent="0.2">
      <c r="A7" t="s">
        <v>816</v>
      </c>
      <c r="B7" t="s">
        <v>2756</v>
      </c>
      <c r="C7" t="s">
        <v>2827</v>
      </c>
      <c r="D7" t="s">
        <v>382</v>
      </c>
      <c r="E7" s="47">
        <v>1</v>
      </c>
      <c r="F7" s="47">
        <v>0</v>
      </c>
      <c r="G7" s="47">
        <v>0</v>
      </c>
      <c r="H7" s="47">
        <v>2</v>
      </c>
    </row>
    <row r="8" spans="1:8" x14ac:dyDescent="0.2">
      <c r="A8" t="s">
        <v>933</v>
      </c>
      <c r="B8" t="s">
        <v>2756</v>
      </c>
      <c r="C8" t="s">
        <v>2827</v>
      </c>
      <c r="D8" t="s">
        <v>2830</v>
      </c>
      <c r="E8" s="47">
        <v>0</v>
      </c>
      <c r="F8" s="47">
        <v>0</v>
      </c>
      <c r="G8" s="47">
        <v>1</v>
      </c>
      <c r="H8" s="47">
        <v>4</v>
      </c>
    </row>
    <row r="9" spans="1:8" x14ac:dyDescent="0.2">
      <c r="A9" t="s">
        <v>1135</v>
      </c>
      <c r="B9" t="s">
        <v>2756</v>
      </c>
      <c r="C9" t="s">
        <v>2827</v>
      </c>
      <c r="D9" t="s">
        <v>382</v>
      </c>
      <c r="E9" s="47">
        <v>1</v>
      </c>
      <c r="F9" s="47">
        <v>0</v>
      </c>
      <c r="G9" s="47">
        <v>0</v>
      </c>
      <c r="H9" s="47">
        <v>2</v>
      </c>
    </row>
    <row r="10" spans="1:8" x14ac:dyDescent="0.2">
      <c r="A10" t="s">
        <v>1855</v>
      </c>
      <c r="B10" t="s">
        <v>2756</v>
      </c>
      <c r="C10" t="s">
        <v>2827</v>
      </c>
      <c r="D10" t="s">
        <v>382</v>
      </c>
      <c r="E10" s="47">
        <v>1</v>
      </c>
      <c r="F10" s="47">
        <v>0</v>
      </c>
      <c r="G10" s="47">
        <v>0</v>
      </c>
      <c r="H10" s="47">
        <v>4</v>
      </c>
    </row>
    <row r="11" spans="1:8" x14ac:dyDescent="0.2">
      <c r="A11" t="s">
        <v>1324</v>
      </c>
      <c r="B11" t="s">
        <v>2756</v>
      </c>
      <c r="C11" t="s">
        <v>2823</v>
      </c>
      <c r="D11" t="s">
        <v>382</v>
      </c>
      <c r="E11" s="47">
        <v>0</v>
      </c>
      <c r="F11" s="47">
        <v>1</v>
      </c>
      <c r="G11" s="47">
        <v>0</v>
      </c>
      <c r="H11" s="47">
        <v>1</v>
      </c>
    </row>
    <row r="12" spans="1:8" x14ac:dyDescent="0.2">
      <c r="A12" t="s">
        <v>1065</v>
      </c>
      <c r="B12" t="s">
        <v>2756</v>
      </c>
      <c r="C12" t="s">
        <v>2826</v>
      </c>
      <c r="D12" t="s">
        <v>382</v>
      </c>
      <c r="E12" s="47">
        <v>0</v>
      </c>
      <c r="F12" s="47">
        <v>0</v>
      </c>
      <c r="G12" s="47">
        <v>1</v>
      </c>
      <c r="H12" s="47">
        <v>4</v>
      </c>
    </row>
    <row r="13" spans="1:8" x14ac:dyDescent="0.2">
      <c r="A13" t="s">
        <v>905</v>
      </c>
      <c r="B13" t="s">
        <v>2756</v>
      </c>
      <c r="C13" t="s">
        <v>2824</v>
      </c>
      <c r="D13" t="s">
        <v>2834</v>
      </c>
      <c r="E13" s="47">
        <v>0</v>
      </c>
      <c r="F13" s="47">
        <v>0</v>
      </c>
      <c r="G13" s="47">
        <v>1</v>
      </c>
      <c r="H13" s="47">
        <v>4</v>
      </c>
    </row>
    <row r="14" spans="1:8" x14ac:dyDescent="0.2">
      <c r="A14" t="s">
        <v>529</v>
      </c>
      <c r="B14" t="s">
        <v>2756</v>
      </c>
      <c r="C14" t="s">
        <v>2827</v>
      </c>
      <c r="D14" t="s">
        <v>2830</v>
      </c>
      <c r="E14" s="47">
        <v>0</v>
      </c>
      <c r="F14" s="47">
        <v>0</v>
      </c>
      <c r="G14">
        <v>1</v>
      </c>
      <c r="H14" s="47">
        <v>7</v>
      </c>
    </row>
    <row r="15" spans="1:8" x14ac:dyDescent="0.2">
      <c r="A15" t="s">
        <v>2836</v>
      </c>
      <c r="B15" t="s">
        <v>2756</v>
      </c>
      <c r="C15" t="s">
        <v>2827</v>
      </c>
      <c r="D15" t="s">
        <v>2830</v>
      </c>
      <c r="E15" s="47">
        <v>0</v>
      </c>
      <c r="F15" s="47">
        <v>0</v>
      </c>
      <c r="G15" s="47">
        <v>1</v>
      </c>
      <c r="H15" s="47">
        <v>2</v>
      </c>
    </row>
    <row r="16" spans="1:8" x14ac:dyDescent="0.2">
      <c r="A16" t="s">
        <v>1518</v>
      </c>
      <c r="B16" t="s">
        <v>2756</v>
      </c>
      <c r="C16" t="s">
        <v>2823</v>
      </c>
      <c r="D16" t="s">
        <v>2830</v>
      </c>
      <c r="E16" s="47">
        <v>0</v>
      </c>
      <c r="F16" s="47">
        <v>0</v>
      </c>
      <c r="G16" s="47">
        <v>1</v>
      </c>
      <c r="H16" s="47">
        <v>7</v>
      </c>
    </row>
    <row r="17" spans="1:8" x14ac:dyDescent="0.2">
      <c r="A17" t="s">
        <v>1398</v>
      </c>
      <c r="B17" t="s">
        <v>2756</v>
      </c>
      <c r="C17" t="s">
        <v>2823</v>
      </c>
      <c r="D17" t="s">
        <v>382</v>
      </c>
      <c r="E17" s="47">
        <v>0</v>
      </c>
      <c r="F17" s="47">
        <v>1</v>
      </c>
      <c r="G17" s="47">
        <v>0</v>
      </c>
      <c r="H17" s="47">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2" sqref="B2"/>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s="76" t="s">
        <v>2725</v>
      </c>
      <c r="C2" t="s">
        <v>2757</v>
      </c>
      <c r="D2">
        <v>0</v>
      </c>
      <c r="E2">
        <v>0</v>
      </c>
      <c r="F2">
        <v>1</v>
      </c>
      <c r="G2">
        <v>8</v>
      </c>
    </row>
    <row r="3" spans="1:10" x14ac:dyDescent="0.2">
      <c r="B3" t="s">
        <v>2744</v>
      </c>
      <c r="C3" t="s">
        <v>2757</v>
      </c>
      <c r="D3">
        <v>1</v>
      </c>
      <c r="E3">
        <v>0</v>
      </c>
      <c r="F3">
        <v>0</v>
      </c>
      <c r="G3">
        <v>0</v>
      </c>
    </row>
    <row r="6" spans="1:10" x14ac:dyDescent="0.2">
      <c r="A6" t="s">
        <v>2832</v>
      </c>
      <c r="B6" s="76" t="s">
        <v>2794</v>
      </c>
      <c r="C6" t="s">
        <v>2756</v>
      </c>
      <c r="D6" t="s">
        <v>2829</v>
      </c>
      <c r="E6">
        <v>1</v>
      </c>
      <c r="F6" s="47"/>
      <c r="G6" s="47"/>
      <c r="H6">
        <v>1</v>
      </c>
      <c r="I6" s="47">
        <v>8</v>
      </c>
    </row>
    <row r="8" spans="1:10" x14ac:dyDescent="0.2">
      <c r="B8" t="s">
        <v>1846</v>
      </c>
      <c r="C8" t="s">
        <v>2756</v>
      </c>
      <c r="D8" t="s">
        <v>2827</v>
      </c>
      <c r="E8" t="s">
        <v>382</v>
      </c>
      <c r="F8" s="47">
        <v>1</v>
      </c>
      <c r="G8" s="47">
        <v>0</v>
      </c>
      <c r="H8" s="47">
        <v>0</v>
      </c>
      <c r="I8" s="47">
        <v>5</v>
      </c>
    </row>
    <row r="14" spans="1:10" x14ac:dyDescent="0.2">
      <c r="A14" s="105" t="s">
        <v>2833</v>
      </c>
      <c r="B14" s="105"/>
    </row>
    <row r="15" spans="1:10" x14ac:dyDescent="0.2">
      <c r="B15" t="s">
        <v>2831</v>
      </c>
      <c r="C15" s="52" t="s">
        <v>1415</v>
      </c>
      <c r="D15" t="s">
        <v>2756</v>
      </c>
      <c r="E15" t="s">
        <v>2824</v>
      </c>
      <c r="F15">
        <v>1</v>
      </c>
      <c r="G15" s="47"/>
      <c r="H15" s="47"/>
      <c r="I15" s="47">
        <v>1</v>
      </c>
      <c r="J15" s="47">
        <v>5</v>
      </c>
    </row>
    <row r="16" spans="1:10" x14ac:dyDescent="0.2">
      <c r="B16" t="s">
        <v>2831</v>
      </c>
      <c r="C16" s="52" t="s">
        <v>1316</v>
      </c>
      <c r="D16" t="s">
        <v>2756</v>
      </c>
      <c r="E16" t="s">
        <v>2824</v>
      </c>
      <c r="F16">
        <v>1</v>
      </c>
      <c r="G16" s="47"/>
      <c r="H16" s="47"/>
      <c r="I16" s="47">
        <v>1</v>
      </c>
      <c r="J16" s="47">
        <v>4</v>
      </c>
    </row>
    <row r="17" spans="2:10" x14ac:dyDescent="0.2">
      <c r="B17" t="s">
        <v>2831</v>
      </c>
      <c r="C17" s="52" t="s">
        <v>651</v>
      </c>
      <c r="D17" t="s">
        <v>2756</v>
      </c>
      <c r="E17" t="s">
        <v>2825</v>
      </c>
      <c r="F17">
        <v>1</v>
      </c>
      <c r="G17" s="47"/>
      <c r="H17" s="47"/>
      <c r="I17" s="47">
        <v>1</v>
      </c>
      <c r="J17" s="47">
        <v>6</v>
      </c>
    </row>
    <row r="18" spans="2:10" x14ac:dyDescent="0.2">
      <c r="B18" t="s">
        <v>2831</v>
      </c>
      <c r="C18" s="52" t="s">
        <v>1072</v>
      </c>
      <c r="D18" t="s">
        <v>2756</v>
      </c>
      <c r="E18" t="s">
        <v>2823</v>
      </c>
      <c r="F18" t="s">
        <v>2830</v>
      </c>
      <c r="G18" s="47"/>
      <c r="H18" s="47"/>
      <c r="I18" s="47">
        <v>1</v>
      </c>
      <c r="J18" s="47">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Report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2026-08-24T14:06:11Z</dcterms:modified>
</cp:coreProperties>
</file>