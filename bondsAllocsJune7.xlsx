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234BF731-43F0-B246-8F61-701FCAB5952D}" xr6:coauthVersionLast="47" xr6:coauthVersionMax="47" xr10:uidLastSave="{00000000-0000-0000-0000-000000000000}"/>
  <bookViews>
    <workbookView xWindow="160" yWindow="660" windowWidth="20260" windowHeight="22220" firstSheet="5" activeTab="11" xr2:uid="{8E6727E0-A9FB-8C40-9512-4989402EF6F9}"/>
  </bookViews>
  <sheets>
    <sheet name="README" sheetId="10" r:id="rId1"/>
    <sheet name="results" sheetId="11" r:id="rId2"/>
    <sheet name="Category words" sheetId="12" r:id="rId3"/>
    <sheet name="start and stop times" sheetId="13" r:id="rId4"/>
    <sheet name="Sheet3" sheetId="1" r:id="rId5"/>
    <sheet name="bondsJune7" sheetId="2" r:id="rId6"/>
    <sheet name="expected results" sheetId="3" r:id="rId7"/>
    <sheet name="allocationsJune7" sheetId="4" r:id="rId8"/>
    <sheet name="Sheet2" sheetId="5" r:id="rId9"/>
    <sheet name="Project timeline" sheetId="6" r:id="rId10"/>
    <sheet name="ground_truth_train" sheetId="7" r:id="rId11"/>
    <sheet name="manual_baseline" sheetId="9" r:id="rId12"/>
    <sheet name="rpts failing to execute" sheetId="8" r:id="rId13"/>
  </sheets>
  <definedNames>
    <definedName name="_xlnm._FilterDatabase" localSheetId="7" hidden="1">allocationsJune7!$A$2:$AC$2280</definedName>
    <definedName name="_xlnm._FilterDatabase" localSheetId="5" hidden="1">bondsJune7!$B$13:$AI$299</definedName>
    <definedName name="_xlnm._FilterDatabase" localSheetId="11" hidden="1">manual_baseline!$E$1:$J$18</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pivotCaches>
    <pivotCache cacheId="17" r:id="rId14"/>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4:slicerCache r:id="rId17"/>
        <x14:slicerCache r:id="rId18"/>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<sst xmlns="http://schemas.openxmlformats.org/spreadsheetml/2006/main" count="20324" uniqueCount="2857">
  <si>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</si>
  <si>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</si>
  <si>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</si>
  <si>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</si>
  <si>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</si>
  <si>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</si>
  <si>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</si>
  <si>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</si>
  <si>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</si>
  <si>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</si>
  <si>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</si>
  <si>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</si>
  <si>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</si>
  <si>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</si>
  <si>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</si>
  <si>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</si>
  <si>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</si>
  <si>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</si>
  <si>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</si>
  <si>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</si>
  <si>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</si>
  <si>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</si>
  <si>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</si>
  <si>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</si>
  <si>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</si>
  <si>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</si>
  <si>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</si>
  <si>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</si>
  <si>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</si>
  <si>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</si>
  <si>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</si>
  <si>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</si>
  <si>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</si>
  <si>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</si>
  <si>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</si>
  <si>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</si>
  <si>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</si>
  <si>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</si>
  <si>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</si>
  <si>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</si>
  <si>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</si>
  <si>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</si>
  <si>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</si>
  <si>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</si>
  <si>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</si>
  <si>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</si>
  <si>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</si>
  <si>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</si>
  <si>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</si>
  <si>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</si>
  <si>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</si>
  <si>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</si>
  <si>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</si>
  <si>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</si>
  <si>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</si>
  <si>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</si>
  <si>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</si>
  <si>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</si>
  <si>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</si>
  <si>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</si>
  <si>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</si>
  <si>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</si>
  <si>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</si>
  <si>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</si>
  <si>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</si>
  <si>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</si>
  <si>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</si>
  <si>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</si>
  <si>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</si>
  <si>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</si>
  <si>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</si>
  <si>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</si>
  <si>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</si>
  <si>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</si>
  <si>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</si>
  <si>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</si>
  <si>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</si>
  <si>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</si>
  <si>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</si>
  <si>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</si>
  <si>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</si>
  <si>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</si>
  <si>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</si>
  <si>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</si>
  <si>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</si>
  <si>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</si>
  <si>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</si>
  <si>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</si>
  <si>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</si>
  <si>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</si>
  <si>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</si>
  <si>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</si>
  <si>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</si>
  <si>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</si>
  <si>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</si>
  <si>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</si>
  <si>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</si>
  <si>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</si>
  <si>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</si>
  <si>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</si>
  <si>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</si>
  <si>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</si>
  <si>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</si>
  <si>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</si>
  <si>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</si>
  <si>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</si>
  <si>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</si>
  <si>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</si>
  <si>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</si>
  <si>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</si>
  <si>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</si>
  <si>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</si>
  <si>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</si>
  <si>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</si>
  <si>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</si>
  <si>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</si>
  <si>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</si>
  <si>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</si>
  <si>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</si>
  <si>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</si>
  <si>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</si>
  <si>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</si>
  <si>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</si>
  <si>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</si>
  <si>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</si>
  <si>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</si>
  <si>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</si>
  <si>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</si>
  <si>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</si>
  <si>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</si>
  <si>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</si>
  <si>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</si>
  <si>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</si>
  <si>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</si>
  <si>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</si>
  <si>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</si>
  <si>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</si>
  <si>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</si>
  <si>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</si>
  <si>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</si>
  <si>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</si>
  <si>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</si>
  <si>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</si>
  <si>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</si>
  <si>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</si>
  <si>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</si>
  <si>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</si>
  <si>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</si>
  <si>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</si>
  <si>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</si>
  <si>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</si>
  <si>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</si>
  <si>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</si>
  <si>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</si>
  <si>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</si>
  <si>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</si>
  <si>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</si>
  <si>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</si>
  <si>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</si>
  <si>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</si>
  <si>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</si>
  <si>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</si>
  <si>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</si>
  <si>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</si>
  <si>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</si>
  <si>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</si>
  <si>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</si>
  <si>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</si>
  <si>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</si>
  <si>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</si>
  <si>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</si>
  <si>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</si>
  <si>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</si>
  <si>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</si>
  <si>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</si>
  <si>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</si>
  <si>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</si>
  <si>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</si>
  <si>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</si>
  <si>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</si>
  <si>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</si>
  <si>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</si>
  <si>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</si>
  <si>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</si>
  <si>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</si>
  <si>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</si>
  <si>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</si>
  <si>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</si>
  <si>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</si>
  <si>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</si>
  <si>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</si>
  <si>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</si>
  <si>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</si>
  <si>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</si>
  <si>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</si>
  <si>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</si>
  <si>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</si>
  <si>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</si>
  <si>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</si>
  <si>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</si>
  <si>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</si>
  <si>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</si>
  <si>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</si>
  <si>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</si>
  <si>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</si>
  <si>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</si>
  <si>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</si>
  <si>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</si>
  <si>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</si>
  <si>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</si>
  <si>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</si>
  <si>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</si>
  <si>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</si>
  <si>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</si>
  <si>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</si>
  <si>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</si>
  <si>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</si>
  <si>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</si>
  <si>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</si>
  <si>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</si>
  <si>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</si>
  <si>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</si>
  <si>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</si>
  <si>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</si>
  <si>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</si>
  <si>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</si>
  <si>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</si>
  <si>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</si>
  <si>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</si>
  <si>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</si>
  <si>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</si>
  <si>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</si>
  <si>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</si>
  <si>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</si>
  <si>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</si>
  <si>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</si>
  <si>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</si>
  <si>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</si>
  <si>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</si>
  <si>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</si>
  <si>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</si>
  <si>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</si>
  <si>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</si>
  <si>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</si>
  <si>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</si>
  <si>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</si>
  <si>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</si>
  <si>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</si>
  <si>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</si>
  <si>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</si>
  <si>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</si>
  <si>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</si>
  <si>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</si>
  <si>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</si>
  <si>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</si>
  <si>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</si>
  <si>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</si>
  <si>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</si>
  <si>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</si>
  <si>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</si>
  <si>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</si>
  <si>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</si>
  <si>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</si>
  <si>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</si>
  <si>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</si>
  <si>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</si>
  <si>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</si>
  <si>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</si>
  <si>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</si>
  <si>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</si>
  <si>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</si>
  <si>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</si>
  <si>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</si>
  <si>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</si>
  <si>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</si>
  <si>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</si>
  <si>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</si>
  <si>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</si>
  <si>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</si>
  <si>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</si>
  <si>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</si>
  <si>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</si>
  <si>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</si>
  <si>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</si>
  <si>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</si>
  <si>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</si>
  <si>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</si>
  <si>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</si>
  <si>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</si>
  <si>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</si>
  <si>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</si>
  <si>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</si>
  <si>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</si>
  <si>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</si>
  <si>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</si>
  <si>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</si>
  <si>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</si>
  <si>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</si>
  <si>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</si>
  <si>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</si>
  <si>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</si>
  <si>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</si>
  <si>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</si>
  <si>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</si>
  <si>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</si>
  <si>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</si>
  <si>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</si>
  <si>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</si>
  <si>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</si>
  <si>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</si>
  <si>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</si>
  <si>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</si>
  <si>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</si>
  <si>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</si>
  <si>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</si>
  <si>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</si>
  <si>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</si>
  <si>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</si>
  <si>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</si>
  <si>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</si>
  <si>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</si>
  <si>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</si>
  <si>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</si>
  <si>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</si>
  <si>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</si>
  <si>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</si>
  <si>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</si>
  <si>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</si>
  <si>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</si>
  <si>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</si>
  <si>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</si>
  <si>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</si>
  <si>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</si>
  <si>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</si>
  <si>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</si>
  <si>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</si>
  <si>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</si>
  <si>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</si>
  <si>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</si>
  <si>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</si>
  <si>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</si>
  <si>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</si>
  <si>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</si>
  <si>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</si>
  <si>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</si>
  <si>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</si>
  <si>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</si>
  <si>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</si>
  <si>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</si>
  <si>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</si>
  <si>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</si>
  <si>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</si>
  <si>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</si>
  <si>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</si>
  <si>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</si>
  <si>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</si>
  <si>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</si>
  <si>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</si>
  <si>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</si>
  <si>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</si>
  <si>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</si>
  <si>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</si>
  <si>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</si>
  <si>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</si>
  <si>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</si>
  <si>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</si>
  <si>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</si>
  <si>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</si>
  <si>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</si>
  <si>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</si>
  <si>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</si>
  <si>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</si>
  <si>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</si>
  <si>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</si>
  <si>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</si>
  <si>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</si>
  <si>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</si>
  <si>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</si>
  <si>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</si>
  <si>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</si>
  <si>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</si>
  <si>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</si>
  <si>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</si>
  <si>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</si>
  <si>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</si>
  <si>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</si>
  <si>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</si>
  <si>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</si>
  <si>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</si>
  <si>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</si>
  <si>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</si>
  <si>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</si>
  <si>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</si>
  <si>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</si>
  <si>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</si>
  <si>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</si>
  <si>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</si>
  <si>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</si>
  <si>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</si>
  <si>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</si>
  <si>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</si>
  <si>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</si>
  <si>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</si>
  <si>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</si>
  <si>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</si>
  <si>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</si>
  <si>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</si>
  <si>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</si>
  <si>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</si>
  <si>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</si>
  <si>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</si>
  <si>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</si>
  <si>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</si>
  <si>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</si>
  <si>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</si>
  <si>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</si>
  <si>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</si>
  <si>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</si>
  <si>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</si>
  <si>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</si>
  <si>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</si>
  <si>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</si>
  <si>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</si>
  <si>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</si>
  <si>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</si>
  <si>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</si>
  <si>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</si>
  <si>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</si>
  <si>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</si>
  <si>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</si>
  <si>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</si>
  <si>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</si>
  <si>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</si>
  <si>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</si>
  <si>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</si>
  <si>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</si>
  <si>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</si>
  <si>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</si>
  <si>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</si>
  <si>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</si>
  <si>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</si>
  <si>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</si>
  <si>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</si>
  <si>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</si>
  <si>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</si>
  <si>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</si>
  <si>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</si>
  <si>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</si>
  <si>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</si>
  <si>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</si>
  <si>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</si>
  <si>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</si>
  <si>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</si>
  <si>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</si>
  <si>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</si>
  <si>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</si>
  <si>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</si>
  <si>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</si>
  <si>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</si>
  <si>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</si>
  <si>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</si>
  <si>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</si>
  <si>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</si>
  <si>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</si>
  <si>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</si>
  <si>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</si>
  <si>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</si>
  <si>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</si>
  <si>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</si>
  <si>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</si>
  <si>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</si>
  <si>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</si>
  <si>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</si>
  <si>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</si>
  <si>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</si>
  <si>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</si>
  <si>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</si>
  <si>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</si>
  <si>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</si>
  <si>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</si>
  <si>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</si>
  <si>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</si>
  <si>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</si>
  <si>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</si>
  <si>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</si>
  <si>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</si>
  <si>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</si>
  <si>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</si>
  <si>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</si>
  <si>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</si>
  <si>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</si>
  <si>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</si>
  <si>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</si>
  <si>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</si>
  <si>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</si>
  <si>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</si>
  <si>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</si>
  <si>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</si>
  <si>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</si>
  <si>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</si>
  <si>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</si>
  <si>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</si>
  <si>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</si>
  <si>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</si>
  <si>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</si>
  <si>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</si>
  <si>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</si>
  <si>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</si>
  <si>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</si>
  <si>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</si>
  <si>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</si>
  <si>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</si>
  <si>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</si>
  <si>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</si>
  <si>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</si>
  <si>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</si>
  <si>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</si>
  <si>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</si>
  <si>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</si>
  <si>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</si>
  <si>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</si>
  <si>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</si>
  <si>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</si>
  <si>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</si>
  <si>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</si>
  <si>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</si>
  <si>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</si>
  <si>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</si>
  <si>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</si>
  <si>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</si>
  <si>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</si>
  <si>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</si>
  <si>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</si>
  <si>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</si>
  <si>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</si>
  <si>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</si>
  <si>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</si>
  <si>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</si>
  <si>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</si>
  <si>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</si>
  <si>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</si>
  <si>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</si>
  <si>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</si>
  <si>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</si>
  <si>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</si>
  <si>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</si>
  <si>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</si>
  <si>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</si>
  <si>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</si>
  <si>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</si>
  <si>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</si>
  <si>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</si>
  <si>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</si>
  <si>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</si>
  <si>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</si>
  <si>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</si>
  <si>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</si>
  <si>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</si>
  <si>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</si>
  <si>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</si>
  <si>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</si>
  <si>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</si>
  <si>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</si>
  <si>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</si>
  <si>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</si>
  <si>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</si>
  <si>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</si>
  <si>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</si>
  <si>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</si>
  <si>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</si>
  <si>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</si>
  <si>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</si>
  <si>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</si>
  <si>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</si>
  <si>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</si>
  <si>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</si>
  <si>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</si>
  <si>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</si>
  <si>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</si>
  <si>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</si>
  <si>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</si>
  <si>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</si>
  <si>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</si>
  <si>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</si>
  <si>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</si>
  <si>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</si>
  <si>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</si>
  <si>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</si>
  <si>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</si>
  <si>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</si>
  <si>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</si>
  <si>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</si>
  <si>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</si>
  <si>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</si>
  <si>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</si>
  <si>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</si>
  <si>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</si>
  <si>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</si>
  <si>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</si>
  <si>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</si>
  <si>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</si>
  <si>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</si>
  <si>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</si>
  <si>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</si>
  <si>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</si>
  <si>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</si>
  <si>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</si>
  <si>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</si>
  <si>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</si>
  <si>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</si>
  <si>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</si>
  <si>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</si>
  <si>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</si>
  <si>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</si>
  <si>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</si>
  <si>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</si>
  <si>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</si>
  <si>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</si>
  <si>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</si>
  <si>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</si>
  <si>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</si>
  <si>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</si>
  <si>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</si>
  <si>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</si>
  <si>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</si>
  <si>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</si>
  <si>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</si>
  <si>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</si>
  <si>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</si>
  <si>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</si>
  <si>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</si>
  <si>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</si>
  <si>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</si>
  <si>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</si>
  <si>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</si>
  <si>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</si>
  <si>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</si>
  <si>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</si>
  <si>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</si>
  <si>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</si>
  <si>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</si>
  <si>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</si>
  <si>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</si>
  <si>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</si>
  <si>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</si>
  <si>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</si>
  <si>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</si>
  <si>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</si>
  <si>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</si>
  <si>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</si>
  <si>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</si>
  <si>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</si>
  <si>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</si>
  <si>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</si>
  <si>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</si>
  <si>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</si>
  <si>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</si>
  <si>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</si>
  <si>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</si>
  <si>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</si>
  <si>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</si>
  <si>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</si>
  <si>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</si>
  <si>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</si>
  <si>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</si>
  <si>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</si>
  <si>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</si>
  <si>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</si>
  <si>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</si>
  <si>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</si>
  <si>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</si>
  <si>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</si>
  <si>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</si>
  <si>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</si>
  <si>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</si>
  <si>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</si>
  <si>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</si>
  <si>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</si>
  <si>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</si>
  <si>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</si>
  <si>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</si>
  <si>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</si>
  <si>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</si>
  <si>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</si>
  <si>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</si>
  <si>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</si>
  <si>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</si>
  <si>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</si>
  <si>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</si>
  <si>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</si>
  <si>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</si>
  <si>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</si>
  <si>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</si>
  <si>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</si>
  <si>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</si>
  <si>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</si>
  <si>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</si>
  <si>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</si>
  <si>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</si>
  <si>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</si>
  <si>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</si>
  <si>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</si>
  <si>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</si>
  <si>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</si>
  <si>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</si>
  <si>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</si>
  <si>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</si>
  <si>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</si>
  <si>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</si>
  <si>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</si>
  <si>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</si>
  <si>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</si>
  <si>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</si>
  <si>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</si>
  <si>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</si>
  <si>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</si>
  <si>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</si>
  <si>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</si>
  <si>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</si>
  <si>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</si>
  <si>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</si>
  <si>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</si>
  <si>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</si>
  <si>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</si>
  <si>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</si>
  <si>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</si>
  <si>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</si>
  <si>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</si>
  <si>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</si>
  <si>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</si>
  <si>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</si>
  <si>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</si>
  <si>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</si>
  <si>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</si>
  <si>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</si>
  <si>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</si>
  <si>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</si>
  <si>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</si>
  <si>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</si>
  <si>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</si>
  <si>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</si>
  <si>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</si>
  <si>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</si>
  <si>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</si>
  <si>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</si>
  <si>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</si>
  <si>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</si>
  <si>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</si>
  <si>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</si>
  <si>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</si>
  <si>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</si>
  <si>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</si>
  <si>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</si>
  <si>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</si>
  <si>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</si>
  <si>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</si>
  <si>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</si>
  <si>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</si>
  <si>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</si>
  <si>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</si>
  <si>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</si>
  <si>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</si>
  <si>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</si>
  <si>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</si>
  <si>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</si>
  <si>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</si>
  <si>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</si>
  <si>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</si>
  <si>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</si>
  <si>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</si>
  <si>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</si>
  <si>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</si>
  <si>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</si>
  <si>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</si>
  <si>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</si>
  <si>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</si>
  <si>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</si>
  <si>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</si>
  <si>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</si>
  <si>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</si>
  <si>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</si>
  <si>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</si>
  <si>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</si>
  <si>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</si>
  <si>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</si>
  <si>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</si>
  <si>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</si>
  <si>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</si>
  <si>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</si>
  <si>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</si>
  <si>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</si>
  <si>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</si>
  <si>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</si>
  <si>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</si>
  <si>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</si>
  <si>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</si>
  <si>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</si>
  <si>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</si>
  <si>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</si>
  <si>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</si>
  <si>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</si>
  <si>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</si>
  <si>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</si>
  <si>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</si>
  <si>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</si>
  <si>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</si>
  <si>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</si>
  <si>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</si>
  <si>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</si>
  <si>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</si>
  <si>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</si>
  <si>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</si>
  <si>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</si>
  <si>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</si>
  <si>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</si>
  <si>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</si>
  <si>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</si>
  <si>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</si>
  <si>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</si>
  <si>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</si>
  <si>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</si>
  <si>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</si>
  <si>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</si>
  <si>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</si>
  <si>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</si>
  <si>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</si>
  <si>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</si>
  <si>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</si>
  <si>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</si>
  <si>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</si>
  <si>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</si>
  <si>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</si>
  <si>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</si>
  <si>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</si>
  <si>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</si>
  <si>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</si>
  <si>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</si>
  <si>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</si>
  <si>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</si>
  <si>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</si>
  <si>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</si>
  <si>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</si>
  <si>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</si>
  <si>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</si>
  <si>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</si>
  <si>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</si>
  <si>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</si>
  <si>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</si>
  <si>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</si>
  <si>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</si>
  <si>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</si>
  <si>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</si>
  <si>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</si>
  <si>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</si>
  <si>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</si>
  <si>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</si>
  <si>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</si>
  <si>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</si>
  <si>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</si>
  <si>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</si>
  <si>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</si>
  <si>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</si>
  <si>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</si>
  <si>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</si>
  <si>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</si>
  <si>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</si>
  <si>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</si>
  <si>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</si>
  <si>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</si>
  <si>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</si>
  <si>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</si>
  <si>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</si>
  <si>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</si>
  <si>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</si>
  <si>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</si>
  <si>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</si>
  <si>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</si>
  <si>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</si>
  <si>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</si>
  <si>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</si>
  <si>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</si>
  <si>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</si>
  <si>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</si>
  <si>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</si>
  <si>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</si>
  <si>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</si>
  <si>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</si>
  <si>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</si>
  <si>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</si>
  <si>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</si>
  <si>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</si>
  <si>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</si>
  <si>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</si>
  <si>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</si>
  <si>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</si>
  <si>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</si>
  <si>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</si>
  <si>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</si>
  <si>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</si>
  <si>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</si>
  <si>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</si>
  <si>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</si>
  <si>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</si>
  <si>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</si>
  <si>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</si>
  <si>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</si>
  <si>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</si>
  <si>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</si>
  <si>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</si>
  <si>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</si>
  <si>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</si>
  <si>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</si>
  <si>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</si>
  <si>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</si>
  <si>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</si>
  <si>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</si>
  <si>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</si>
  <si>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</si>
  <si>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</si>
  <si>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</si>
  <si>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</si>
  <si>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</si>
  <si>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</si>
  <si>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</si>
  <si>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</si>
  <si>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</si>
  <si>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</si>
  <si>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</si>
  <si>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</si>
  <si>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</si>
  <si>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</si>
  <si>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</si>
  <si>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</si>
  <si>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</si>
  <si>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</si>
  <si>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</si>
  <si>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</si>
  <si>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</si>
  <si>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</si>
  <si>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</si>
  <si>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</si>
  <si>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</si>
  <si>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</si>
  <si>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</si>
  <si>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</si>
  <si>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</si>
  <si>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</si>
  <si>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</si>
  <si>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</si>
  <si>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</si>
  <si>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</si>
  <si>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</si>
  <si>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</si>
  <si>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</si>
  <si>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</si>
  <si>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</si>
  <si>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</si>
  <si>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</si>
  <si>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</si>
  <si>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</si>
  <si>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</si>
  <si>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</si>
  <si>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</si>
  <si>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</si>
  <si>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</si>
  <si>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</si>
  <si>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</si>
  <si>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</si>
  <si>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</si>
  <si>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</si>
  <si>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</si>
  <si>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</si>
  <si>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</si>
  <si>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</si>
  <si>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</si>
  <si>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</si>
  <si>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</si>
  <si>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</si>
  <si>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</si>
  <si>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</si>
  <si>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</si>
  <si>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</si>
  <si>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</si>
  <si>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</si>
  <si>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</si>
  <si>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</si>
  <si>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</si>
  <si>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</si>
  <si>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</si>
  <si>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</si>
  <si>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</si>
  <si>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</si>
  <si>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</si>
  <si>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</si>
  <si>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</si>
  <si>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</si>
  <si>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</si>
  <si>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</si>
  <si>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</si>
  <si>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</si>
  <si>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</si>
  <si>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</si>
  <si>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</si>
  <si>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</si>
  <si>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</si>
  <si>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</si>
  <si>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</si>
  <si>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</si>
  <si>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</si>
  <si>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</si>
  <si>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</si>
  <si>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</si>
  <si>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</si>
  <si>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</si>
  <si>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</si>
  <si>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</si>
  <si>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</si>
  <si>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</si>
  <si>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</si>
  <si>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</si>
  <si>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</si>
  <si>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</si>
  <si>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</si>
  <si>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</si>
  <si>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</si>
  <si>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</si>
  <si>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</si>
  <si>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</si>
  <si>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</si>
  <si>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</si>
  <si>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</si>
  <si>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</si>
  <si>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</si>
  <si>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</si>
  <si>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</si>
  <si>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</si>
  <si>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</si>
  <si>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</si>
  <si>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</si>
  <si>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</si>
  <si>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</si>
  <si>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</si>
  <si>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</si>
  <si>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</si>
  <si>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</si>
  <si>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</si>
  <si>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</si>
  <si>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</si>
  <si>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</si>
  <si>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</si>
  <si>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</si>
  <si>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</si>
  <si>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</si>
  <si>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</si>
  <si>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</si>
  <si>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</si>
  <si>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</si>
  <si>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</si>
  <si>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</si>
  <si>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</si>
  <si>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</si>
  <si>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</si>
  <si>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</si>
  <si>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</si>
  <si>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</si>
  <si>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</si>
  <si>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</si>
  <si>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</si>
  <si>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</si>
  <si>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</si>
  <si>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</si>
  <si>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</si>
  <si>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</si>
  <si>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</si>
  <si>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</si>
  <si>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</si>
  <si>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</si>
  <si>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</si>
  <si>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</si>
  <si>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</si>
  <si>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</si>
  <si>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</si>
  <si>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</si>
  <si>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</si>
  <si>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</si>
  <si>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</si>
  <si>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</si>
  <si>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</si>
  <si>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</si>
  <si>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</si>
  <si>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</si>
  <si>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</si>
  <si>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</si>
  <si>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</si>
  <si>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</si>
  <si>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</si>
  <si>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</si>
  <si>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</si>
  <si>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</si>
  <si>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</si>
  <si>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</si>
  <si>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</si>
  <si>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</si>
  <si>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</si>
  <si>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</si>
  <si>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</si>
  <si>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</si>
  <si>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</si>
  <si>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</si>
  <si>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</si>
  <si>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</si>
  <si>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</si>
  <si>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</si>
  <si>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</si>
  <si>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</si>
  <si>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</si>
  <si>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</si>
  <si>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</si>
  <si>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</si>
  <si>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</si>
  <si>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</si>
  <si>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</si>
  <si>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</si>
  <si>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</si>
  <si>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</si>
  <si>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</si>
  <si>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</si>
  <si>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</si>
  <si>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</si>
  <si>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</si>
  <si>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</si>
  <si>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</si>
  <si>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</si>
  <si>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</si>
  <si>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</si>
  <si>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</si>
  <si>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</si>
  <si>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</si>
  <si>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</si>
  <si>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</si>
  <si>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</si>
  <si>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</si>
  <si>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</si>
  <si>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</si>
  <si>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</si>
  <si>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</si>
  <si>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</si>
  <si>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</si>
  <si>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</si>
  <si>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</si>
  <si>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</si>
  <si>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</si>
  <si>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</si>
  <si>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</si>
  <si>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</si>
  <si>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</si>
  <si>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</si>
  <si>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</si>
  <si>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</si>
  <si>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</si>
  <si>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</si>
  <si>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</si>
  <si>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</si>
  <si>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</si>
  <si>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</si>
  <si>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</si>
  <si>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</si>
  <si>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</si>
  <si>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</si>
  <si>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</si>
  <si>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</si>
  <si>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</si>
  <si>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</si>
  <si>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</si>
  <si>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</si>
  <si>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</si>
  <si>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</si>
  <si>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</si>
  <si>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</si>
  <si>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</si>
  <si>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</si>
  <si>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</si>
  <si>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</si>
  <si>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</si>
  <si>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</si>
  <si>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</si>
  <si>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</si>
  <si>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</si>
  <si>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</si>
  <si>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</si>
  <si>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</si>
  <si>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</si>
  <si>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</si>
  <si>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</si>
  <si>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</si>
  <si>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</si>
  <si>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</si>
  <si>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</si>
  <si>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</si>
  <si>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</si>
  <si>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</si>
  <si>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</si>
  <si>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</si>
  <si>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</si>
  <si>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</si>
  <si>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</si>
  <si>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</si>
  <si>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</si>
  <si>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</si>
  <si>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</si>
  <si>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</si>
  <si>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</si>
  <si>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</si>
  <si>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</si>
  <si>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</si>
  <si>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</si>
  <si>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</si>
  <si>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</si>
  <si>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</si>
  <si>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</si>
  <si>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</si>
  <si>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</si>
  <si>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</si>
  <si>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</si>
  <si>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</si>
  <si>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</si>
  <si>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</si>
  <si>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</si>
  <si>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</si>
  <si>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</si>
  <si>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</si>
  <si>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</si>
  <si>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</si>
  <si>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</si>
  <si>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</si>
  <si>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</si>
  <si>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</si>
  <si>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</si>
  <si>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</si>
  <si>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</si>
  <si>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</si>
  <si>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</si>
  <si>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</si>
  <si>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</si>
  <si>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</si>
  <si>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</si>
  <si>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</si>
  <si>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</si>
  <si>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</si>
  <si>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</si>
  <si>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</si>
  <si>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</si>
  <si>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</si>
  <si>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</si>
  <si>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</si>
  <si>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</si>
  <si>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</si>
  <si>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</si>
  <si>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</si>
  <si>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</si>
  <si>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</si>
  <si>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</si>
  <si>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</si>
  <si>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</si>
  <si>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</si>
  <si>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</si>
  <si>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</si>
  <si>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</si>
  <si>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</si>
  <si>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</si>
  <si>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</si>
  <si>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</si>
  <si>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</si>
  <si>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</si>
  <si>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</si>
  <si>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</si>
  <si>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</si>
  <si>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</si>
  <si>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</si>
  <si>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</si>
  <si>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</si>
  <si>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</si>
  <si>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</si>
  <si>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</si>
  <si>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</si>
  <si>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</si>
  <si>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</si>
  <si>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</si>
  <si>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</si>
  <si>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</si>
  <si>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</si>
  <si>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</si>
  <si>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</si>
  <si>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</si>
  <si>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</si>
  <si>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</si>
  <si>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</si>
  <si>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</si>
  <si>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</si>
  <si>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</si>
  <si>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</si>
  <si>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</si>
  <si>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</si>
  <si>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</si>
  <si>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</si>
  <si>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</si>
  <si>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</si>
  <si>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</si>
  <si>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</si>
  <si>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</si>
  <si>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</si>
  <si>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</si>
  <si>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</si>
  <si>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</si>
  <si>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</si>
  <si>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</si>
  <si>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</si>
  <si>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</si>
  <si>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</si>
  <si>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</si>
  <si>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</si>
  <si>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</si>
  <si>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</si>
  <si>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</si>
  <si>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</si>
  <si>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</si>
  <si>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</si>
  <si>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</si>
  <si>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</si>
  <si>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</si>
  <si>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</si>
  <si>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</si>
  <si>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</si>
  <si>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</si>
  <si>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</si>
  <si>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</si>
  <si>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</si>
  <si>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</si>
  <si>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</si>
  <si>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</si>
  <si>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</si>
  <si>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</si>
  <si>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</si>
  <si>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</si>
  <si>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</si>
  <si>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</si>
  <si>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</si>
  <si>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</si>
  <si>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</si>
  <si>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</si>
  <si>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</si>
  <si>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</si>
  <si>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</si>
  <si>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</si>
  <si>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</si>
  <si>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</si>
  <si>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</si>
  <si>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</si>
  <si>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</si>
  <si>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</si>
  <si>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</si>
  <si>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</si>
  <si>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</si>
  <si>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</si>
  <si>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</si>
  <si>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</si>
  <si>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</si>
  <si>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</si>
  <si>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</si>
  <si>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</si>
  <si>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</si>
  <si>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</si>
  <si>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</si>
  <si>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</si>
  <si>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</si>
  <si>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</si>
  <si>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</si>
  <si>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</si>
  <si>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</si>
  <si>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</si>
  <si>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</si>
  <si>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</si>
  <si>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</si>
  <si>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</si>
  <si>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</si>
  <si>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</si>
  <si>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</si>
  <si>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</si>
  <si>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</si>
  <si>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</si>
  <si>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</si>
  <si>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</si>
  <si>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</si>
  <si>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</si>
  <si>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</si>
  <si>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</si>
  <si>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</si>
  <si>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</si>
  <si>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</si>
  <si>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</si>
  <si>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</si>
  <si>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</si>
  <si>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</si>
  <si>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</si>
  <si>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</si>
  <si>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</si>
  <si>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</si>
  <si>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</si>
  <si>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</si>
  <si>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</si>
  <si>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</si>
  <si>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</si>
  <si>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</si>
  <si>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</si>
  <si>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</si>
  <si>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</si>
  <si>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</si>
  <si>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</si>
  <si>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</si>
  <si>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</si>
  <si>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</si>
  <si>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</si>
  <si>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</si>
  <si>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</si>
  <si>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</si>
  <si>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</si>
  <si>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</si>
  <si>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</si>
  <si>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</si>
  <si>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</si>
  <si>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</si>
  <si>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</si>
  <si>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</si>
  <si>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</si>
  <si>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</si>
  <si>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</si>
  <si>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</si>
  <si>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</si>
  <si>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</si>
  <si>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</si>
  <si>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</si>
  <si>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</si>
  <si>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</si>
  <si>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</si>
  <si>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</si>
  <si>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</si>
  <si>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</si>
  <si>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</si>
  <si>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</si>
  <si>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</si>
  <si>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</si>
  <si>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</si>
  <si>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</si>
  <si>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</si>
  <si>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</si>
  <si>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</si>
  <si>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</si>
  <si>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</si>
  <si>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</si>
  <si>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</si>
  <si>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</si>
  <si>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</si>
  <si>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</si>
  <si>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</si>
  <si>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</si>
  <si>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</si>
  <si>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</si>
  <si>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</si>
  <si>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</si>
  <si>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</si>
  <si>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</si>
  <si>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</si>
  <si>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</si>
  <si>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</si>
  <si>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</si>
  <si>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</si>
  <si>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</si>
  <si>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</si>
  <si>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</si>
  <si>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</si>
  <si>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</si>
  <si>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</si>
  <si>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</si>
  <si>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</si>
  <si>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</si>
  <si>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</si>
  <si>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</si>
  <si>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</si>
  <si>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</si>
  <si>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</si>
  <si>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</si>
  <si>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</si>
  <si>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</si>
  <si>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</si>
  <si>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</si>
  <si>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</si>
  <si>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</si>
  <si>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</si>
  <si>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</si>
  <si>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</si>
  <si>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</si>
  <si>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</si>
  <si>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</si>
  <si>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</si>
  <si>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</si>
  <si>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</si>
  <si>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</si>
  <si>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</si>
  <si>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</si>
  <si>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</si>
  <si>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</si>
  <si>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</si>
  <si>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</si>
  <si>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</si>
  <si>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</si>
  <si>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</si>
  <si>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</si>
  <si>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</si>
  <si>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</si>
  <si>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</si>
  <si>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</si>
  <si>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</si>
  <si>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</si>
  <si>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</si>
  <si>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</si>
  <si>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</si>
  <si>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</si>
  <si>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</si>
  <si>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</si>
  <si>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</si>
  <si>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</si>
  <si>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</si>
  <si>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</si>
  <si>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</si>
  <si>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</si>
  <si>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</si>
  <si>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</si>
  <si>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</si>
  <si>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</si>
  <si>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</si>
  <si>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</si>
  <si>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</si>
  <si>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</si>
  <si>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</si>
  <si>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</si>
  <si>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</si>
  <si>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</si>
  <si>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</si>
  <si>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</si>
  <si>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</si>
  <si>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</si>
  <si>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</si>
  <si>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</si>
  <si>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</si>
  <si>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</si>
  <si>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</si>
  <si>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</si>
  <si>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</si>
  <si>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</si>
  <si>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</si>
  <si>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</si>
  <si>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</si>
  <si>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</si>
  <si>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</si>
  <si>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</si>
  <si>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</si>
  <si>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</si>
  <si>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</si>
  <si>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</si>
  <si>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</si>
  <si>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</si>
  <si>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</si>
  <si>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</si>
  <si>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</si>
  <si>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</si>
  <si>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</si>
  <si>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</si>
  <si>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</si>
  <si>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</si>
  <si>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</si>
  <si>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</si>
  <si>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</si>
  <si>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</si>
  <si>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</si>
  <si>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</si>
  <si>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</si>
  <si>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</si>
  <si>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</si>
  <si>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</si>
  <si>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</si>
  <si>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</si>
  <si>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</si>
  <si>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</si>
  <si>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</si>
  <si>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</si>
  <si>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</si>
  <si>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</si>
  <si>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</si>
  <si>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</si>
  <si>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</si>
  <si>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</si>
  <si>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</si>
  <si>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</si>
  <si>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</si>
  <si>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</si>
  <si>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</si>
  <si>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</si>
  <si>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</si>
  <si>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</si>
  <si>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</si>
  <si>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</si>
  <si>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</si>
  <si>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</si>
  <si>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</si>
  <si>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</si>
  <si>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</si>
  <si>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</si>
  <si>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</si>
  <si>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</si>
  <si>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</si>
  <si>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</si>
  <si>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</si>
  <si>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</si>
  <si>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</si>
  <si>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</si>
  <si>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</si>
  <si>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</si>
  <si>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</si>
  <si>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</si>
  <si>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</si>
  <si>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</si>
  <si>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</si>
  <si>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</si>
  <si>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</si>
  <si>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</si>
  <si>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</si>
  <si>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</si>
  <si>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</si>
  <si>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</si>
  <si>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</si>
  <si>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</si>
  <si>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</si>
  <si>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</si>
  <si>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</si>
  <si>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</si>
  <si>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</si>
  <si>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</si>
  <si>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</si>
  <si>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</si>
  <si>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</si>
  <si>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</si>
  <si>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</si>
  <si>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</si>
  <si>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</si>
  <si>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</si>
  <si>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</si>
  <si>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</si>
  <si>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</si>
  <si>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</si>
  <si>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</si>
  <si>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</si>
  <si>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</si>
  <si>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</si>
  <si>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</si>
  <si>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</si>
  <si>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</si>
  <si>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</si>
  <si>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</si>
  <si>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</si>
  <si>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</si>
  <si>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</si>
  <si>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</si>
  <si>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</si>
  <si>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</si>
  <si>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</si>
  <si>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</si>
  <si>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</si>
  <si>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</si>
  <si>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</si>
  <si>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</si>
  <si>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</si>
  <si>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</si>
  <si>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</si>
  <si>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</si>
  <si>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</si>
  <si>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</si>
  <si>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</si>
  <si>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</si>
  <si>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</si>
  <si>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</si>
  <si>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</si>
  <si>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</si>
  <si>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</si>
  <si>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</si>
  <si>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</si>
  <si>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</si>
  <si>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</si>
  <si>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</si>
  <si>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</si>
  <si>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</si>
  <si>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</si>
  <si>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</si>
  <si>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</si>
  <si>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</si>
  <si>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</si>
  <si>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</si>
  <si>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</si>
  <si>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</si>
  <si>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</si>
  <si>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</si>
  <si>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</si>
  <si>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</si>
  <si>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</si>
  <si>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</si>
  <si>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</si>
  <si>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</si>
  <si>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</si>
  <si>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</si>
  <si>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</si>
  <si>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</si>
  <si>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</si>
  <si>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</si>
  <si>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</si>
  <si>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</si>
  <si>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</si>
  <si>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</si>
  <si>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</si>
  <si>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</si>
  <si>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</si>
  <si>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</si>
  <si>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</si>
  <si>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</si>
  <si>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</si>
  <si>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</si>
  <si>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</si>
  <si>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</si>
  <si>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</si>
  <si>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</si>
  <si>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</si>
  <si>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</si>
  <si>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</si>
  <si>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</si>
  <si>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</si>
  <si>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</si>
  <si>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</si>
  <si>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</si>
  <si>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</si>
  <si>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</si>
  <si>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</si>
  <si>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</si>
  <si>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</si>
  <si>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</si>
  <si>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</si>
  <si>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</si>
  <si>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</si>
  <si>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</si>
  <si>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</si>
  <si>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</si>
  <si>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</si>
  <si>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</si>
  <si>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</si>
  <si>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</si>
  <si>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</si>
  <si>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</si>
  <si>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</si>
  <si>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</si>
  <si>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</si>
  <si>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</si>
  <si>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</si>
  <si>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</si>
  <si>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</si>
  <si>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</si>
  <si>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</si>
  <si>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</si>
  <si>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</si>
  <si>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</si>
  <si>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</si>
  <si>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</si>
  <si>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</si>
  <si>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</si>
  <si>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</si>
  <si>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</si>
  <si>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</si>
  <si>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</si>
  <si>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</si>
  <si>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</si>
  <si>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</si>
  <si>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</si>
  <si>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</si>
  <si>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</si>
  <si>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</si>
  <si>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</si>
  <si>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</si>
  <si>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</si>
  <si>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</si>
  <si>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</si>
  <si>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</si>
  <si>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</si>
  <si>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</si>
  <si>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</si>
  <si>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</si>
  <si>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</si>
  <si>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</si>
  <si>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</si>
  <si>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</si>
  <si>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</si>
  <si>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</si>
  <si>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</si>
  <si>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</si>
  <si>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</si>
  <si>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</si>
  <si>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</si>
  <si>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</si>
  <si>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</si>
  <si>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</si>
  <si>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</si>
  <si>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</si>
  <si>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</si>
  <si>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</si>
  <si>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</si>
  <si>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</si>
  <si>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</si>
  <si>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</si>
  <si>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</si>
  <si>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</si>
  <si>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</si>
  <si>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</si>
  <si>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</si>
  <si>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</si>
  <si>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</si>
  <si>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</si>
  <si>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</si>
  <si>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</si>
  <si>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</si>
  <si>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</si>
  <si>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</si>
  <si>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</si>
  <si>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</si>
  <si>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</si>
  <si>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</si>
  <si>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</si>
  <si>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</si>
  <si>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</si>
  <si>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</si>
  <si>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</si>
  <si>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</si>
  <si>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</si>
  <si>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</si>
  <si>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</si>
  <si>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</si>
  <si>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</si>
  <si>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</si>
  <si>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</si>
  <si>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</si>
  <si>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</si>
  <si>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</si>
  <si>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</si>
  <si>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</si>
  <si>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</si>
  <si>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</si>
  <si>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</si>
  <si>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</si>
  <si>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</si>
  <si>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</si>
  <si>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</si>
  <si>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</si>
  <si>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</si>
  <si>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</si>
  <si>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</si>
  <si>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</si>
  <si>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</si>
  <si>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</si>
  <si>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</si>
  <si>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</si>
  <si>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</si>
  <si>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</si>
  <si>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</si>
  <si>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</si>
  <si>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</si>
  <si>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</si>
  <si>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</si>
  <si>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</si>
  <si>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</si>
  <si>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</si>
  <si>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</si>
  <si>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</si>
  <si>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</si>
  <si>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</si>
  <si>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</si>
  <si>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</si>
  <si>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</si>
  <si>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</si>
  <si>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</si>
  <si>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</si>
  <si>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</si>
  <si>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</si>
  <si>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</si>
  <si>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</si>
  <si>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</si>
  <si>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</si>
  <si>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</si>
  <si>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</si>
  <si>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</si>
  <si>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</si>
  <si>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</si>
  <si>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</si>
  <si>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</si>
  <si>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</si>
  <si>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</si>
  <si>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</si>
  <si>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</si>
  <si>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</si>
  <si>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</si>
  <si>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</si>
  <si>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</si>
  <si>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</si>
  <si>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</si>
  <si>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</si>
  <si>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</si>
  <si>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</si>
  <si>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</si>
  <si>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</si>
  <si>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</si>
  <si>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</si>
  <si>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</si>
  <si>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</si>
  <si>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</si>
  <si>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</si>
  <si>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</si>
  <si>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</si>
  <si>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</si>
  <si>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</si>
  <si>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</si>
  <si>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</si>
  <si>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</si>
  <si>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</si>
  <si>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</si>
  <si>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</si>
  <si>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</si>
  <si>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</si>
  <si>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</si>
  <si>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</si>
  <si>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</si>
  <si>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</si>
  <si>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</si>
  <si>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</si>
  <si>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</si>
  <si>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</si>
  <si>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</si>
  <si>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</si>
  <si>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</si>
  <si>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</si>
  <si>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</si>
  <si>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</si>
  <si>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</si>
  <si>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</si>
  <si>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</si>
  <si>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</si>
  <si>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</si>
  <si>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</si>
  <si>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</si>
  <si>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</si>
  <si>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</si>
  <si>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</si>
  <si>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</si>
  <si>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</si>
  <si>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</si>
  <si>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</si>
  <si>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</si>
  <si>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</si>
  <si>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</si>
  <si>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</si>
  <si>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</si>
  <si>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</si>
  <si>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</si>
  <si>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</si>
  <si>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</si>
  <si>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</si>
  <si>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</si>
  <si>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</si>
  <si>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</si>
  <si>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</si>
  <si>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</si>
  <si>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</si>
  <si>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</si>
  <si>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</si>
  <si>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</si>
  <si>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</si>
  <si>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</si>
  <si>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</si>
  <si>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</si>
  <si>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</si>
  <si>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</si>
  <si>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</si>
  <si>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</si>
  <si>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</si>
  <si>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</si>
  <si>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</si>
  <si>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</si>
  <si>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</si>
  <si>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</si>
  <si>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</si>
  <si>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</si>
  <si>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</si>
  <si>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</si>
  <si>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</si>
  <si>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</si>
  <si>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</si>
  <si>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</si>
  <si>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</si>
  <si>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</si>
  <si>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</si>
  <si>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</si>
  <si>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</si>
  <si>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</si>
  <si>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</si>
  <si>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</si>
  <si>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</si>
  <si>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</si>
  <si>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</si>
  <si>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</si>
  <si>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</si>
  <si>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</si>
  <si>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</si>
  <si>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</si>
  <si>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</si>
  <si>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</si>
  <si>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</si>
  <si>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</si>
  <si>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</si>
  <si>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</si>
  <si>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</si>
  <si>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</si>
  <si>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</si>
  <si>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</si>
  <si>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</si>
  <si>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</si>
  <si>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</si>
  <si>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</si>
  <si>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</si>
  <si>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</si>
  <si>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</si>
  <si>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</si>
  <si>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</si>
  <si>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</si>
  <si>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</si>
  <si>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</si>
  <si>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</si>
  <si>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</si>
  <si>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</si>
  <si>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</si>
  <si>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</si>
  <si>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</si>
  <si>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</si>
  <si>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</si>
  <si>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</si>
  <si>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</si>
  <si>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</si>
  <si>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</si>
  <si>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</si>
  <si>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</si>
  <si>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</si>
  <si>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</si>
  <si>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</si>
  <si>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</si>
  <si>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</si>
  <si>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</si>
  <si>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</si>
  <si>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</si>
  <si>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</si>
  <si>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</si>
  <si>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</si>
  <si>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</si>
  <si>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</si>
  <si>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</si>
  <si>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</si>
  <si>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</si>
  <si>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</si>
  <si>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</si>
  <si>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</si>
  <si>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</si>
  <si>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</si>
  <si>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</si>
  <si>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</si>
  <si>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</si>
  <si>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</si>
  <si>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</si>
  <si>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</si>
  <si>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</si>
  <si>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</si>
  <si>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</si>
  <si>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</si>
  <si>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</si>
  <si>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</si>
  <si>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</si>
  <si>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</si>
  <si>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</si>
  <si>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</si>
  <si>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</si>
  <si>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</si>
  <si>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</si>
  <si>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</si>
  <si>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</si>
  <si>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</si>
  <si>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</si>
  <si>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</si>
  <si>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</si>
  <si>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</si>
  <si>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</si>
  <si>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</si>
  <si>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</si>
  <si>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</si>
  <si>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</si>
  <si>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</si>
  <si>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</si>
  <si>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</si>
  <si>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</si>
  <si>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</si>
  <si>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</si>
  <si>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</si>
  <si>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</si>
  <si>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</si>
  <si>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</si>
  <si>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</si>
  <si>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</si>
  <si>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</si>
  <si>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</si>
  <si>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</si>
  <si>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</si>
  <si>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</si>
  <si>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</si>
  <si>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</si>
  <si>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</si>
  <si>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</si>
  <si>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</si>
  <si>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</si>
  <si>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</si>
  <si>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</si>
  <si>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</si>
  <si>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</si>
  <si>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</si>
  <si>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</si>
  <si>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</si>
  <si>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</si>
  <si>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</si>
  <si>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</si>
  <si>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</si>
  <si>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</si>
  <si>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</si>
  <si>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</si>
  <si>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</si>
  <si>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</si>
  <si>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</si>
  <si>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</si>
  <si>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</si>
  <si>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</si>
  <si>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</si>
  <si>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</si>
  <si>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</si>
  <si>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</si>
  <si>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</si>
  <si>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</si>
  <si>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</si>
  <si>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</si>
  <si>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</si>
  <si>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</si>
  <si>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</si>
  <si>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</si>
  <si>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</si>
  <si>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</si>
  <si>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</si>
  <si>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</si>
  <si>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</si>
  <si>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</si>
  <si>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</si>
  <si>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</si>
  <si>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</si>
  <si>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</si>
  <si>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</si>
  <si>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</si>
  <si>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</si>
  <si>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</si>
  <si>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</si>
  <si>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</si>
  <si>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</si>
  <si>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</si>
  <si>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</si>
  <si>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</si>
  <si>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</si>
  <si>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</si>
  <si>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</si>
  <si>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</si>
  <si>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</si>
  <si>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</si>
  <si>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</si>
  <si>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</si>
  <si>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</si>
  <si>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</si>
  <si>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</si>
  <si>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</si>
  <si>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</si>
  <si>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</si>
  <si>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</si>
  <si>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</si>
  <si>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</si>
  <si>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</si>
  <si>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</si>
  <si>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</si>
  <si>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</si>
  <si>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</si>
  <si>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</si>
  <si>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</si>
  <si>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</si>
  <si>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</si>
  <si>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</si>
  <si>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</si>
  <si>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</si>
  <si>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</si>
  <si>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</si>
  <si>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</si>
  <si>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</si>
  <si>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</si>
  <si>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</si>
  <si>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</si>
  <si>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</si>
  <si>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</si>
  <si>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</si>
  <si>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</si>
  <si>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</si>
  <si>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</si>
  <si>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</si>
  <si>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</si>
  <si>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</si>
  <si>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</si>
  <si>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</si>
  <si>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</si>
  <si>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</si>
  <si>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</si>
  <si>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</si>
  <si>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</si>
  <si>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</si>
  <si>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</si>
  <si>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</si>
  <si>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</si>
  <si>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</si>
  <si>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</si>
  <si>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</si>
  <si>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</si>
  <si>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</si>
  <si>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</si>
  <si>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</si>
  <si>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</si>
  <si>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</si>
  <si>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</si>
  <si>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</si>
  <si>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</si>
  <si>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</si>
  <si>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</si>
  <si>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</si>
  <si>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</si>
  <si>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</si>
  <si>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</si>
  <si>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</si>
  <si>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</si>
  <si>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</si>
  <si>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</si>
  <si>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</si>
  <si>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</si>
  <si>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</si>
  <si>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</si>
  <si>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</si>
  <si>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</si>
  <si>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</si>
  <si>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</si>
  <si>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</si>
  <si>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</si>
  <si>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</si>
  <si>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</si>
  <si>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</si>
  <si>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</si>
  <si>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</si>
  <si>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</si>
  <si>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</si>
  <si>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</si>
  <si>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</si>
  <si>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</si>
  <si>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</si>
  <si>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</si>
  <si>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</si>
  <si>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</si>
  <si>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</si>
  <si>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</si>
  <si>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</si>
  <si>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</si>
  <si>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</si>
  <si>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</si>
  <si>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</si>
  <si>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</si>
  <si>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</si>
  <si>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</si>
  <si>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</si>
  <si>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</si>
  <si>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</si>
  <si>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</si>
  <si>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</si>
  <si>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</si>
  <si>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</si>
  <si>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</si>
  <si>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</si>
  <si>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</si>
  <si>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</si>
  <si>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</si>
  <si>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</si>
  <si>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</si>
  <si>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</si>
  <si>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</si>
  <si>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</si>
  <si>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</si>
  <si>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</si>
  <si>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</si>
  <si>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</si>
  <si>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</si>
  <si>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</si>
  <si>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</si>
  <si>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</si>
  <si>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</si>
  <si>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</si>
  <si>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</si>
  <si>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</si>
  <si>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</si>
  <si>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</si>
  <si>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</si>
  <si>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</si>
  <si>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</si>
  <si>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</si>
  <si>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</si>
  <si>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</si>
  <si>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</si>
  <si>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</si>
  <si>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</si>
  <si>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</si>
  <si>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</si>
  <si>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</si>
  <si>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</si>
  <si>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</si>
  <si>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</si>
  <si>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</si>
  <si>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</si>
  <si>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</si>
  <si>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</si>
  <si>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</si>
  <si>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</si>
  <si>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</si>
  <si>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</si>
  <si>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</si>
  <si>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</si>
  <si>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</si>
  <si>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</si>
  <si>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</si>
  <si>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</si>
  <si>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</si>
  <si>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</si>
  <si>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</si>
  <si>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</si>
  <si>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</si>
  <si>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</si>
  <si>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</si>
  <si>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</si>
  <si>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</si>
  <si>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</si>
  <si>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</si>
  <si>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</si>
  <si>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</si>
  <si>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</si>
  <si>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</si>
  <si>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</si>
  <si>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</si>
  <si>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</si>
  <si>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</si>
  <si>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</si>
  <si>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</si>
  <si>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</si>
  <si>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</si>
  <si>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</si>
  <si>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</si>
  <si>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</si>
  <si>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</si>
  <si>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</si>
  <si>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</si>
  <si>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</si>
  <si>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</si>
  <si>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</si>
  <si>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</si>
  <si>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</si>
  <si>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</si>
  <si>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</si>
  <si>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</si>
  <si>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</si>
  <si>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</si>
  <si>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</si>
  <si>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</si>
  <si>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</si>
  <si>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</si>
  <si>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</si>
  <si>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</si>
  <si>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</si>
  <si>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</si>
  <si>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</si>
  <si>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</si>
  <si>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</si>
  <si>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</si>
  <si>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</si>
  <si>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</si>
  <si>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</si>
  <si>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</si>
  <si>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</si>
  <si>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</si>
  <si>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</si>
  <si>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</si>
  <si>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</si>
  <si>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</si>
  <si>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</si>
  <si>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</si>
  <si>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</si>
  <si>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</si>
  <si>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</si>
  <si>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</si>
  <si>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</si>
  <si>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</si>
  <si>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</si>
  <si>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</si>
  <si>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</si>
  <si>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</si>
  <si>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</si>
  <si>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</si>
  <si>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</si>
  <si>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</si>
  <si>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</si>
  <si>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</si>
  <si>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</si>
  <si>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</si>
  <si>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</si>
  <si>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</si>
  <si>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</si>
  <si>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</si>
  <si>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</si>
  <si>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</si>
  <si>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</si>
  <si>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</si>
  <si>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</si>
  <si>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</si>
  <si>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</si>
  <si>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</si>
  <si>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</si>
  <si>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</si>
  <si>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</si>
  <si>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</si>
  <si>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</si>
  <si>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</si>
  <si>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</si>
  <si>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</si>
  <si>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</si>
  <si>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</si>
  <si>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</si>
  <si>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</si>
  <si>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</si>
  <si>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</si>
  <si>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</si>
  <si>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</si>
  <si>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</si>
  <si>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</si>
  <si>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</si>
  <si>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</si>
  <si>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</si>
  <si>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</si>
  <si>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</si>
  <si>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</si>
  <si>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</si>
  <si>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</si>
  <si>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</si>
  <si>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</si>
  <si>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</si>
  <si>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</si>
  <si>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</si>
  <si>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</si>
  <si>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</si>
  <si>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</si>
  <si>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</si>
  <si>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</si>
  <si>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</si>
  <si>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</si>
  <si>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</si>
  <si>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</si>
  <si>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</si>
  <si>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</si>
  <si>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</si>
  <si>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</si>
  <si>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</si>
  <si>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</si>
  <si>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</si>
  <si>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</si>
  <si>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</si>
  <si>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</si>
  <si>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</si>
  <si>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</si>
  <si>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</si>
  <si>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</si>
  <si>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</si>
  <si>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</si>
  <si>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</si>
  <si>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</si>
  <si>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</si>
  <si>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</si>
  <si>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</si>
  <si>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</si>
  <si>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</si>
  <si>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</si>
  <si>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</si>
  <si>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</si>
  <si>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</si>
  <si>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</si>
  <si>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</si>
  <si>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</si>
  <si>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</si>
  <si>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</si>
  <si>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</si>
  <si>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</si>
  <si>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</si>
  <si>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</si>
  <si>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</si>
  <si>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</si>
  <si>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</si>
  <si>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</si>
  <si>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</si>
  <si>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</si>
  <si>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</si>
  <si>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</si>
  <si>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</si>
  <si>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</si>
  <si>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</si>
  <si>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</si>
  <si>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</si>
  <si>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</si>
  <si>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</si>
  <si>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</si>
  <si>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</si>
  <si>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</si>
  <si>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</si>
  <si>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</si>
  <si>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</si>
  <si>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</si>
  <si>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</si>
  <si>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</si>
  <si>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</si>
  <si>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</si>
  <si>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</si>
  <si>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</si>
  <si>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</si>
  <si>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</si>
  <si>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</si>
  <si>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</si>
  <si>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</si>
  <si>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</si>
  <si>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</si>
  <si>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</si>
  <si>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</si>
  <si>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</si>
  <si>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</si>
  <si>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</si>
  <si>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</si>
  <si>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</si>
  <si>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</si>
  <si>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</si>
  <si>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</si>
  <si>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</si>
  <si>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</si>
  <si>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</si>
  <si>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</si>
  <si>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</si>
  <si>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</si>
  <si>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</si>
  <si>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</si>
  <si>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</si>
  <si>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</si>
  <si>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</si>
  <si>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</si>
  <si>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</si>
  <si>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</si>
  <si>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</si>
  <si>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</si>
  <si>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</si>
  <si>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</si>
  <si>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</si>
  <si>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</si>
  <si>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</si>
  <si>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</si>
  <si>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</si>
  <si>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</si>
  <si>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</si>
  <si>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</si>
  <si>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</si>
  <si>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</si>
  <si>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</si>
  <si>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</si>
  <si>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</si>
  <si>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</si>
  <si>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</si>
  <si>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</si>
  <si>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</si>
  <si>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</si>
  <si>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</si>
  <si>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</si>
  <si>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</si>
  <si>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</si>
  <si>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</si>
  <si>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</si>
  <si>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</si>
  <si>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</si>
  <si>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</si>
  <si>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</si>
  <si>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</si>
  <si>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</si>
  <si>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</si>
  <si>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</si>
  <si>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</si>
  <si>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</si>
  <si>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</si>
  <si>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</si>
  <si>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</si>
  <si>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</si>
  <si>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</si>
  <si>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</si>
  <si>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</si>
  <si>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</si>
  <si>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</si>
  <si>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</si>
  <si>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</si>
  <si>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</si>
  <si>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</si>
  <si>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</si>
  <si>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</si>
  <si>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</si>
  <si>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</si>
  <si>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</si>
  <si>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</si>
  <si>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</si>
  <si>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</si>
  <si>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</si>
  <si>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</si>
  <si>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</si>
  <si>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</si>
  <si>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</si>
  <si>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</si>
  <si>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</si>
  <si>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</si>
  <si>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</si>
  <si>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</si>
  <si>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</si>
  <si>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</si>
  <si>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</si>
  <si>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</si>
  <si>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</si>
  <si>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</si>
  <si>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</si>
  <si>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</si>
  <si>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</si>
  <si>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</si>
  <si>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</si>
  <si>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</si>
  <si>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</si>
  <si>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</si>
  <si>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</si>
  <si>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</si>
  <si>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</si>
  <si>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</si>
  <si>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</si>
  <si>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</si>
  <si>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</si>
  <si>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</si>
  <si>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</si>
  <si>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</si>
  <si>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</si>
  <si>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</si>
  <si>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</si>
  <si>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</si>
  <si>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</si>
  <si>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</si>
  <si>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</si>
  <si>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</si>
  <si>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</si>
  <si>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</si>
  <si>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</si>
  <si>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</si>
  <si>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</si>
  <si>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</si>
  <si>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</si>
  <si>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</si>
  <si>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</si>
  <si>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</si>
  <si>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</si>
  <si>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</si>
  <si>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</si>
  <si>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</si>
  <si>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</si>
  <si>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</si>
  <si>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</si>
  <si>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</si>
  <si>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</si>
  <si>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</si>
  <si>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</si>
  <si>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</si>
  <si>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</si>
  <si>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</si>
  <si>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</si>
  <si>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</si>
  <si>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</si>
  <si>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</si>
  <si>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</si>
  <si>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</si>
  <si>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</si>
  <si>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</si>
  <si>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</si>
  <si>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</si>
  <si>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</si>
  <si>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</si>
  <si>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</si>
  <si>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</si>
  <si>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</si>
  <si>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</si>
  <si>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</si>
  <si>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</si>
  <si>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</si>
  <si>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</si>
  <si>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</si>
  <si>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</si>
  <si>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</si>
  <si>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</si>
  <si>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</si>
  <si>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</si>
  <si>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</si>
  <si>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</si>
  <si>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</si>
  <si>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</si>
  <si>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</si>
  <si>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</si>
  <si>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</si>
  <si>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</si>
  <si>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</si>
  <si>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</si>
  <si>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</si>
  <si>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</si>
  <si>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</si>
  <si>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</si>
  <si>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</si>
  <si>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</si>
  <si>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</si>
  <si>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</si>
  <si>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</si>
  <si>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</si>
  <si>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</si>
  <si>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</si>
  <si>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</si>
  <si>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</si>
  <si>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</si>
  <si>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</si>
  <si>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</si>
  <si>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</si>
  <si>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</si>
  <si>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</si>
  <si>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</si>
  <si>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</si>
  <si>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</si>
  <si>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</si>
  <si>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</si>
  <si>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</si>
  <si>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</si>
  <si>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</si>
  <si>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</si>
  <si>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</si>
  <si>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</si>
  <si>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</si>
  <si>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</si>
  <si>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</si>
  <si>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</si>
  <si>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</si>
  <si>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</si>
  <si>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</si>
  <si>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</si>
  <si>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</si>
  <si>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</si>
  <si>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</si>
  <si>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</si>
  <si>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</si>
  <si>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</si>
  <si>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</si>
  <si>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</si>
  <si>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</si>
  <si>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</si>
  <si>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</si>
  <si>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</si>
  <si>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</si>
  <si>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</si>
  <si>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</si>
  <si>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</si>
  <si>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</si>
  <si>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</si>
  <si>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</si>
  <si>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</si>
  <si>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</si>
  <si>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</si>
  <si>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</si>
  <si>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</si>
  <si>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</si>
  <si>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</si>
  <si>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</si>
  <si>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</si>
  <si>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</si>
  <si>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</si>
  <si>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</si>
  <si>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</si>
  <si>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</si>
  <si>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</si>
  <si>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</si>
  <si>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</si>
  <si>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</si>
  <si>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</si>
  <si>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</si>
  <si>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</si>
  <si>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</si>
  <si>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</si>
  <si>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</si>
  <si>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</si>
  <si>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</si>
  <si>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</si>
  <si>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</si>
  <si>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</si>
  <si>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</si>
  <si>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</si>
  <si>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</si>
  <si>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</si>
  <si>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</si>
  <si>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</si>
  <si>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</si>
  <si>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</si>
  <si>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</si>
  <si>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</si>
  <si>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</si>
  <si>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</si>
  <si>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</si>
  <si>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</si>
  <si>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</si>
  <si>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langu</t>
  </si>
  <si>
    <t>lines_strict</t>
  </si>
  <si>
    <t>EN</t>
  </si>
  <si>
    <t>ES</t>
  </si>
  <si>
    <t>PT</t>
  </si>
  <si>
    <t>were in train popn so removed from eval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</si>
</sst>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5"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s>
  <fills count="35">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72">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xf numFmtId="0" fontId="16" fillId="31" borderId="19" xfId="0" applyFont="1" applyFill="1" applyBorder="1"/>
    <xf numFmtId="0" fontId="0" fillId="0" borderId="19" xfId="0" applyBorder="1"/>
    <xf numFmtId="0" fontId="0" fillId="32" borderId="19" xfId="0" applyFill="1" applyBorder="1"/>
    <xf numFmtId="0" fontId="16" fillId="31" borderId="20" xfId="0" applyFont="1" applyFill="1" applyBorder="1"/>
    <xf numFmtId="0" fontId="0" fillId="32" borderId="20" xfId="0" applyFill="1" applyBorder="1"/>
    <xf numFmtId="0" fontId="0" fillId="0" borderId="20"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21" xfId="0" applyBorder="1"/>
    <xf numFmtId="164" fontId="0" fillId="0" borderId="0" xfId="44" applyNumberFormat="1" applyFont="1" applyFill="1"/>
    <xf numFmtId="0" fontId="0" fillId="0" borderId="21" xfId="0" applyBorder="1" applyAlignment="1">
      <alignment wrapText="1"/>
    </xf>
    <xf numFmtId="0" fontId="25" fillId="0" borderId="0" xfId="0" applyFont="1" applyAlignment="1">
      <alignment wrapText="1"/>
    </xf>
    <xf numFmtId="0" fontId="30" fillId="0" borderId="0" xfId="0" applyFont="1"/>
    <xf numFmtId="20" fontId="0" fillId="0" borderId="21" xfId="0" applyNumberFormat="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0" fontId="0" fillId="34" borderId="0" xfId="0" applyFill="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8">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12</xdr:row>
      <xdr:rowOff>180972</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12</xdr:row>
      <xdr:rowOff>180972</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12</xdr:row>
      <xdr:rowOff>180972</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17"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17"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filterColumn colId="4">
      <filters>
        <filter val="TRUE - Wave 1"/>
      </filters>
    </filterColumn>
    <filterColumn colId="6">
      <filters>
        <filter val="FALSE"/>
      </filters>
    </filterColumn>
  </autoFilter>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7"/>
    <tableColumn id="19" xr3:uid="{7EC3CFE5-B286-8746-8944-31E4DFC081AC}" name="Maturity date (date)" dataDxfId="6"/>
    <tableColumn id="20" xr3:uid="{6D014247-ED01-2A45-85F1-C186DBB916EB}" name="Last published (date)" dataDxfId="5"/>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4">
      <calculatedColumnFormula>AM14</calculatedColumnFormula>
    </tableColumn>
    <tableColumn id="29" xr3:uid="{BA0C6CF8-90B8-CF40-A4A0-2859D76D1916}" name="extract cateogry table" dataDxfId="3"/>
    <tableColumn id="30" xr3:uid="{6144A1BA-4369-474B-8261-5361C4CA1F5F}" name="Find UOP" dataDxfId="2"/>
    <tableColumn id="31" xr3:uid="{217DB38C-B327-6C4A-8148-F783F1714336}" name="find token similarity" dataDxfId="1"/>
    <tableColumn id="32" xr3:uid="{CF906A20-63E1-504F-921B-8A245C168945}" name="non english" dataDxfId="0"/>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2811</v>
      </c>
    </row>
    <row r="4" spans="1:3" x14ac:dyDescent="0.2">
      <c r="A4" s="68" t="s">
        <v>2810</v>
      </c>
      <c r="B4" t="s">
        <v>2809</v>
      </c>
    </row>
    <row r="5" spans="1:3" x14ac:dyDescent="0.2">
      <c r="A5" s="68"/>
      <c r="B5" t="s">
        <v>2808</v>
      </c>
    </row>
    <row r="6" spans="1:3" x14ac:dyDescent="0.2">
      <c r="A6" s="68"/>
      <c r="B6" t="s">
        <v>2807</v>
      </c>
    </row>
    <row r="7" spans="1:3" x14ac:dyDescent="0.2">
      <c r="A7" s="68"/>
      <c r="B7" s="59" t="s">
        <v>2806</v>
      </c>
    </row>
    <row r="8" spans="1:3" x14ac:dyDescent="0.2">
      <c r="A8" s="68"/>
      <c r="B8" s="59" t="s">
        <v>2805</v>
      </c>
    </row>
    <row r="9" spans="1:3" x14ac:dyDescent="0.2">
      <c r="A9" s="68"/>
      <c r="B9" s="59" t="s">
        <v>2804</v>
      </c>
    </row>
    <row r="10" spans="1:3" x14ac:dyDescent="0.2">
      <c r="A10" s="68"/>
      <c r="B10" t="s">
        <v>2803</v>
      </c>
    </row>
    <row r="11" spans="1:3" x14ac:dyDescent="0.2">
      <c r="A11" s="58"/>
    </row>
    <row r="12" spans="1:3" x14ac:dyDescent="0.2">
      <c r="A12" s="68" t="s">
        <v>2802</v>
      </c>
      <c r="B12" t="s">
        <v>2801</v>
      </c>
    </row>
    <row r="13" spans="1:3" x14ac:dyDescent="0.2">
      <c r="A13" s="68"/>
      <c r="B13" s="61" t="s">
        <v>2800</v>
      </c>
      <c r="C13" s="60" t="s">
        <v>2799</v>
      </c>
    </row>
    <row r="14" spans="1:3" x14ac:dyDescent="0.2">
      <c r="A14" s="68"/>
      <c r="B14" s="61" t="s">
        <v>2798</v>
      </c>
      <c r="C14" s="60" t="s">
        <v>2797</v>
      </c>
    </row>
    <row r="15" spans="1:3" x14ac:dyDescent="0.2">
      <c r="A15" s="68"/>
      <c r="B15" s="61" t="s">
        <v>2796</v>
      </c>
      <c r="C15" s="60" t="s">
        <v>2795</v>
      </c>
    </row>
    <row r="16" spans="1:3" x14ac:dyDescent="0.2">
      <c r="A16" s="68"/>
      <c r="B16" s="61" t="s">
        <v>2794</v>
      </c>
      <c r="C16" s="60" t="s">
        <v>2793</v>
      </c>
    </row>
    <row r="17" spans="1:2" x14ac:dyDescent="0.2">
      <c r="A17" s="68"/>
      <c r="B17" t="s">
        <v>2792</v>
      </c>
    </row>
    <row r="18" spans="1:2" x14ac:dyDescent="0.2">
      <c r="A18" s="68"/>
      <c r="B18" t="s">
        <v>2791</v>
      </c>
    </row>
    <row r="19" spans="1:2" x14ac:dyDescent="0.2">
      <c r="A19" s="68"/>
      <c r="B19" s="26" t="s">
        <v>2790</v>
      </c>
    </row>
    <row r="20" spans="1:2" x14ac:dyDescent="0.2">
      <c r="A20" s="68"/>
      <c r="B20" s="59" t="s">
        <v>2789</v>
      </c>
    </row>
    <row r="21" spans="1:2" x14ac:dyDescent="0.2">
      <c r="A21" s="58"/>
    </row>
    <row r="22" spans="1:2" x14ac:dyDescent="0.2">
      <c r="A22" s="68" t="s">
        <v>2788</v>
      </c>
      <c r="B22" t="s">
        <v>2787</v>
      </c>
    </row>
    <row r="23" spans="1:2" x14ac:dyDescent="0.2">
      <c r="A23" s="68"/>
      <c r="B23" t="s">
        <v>2786</v>
      </c>
    </row>
    <row r="24" spans="1:2" x14ac:dyDescent="0.2">
      <c r="A24" s="68"/>
      <c r="B24" t="s">
        <v>2785</v>
      </c>
    </row>
    <row r="25" spans="1:2" x14ac:dyDescent="0.2">
      <c r="A25" s="68"/>
      <c r="B25" t="s">
        <v>2784</v>
      </c>
    </row>
    <row r="26" spans="1:2" x14ac:dyDescent="0.2">
      <c r="A26" s="68"/>
      <c r="B26" t="s">
        <v>2783</v>
      </c>
    </row>
    <row r="27" spans="1:2" x14ac:dyDescent="0.2">
      <c r="A27" s="68"/>
      <c r="B27" t="s">
        <v>2782</v>
      </c>
    </row>
    <row r="28" spans="1:2" x14ac:dyDescent="0.2">
      <c r="A28" s="58"/>
    </row>
    <row r="29" spans="1:2" ht="16" customHeight="1" x14ac:dyDescent="0.2">
      <c r="A29" s="68" t="s">
        <v>2781</v>
      </c>
      <c r="B29" t="s">
        <v>2780</v>
      </c>
    </row>
    <row r="30" spans="1:2" x14ac:dyDescent="0.2">
      <c r="A30" s="68"/>
      <c r="B30" t="s">
        <v>2779</v>
      </c>
    </row>
    <row r="31" spans="1:2" x14ac:dyDescent="0.2">
      <c r="A31" s="68"/>
      <c r="B31" t="s">
        <v>2778</v>
      </c>
    </row>
    <row r="32" spans="1:2" x14ac:dyDescent="0.2">
      <c r="A32" s="68"/>
      <c r="B32" t="s">
        <v>2777</v>
      </c>
    </row>
    <row r="33" spans="1:2" x14ac:dyDescent="0.2">
      <c r="A33" s="68"/>
      <c r="B33" t="s">
        <v>2776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topLeftCell="K1" zoomScale="90" zoomScaleNormal="90" workbookViewId="0">
      <selection activeCell="J16" sqref="A16:XFD16"/>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65" t="s">
        <v>221</v>
      </c>
      <c r="B1" s="65" t="s">
        <v>222</v>
      </c>
      <c r="C1" s="65" t="s">
        <v>223</v>
      </c>
      <c r="D1" s="65" t="s">
        <v>224</v>
      </c>
      <c r="E1" s="65" t="s">
        <v>225</v>
      </c>
      <c r="F1" s="65" t="s">
        <v>229</v>
      </c>
      <c r="G1" s="65" t="s">
        <v>230</v>
      </c>
      <c r="H1" s="65" t="s">
        <v>234</v>
      </c>
      <c r="I1" s="65" t="s">
        <v>235</v>
      </c>
      <c r="J1" s="65" t="s">
        <v>236</v>
      </c>
      <c r="K1" s="65" t="s">
        <v>237</v>
      </c>
      <c r="L1" s="65" t="s">
        <v>2823</v>
      </c>
      <c r="M1" s="65" t="s">
        <v>244</v>
      </c>
      <c r="N1" s="65" t="s">
        <v>245</v>
      </c>
      <c r="O1" s="65" t="s">
        <v>2822</v>
      </c>
      <c r="P1" s="65" t="s">
        <v>2821</v>
      </c>
      <c r="Q1" s="65" t="s">
        <v>2820</v>
      </c>
      <c r="R1" s="65" t="s">
        <v>2819</v>
      </c>
      <c r="S1" s="65" t="s">
        <v>2818</v>
      </c>
      <c r="T1" s="65" t="s">
        <v>2817</v>
      </c>
    </row>
    <row r="2" spans="1:20" x14ac:dyDescent="0.2">
      <c r="A2" t="s">
        <v>1139</v>
      </c>
      <c r="E2" t="s">
        <v>1140</v>
      </c>
      <c r="F2" s="1">
        <v>43879</v>
      </c>
      <c r="G2" s="1">
        <v>44153</v>
      </c>
      <c r="H2" t="s">
        <v>1141</v>
      </c>
      <c r="I2" t="s">
        <v>256</v>
      </c>
      <c r="J2" t="s">
        <v>269</v>
      </c>
      <c r="K2" t="s">
        <v>1142</v>
      </c>
      <c r="L2">
        <v>1</v>
      </c>
      <c r="M2" t="s">
        <v>270</v>
      </c>
      <c r="N2" s="63">
        <v>48450360</v>
      </c>
      <c r="O2" s="62"/>
      <c r="P2" s="62">
        <v>1</v>
      </c>
      <c r="Q2" s="62"/>
      <c r="R2" s="62"/>
      <c r="S2" s="62" t="s">
        <v>2001</v>
      </c>
      <c r="T2" s="62" t="s">
        <v>1955</v>
      </c>
    </row>
    <row r="3" spans="1:20" x14ac:dyDescent="0.2">
      <c r="D3" t="s">
        <v>930</v>
      </c>
      <c r="E3" t="s">
        <v>931</v>
      </c>
      <c r="F3" s="1">
        <v>42850</v>
      </c>
      <c r="G3" s="1">
        <v>46502</v>
      </c>
      <c r="H3" t="s">
        <v>932</v>
      </c>
      <c r="I3" t="s">
        <v>278</v>
      </c>
      <c r="J3" t="s">
        <v>384</v>
      </c>
      <c r="K3" t="s">
        <v>933</v>
      </c>
      <c r="L3">
        <v>1</v>
      </c>
      <c r="M3" t="s">
        <v>386</v>
      </c>
      <c r="N3" s="63">
        <v>433000000000</v>
      </c>
      <c r="O3" s="62"/>
      <c r="P3" s="62"/>
      <c r="Q3" s="62">
        <v>1</v>
      </c>
      <c r="R3" s="62">
        <v>4</v>
      </c>
      <c r="S3" s="62"/>
      <c r="T3" s="62"/>
    </row>
    <row r="4" spans="1:20" x14ac:dyDescent="0.2">
      <c r="D4" t="s">
        <v>1366</v>
      </c>
      <c r="E4" t="s">
        <v>1367</v>
      </c>
      <c r="F4" s="1">
        <v>43441</v>
      </c>
      <c r="G4" s="1">
        <v>45266</v>
      </c>
      <c r="H4" t="s">
        <v>1368</v>
      </c>
      <c r="I4" t="s">
        <v>305</v>
      </c>
      <c r="J4" t="s">
        <v>269</v>
      </c>
      <c r="K4" t="s">
        <v>2816</v>
      </c>
      <c r="L4">
        <v>1</v>
      </c>
      <c r="M4" t="s">
        <v>270</v>
      </c>
      <c r="N4" s="63">
        <v>30000000</v>
      </c>
      <c r="O4" s="62"/>
      <c r="P4" s="62"/>
      <c r="Q4" s="62">
        <v>1</v>
      </c>
      <c r="R4" s="62">
        <v>2</v>
      </c>
      <c r="S4" s="62"/>
      <c r="T4" s="62"/>
    </row>
    <row r="5" spans="1:20" x14ac:dyDescent="0.2">
      <c r="D5" t="s">
        <v>1413</v>
      </c>
      <c r="E5" t="s">
        <v>1414</v>
      </c>
      <c r="G5" s="1">
        <v>46033</v>
      </c>
      <c r="H5" t="s">
        <v>506</v>
      </c>
      <c r="I5" t="s">
        <v>278</v>
      </c>
      <c r="J5" t="s">
        <v>257</v>
      </c>
      <c r="K5" t="s">
        <v>1415</v>
      </c>
      <c r="L5">
        <v>1</v>
      </c>
      <c r="M5" t="s">
        <v>270</v>
      </c>
      <c r="N5" s="63"/>
      <c r="O5" s="62"/>
      <c r="P5" s="62"/>
      <c r="Q5" s="62">
        <v>1</v>
      </c>
      <c r="R5" s="62">
        <v>5</v>
      </c>
      <c r="S5" s="62"/>
      <c r="T5" s="62"/>
    </row>
    <row r="6" spans="1:20" x14ac:dyDescent="0.2">
      <c r="A6" t="s">
        <v>72</v>
      </c>
      <c r="B6" t="s">
        <v>1314</v>
      </c>
      <c r="E6" t="s">
        <v>1315</v>
      </c>
      <c r="F6" s="1">
        <v>43769</v>
      </c>
      <c r="G6" s="1">
        <v>45611</v>
      </c>
      <c r="H6" t="s">
        <v>304</v>
      </c>
      <c r="I6" t="s">
        <v>305</v>
      </c>
      <c r="J6" t="s">
        <v>306</v>
      </c>
      <c r="K6" t="s">
        <v>1316</v>
      </c>
      <c r="L6">
        <v>1</v>
      </c>
      <c r="M6" t="s">
        <v>270</v>
      </c>
      <c r="N6" s="63">
        <v>375000000</v>
      </c>
      <c r="O6" s="62"/>
      <c r="P6" s="62"/>
      <c r="Q6" s="62">
        <v>1</v>
      </c>
      <c r="R6" s="62">
        <v>4</v>
      </c>
      <c r="S6" s="62"/>
      <c r="T6" s="62"/>
    </row>
    <row r="7" spans="1:20" x14ac:dyDescent="0.2">
      <c r="D7" t="s">
        <v>649</v>
      </c>
      <c r="E7" t="s">
        <v>650</v>
      </c>
      <c r="H7" t="s">
        <v>467</v>
      </c>
      <c r="I7" t="s">
        <v>305</v>
      </c>
      <c r="J7" t="s">
        <v>306</v>
      </c>
      <c r="K7" t="s">
        <v>651</v>
      </c>
      <c r="L7">
        <v>1</v>
      </c>
      <c r="M7" t="s">
        <v>270</v>
      </c>
      <c r="N7" s="63"/>
      <c r="O7" s="62"/>
      <c r="P7" s="62"/>
      <c r="Q7" s="62">
        <v>1</v>
      </c>
      <c r="R7" s="62">
        <v>6</v>
      </c>
      <c r="S7" s="62"/>
      <c r="T7" s="62"/>
    </row>
    <row r="8" spans="1:20" ht="34" x14ac:dyDescent="0.2">
      <c r="D8" t="s">
        <v>1070</v>
      </c>
      <c r="E8" t="s">
        <v>1071</v>
      </c>
      <c r="H8" t="s">
        <v>277</v>
      </c>
      <c r="I8" t="s">
        <v>278</v>
      </c>
      <c r="J8" t="s">
        <v>279</v>
      </c>
      <c r="K8" t="s">
        <v>1072</v>
      </c>
      <c r="L8">
        <v>1</v>
      </c>
      <c r="M8" t="s">
        <v>270</v>
      </c>
      <c r="N8" s="63"/>
      <c r="O8" s="62"/>
      <c r="P8" s="62"/>
      <c r="Q8" s="62">
        <v>1</v>
      </c>
      <c r="R8" s="62">
        <v>4</v>
      </c>
      <c r="S8" s="64" t="s">
        <v>2815</v>
      </c>
      <c r="T8" s="64" t="s">
        <v>2814</v>
      </c>
    </row>
    <row r="9" spans="1:20" x14ac:dyDescent="0.2">
      <c r="A9" s="60"/>
      <c r="D9" t="s">
        <v>1554</v>
      </c>
      <c r="E9" t="s">
        <v>1555</v>
      </c>
      <c r="F9" s="1">
        <v>44427</v>
      </c>
      <c r="G9" s="1">
        <v>49552</v>
      </c>
      <c r="H9" t="s">
        <v>1030</v>
      </c>
      <c r="I9" t="s">
        <v>256</v>
      </c>
      <c r="J9" t="s">
        <v>257</v>
      </c>
      <c r="K9" t="s">
        <v>1556</v>
      </c>
      <c r="L9">
        <v>1</v>
      </c>
      <c r="M9" t="s">
        <v>260</v>
      </c>
      <c r="N9" s="63">
        <v>82850000</v>
      </c>
      <c r="O9" s="62"/>
      <c r="P9" s="62">
        <v>1</v>
      </c>
      <c r="Q9" s="62"/>
      <c r="R9" s="62"/>
      <c r="S9" s="62"/>
      <c r="T9" s="62"/>
    </row>
    <row r="10" spans="1:20" x14ac:dyDescent="0.2">
      <c r="A10" t="s">
        <v>174</v>
      </c>
      <c r="E10" t="s">
        <v>1064</v>
      </c>
      <c r="F10" s="1">
        <v>44008</v>
      </c>
      <c r="G10" s="1">
        <v>45100</v>
      </c>
      <c r="H10" t="s">
        <v>904</v>
      </c>
      <c r="I10" t="s">
        <v>305</v>
      </c>
      <c r="J10" t="s">
        <v>343</v>
      </c>
      <c r="K10" t="s">
        <v>1065</v>
      </c>
      <c r="L10">
        <v>2</v>
      </c>
      <c r="M10" t="s">
        <v>345</v>
      </c>
      <c r="N10" s="63">
        <v>3000000000</v>
      </c>
      <c r="O10" s="62"/>
      <c r="P10" s="62"/>
      <c r="Q10" s="62">
        <v>1</v>
      </c>
      <c r="R10" s="62">
        <v>4</v>
      </c>
      <c r="S10" s="62"/>
      <c r="T10" s="62"/>
    </row>
    <row r="11" spans="1:20" x14ac:dyDescent="0.2">
      <c r="A11" t="s">
        <v>109</v>
      </c>
      <c r="E11" t="s">
        <v>903</v>
      </c>
      <c r="F11" s="1">
        <v>43791</v>
      </c>
      <c r="G11" s="1">
        <v>44967</v>
      </c>
      <c r="H11" t="s">
        <v>904</v>
      </c>
      <c r="I11" t="s">
        <v>305</v>
      </c>
      <c r="J11" t="s">
        <v>343</v>
      </c>
      <c r="K11" t="s">
        <v>905</v>
      </c>
      <c r="L11">
        <v>2</v>
      </c>
      <c r="M11" t="s">
        <v>345</v>
      </c>
      <c r="N11" s="63">
        <v>2500000000</v>
      </c>
      <c r="O11" s="62"/>
      <c r="P11" s="62"/>
      <c r="Q11" s="62">
        <v>1</v>
      </c>
      <c r="R11" s="62">
        <v>4</v>
      </c>
      <c r="S11" s="62"/>
      <c r="T11" s="62"/>
    </row>
    <row r="12" spans="1:20" x14ac:dyDescent="0.2">
      <c r="A12" t="s">
        <v>108</v>
      </c>
      <c r="E12" t="s">
        <v>1714</v>
      </c>
      <c r="F12" s="1">
        <v>43396</v>
      </c>
      <c r="G12" s="1">
        <v>44488</v>
      </c>
      <c r="H12" t="s">
        <v>904</v>
      </c>
      <c r="I12" t="s">
        <v>305</v>
      </c>
      <c r="J12" t="s">
        <v>343</v>
      </c>
      <c r="K12" t="s">
        <v>905</v>
      </c>
      <c r="L12">
        <v>2</v>
      </c>
      <c r="M12" t="s">
        <v>345</v>
      </c>
      <c r="N12" s="63">
        <v>2500000000</v>
      </c>
      <c r="O12" s="62"/>
      <c r="P12" s="62"/>
      <c r="Q12" s="62">
        <v>1</v>
      </c>
      <c r="R12" s="62">
        <v>4</v>
      </c>
      <c r="S12" s="62"/>
      <c r="T12" s="62"/>
    </row>
    <row r="13" spans="1:20" x14ac:dyDescent="0.2">
      <c r="A13" s="60" t="s">
        <v>101</v>
      </c>
      <c r="B13" t="s">
        <v>1395</v>
      </c>
      <c r="D13" t="s">
        <v>1396</v>
      </c>
      <c r="E13" t="s">
        <v>1397</v>
      </c>
      <c r="F13" s="1">
        <v>44237</v>
      </c>
      <c r="G13" s="1">
        <v>52793</v>
      </c>
      <c r="H13" t="s">
        <v>1042</v>
      </c>
      <c r="I13" t="s">
        <v>256</v>
      </c>
      <c r="J13" t="s">
        <v>257</v>
      </c>
      <c r="K13" t="s">
        <v>1398</v>
      </c>
      <c r="L13">
        <v>2</v>
      </c>
      <c r="M13" t="s">
        <v>260</v>
      </c>
      <c r="N13" s="63">
        <v>672500000</v>
      </c>
      <c r="O13" s="62"/>
      <c r="P13" s="62">
        <v>1</v>
      </c>
      <c r="Q13" s="62"/>
      <c r="R13" s="62"/>
      <c r="S13" s="62"/>
      <c r="T13" s="62"/>
    </row>
    <row r="14" spans="1:20" x14ac:dyDescent="0.2">
      <c r="A14" s="60" t="s">
        <v>100</v>
      </c>
      <c r="B14" t="s">
        <v>1509</v>
      </c>
      <c r="D14" t="s">
        <v>1510</v>
      </c>
      <c r="E14" t="s">
        <v>1511</v>
      </c>
      <c r="F14" s="1">
        <v>44172</v>
      </c>
      <c r="G14" s="1">
        <v>52732</v>
      </c>
      <c r="H14" t="s">
        <v>1042</v>
      </c>
      <c r="I14" t="s">
        <v>256</v>
      </c>
      <c r="J14" t="s">
        <v>257</v>
      </c>
      <c r="K14" t="s">
        <v>1398</v>
      </c>
      <c r="L14">
        <v>2</v>
      </c>
      <c r="M14" t="s">
        <v>260</v>
      </c>
      <c r="N14" s="63">
        <v>800000000</v>
      </c>
      <c r="O14" s="62"/>
      <c r="P14" s="62">
        <v>1</v>
      </c>
      <c r="Q14" s="62"/>
      <c r="R14" s="62"/>
      <c r="S14" s="62"/>
      <c r="T14" s="62"/>
    </row>
    <row r="15" spans="1:20" x14ac:dyDescent="0.2">
      <c r="A15" s="60" t="s">
        <v>102</v>
      </c>
      <c r="B15" t="s">
        <v>1911</v>
      </c>
      <c r="E15" t="s">
        <v>1912</v>
      </c>
      <c r="F15" s="1">
        <v>44484</v>
      </c>
      <c r="G15" s="1">
        <v>51058</v>
      </c>
      <c r="H15" t="s">
        <v>1042</v>
      </c>
      <c r="I15" t="s">
        <v>256</v>
      </c>
      <c r="J15" t="s">
        <v>257</v>
      </c>
      <c r="K15" t="s">
        <v>1398</v>
      </c>
      <c r="L15">
        <v>2</v>
      </c>
      <c r="M15" t="s">
        <v>260</v>
      </c>
      <c r="N15" s="63">
        <v>950000000</v>
      </c>
      <c r="O15" s="62"/>
      <c r="P15" s="62">
        <v>1</v>
      </c>
      <c r="Q15" s="62"/>
      <c r="R15" s="62"/>
      <c r="S15" s="62"/>
      <c r="T15" s="62"/>
    </row>
    <row r="16" spans="1:20" x14ac:dyDescent="0.2">
      <c r="A16" s="60" t="s">
        <v>146</v>
      </c>
      <c r="B16" t="s">
        <v>805</v>
      </c>
      <c r="E16" t="s">
        <v>806</v>
      </c>
      <c r="F16" s="1">
        <v>43396</v>
      </c>
      <c r="G16" s="1">
        <v>45588</v>
      </c>
      <c r="H16" t="s">
        <v>807</v>
      </c>
      <c r="I16" t="s">
        <v>256</v>
      </c>
      <c r="J16" t="s">
        <v>808</v>
      </c>
      <c r="K16" t="s">
        <v>2813</v>
      </c>
      <c r="L16">
        <v>2</v>
      </c>
      <c r="M16" t="s">
        <v>811</v>
      </c>
      <c r="N16" s="63">
        <v>100000000</v>
      </c>
      <c r="O16" s="62"/>
      <c r="P16" s="62"/>
      <c r="Q16" s="62"/>
      <c r="R16" s="62">
        <v>3</v>
      </c>
      <c r="S16" s="62"/>
      <c r="T16" s="62"/>
    </row>
    <row r="17" spans="1:20" x14ac:dyDescent="0.2">
      <c r="A17" s="60" t="s">
        <v>124</v>
      </c>
      <c r="B17" t="s">
        <v>1188</v>
      </c>
      <c r="E17" t="s">
        <v>1189</v>
      </c>
      <c r="F17" s="1">
        <v>42997</v>
      </c>
      <c r="G17" s="1">
        <v>46649</v>
      </c>
      <c r="H17" t="s">
        <v>1190</v>
      </c>
      <c r="I17" t="s">
        <v>256</v>
      </c>
      <c r="J17" t="s">
        <v>257</v>
      </c>
      <c r="K17" t="s">
        <v>1191</v>
      </c>
      <c r="L17">
        <v>2</v>
      </c>
      <c r="M17" t="s">
        <v>270</v>
      </c>
      <c r="N17" s="63">
        <v>500000000</v>
      </c>
      <c r="O17" s="62"/>
      <c r="P17" s="62"/>
      <c r="Q17" s="62">
        <v>1</v>
      </c>
      <c r="R17" s="62">
        <v>9</v>
      </c>
      <c r="S17" s="62"/>
      <c r="T17" s="62"/>
    </row>
    <row r="18" spans="1:20" x14ac:dyDescent="0.2">
      <c r="A18" s="60" t="s">
        <v>123</v>
      </c>
      <c r="B18" t="s">
        <v>1799</v>
      </c>
      <c r="E18" t="s">
        <v>1800</v>
      </c>
      <c r="F18" s="1">
        <v>43558</v>
      </c>
      <c r="G18" s="1">
        <v>54516</v>
      </c>
      <c r="H18" t="s">
        <v>1190</v>
      </c>
      <c r="I18" t="s">
        <v>256</v>
      </c>
      <c r="J18" t="s">
        <v>257</v>
      </c>
      <c r="K18" t="s">
        <v>1191</v>
      </c>
      <c r="L18">
        <v>2</v>
      </c>
      <c r="M18" t="s">
        <v>270</v>
      </c>
      <c r="N18" s="63">
        <v>700000000</v>
      </c>
      <c r="O18" s="62"/>
      <c r="P18" s="62"/>
      <c r="Q18" s="62">
        <v>1</v>
      </c>
      <c r="R18" s="62">
        <v>9</v>
      </c>
      <c r="S18" s="62"/>
      <c r="T18" s="62"/>
    </row>
    <row r="19" spans="1:20" x14ac:dyDescent="0.2">
      <c r="B19" t="s">
        <v>524</v>
      </c>
      <c r="D19" t="s">
        <v>525</v>
      </c>
      <c r="E19" t="s">
        <v>526</v>
      </c>
      <c r="F19" s="1">
        <v>43819</v>
      </c>
      <c r="G19" s="1">
        <v>45646</v>
      </c>
      <c r="H19" t="s">
        <v>527</v>
      </c>
      <c r="I19" t="s">
        <v>278</v>
      </c>
      <c r="J19" t="s">
        <v>528</v>
      </c>
      <c r="K19" t="s">
        <v>529</v>
      </c>
      <c r="L19">
        <v>2</v>
      </c>
      <c r="M19" t="s">
        <v>270</v>
      </c>
      <c r="N19" s="63">
        <v>150000000</v>
      </c>
      <c r="O19" s="62"/>
      <c r="P19" s="62"/>
      <c r="Q19" s="62">
        <v>1</v>
      </c>
      <c r="R19" s="62">
        <v>7</v>
      </c>
      <c r="S19" s="62"/>
      <c r="T19" s="62"/>
    </row>
    <row r="20" spans="1:20" x14ac:dyDescent="0.2">
      <c r="A20" s="60" t="s">
        <v>206</v>
      </c>
      <c r="E20" t="s">
        <v>815</v>
      </c>
      <c r="F20" s="1">
        <v>43208</v>
      </c>
      <c r="G20" s="1">
        <v>45730</v>
      </c>
      <c r="H20" t="s">
        <v>286</v>
      </c>
      <c r="I20" t="s">
        <v>256</v>
      </c>
      <c r="J20" t="s">
        <v>287</v>
      </c>
      <c r="K20" t="s">
        <v>816</v>
      </c>
      <c r="L20">
        <v>2</v>
      </c>
      <c r="M20" t="s">
        <v>290</v>
      </c>
      <c r="N20" s="63">
        <v>1500000</v>
      </c>
      <c r="O20" s="62">
        <v>1</v>
      </c>
      <c r="P20" s="62"/>
      <c r="Q20" s="62"/>
      <c r="R20" s="62">
        <v>2</v>
      </c>
      <c r="S20" s="62"/>
      <c r="T20" s="62"/>
    </row>
    <row r="21" spans="1:20" x14ac:dyDescent="0.2">
      <c r="A21" t="s">
        <v>1842</v>
      </c>
      <c r="B21" t="s">
        <v>1843</v>
      </c>
      <c r="E21" t="s">
        <v>1844</v>
      </c>
      <c r="F21" s="1">
        <v>42829</v>
      </c>
      <c r="G21" s="1">
        <v>46481</v>
      </c>
      <c r="H21" t="s">
        <v>1845</v>
      </c>
      <c r="I21" t="s">
        <v>256</v>
      </c>
      <c r="J21" t="s">
        <v>287</v>
      </c>
      <c r="K21" t="s">
        <v>1846</v>
      </c>
      <c r="L21">
        <v>2</v>
      </c>
      <c r="M21" t="s">
        <v>270</v>
      </c>
      <c r="N21" s="63">
        <v>500000000</v>
      </c>
      <c r="O21" s="62">
        <v>1</v>
      </c>
      <c r="P21" s="62"/>
      <c r="Q21" s="62"/>
      <c r="R21" s="62">
        <v>5</v>
      </c>
      <c r="S21" s="62"/>
      <c r="T21" s="62"/>
    </row>
    <row r="22" spans="1:20" x14ac:dyDescent="0.2">
      <c r="A22" t="s">
        <v>184</v>
      </c>
      <c r="B22" t="s">
        <v>572</v>
      </c>
      <c r="C22" t="s">
        <v>573</v>
      </c>
      <c r="E22" t="s">
        <v>574</v>
      </c>
      <c r="F22" s="1">
        <v>42864</v>
      </c>
      <c r="G22" s="1">
        <v>45421</v>
      </c>
      <c r="H22" t="s">
        <v>576</v>
      </c>
      <c r="I22" t="s">
        <v>305</v>
      </c>
      <c r="J22" t="s">
        <v>257</v>
      </c>
      <c r="K22" t="s">
        <v>577</v>
      </c>
      <c r="L22">
        <v>3</v>
      </c>
      <c r="M22" t="s">
        <v>270</v>
      </c>
      <c r="N22" s="63">
        <v>1000000000</v>
      </c>
      <c r="O22" s="62"/>
      <c r="P22" s="62">
        <v>1</v>
      </c>
      <c r="Q22" s="62"/>
      <c r="R22" s="62"/>
      <c r="S22" s="62"/>
      <c r="T22" s="62"/>
    </row>
    <row r="23" spans="1:20" x14ac:dyDescent="0.2">
      <c r="A23" t="s">
        <v>198</v>
      </c>
      <c r="C23" t="s">
        <v>1635</v>
      </c>
      <c r="E23" t="s">
        <v>1636</v>
      </c>
      <c r="F23" s="1">
        <v>44098</v>
      </c>
      <c r="G23" s="1">
        <v>45924</v>
      </c>
      <c r="H23" t="s">
        <v>1637</v>
      </c>
      <c r="I23" t="s">
        <v>278</v>
      </c>
      <c r="J23" t="s">
        <v>384</v>
      </c>
      <c r="K23" t="s">
        <v>2812</v>
      </c>
      <c r="L23">
        <v>3</v>
      </c>
      <c r="M23" t="s">
        <v>386</v>
      </c>
      <c r="N23" s="63">
        <v>300000000000</v>
      </c>
      <c r="O23" s="62"/>
      <c r="P23" s="62"/>
      <c r="Q23">
        <v>1</v>
      </c>
      <c r="R23" s="62">
        <v>8</v>
      </c>
      <c r="S23" s="62"/>
      <c r="T23" s="62"/>
    </row>
    <row r="24" spans="1:20" x14ac:dyDescent="0.2">
      <c r="A24" t="s">
        <v>164</v>
      </c>
      <c r="B24" t="s">
        <v>1515</v>
      </c>
      <c r="E24" t="s">
        <v>1516</v>
      </c>
      <c r="F24" s="1">
        <v>43581</v>
      </c>
      <c r="G24" s="1">
        <v>44677</v>
      </c>
      <c r="H24" t="s">
        <v>1517</v>
      </c>
      <c r="I24" t="s">
        <v>305</v>
      </c>
      <c r="J24" t="s">
        <v>808</v>
      </c>
      <c r="K24" t="s">
        <v>1518</v>
      </c>
      <c r="L24">
        <v>3</v>
      </c>
      <c r="M24" t="s">
        <v>811</v>
      </c>
      <c r="N24" s="63">
        <v>100000000</v>
      </c>
      <c r="O24" s="62"/>
      <c r="P24" s="62"/>
      <c r="Q24" s="62">
        <v>1</v>
      </c>
      <c r="R24" s="62">
        <v>7</v>
      </c>
      <c r="S24" s="62"/>
      <c r="T24" s="62"/>
    </row>
    <row r="25" spans="1:20" x14ac:dyDescent="0.2">
      <c r="A25" s="60" t="s">
        <v>152</v>
      </c>
      <c r="B25" t="s">
        <v>1131</v>
      </c>
      <c r="D25" t="s">
        <v>1132</v>
      </c>
      <c r="E25" t="s">
        <v>1133</v>
      </c>
      <c r="F25" s="1">
        <v>44012</v>
      </c>
      <c r="G25" s="1">
        <v>46762</v>
      </c>
      <c r="H25" t="s">
        <v>1134</v>
      </c>
      <c r="I25" t="s">
        <v>256</v>
      </c>
      <c r="J25" t="s">
        <v>257</v>
      </c>
      <c r="K25" t="s">
        <v>1135</v>
      </c>
      <c r="L25">
        <v>3</v>
      </c>
      <c r="M25" t="s">
        <v>270</v>
      </c>
      <c r="N25" s="63">
        <v>500000000</v>
      </c>
      <c r="O25" s="62">
        <v>1</v>
      </c>
      <c r="P25" s="62"/>
      <c r="Q25" s="62"/>
      <c r="R25" s="62">
        <v>2</v>
      </c>
      <c r="S25" s="62"/>
      <c r="T25" s="62"/>
    </row>
    <row r="26" spans="1:20" x14ac:dyDescent="0.2">
      <c r="A26" s="60" t="s">
        <v>200</v>
      </c>
      <c r="B26" t="s">
        <v>1851</v>
      </c>
      <c r="D26" t="s">
        <v>1852</v>
      </c>
      <c r="E26" t="s">
        <v>1853</v>
      </c>
      <c r="F26" s="1">
        <v>42914</v>
      </c>
      <c r="G26" s="1">
        <v>46566</v>
      </c>
      <c r="H26" t="s">
        <v>1854</v>
      </c>
      <c r="I26" t="s">
        <v>256</v>
      </c>
      <c r="J26" t="s">
        <v>343</v>
      </c>
      <c r="K26" t="s">
        <v>1855</v>
      </c>
      <c r="L26">
        <v>3</v>
      </c>
      <c r="M26" t="s">
        <v>345</v>
      </c>
      <c r="N26" s="63">
        <v>4600000000</v>
      </c>
      <c r="O26" s="62">
        <v>1</v>
      </c>
      <c r="P26" s="62"/>
      <c r="Q26" s="62"/>
      <c r="R26" s="62">
        <v>4</v>
      </c>
      <c r="S26" s="62"/>
      <c r="T26" s="62"/>
    </row>
    <row r="27" spans="1:20" x14ac:dyDescent="0.2">
      <c r="D27" t="s">
        <v>1322</v>
      </c>
      <c r="E27" t="s">
        <v>1323</v>
      </c>
      <c r="H27" t="s">
        <v>399</v>
      </c>
      <c r="I27" t="s">
        <v>256</v>
      </c>
      <c r="J27" t="s">
        <v>400</v>
      </c>
      <c r="K27" t="s">
        <v>1324</v>
      </c>
      <c r="L27">
        <v>3</v>
      </c>
      <c r="M27" t="s">
        <v>401</v>
      </c>
      <c r="N27" s="63"/>
      <c r="O27" s="62"/>
      <c r="P27" s="62">
        <v>1</v>
      </c>
      <c r="Q27" s="62"/>
      <c r="R27" s="62"/>
      <c r="S27" s="62"/>
      <c r="T27"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66" t="s">
        <v>2833</v>
      </c>
    </row>
    <row r="6" spans="1:1" x14ac:dyDescent="0.2">
      <c r="A6" s="66" t="s">
        <v>2832</v>
      </c>
    </row>
    <row r="7" spans="1:1" x14ac:dyDescent="0.2">
      <c r="A7" s="66" t="s">
        <v>2831</v>
      </c>
    </row>
    <row r="8" spans="1:1" x14ac:dyDescent="0.2">
      <c r="A8" s="66" t="s">
        <v>2830</v>
      </c>
    </row>
    <row r="9" spans="1:1" x14ac:dyDescent="0.2">
      <c r="A9" s="66" t="s">
        <v>2829</v>
      </c>
    </row>
    <row r="10" spans="1:1" x14ac:dyDescent="0.2">
      <c r="A10" s="66" t="s">
        <v>2828</v>
      </c>
    </row>
    <row r="11" spans="1:1" x14ac:dyDescent="0.2">
      <c r="A11" s="66" t="s">
        <v>2827</v>
      </c>
    </row>
    <row r="12" spans="1:1" x14ac:dyDescent="0.2">
      <c r="A12" s="66" t="s">
        <v>2826</v>
      </c>
    </row>
    <row r="13" spans="1:1" x14ac:dyDescent="0.2">
      <c r="A13" s="66" t="s">
        <v>2825</v>
      </c>
    </row>
    <row r="14" spans="1:1" x14ac:dyDescent="0.2">
      <c r="A14" s="66" t="s">
        <v>2824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I9"/>
  <sheetViews>
    <sheetView zoomScale="133" zoomScaleNormal="133" workbookViewId="0">
      <selection activeCell="B10" sqref="B10"/>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9" x14ac:dyDescent="0.2">
      <c r="D2" s="70" t="s">
        <v>2841</v>
      </c>
      <c r="E2" s="70"/>
      <c r="F2" s="70" t="s">
        <v>2840</v>
      </c>
      <c r="G2" s="70"/>
      <c r="H2" s="70" t="s">
        <v>2839</v>
      </c>
      <c r="I2" s="70"/>
    </row>
    <row r="3" spans="2:9" x14ac:dyDescent="0.2">
      <c r="D3" s="28" t="s">
        <v>2838</v>
      </c>
      <c r="E3" s="28" t="s">
        <v>2837</v>
      </c>
      <c r="F3" s="28" t="s">
        <v>2838</v>
      </c>
      <c r="G3" s="28" t="s">
        <v>2837</v>
      </c>
      <c r="H3" s="28" t="s">
        <v>2838</v>
      </c>
      <c r="I3" s="28" t="s">
        <v>2837</v>
      </c>
    </row>
    <row r="4" spans="2:9" x14ac:dyDescent="0.2">
      <c r="C4" s="28" t="s">
        <v>2835</v>
      </c>
      <c r="D4" s="67">
        <v>0.62708333333333333</v>
      </c>
      <c r="E4" s="67">
        <v>0.54166666666666663</v>
      </c>
      <c r="F4" s="62">
        <v>16.079999999999998</v>
      </c>
      <c r="G4" s="62">
        <v>13.52</v>
      </c>
      <c r="H4" s="62">
        <v>16.09</v>
      </c>
      <c r="I4" s="62">
        <v>15.19</v>
      </c>
    </row>
    <row r="5" spans="2:9" x14ac:dyDescent="0.2">
      <c r="C5" s="28" t="s">
        <v>2834</v>
      </c>
      <c r="D5" s="67">
        <v>0.64236111111111116</v>
      </c>
      <c r="E5" s="67">
        <v>0.56111111111111112</v>
      </c>
      <c r="F5" s="62">
        <v>17.57</v>
      </c>
      <c r="G5" s="62">
        <v>14.29</v>
      </c>
      <c r="H5" s="62">
        <v>16.45</v>
      </c>
      <c r="I5" s="62">
        <v>15.32</v>
      </c>
    </row>
    <row r="6" spans="2:9" x14ac:dyDescent="0.2">
      <c r="B6" s="69" t="s">
        <v>2836</v>
      </c>
      <c r="C6" s="28" t="s">
        <v>2835</v>
      </c>
      <c r="D6" s="67"/>
      <c r="E6" s="62"/>
      <c r="F6" s="62"/>
      <c r="G6" s="62"/>
      <c r="H6" s="62"/>
      <c r="I6" s="62"/>
    </row>
    <row r="7" spans="2:9" x14ac:dyDescent="0.2">
      <c r="B7" s="69"/>
      <c r="C7" s="28" t="s">
        <v>2834</v>
      </c>
      <c r="D7" s="67"/>
      <c r="E7" s="62"/>
      <c r="F7" s="62"/>
      <c r="G7" s="62"/>
      <c r="H7" s="62"/>
      <c r="I7" s="62"/>
    </row>
    <row r="8" spans="2:9" x14ac:dyDescent="0.2">
      <c r="B8" s="69" t="s">
        <v>2836</v>
      </c>
      <c r="C8" s="28" t="s">
        <v>2835</v>
      </c>
      <c r="D8" s="62"/>
      <c r="E8" s="62"/>
      <c r="F8" s="62"/>
      <c r="G8" s="62"/>
      <c r="H8" s="62"/>
      <c r="I8" s="62"/>
    </row>
    <row r="9" spans="2:9" x14ac:dyDescent="0.2">
      <c r="B9" s="69"/>
      <c r="C9" s="28" t="s">
        <v>2834</v>
      </c>
      <c r="D9" s="62"/>
      <c r="E9" s="62"/>
      <c r="F9" s="62"/>
      <c r="G9" s="62"/>
      <c r="H9" s="62"/>
      <c r="I9" s="62"/>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workbookViewId="0">
      <selection activeCell="Z49" sqref="Z49:Z292"/>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hidden="1"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hidden="1"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hidden="1"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hidden="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hidden="1"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hidden="1"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hidden="1"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hidden="1"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hidden="1"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hidden="1"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hidden="1"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hidden="1"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hidden="1"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hidden="1"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hidden="1"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hidden="1"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hidden="1"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hidden="1"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hidden="1"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hidden="1"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hidden="1"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hidden="1"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hidden="1"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hidden="1"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hidden="1"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hidden="1"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hidden="1"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hidden="1"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hidden="1"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hidden="1"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hidden="1"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hidden="1"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hidden="1"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hidden="1"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hidden="1"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hidden="1"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hidden="1"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hidden="1"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hidden="1"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hidden="1"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hidden="1"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hidden="1"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hidden="1"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hidden="1"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hidden="1"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hidden="1"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hidden="1"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hidden="1"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hidden="1"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hidden="1"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hidden="1"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hidden="1"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hidden="1"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hidden="1"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hidden="1"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hidden="1"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hidden="1"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hidden="1"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hidden="1"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hidden="1"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hidden="1"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hidden="1"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hidden="1"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hidden="1"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hidden="1"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hidden="1"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hidden="1"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hidden="1"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hidden="1"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hidden="1"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hidden="1"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hidden="1"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hidden="1"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hidden="1"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hidden="1"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hidden="1"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hidden="1"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hidden="1"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hidden="1"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hidden="1"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hidden="1"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hidden="1"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hidden="1"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hidden="1"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hidden="1"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hidden="1"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hidden="1"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hidden="1"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hidden="1"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hidden="1"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hidden="1"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hidden="1"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hidden="1"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hidden="1"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hidden="1"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hidden="1"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hidden="1"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hidden="1"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hidden="1"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hidden="1"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hidden="1"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hidden="1"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hidden="1"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hidden="1"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hidden="1"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hidden="1"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hidden="1"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hidden="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hidden="1"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hidden="1"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hidden="1"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hidden="1"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hidden="1"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hidden="1"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hidden="1"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hidden="1"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hidden="1"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hidden="1"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hidden="1"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hidden="1"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hidden="1"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hidden="1"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hidden="1"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hidden="1"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hidden="1"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hidden="1"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hidden="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hidden="1"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hidden="1"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hidden="1"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hidden="1"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hidden="1"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hidden="1"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hidden="1"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hidden="1"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hidden="1"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hidden="1"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hidden="1"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hidden="1"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hidden="1"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hidden="1"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hidden="1"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hidden="1"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hidden="1"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hidden="1"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hidden="1"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hidden="1"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hidden="1"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hidden="1"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hidden="1"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hidden="1"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hidden="1"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hidden="1"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hidden="1"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hidden="1"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hidden="1"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hidden="1"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hidden="1"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hidden="1"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hidden="1"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hidden="1"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hidden="1"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hidden="1"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hidden="1"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hidden="1"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hidden="1"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hidden="1"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hidden="1"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hidden="1"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hidden="1"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hidden="1"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hidden="1"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hidden="1"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hidden="1"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hidden="1"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hidden="1"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hidden="1"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hidden="1"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hidden="1"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hidden="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hidden="1"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hidden="1"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hidden="1"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hidden="1"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hidden="1"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hidden="1"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hidden="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hidden="1"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hidden="1"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hidden="1"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hidden="1"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hidden="1"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hidden="1"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hidden="1"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hidden="1"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hidden="1"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hidden="1"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hidden="1"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hidden="1"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hidden="1"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hidden="1"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hidden="1"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hidden="1"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hidden="1"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hidden="1"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hidden="1"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hidden="1"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hidden="1"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hidden="1"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hidden="1"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hidden="1"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hidden="1"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hidden="1"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hidden="1"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hidden="1"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hidden="1"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hidden="1"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hidden="1"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hidden="1"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hidden="1"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hidden="1"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hidden="1"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hidden="1"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hidden="1"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hidden="1"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hidden="1"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hidden="1"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hidden="1"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hidden="1"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hidden="1"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hidden="1"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hidden="1"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hidden="1"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hidden="1"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hidden="1"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hidden="1"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hidden="1"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hidden="1"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hidden="1"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hidden="1"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hidden="1"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hidden="1"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hidden="1"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hidden="1"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hidden="1"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hidden="1"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hidden="1"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hidden="1"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hidden="1"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hidden="1"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hidden="1"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hidden="1"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hidden="1"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hidden="1"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hidden="1"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hidden="1"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hidden="1"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hidden="1"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hidden="1"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hidden="1"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F1"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57"/>
  <sheetViews>
    <sheetView topLeftCell="V1" workbookViewId="0">
      <selection activeCell="AA3" sqref="AA3:AB56"/>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52" t="s">
        <v>237</v>
      </c>
      <c r="AB3" s="55" t="s">
        <v>1953</v>
      </c>
    </row>
    <row r="4" spans="6:28" x14ac:dyDescent="0.2">
      <c r="AA4" s="54" t="s">
        <v>1142</v>
      </c>
      <c r="AB4" s="56" t="s">
        <v>1955</v>
      </c>
    </row>
    <row r="5" spans="6:28" x14ac:dyDescent="0.2">
      <c r="I5" s="35"/>
      <c r="N5" t="b">
        <f>I5=O5</f>
        <v>0</v>
      </c>
      <c r="O5" s="38" t="s">
        <v>1142</v>
      </c>
      <c r="AA5" s="54" t="s">
        <v>577</v>
      </c>
      <c r="AB5" s="56" t="s">
        <v>1955</v>
      </c>
    </row>
    <row r="6" spans="6:28" x14ac:dyDescent="0.2">
      <c r="G6" s="36" t="s">
        <v>2746</v>
      </c>
      <c r="H6" t="b">
        <f>G6=I6</f>
        <v>1</v>
      </c>
      <c r="I6" s="33" t="s">
        <v>2746</v>
      </c>
      <c r="N6" t="b">
        <f t="shared" ref="N6:N56" si="0">I6=O6</f>
        <v>1</v>
      </c>
      <c r="O6" s="32" t="s">
        <v>2746</v>
      </c>
      <c r="AA6" s="54" t="s">
        <v>1415</v>
      </c>
      <c r="AB6" s="56" t="s">
        <v>1955</v>
      </c>
    </row>
    <row r="7" spans="6:28" x14ac:dyDescent="0.2">
      <c r="F7" s="7" t="s">
        <v>854</v>
      </c>
      <c r="H7" t="b">
        <f t="shared" ref="H7:H55" si="1">G7=I7</f>
        <v>0</v>
      </c>
      <c r="I7" s="35" t="s">
        <v>577</v>
      </c>
      <c r="N7" t="b">
        <f t="shared" si="0"/>
        <v>1</v>
      </c>
      <c r="O7" s="38" t="s">
        <v>577</v>
      </c>
      <c r="AA7" s="53" t="s">
        <v>1415</v>
      </c>
      <c r="AB7" s="57" t="s">
        <v>1956</v>
      </c>
    </row>
    <row r="8" spans="6:28" x14ac:dyDescent="0.2">
      <c r="F8" s="7" t="s">
        <v>874</v>
      </c>
      <c r="G8" s="36" t="s">
        <v>2758</v>
      </c>
      <c r="H8" t="b">
        <f t="shared" si="1"/>
        <v>1</v>
      </c>
      <c r="I8" s="33" t="s">
        <v>2758</v>
      </c>
      <c r="N8" t="b">
        <f t="shared" si="0"/>
        <v>1</v>
      </c>
      <c r="O8" s="32" t="s">
        <v>2758</v>
      </c>
      <c r="AA8" s="54" t="s">
        <v>1316</v>
      </c>
      <c r="AB8" s="56" t="s">
        <v>1955</v>
      </c>
    </row>
    <row r="9" spans="6:28" x14ac:dyDescent="0.2">
      <c r="F9" s="7" t="s">
        <v>280</v>
      </c>
      <c r="G9" s="36" t="s">
        <v>2735</v>
      </c>
      <c r="H9" t="b">
        <f t="shared" si="1"/>
        <v>1</v>
      </c>
      <c r="I9" s="33" t="s">
        <v>2735</v>
      </c>
      <c r="N9" t="b">
        <f t="shared" si="0"/>
        <v>1</v>
      </c>
      <c r="O9" s="32" t="s">
        <v>2735</v>
      </c>
      <c r="AA9" s="54" t="s">
        <v>1316</v>
      </c>
      <c r="AB9" s="56" t="s">
        <v>1956</v>
      </c>
    </row>
    <row r="10" spans="6:28" x14ac:dyDescent="0.2">
      <c r="F10" s="7" t="s">
        <v>507</v>
      </c>
      <c r="G10" s="36" t="s">
        <v>1415</v>
      </c>
      <c r="H10" t="b">
        <f t="shared" si="1"/>
        <v>1</v>
      </c>
      <c r="I10" s="33" t="s">
        <v>1415</v>
      </c>
      <c r="N10" t="b">
        <f t="shared" si="0"/>
        <v>1</v>
      </c>
      <c r="O10" s="33" t="s">
        <v>1415</v>
      </c>
      <c r="AA10" s="53" t="s">
        <v>651</v>
      </c>
      <c r="AB10" s="57" t="s">
        <v>1955</v>
      </c>
    </row>
    <row r="11" spans="6:28" x14ac:dyDescent="0.2">
      <c r="F11" s="7" t="s">
        <v>307</v>
      </c>
      <c r="G11" s="36" t="s">
        <v>2754</v>
      </c>
      <c r="H11" t="b">
        <f t="shared" si="1"/>
        <v>1</v>
      </c>
      <c r="I11" s="33" t="s">
        <v>2754</v>
      </c>
      <c r="N11" t="b">
        <f t="shared" si="0"/>
        <v>1</v>
      </c>
      <c r="O11" s="32" t="s">
        <v>2754</v>
      </c>
      <c r="AA11" s="54" t="s">
        <v>651</v>
      </c>
      <c r="AB11" s="56" t="s">
        <v>1957</v>
      </c>
    </row>
    <row r="12" spans="6:28" x14ac:dyDescent="0.2">
      <c r="F12" s="7" t="s">
        <v>986</v>
      </c>
      <c r="G12" s="36" t="s">
        <v>2760</v>
      </c>
      <c r="H12" t="b">
        <f t="shared" si="1"/>
        <v>1</v>
      </c>
      <c r="I12" s="33" t="s">
        <v>2760</v>
      </c>
      <c r="N12" t="b">
        <f t="shared" si="0"/>
        <v>0</v>
      </c>
      <c r="O12" s="32" t="s">
        <v>1316</v>
      </c>
      <c r="AA12" s="53" t="s">
        <v>651</v>
      </c>
      <c r="AB12" s="57" t="s">
        <v>1956</v>
      </c>
    </row>
    <row r="13" spans="6:28" x14ac:dyDescent="0.2">
      <c r="F13" s="7" t="s">
        <v>320</v>
      </c>
      <c r="G13" s="36" t="s">
        <v>2748</v>
      </c>
      <c r="H13" t="b">
        <f t="shared" si="1"/>
        <v>1</v>
      </c>
      <c r="I13" s="33" t="s">
        <v>2748</v>
      </c>
      <c r="N13" t="b">
        <f t="shared" si="0"/>
        <v>1</v>
      </c>
      <c r="O13" s="32" t="s">
        <v>2748</v>
      </c>
      <c r="AA13" s="54" t="s">
        <v>1072</v>
      </c>
      <c r="AB13" s="56" t="s">
        <v>1955</v>
      </c>
    </row>
    <row r="14" spans="6:28" x14ac:dyDescent="0.2">
      <c r="F14" s="7" t="s">
        <v>1024</v>
      </c>
      <c r="G14" s="36" t="s">
        <v>2761</v>
      </c>
      <c r="H14" t="b">
        <f t="shared" si="1"/>
        <v>1</v>
      </c>
      <c r="I14" s="33" t="s">
        <v>2761</v>
      </c>
      <c r="N14" t="b">
        <f t="shared" si="0"/>
        <v>0</v>
      </c>
      <c r="O14" s="32" t="s">
        <v>651</v>
      </c>
      <c r="AA14" s="53" t="s">
        <v>1556</v>
      </c>
      <c r="AB14" s="57" t="s">
        <v>1955</v>
      </c>
    </row>
    <row r="15" spans="6:28" x14ac:dyDescent="0.2">
      <c r="F15" s="7" t="s">
        <v>427</v>
      </c>
      <c r="G15" s="36" t="s">
        <v>2756</v>
      </c>
      <c r="H15" t="b">
        <f t="shared" si="1"/>
        <v>1</v>
      </c>
      <c r="I15" s="33" t="s">
        <v>2756</v>
      </c>
      <c r="N15" t="b">
        <f t="shared" si="0"/>
        <v>1</v>
      </c>
      <c r="O15" s="32" t="s">
        <v>2756</v>
      </c>
      <c r="AA15" s="53" t="s">
        <v>1065</v>
      </c>
      <c r="AB15" s="57" t="s">
        <v>1961</v>
      </c>
    </row>
    <row r="16" spans="6:28" x14ac:dyDescent="0.2">
      <c r="F16" s="7" t="s">
        <v>659</v>
      </c>
      <c r="G16" s="36" t="s">
        <v>2759</v>
      </c>
      <c r="H16" t="b">
        <f t="shared" si="1"/>
        <v>1</v>
      </c>
      <c r="I16" s="33" t="s">
        <v>2759</v>
      </c>
      <c r="N16" t="b">
        <f t="shared" si="0"/>
        <v>1</v>
      </c>
      <c r="O16" s="32" t="s">
        <v>2759</v>
      </c>
      <c r="AA16" s="54" t="s">
        <v>1065</v>
      </c>
      <c r="AB16" s="56" t="s">
        <v>1956</v>
      </c>
    </row>
    <row r="17" spans="6:28" x14ac:dyDescent="0.2">
      <c r="F17" s="7" t="s">
        <v>646</v>
      </c>
      <c r="G17" s="36" t="s">
        <v>1072</v>
      </c>
      <c r="H17" t="b">
        <f t="shared" si="1"/>
        <v>1</v>
      </c>
      <c r="I17" s="33" t="s">
        <v>1072</v>
      </c>
      <c r="N17" t="b">
        <f t="shared" si="0"/>
        <v>1</v>
      </c>
      <c r="O17" s="32" t="s">
        <v>1072</v>
      </c>
      <c r="AA17" s="53" t="s">
        <v>1065</v>
      </c>
      <c r="AB17" s="57" t="s">
        <v>1955</v>
      </c>
    </row>
    <row r="18" spans="6:28" x14ac:dyDescent="0.2">
      <c r="F18" s="7" t="s">
        <v>385</v>
      </c>
      <c r="H18" t="b">
        <f t="shared" si="1"/>
        <v>0</v>
      </c>
      <c r="I18" s="35" t="s">
        <v>1556</v>
      </c>
      <c r="N18" t="b">
        <f t="shared" si="0"/>
        <v>1</v>
      </c>
      <c r="O18" s="38" t="s">
        <v>1556</v>
      </c>
      <c r="AA18" s="54" t="s">
        <v>1065</v>
      </c>
      <c r="AB18" s="56" t="s">
        <v>1960</v>
      </c>
    </row>
    <row r="19" spans="6:28" x14ac:dyDescent="0.2">
      <c r="F19" s="7" t="s">
        <v>1221</v>
      </c>
      <c r="G19" s="36" t="s">
        <v>1156</v>
      </c>
      <c r="H19" t="b">
        <f t="shared" si="1"/>
        <v>1</v>
      </c>
      <c r="I19" s="33" t="s">
        <v>1156</v>
      </c>
      <c r="N19" t="b">
        <f t="shared" si="0"/>
        <v>1</v>
      </c>
      <c r="O19" s="32" t="s">
        <v>1156</v>
      </c>
      <c r="AA19" s="53" t="s">
        <v>905</v>
      </c>
      <c r="AB19" s="57" t="s">
        <v>1961</v>
      </c>
    </row>
    <row r="20" spans="6:28" x14ac:dyDescent="0.2">
      <c r="F20" s="7" t="s">
        <v>1247</v>
      </c>
      <c r="H20" t="b">
        <f t="shared" si="1"/>
        <v>0</v>
      </c>
      <c r="I20" s="37" t="s">
        <v>1474</v>
      </c>
      <c r="N20" t="b">
        <f t="shared" si="0"/>
        <v>1</v>
      </c>
      <c r="O20" s="32" t="s">
        <v>1474</v>
      </c>
      <c r="AA20" s="53" t="s">
        <v>905</v>
      </c>
      <c r="AB20" s="57" t="s">
        <v>1955</v>
      </c>
    </row>
    <row r="21" spans="6:28" x14ac:dyDescent="0.2">
      <c r="F21" s="7" t="s">
        <v>1258</v>
      </c>
      <c r="G21" s="36" t="s">
        <v>2750</v>
      </c>
      <c r="H21" t="b">
        <f t="shared" si="1"/>
        <v>1</v>
      </c>
      <c r="I21" s="33" t="s">
        <v>2750</v>
      </c>
      <c r="N21" t="b">
        <f t="shared" si="0"/>
        <v>1</v>
      </c>
      <c r="O21" s="32" t="s">
        <v>2750</v>
      </c>
      <c r="AA21" s="53" t="s">
        <v>1398</v>
      </c>
      <c r="AB21" s="57" t="s">
        <v>1955</v>
      </c>
    </row>
    <row r="22" spans="6:28" x14ac:dyDescent="0.2">
      <c r="F22" s="7" t="s">
        <v>1281</v>
      </c>
      <c r="H22" t="b">
        <f t="shared" si="1"/>
        <v>0</v>
      </c>
      <c r="I22" s="35" t="s">
        <v>1065</v>
      </c>
      <c r="N22" t="b">
        <f t="shared" si="0"/>
        <v>1</v>
      </c>
      <c r="O22" s="38" t="s">
        <v>1065</v>
      </c>
      <c r="AA22" s="53" t="s">
        <v>809</v>
      </c>
      <c r="AB22" s="57" t="s">
        <v>1956</v>
      </c>
    </row>
    <row r="23" spans="6:28" x14ac:dyDescent="0.2">
      <c r="F23" s="7" t="s">
        <v>1294</v>
      </c>
      <c r="H23" t="b">
        <f t="shared" si="1"/>
        <v>0</v>
      </c>
      <c r="I23" s="35" t="s">
        <v>905</v>
      </c>
      <c r="N23" t="b">
        <f t="shared" si="0"/>
        <v>1</v>
      </c>
      <c r="O23" s="38" t="s">
        <v>905</v>
      </c>
      <c r="AA23" s="54" t="s">
        <v>809</v>
      </c>
      <c r="AB23" s="56" t="s">
        <v>1960</v>
      </c>
    </row>
    <row r="24" spans="6:28" x14ac:dyDescent="0.2">
      <c r="F24" s="7" t="s">
        <v>725</v>
      </c>
      <c r="H24" t="b">
        <f t="shared" si="1"/>
        <v>0</v>
      </c>
      <c r="I24" s="35" t="s">
        <v>1398</v>
      </c>
      <c r="N24" t="b">
        <f t="shared" si="0"/>
        <v>1</v>
      </c>
      <c r="O24" s="38" t="s">
        <v>1398</v>
      </c>
      <c r="AA24" s="53" t="s">
        <v>1191</v>
      </c>
      <c r="AB24" s="57" t="s">
        <v>1961</v>
      </c>
    </row>
    <row r="25" spans="6:28" x14ac:dyDescent="0.2">
      <c r="F25" s="7" t="s">
        <v>335</v>
      </c>
      <c r="H25" t="b">
        <f t="shared" si="1"/>
        <v>1</v>
      </c>
      <c r="I25" s="35"/>
      <c r="N25" t="b">
        <f t="shared" si="0"/>
        <v>0</v>
      </c>
      <c r="O25" s="38" t="s">
        <v>809</v>
      </c>
      <c r="AA25" s="54" t="s">
        <v>1191</v>
      </c>
      <c r="AB25" s="56" t="s">
        <v>1956</v>
      </c>
    </row>
    <row r="26" spans="6:28" x14ac:dyDescent="0.2">
      <c r="F26" s="7" t="s">
        <v>1466</v>
      </c>
      <c r="G26" s="36" t="s">
        <v>2757</v>
      </c>
      <c r="H26" t="b">
        <f t="shared" si="1"/>
        <v>1</v>
      </c>
      <c r="I26" s="33" t="s">
        <v>2757</v>
      </c>
      <c r="N26" t="b">
        <f t="shared" si="0"/>
        <v>1</v>
      </c>
      <c r="O26" s="32" t="s">
        <v>2757</v>
      </c>
      <c r="AA26" s="54" t="s">
        <v>1191</v>
      </c>
      <c r="AB26" s="56" t="s">
        <v>1959</v>
      </c>
    </row>
    <row r="27" spans="6:28" x14ac:dyDescent="0.2">
      <c r="F27" s="7" t="s">
        <v>468</v>
      </c>
      <c r="G27" s="36" t="s">
        <v>2745</v>
      </c>
      <c r="H27" t="b">
        <f t="shared" si="1"/>
        <v>1</v>
      </c>
      <c r="I27" s="33" t="s">
        <v>2745</v>
      </c>
      <c r="N27" t="b">
        <f t="shared" si="0"/>
        <v>1</v>
      </c>
      <c r="O27" s="32" t="s">
        <v>2745</v>
      </c>
      <c r="AA27" s="54" t="s">
        <v>1191</v>
      </c>
      <c r="AB27" s="56" t="s">
        <v>1962</v>
      </c>
    </row>
    <row r="28" spans="6:28" x14ac:dyDescent="0.2">
      <c r="F28" s="7" t="s">
        <v>1550</v>
      </c>
      <c r="G28" s="36" t="s">
        <v>2755</v>
      </c>
      <c r="H28" t="b">
        <f t="shared" si="1"/>
        <v>1</v>
      </c>
      <c r="I28" s="33" t="s">
        <v>2755</v>
      </c>
      <c r="N28" t="b">
        <f t="shared" si="0"/>
        <v>1</v>
      </c>
      <c r="O28" s="32" t="s">
        <v>2755</v>
      </c>
      <c r="AA28" s="54" t="s">
        <v>1191</v>
      </c>
      <c r="AB28" s="56" t="s">
        <v>1965</v>
      </c>
    </row>
    <row r="29" spans="6:28" x14ac:dyDescent="0.2">
      <c r="F29" s="7" t="s">
        <v>480</v>
      </c>
      <c r="G29" s="36" t="s">
        <v>2749</v>
      </c>
      <c r="H29" t="b">
        <f t="shared" si="1"/>
        <v>1</v>
      </c>
      <c r="I29" s="33" t="s">
        <v>2749</v>
      </c>
      <c r="N29" t="b">
        <f t="shared" si="0"/>
        <v>1</v>
      </c>
      <c r="O29" s="32" t="s">
        <v>2749</v>
      </c>
      <c r="AA29" s="53" t="s">
        <v>1191</v>
      </c>
      <c r="AB29" s="57" t="s">
        <v>1955</v>
      </c>
    </row>
    <row r="30" spans="6:28" x14ac:dyDescent="0.2">
      <c r="F30" s="7" t="s">
        <v>1660</v>
      </c>
      <c r="G30" s="36" t="s">
        <v>2740</v>
      </c>
      <c r="H30" t="b">
        <f t="shared" si="1"/>
        <v>1</v>
      </c>
      <c r="I30" s="33" t="s">
        <v>2740</v>
      </c>
      <c r="N30" t="b">
        <f t="shared" si="0"/>
        <v>1</v>
      </c>
      <c r="O30" s="32" t="s">
        <v>2740</v>
      </c>
      <c r="AA30" s="54" t="s">
        <v>1191</v>
      </c>
      <c r="AB30" s="56" t="s">
        <v>1960</v>
      </c>
    </row>
    <row r="31" spans="6:28" x14ac:dyDescent="0.2">
      <c r="F31" s="7" t="s">
        <v>754</v>
      </c>
      <c r="G31" s="36" t="s">
        <v>1191</v>
      </c>
      <c r="H31" t="b">
        <f t="shared" si="1"/>
        <v>1</v>
      </c>
      <c r="I31" s="33" t="s">
        <v>1191</v>
      </c>
      <c r="N31" t="b">
        <f t="shared" si="0"/>
        <v>1</v>
      </c>
      <c r="O31" s="32" t="s">
        <v>1191</v>
      </c>
      <c r="AA31" s="54" t="s">
        <v>1191</v>
      </c>
      <c r="AB31" s="56" t="s">
        <v>441</v>
      </c>
    </row>
    <row r="32" spans="6:28" x14ac:dyDescent="0.2">
      <c r="F32" s="7" t="s">
        <v>1795</v>
      </c>
      <c r="G32" s="36" t="s">
        <v>2738</v>
      </c>
      <c r="H32" t="b">
        <f t="shared" si="1"/>
        <v>1</v>
      </c>
      <c r="I32" s="33" t="s">
        <v>2738</v>
      </c>
      <c r="N32" t="b">
        <f t="shared" si="0"/>
        <v>1</v>
      </c>
      <c r="O32" s="32" t="s">
        <v>2738</v>
      </c>
      <c r="AA32" s="54" t="s">
        <v>1191</v>
      </c>
      <c r="AB32" s="56" t="s">
        <v>1957</v>
      </c>
    </row>
    <row r="33" spans="6:28" x14ac:dyDescent="0.2">
      <c r="F33" s="7" t="s">
        <v>1838</v>
      </c>
      <c r="H33" t="b">
        <f>G31=I33</f>
        <v>0</v>
      </c>
      <c r="I33" s="35" t="s">
        <v>529</v>
      </c>
      <c r="N33" t="b">
        <f t="shared" si="0"/>
        <v>1</v>
      </c>
      <c r="O33" s="38" t="s">
        <v>529</v>
      </c>
      <c r="AA33" s="54" t="s">
        <v>529</v>
      </c>
      <c r="AB33" s="56" t="s">
        <v>1958</v>
      </c>
    </row>
    <row r="34" spans="6:28" x14ac:dyDescent="0.2">
      <c r="F34" s="7" t="s">
        <v>1879</v>
      </c>
      <c r="G34" s="36" t="s">
        <v>1031</v>
      </c>
      <c r="H34" t="b">
        <f t="shared" si="1"/>
        <v>1</v>
      </c>
      <c r="I34" s="33" t="s">
        <v>1031</v>
      </c>
      <c r="N34" t="b">
        <f t="shared" si="0"/>
        <v>1</v>
      </c>
      <c r="O34" s="32" t="s">
        <v>1031</v>
      </c>
      <c r="AA34" s="53" t="s">
        <v>529</v>
      </c>
      <c r="AB34" s="57" t="s">
        <v>1960</v>
      </c>
    </row>
    <row r="35" spans="6:28" x14ac:dyDescent="0.2">
      <c r="G35" s="36" t="s">
        <v>2736</v>
      </c>
      <c r="H35" t="b">
        <f t="shared" si="1"/>
        <v>1</v>
      </c>
      <c r="I35" s="33" t="s">
        <v>2736</v>
      </c>
      <c r="N35" t="b">
        <f t="shared" si="0"/>
        <v>1</v>
      </c>
      <c r="O35" s="32" t="s">
        <v>2736</v>
      </c>
      <c r="AA35" s="54" t="s">
        <v>529</v>
      </c>
      <c r="AB35" s="56" t="s">
        <v>1961</v>
      </c>
    </row>
    <row r="36" spans="6:28" x14ac:dyDescent="0.2">
      <c r="H36" t="b">
        <f t="shared" si="1"/>
        <v>1</v>
      </c>
      <c r="I36" s="35"/>
      <c r="N36" t="b">
        <f t="shared" si="0"/>
        <v>0</v>
      </c>
      <c r="O36" s="38" t="s">
        <v>816</v>
      </c>
      <c r="AA36" s="53" t="s">
        <v>529</v>
      </c>
      <c r="AB36" s="57" t="s">
        <v>1957</v>
      </c>
    </row>
    <row r="37" spans="6:28" x14ac:dyDescent="0.2">
      <c r="G37" s="36" t="s">
        <v>288</v>
      </c>
      <c r="H37" t="b">
        <f t="shared" si="1"/>
        <v>1</v>
      </c>
      <c r="I37" s="33" t="s">
        <v>288</v>
      </c>
      <c r="N37" t="b">
        <f t="shared" si="0"/>
        <v>1</v>
      </c>
      <c r="O37" s="32" t="s">
        <v>288</v>
      </c>
      <c r="AA37" s="54" t="s">
        <v>529</v>
      </c>
      <c r="AB37" s="56" t="s">
        <v>1962</v>
      </c>
    </row>
    <row r="38" spans="6:28" x14ac:dyDescent="0.2">
      <c r="H38" t="b">
        <f t="shared" si="1"/>
        <v>1</v>
      </c>
      <c r="I38" s="35"/>
      <c r="N38" t="b">
        <f t="shared" si="0"/>
        <v>0</v>
      </c>
      <c r="O38" s="38" t="s">
        <v>933</v>
      </c>
      <c r="AA38" s="54" t="s">
        <v>816</v>
      </c>
      <c r="AB38" s="56" t="s">
        <v>1956</v>
      </c>
    </row>
    <row r="39" spans="6:28" x14ac:dyDescent="0.2">
      <c r="G39" s="36" t="s">
        <v>2751</v>
      </c>
      <c r="H39" t="b">
        <f t="shared" si="1"/>
        <v>1</v>
      </c>
      <c r="I39" s="33" t="s">
        <v>2751</v>
      </c>
      <c r="N39" t="b">
        <f t="shared" si="0"/>
        <v>1</v>
      </c>
      <c r="O39" s="32" t="s">
        <v>2751</v>
      </c>
      <c r="AA39" s="53" t="s">
        <v>933</v>
      </c>
      <c r="AB39" s="57" t="s">
        <v>1958</v>
      </c>
    </row>
    <row r="40" spans="6:28" x14ac:dyDescent="0.2">
      <c r="G40" s="36" t="s">
        <v>2762</v>
      </c>
      <c r="H40" t="b">
        <f t="shared" si="1"/>
        <v>0</v>
      </c>
      <c r="I40" s="35"/>
      <c r="N40" t="b">
        <f t="shared" si="0"/>
        <v>0</v>
      </c>
      <c r="O40" s="38" t="s">
        <v>1846</v>
      </c>
      <c r="AA40" s="54" t="s">
        <v>1846</v>
      </c>
      <c r="AB40" s="56" t="s">
        <v>1960</v>
      </c>
    </row>
    <row r="41" spans="6:28" x14ac:dyDescent="0.2">
      <c r="G41" s="36" t="s">
        <v>2763</v>
      </c>
      <c r="H41" t="b">
        <f t="shared" si="1"/>
        <v>0</v>
      </c>
      <c r="I41" s="33" t="s">
        <v>2747</v>
      </c>
      <c r="N41" t="b">
        <f t="shared" si="0"/>
        <v>1</v>
      </c>
      <c r="O41" s="32" t="s">
        <v>2747</v>
      </c>
      <c r="AA41" s="53" t="s">
        <v>1846</v>
      </c>
      <c r="AB41" s="57" t="s">
        <v>1961</v>
      </c>
    </row>
    <row r="42" spans="6:28" x14ac:dyDescent="0.2">
      <c r="H42" t="b">
        <f t="shared" si="1"/>
        <v>1</v>
      </c>
      <c r="I42" s="35"/>
      <c r="N42" t="b">
        <f t="shared" si="0"/>
        <v>0</v>
      </c>
      <c r="O42" s="38" t="s">
        <v>1369</v>
      </c>
      <c r="AA42" s="53" t="s">
        <v>1846</v>
      </c>
      <c r="AB42" s="57" t="s">
        <v>1956</v>
      </c>
    </row>
    <row r="43" spans="6:28" x14ac:dyDescent="0.2">
      <c r="H43" t="b">
        <f t="shared" si="1"/>
        <v>0</v>
      </c>
      <c r="I43" s="33" t="s">
        <v>2734</v>
      </c>
      <c r="N43" t="b">
        <f t="shared" si="0"/>
        <v>1</v>
      </c>
      <c r="O43" s="32" t="s">
        <v>2734</v>
      </c>
      <c r="AA43" s="54" t="s">
        <v>1846</v>
      </c>
      <c r="AB43" s="56" t="s">
        <v>1962</v>
      </c>
    </row>
    <row r="44" spans="6:28" x14ac:dyDescent="0.2">
      <c r="G44" s="36" t="s">
        <v>2752</v>
      </c>
      <c r="H44" t="b">
        <f t="shared" si="1"/>
        <v>1</v>
      </c>
      <c r="I44" s="33" t="s">
        <v>2752</v>
      </c>
      <c r="N44" t="b">
        <f t="shared" si="0"/>
        <v>1</v>
      </c>
      <c r="O44" s="32" t="s">
        <v>2752</v>
      </c>
      <c r="AA44" s="53" t="s">
        <v>1369</v>
      </c>
      <c r="AB44" s="57" t="s">
        <v>1946</v>
      </c>
    </row>
    <row r="45" spans="6:28" x14ac:dyDescent="0.2">
      <c r="H45" t="b">
        <f t="shared" si="1"/>
        <v>0</v>
      </c>
      <c r="I45" s="35" t="s">
        <v>1638</v>
      </c>
      <c r="N45" t="b">
        <f t="shared" si="0"/>
        <v>1</v>
      </c>
      <c r="O45" s="38" t="s">
        <v>1638</v>
      </c>
      <c r="AA45" s="53" t="s">
        <v>1369</v>
      </c>
      <c r="AB45" s="57" t="s">
        <v>1960</v>
      </c>
    </row>
    <row r="46" spans="6:28" x14ac:dyDescent="0.2">
      <c r="G46" s="36" t="s">
        <v>2737</v>
      </c>
      <c r="H46" t="b">
        <f t="shared" si="1"/>
        <v>1</v>
      </c>
      <c r="I46" s="33" t="s">
        <v>2737</v>
      </c>
      <c r="N46" t="b">
        <f t="shared" si="0"/>
        <v>1</v>
      </c>
      <c r="O46" s="32" t="s">
        <v>2737</v>
      </c>
      <c r="AA46" s="54" t="s">
        <v>1369</v>
      </c>
      <c r="AB46" s="56" t="s">
        <v>1955</v>
      </c>
    </row>
    <row r="47" spans="6:28" x14ac:dyDescent="0.2">
      <c r="G47" s="36" t="s">
        <v>2743</v>
      </c>
      <c r="H47" t="b">
        <f t="shared" si="1"/>
        <v>1</v>
      </c>
      <c r="I47" s="33" t="s">
        <v>2743</v>
      </c>
      <c r="N47" t="b">
        <f t="shared" si="0"/>
        <v>1</v>
      </c>
      <c r="O47" s="32" t="s">
        <v>2743</v>
      </c>
      <c r="AA47" s="53" t="s">
        <v>1638</v>
      </c>
      <c r="AB47" s="57" t="s">
        <v>1956</v>
      </c>
    </row>
    <row r="48" spans="6:28" x14ac:dyDescent="0.2">
      <c r="G48" s="36" t="s">
        <v>2739</v>
      </c>
      <c r="H48" t="b">
        <f t="shared" si="1"/>
        <v>1</v>
      </c>
      <c r="I48" s="33" t="s">
        <v>2739</v>
      </c>
      <c r="N48" t="b">
        <f t="shared" si="0"/>
        <v>1</v>
      </c>
      <c r="O48" s="32" t="s">
        <v>2739</v>
      </c>
      <c r="AA48" s="54" t="s">
        <v>1638</v>
      </c>
      <c r="AB48" s="56" t="s">
        <v>1958</v>
      </c>
    </row>
    <row r="49" spans="7:28" x14ac:dyDescent="0.2">
      <c r="H49" t="b">
        <f t="shared" si="1"/>
        <v>0</v>
      </c>
      <c r="I49" s="35" t="s">
        <v>1518</v>
      </c>
      <c r="N49" t="b">
        <f t="shared" si="0"/>
        <v>1</v>
      </c>
      <c r="O49" s="38" t="s">
        <v>1518</v>
      </c>
      <c r="AA49" s="53" t="s">
        <v>1638</v>
      </c>
      <c r="AB49" s="57" t="s">
        <v>1960</v>
      </c>
    </row>
    <row r="50" spans="7:28" x14ac:dyDescent="0.2">
      <c r="G50" s="36" t="s">
        <v>2742</v>
      </c>
      <c r="H50" t="b">
        <f t="shared" si="1"/>
        <v>1</v>
      </c>
      <c r="I50" s="33" t="s">
        <v>2742</v>
      </c>
      <c r="N50" t="b">
        <f t="shared" si="0"/>
        <v>1</v>
      </c>
      <c r="O50" s="32" t="s">
        <v>2742</v>
      </c>
      <c r="AA50" s="54" t="s">
        <v>1638</v>
      </c>
      <c r="AB50" s="56" t="s">
        <v>1955</v>
      </c>
    </row>
    <row r="51" spans="7:28" x14ac:dyDescent="0.2">
      <c r="G51" s="36" t="s">
        <v>2741</v>
      </c>
      <c r="H51" t="b">
        <f t="shared" si="1"/>
        <v>1</v>
      </c>
      <c r="I51" s="33" t="s">
        <v>2741</v>
      </c>
      <c r="N51" t="b">
        <f t="shared" si="0"/>
        <v>1</v>
      </c>
      <c r="O51" s="32" t="s">
        <v>2741</v>
      </c>
      <c r="AA51" s="53" t="s">
        <v>1638</v>
      </c>
      <c r="AB51" s="57" t="s">
        <v>1957</v>
      </c>
    </row>
    <row r="52" spans="7:28" x14ac:dyDescent="0.2">
      <c r="H52" t="b">
        <f t="shared" si="1"/>
        <v>0</v>
      </c>
      <c r="I52" s="37" t="s">
        <v>2753</v>
      </c>
      <c r="N52" t="b">
        <f t="shared" si="0"/>
        <v>1</v>
      </c>
      <c r="O52" s="32" t="s">
        <v>2753</v>
      </c>
      <c r="AA52" s="54" t="s">
        <v>1638</v>
      </c>
      <c r="AB52" s="56" t="s">
        <v>1962</v>
      </c>
    </row>
    <row r="53" spans="7:28" x14ac:dyDescent="0.2">
      <c r="H53" t="b">
        <f t="shared" si="1"/>
        <v>0</v>
      </c>
      <c r="I53" s="35" t="s">
        <v>1135</v>
      </c>
      <c r="N53" t="b">
        <f t="shared" si="0"/>
        <v>1</v>
      </c>
      <c r="O53" s="38" t="s">
        <v>1135</v>
      </c>
      <c r="AA53" s="53" t="s">
        <v>1518</v>
      </c>
      <c r="AB53" s="57" t="s">
        <v>1955</v>
      </c>
    </row>
    <row r="54" spans="7:28" x14ac:dyDescent="0.2">
      <c r="G54" s="36" t="s">
        <v>2744</v>
      </c>
      <c r="H54" t="b">
        <f t="shared" si="1"/>
        <v>1</v>
      </c>
      <c r="I54" s="33" t="s">
        <v>2744</v>
      </c>
      <c r="N54" t="b">
        <f t="shared" si="0"/>
        <v>1</v>
      </c>
      <c r="O54" s="32" t="s">
        <v>2744</v>
      </c>
      <c r="AA54" s="54" t="s">
        <v>1135</v>
      </c>
      <c r="AB54" s="56" t="s">
        <v>1957</v>
      </c>
    </row>
    <row r="55" spans="7:28" x14ac:dyDescent="0.2">
      <c r="G55" s="36" t="s">
        <v>1529</v>
      </c>
      <c r="H55" t="b">
        <f t="shared" si="1"/>
        <v>1</v>
      </c>
      <c r="I55" s="33" t="s">
        <v>1529</v>
      </c>
      <c r="N55" t="b">
        <f t="shared" si="0"/>
        <v>1</v>
      </c>
      <c r="O55" s="32" t="s">
        <v>1529</v>
      </c>
      <c r="AA55" s="54" t="s">
        <v>1855</v>
      </c>
      <c r="AB55" s="56" t="s">
        <v>1956</v>
      </c>
    </row>
    <row r="56" spans="7:28" x14ac:dyDescent="0.2">
      <c r="N56" t="b">
        <f t="shared" si="0"/>
        <v>0</v>
      </c>
      <c r="O56" s="38" t="s">
        <v>1855</v>
      </c>
      <c r="AA56" s="53" t="s">
        <v>1324</v>
      </c>
      <c r="AB56" s="57" t="s">
        <v>1955</v>
      </c>
    </row>
    <row r="57" spans="7:28" x14ac:dyDescent="0.2">
      <c r="N57" t="b">
        <f>I58=O57</f>
        <v>0</v>
      </c>
      <c r="O57" s="38" t="s">
        <v>1324</v>
      </c>
    </row>
  </sheetData>
  <sortState xmlns:xlrd2="http://schemas.microsoft.com/office/spreadsheetml/2017/richdata2" ref="AA4:AB63">
    <sortCondition ref="AA4:AA63"/>
  </sortState>
  <pageMargins left="0.7" right="0.7" top="0.75" bottom="0.75" header="0.3" footer="0.3"/>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J13" sqref="J13"/>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workbookViewId="0">
      <selection activeCell="A33" sqref="A33:XFD33"/>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5</v>
      </c>
    </row>
    <row r="5" spans="1:6" x14ac:dyDescent="0.2">
      <c r="A5" t="s">
        <v>2754</v>
      </c>
      <c r="B5" t="s">
        <v>2767</v>
      </c>
      <c r="C5">
        <v>0</v>
      </c>
      <c r="D5">
        <v>0</v>
      </c>
      <c r="E5">
        <v>1</v>
      </c>
      <c r="F5">
        <v>8</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3</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2767</v>
      </c>
      <c r="C23">
        <v>0</v>
      </c>
      <c r="D23">
        <v>0</v>
      </c>
      <c r="E23">
        <v>1</v>
      </c>
      <c r="F23">
        <v>3</v>
      </c>
    </row>
    <row r="24" spans="1:6" x14ac:dyDescent="0.2">
      <c r="A24" t="s">
        <v>2759</v>
      </c>
      <c r="B24" t="s">
        <v>2767</v>
      </c>
      <c r="C24">
        <v>0</v>
      </c>
      <c r="D24">
        <v>0</v>
      </c>
      <c r="E24">
        <v>1</v>
      </c>
      <c r="F24" s="3">
        <v>6</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1191</v>
      </c>
      <c r="B33" t="s">
        <v>2767</v>
      </c>
      <c r="C33">
        <v>0</v>
      </c>
      <c r="D33">
        <v>1</v>
      </c>
      <c r="E33">
        <v>0</v>
      </c>
      <c r="F33">
        <v>0</v>
      </c>
    </row>
    <row r="34" spans="1:6" x14ac:dyDescent="0.2">
      <c r="A34" t="s">
        <v>1031</v>
      </c>
      <c r="B34" t="s">
        <v>2766</v>
      </c>
      <c r="C34">
        <v>0</v>
      </c>
      <c r="D34">
        <v>1</v>
      </c>
      <c r="E34">
        <v>0</v>
      </c>
      <c r="F34">
        <v>0</v>
      </c>
    </row>
    <row r="35" spans="1:6" x14ac:dyDescent="0.2">
      <c r="A35" t="s">
        <v>2739</v>
      </c>
      <c r="B35" t="s">
        <v>2767</v>
      </c>
      <c r="C35">
        <v>0</v>
      </c>
      <c r="D35">
        <v>0</v>
      </c>
      <c r="E35">
        <v>1</v>
      </c>
      <c r="F35">
        <v>8</v>
      </c>
    </row>
  </sheetData>
  <sortState xmlns:xlrd2="http://schemas.microsoft.com/office/spreadsheetml/2017/richdata2" ref="A2:F34">
    <sortCondition ref="A2:A34"/>
  </sortState>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J18"/>
  <sheetViews>
    <sheetView tabSelected="1" topLeftCell="C1" workbookViewId="0">
      <selection activeCell="F9" sqref="F9"/>
    </sheetView>
  </sheetViews>
  <sheetFormatPr baseColWidth="10" defaultRowHeight="16" x14ac:dyDescent="0.2"/>
  <cols>
    <col min="3" max="3" width="57.83203125" bestFit="1" customWidth="1"/>
    <col min="4" max="4" width="24" bestFit="1" customWidth="1"/>
    <col min="5" max="5" width="24" customWidth="1"/>
    <col min="6" max="6" width="27.1640625" customWidth="1"/>
    <col min="7" max="7" width="12.1640625" bestFit="1" customWidth="1"/>
    <col min="8" max="8" width="14.1640625" bestFit="1" customWidth="1"/>
    <col min="9" max="9" width="9.33203125" bestFit="1" customWidth="1"/>
    <col min="10" max="10" width="14.5" bestFit="1" customWidth="1"/>
  </cols>
  <sheetData>
    <row r="1" spans="1:10" x14ac:dyDescent="0.2">
      <c r="A1" t="s">
        <v>2852</v>
      </c>
      <c r="B1" t="s">
        <v>2851</v>
      </c>
      <c r="C1" s="28" t="s">
        <v>2773</v>
      </c>
      <c r="D1" s="28" t="s">
        <v>2774</v>
      </c>
      <c r="E1" s="28" t="s">
        <v>2842</v>
      </c>
      <c r="F1" s="28" t="s">
        <v>2775</v>
      </c>
      <c r="G1" s="28" t="s">
        <v>2769</v>
      </c>
      <c r="H1" s="28" t="s">
        <v>2770</v>
      </c>
      <c r="I1" s="28" t="s">
        <v>2771</v>
      </c>
      <c r="J1" s="28" t="s">
        <v>2772</v>
      </c>
    </row>
    <row r="2" spans="1:10" x14ac:dyDescent="0.2">
      <c r="B2" t="s">
        <v>2853</v>
      </c>
      <c r="C2" t="s">
        <v>1142</v>
      </c>
      <c r="D2" t="s">
        <v>2766</v>
      </c>
      <c r="E2" t="s">
        <v>2843</v>
      </c>
      <c r="F2">
        <v>1</v>
      </c>
      <c r="G2" s="62"/>
      <c r="H2" s="62">
        <v>1</v>
      </c>
      <c r="I2" s="62"/>
      <c r="J2" s="62"/>
    </row>
    <row r="3" spans="1:10" x14ac:dyDescent="0.2">
      <c r="B3" t="s">
        <v>2853</v>
      </c>
      <c r="C3" t="s">
        <v>577</v>
      </c>
      <c r="D3" t="s">
        <v>2766</v>
      </c>
      <c r="E3" t="s">
        <v>2843</v>
      </c>
      <c r="F3">
        <v>1</v>
      </c>
      <c r="G3" s="62"/>
      <c r="H3" s="62">
        <v>1</v>
      </c>
      <c r="I3" s="62"/>
      <c r="J3" s="62"/>
    </row>
    <row r="4" spans="1:10" x14ac:dyDescent="0.2">
      <c r="B4" t="s">
        <v>2853</v>
      </c>
      <c r="C4" t="s">
        <v>1556</v>
      </c>
      <c r="D4" t="s">
        <v>2766</v>
      </c>
      <c r="E4" t="s">
        <v>2843</v>
      </c>
      <c r="F4">
        <v>1</v>
      </c>
      <c r="G4" s="62"/>
      <c r="H4" s="62">
        <v>1</v>
      </c>
      <c r="I4" s="62"/>
      <c r="J4" s="62"/>
    </row>
    <row r="5" spans="1:10" x14ac:dyDescent="0.2">
      <c r="B5" t="s">
        <v>2853</v>
      </c>
      <c r="C5" t="s">
        <v>1065</v>
      </c>
      <c r="D5" t="s">
        <v>2766</v>
      </c>
      <c r="E5" t="s">
        <v>2846</v>
      </c>
      <c r="F5">
        <v>1</v>
      </c>
      <c r="G5" s="62"/>
      <c r="H5" s="62"/>
      <c r="I5" s="62">
        <v>1</v>
      </c>
      <c r="J5" s="62">
        <v>4</v>
      </c>
    </row>
    <row r="6" spans="1:10" x14ac:dyDescent="0.2">
      <c r="B6" t="s">
        <v>2853</v>
      </c>
      <c r="C6" t="s">
        <v>905</v>
      </c>
      <c r="D6" t="s">
        <v>2766</v>
      </c>
      <c r="E6" t="s">
        <v>2844</v>
      </c>
      <c r="F6">
        <v>1</v>
      </c>
      <c r="G6" s="62"/>
      <c r="H6" s="62"/>
      <c r="I6" s="62">
        <v>1</v>
      </c>
      <c r="J6" s="62">
        <v>4</v>
      </c>
    </row>
    <row r="7" spans="1:10" x14ac:dyDescent="0.2">
      <c r="B7" t="s">
        <v>2853</v>
      </c>
      <c r="C7" t="s">
        <v>2813</v>
      </c>
      <c r="D7" t="s">
        <v>2766</v>
      </c>
      <c r="E7" t="s">
        <v>2847</v>
      </c>
      <c r="F7">
        <v>1</v>
      </c>
      <c r="G7" s="62">
        <v>1</v>
      </c>
      <c r="H7" s="62"/>
      <c r="I7" s="62"/>
      <c r="J7" s="62">
        <v>3</v>
      </c>
    </row>
    <row r="8" spans="1:10" x14ac:dyDescent="0.2">
      <c r="B8" t="s">
        <v>2853</v>
      </c>
      <c r="C8" t="s">
        <v>1191</v>
      </c>
      <c r="D8" t="s">
        <v>2766</v>
      </c>
      <c r="E8" t="s">
        <v>2848</v>
      </c>
      <c r="F8">
        <v>1</v>
      </c>
      <c r="G8" s="62"/>
      <c r="H8" s="62"/>
      <c r="I8" s="62">
        <v>1</v>
      </c>
      <c r="J8" s="62">
        <v>9</v>
      </c>
    </row>
    <row r="9" spans="1:10" x14ac:dyDescent="0.2">
      <c r="B9" t="s">
        <v>2853</v>
      </c>
      <c r="C9" t="s">
        <v>816</v>
      </c>
      <c r="D9" t="s">
        <v>2766</v>
      </c>
      <c r="E9" t="s">
        <v>2847</v>
      </c>
      <c r="F9">
        <v>1</v>
      </c>
      <c r="G9" s="62">
        <v>1</v>
      </c>
      <c r="H9" s="62"/>
      <c r="I9" s="62"/>
      <c r="J9" s="62">
        <v>2</v>
      </c>
    </row>
    <row r="10" spans="1:10" x14ac:dyDescent="0.2">
      <c r="B10" t="s">
        <v>2853</v>
      </c>
      <c r="C10" t="s">
        <v>933</v>
      </c>
      <c r="D10" t="s">
        <v>2766</v>
      </c>
      <c r="E10" t="s">
        <v>2847</v>
      </c>
      <c r="F10" t="s">
        <v>2850</v>
      </c>
      <c r="G10" s="62"/>
      <c r="H10" s="62"/>
      <c r="I10" s="62">
        <v>1</v>
      </c>
      <c r="J10" s="62">
        <v>4</v>
      </c>
    </row>
    <row r="11" spans="1:10" x14ac:dyDescent="0.2">
      <c r="B11" t="s">
        <v>2853</v>
      </c>
      <c r="C11" t="s">
        <v>1846</v>
      </c>
      <c r="D11" t="s">
        <v>2766</v>
      </c>
      <c r="E11" t="s">
        <v>2847</v>
      </c>
      <c r="F11">
        <v>1</v>
      </c>
      <c r="G11" s="62">
        <v>1</v>
      </c>
      <c r="H11" s="62"/>
      <c r="I11" s="62"/>
      <c r="J11" s="62">
        <v>5</v>
      </c>
    </row>
    <row r="12" spans="1:10" x14ac:dyDescent="0.2">
      <c r="B12" t="s">
        <v>2853</v>
      </c>
      <c r="C12" t="s">
        <v>1135</v>
      </c>
      <c r="D12" t="s">
        <v>2766</v>
      </c>
      <c r="E12" t="s">
        <v>2847</v>
      </c>
      <c r="F12">
        <v>1</v>
      </c>
      <c r="G12" s="62">
        <v>1</v>
      </c>
      <c r="H12" s="62"/>
      <c r="I12" s="62"/>
      <c r="J12" s="62">
        <v>2</v>
      </c>
    </row>
    <row r="13" spans="1:10" x14ac:dyDescent="0.2">
      <c r="B13" t="s">
        <v>2853</v>
      </c>
      <c r="C13" t="s">
        <v>1855</v>
      </c>
      <c r="D13" t="s">
        <v>2766</v>
      </c>
      <c r="E13" t="s">
        <v>2847</v>
      </c>
      <c r="F13">
        <v>1</v>
      </c>
      <c r="G13" s="62">
        <v>1</v>
      </c>
      <c r="H13" s="62"/>
      <c r="I13" s="62"/>
      <c r="J13" s="62">
        <v>4</v>
      </c>
    </row>
    <row r="14" spans="1:10" x14ac:dyDescent="0.2">
      <c r="B14" t="s">
        <v>2853</v>
      </c>
      <c r="C14" t="s">
        <v>1324</v>
      </c>
      <c r="D14" t="s">
        <v>2766</v>
      </c>
      <c r="E14" t="s">
        <v>2843</v>
      </c>
      <c r="F14">
        <v>1</v>
      </c>
      <c r="G14" s="62"/>
      <c r="H14" s="62">
        <v>1</v>
      </c>
      <c r="I14" s="62"/>
      <c r="J14" s="62"/>
    </row>
    <row r="15" spans="1:10" x14ac:dyDescent="0.2">
      <c r="B15" t="s">
        <v>2854</v>
      </c>
      <c r="C15" t="s">
        <v>529</v>
      </c>
      <c r="D15" t="s">
        <v>2766</v>
      </c>
      <c r="E15" t="s">
        <v>2847</v>
      </c>
      <c r="F15" t="s">
        <v>2850</v>
      </c>
      <c r="G15" s="62"/>
      <c r="H15" s="62"/>
      <c r="I15">
        <v>1</v>
      </c>
      <c r="J15" s="62">
        <v>7</v>
      </c>
    </row>
    <row r="16" spans="1:10" x14ac:dyDescent="0.2">
      <c r="B16" t="s">
        <v>2854</v>
      </c>
      <c r="C16" t="s">
        <v>2816</v>
      </c>
      <c r="D16" t="s">
        <v>2766</v>
      </c>
      <c r="E16" t="s">
        <v>2847</v>
      </c>
      <c r="F16" t="s">
        <v>2850</v>
      </c>
      <c r="G16" s="62"/>
      <c r="H16" s="62"/>
      <c r="I16" s="62">
        <v>1</v>
      </c>
      <c r="J16" s="62">
        <v>2</v>
      </c>
    </row>
    <row r="17" spans="2:10" x14ac:dyDescent="0.2">
      <c r="B17" t="s">
        <v>2854</v>
      </c>
      <c r="C17" t="s">
        <v>1518</v>
      </c>
      <c r="D17" t="s">
        <v>2766</v>
      </c>
      <c r="E17" t="s">
        <v>2843</v>
      </c>
      <c r="F17" t="s">
        <v>2850</v>
      </c>
      <c r="G17" s="62"/>
      <c r="H17" s="62"/>
      <c r="I17" s="62">
        <v>1</v>
      </c>
      <c r="J17" s="62">
        <v>7</v>
      </c>
    </row>
    <row r="18" spans="2:10" x14ac:dyDescent="0.2">
      <c r="B18" t="s">
        <v>2855</v>
      </c>
      <c r="C18" t="s">
        <v>1398</v>
      </c>
      <c r="D18" t="s">
        <v>2766</v>
      </c>
      <c r="E18" t="s">
        <v>2843</v>
      </c>
      <c r="F18">
        <v>1</v>
      </c>
      <c r="G18" s="62"/>
      <c r="H18" s="62">
        <v>1</v>
      </c>
      <c r="I18" s="62"/>
      <c r="J18" s="62"/>
    </row>
  </sheetData>
  <autoFilter ref="E1:J18" xr:uid="{E0EC9DDE-869A-F94E-8192-2C7908C32B79}"/>
  <sortState xmlns:xlrd2="http://schemas.microsoft.com/office/spreadsheetml/2017/richdata2" ref="B3:J18">
    <sortCondition ref="B3:B18"/>
    <sortCondition ref="C3:C18"/>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A15" sqref="A15"/>
    </sheetView>
  </sheetViews>
  <sheetFormatPr baseColWidth="10" defaultRowHeight="16" x14ac:dyDescent="0.2"/>
  <cols>
    <col min="2" max="2" width="74.5" bestFit="1" customWidth="1"/>
  </cols>
  <sheetData>
    <row r="1" spans="1:10" x14ac:dyDescent="0.2">
      <c r="B1" t="s">
        <v>1474</v>
      </c>
      <c r="C1" t="s">
        <v>2766</v>
      </c>
      <c r="D1">
        <v>0</v>
      </c>
      <c r="E1">
        <v>0</v>
      </c>
      <c r="F1">
        <v>1</v>
      </c>
      <c r="G1">
        <v>3</v>
      </c>
    </row>
    <row r="2" spans="1:10" x14ac:dyDescent="0.2">
      <c r="B2" t="s">
        <v>2734</v>
      </c>
      <c r="C2" t="s">
        <v>2767</v>
      </c>
      <c r="D2">
        <v>0</v>
      </c>
      <c r="E2">
        <v>0</v>
      </c>
      <c r="F2">
        <v>1</v>
      </c>
      <c r="G2">
        <v>8</v>
      </c>
    </row>
    <row r="3" spans="1:10" x14ac:dyDescent="0.2">
      <c r="B3" t="s">
        <v>2753</v>
      </c>
      <c r="C3" t="s">
        <v>2767</v>
      </c>
      <c r="D3">
        <v>1</v>
      </c>
      <c r="E3">
        <v>0</v>
      </c>
      <c r="F3">
        <v>0</v>
      </c>
      <c r="G3">
        <v>0</v>
      </c>
    </row>
    <row r="6" spans="1:10" x14ac:dyDescent="0.2">
      <c r="A6" t="s">
        <v>2854</v>
      </c>
      <c r="B6" t="s">
        <v>2812</v>
      </c>
      <c r="C6" t="s">
        <v>2766</v>
      </c>
      <c r="D6" t="s">
        <v>2849</v>
      </c>
      <c r="E6">
        <v>1</v>
      </c>
      <c r="F6" s="62"/>
      <c r="G6" s="62"/>
      <c r="H6">
        <v>1</v>
      </c>
      <c r="I6" s="62">
        <v>8</v>
      </c>
    </row>
    <row r="14" spans="1:10" x14ac:dyDescent="0.2">
      <c r="A14" s="70" t="s">
        <v>2856</v>
      </c>
      <c r="B14" s="70"/>
    </row>
    <row r="15" spans="1:10" x14ac:dyDescent="0.2">
      <c r="B15" t="s">
        <v>2853</v>
      </c>
      <c r="C15" s="71" t="s">
        <v>1415</v>
      </c>
      <c r="D15" t="s">
        <v>2766</v>
      </c>
      <c r="E15" t="s">
        <v>2844</v>
      </c>
      <c r="F15">
        <v>1</v>
      </c>
      <c r="G15" s="62"/>
      <c r="H15" s="62"/>
      <c r="I15" s="62">
        <v>1</v>
      </c>
      <c r="J15" s="62">
        <v>5</v>
      </c>
    </row>
    <row r="16" spans="1:10" x14ac:dyDescent="0.2">
      <c r="B16" t="s">
        <v>2853</v>
      </c>
      <c r="C16" s="71" t="s">
        <v>1316</v>
      </c>
      <c r="D16" t="s">
        <v>2766</v>
      </c>
      <c r="E16" t="s">
        <v>2844</v>
      </c>
      <c r="F16">
        <v>1</v>
      </c>
      <c r="G16" s="62"/>
      <c r="H16" s="62"/>
      <c r="I16" s="62">
        <v>1</v>
      </c>
      <c r="J16" s="62">
        <v>4</v>
      </c>
    </row>
    <row r="17" spans="2:10" x14ac:dyDescent="0.2">
      <c r="B17" t="s">
        <v>2853</v>
      </c>
      <c r="C17" s="71" t="s">
        <v>651</v>
      </c>
      <c r="D17" t="s">
        <v>2766</v>
      </c>
      <c r="E17" t="s">
        <v>2845</v>
      </c>
      <c r="F17">
        <v>1</v>
      </c>
      <c r="G17" s="62"/>
      <c r="H17" s="62"/>
      <c r="I17" s="62">
        <v>1</v>
      </c>
      <c r="J17" s="62">
        <v>6</v>
      </c>
    </row>
    <row r="18" spans="2:10" x14ac:dyDescent="0.2">
      <c r="B18" t="s">
        <v>2853</v>
      </c>
      <c r="C18" s="71" t="s">
        <v>1072</v>
      </c>
      <c r="D18" t="s">
        <v>2766</v>
      </c>
      <c r="E18" t="s">
        <v>2843</v>
      </c>
      <c r="F18" t="s">
        <v>2850</v>
      </c>
      <c r="G18" s="62"/>
      <c r="H18" s="62"/>
      <c r="I18" s="62">
        <v>1</v>
      </c>
      <c r="J18" s="62">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results</vt:lpstr>
      <vt:lpstr>Category words</vt:lpstr>
      <vt:lpstr>start and stop times</vt:lpstr>
      <vt:lpstr>Sheet3</vt:lpstr>
      <vt:lpstr>bondsJune7</vt:lpstr>
      <vt:lpstr>expected results</vt:lpstr>
      <vt:lpstr>allocationsJune7</vt:lpstr>
      <vt:lpstr>Sheet2</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2026-08-08T10:20:30Z</dcterms:modified>
</cp:coreProperties>
</file>