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F50E36B4-67B1-4144-8C40-04AA1E377586}" xr6:coauthVersionLast="47" xr6:coauthVersionMax="47" xr10:uidLastSave="{00000000-0000-0000-0000-000000000000}"/>
  <bookViews>
    <workbookView xWindow="160" yWindow="660" windowWidth="20260" windowHeight="22220" firstSheet="5" activeTab="10"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Project timeline" sheetId="6" r:id="rId10"/>
    <sheet name="ground_truth_train" sheetId="7" r:id="rId11"/>
    <sheet name="manual_baseline" sheetId="9" r:id="rId12"/>
    <sheet name="rpts failing to execute" sheetId="8" r:id="rId13"/>
  </sheets>
  <definedNames>
    <definedName name="_xlnm._FilterDatabase" localSheetId="7" hidden="1">allocationsJune7!$A$2:$AC$2280</definedName>
    <definedName name="_xlnm._FilterDatabase" localSheetId="5" hidden="1">bondsJune7!$B$13:$AI$299</definedName>
    <definedName name="_xlnm._FilterDatabase" localSheetId="11" hidden="1">manual_baseline!$C$1:$H$18</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19" r:id="rId1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<sst xmlns="http://schemas.openxmlformats.org/spreadsheetml/2006/main" count="20616" uniqueCount="2855">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</sst>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5"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8">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4" borderId="0" xfId="0" applyFill="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0" fontId="0" fillId="0" borderId="19" xfId="0" applyFont="1" applyBorder="1"/>
    <xf numFmtId="0" fontId="0" fillId="32" borderId="19" xfId="0" applyFont="1" applyFill="1" applyBorder="1"/>
    <xf numFmtId="0" fontId="0" fillId="13" borderId="19" xfId="0" applyFont="1" applyFill="1" applyBorder="1"/>
    <xf numFmtId="0" fontId="0" fillId="14" borderId="19" xfId="0" applyFont="1" applyFill="1" applyBorder="1"/>
    <xf numFmtId="0" fontId="0" fillId="28" borderId="19" xfId="0" applyFont="1" applyFill="1" applyBorder="1"/>
    <xf numFmtId="0" fontId="0" fillId="29" borderId="19" xfId="0" applyFont="1" applyFill="1" applyBorder="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19"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19"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4">
      <filters>
        <filter val="FALSE"/>
      </filters>
    </filterColumn>
    <filterColumn colId="6">
      <filters>
        <filter val="FALSE"/>
      </filters>
    </filterColumn>
    <filterColumn colId="25">
      <customFilters>
        <customFilter operator="notEqual" val=" "/>
      </custom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69" t="s">
        <v>2810</v>
      </c>
      <c r="B4" t="s">
        <v>2809</v>
      </c>
    </row>
    <row r="5" spans="1:3" x14ac:dyDescent="0.2">
      <c r="A5" s="69"/>
      <c r="B5" t="s">
        <v>2808</v>
      </c>
    </row>
    <row r="6" spans="1:3" x14ac:dyDescent="0.2">
      <c r="A6" s="69"/>
      <c r="B6" t="s">
        <v>2807</v>
      </c>
    </row>
    <row r="7" spans="1:3" x14ac:dyDescent="0.2">
      <c r="A7" s="69"/>
      <c r="B7" s="59" t="s">
        <v>2806</v>
      </c>
    </row>
    <row r="8" spans="1:3" x14ac:dyDescent="0.2">
      <c r="A8" s="69"/>
      <c r="B8" s="59" t="s">
        <v>2805</v>
      </c>
    </row>
    <row r="9" spans="1:3" x14ac:dyDescent="0.2">
      <c r="A9" s="69"/>
      <c r="B9" s="59" t="s">
        <v>2804</v>
      </c>
    </row>
    <row r="10" spans="1:3" x14ac:dyDescent="0.2">
      <c r="A10" s="69"/>
      <c r="B10" t="s">
        <v>2803</v>
      </c>
    </row>
    <row r="11" spans="1:3" x14ac:dyDescent="0.2">
      <c r="A11" s="58"/>
    </row>
    <row r="12" spans="1:3" x14ac:dyDescent="0.2">
      <c r="A12" s="69" t="s">
        <v>2802</v>
      </c>
      <c r="B12" t="s">
        <v>2801</v>
      </c>
    </row>
    <row r="13" spans="1:3" x14ac:dyDescent="0.2">
      <c r="A13" s="69"/>
      <c r="B13" s="61" t="s">
        <v>2800</v>
      </c>
      <c r="C13" s="60" t="s">
        <v>2799</v>
      </c>
    </row>
    <row r="14" spans="1:3" x14ac:dyDescent="0.2">
      <c r="A14" s="69"/>
      <c r="B14" s="61" t="s">
        <v>2798</v>
      </c>
      <c r="C14" s="60" t="s">
        <v>2797</v>
      </c>
    </row>
    <row r="15" spans="1:3" x14ac:dyDescent="0.2">
      <c r="A15" s="69"/>
      <c r="B15" s="61" t="s">
        <v>2796</v>
      </c>
      <c r="C15" s="60" t="s">
        <v>2795</v>
      </c>
    </row>
    <row r="16" spans="1:3" x14ac:dyDescent="0.2">
      <c r="A16" s="69"/>
      <c r="B16" s="61" t="s">
        <v>2794</v>
      </c>
      <c r="C16" s="60" t="s">
        <v>2793</v>
      </c>
    </row>
    <row r="17" spans="1:2" x14ac:dyDescent="0.2">
      <c r="A17" s="69"/>
      <c r="B17" t="s">
        <v>2792</v>
      </c>
    </row>
    <row r="18" spans="1:2" x14ac:dyDescent="0.2">
      <c r="A18" s="69"/>
      <c r="B18" t="s">
        <v>2791</v>
      </c>
    </row>
    <row r="19" spans="1:2" x14ac:dyDescent="0.2">
      <c r="A19" s="69"/>
      <c r="B19" s="26" t="s">
        <v>2790</v>
      </c>
    </row>
    <row r="20" spans="1:2" x14ac:dyDescent="0.2">
      <c r="A20" s="69"/>
      <c r="B20" s="59" t="s">
        <v>2789</v>
      </c>
    </row>
    <row r="21" spans="1:2" x14ac:dyDescent="0.2">
      <c r="A21" s="58"/>
    </row>
    <row r="22" spans="1:2" x14ac:dyDescent="0.2">
      <c r="A22" s="69" t="s">
        <v>2788</v>
      </c>
      <c r="B22" t="s">
        <v>2787</v>
      </c>
    </row>
    <row r="23" spans="1:2" x14ac:dyDescent="0.2">
      <c r="A23" s="69"/>
      <c r="B23" t="s">
        <v>2786</v>
      </c>
    </row>
    <row r="24" spans="1:2" x14ac:dyDescent="0.2">
      <c r="A24" s="69"/>
      <c r="B24" t="s">
        <v>2785</v>
      </c>
    </row>
    <row r="25" spans="1:2" x14ac:dyDescent="0.2">
      <c r="A25" s="69"/>
      <c r="B25" t="s">
        <v>2784</v>
      </c>
    </row>
    <row r="26" spans="1:2" x14ac:dyDescent="0.2">
      <c r="A26" s="69"/>
      <c r="B26" t="s">
        <v>2783</v>
      </c>
    </row>
    <row r="27" spans="1:2" x14ac:dyDescent="0.2">
      <c r="A27" s="69"/>
      <c r="B27" t="s">
        <v>2782</v>
      </c>
    </row>
    <row r="28" spans="1:2" x14ac:dyDescent="0.2">
      <c r="A28" s="58"/>
    </row>
    <row r="29" spans="1:2" ht="16" customHeight="1" x14ac:dyDescent="0.2">
      <c r="A29" s="69" t="s">
        <v>2781</v>
      </c>
      <c r="B29" t="s">
        <v>2780</v>
      </c>
    </row>
    <row r="30" spans="1:2" x14ac:dyDescent="0.2">
      <c r="A30" s="69"/>
      <c r="B30" t="s">
        <v>2779</v>
      </c>
    </row>
    <row r="31" spans="1:2" x14ac:dyDescent="0.2">
      <c r="A31" s="69"/>
      <c r="B31" t="s">
        <v>2778</v>
      </c>
    </row>
    <row r="32" spans="1:2" x14ac:dyDescent="0.2">
      <c r="A32" s="69"/>
      <c r="B32" t="s">
        <v>2777</v>
      </c>
    </row>
    <row r="33" spans="1:2" x14ac:dyDescent="0.2">
      <c r="A33" s="69"/>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1" t="s">
        <v>2841</v>
      </c>
      <c r="E2" s="71"/>
      <c r="F2" s="71" t="s">
        <v>2840</v>
      </c>
      <c r="G2" s="71"/>
      <c r="H2" s="71" t="s">
        <v>2839</v>
      </c>
      <c r="I2" s="71"/>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70" t="s">
        <v>2836</v>
      </c>
      <c r="C6" s="28" t="s">
        <v>2835</v>
      </c>
      <c r="D6" s="67"/>
      <c r="E6" s="62"/>
      <c r="F6" s="62"/>
      <c r="G6" s="62"/>
      <c r="H6" s="62"/>
      <c r="I6" s="62"/>
    </row>
    <row r="7" spans="2:9" x14ac:dyDescent="0.2">
      <c r="B7" s="70"/>
      <c r="C7" s="28" t="s">
        <v>2834</v>
      </c>
      <c r="D7" s="67"/>
      <c r="E7" s="62"/>
      <c r="F7" s="62"/>
      <c r="G7" s="62"/>
      <c r="H7" s="62"/>
      <c r="I7" s="62"/>
    </row>
    <row r="8" spans="2:9" x14ac:dyDescent="0.2">
      <c r="B8" s="70" t="s">
        <v>2836</v>
      </c>
      <c r="C8" s="28" t="s">
        <v>2835</v>
      </c>
      <c r="D8" s="62"/>
      <c r="E8" s="62"/>
      <c r="F8" s="62"/>
      <c r="G8" s="62"/>
      <c r="H8" s="62"/>
      <c r="I8" s="62"/>
    </row>
    <row r="9" spans="2:9" x14ac:dyDescent="0.2">
      <c r="B9" s="70"/>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topLeftCell="N2" workbookViewId="0">
      <selection activeCell="Z16" sqref="Z16:Z296"/>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hidden="1"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hidden="1"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hidden="1"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hidden="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hidden="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hidden="1"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hidden="1"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hidden="1"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hidden="1"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hidden="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hidden="1"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hidden="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hidden="1"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hidden="1"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hidden="1"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hidden="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hidden="1"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hidden="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hidden="1"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hidden="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hidden="1"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hidden="1"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hidden="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hidden="1"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hidden="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hidden="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M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U4" s="52" t="s">
        <v>237</v>
      </c>
      <c r="V4" s="73" t="s">
        <v>251</v>
      </c>
      <c r="W4" s="52" t="s">
        <v>237</v>
      </c>
      <c r="X4" s="52" t="s">
        <v>237</v>
      </c>
      <c r="AA4" s="54" t="s">
        <v>1142</v>
      </c>
      <c r="AB4" s="56" t="s">
        <v>1955</v>
      </c>
    </row>
    <row r="5" spans="6:28" x14ac:dyDescent="0.2">
      <c r="I5" s="35"/>
      <c r="N5" t="b">
        <f>I5=O5</f>
        <v>0</v>
      </c>
      <c r="O5" s="38" t="s">
        <v>1142</v>
      </c>
      <c r="U5" s="76" t="s">
        <v>1072</v>
      </c>
      <c r="V5" s="72" t="s">
        <v>274</v>
      </c>
      <c r="W5" s="76" t="s">
        <v>1072</v>
      </c>
      <c r="X5" s="76" t="s">
        <v>1072</v>
      </c>
      <c r="AA5" s="54" t="s">
        <v>577</v>
      </c>
      <c r="AB5" s="56" t="s">
        <v>1955</v>
      </c>
    </row>
    <row r="6" spans="6:28" x14ac:dyDescent="0.2">
      <c r="G6" s="36" t="s">
        <v>2746</v>
      </c>
      <c r="H6" t="b">
        <f>G6=I6</f>
        <v>1</v>
      </c>
      <c r="I6" s="33" t="s">
        <v>2746</v>
      </c>
      <c r="N6" t="b">
        <f t="shared" ref="N6:N56" si="0">I6=O6</f>
        <v>1</v>
      </c>
      <c r="O6" s="32" t="s">
        <v>2746</v>
      </c>
      <c r="U6" s="76" t="s">
        <v>288</v>
      </c>
      <c r="V6" s="74" t="s">
        <v>284</v>
      </c>
      <c r="W6" s="76" t="s">
        <v>288</v>
      </c>
      <c r="X6" s="76" t="s">
        <v>288</v>
      </c>
      <c r="AA6" s="54" t="s">
        <v>1415</v>
      </c>
      <c r="AB6" s="56" t="s">
        <v>1955</v>
      </c>
    </row>
    <row r="7" spans="6:28" x14ac:dyDescent="0.2">
      <c r="F7" s="7" t="s">
        <v>854</v>
      </c>
      <c r="H7" t="b">
        <f t="shared" ref="H7:H55" si="1">G7=I7</f>
        <v>0</v>
      </c>
      <c r="I7" s="35" t="s">
        <v>577</v>
      </c>
      <c r="N7" t="b">
        <f t="shared" si="0"/>
        <v>1</v>
      </c>
      <c r="O7" s="38" t="s">
        <v>577</v>
      </c>
      <c r="U7" s="76" t="s">
        <v>1316</v>
      </c>
      <c r="V7" s="72" t="s">
        <v>303</v>
      </c>
      <c r="W7" s="76" t="s">
        <v>1316</v>
      </c>
      <c r="X7" s="76" t="s">
        <v>1316</v>
      </c>
      <c r="AA7" s="53" t="s">
        <v>1415</v>
      </c>
      <c r="AB7" s="57" t="s">
        <v>1956</v>
      </c>
    </row>
    <row r="8" spans="6:28" x14ac:dyDescent="0.2">
      <c r="F8" s="7" t="s">
        <v>874</v>
      </c>
      <c r="G8" s="36" t="s">
        <v>2758</v>
      </c>
      <c r="H8" t="b">
        <f t="shared" si="1"/>
        <v>1</v>
      </c>
      <c r="I8" s="33" t="s">
        <v>2758</v>
      </c>
      <c r="N8" t="b">
        <f t="shared" si="0"/>
        <v>1</v>
      </c>
      <c r="O8" s="32" t="s">
        <v>2758</v>
      </c>
      <c r="U8" s="76" t="s">
        <v>2754</v>
      </c>
      <c r="V8" s="73" t="s">
        <v>312</v>
      </c>
      <c r="W8" s="76" t="s">
        <v>2754</v>
      </c>
      <c r="X8" s="76" t="s">
        <v>2754</v>
      </c>
      <c r="AA8" s="54" t="s">
        <v>1316</v>
      </c>
      <c r="AB8" s="56" t="s">
        <v>1955</v>
      </c>
    </row>
    <row r="9" spans="6:28" x14ac:dyDescent="0.2">
      <c r="F9" s="7" t="s">
        <v>280</v>
      </c>
      <c r="G9" s="36" t="s">
        <v>2735</v>
      </c>
      <c r="H9" t="b">
        <f t="shared" si="1"/>
        <v>1</v>
      </c>
      <c r="I9" s="33" t="s">
        <v>2735</v>
      </c>
      <c r="N9" t="b">
        <f t="shared" si="0"/>
        <v>1</v>
      </c>
      <c r="O9" s="32" t="s">
        <v>2735</v>
      </c>
      <c r="U9" s="76" t="s">
        <v>2755</v>
      </c>
      <c r="V9" s="72" t="s">
        <v>318</v>
      </c>
      <c r="W9" s="76" t="s">
        <v>2755</v>
      </c>
      <c r="X9" s="76" t="s">
        <v>2755</v>
      </c>
      <c r="AA9" s="54" t="s">
        <v>1316</v>
      </c>
      <c r="AB9" s="56" t="s">
        <v>1956</v>
      </c>
    </row>
    <row r="10" spans="6:28" x14ac:dyDescent="0.2">
      <c r="F10" s="7" t="s">
        <v>507</v>
      </c>
      <c r="G10" s="36" t="s">
        <v>1415</v>
      </c>
      <c r="H10" t="b">
        <f t="shared" si="1"/>
        <v>1</v>
      </c>
      <c r="I10" s="33" t="s">
        <v>1415</v>
      </c>
      <c r="N10" t="b">
        <f t="shared" si="0"/>
        <v>1</v>
      </c>
      <c r="O10" s="33" t="s">
        <v>1415</v>
      </c>
      <c r="U10" s="76" t="s">
        <v>2759</v>
      </c>
      <c r="V10" s="73" t="s">
        <v>330</v>
      </c>
      <c r="W10" s="76" t="s">
        <v>2759</v>
      </c>
      <c r="X10" s="76" t="s">
        <v>2759</v>
      </c>
      <c r="AA10" s="53" t="s">
        <v>651</v>
      </c>
      <c r="AB10" s="57" t="s">
        <v>1955</v>
      </c>
    </row>
    <row r="11" spans="6:28" x14ac:dyDescent="0.2">
      <c r="F11" s="7" t="s">
        <v>307</v>
      </c>
      <c r="G11" s="36" t="s">
        <v>2754</v>
      </c>
      <c r="H11" t="b">
        <f t="shared" si="1"/>
        <v>1</v>
      </c>
      <c r="I11" s="33" t="s">
        <v>2754</v>
      </c>
      <c r="N11" t="b">
        <f t="shared" si="0"/>
        <v>1</v>
      </c>
      <c r="O11" s="32" t="s">
        <v>2754</v>
      </c>
      <c r="U11" s="76" t="s">
        <v>2758</v>
      </c>
      <c r="V11" s="72" t="s">
        <v>349</v>
      </c>
      <c r="W11" s="76" t="s">
        <v>2758</v>
      </c>
      <c r="X11" s="76" t="s">
        <v>2758</v>
      </c>
      <c r="AA11" s="54" t="s">
        <v>651</v>
      </c>
      <c r="AB11" s="56" t="s">
        <v>1957</v>
      </c>
    </row>
    <row r="12" spans="6:28" x14ac:dyDescent="0.2">
      <c r="F12" s="7" t="s">
        <v>986</v>
      </c>
      <c r="G12" s="36" t="s">
        <v>2760</v>
      </c>
      <c r="H12" t="b">
        <f t="shared" si="1"/>
        <v>1</v>
      </c>
      <c r="I12" s="33" t="s">
        <v>2760</v>
      </c>
      <c r="N12" t="b">
        <f t="shared" si="0"/>
        <v>0</v>
      </c>
      <c r="O12" s="32" t="s">
        <v>1316</v>
      </c>
      <c r="U12" s="76" t="s">
        <v>2756</v>
      </c>
      <c r="V12" s="73" t="s">
        <v>381</v>
      </c>
      <c r="W12" s="76" t="s">
        <v>2756</v>
      </c>
      <c r="X12" s="76" t="s">
        <v>2756</v>
      </c>
      <c r="AA12" s="53" t="s">
        <v>651</v>
      </c>
      <c r="AB12" s="57" t="s">
        <v>1956</v>
      </c>
    </row>
    <row r="13" spans="6:28" x14ac:dyDescent="0.2">
      <c r="F13" s="7" t="s">
        <v>320</v>
      </c>
      <c r="G13" s="36" t="s">
        <v>2748</v>
      </c>
      <c r="H13" t="b">
        <f t="shared" si="1"/>
        <v>1</v>
      </c>
      <c r="I13" s="33" t="s">
        <v>2748</v>
      </c>
      <c r="N13" t="b">
        <f t="shared" si="0"/>
        <v>1</v>
      </c>
      <c r="O13" s="32" t="s">
        <v>2748</v>
      </c>
      <c r="U13" s="76" t="s">
        <v>2757</v>
      </c>
      <c r="V13" s="72" t="s">
        <v>413</v>
      </c>
      <c r="W13" s="76" t="s">
        <v>2757</v>
      </c>
      <c r="X13" s="76" t="s">
        <v>2757</v>
      </c>
      <c r="AA13" s="54" t="s">
        <v>1072</v>
      </c>
      <c r="AB13" s="56" t="s">
        <v>1955</v>
      </c>
    </row>
    <row r="14" spans="6:28" x14ac:dyDescent="0.2">
      <c r="F14" s="7" t="s">
        <v>1024</v>
      </c>
      <c r="G14" s="36" t="s">
        <v>2761</v>
      </c>
      <c r="H14" t="b">
        <f t="shared" si="1"/>
        <v>1</v>
      </c>
      <c r="I14" s="33" t="s">
        <v>2761</v>
      </c>
      <c r="N14" t="b">
        <f t="shared" si="0"/>
        <v>0</v>
      </c>
      <c r="O14" s="32" t="s">
        <v>651</v>
      </c>
      <c r="U14" s="76" t="s">
        <v>651</v>
      </c>
      <c r="V14" s="73" t="s">
        <v>421</v>
      </c>
      <c r="W14" s="76" t="s">
        <v>651</v>
      </c>
      <c r="X14" s="76" t="s">
        <v>651</v>
      </c>
      <c r="AA14" s="53" t="s">
        <v>1556</v>
      </c>
      <c r="AB14" s="57" t="s">
        <v>1955</v>
      </c>
    </row>
    <row r="15" spans="6:28" x14ac:dyDescent="0.2">
      <c r="F15" s="7" t="s">
        <v>427</v>
      </c>
      <c r="G15" s="36" t="s">
        <v>2756</v>
      </c>
      <c r="H15" t="b">
        <f t="shared" si="1"/>
        <v>1</v>
      </c>
      <c r="I15" s="33" t="s">
        <v>2756</v>
      </c>
      <c r="N15" t="b">
        <f t="shared" si="0"/>
        <v>1</v>
      </c>
      <c r="O15" s="32" t="s">
        <v>2756</v>
      </c>
      <c r="U15" s="76" t="s">
        <v>2753</v>
      </c>
      <c r="V15" s="72" t="s">
        <v>425</v>
      </c>
      <c r="W15" s="76" t="s">
        <v>2753</v>
      </c>
      <c r="X15" s="76" t="s">
        <v>2753</v>
      </c>
      <c r="AA15" s="53" t="s">
        <v>1065</v>
      </c>
      <c r="AB15" s="57" t="s">
        <v>1961</v>
      </c>
    </row>
    <row r="16" spans="6:28" x14ac:dyDescent="0.2">
      <c r="F16" s="7" t="s">
        <v>659</v>
      </c>
      <c r="G16" s="36" t="s">
        <v>2759</v>
      </c>
      <c r="H16" t="b">
        <f t="shared" si="1"/>
        <v>1</v>
      </c>
      <c r="I16" s="33" t="s">
        <v>2759</v>
      </c>
      <c r="N16" t="b">
        <f t="shared" si="0"/>
        <v>1</v>
      </c>
      <c r="O16" s="32" t="s">
        <v>2759</v>
      </c>
      <c r="U16" s="76" t="s">
        <v>1415</v>
      </c>
      <c r="V16" s="73" t="s">
        <v>440</v>
      </c>
      <c r="W16" s="76" t="s">
        <v>1415</v>
      </c>
      <c r="X16" s="76" t="s">
        <v>1415</v>
      </c>
      <c r="AA16" s="54" t="s">
        <v>1065</v>
      </c>
      <c r="AB16" s="56" t="s">
        <v>1956</v>
      </c>
    </row>
    <row r="17" spans="6:28" x14ac:dyDescent="0.2">
      <c r="F17" s="7" t="s">
        <v>646</v>
      </c>
      <c r="G17" s="36" t="s">
        <v>1072</v>
      </c>
      <c r="H17" t="b">
        <f t="shared" si="1"/>
        <v>1</v>
      </c>
      <c r="I17" s="33" t="s">
        <v>1072</v>
      </c>
      <c r="N17" t="b">
        <f t="shared" si="0"/>
        <v>1</v>
      </c>
      <c r="O17" s="32" t="s">
        <v>1072</v>
      </c>
      <c r="U17" s="76" t="s">
        <v>2752</v>
      </c>
      <c r="V17" s="72" t="s">
        <v>447</v>
      </c>
      <c r="W17" s="77" t="s">
        <v>529</v>
      </c>
      <c r="X17" s="77" t="s">
        <v>529</v>
      </c>
      <c r="AA17" s="53" t="s">
        <v>1065</v>
      </c>
      <c r="AB17" s="57" t="s">
        <v>1955</v>
      </c>
    </row>
    <row r="18" spans="6:28" x14ac:dyDescent="0.2">
      <c r="F18" s="7" t="s">
        <v>385</v>
      </c>
      <c r="H18" t="b">
        <f t="shared" si="1"/>
        <v>0</v>
      </c>
      <c r="I18" s="35" t="s">
        <v>1556</v>
      </c>
      <c r="N18" t="b">
        <f t="shared" si="0"/>
        <v>1</v>
      </c>
      <c r="O18" s="38" t="s">
        <v>1556</v>
      </c>
      <c r="U18" s="76" t="s">
        <v>2751</v>
      </c>
      <c r="V18" s="73" t="s">
        <v>459</v>
      </c>
      <c r="W18" s="77" t="s">
        <v>577</v>
      </c>
      <c r="X18" s="73"/>
      <c r="AA18" s="54" t="s">
        <v>1065</v>
      </c>
      <c r="AB18" s="56" t="s">
        <v>1960</v>
      </c>
    </row>
    <row r="19" spans="6:28" x14ac:dyDescent="0.2">
      <c r="F19" s="7" t="s">
        <v>1221</v>
      </c>
      <c r="G19" s="36" t="s">
        <v>1156</v>
      </c>
      <c r="H19" t="b">
        <f t="shared" si="1"/>
        <v>1</v>
      </c>
      <c r="I19" s="33" t="s">
        <v>1156</v>
      </c>
      <c r="N19" t="b">
        <f t="shared" si="0"/>
        <v>1</v>
      </c>
      <c r="O19" s="32" t="s">
        <v>1156</v>
      </c>
      <c r="U19" s="76" t="s">
        <v>1191</v>
      </c>
      <c r="V19" s="72" t="s">
        <v>464</v>
      </c>
      <c r="W19" s="76" t="s">
        <v>2752</v>
      </c>
      <c r="X19" s="77" t="s">
        <v>577</v>
      </c>
      <c r="AA19" s="53" t="s">
        <v>905</v>
      </c>
      <c r="AB19" s="57" t="s">
        <v>1961</v>
      </c>
    </row>
    <row r="20" spans="6:28" x14ac:dyDescent="0.2">
      <c r="F20" s="7" t="s">
        <v>1247</v>
      </c>
      <c r="H20" t="b">
        <f t="shared" si="1"/>
        <v>0</v>
      </c>
      <c r="I20" s="37" t="s">
        <v>1474</v>
      </c>
      <c r="N20" t="b">
        <f t="shared" si="0"/>
        <v>1</v>
      </c>
      <c r="O20" s="32" t="s">
        <v>1474</v>
      </c>
      <c r="U20" s="76" t="s">
        <v>2750</v>
      </c>
      <c r="V20" s="73" t="s">
        <v>475</v>
      </c>
      <c r="W20" s="76" t="s">
        <v>2751</v>
      </c>
      <c r="X20" s="76" t="s">
        <v>2752</v>
      </c>
      <c r="AA20" s="53" t="s">
        <v>905</v>
      </c>
      <c r="AB20" s="57" t="s">
        <v>1955</v>
      </c>
    </row>
    <row r="21" spans="6:28" x14ac:dyDescent="0.2">
      <c r="F21" s="7" t="s">
        <v>1258</v>
      </c>
      <c r="G21" s="36" t="s">
        <v>2750</v>
      </c>
      <c r="H21" t="b">
        <f t="shared" si="1"/>
        <v>1</v>
      </c>
      <c r="I21" s="33" t="s">
        <v>2750</v>
      </c>
      <c r="N21" t="b">
        <f t="shared" si="0"/>
        <v>1</v>
      </c>
      <c r="O21" s="32" t="s">
        <v>2750</v>
      </c>
      <c r="U21" s="76" t="s">
        <v>2749</v>
      </c>
      <c r="V21" s="72" t="s">
        <v>503</v>
      </c>
      <c r="W21" s="76" t="s">
        <v>1191</v>
      </c>
      <c r="X21" s="76" t="s">
        <v>2751</v>
      </c>
      <c r="AA21" s="53" t="s">
        <v>1398</v>
      </c>
      <c r="AB21" s="57" t="s">
        <v>1955</v>
      </c>
    </row>
    <row r="22" spans="6:28" x14ac:dyDescent="0.2">
      <c r="F22" s="7" t="s">
        <v>1281</v>
      </c>
      <c r="H22" t="b">
        <f t="shared" si="1"/>
        <v>0</v>
      </c>
      <c r="I22" s="35" t="s">
        <v>1065</v>
      </c>
      <c r="N22" t="b">
        <f t="shared" si="0"/>
        <v>1</v>
      </c>
      <c r="O22" s="38" t="s">
        <v>1065</v>
      </c>
      <c r="U22" s="76" t="s">
        <v>2748</v>
      </c>
      <c r="V22" s="73" t="s">
        <v>511</v>
      </c>
      <c r="W22" s="76" t="s">
        <v>2750</v>
      </c>
      <c r="X22" s="76" t="s">
        <v>1191</v>
      </c>
      <c r="AA22" s="53" t="s">
        <v>809</v>
      </c>
      <c r="AB22" s="57" t="s">
        <v>1956</v>
      </c>
    </row>
    <row r="23" spans="6:28" x14ac:dyDescent="0.2">
      <c r="F23" s="7" t="s">
        <v>1294</v>
      </c>
      <c r="H23" t="b">
        <f t="shared" si="1"/>
        <v>0</v>
      </c>
      <c r="I23" s="35" t="s">
        <v>905</v>
      </c>
      <c r="N23" t="b">
        <f t="shared" si="0"/>
        <v>1</v>
      </c>
      <c r="O23" s="38" t="s">
        <v>905</v>
      </c>
      <c r="U23" s="76" t="s">
        <v>2746</v>
      </c>
      <c r="V23" s="72" t="s">
        <v>517</v>
      </c>
      <c r="W23" s="76" t="s">
        <v>2749</v>
      </c>
      <c r="X23" s="76" t="s">
        <v>2750</v>
      </c>
      <c r="AA23" s="54" t="s">
        <v>809</v>
      </c>
      <c r="AB23" s="56" t="s">
        <v>1960</v>
      </c>
    </row>
    <row r="24" spans="6:28" x14ac:dyDescent="0.2">
      <c r="F24" s="7" t="s">
        <v>725</v>
      </c>
      <c r="H24" t="b">
        <f t="shared" si="1"/>
        <v>0</v>
      </c>
      <c r="I24" s="35" t="s">
        <v>1398</v>
      </c>
      <c r="N24" t="b">
        <f t="shared" si="0"/>
        <v>1</v>
      </c>
      <c r="O24" s="38" t="s">
        <v>1398</v>
      </c>
      <c r="U24" s="76" t="s">
        <v>2745</v>
      </c>
      <c r="V24" s="73" t="s">
        <v>526</v>
      </c>
      <c r="W24" s="76" t="s">
        <v>2748</v>
      </c>
      <c r="X24" s="76" t="s">
        <v>2749</v>
      </c>
      <c r="AA24" s="53" t="s">
        <v>1191</v>
      </c>
      <c r="AB24" s="57" t="s">
        <v>1961</v>
      </c>
    </row>
    <row r="25" spans="6:28" x14ac:dyDescent="0.2">
      <c r="F25" s="7" t="s">
        <v>335</v>
      </c>
      <c r="H25" t="b">
        <f t="shared" si="1"/>
        <v>1</v>
      </c>
      <c r="I25" s="35"/>
      <c r="N25" t="b">
        <f t="shared" si="0"/>
        <v>0</v>
      </c>
      <c r="O25" s="38" t="s">
        <v>809</v>
      </c>
      <c r="U25" s="76" t="s">
        <v>2744</v>
      </c>
      <c r="V25" s="72" t="s">
        <v>544</v>
      </c>
      <c r="W25" s="77" t="s">
        <v>809</v>
      </c>
      <c r="X25" s="76" t="s">
        <v>2748</v>
      </c>
      <c r="AA25" s="54" t="s">
        <v>1191</v>
      </c>
      <c r="AB25" s="56" t="s">
        <v>1956</v>
      </c>
    </row>
    <row r="26" spans="6:28" x14ac:dyDescent="0.2">
      <c r="F26" s="7" t="s">
        <v>1466</v>
      </c>
      <c r="G26" s="36" t="s">
        <v>2757</v>
      </c>
      <c r="H26" t="b">
        <f t="shared" si="1"/>
        <v>1</v>
      </c>
      <c r="I26" s="33" t="s">
        <v>2757</v>
      </c>
      <c r="N26" t="b">
        <f t="shared" si="0"/>
        <v>1</v>
      </c>
      <c r="O26" s="32" t="s">
        <v>2757</v>
      </c>
      <c r="U26" s="76" t="s">
        <v>2743</v>
      </c>
      <c r="V26" s="73" t="s">
        <v>552</v>
      </c>
      <c r="W26" s="77" t="s">
        <v>816</v>
      </c>
      <c r="X26" s="77" t="s">
        <v>809</v>
      </c>
      <c r="AA26" s="54" t="s">
        <v>1191</v>
      </c>
      <c r="AB26" s="56" t="s">
        <v>1959</v>
      </c>
    </row>
    <row r="27" spans="6:28" x14ac:dyDescent="0.2">
      <c r="F27" s="7" t="s">
        <v>468</v>
      </c>
      <c r="G27" s="36" t="s">
        <v>2745</v>
      </c>
      <c r="H27" t="b">
        <f t="shared" si="1"/>
        <v>1</v>
      </c>
      <c r="I27" s="33" t="s">
        <v>2745</v>
      </c>
      <c r="N27" t="b">
        <f t="shared" si="0"/>
        <v>1</v>
      </c>
      <c r="O27" s="32" t="s">
        <v>2745</v>
      </c>
      <c r="U27" s="76" t="s">
        <v>1031</v>
      </c>
      <c r="V27" s="72" t="s">
        <v>574</v>
      </c>
      <c r="W27" s="76" t="s">
        <v>2746</v>
      </c>
      <c r="X27" s="77" t="s">
        <v>816</v>
      </c>
      <c r="AA27" s="54" t="s">
        <v>1191</v>
      </c>
      <c r="AB27" s="56" t="s">
        <v>1962</v>
      </c>
    </row>
    <row r="28" spans="6:28" x14ac:dyDescent="0.2">
      <c r="F28" s="7" t="s">
        <v>1550</v>
      </c>
      <c r="G28" s="36" t="s">
        <v>2755</v>
      </c>
      <c r="H28" t="b">
        <f t="shared" si="1"/>
        <v>1</v>
      </c>
      <c r="I28" s="33" t="s">
        <v>2755</v>
      </c>
      <c r="N28" t="b">
        <f t="shared" si="0"/>
        <v>1</v>
      </c>
      <c r="O28" s="32" t="s">
        <v>2755</v>
      </c>
      <c r="U28" s="76" t="s">
        <v>1156</v>
      </c>
      <c r="V28" s="73" t="s">
        <v>583</v>
      </c>
      <c r="W28" s="76" t="s">
        <v>2745</v>
      </c>
      <c r="X28" s="76" t="s">
        <v>2746</v>
      </c>
      <c r="AA28" s="54" t="s">
        <v>1191</v>
      </c>
      <c r="AB28" s="56" t="s">
        <v>1965</v>
      </c>
    </row>
    <row r="29" spans="6:28" x14ac:dyDescent="0.2">
      <c r="F29" s="7" t="s">
        <v>480</v>
      </c>
      <c r="G29" s="36" t="s">
        <v>2749</v>
      </c>
      <c r="H29" t="b">
        <f t="shared" si="1"/>
        <v>1</v>
      </c>
      <c r="I29" s="33" t="s">
        <v>2749</v>
      </c>
      <c r="N29" t="b">
        <f t="shared" si="0"/>
        <v>1</v>
      </c>
      <c r="O29" s="32" t="s">
        <v>2749</v>
      </c>
      <c r="U29" s="76" t="s">
        <v>2742</v>
      </c>
      <c r="V29" s="72" t="s">
        <v>601</v>
      </c>
      <c r="W29" s="77" t="s">
        <v>905</v>
      </c>
      <c r="X29" s="76" t="s">
        <v>2745</v>
      </c>
      <c r="AA29" s="53" t="s">
        <v>1191</v>
      </c>
      <c r="AB29" s="57" t="s">
        <v>1955</v>
      </c>
    </row>
    <row r="30" spans="6:28" x14ac:dyDescent="0.2">
      <c r="F30" s="7" t="s">
        <v>1660</v>
      </c>
      <c r="G30" s="36" t="s">
        <v>2740</v>
      </c>
      <c r="H30" t="b">
        <f t="shared" si="1"/>
        <v>1</v>
      </c>
      <c r="I30" s="33" t="s">
        <v>2740</v>
      </c>
      <c r="N30" t="b">
        <f t="shared" si="0"/>
        <v>1</v>
      </c>
      <c r="O30" s="32" t="s">
        <v>2740</v>
      </c>
      <c r="U30" s="76" t="s">
        <v>2741</v>
      </c>
      <c r="V30" s="73" t="s">
        <v>611</v>
      </c>
      <c r="W30" s="77" t="s">
        <v>933</v>
      </c>
      <c r="X30" s="77" t="s">
        <v>905</v>
      </c>
      <c r="AA30" s="54" t="s">
        <v>1191</v>
      </c>
      <c r="AB30" s="56" t="s">
        <v>1960</v>
      </c>
    </row>
    <row r="31" spans="6:28" x14ac:dyDescent="0.2">
      <c r="F31" s="7" t="s">
        <v>754</v>
      </c>
      <c r="G31" s="36" t="s">
        <v>1191</v>
      </c>
      <c r="H31" t="b">
        <f t="shared" si="1"/>
        <v>1</v>
      </c>
      <c r="I31" s="33" t="s">
        <v>1191</v>
      </c>
      <c r="N31" t="b">
        <f t="shared" si="0"/>
        <v>1</v>
      </c>
      <c r="O31" s="32" t="s">
        <v>1191</v>
      </c>
      <c r="U31" s="76" t="s">
        <v>2740</v>
      </c>
      <c r="V31" s="72" t="s">
        <v>619</v>
      </c>
      <c r="W31" s="76" t="s">
        <v>2744</v>
      </c>
      <c r="X31" s="77" t="s">
        <v>933</v>
      </c>
      <c r="AA31" s="54" t="s">
        <v>1191</v>
      </c>
      <c r="AB31" s="56" t="s">
        <v>441</v>
      </c>
    </row>
    <row r="32" spans="6:28" x14ac:dyDescent="0.2">
      <c r="F32" s="7" t="s">
        <v>1795</v>
      </c>
      <c r="G32" s="36" t="s">
        <v>2738</v>
      </c>
      <c r="H32" t="b">
        <f t="shared" si="1"/>
        <v>1</v>
      </c>
      <c r="I32" s="33" t="s">
        <v>2738</v>
      </c>
      <c r="N32" t="b">
        <f t="shared" si="0"/>
        <v>1</v>
      </c>
      <c r="O32" s="32" t="s">
        <v>2738</v>
      </c>
      <c r="U32" s="76" t="s">
        <v>2739</v>
      </c>
      <c r="V32" s="73" t="s">
        <v>632</v>
      </c>
      <c r="W32" s="76" t="s">
        <v>2743</v>
      </c>
      <c r="X32" s="76" t="s">
        <v>2744</v>
      </c>
      <c r="AA32" s="54" t="s">
        <v>1191</v>
      </c>
      <c r="AB32" s="56" t="s">
        <v>1957</v>
      </c>
    </row>
    <row r="33" spans="6:28" x14ac:dyDescent="0.2">
      <c r="F33" s="7" t="s">
        <v>1838</v>
      </c>
      <c r="H33" t="b">
        <f>G31=I33</f>
        <v>0</v>
      </c>
      <c r="I33" s="35" t="s">
        <v>529</v>
      </c>
      <c r="N33" t="b">
        <f t="shared" si="0"/>
        <v>1</v>
      </c>
      <c r="O33" s="38" t="s">
        <v>529</v>
      </c>
      <c r="U33" s="76" t="s">
        <v>2738</v>
      </c>
      <c r="V33" s="72" t="s">
        <v>639</v>
      </c>
      <c r="W33" s="76" t="s">
        <v>1031</v>
      </c>
      <c r="X33" s="76" t="s">
        <v>2743</v>
      </c>
      <c r="AA33" s="54" t="s">
        <v>529</v>
      </c>
      <c r="AB33" s="56" t="s">
        <v>1958</v>
      </c>
    </row>
    <row r="34" spans="6:28" x14ac:dyDescent="0.2">
      <c r="F34" s="7" t="s">
        <v>1879</v>
      </c>
      <c r="G34" s="36" t="s">
        <v>1031</v>
      </c>
      <c r="H34" t="b">
        <f t="shared" si="1"/>
        <v>1</v>
      </c>
      <c r="I34" s="33" t="s">
        <v>1031</v>
      </c>
      <c r="N34" t="b">
        <f t="shared" si="0"/>
        <v>1</v>
      </c>
      <c r="O34" s="32" t="s">
        <v>1031</v>
      </c>
      <c r="U34" s="76" t="s">
        <v>2737</v>
      </c>
      <c r="V34" s="73" t="s">
        <v>644</v>
      </c>
      <c r="W34" s="77" t="s">
        <v>1065</v>
      </c>
      <c r="X34" s="76" t="s">
        <v>1031</v>
      </c>
      <c r="AA34" s="53" t="s">
        <v>529</v>
      </c>
      <c r="AB34" s="57" t="s">
        <v>1960</v>
      </c>
    </row>
    <row r="35" spans="6:28" x14ac:dyDescent="0.2">
      <c r="G35" s="36" t="s">
        <v>2736</v>
      </c>
      <c r="H35" t="b">
        <f t="shared" si="1"/>
        <v>1</v>
      </c>
      <c r="I35" s="33" t="s">
        <v>2736</v>
      </c>
      <c r="N35" t="b">
        <f t="shared" si="0"/>
        <v>1</v>
      </c>
      <c r="O35" s="32" t="s">
        <v>2736</v>
      </c>
      <c r="U35" s="76" t="s">
        <v>1474</v>
      </c>
      <c r="V35" s="72" t="s">
        <v>650</v>
      </c>
      <c r="W35" s="77" t="s">
        <v>1135</v>
      </c>
      <c r="X35" s="77" t="s">
        <v>1065</v>
      </c>
      <c r="AA35" s="54" t="s">
        <v>529</v>
      </c>
      <c r="AB35" s="56" t="s">
        <v>1961</v>
      </c>
    </row>
    <row r="36" spans="6:28" x14ac:dyDescent="0.2">
      <c r="H36" t="b">
        <f t="shared" si="1"/>
        <v>1</v>
      </c>
      <c r="I36" s="35"/>
      <c r="N36" t="b">
        <f t="shared" si="0"/>
        <v>0</v>
      </c>
      <c r="O36" s="38" t="s">
        <v>816</v>
      </c>
      <c r="U36" s="76" t="s">
        <v>1529</v>
      </c>
      <c r="V36" s="73" t="s">
        <v>657</v>
      </c>
      <c r="W36" s="77" t="s">
        <v>1142</v>
      </c>
      <c r="X36" s="77" t="s">
        <v>1135</v>
      </c>
      <c r="AA36" s="53" t="s">
        <v>529</v>
      </c>
      <c r="AB36" s="57" t="s">
        <v>1957</v>
      </c>
    </row>
    <row r="37" spans="6:28" x14ac:dyDescent="0.2">
      <c r="G37" s="36" t="s">
        <v>288</v>
      </c>
      <c r="H37" t="b">
        <f t="shared" si="1"/>
        <v>1</v>
      </c>
      <c r="I37" s="33" t="s">
        <v>288</v>
      </c>
      <c r="N37" t="b">
        <f t="shared" si="0"/>
        <v>1</v>
      </c>
      <c r="O37" s="32" t="s">
        <v>288</v>
      </c>
      <c r="U37" s="76" t="s">
        <v>2747</v>
      </c>
      <c r="V37" s="72" t="s">
        <v>672</v>
      </c>
      <c r="W37" s="76" t="s">
        <v>1156</v>
      </c>
      <c r="X37" s="77" t="s">
        <v>1142</v>
      </c>
      <c r="AA37" s="54" t="s">
        <v>529</v>
      </c>
      <c r="AB37" s="56" t="s">
        <v>1962</v>
      </c>
    </row>
    <row r="38" spans="6:28" x14ac:dyDescent="0.2">
      <c r="H38" t="b">
        <f t="shared" si="1"/>
        <v>1</v>
      </c>
      <c r="I38" s="35"/>
      <c r="N38" t="b">
        <f t="shared" si="0"/>
        <v>0</v>
      </c>
      <c r="O38" s="38" t="s">
        <v>933</v>
      </c>
      <c r="U38" s="76" t="s">
        <v>2736</v>
      </c>
      <c r="V38" s="73" t="s">
        <v>702</v>
      </c>
      <c r="W38" s="76" t="s">
        <v>2742</v>
      </c>
      <c r="X38" s="76" t="s">
        <v>1156</v>
      </c>
      <c r="AA38" s="54" t="s">
        <v>816</v>
      </c>
      <c r="AB38" s="56" t="s">
        <v>1956</v>
      </c>
    </row>
    <row r="39" spans="6:28" x14ac:dyDescent="0.2">
      <c r="G39" s="36" t="s">
        <v>2751</v>
      </c>
      <c r="H39" t="b">
        <f t="shared" si="1"/>
        <v>1</v>
      </c>
      <c r="I39" s="33" t="s">
        <v>2751</v>
      </c>
      <c r="N39" t="b">
        <f t="shared" si="0"/>
        <v>1</v>
      </c>
      <c r="O39" s="32" t="s">
        <v>2751</v>
      </c>
      <c r="U39" s="76" t="s">
        <v>2735</v>
      </c>
      <c r="V39" s="72" t="s">
        <v>720</v>
      </c>
      <c r="W39" s="76" t="s">
        <v>2741</v>
      </c>
      <c r="X39" s="76" t="s">
        <v>2742</v>
      </c>
      <c r="AA39" s="53" t="s">
        <v>933</v>
      </c>
      <c r="AB39" s="57" t="s">
        <v>1958</v>
      </c>
    </row>
    <row r="40" spans="6:28" x14ac:dyDescent="0.2">
      <c r="G40" s="36" t="s">
        <v>2762</v>
      </c>
      <c r="H40" t="b">
        <f t="shared" si="1"/>
        <v>0</v>
      </c>
      <c r="I40" s="35"/>
      <c r="N40" t="b">
        <f t="shared" si="0"/>
        <v>0</v>
      </c>
      <c r="O40" s="38" t="s">
        <v>1846</v>
      </c>
      <c r="U40" s="76" t="s">
        <v>2734</v>
      </c>
      <c r="V40" s="73" t="s">
        <v>737</v>
      </c>
      <c r="W40" s="76" t="s">
        <v>2740</v>
      </c>
      <c r="X40" s="76" t="s">
        <v>2741</v>
      </c>
      <c r="AA40" s="54" t="s">
        <v>1846</v>
      </c>
      <c r="AB40" s="56" t="s">
        <v>1960</v>
      </c>
    </row>
    <row r="41" spans="6:28" x14ac:dyDescent="0.2">
      <c r="G41" s="36" t="s">
        <v>2763</v>
      </c>
      <c r="H41" t="b">
        <f t="shared" si="1"/>
        <v>0</v>
      </c>
      <c r="I41" s="33" t="s">
        <v>2747</v>
      </c>
      <c r="N41" t="b">
        <f t="shared" si="0"/>
        <v>1</v>
      </c>
      <c r="O41" s="32" t="s">
        <v>2747</v>
      </c>
      <c r="V41" s="72" t="s">
        <v>753</v>
      </c>
      <c r="W41" s="76" t="s">
        <v>2739</v>
      </c>
      <c r="X41" s="76" t="s">
        <v>2740</v>
      </c>
      <c r="AA41" s="53" t="s">
        <v>1846</v>
      </c>
      <c r="AB41" s="57" t="s">
        <v>1961</v>
      </c>
    </row>
    <row r="42" spans="6:28" x14ac:dyDescent="0.2">
      <c r="H42" t="b">
        <f t="shared" si="1"/>
        <v>1</v>
      </c>
      <c r="I42" s="35"/>
      <c r="N42" t="b">
        <f t="shared" si="0"/>
        <v>0</v>
      </c>
      <c r="O42" s="38" t="s">
        <v>1369</v>
      </c>
      <c r="V42" s="73" t="s">
        <v>764</v>
      </c>
      <c r="W42" s="76" t="s">
        <v>2738</v>
      </c>
      <c r="X42" s="76" t="s">
        <v>2739</v>
      </c>
      <c r="AA42" s="53" t="s">
        <v>1846</v>
      </c>
      <c r="AB42" s="57" t="s">
        <v>1956</v>
      </c>
    </row>
    <row r="43" spans="6:28" x14ac:dyDescent="0.2">
      <c r="H43" t="b">
        <f t="shared" si="1"/>
        <v>0</v>
      </c>
      <c r="I43" s="33" t="s">
        <v>2734</v>
      </c>
      <c r="N43" t="b">
        <f t="shared" si="0"/>
        <v>1</v>
      </c>
      <c r="O43" s="32" t="s">
        <v>2734</v>
      </c>
      <c r="V43" s="72" t="s">
        <v>771</v>
      </c>
      <c r="W43" s="77" t="s">
        <v>1324</v>
      </c>
      <c r="X43" s="76" t="s">
        <v>2738</v>
      </c>
      <c r="AA43" s="54" t="s">
        <v>1846</v>
      </c>
      <c r="AB43" s="56" t="s">
        <v>1962</v>
      </c>
    </row>
    <row r="44" spans="6:28" x14ac:dyDescent="0.2">
      <c r="G44" s="36" t="s">
        <v>2752</v>
      </c>
      <c r="H44" t="b">
        <f t="shared" si="1"/>
        <v>1</v>
      </c>
      <c r="I44" s="33" t="s">
        <v>2752</v>
      </c>
      <c r="N44" t="b">
        <f t="shared" si="0"/>
        <v>1</v>
      </c>
      <c r="O44" s="32" t="s">
        <v>2752</v>
      </c>
      <c r="V44" s="73" t="s">
        <v>781</v>
      </c>
      <c r="W44" s="77" t="s">
        <v>1369</v>
      </c>
      <c r="X44" s="77" t="s">
        <v>1324</v>
      </c>
      <c r="AA44" s="53" t="s">
        <v>1369</v>
      </c>
      <c r="AB44" s="57" t="s">
        <v>1946</v>
      </c>
    </row>
    <row r="45" spans="6:28" x14ac:dyDescent="0.2">
      <c r="H45" t="b">
        <f t="shared" si="1"/>
        <v>0</v>
      </c>
      <c r="I45" s="35" t="s">
        <v>1638</v>
      </c>
      <c r="N45" t="b">
        <f t="shared" si="0"/>
        <v>1</v>
      </c>
      <c r="O45" s="38" t="s">
        <v>1638</v>
      </c>
      <c r="V45" s="72" t="s">
        <v>787</v>
      </c>
      <c r="W45" s="77" t="s">
        <v>1398</v>
      </c>
      <c r="X45" s="72"/>
      <c r="AA45" s="53" t="s">
        <v>1369</v>
      </c>
      <c r="AB45" s="57" t="s">
        <v>1960</v>
      </c>
    </row>
    <row r="46" spans="6:28" x14ac:dyDescent="0.2">
      <c r="G46" s="36" t="s">
        <v>2737</v>
      </c>
      <c r="H46" t="b">
        <f t="shared" si="1"/>
        <v>1</v>
      </c>
      <c r="I46" s="33" t="s">
        <v>2737</v>
      </c>
      <c r="N46" t="b">
        <f t="shared" si="0"/>
        <v>1</v>
      </c>
      <c r="O46" s="32" t="s">
        <v>2737</v>
      </c>
      <c r="V46" s="73" t="s">
        <v>796</v>
      </c>
      <c r="W46" s="76" t="s">
        <v>2737</v>
      </c>
      <c r="X46" s="77" t="s">
        <v>1369</v>
      </c>
      <c r="AA46" s="54" t="s">
        <v>1369</v>
      </c>
      <c r="AB46" s="56" t="s">
        <v>1955</v>
      </c>
    </row>
    <row r="47" spans="6:28" x14ac:dyDescent="0.2">
      <c r="G47" s="36" t="s">
        <v>2743</v>
      </c>
      <c r="H47" t="b">
        <f t="shared" si="1"/>
        <v>1</v>
      </c>
      <c r="I47" s="33" t="s">
        <v>2743</v>
      </c>
      <c r="N47" t="b">
        <f t="shared" si="0"/>
        <v>1</v>
      </c>
      <c r="O47" s="32" t="s">
        <v>2743</v>
      </c>
      <c r="V47" s="72" t="s">
        <v>802</v>
      </c>
      <c r="W47" s="76" t="s">
        <v>1474</v>
      </c>
      <c r="X47" s="77" t="s">
        <v>1398</v>
      </c>
      <c r="AA47" s="53" t="s">
        <v>1638</v>
      </c>
      <c r="AB47" s="57" t="s">
        <v>1956</v>
      </c>
    </row>
    <row r="48" spans="6:28" x14ac:dyDescent="0.2">
      <c r="G48" s="36" t="s">
        <v>2739</v>
      </c>
      <c r="H48" t="b">
        <f t="shared" si="1"/>
        <v>1</v>
      </c>
      <c r="I48" s="33" t="s">
        <v>2739</v>
      </c>
      <c r="N48" t="b">
        <f t="shared" si="0"/>
        <v>1</v>
      </c>
      <c r="O48" s="32" t="s">
        <v>2739</v>
      </c>
      <c r="V48" s="75" t="s">
        <v>806</v>
      </c>
      <c r="W48" s="77" t="s">
        <v>1518</v>
      </c>
      <c r="X48" s="73"/>
      <c r="AA48" s="54" t="s">
        <v>1638</v>
      </c>
      <c r="AB48" s="56" t="s">
        <v>1958</v>
      </c>
    </row>
    <row r="49" spans="7:28" x14ac:dyDescent="0.2">
      <c r="H49" t="b">
        <f t="shared" si="1"/>
        <v>0</v>
      </c>
      <c r="I49" s="35" t="s">
        <v>1518</v>
      </c>
      <c r="N49" t="b">
        <f t="shared" si="0"/>
        <v>1</v>
      </c>
      <c r="O49" s="38" t="s">
        <v>1518</v>
      </c>
      <c r="V49" s="75" t="s">
        <v>815</v>
      </c>
      <c r="W49" s="76" t="s">
        <v>1529</v>
      </c>
      <c r="X49" s="76" t="s">
        <v>2737</v>
      </c>
      <c r="AA49" s="53" t="s">
        <v>1638</v>
      </c>
      <c r="AB49" s="57" t="s">
        <v>1960</v>
      </c>
    </row>
    <row r="50" spans="7:28" x14ac:dyDescent="0.2">
      <c r="G50" s="36" t="s">
        <v>2742</v>
      </c>
      <c r="H50" t="b">
        <f t="shared" si="1"/>
        <v>1</v>
      </c>
      <c r="I50" s="33" t="s">
        <v>2742</v>
      </c>
      <c r="N50" t="b">
        <f t="shared" si="0"/>
        <v>1</v>
      </c>
      <c r="O50" s="32" t="s">
        <v>2742</v>
      </c>
      <c r="V50" s="73" t="s">
        <v>829</v>
      </c>
      <c r="W50" s="76" t="s">
        <v>2747</v>
      </c>
      <c r="X50" s="76" t="s">
        <v>1474</v>
      </c>
      <c r="AA50" s="54" t="s">
        <v>1638</v>
      </c>
      <c r="AB50" s="56" t="s">
        <v>1955</v>
      </c>
    </row>
    <row r="51" spans="7:28" x14ac:dyDescent="0.2">
      <c r="G51" s="36" t="s">
        <v>2741</v>
      </c>
      <c r="H51" t="b">
        <f t="shared" si="1"/>
        <v>1</v>
      </c>
      <c r="I51" s="33" t="s">
        <v>2741</v>
      </c>
      <c r="N51" t="b">
        <f t="shared" si="0"/>
        <v>1</v>
      </c>
      <c r="O51" s="32" t="s">
        <v>2741</v>
      </c>
      <c r="V51" s="72" t="s">
        <v>836</v>
      </c>
      <c r="W51" s="77" t="s">
        <v>1556</v>
      </c>
      <c r="X51" s="77" t="s">
        <v>1518</v>
      </c>
      <c r="AA51" s="53" t="s">
        <v>1638</v>
      </c>
      <c r="AB51" s="57" t="s">
        <v>1957</v>
      </c>
    </row>
    <row r="52" spans="7:28" x14ac:dyDescent="0.2">
      <c r="H52" t="b">
        <f t="shared" si="1"/>
        <v>0</v>
      </c>
      <c r="I52" s="37" t="s">
        <v>2753</v>
      </c>
      <c r="N52" t="b">
        <f t="shared" si="0"/>
        <v>1</v>
      </c>
      <c r="O52" s="32" t="s">
        <v>2753</v>
      </c>
      <c r="V52" s="73" t="s">
        <v>850</v>
      </c>
      <c r="W52" s="77" t="s">
        <v>1638</v>
      </c>
      <c r="X52" s="76" t="s">
        <v>1529</v>
      </c>
      <c r="AA52" s="54" t="s">
        <v>1638</v>
      </c>
      <c r="AB52" s="56" t="s">
        <v>1962</v>
      </c>
    </row>
    <row r="53" spans="7:28" x14ac:dyDescent="0.2">
      <c r="H53" t="b">
        <f t="shared" si="1"/>
        <v>0</v>
      </c>
      <c r="I53" s="35" t="s">
        <v>1135</v>
      </c>
      <c r="N53" t="b">
        <f t="shared" si="0"/>
        <v>1</v>
      </c>
      <c r="O53" s="38" t="s">
        <v>1135</v>
      </c>
      <c r="V53" s="72" t="s">
        <v>873</v>
      </c>
      <c r="W53" s="76" t="s">
        <v>2736</v>
      </c>
      <c r="X53" s="76" t="s">
        <v>2747</v>
      </c>
      <c r="AA53" s="53" t="s">
        <v>1518</v>
      </c>
      <c r="AB53" s="57" t="s">
        <v>1955</v>
      </c>
    </row>
    <row r="54" spans="7:28" x14ac:dyDescent="0.2">
      <c r="G54" s="36" t="s">
        <v>2744</v>
      </c>
      <c r="H54" t="b">
        <f t="shared" si="1"/>
        <v>1</v>
      </c>
      <c r="I54" s="33" t="s">
        <v>2744</v>
      </c>
      <c r="N54" t="b">
        <f t="shared" si="0"/>
        <v>1</v>
      </c>
      <c r="O54" s="32" t="s">
        <v>2744</v>
      </c>
      <c r="V54" s="73" t="s">
        <v>888</v>
      </c>
      <c r="W54" s="76" t="s">
        <v>2735</v>
      </c>
      <c r="X54" s="77" t="s">
        <v>1556</v>
      </c>
      <c r="AA54" s="54" t="s">
        <v>1135</v>
      </c>
      <c r="AB54" s="56" t="s">
        <v>1957</v>
      </c>
    </row>
    <row r="55" spans="7:28" x14ac:dyDescent="0.2">
      <c r="G55" s="36" t="s">
        <v>1529</v>
      </c>
      <c r="H55" t="b">
        <f t="shared" si="1"/>
        <v>1</v>
      </c>
      <c r="I55" s="33" t="s">
        <v>1529</v>
      </c>
      <c r="N55" t="b">
        <f t="shared" si="0"/>
        <v>1</v>
      </c>
      <c r="O55" s="32" t="s">
        <v>1529</v>
      </c>
      <c r="V55" s="72" t="s">
        <v>903</v>
      </c>
      <c r="W55" s="77" t="s">
        <v>1846</v>
      </c>
      <c r="X55" s="77" t="s">
        <v>1638</v>
      </c>
      <c r="AA55" s="54" t="s">
        <v>1855</v>
      </c>
      <c r="AB55" s="56" t="s">
        <v>1956</v>
      </c>
    </row>
    <row r="56" spans="7:28" x14ac:dyDescent="0.2">
      <c r="N56" t="b">
        <f t="shared" si="0"/>
        <v>0</v>
      </c>
      <c r="O56" s="38" t="s">
        <v>1855</v>
      </c>
      <c r="V56" s="73" t="s">
        <v>916</v>
      </c>
      <c r="W56" s="77" t="s">
        <v>1855</v>
      </c>
      <c r="X56" s="73"/>
      <c r="AA56" s="53" t="s">
        <v>1324</v>
      </c>
      <c r="AB56" s="57" t="s">
        <v>1955</v>
      </c>
    </row>
    <row r="57" spans="7:28" x14ac:dyDescent="0.2">
      <c r="N57" t="b">
        <f>I58=O57</f>
        <v>0</v>
      </c>
      <c r="O57" s="38" t="s">
        <v>1324</v>
      </c>
      <c r="V57" s="72" t="s">
        <v>921</v>
      </c>
      <c r="W57" s="76" t="s">
        <v>2734</v>
      </c>
      <c r="X57" s="76" t="s">
        <v>2736</v>
      </c>
    </row>
    <row r="58" spans="7:28" x14ac:dyDescent="0.2">
      <c r="V58" s="73" t="s">
        <v>931</v>
      </c>
      <c r="X58" s="72"/>
    </row>
    <row r="59" spans="7:28" x14ac:dyDescent="0.2">
      <c r="V59" s="72" t="s">
        <v>961</v>
      </c>
      <c r="X59" s="76" t="s">
        <v>2735</v>
      </c>
    </row>
    <row r="60" spans="7:28" x14ac:dyDescent="0.2">
      <c r="V60" s="73" t="s">
        <v>968</v>
      </c>
      <c r="X60" s="77" t="s">
        <v>1846</v>
      </c>
    </row>
    <row r="61" spans="7:28" x14ac:dyDescent="0.2">
      <c r="V61" s="72" t="s">
        <v>985</v>
      </c>
      <c r="X61" s="77" t="s">
        <v>1855</v>
      </c>
    </row>
    <row r="62" spans="7:28" x14ac:dyDescent="0.2">
      <c r="V62" s="73" t="s">
        <v>1003</v>
      </c>
      <c r="X62" s="76" t="s">
        <v>2734</v>
      </c>
    </row>
    <row r="63" spans="7:28" x14ac:dyDescent="0.2">
      <c r="V63" s="72" t="s">
        <v>1016</v>
      </c>
    </row>
    <row r="64" spans="7:28" x14ac:dyDescent="0.2">
      <c r="V64" s="73" t="s">
        <v>1022</v>
      </c>
    </row>
    <row r="65" spans="22:22" x14ac:dyDescent="0.2">
      <c r="V65" s="74" t="s">
        <v>1029</v>
      </c>
    </row>
    <row r="66" spans="22:22" x14ac:dyDescent="0.2">
      <c r="V66" s="73" t="s">
        <v>1041</v>
      </c>
    </row>
    <row r="67" spans="22:22" x14ac:dyDescent="0.2">
      <c r="V67" s="72" t="s">
        <v>1049</v>
      </c>
    </row>
    <row r="68" spans="22:22" x14ac:dyDescent="0.2">
      <c r="V68" s="73" t="s">
        <v>1053</v>
      </c>
    </row>
    <row r="69" spans="22:22" x14ac:dyDescent="0.2">
      <c r="V69" s="72" t="s">
        <v>1060</v>
      </c>
    </row>
    <row r="70" spans="22:22" x14ac:dyDescent="0.2">
      <c r="V70" s="73" t="s">
        <v>1064</v>
      </c>
    </row>
    <row r="71" spans="22:22" x14ac:dyDescent="0.2">
      <c r="V71" s="72" t="s">
        <v>1071</v>
      </c>
    </row>
    <row r="72" spans="22:22" x14ac:dyDescent="0.2">
      <c r="V72" s="73" t="s">
        <v>1075</v>
      </c>
    </row>
    <row r="73" spans="22:22" x14ac:dyDescent="0.2">
      <c r="V73" s="72" t="s">
        <v>1088</v>
      </c>
    </row>
    <row r="74" spans="22:22" x14ac:dyDescent="0.2">
      <c r="V74" s="73" t="s">
        <v>1125</v>
      </c>
    </row>
    <row r="75" spans="22:22" x14ac:dyDescent="0.2">
      <c r="V75" s="72" t="s">
        <v>1128</v>
      </c>
    </row>
    <row r="76" spans="22:22" x14ac:dyDescent="0.2">
      <c r="V76" s="75" t="s">
        <v>1133</v>
      </c>
    </row>
    <row r="77" spans="22:22" x14ac:dyDescent="0.2">
      <c r="V77" s="72" t="s">
        <v>1140</v>
      </c>
    </row>
    <row r="78" spans="22:22" x14ac:dyDescent="0.2">
      <c r="V78" s="74" t="s">
        <v>1154</v>
      </c>
    </row>
    <row r="79" spans="22:22" x14ac:dyDescent="0.2">
      <c r="V79" s="72" t="s">
        <v>1167</v>
      </c>
    </row>
    <row r="80" spans="22:22" x14ac:dyDescent="0.2">
      <c r="V80" s="73" t="s">
        <v>1185</v>
      </c>
    </row>
    <row r="81" spans="22:22" x14ac:dyDescent="0.2">
      <c r="V81" s="75" t="s">
        <v>1189</v>
      </c>
    </row>
    <row r="82" spans="22:22" x14ac:dyDescent="0.2">
      <c r="V82" s="73" t="s">
        <v>1210</v>
      </c>
    </row>
    <row r="83" spans="22:22" x14ac:dyDescent="0.2">
      <c r="V83" s="72" t="s">
        <v>1220</v>
      </c>
    </row>
    <row r="84" spans="22:22" x14ac:dyDescent="0.2">
      <c r="V84" s="73" t="s">
        <v>1233</v>
      </c>
    </row>
    <row r="85" spans="22:22" x14ac:dyDescent="0.2">
      <c r="V85" s="72" t="s">
        <v>1246</v>
      </c>
    </row>
    <row r="86" spans="22:22" x14ac:dyDescent="0.2">
      <c r="V86" s="73" t="s">
        <v>1248</v>
      </c>
    </row>
    <row r="87" spans="22:22" x14ac:dyDescent="0.2">
      <c r="V87" s="72" t="s">
        <v>1256</v>
      </c>
    </row>
    <row r="88" spans="22:22" x14ac:dyDescent="0.2">
      <c r="V88" s="73" t="s">
        <v>1263</v>
      </c>
    </row>
    <row r="89" spans="22:22" x14ac:dyDescent="0.2">
      <c r="V89" s="72" t="s">
        <v>1272</v>
      </c>
    </row>
    <row r="90" spans="22:22" x14ac:dyDescent="0.2">
      <c r="V90" s="73" t="s">
        <v>1276</v>
      </c>
    </row>
    <row r="91" spans="22:22" x14ac:dyDescent="0.2">
      <c r="V91" s="72" t="s">
        <v>1292</v>
      </c>
    </row>
    <row r="92" spans="22:22" x14ac:dyDescent="0.2">
      <c r="V92" s="73" t="s">
        <v>1299</v>
      </c>
    </row>
    <row r="93" spans="22:22" x14ac:dyDescent="0.2">
      <c r="V93" s="72" t="s">
        <v>1315</v>
      </c>
    </row>
    <row r="94" spans="22:22" x14ac:dyDescent="0.2">
      <c r="V94" s="73" t="s">
        <v>1320</v>
      </c>
    </row>
    <row r="95" spans="22:22" x14ac:dyDescent="0.2">
      <c r="V95" s="72" t="s">
        <v>1323</v>
      </c>
    </row>
    <row r="96" spans="22:22" x14ac:dyDescent="0.2">
      <c r="V96" s="73" t="s">
        <v>1342</v>
      </c>
    </row>
    <row r="97" spans="22:22" x14ac:dyDescent="0.2">
      <c r="V97" s="72" t="s">
        <v>1367</v>
      </c>
    </row>
    <row r="98" spans="22:22" x14ac:dyDescent="0.2">
      <c r="V98" s="73" t="s">
        <v>1378</v>
      </c>
    </row>
    <row r="99" spans="22:22" x14ac:dyDescent="0.2">
      <c r="V99" s="75" t="s">
        <v>1397</v>
      </c>
    </row>
    <row r="100" spans="22:22" x14ac:dyDescent="0.2">
      <c r="V100" s="73" t="s">
        <v>1414</v>
      </c>
    </row>
    <row r="101" spans="22:22" x14ac:dyDescent="0.2">
      <c r="V101" s="72" t="s">
        <v>1447</v>
      </c>
    </row>
    <row r="102" spans="22:22" x14ac:dyDescent="0.2">
      <c r="V102" s="73" t="s">
        <v>1450</v>
      </c>
    </row>
    <row r="103" spans="22:22" x14ac:dyDescent="0.2">
      <c r="V103" s="72" t="s">
        <v>1454</v>
      </c>
    </row>
    <row r="104" spans="22:22" x14ac:dyDescent="0.2">
      <c r="V104" s="73" t="s">
        <v>1458</v>
      </c>
    </row>
    <row r="105" spans="22:22" x14ac:dyDescent="0.2">
      <c r="V105" s="72" t="s">
        <v>1464</v>
      </c>
    </row>
    <row r="106" spans="22:22" x14ac:dyDescent="0.2">
      <c r="V106" s="74" t="s">
        <v>1472</v>
      </c>
    </row>
    <row r="107" spans="22:22" x14ac:dyDescent="0.2">
      <c r="V107" s="72" t="s">
        <v>1479</v>
      </c>
    </row>
    <row r="108" spans="22:22" x14ac:dyDescent="0.2">
      <c r="V108" s="73" t="s">
        <v>1497</v>
      </c>
    </row>
    <row r="109" spans="22:22" x14ac:dyDescent="0.2">
      <c r="V109" s="72" t="s">
        <v>1505</v>
      </c>
    </row>
    <row r="110" spans="22:22" x14ac:dyDescent="0.2">
      <c r="V110" s="75" t="s">
        <v>1511</v>
      </c>
    </row>
    <row r="111" spans="22:22" x14ac:dyDescent="0.2">
      <c r="V111" s="72" t="s">
        <v>1516</v>
      </c>
    </row>
    <row r="112" spans="22:22" x14ac:dyDescent="0.2">
      <c r="V112" s="74" t="s">
        <v>1527</v>
      </c>
    </row>
    <row r="113" spans="22:22" x14ac:dyDescent="0.2">
      <c r="V113" s="72" t="s">
        <v>1540</v>
      </c>
    </row>
    <row r="114" spans="22:22" x14ac:dyDescent="0.2">
      <c r="V114" s="73" t="s">
        <v>1544</v>
      </c>
    </row>
    <row r="115" spans="22:22" x14ac:dyDescent="0.2">
      <c r="V115" s="72" t="s">
        <v>1548</v>
      </c>
    </row>
    <row r="116" spans="22:22" x14ac:dyDescent="0.2">
      <c r="V116" s="75" t="s">
        <v>1555</v>
      </c>
    </row>
    <row r="117" spans="22:22" x14ac:dyDescent="0.2">
      <c r="V117" s="72" t="s">
        <v>1564</v>
      </c>
    </row>
    <row r="118" spans="22:22" x14ac:dyDescent="0.2">
      <c r="V118" s="73" t="s">
        <v>1577</v>
      </c>
    </row>
    <row r="119" spans="22:22" x14ac:dyDescent="0.2">
      <c r="V119" s="72" t="s">
        <v>1587</v>
      </c>
    </row>
    <row r="120" spans="22:22" x14ac:dyDescent="0.2">
      <c r="V120" s="73" t="s">
        <v>1601</v>
      </c>
    </row>
    <row r="121" spans="22:22" x14ac:dyDescent="0.2">
      <c r="V121" s="72" t="s">
        <v>1636</v>
      </c>
    </row>
    <row r="122" spans="22:22" x14ac:dyDescent="0.2">
      <c r="V122" s="73" t="s">
        <v>1645</v>
      </c>
    </row>
    <row r="123" spans="22:22" x14ac:dyDescent="0.2">
      <c r="V123" s="72" t="s">
        <v>1653</v>
      </c>
    </row>
    <row r="124" spans="22:22" x14ac:dyDescent="0.2">
      <c r="V124" s="73" t="s">
        <v>1658</v>
      </c>
    </row>
    <row r="125" spans="22:22" x14ac:dyDescent="0.2">
      <c r="V125" s="72" t="s">
        <v>1666</v>
      </c>
    </row>
    <row r="126" spans="22:22" x14ac:dyDescent="0.2">
      <c r="V126" s="73" t="s">
        <v>1671</v>
      </c>
    </row>
    <row r="127" spans="22:22" x14ac:dyDescent="0.2">
      <c r="V127" s="72" t="s">
        <v>1680</v>
      </c>
    </row>
    <row r="128" spans="22:22" x14ac:dyDescent="0.2">
      <c r="V128" s="73" t="s">
        <v>1687</v>
      </c>
    </row>
    <row r="129" spans="22:22" x14ac:dyDescent="0.2">
      <c r="V129" s="72" t="s">
        <v>1696</v>
      </c>
    </row>
    <row r="130" spans="22:22" x14ac:dyDescent="0.2">
      <c r="V130" s="73" t="s">
        <v>1707</v>
      </c>
    </row>
    <row r="131" spans="22:22" x14ac:dyDescent="0.2">
      <c r="V131" s="72" t="s">
        <v>1711</v>
      </c>
    </row>
    <row r="132" spans="22:22" x14ac:dyDescent="0.2">
      <c r="V132" s="73" t="s">
        <v>1714</v>
      </c>
    </row>
    <row r="133" spans="22:22" x14ac:dyDescent="0.2">
      <c r="V133" s="72" t="s">
        <v>1719</v>
      </c>
    </row>
    <row r="134" spans="22:22" x14ac:dyDescent="0.2">
      <c r="V134" s="73" t="s">
        <v>1738</v>
      </c>
    </row>
    <row r="135" spans="22:22" x14ac:dyDescent="0.2">
      <c r="V135" s="72" t="s">
        <v>1749</v>
      </c>
    </row>
    <row r="136" spans="22:22" x14ac:dyDescent="0.2">
      <c r="V136" s="73" t="s">
        <v>1753</v>
      </c>
    </row>
    <row r="137" spans="22:22" x14ac:dyDescent="0.2">
      <c r="V137" s="72" t="s">
        <v>1755</v>
      </c>
    </row>
    <row r="138" spans="22:22" x14ac:dyDescent="0.2">
      <c r="V138" s="73" t="s">
        <v>1764</v>
      </c>
    </row>
    <row r="139" spans="22:22" x14ac:dyDescent="0.2">
      <c r="V139" s="72" t="s">
        <v>1770</v>
      </c>
    </row>
    <row r="140" spans="22:22" x14ac:dyDescent="0.2">
      <c r="V140" s="73" t="s">
        <v>1776</v>
      </c>
    </row>
    <row r="141" spans="22:22" x14ac:dyDescent="0.2">
      <c r="V141" s="72" t="s">
        <v>1788</v>
      </c>
    </row>
    <row r="142" spans="22:22" x14ac:dyDescent="0.2">
      <c r="V142" s="73" t="s">
        <v>1793</v>
      </c>
    </row>
    <row r="143" spans="22:22" x14ac:dyDescent="0.2">
      <c r="V143" s="75" t="s">
        <v>1800</v>
      </c>
    </row>
    <row r="144" spans="22:22" x14ac:dyDescent="0.2">
      <c r="V144" s="73" t="s">
        <v>1809</v>
      </c>
    </row>
    <row r="145" spans="22:22" x14ac:dyDescent="0.2">
      <c r="V145" s="72" t="s">
        <v>1824</v>
      </c>
    </row>
    <row r="146" spans="22:22" x14ac:dyDescent="0.2">
      <c r="V146" s="73" t="s">
        <v>1844</v>
      </c>
    </row>
    <row r="147" spans="22:22" x14ac:dyDescent="0.2">
      <c r="V147" s="75" t="s">
        <v>1853</v>
      </c>
    </row>
    <row r="148" spans="22:22" x14ac:dyDescent="0.2">
      <c r="V148" s="73" t="s">
        <v>1873</v>
      </c>
    </row>
    <row r="149" spans="22:22" x14ac:dyDescent="0.2">
      <c r="V149" s="72" t="s">
        <v>1877</v>
      </c>
    </row>
    <row r="150" spans="22:22" x14ac:dyDescent="0.2">
      <c r="V150" s="73" t="s">
        <v>1891</v>
      </c>
    </row>
    <row r="151" spans="22:22" x14ac:dyDescent="0.2">
      <c r="V151" s="72" t="s">
        <v>1897</v>
      </c>
    </row>
    <row r="152" spans="22:22" x14ac:dyDescent="0.2">
      <c r="V152" s="73" t="s">
        <v>1901</v>
      </c>
    </row>
    <row r="153" spans="22:22" x14ac:dyDescent="0.2">
      <c r="V153" s="75" t="s">
        <v>1912</v>
      </c>
    </row>
    <row r="154" spans="22:22" x14ac:dyDescent="0.2">
      <c r="V154" s="73" t="s">
        <v>1917</v>
      </c>
    </row>
    <row r="155" spans="22:22" x14ac:dyDescent="0.2">
      <c r="V155" s="72" t="s">
        <v>1932</v>
      </c>
    </row>
    <row r="156" spans="22:22" x14ac:dyDescent="0.2">
      <c r="V156" s="73"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J13" sqref="J13"/>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tabSelected="1" workbookViewId="0">
      <selection activeCell="A23" sqref="A23"/>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8</v>
      </c>
    </row>
    <row r="34" spans="1:6" x14ac:dyDescent="0.2">
      <c r="A34" t="s">
        <v>1191</v>
      </c>
      <c r="B34" t="s">
        <v>2767</v>
      </c>
      <c r="C34">
        <v>0</v>
      </c>
      <c r="D34">
        <v>1</v>
      </c>
      <c r="E34">
        <v>0</v>
      </c>
      <c r="F34">
        <v>0</v>
      </c>
    </row>
    <row r="35" spans="1:6" x14ac:dyDescent="0.2">
      <c r="A35" t="s">
        <v>1031</v>
      </c>
      <c r="B35" t="s">
        <v>2766</v>
      </c>
      <c r="C35">
        <v>0</v>
      </c>
      <c r="D35">
        <v>1</v>
      </c>
      <c r="E35">
        <v>0</v>
      </c>
      <c r="F35">
        <v>0</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8"/>
  <sheetViews>
    <sheetView workbookViewId="0">
      <selection sqref="A1:A1048576"/>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2773</v>
      </c>
      <c r="B1" s="28" t="s">
        <v>2774</v>
      </c>
      <c r="C1" s="28" t="s">
        <v>2842</v>
      </c>
      <c r="D1" s="28" t="s">
        <v>2775</v>
      </c>
      <c r="E1" s="28" t="s">
        <v>2769</v>
      </c>
      <c r="F1" s="28" t="s">
        <v>2770</v>
      </c>
      <c r="G1" s="28" t="s">
        <v>2771</v>
      </c>
      <c r="H1" s="28" t="s">
        <v>2772</v>
      </c>
    </row>
    <row r="2" spans="1:8" x14ac:dyDescent="0.2">
      <c r="A2" t="s">
        <v>1142</v>
      </c>
      <c r="B2" t="s">
        <v>2766</v>
      </c>
      <c r="C2" t="s">
        <v>2843</v>
      </c>
      <c r="D2" t="s">
        <v>382</v>
      </c>
      <c r="E2" s="62"/>
      <c r="F2" s="62">
        <v>1</v>
      </c>
      <c r="G2" s="62"/>
      <c r="H2" s="62"/>
    </row>
    <row r="3" spans="1:8" x14ac:dyDescent="0.2">
      <c r="A3" t="s">
        <v>577</v>
      </c>
      <c r="B3" t="s">
        <v>2766</v>
      </c>
      <c r="C3" t="s">
        <v>2843</v>
      </c>
      <c r="D3" t="s">
        <v>382</v>
      </c>
      <c r="E3" s="62"/>
      <c r="F3" s="62">
        <v>1</v>
      </c>
      <c r="G3" s="62"/>
      <c r="H3" s="62"/>
    </row>
    <row r="4" spans="1:8" x14ac:dyDescent="0.2">
      <c r="A4" t="s">
        <v>1556</v>
      </c>
      <c r="B4" t="s">
        <v>2766</v>
      </c>
      <c r="C4" t="s">
        <v>2843</v>
      </c>
      <c r="D4" t="s">
        <v>382</v>
      </c>
      <c r="E4" s="62"/>
      <c r="F4" s="62">
        <v>1</v>
      </c>
      <c r="G4" s="62"/>
      <c r="H4" s="62"/>
    </row>
    <row r="5" spans="1:8" x14ac:dyDescent="0.2">
      <c r="A5" t="s">
        <v>1065</v>
      </c>
      <c r="B5" t="s">
        <v>2766</v>
      </c>
      <c r="C5" t="s">
        <v>2846</v>
      </c>
      <c r="D5" t="s">
        <v>382</v>
      </c>
      <c r="E5" s="62"/>
      <c r="F5" s="62"/>
      <c r="G5" s="62">
        <v>1</v>
      </c>
      <c r="H5" s="62">
        <v>4</v>
      </c>
    </row>
    <row r="6" spans="1:8" x14ac:dyDescent="0.2">
      <c r="A6" t="s">
        <v>905</v>
      </c>
      <c r="B6" t="s">
        <v>2766</v>
      </c>
      <c r="C6" t="s">
        <v>2844</v>
      </c>
      <c r="D6" t="s">
        <v>2854</v>
      </c>
      <c r="E6" s="62"/>
      <c r="F6" s="62"/>
      <c r="G6" s="62">
        <v>1</v>
      </c>
      <c r="H6" s="62">
        <v>4</v>
      </c>
    </row>
    <row r="7" spans="1:8" x14ac:dyDescent="0.2">
      <c r="A7" t="s">
        <v>2813</v>
      </c>
      <c r="B7" t="s">
        <v>2766</v>
      </c>
      <c r="C7" t="s">
        <v>2847</v>
      </c>
      <c r="D7" t="s">
        <v>382</v>
      </c>
      <c r="E7" s="62">
        <v>1</v>
      </c>
      <c r="F7" s="62"/>
      <c r="G7" s="62"/>
      <c r="H7" s="62">
        <v>3</v>
      </c>
    </row>
    <row r="8" spans="1:8" x14ac:dyDescent="0.2">
      <c r="A8" t="s">
        <v>1191</v>
      </c>
      <c r="B8" t="s">
        <v>2766</v>
      </c>
      <c r="C8" t="s">
        <v>2848</v>
      </c>
      <c r="D8" t="s">
        <v>382</v>
      </c>
      <c r="E8" s="62"/>
      <c r="F8" s="62"/>
      <c r="G8" s="62">
        <v>1</v>
      </c>
      <c r="H8" s="62">
        <v>9</v>
      </c>
    </row>
    <row r="9" spans="1:8" x14ac:dyDescent="0.2">
      <c r="A9" t="s">
        <v>816</v>
      </c>
      <c r="B9" t="s">
        <v>2766</v>
      </c>
      <c r="C9" t="s">
        <v>2847</v>
      </c>
      <c r="D9" t="s">
        <v>382</v>
      </c>
      <c r="E9" s="62">
        <v>1</v>
      </c>
      <c r="F9" s="62"/>
      <c r="G9" s="62"/>
      <c r="H9" s="62">
        <v>2</v>
      </c>
    </row>
    <row r="10" spans="1:8" x14ac:dyDescent="0.2">
      <c r="A10" t="s">
        <v>933</v>
      </c>
      <c r="B10" t="s">
        <v>2766</v>
      </c>
      <c r="C10" t="s">
        <v>2847</v>
      </c>
      <c r="D10" t="s">
        <v>2850</v>
      </c>
      <c r="E10" s="62"/>
      <c r="F10" s="62"/>
      <c r="G10" s="62">
        <v>1</v>
      </c>
      <c r="H10" s="62">
        <v>4</v>
      </c>
    </row>
    <row r="11" spans="1:8" x14ac:dyDescent="0.2">
      <c r="A11" t="s">
        <v>1846</v>
      </c>
      <c r="B11" t="s">
        <v>2766</v>
      </c>
      <c r="C11" t="s">
        <v>2847</v>
      </c>
      <c r="D11" t="s">
        <v>382</v>
      </c>
      <c r="E11" s="62">
        <v>1</v>
      </c>
      <c r="F11" s="62"/>
      <c r="G11" s="62"/>
      <c r="H11" s="62">
        <v>5</v>
      </c>
    </row>
    <row r="12" spans="1:8" x14ac:dyDescent="0.2">
      <c r="A12" t="s">
        <v>1135</v>
      </c>
      <c r="B12" t="s">
        <v>2766</v>
      </c>
      <c r="C12" t="s">
        <v>2847</v>
      </c>
      <c r="D12" t="s">
        <v>382</v>
      </c>
      <c r="E12" s="62">
        <v>1</v>
      </c>
      <c r="F12" s="62"/>
      <c r="G12" s="62"/>
      <c r="H12" s="62">
        <v>2</v>
      </c>
    </row>
    <row r="13" spans="1:8" x14ac:dyDescent="0.2">
      <c r="A13" t="s">
        <v>1855</v>
      </c>
      <c r="B13" t="s">
        <v>2766</v>
      </c>
      <c r="C13" t="s">
        <v>2847</v>
      </c>
      <c r="D13" t="s">
        <v>382</v>
      </c>
      <c r="E13" s="62">
        <v>1</v>
      </c>
      <c r="F13" s="62"/>
      <c r="G13" s="62"/>
      <c r="H13" s="62">
        <v>4</v>
      </c>
    </row>
    <row r="14" spans="1:8" x14ac:dyDescent="0.2">
      <c r="A14" t="s">
        <v>1324</v>
      </c>
      <c r="B14" t="s">
        <v>2766</v>
      </c>
      <c r="C14" t="s">
        <v>2843</v>
      </c>
      <c r="D14" t="s">
        <v>382</v>
      </c>
      <c r="E14" s="62"/>
      <c r="F14" s="62">
        <v>1</v>
      </c>
      <c r="G14" s="62"/>
      <c r="H14" s="62"/>
    </row>
    <row r="15" spans="1:8" x14ac:dyDescent="0.2">
      <c r="A15" t="s">
        <v>529</v>
      </c>
      <c r="B15" t="s">
        <v>2766</v>
      </c>
      <c r="C15" t="s">
        <v>2847</v>
      </c>
      <c r="D15" t="s">
        <v>2850</v>
      </c>
      <c r="E15" s="62"/>
      <c r="F15" s="62"/>
      <c r="G15">
        <v>1</v>
      </c>
      <c r="H15" s="62">
        <v>7</v>
      </c>
    </row>
    <row r="16" spans="1:8" x14ac:dyDescent="0.2">
      <c r="A16" t="s">
        <v>2816</v>
      </c>
      <c r="B16" t="s">
        <v>2766</v>
      </c>
      <c r="C16" t="s">
        <v>2847</v>
      </c>
      <c r="D16" t="s">
        <v>2850</v>
      </c>
      <c r="E16" s="62"/>
      <c r="F16" s="62"/>
      <c r="G16" s="62">
        <v>1</v>
      </c>
      <c r="H16" s="62">
        <v>2</v>
      </c>
    </row>
    <row r="17" spans="1:8" x14ac:dyDescent="0.2">
      <c r="A17" t="s">
        <v>1518</v>
      </c>
      <c r="B17" t="s">
        <v>2766</v>
      </c>
      <c r="C17" t="s">
        <v>2843</v>
      </c>
      <c r="D17" t="s">
        <v>2850</v>
      </c>
      <c r="E17" s="62"/>
      <c r="F17" s="62"/>
      <c r="G17" s="62">
        <v>1</v>
      </c>
      <c r="H17" s="62">
        <v>7</v>
      </c>
    </row>
    <row r="18" spans="1:8" x14ac:dyDescent="0.2">
      <c r="A18" t="s">
        <v>1398</v>
      </c>
      <c r="B18" t="s">
        <v>2766</v>
      </c>
      <c r="C18" t="s">
        <v>2843</v>
      </c>
      <c r="D18" t="s">
        <v>382</v>
      </c>
      <c r="E18" s="62"/>
      <c r="F18" s="62">
        <v>1</v>
      </c>
      <c r="G18" s="62"/>
      <c r="H18" s="62"/>
    </row>
  </sheetData>
  <autoFilter ref="C1:H18" xr:uid="{E0EC9DDE-869A-F94E-8192-2C7908C32B79}"/>
  <sortState xmlns:xlrd2="http://schemas.microsoft.com/office/spreadsheetml/2017/richdata2" ref="A3:H18">
    <sortCondition ref="A3:A18"/>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1" sqref="B1:B6"/>
    </sheetView>
  </sheetViews>
  <sheetFormatPr baseColWidth="10" defaultRowHeight="16" x14ac:dyDescent="0.2"/>
  <cols>
    <col min="2" max="2" width="74.5" bestFit="1"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2852</v>
      </c>
      <c r="B6" t="s">
        <v>2812</v>
      </c>
      <c r="C6" t="s">
        <v>2766</v>
      </c>
      <c r="D6" t="s">
        <v>2849</v>
      </c>
      <c r="E6">
        <v>1</v>
      </c>
      <c r="F6" s="62"/>
      <c r="G6" s="62"/>
      <c r="H6">
        <v>1</v>
      </c>
      <c r="I6" s="62">
        <v>8</v>
      </c>
    </row>
    <row r="14" spans="1:10" x14ac:dyDescent="0.2">
      <c r="A14" s="71" t="s">
        <v>2853</v>
      </c>
      <c r="B14" s="71"/>
    </row>
    <row r="15" spans="1:10" x14ac:dyDescent="0.2">
      <c r="B15" t="s">
        <v>2851</v>
      </c>
      <c r="C15" s="68" t="s">
        <v>1415</v>
      </c>
      <c r="D15" t="s">
        <v>2766</v>
      </c>
      <c r="E15" t="s">
        <v>2844</v>
      </c>
      <c r="F15">
        <v>1</v>
      </c>
      <c r="G15" s="62"/>
      <c r="H15" s="62"/>
      <c r="I15" s="62">
        <v>1</v>
      </c>
      <c r="J15" s="62">
        <v>5</v>
      </c>
    </row>
    <row r="16" spans="1:10" x14ac:dyDescent="0.2">
      <c r="B16" t="s">
        <v>2851</v>
      </c>
      <c r="C16" s="68" t="s">
        <v>1316</v>
      </c>
      <c r="D16" t="s">
        <v>2766</v>
      </c>
      <c r="E16" t="s">
        <v>2844</v>
      </c>
      <c r="F16">
        <v>1</v>
      </c>
      <c r="G16" s="62"/>
      <c r="H16" s="62"/>
      <c r="I16" s="62">
        <v>1</v>
      </c>
      <c r="J16" s="62">
        <v>4</v>
      </c>
    </row>
    <row r="17" spans="2:10" x14ac:dyDescent="0.2">
      <c r="B17" t="s">
        <v>2851</v>
      </c>
      <c r="C17" s="68" t="s">
        <v>651</v>
      </c>
      <c r="D17" t="s">
        <v>2766</v>
      </c>
      <c r="E17" t="s">
        <v>2845</v>
      </c>
      <c r="F17">
        <v>1</v>
      </c>
      <c r="G17" s="62"/>
      <c r="H17" s="62"/>
      <c r="I17" s="62">
        <v>1</v>
      </c>
      <c r="J17" s="62">
        <v>6</v>
      </c>
    </row>
    <row r="18" spans="2:10" x14ac:dyDescent="0.2">
      <c r="B18" t="s">
        <v>2851</v>
      </c>
      <c r="C18" s="68"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results</vt:lpstr>
      <vt:lpstr>Category words</vt:lpstr>
      <vt:lpstr>start and stop times</vt:lpstr>
      <vt:lpstr>Sheet3</vt:lpstr>
      <vt:lpstr>bondsJune7</vt:lpstr>
      <vt:lpstr>expected results</vt:lpstr>
      <vt:lpstr>allocationsJune7</vt:lpstr>
      <vt:lpstr>Sheet2</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2026-08-09T08:42:30Z</dcterms:modified>
</cp:coreProperties>
</file>