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3ECF3896-28C6-9F40-A645-370708FF1067}" xr6:coauthVersionLast="47" xr6:coauthVersionMax="47" xr10:uidLastSave="{00000000-0000-0000-0000-000000000000}"/>
  <bookViews>
    <workbookView xWindow="160" yWindow="660" windowWidth="20240" windowHeight="22220" firstSheet="8"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simScoreMap" sheetId="14" r:id="rId10"/>
    <sheet name="Sheet4" sheetId="15" r:id="rId11"/>
    <sheet name="Project timeline" sheetId="6" r:id="rId12"/>
    <sheet name="ground_truth_train" sheetId="7" r:id="rId13"/>
    <sheet name="manual_baseline" sheetId="9" r:id="rId14"/>
    <sheet name="rpts failing to execute" sheetId="8" r:id="rId15"/>
  </sheets>
  <definedNames>
    <definedName name="_xlnm._FilterDatabase" localSheetId="7" hidden="1">allocationsJune7!$A$2:$AC$2280</definedName>
    <definedName name="_xlnm._FilterDatabase" localSheetId="5" hidden="1">bondsJune7!$B$13:$AI$299</definedName>
    <definedName name="_xlnm._FilterDatabase" localSheetId="13" hidden="1">manual_baseline!$C$1:$H$18</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21"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287" i="15" l="1"/>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<sst xmlns="http://schemas.openxmlformats.org/spreadsheetml/2006/main" count="25366" uniqueCount="2898">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</sst>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5">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7">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4" borderId="0" xfId="0" applyFill="1"/>
    <xf numFmtId="0" fontId="0" fillId="13" borderId="19" xfId="0" applyFill="1" applyBorder="1"/>
    <xf numFmtId="0" fontId="0" fillId="14" borderId="19" xfId="0" applyFill="1" applyBorder="1"/>
    <xf numFmtId="0" fontId="0" fillId="28" borderId="19" xfId="0" applyFill="1" applyBorder="1"/>
    <xf numFmtId="0" fontId="0" fillId="29" borderId="19"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167" fontId="0" fillId="34" borderId="0" xfId="0" applyNumberFormat="1" applyFill="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17">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21"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6"/>
    <tableColumn id="19" xr3:uid="{7EC3CFE5-B286-8746-8944-31E4DFC081AC}" name="Maturity date (date)" dataDxfId="15"/>
    <tableColumn id="20" xr3:uid="{6D014247-ED01-2A45-85F1-C186DBB916EB}" name="Last published (date)" dataDxfId="14"/>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3">
      <calculatedColumnFormula>AM14</calculatedColumnFormula>
    </tableColumn>
    <tableColumn id="29" xr3:uid="{BA0C6CF8-90B8-CF40-A4A0-2859D76D1916}" name="extract cateogry table" dataDxfId="12"/>
    <tableColumn id="30" xr3:uid="{6144A1BA-4369-474B-8261-5361C4CA1F5F}" name="Find UOP" dataDxfId="11"/>
    <tableColumn id="31" xr3:uid="{217DB38C-B327-6C4A-8148-F783F1714336}" name="find token similarity" dataDxfId="10"/>
    <tableColumn id="32" xr3:uid="{CF906A20-63E1-504F-921B-8A245C168945}" name="non english" dataDxfId="9"/>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J287" totalsRowShown="0">
  <autoFilter ref="A1:AJ287" xr:uid="{A1D12778-9E79-E54F-B4D8-7FC1CC24F617}">
    <filterColumn colId="4">
      <filters>
        <filter val="TRUE - Wave 1"/>
      </filters>
    </filterColumn>
  </autoFilter>
  <tableColumns count="36">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8"/>
    <tableColumn id="19" xr3:uid="{4DE9F248-AC24-AB43-B6FE-BCE9FCA4C37C}" name="Maturity date (date)" dataDxfId="7"/>
    <tableColumn id="20" xr3:uid="{4EC21512-E193-D542-AF61-1EF4D3DF353B}" name="Last published (date)" dataDxfId="6"/>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5">
      <calculatedColumnFormula>AN2</calculatedColumnFormula>
    </tableColumn>
    <tableColumn id="29" xr3:uid="{B0DE8849-E264-0846-A5DB-2C6DB8567ED2}" name="cateogry table" dataDxfId="4"/>
    <tableColumn id="30" xr3:uid="{7355D3FD-9F58-364E-AC69-A225B9BD1252}" name="UOP page idx" dataDxfId="3"/>
    <tableColumn id="36" xr3:uid="{9D5BA104-6CC5-4C4B-AE19-CD891C1F7664}" name="ppl tbl" dataDxfId="0"/>
    <tableColumn id="31" xr3:uid="{38630D99-71B2-D540-9C15-9FF93114478C}" name="ppl uop" dataDxfId="2"/>
    <tableColumn id="32" xr3:uid="{877BEDD5-FF18-8B40-8CA6-687C264EB185}" name="non english" dataDxfId="1"/>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table" Target="../tables/table3.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73" t="s">
        <v>2810</v>
      </c>
      <c r="B4" t="s">
        <v>2809</v>
      </c>
    </row>
    <row r="5" spans="1:3" x14ac:dyDescent="0.2">
      <c r="A5" s="73"/>
      <c r="B5" t="s">
        <v>2808</v>
      </c>
    </row>
    <row r="6" spans="1:3" x14ac:dyDescent="0.2">
      <c r="A6" s="73"/>
      <c r="B6" t="s">
        <v>2807</v>
      </c>
    </row>
    <row r="7" spans="1:3" x14ac:dyDescent="0.2">
      <c r="A7" s="73"/>
      <c r="B7" s="59" t="s">
        <v>2806</v>
      </c>
    </row>
    <row r="8" spans="1:3" x14ac:dyDescent="0.2">
      <c r="A8" s="73"/>
      <c r="B8" s="59" t="s">
        <v>2805</v>
      </c>
    </row>
    <row r="9" spans="1:3" x14ac:dyDescent="0.2">
      <c r="A9" s="73"/>
      <c r="B9" s="59" t="s">
        <v>2804</v>
      </c>
    </row>
    <row r="10" spans="1:3" x14ac:dyDescent="0.2">
      <c r="A10" s="73"/>
      <c r="B10" t="s">
        <v>2803</v>
      </c>
    </row>
    <row r="11" spans="1:3" x14ac:dyDescent="0.2">
      <c r="A11" s="58"/>
    </row>
    <row r="12" spans="1:3" x14ac:dyDescent="0.2">
      <c r="A12" s="73" t="s">
        <v>2802</v>
      </c>
      <c r="B12" t="s">
        <v>2801</v>
      </c>
    </row>
    <row r="13" spans="1:3" x14ac:dyDescent="0.2">
      <c r="A13" s="73"/>
      <c r="B13" s="61" t="s">
        <v>2800</v>
      </c>
      <c r="C13" s="60" t="s">
        <v>2799</v>
      </c>
    </row>
    <row r="14" spans="1:3" x14ac:dyDescent="0.2">
      <c r="A14" s="73"/>
      <c r="B14" s="61" t="s">
        <v>2798</v>
      </c>
      <c r="C14" s="60" t="s">
        <v>2797</v>
      </c>
    </row>
    <row r="15" spans="1:3" x14ac:dyDescent="0.2">
      <c r="A15" s="73"/>
      <c r="B15" s="61" t="s">
        <v>2796</v>
      </c>
      <c r="C15" s="60" t="s">
        <v>2795</v>
      </c>
    </row>
    <row r="16" spans="1:3" x14ac:dyDescent="0.2">
      <c r="A16" s="73"/>
      <c r="B16" s="61" t="s">
        <v>2794</v>
      </c>
      <c r="C16" s="60" t="s">
        <v>2793</v>
      </c>
    </row>
    <row r="17" spans="1:2" x14ac:dyDescent="0.2">
      <c r="A17" s="73"/>
      <c r="B17" t="s">
        <v>2792</v>
      </c>
    </row>
    <row r="18" spans="1:2" x14ac:dyDescent="0.2">
      <c r="A18" s="73"/>
      <c r="B18" t="s">
        <v>2791</v>
      </c>
    </row>
    <row r="19" spans="1:2" x14ac:dyDescent="0.2">
      <c r="A19" s="73"/>
      <c r="B19" s="26" t="s">
        <v>2790</v>
      </c>
    </row>
    <row r="20" spans="1:2" x14ac:dyDescent="0.2">
      <c r="A20" s="73"/>
      <c r="B20" s="59" t="s">
        <v>2789</v>
      </c>
    </row>
    <row r="21" spans="1:2" x14ac:dyDescent="0.2">
      <c r="A21" s="58"/>
    </row>
    <row r="22" spans="1:2" x14ac:dyDescent="0.2">
      <c r="A22" s="73" t="s">
        <v>2788</v>
      </c>
      <c r="B22" t="s">
        <v>2787</v>
      </c>
    </row>
    <row r="23" spans="1:2" x14ac:dyDescent="0.2">
      <c r="A23" s="73"/>
      <c r="B23" t="s">
        <v>2786</v>
      </c>
    </row>
    <row r="24" spans="1:2" x14ac:dyDescent="0.2">
      <c r="A24" s="73"/>
      <c r="B24" t="s">
        <v>2785</v>
      </c>
    </row>
    <row r="25" spans="1:2" x14ac:dyDescent="0.2">
      <c r="A25" s="73"/>
      <c r="B25" t="s">
        <v>2784</v>
      </c>
    </row>
    <row r="26" spans="1:2" x14ac:dyDescent="0.2">
      <c r="A26" s="73"/>
      <c r="B26" t="s">
        <v>2783</v>
      </c>
    </row>
    <row r="27" spans="1:2" x14ac:dyDescent="0.2">
      <c r="A27" s="73"/>
      <c r="B27" t="s">
        <v>2782</v>
      </c>
    </row>
    <row r="28" spans="1:2" x14ac:dyDescent="0.2">
      <c r="A28" s="58"/>
    </row>
    <row r="29" spans="1:2" ht="16" customHeight="1" x14ac:dyDescent="0.2">
      <c r="A29" s="73" t="s">
        <v>2781</v>
      </c>
      <c r="B29" t="s">
        <v>2780</v>
      </c>
    </row>
    <row r="30" spans="1:2" x14ac:dyDescent="0.2">
      <c r="A30" s="73"/>
      <c r="B30" t="s">
        <v>2779</v>
      </c>
    </row>
    <row r="31" spans="1:2" x14ac:dyDescent="0.2">
      <c r="A31" s="73"/>
      <c r="B31" t="s">
        <v>2778</v>
      </c>
    </row>
    <row r="32" spans="1:2" x14ac:dyDescent="0.2">
      <c r="A32" s="73"/>
      <c r="B32" t="s">
        <v>2777</v>
      </c>
    </row>
    <row r="33" spans="1:2" x14ac:dyDescent="0.2">
      <c r="A33" s="73"/>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K1" zoomScale="90" zoomScaleNormal="90" workbookViewId="0">
      <selection activeCell="J16" sqref="A16:XFD16"/>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v>1</v>
      </c>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v>1</v>
      </c>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5" t="s">
        <v>2841</v>
      </c>
      <c r="E2" s="75"/>
      <c r="F2" s="75" t="s">
        <v>2840</v>
      </c>
      <c r="G2" s="75"/>
      <c r="H2" s="75" t="s">
        <v>2839</v>
      </c>
      <c r="I2" s="75"/>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74" t="s">
        <v>2836</v>
      </c>
      <c r="C6" s="28" t="s">
        <v>2835</v>
      </c>
      <c r="D6" s="67"/>
      <c r="E6" s="62"/>
      <c r="F6" s="62"/>
      <c r="G6" s="62"/>
      <c r="H6" s="62"/>
      <c r="I6" s="62"/>
    </row>
    <row r="7" spans="2:9" x14ac:dyDescent="0.2">
      <c r="B7" s="74"/>
      <c r="C7" s="28" t="s">
        <v>2834</v>
      </c>
      <c r="D7" s="67"/>
      <c r="E7" s="62"/>
      <c r="F7" s="62"/>
      <c r="G7" s="62"/>
      <c r="H7" s="62"/>
      <c r="I7" s="62"/>
    </row>
    <row r="8" spans="2:9" x14ac:dyDescent="0.2">
      <c r="B8" s="74" t="s">
        <v>2836</v>
      </c>
      <c r="C8" s="28" t="s">
        <v>2835</v>
      </c>
      <c r="D8" s="62"/>
      <c r="E8" s="62"/>
      <c r="F8" s="62"/>
      <c r="G8" s="62"/>
      <c r="H8" s="62"/>
      <c r="I8" s="62"/>
    </row>
    <row r="9" spans="2:9" x14ac:dyDescent="0.2">
      <c r="B9" s="74"/>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M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U4" s="52" t="s">
        <v>237</v>
      </c>
      <c r="V4" s="54" t="s">
        <v>251</v>
      </c>
      <c r="W4" s="52" t="s">
        <v>237</v>
      </c>
      <c r="X4" s="52" t="s">
        <v>237</v>
      </c>
      <c r="AA4" s="54" t="s">
        <v>1142</v>
      </c>
      <c r="AB4" s="56" t="s">
        <v>1955</v>
      </c>
    </row>
    <row r="5" spans="6:28" x14ac:dyDescent="0.2">
      <c r="I5" s="35"/>
      <c r="N5" t="b">
        <f>I5=O5</f>
        <v>0</v>
      </c>
      <c r="O5" s="38" t="s">
        <v>1142</v>
      </c>
      <c r="U5" s="71" t="s">
        <v>1072</v>
      </c>
      <c r="V5" s="53" t="s">
        <v>274</v>
      </c>
      <c r="W5" s="71" t="s">
        <v>1072</v>
      </c>
      <c r="X5" s="71" t="s">
        <v>1072</v>
      </c>
      <c r="AA5" s="54" t="s">
        <v>577</v>
      </c>
      <c r="AB5" s="56" t="s">
        <v>1955</v>
      </c>
    </row>
    <row r="6" spans="6:28" x14ac:dyDescent="0.2">
      <c r="G6" s="36" t="s">
        <v>2746</v>
      </c>
      <c r="H6" t="b">
        <f>G6=I6</f>
        <v>1</v>
      </c>
      <c r="I6" s="33" t="s">
        <v>2746</v>
      </c>
      <c r="N6" t="b">
        <f t="shared" ref="N6:N56" si="0">I6=O6</f>
        <v>1</v>
      </c>
      <c r="O6" s="32" t="s">
        <v>2746</v>
      </c>
      <c r="U6" s="71" t="s">
        <v>288</v>
      </c>
      <c r="V6" s="69" t="s">
        <v>284</v>
      </c>
      <c r="W6" s="71" t="s">
        <v>288</v>
      </c>
      <c r="X6" s="71" t="s">
        <v>288</v>
      </c>
      <c r="AA6" s="54" t="s">
        <v>1415</v>
      </c>
      <c r="AB6" s="56" t="s">
        <v>1955</v>
      </c>
    </row>
    <row r="7" spans="6:28" x14ac:dyDescent="0.2">
      <c r="F7" s="7" t="s">
        <v>854</v>
      </c>
      <c r="H7" t="b">
        <f t="shared" ref="H7:H55" si="1">G7=I7</f>
        <v>0</v>
      </c>
      <c r="I7" s="35" t="s">
        <v>577</v>
      </c>
      <c r="N7" t="b">
        <f t="shared" si="0"/>
        <v>1</v>
      </c>
      <c r="O7" s="38" t="s">
        <v>577</v>
      </c>
      <c r="U7" s="71" t="s">
        <v>1316</v>
      </c>
      <c r="V7" s="53" t="s">
        <v>303</v>
      </c>
      <c r="W7" s="71" t="s">
        <v>1316</v>
      </c>
      <c r="X7" s="71" t="s">
        <v>1316</v>
      </c>
      <c r="AA7" s="53" t="s">
        <v>1415</v>
      </c>
      <c r="AB7" s="57" t="s">
        <v>1956</v>
      </c>
    </row>
    <row r="8" spans="6:28" x14ac:dyDescent="0.2">
      <c r="F8" s="7" t="s">
        <v>874</v>
      </c>
      <c r="G8" s="36" t="s">
        <v>2758</v>
      </c>
      <c r="H8" t="b">
        <f t="shared" si="1"/>
        <v>1</v>
      </c>
      <c r="I8" s="33" t="s">
        <v>2758</v>
      </c>
      <c r="N8" t="b">
        <f t="shared" si="0"/>
        <v>1</v>
      </c>
      <c r="O8" s="32" t="s">
        <v>2758</v>
      </c>
      <c r="U8" s="71" t="s">
        <v>2754</v>
      </c>
      <c r="V8" s="54" t="s">
        <v>312</v>
      </c>
      <c r="W8" s="71" t="s">
        <v>2754</v>
      </c>
      <c r="X8" s="71" t="s">
        <v>2754</v>
      </c>
      <c r="AA8" s="54" t="s">
        <v>1316</v>
      </c>
      <c r="AB8" s="56" t="s">
        <v>1955</v>
      </c>
    </row>
    <row r="9" spans="6:28" x14ac:dyDescent="0.2">
      <c r="F9" s="7" t="s">
        <v>280</v>
      </c>
      <c r="G9" s="36" t="s">
        <v>2735</v>
      </c>
      <c r="H9" t="b">
        <f t="shared" si="1"/>
        <v>1</v>
      </c>
      <c r="I9" s="33" t="s">
        <v>2735</v>
      </c>
      <c r="N9" t="b">
        <f t="shared" si="0"/>
        <v>1</v>
      </c>
      <c r="O9" s="32" t="s">
        <v>2735</v>
      </c>
      <c r="U9" s="71" t="s">
        <v>2755</v>
      </c>
      <c r="V9" s="53" t="s">
        <v>318</v>
      </c>
      <c r="W9" s="71" t="s">
        <v>2755</v>
      </c>
      <c r="X9" s="71" t="s">
        <v>2755</v>
      </c>
      <c r="AA9" s="54" t="s">
        <v>1316</v>
      </c>
      <c r="AB9" s="56" t="s">
        <v>1956</v>
      </c>
    </row>
    <row r="10" spans="6:28" x14ac:dyDescent="0.2">
      <c r="F10" s="7" t="s">
        <v>507</v>
      </c>
      <c r="G10" s="36" t="s">
        <v>1415</v>
      </c>
      <c r="H10" t="b">
        <f t="shared" si="1"/>
        <v>1</v>
      </c>
      <c r="I10" s="33" t="s">
        <v>1415</v>
      </c>
      <c r="N10" t="b">
        <f t="shared" si="0"/>
        <v>1</v>
      </c>
      <c r="O10" s="33" t="s">
        <v>1415</v>
      </c>
      <c r="U10" s="71" t="s">
        <v>2759</v>
      </c>
      <c r="V10" s="54" t="s">
        <v>330</v>
      </c>
      <c r="W10" s="71" t="s">
        <v>2759</v>
      </c>
      <c r="X10" s="71" t="s">
        <v>2759</v>
      </c>
      <c r="AA10" s="53" t="s">
        <v>651</v>
      </c>
      <c r="AB10" s="57" t="s">
        <v>1955</v>
      </c>
    </row>
    <row r="11" spans="6:28" x14ac:dyDescent="0.2">
      <c r="F11" s="7" t="s">
        <v>307</v>
      </c>
      <c r="G11" s="36" t="s">
        <v>2754</v>
      </c>
      <c r="H11" t="b">
        <f t="shared" si="1"/>
        <v>1</v>
      </c>
      <c r="I11" s="33" t="s">
        <v>2754</v>
      </c>
      <c r="N11" t="b">
        <f t="shared" si="0"/>
        <v>1</v>
      </c>
      <c r="O11" s="32" t="s">
        <v>2754</v>
      </c>
      <c r="U11" s="71" t="s">
        <v>2758</v>
      </c>
      <c r="V11" s="53" t="s">
        <v>349</v>
      </c>
      <c r="W11" s="71" t="s">
        <v>2758</v>
      </c>
      <c r="X11" s="71" t="s">
        <v>2758</v>
      </c>
      <c r="AA11" s="54" t="s">
        <v>651</v>
      </c>
      <c r="AB11" s="56" t="s">
        <v>1957</v>
      </c>
    </row>
    <row r="12" spans="6:28" x14ac:dyDescent="0.2">
      <c r="F12" s="7" t="s">
        <v>986</v>
      </c>
      <c r="G12" s="36" t="s">
        <v>2760</v>
      </c>
      <c r="H12" t="b">
        <f t="shared" si="1"/>
        <v>1</v>
      </c>
      <c r="I12" s="33" t="s">
        <v>2760</v>
      </c>
      <c r="N12" t="b">
        <f t="shared" si="0"/>
        <v>0</v>
      </c>
      <c r="O12" s="32" t="s">
        <v>1316</v>
      </c>
      <c r="U12" s="71" t="s">
        <v>2756</v>
      </c>
      <c r="V12" s="54" t="s">
        <v>381</v>
      </c>
      <c r="W12" s="71" t="s">
        <v>2756</v>
      </c>
      <c r="X12" s="71" t="s">
        <v>2756</v>
      </c>
      <c r="AA12" s="53" t="s">
        <v>651</v>
      </c>
      <c r="AB12" s="57" t="s">
        <v>1956</v>
      </c>
    </row>
    <row r="13" spans="6:28" x14ac:dyDescent="0.2">
      <c r="F13" s="7" t="s">
        <v>320</v>
      </c>
      <c r="G13" s="36" t="s">
        <v>2748</v>
      </c>
      <c r="H13" t="b">
        <f t="shared" si="1"/>
        <v>1</v>
      </c>
      <c r="I13" s="33" t="s">
        <v>2748</v>
      </c>
      <c r="N13" t="b">
        <f t="shared" si="0"/>
        <v>1</v>
      </c>
      <c r="O13" s="32" t="s">
        <v>2748</v>
      </c>
      <c r="U13" s="71" t="s">
        <v>2757</v>
      </c>
      <c r="V13" s="53" t="s">
        <v>413</v>
      </c>
      <c r="W13" s="71" t="s">
        <v>2757</v>
      </c>
      <c r="X13" s="71" t="s">
        <v>2757</v>
      </c>
      <c r="AA13" s="54" t="s">
        <v>1072</v>
      </c>
      <c r="AB13" s="56" t="s">
        <v>1955</v>
      </c>
    </row>
    <row r="14" spans="6:28" x14ac:dyDescent="0.2">
      <c r="F14" s="7" t="s">
        <v>1024</v>
      </c>
      <c r="G14" s="36" t="s">
        <v>2761</v>
      </c>
      <c r="H14" t="b">
        <f t="shared" si="1"/>
        <v>1</v>
      </c>
      <c r="I14" s="33" t="s">
        <v>2761</v>
      </c>
      <c r="N14" t="b">
        <f t="shared" si="0"/>
        <v>0</v>
      </c>
      <c r="O14" s="32" t="s">
        <v>651</v>
      </c>
      <c r="U14" s="71" t="s">
        <v>651</v>
      </c>
      <c r="V14" s="54" t="s">
        <v>421</v>
      </c>
      <c r="W14" s="71" t="s">
        <v>651</v>
      </c>
      <c r="X14" s="71" t="s">
        <v>651</v>
      </c>
      <c r="AA14" s="53" t="s">
        <v>1556</v>
      </c>
      <c r="AB14" s="57" t="s">
        <v>1955</v>
      </c>
    </row>
    <row r="15" spans="6:28" x14ac:dyDescent="0.2">
      <c r="F15" s="7" t="s">
        <v>427</v>
      </c>
      <c r="G15" s="36" t="s">
        <v>2756</v>
      </c>
      <c r="H15" t="b">
        <f t="shared" si="1"/>
        <v>1</v>
      </c>
      <c r="I15" s="33" t="s">
        <v>2756</v>
      </c>
      <c r="N15" t="b">
        <f t="shared" si="0"/>
        <v>1</v>
      </c>
      <c r="O15" s="32" t="s">
        <v>2756</v>
      </c>
      <c r="U15" s="71" t="s">
        <v>2753</v>
      </c>
      <c r="V15" s="53" t="s">
        <v>425</v>
      </c>
      <c r="W15" s="71" t="s">
        <v>2753</v>
      </c>
      <c r="X15" s="71" t="s">
        <v>2753</v>
      </c>
      <c r="AA15" s="53" t="s">
        <v>1065</v>
      </c>
      <c r="AB15" s="57" t="s">
        <v>1961</v>
      </c>
    </row>
    <row r="16" spans="6:28" x14ac:dyDescent="0.2">
      <c r="F16" s="7" t="s">
        <v>659</v>
      </c>
      <c r="G16" s="36" t="s">
        <v>2759</v>
      </c>
      <c r="H16" t="b">
        <f t="shared" si="1"/>
        <v>1</v>
      </c>
      <c r="I16" s="33" t="s">
        <v>2759</v>
      </c>
      <c r="N16" t="b">
        <f t="shared" si="0"/>
        <v>1</v>
      </c>
      <c r="O16" s="32" t="s">
        <v>2759</v>
      </c>
      <c r="U16" s="71" t="s">
        <v>1415</v>
      </c>
      <c r="V16" s="54" t="s">
        <v>440</v>
      </c>
      <c r="W16" s="71" t="s">
        <v>1415</v>
      </c>
      <c r="X16" s="71" t="s">
        <v>1415</v>
      </c>
      <c r="AA16" s="54" t="s">
        <v>1065</v>
      </c>
      <c r="AB16" s="56" t="s">
        <v>1956</v>
      </c>
    </row>
    <row r="17" spans="6:28" x14ac:dyDescent="0.2">
      <c r="F17" s="7" t="s">
        <v>646</v>
      </c>
      <c r="G17" s="36" t="s">
        <v>1072</v>
      </c>
      <c r="H17" t="b">
        <f t="shared" si="1"/>
        <v>1</v>
      </c>
      <c r="I17" s="33" t="s">
        <v>1072</v>
      </c>
      <c r="N17" t="b">
        <f t="shared" si="0"/>
        <v>1</v>
      </c>
      <c r="O17" s="32" t="s">
        <v>1072</v>
      </c>
      <c r="U17" s="71" t="s">
        <v>2752</v>
      </c>
      <c r="V17" s="53" t="s">
        <v>447</v>
      </c>
      <c r="W17" s="72" t="s">
        <v>529</v>
      </c>
      <c r="X17" s="72" t="s">
        <v>529</v>
      </c>
      <c r="AA17" s="53" t="s">
        <v>1065</v>
      </c>
      <c r="AB17" s="57" t="s">
        <v>1955</v>
      </c>
    </row>
    <row r="18" spans="6:28" x14ac:dyDescent="0.2">
      <c r="F18" s="7" t="s">
        <v>385</v>
      </c>
      <c r="H18" t="b">
        <f t="shared" si="1"/>
        <v>0</v>
      </c>
      <c r="I18" s="35" t="s">
        <v>1556</v>
      </c>
      <c r="N18" t="b">
        <f t="shared" si="0"/>
        <v>1</v>
      </c>
      <c r="O18" s="38" t="s">
        <v>1556</v>
      </c>
      <c r="U18" s="71" t="s">
        <v>2751</v>
      </c>
      <c r="V18" s="54" t="s">
        <v>459</v>
      </c>
      <c r="W18" s="72" t="s">
        <v>577</v>
      </c>
      <c r="X18" s="54"/>
      <c r="AA18" s="54" t="s">
        <v>1065</v>
      </c>
      <c r="AB18" s="56" t="s">
        <v>1960</v>
      </c>
    </row>
    <row r="19" spans="6:28" x14ac:dyDescent="0.2">
      <c r="F19" s="7" t="s">
        <v>1221</v>
      </c>
      <c r="G19" s="36" t="s">
        <v>1156</v>
      </c>
      <c r="H19" t="b">
        <f t="shared" si="1"/>
        <v>1</v>
      </c>
      <c r="I19" s="33" t="s">
        <v>1156</v>
      </c>
      <c r="N19" t="b">
        <f t="shared" si="0"/>
        <v>1</v>
      </c>
      <c r="O19" s="32" t="s">
        <v>1156</v>
      </c>
      <c r="U19" s="71" t="s">
        <v>1191</v>
      </c>
      <c r="V19" s="53" t="s">
        <v>464</v>
      </c>
      <c r="W19" s="71" t="s">
        <v>2752</v>
      </c>
      <c r="X19" s="72" t="s">
        <v>577</v>
      </c>
      <c r="AA19" s="53" t="s">
        <v>905</v>
      </c>
      <c r="AB19" s="57" t="s">
        <v>1961</v>
      </c>
    </row>
    <row r="20" spans="6:28" x14ac:dyDescent="0.2">
      <c r="F20" s="7" t="s">
        <v>1247</v>
      </c>
      <c r="H20" t="b">
        <f t="shared" si="1"/>
        <v>0</v>
      </c>
      <c r="I20" s="37" t="s">
        <v>1474</v>
      </c>
      <c r="N20" t="b">
        <f t="shared" si="0"/>
        <v>1</v>
      </c>
      <c r="O20" s="32" t="s">
        <v>1474</v>
      </c>
      <c r="U20" s="71" t="s">
        <v>2750</v>
      </c>
      <c r="V20" s="54" t="s">
        <v>475</v>
      </c>
      <c r="W20" s="71" t="s">
        <v>2751</v>
      </c>
      <c r="X20" s="71" t="s">
        <v>2752</v>
      </c>
      <c r="AA20" s="53" t="s">
        <v>905</v>
      </c>
      <c r="AB20" s="57" t="s">
        <v>1955</v>
      </c>
    </row>
    <row r="21" spans="6:28" x14ac:dyDescent="0.2">
      <c r="F21" s="7" t="s">
        <v>1258</v>
      </c>
      <c r="G21" s="36" t="s">
        <v>2750</v>
      </c>
      <c r="H21" t="b">
        <f t="shared" si="1"/>
        <v>1</v>
      </c>
      <c r="I21" s="33" t="s">
        <v>2750</v>
      </c>
      <c r="N21" t="b">
        <f t="shared" si="0"/>
        <v>1</v>
      </c>
      <c r="O21" s="32" t="s">
        <v>2750</v>
      </c>
      <c r="U21" s="71" t="s">
        <v>2749</v>
      </c>
      <c r="V21" s="53" t="s">
        <v>503</v>
      </c>
      <c r="W21" s="71" t="s">
        <v>1191</v>
      </c>
      <c r="X21" s="71" t="s">
        <v>2751</v>
      </c>
      <c r="AA21" s="53" t="s">
        <v>1398</v>
      </c>
      <c r="AB21" s="57" t="s">
        <v>1955</v>
      </c>
    </row>
    <row r="22" spans="6:28" x14ac:dyDescent="0.2">
      <c r="F22" s="7" t="s">
        <v>1281</v>
      </c>
      <c r="H22" t="b">
        <f t="shared" si="1"/>
        <v>0</v>
      </c>
      <c r="I22" s="35" t="s">
        <v>1065</v>
      </c>
      <c r="N22" t="b">
        <f t="shared" si="0"/>
        <v>1</v>
      </c>
      <c r="O22" s="38" t="s">
        <v>1065</v>
      </c>
      <c r="U22" s="71" t="s">
        <v>2748</v>
      </c>
      <c r="V22" s="54" t="s">
        <v>511</v>
      </c>
      <c r="W22" s="71" t="s">
        <v>2750</v>
      </c>
      <c r="X22" s="71" t="s">
        <v>1191</v>
      </c>
      <c r="AA22" s="53" t="s">
        <v>809</v>
      </c>
      <c r="AB22" s="57" t="s">
        <v>1956</v>
      </c>
    </row>
    <row r="23" spans="6:28" x14ac:dyDescent="0.2">
      <c r="F23" s="7" t="s">
        <v>1294</v>
      </c>
      <c r="H23" t="b">
        <f t="shared" si="1"/>
        <v>0</v>
      </c>
      <c r="I23" s="35" t="s">
        <v>905</v>
      </c>
      <c r="N23" t="b">
        <f t="shared" si="0"/>
        <v>1</v>
      </c>
      <c r="O23" s="38" t="s">
        <v>905</v>
      </c>
      <c r="U23" s="71" t="s">
        <v>2746</v>
      </c>
      <c r="V23" s="53" t="s">
        <v>517</v>
      </c>
      <c r="W23" s="71" t="s">
        <v>2749</v>
      </c>
      <c r="X23" s="71" t="s">
        <v>2750</v>
      </c>
      <c r="AA23" s="54" t="s">
        <v>809</v>
      </c>
      <c r="AB23" s="56" t="s">
        <v>1960</v>
      </c>
    </row>
    <row r="24" spans="6:28" x14ac:dyDescent="0.2">
      <c r="F24" s="7" t="s">
        <v>725</v>
      </c>
      <c r="H24" t="b">
        <f t="shared" si="1"/>
        <v>0</v>
      </c>
      <c r="I24" s="35" t="s">
        <v>1398</v>
      </c>
      <c r="N24" t="b">
        <f t="shared" si="0"/>
        <v>1</v>
      </c>
      <c r="O24" s="38" t="s">
        <v>1398</v>
      </c>
      <c r="U24" s="71" t="s">
        <v>2745</v>
      </c>
      <c r="V24" s="54" t="s">
        <v>526</v>
      </c>
      <c r="W24" s="71" t="s">
        <v>2748</v>
      </c>
      <c r="X24" s="71" t="s">
        <v>2749</v>
      </c>
      <c r="AA24" s="53" t="s">
        <v>1191</v>
      </c>
      <c r="AB24" s="57" t="s">
        <v>1961</v>
      </c>
    </row>
    <row r="25" spans="6:28" x14ac:dyDescent="0.2">
      <c r="F25" s="7" t="s">
        <v>335</v>
      </c>
      <c r="H25" t="b">
        <f t="shared" si="1"/>
        <v>1</v>
      </c>
      <c r="I25" s="35"/>
      <c r="N25" t="b">
        <f t="shared" si="0"/>
        <v>0</v>
      </c>
      <c r="O25" s="38" t="s">
        <v>809</v>
      </c>
      <c r="U25" s="71" t="s">
        <v>2744</v>
      </c>
      <c r="V25" s="53" t="s">
        <v>544</v>
      </c>
      <c r="W25" s="72" t="s">
        <v>809</v>
      </c>
      <c r="X25" s="71" t="s">
        <v>2748</v>
      </c>
      <c r="AA25" s="54" t="s">
        <v>1191</v>
      </c>
      <c r="AB25" s="56" t="s">
        <v>1956</v>
      </c>
    </row>
    <row r="26" spans="6:28" x14ac:dyDescent="0.2">
      <c r="F26" s="7" t="s">
        <v>1466</v>
      </c>
      <c r="G26" s="36" t="s">
        <v>2757</v>
      </c>
      <c r="H26" t="b">
        <f t="shared" si="1"/>
        <v>1</v>
      </c>
      <c r="I26" s="33" t="s">
        <v>2757</v>
      </c>
      <c r="N26" t="b">
        <f t="shared" si="0"/>
        <v>1</v>
      </c>
      <c r="O26" s="32" t="s">
        <v>2757</v>
      </c>
      <c r="U26" s="71" t="s">
        <v>2743</v>
      </c>
      <c r="V26" s="54" t="s">
        <v>552</v>
      </c>
      <c r="W26" s="72" t="s">
        <v>816</v>
      </c>
      <c r="X26" s="72" t="s">
        <v>809</v>
      </c>
      <c r="AA26" s="54" t="s">
        <v>1191</v>
      </c>
      <c r="AB26" s="56" t="s">
        <v>1959</v>
      </c>
    </row>
    <row r="27" spans="6:28" x14ac:dyDescent="0.2">
      <c r="F27" s="7" t="s">
        <v>468</v>
      </c>
      <c r="G27" s="36" t="s">
        <v>2745</v>
      </c>
      <c r="H27" t="b">
        <f t="shared" si="1"/>
        <v>1</v>
      </c>
      <c r="I27" s="33" t="s">
        <v>2745</v>
      </c>
      <c r="N27" t="b">
        <f t="shared" si="0"/>
        <v>1</v>
      </c>
      <c r="O27" s="32" t="s">
        <v>2745</v>
      </c>
      <c r="U27" s="71" t="s">
        <v>1031</v>
      </c>
      <c r="V27" s="53" t="s">
        <v>574</v>
      </c>
      <c r="W27" s="71" t="s">
        <v>2746</v>
      </c>
      <c r="X27" s="72" t="s">
        <v>816</v>
      </c>
      <c r="AA27" s="54" t="s">
        <v>1191</v>
      </c>
      <c r="AB27" s="56" t="s">
        <v>1962</v>
      </c>
    </row>
    <row r="28" spans="6:28" x14ac:dyDescent="0.2">
      <c r="F28" s="7" t="s">
        <v>1550</v>
      </c>
      <c r="G28" s="36" t="s">
        <v>2755</v>
      </c>
      <c r="H28" t="b">
        <f t="shared" si="1"/>
        <v>1</v>
      </c>
      <c r="I28" s="33" t="s">
        <v>2755</v>
      </c>
      <c r="N28" t="b">
        <f t="shared" si="0"/>
        <v>1</v>
      </c>
      <c r="O28" s="32" t="s">
        <v>2755</v>
      </c>
      <c r="U28" s="71" t="s">
        <v>1156</v>
      </c>
      <c r="V28" s="54" t="s">
        <v>583</v>
      </c>
      <c r="W28" s="71" t="s">
        <v>2745</v>
      </c>
      <c r="X28" s="71" t="s">
        <v>2746</v>
      </c>
      <c r="AA28" s="54" t="s">
        <v>1191</v>
      </c>
      <c r="AB28" s="56" t="s">
        <v>1965</v>
      </c>
    </row>
    <row r="29" spans="6:28" x14ac:dyDescent="0.2">
      <c r="F29" s="7" t="s">
        <v>480</v>
      </c>
      <c r="G29" s="36" t="s">
        <v>2749</v>
      </c>
      <c r="H29" t="b">
        <f t="shared" si="1"/>
        <v>1</v>
      </c>
      <c r="I29" s="33" t="s">
        <v>2749</v>
      </c>
      <c r="N29" t="b">
        <f t="shared" si="0"/>
        <v>1</v>
      </c>
      <c r="O29" s="32" t="s">
        <v>2749</v>
      </c>
      <c r="U29" s="71" t="s">
        <v>2742</v>
      </c>
      <c r="V29" s="53" t="s">
        <v>601</v>
      </c>
      <c r="W29" s="72" t="s">
        <v>905</v>
      </c>
      <c r="X29" s="71" t="s">
        <v>2745</v>
      </c>
      <c r="AA29" s="53" t="s">
        <v>1191</v>
      </c>
      <c r="AB29" s="57" t="s">
        <v>1955</v>
      </c>
    </row>
    <row r="30" spans="6:28" x14ac:dyDescent="0.2">
      <c r="F30" s="7" t="s">
        <v>1660</v>
      </c>
      <c r="G30" s="36" t="s">
        <v>2740</v>
      </c>
      <c r="H30" t="b">
        <f t="shared" si="1"/>
        <v>1</v>
      </c>
      <c r="I30" s="33" t="s">
        <v>2740</v>
      </c>
      <c r="N30" t="b">
        <f t="shared" si="0"/>
        <v>1</v>
      </c>
      <c r="O30" s="32" t="s">
        <v>2740</v>
      </c>
      <c r="U30" s="71" t="s">
        <v>2741</v>
      </c>
      <c r="V30" s="54" t="s">
        <v>611</v>
      </c>
      <c r="W30" s="72" t="s">
        <v>933</v>
      </c>
      <c r="X30" s="72" t="s">
        <v>905</v>
      </c>
      <c r="AA30" s="54" t="s">
        <v>1191</v>
      </c>
      <c r="AB30" s="56" t="s">
        <v>1960</v>
      </c>
    </row>
    <row r="31" spans="6:28" x14ac:dyDescent="0.2">
      <c r="F31" s="7" t="s">
        <v>754</v>
      </c>
      <c r="G31" s="36" t="s">
        <v>1191</v>
      </c>
      <c r="H31" t="b">
        <f t="shared" si="1"/>
        <v>1</v>
      </c>
      <c r="I31" s="33" t="s">
        <v>1191</v>
      </c>
      <c r="N31" t="b">
        <f t="shared" si="0"/>
        <v>1</v>
      </c>
      <c r="O31" s="32" t="s">
        <v>1191</v>
      </c>
      <c r="U31" s="71" t="s">
        <v>2740</v>
      </c>
      <c r="V31" s="53" t="s">
        <v>619</v>
      </c>
      <c r="W31" s="71" t="s">
        <v>2744</v>
      </c>
      <c r="X31" s="72" t="s">
        <v>933</v>
      </c>
      <c r="AA31" s="54" t="s">
        <v>1191</v>
      </c>
      <c r="AB31" s="56" t="s">
        <v>441</v>
      </c>
    </row>
    <row r="32" spans="6:28" x14ac:dyDescent="0.2">
      <c r="F32" s="7" t="s">
        <v>1795</v>
      </c>
      <c r="G32" s="36" t="s">
        <v>2738</v>
      </c>
      <c r="H32" t="b">
        <f t="shared" si="1"/>
        <v>1</v>
      </c>
      <c r="I32" s="33" t="s">
        <v>2738</v>
      </c>
      <c r="N32" t="b">
        <f t="shared" si="0"/>
        <v>1</v>
      </c>
      <c r="O32" s="32" t="s">
        <v>2738</v>
      </c>
      <c r="U32" s="71" t="s">
        <v>2739</v>
      </c>
      <c r="V32" s="54" t="s">
        <v>632</v>
      </c>
      <c r="W32" s="71" t="s">
        <v>2743</v>
      </c>
      <c r="X32" s="71" t="s">
        <v>2744</v>
      </c>
      <c r="AA32" s="54" t="s">
        <v>1191</v>
      </c>
      <c r="AB32" s="56" t="s">
        <v>1957</v>
      </c>
    </row>
    <row r="33" spans="6:28" x14ac:dyDescent="0.2">
      <c r="F33" s="7" t="s">
        <v>1838</v>
      </c>
      <c r="H33" t="b">
        <f>G31=I33</f>
        <v>0</v>
      </c>
      <c r="I33" s="35" t="s">
        <v>529</v>
      </c>
      <c r="N33" t="b">
        <f t="shared" si="0"/>
        <v>1</v>
      </c>
      <c r="O33" s="38" t="s">
        <v>529</v>
      </c>
      <c r="U33" s="71" t="s">
        <v>2738</v>
      </c>
      <c r="V33" s="53" t="s">
        <v>639</v>
      </c>
      <c r="W33" s="71" t="s">
        <v>1031</v>
      </c>
      <c r="X33" s="71" t="s">
        <v>2743</v>
      </c>
      <c r="AA33" s="54" t="s">
        <v>529</v>
      </c>
      <c r="AB33" s="56" t="s">
        <v>1958</v>
      </c>
    </row>
    <row r="34" spans="6:28" x14ac:dyDescent="0.2">
      <c r="F34" s="7" t="s">
        <v>1879</v>
      </c>
      <c r="G34" s="36" t="s">
        <v>1031</v>
      </c>
      <c r="H34" t="b">
        <f t="shared" si="1"/>
        <v>1</v>
      </c>
      <c r="I34" s="33" t="s">
        <v>1031</v>
      </c>
      <c r="N34" t="b">
        <f t="shared" si="0"/>
        <v>1</v>
      </c>
      <c r="O34" s="32" t="s">
        <v>1031</v>
      </c>
      <c r="U34" s="71" t="s">
        <v>2737</v>
      </c>
      <c r="V34" s="54" t="s">
        <v>644</v>
      </c>
      <c r="W34" s="72" t="s">
        <v>1065</v>
      </c>
      <c r="X34" s="71" t="s">
        <v>1031</v>
      </c>
      <c r="AA34" s="53" t="s">
        <v>529</v>
      </c>
      <c r="AB34" s="57" t="s">
        <v>1960</v>
      </c>
    </row>
    <row r="35" spans="6:28" x14ac:dyDescent="0.2">
      <c r="G35" s="36" t="s">
        <v>2736</v>
      </c>
      <c r="H35" t="b">
        <f t="shared" si="1"/>
        <v>1</v>
      </c>
      <c r="I35" s="33" t="s">
        <v>2736</v>
      </c>
      <c r="N35" t="b">
        <f t="shared" si="0"/>
        <v>1</v>
      </c>
      <c r="O35" s="32" t="s">
        <v>2736</v>
      </c>
      <c r="U35" s="71" t="s">
        <v>1474</v>
      </c>
      <c r="V35" s="53" t="s">
        <v>650</v>
      </c>
      <c r="W35" s="72" t="s">
        <v>1135</v>
      </c>
      <c r="X35" s="72" t="s">
        <v>1065</v>
      </c>
      <c r="AA35" s="54" t="s">
        <v>529</v>
      </c>
      <c r="AB35" s="56" t="s">
        <v>1961</v>
      </c>
    </row>
    <row r="36" spans="6:28" x14ac:dyDescent="0.2">
      <c r="H36" t="b">
        <f t="shared" si="1"/>
        <v>1</v>
      </c>
      <c r="I36" s="35"/>
      <c r="N36" t="b">
        <f t="shared" si="0"/>
        <v>0</v>
      </c>
      <c r="O36" s="38" t="s">
        <v>816</v>
      </c>
      <c r="U36" s="71" t="s">
        <v>1529</v>
      </c>
      <c r="V36" s="54" t="s">
        <v>657</v>
      </c>
      <c r="W36" s="72" t="s">
        <v>1142</v>
      </c>
      <c r="X36" s="72" t="s">
        <v>1135</v>
      </c>
      <c r="AA36" s="53" t="s">
        <v>529</v>
      </c>
      <c r="AB36" s="57" t="s">
        <v>1957</v>
      </c>
    </row>
    <row r="37" spans="6:28" x14ac:dyDescent="0.2">
      <c r="G37" s="36" t="s">
        <v>288</v>
      </c>
      <c r="H37" t="b">
        <f t="shared" si="1"/>
        <v>1</v>
      </c>
      <c r="I37" s="33" t="s">
        <v>288</v>
      </c>
      <c r="N37" t="b">
        <f t="shared" si="0"/>
        <v>1</v>
      </c>
      <c r="O37" s="32" t="s">
        <v>288</v>
      </c>
      <c r="U37" s="71" t="s">
        <v>2747</v>
      </c>
      <c r="V37" s="53" t="s">
        <v>672</v>
      </c>
      <c r="W37" s="71" t="s">
        <v>1156</v>
      </c>
      <c r="X37" s="72" t="s">
        <v>1142</v>
      </c>
      <c r="AA37" s="54" t="s">
        <v>529</v>
      </c>
      <c r="AB37" s="56" t="s">
        <v>1962</v>
      </c>
    </row>
    <row r="38" spans="6:28" x14ac:dyDescent="0.2">
      <c r="H38" t="b">
        <f t="shared" si="1"/>
        <v>1</v>
      </c>
      <c r="I38" s="35"/>
      <c r="N38" t="b">
        <f t="shared" si="0"/>
        <v>0</v>
      </c>
      <c r="O38" s="38" t="s">
        <v>933</v>
      </c>
      <c r="U38" s="71" t="s">
        <v>2736</v>
      </c>
      <c r="V38" s="54" t="s">
        <v>702</v>
      </c>
      <c r="W38" s="71" t="s">
        <v>2742</v>
      </c>
      <c r="X38" s="71" t="s">
        <v>1156</v>
      </c>
      <c r="AA38" s="54" t="s">
        <v>816</v>
      </c>
      <c r="AB38" s="56" t="s">
        <v>1956</v>
      </c>
    </row>
    <row r="39" spans="6:28" x14ac:dyDescent="0.2">
      <c r="G39" s="36" t="s">
        <v>2751</v>
      </c>
      <c r="H39" t="b">
        <f t="shared" si="1"/>
        <v>1</v>
      </c>
      <c r="I39" s="33" t="s">
        <v>2751</v>
      </c>
      <c r="N39" t="b">
        <f t="shared" si="0"/>
        <v>1</v>
      </c>
      <c r="O39" s="32" t="s">
        <v>2751</v>
      </c>
      <c r="U39" s="71" t="s">
        <v>2735</v>
      </c>
      <c r="V39" s="53" t="s">
        <v>720</v>
      </c>
      <c r="W39" s="71" t="s">
        <v>2741</v>
      </c>
      <c r="X39" s="71" t="s">
        <v>2742</v>
      </c>
      <c r="AA39" s="53" t="s">
        <v>933</v>
      </c>
      <c r="AB39" s="57" t="s">
        <v>1958</v>
      </c>
    </row>
    <row r="40" spans="6:28" x14ac:dyDescent="0.2">
      <c r="G40" s="36" t="s">
        <v>2762</v>
      </c>
      <c r="H40" t="b">
        <f t="shared" si="1"/>
        <v>0</v>
      </c>
      <c r="I40" s="35"/>
      <c r="N40" t="b">
        <f t="shared" si="0"/>
        <v>0</v>
      </c>
      <c r="O40" s="38" t="s">
        <v>1846</v>
      </c>
      <c r="U40" s="71" t="s">
        <v>2734</v>
      </c>
      <c r="V40" s="54" t="s">
        <v>737</v>
      </c>
      <c r="W40" s="71" t="s">
        <v>2740</v>
      </c>
      <c r="X40" s="71" t="s">
        <v>2741</v>
      </c>
      <c r="AA40" s="54" t="s">
        <v>1846</v>
      </c>
      <c r="AB40" s="56" t="s">
        <v>1960</v>
      </c>
    </row>
    <row r="41" spans="6:28" x14ac:dyDescent="0.2">
      <c r="G41" s="36" t="s">
        <v>2763</v>
      </c>
      <c r="H41" t="b">
        <f t="shared" si="1"/>
        <v>0</v>
      </c>
      <c r="I41" s="33" t="s">
        <v>2747</v>
      </c>
      <c r="N41" t="b">
        <f t="shared" si="0"/>
        <v>1</v>
      </c>
      <c r="O41" s="32" t="s">
        <v>2747</v>
      </c>
      <c r="V41" s="53" t="s">
        <v>753</v>
      </c>
      <c r="W41" s="71" t="s">
        <v>2739</v>
      </c>
      <c r="X41" s="71" t="s">
        <v>2740</v>
      </c>
      <c r="AA41" s="53" t="s">
        <v>1846</v>
      </c>
      <c r="AB41" s="57" t="s">
        <v>1961</v>
      </c>
    </row>
    <row r="42" spans="6:28" x14ac:dyDescent="0.2">
      <c r="H42" t="b">
        <f t="shared" si="1"/>
        <v>1</v>
      </c>
      <c r="I42" s="35"/>
      <c r="N42" t="b">
        <f t="shared" si="0"/>
        <v>0</v>
      </c>
      <c r="O42" s="38" t="s">
        <v>1369</v>
      </c>
      <c r="V42" s="54" t="s">
        <v>764</v>
      </c>
      <c r="W42" s="71" t="s">
        <v>2738</v>
      </c>
      <c r="X42" s="71" t="s">
        <v>2739</v>
      </c>
      <c r="AA42" s="53" t="s">
        <v>1846</v>
      </c>
      <c r="AB42" s="57" t="s">
        <v>1956</v>
      </c>
    </row>
    <row r="43" spans="6:28" x14ac:dyDescent="0.2">
      <c r="H43" t="b">
        <f t="shared" si="1"/>
        <v>0</v>
      </c>
      <c r="I43" s="33" t="s">
        <v>2734</v>
      </c>
      <c r="N43" t="b">
        <f t="shared" si="0"/>
        <v>1</v>
      </c>
      <c r="O43" s="32" t="s">
        <v>2734</v>
      </c>
      <c r="V43" s="53" t="s">
        <v>771</v>
      </c>
      <c r="W43" s="72" t="s">
        <v>1324</v>
      </c>
      <c r="X43" s="71" t="s">
        <v>2738</v>
      </c>
      <c r="AA43" s="54" t="s">
        <v>1846</v>
      </c>
      <c r="AB43" s="56" t="s">
        <v>1962</v>
      </c>
    </row>
    <row r="44" spans="6:28" x14ac:dyDescent="0.2">
      <c r="G44" s="36" t="s">
        <v>2752</v>
      </c>
      <c r="H44" t="b">
        <f t="shared" si="1"/>
        <v>1</v>
      </c>
      <c r="I44" s="33" t="s">
        <v>2752</v>
      </c>
      <c r="N44" t="b">
        <f t="shared" si="0"/>
        <v>1</v>
      </c>
      <c r="O44" s="32" t="s">
        <v>2752</v>
      </c>
      <c r="V44" s="54" t="s">
        <v>781</v>
      </c>
      <c r="W44" s="72" t="s">
        <v>1369</v>
      </c>
      <c r="X44" s="72" t="s">
        <v>1324</v>
      </c>
      <c r="AA44" s="53" t="s">
        <v>1369</v>
      </c>
      <c r="AB44" s="57" t="s">
        <v>1946</v>
      </c>
    </row>
    <row r="45" spans="6:28" x14ac:dyDescent="0.2">
      <c r="H45" t="b">
        <f t="shared" si="1"/>
        <v>0</v>
      </c>
      <c r="I45" s="35" t="s">
        <v>1638</v>
      </c>
      <c r="N45" t="b">
        <f t="shared" si="0"/>
        <v>1</v>
      </c>
      <c r="O45" s="38" t="s">
        <v>1638</v>
      </c>
      <c r="V45" s="53" t="s">
        <v>787</v>
      </c>
      <c r="W45" s="72" t="s">
        <v>1398</v>
      </c>
      <c r="X45" s="53"/>
      <c r="AA45" s="53" t="s">
        <v>1369</v>
      </c>
      <c r="AB45" s="57" t="s">
        <v>1960</v>
      </c>
    </row>
    <row r="46" spans="6:28" x14ac:dyDescent="0.2">
      <c r="G46" s="36" t="s">
        <v>2737</v>
      </c>
      <c r="H46" t="b">
        <f t="shared" si="1"/>
        <v>1</v>
      </c>
      <c r="I46" s="33" t="s">
        <v>2737</v>
      </c>
      <c r="N46" t="b">
        <f t="shared" si="0"/>
        <v>1</v>
      </c>
      <c r="O46" s="32" t="s">
        <v>2737</v>
      </c>
      <c r="V46" s="54" t="s">
        <v>796</v>
      </c>
      <c r="W46" s="71" t="s">
        <v>2737</v>
      </c>
      <c r="X46" s="72" t="s">
        <v>1369</v>
      </c>
      <c r="AA46" s="54" t="s">
        <v>1369</v>
      </c>
      <c r="AB46" s="56" t="s">
        <v>1955</v>
      </c>
    </row>
    <row r="47" spans="6:28" x14ac:dyDescent="0.2">
      <c r="G47" s="36" t="s">
        <v>2743</v>
      </c>
      <c r="H47" t="b">
        <f t="shared" si="1"/>
        <v>1</v>
      </c>
      <c r="I47" s="33" t="s">
        <v>2743</v>
      </c>
      <c r="N47" t="b">
        <f t="shared" si="0"/>
        <v>1</v>
      </c>
      <c r="O47" s="32" t="s">
        <v>2743</v>
      </c>
      <c r="V47" s="53" t="s">
        <v>802</v>
      </c>
      <c r="W47" s="71" t="s">
        <v>1474</v>
      </c>
      <c r="X47" s="72" t="s">
        <v>1398</v>
      </c>
      <c r="AA47" s="53" t="s">
        <v>1638</v>
      </c>
      <c r="AB47" s="57" t="s">
        <v>1956</v>
      </c>
    </row>
    <row r="48" spans="6:28" x14ac:dyDescent="0.2">
      <c r="G48" s="36" t="s">
        <v>2739</v>
      </c>
      <c r="H48" t="b">
        <f t="shared" si="1"/>
        <v>1</v>
      </c>
      <c r="I48" s="33" t="s">
        <v>2739</v>
      </c>
      <c r="N48" t="b">
        <f t="shared" si="0"/>
        <v>1</v>
      </c>
      <c r="O48" s="32" t="s">
        <v>2739</v>
      </c>
      <c r="V48" s="70" t="s">
        <v>806</v>
      </c>
      <c r="W48" s="72" t="s">
        <v>1518</v>
      </c>
      <c r="X48" s="54"/>
      <c r="AA48" s="54" t="s">
        <v>1638</v>
      </c>
      <c r="AB48" s="56" t="s">
        <v>1958</v>
      </c>
    </row>
    <row r="49" spans="7:28" x14ac:dyDescent="0.2">
      <c r="H49" t="b">
        <f t="shared" si="1"/>
        <v>0</v>
      </c>
      <c r="I49" s="35" t="s">
        <v>1518</v>
      </c>
      <c r="N49" t="b">
        <f t="shared" si="0"/>
        <v>1</v>
      </c>
      <c r="O49" s="38" t="s">
        <v>1518</v>
      </c>
      <c r="V49" s="70" t="s">
        <v>815</v>
      </c>
      <c r="W49" s="71" t="s">
        <v>1529</v>
      </c>
      <c r="X49" s="71" t="s">
        <v>2737</v>
      </c>
      <c r="AA49" s="53" t="s">
        <v>1638</v>
      </c>
      <c r="AB49" s="57" t="s">
        <v>1960</v>
      </c>
    </row>
    <row r="50" spans="7:28" x14ac:dyDescent="0.2">
      <c r="G50" s="36" t="s">
        <v>2742</v>
      </c>
      <c r="H50" t="b">
        <f t="shared" si="1"/>
        <v>1</v>
      </c>
      <c r="I50" s="33" t="s">
        <v>2742</v>
      </c>
      <c r="N50" t="b">
        <f t="shared" si="0"/>
        <v>1</v>
      </c>
      <c r="O50" s="32" t="s">
        <v>2742</v>
      </c>
      <c r="V50" s="54" t="s">
        <v>829</v>
      </c>
      <c r="W50" s="71" t="s">
        <v>2747</v>
      </c>
      <c r="X50" s="71" t="s">
        <v>1474</v>
      </c>
      <c r="AA50" s="54" t="s">
        <v>1638</v>
      </c>
      <c r="AB50" s="56" t="s">
        <v>1955</v>
      </c>
    </row>
    <row r="51" spans="7:28" x14ac:dyDescent="0.2">
      <c r="G51" s="36" t="s">
        <v>2741</v>
      </c>
      <c r="H51" t="b">
        <f t="shared" si="1"/>
        <v>1</v>
      </c>
      <c r="I51" s="33" t="s">
        <v>2741</v>
      </c>
      <c r="N51" t="b">
        <f t="shared" si="0"/>
        <v>1</v>
      </c>
      <c r="O51" s="32" t="s">
        <v>2741</v>
      </c>
      <c r="V51" s="53" t="s">
        <v>836</v>
      </c>
      <c r="W51" s="72" t="s">
        <v>1556</v>
      </c>
      <c r="X51" s="72" t="s">
        <v>1518</v>
      </c>
      <c r="AA51" s="53" t="s">
        <v>1638</v>
      </c>
      <c r="AB51" s="57" t="s">
        <v>1957</v>
      </c>
    </row>
    <row r="52" spans="7:28" x14ac:dyDescent="0.2">
      <c r="H52" t="b">
        <f t="shared" si="1"/>
        <v>0</v>
      </c>
      <c r="I52" s="37" t="s">
        <v>2753</v>
      </c>
      <c r="N52" t="b">
        <f t="shared" si="0"/>
        <v>1</v>
      </c>
      <c r="O52" s="32" t="s">
        <v>2753</v>
      </c>
      <c r="V52" s="54" t="s">
        <v>850</v>
      </c>
      <c r="W52" s="72" t="s">
        <v>1638</v>
      </c>
      <c r="X52" s="71" t="s">
        <v>1529</v>
      </c>
      <c r="AA52" s="54" t="s">
        <v>1638</v>
      </c>
      <c r="AB52" s="56" t="s">
        <v>1962</v>
      </c>
    </row>
    <row r="53" spans="7:28" x14ac:dyDescent="0.2">
      <c r="H53" t="b">
        <f t="shared" si="1"/>
        <v>0</v>
      </c>
      <c r="I53" s="35" t="s">
        <v>1135</v>
      </c>
      <c r="N53" t="b">
        <f t="shared" si="0"/>
        <v>1</v>
      </c>
      <c r="O53" s="38" t="s">
        <v>1135</v>
      </c>
      <c r="V53" s="53" t="s">
        <v>873</v>
      </c>
      <c r="W53" s="71" t="s">
        <v>2736</v>
      </c>
      <c r="X53" s="71" t="s">
        <v>2747</v>
      </c>
      <c r="AA53" s="53" t="s">
        <v>1518</v>
      </c>
      <c r="AB53" s="57" t="s">
        <v>1955</v>
      </c>
    </row>
    <row r="54" spans="7:28" x14ac:dyDescent="0.2">
      <c r="G54" s="36" t="s">
        <v>2744</v>
      </c>
      <c r="H54" t="b">
        <f t="shared" si="1"/>
        <v>1</v>
      </c>
      <c r="I54" s="33" t="s">
        <v>2744</v>
      </c>
      <c r="N54" t="b">
        <f t="shared" si="0"/>
        <v>1</v>
      </c>
      <c r="O54" s="32" t="s">
        <v>2744</v>
      </c>
      <c r="V54" s="54" t="s">
        <v>888</v>
      </c>
      <c r="W54" s="71" t="s">
        <v>2735</v>
      </c>
      <c r="X54" s="72" t="s">
        <v>1556</v>
      </c>
      <c r="AA54" s="54" t="s">
        <v>1135</v>
      </c>
      <c r="AB54" s="56" t="s">
        <v>1957</v>
      </c>
    </row>
    <row r="55" spans="7:28" x14ac:dyDescent="0.2">
      <c r="G55" s="36" t="s">
        <v>1529</v>
      </c>
      <c r="H55" t="b">
        <f t="shared" si="1"/>
        <v>1</v>
      </c>
      <c r="I55" s="33" t="s">
        <v>1529</v>
      </c>
      <c r="N55" t="b">
        <f t="shared" si="0"/>
        <v>1</v>
      </c>
      <c r="O55" s="32" t="s">
        <v>1529</v>
      </c>
      <c r="V55" s="53" t="s">
        <v>903</v>
      </c>
      <c r="W55" s="72" t="s">
        <v>1846</v>
      </c>
      <c r="X55" s="72" t="s">
        <v>1638</v>
      </c>
      <c r="AA55" s="54" t="s">
        <v>1855</v>
      </c>
      <c r="AB55" s="56" t="s">
        <v>1956</v>
      </c>
    </row>
    <row r="56" spans="7:28" x14ac:dyDescent="0.2">
      <c r="N56" t="b">
        <f t="shared" si="0"/>
        <v>0</v>
      </c>
      <c r="O56" s="38" t="s">
        <v>1855</v>
      </c>
      <c r="V56" s="54" t="s">
        <v>916</v>
      </c>
      <c r="W56" s="72" t="s">
        <v>1855</v>
      </c>
      <c r="X56" s="54"/>
      <c r="AA56" s="53" t="s">
        <v>1324</v>
      </c>
      <c r="AB56" s="57" t="s">
        <v>1955</v>
      </c>
    </row>
    <row r="57" spans="7:28" x14ac:dyDescent="0.2">
      <c r="N57" t="b">
        <f>I58=O57</f>
        <v>0</v>
      </c>
      <c r="O57" s="38" t="s">
        <v>1324</v>
      </c>
      <c r="V57" s="53" t="s">
        <v>921</v>
      </c>
      <c r="W57" s="71" t="s">
        <v>2734</v>
      </c>
      <c r="X57" s="71" t="s">
        <v>2736</v>
      </c>
    </row>
    <row r="58" spans="7:28" x14ac:dyDescent="0.2">
      <c r="V58" s="54" t="s">
        <v>931</v>
      </c>
      <c r="X58" s="53"/>
    </row>
    <row r="59" spans="7:28" x14ac:dyDescent="0.2">
      <c r="V59" s="53" t="s">
        <v>961</v>
      </c>
      <c r="X59" s="71" t="s">
        <v>2735</v>
      </c>
    </row>
    <row r="60" spans="7:28" x14ac:dyDescent="0.2">
      <c r="V60" s="54" t="s">
        <v>968</v>
      </c>
      <c r="X60" s="72" t="s">
        <v>1846</v>
      </c>
    </row>
    <row r="61" spans="7:28" x14ac:dyDescent="0.2">
      <c r="V61" s="53" t="s">
        <v>985</v>
      </c>
      <c r="X61" s="72" t="s">
        <v>1855</v>
      </c>
    </row>
    <row r="62" spans="7:28" x14ac:dyDescent="0.2">
      <c r="V62" s="54" t="s">
        <v>1003</v>
      </c>
      <c r="X62" s="71" t="s">
        <v>2734</v>
      </c>
    </row>
    <row r="63" spans="7:28" x14ac:dyDescent="0.2">
      <c r="V63" s="53" t="s">
        <v>1016</v>
      </c>
    </row>
    <row r="64" spans="7:28" x14ac:dyDescent="0.2">
      <c r="V64" s="54" t="s">
        <v>1022</v>
      </c>
    </row>
    <row r="65" spans="22:22" x14ac:dyDescent="0.2">
      <c r="V65" s="69" t="s">
        <v>1029</v>
      </c>
    </row>
    <row r="66" spans="22:22" x14ac:dyDescent="0.2">
      <c r="V66" s="54" t="s">
        <v>1041</v>
      </c>
    </row>
    <row r="67" spans="22:22" x14ac:dyDescent="0.2">
      <c r="V67" s="53" t="s">
        <v>1049</v>
      </c>
    </row>
    <row r="68" spans="22:22" x14ac:dyDescent="0.2">
      <c r="V68" s="54" t="s">
        <v>1053</v>
      </c>
    </row>
    <row r="69" spans="22:22" x14ac:dyDescent="0.2">
      <c r="V69" s="53" t="s">
        <v>1060</v>
      </c>
    </row>
    <row r="70" spans="22:22" x14ac:dyDescent="0.2">
      <c r="V70" s="54" t="s">
        <v>1064</v>
      </c>
    </row>
    <row r="71" spans="22:22" x14ac:dyDescent="0.2">
      <c r="V71" s="53" t="s">
        <v>1071</v>
      </c>
    </row>
    <row r="72" spans="22:22" x14ac:dyDescent="0.2">
      <c r="V72" s="54" t="s">
        <v>1075</v>
      </c>
    </row>
    <row r="73" spans="22:22" x14ac:dyDescent="0.2">
      <c r="V73" s="53" t="s">
        <v>1088</v>
      </c>
    </row>
    <row r="74" spans="22:22" x14ac:dyDescent="0.2">
      <c r="V74" s="54" t="s">
        <v>1125</v>
      </c>
    </row>
    <row r="75" spans="22:22" x14ac:dyDescent="0.2">
      <c r="V75" s="53" t="s">
        <v>1128</v>
      </c>
    </row>
    <row r="76" spans="22:22" x14ac:dyDescent="0.2">
      <c r="V76" s="70" t="s">
        <v>1133</v>
      </c>
    </row>
    <row r="77" spans="22:22" x14ac:dyDescent="0.2">
      <c r="V77" s="53" t="s">
        <v>1140</v>
      </c>
    </row>
    <row r="78" spans="22:22" x14ac:dyDescent="0.2">
      <c r="V78" s="69" t="s">
        <v>1154</v>
      </c>
    </row>
    <row r="79" spans="22:22" x14ac:dyDescent="0.2">
      <c r="V79" s="53" t="s">
        <v>1167</v>
      </c>
    </row>
    <row r="80" spans="22:22" x14ac:dyDescent="0.2">
      <c r="V80" s="54" t="s">
        <v>1185</v>
      </c>
    </row>
    <row r="81" spans="22:22" x14ac:dyDescent="0.2">
      <c r="V81" s="70" t="s">
        <v>1189</v>
      </c>
    </row>
    <row r="82" spans="22:22" x14ac:dyDescent="0.2">
      <c r="V82" s="54" t="s">
        <v>1210</v>
      </c>
    </row>
    <row r="83" spans="22:22" x14ac:dyDescent="0.2">
      <c r="V83" s="53" t="s">
        <v>1220</v>
      </c>
    </row>
    <row r="84" spans="22:22" x14ac:dyDescent="0.2">
      <c r="V84" s="54" t="s">
        <v>1233</v>
      </c>
    </row>
    <row r="85" spans="22:22" x14ac:dyDescent="0.2">
      <c r="V85" s="53" t="s">
        <v>1246</v>
      </c>
    </row>
    <row r="86" spans="22:22" x14ac:dyDescent="0.2">
      <c r="V86" s="54" t="s">
        <v>1248</v>
      </c>
    </row>
    <row r="87" spans="22:22" x14ac:dyDescent="0.2">
      <c r="V87" s="53" t="s">
        <v>1256</v>
      </c>
    </row>
    <row r="88" spans="22:22" x14ac:dyDescent="0.2">
      <c r="V88" s="54" t="s">
        <v>1263</v>
      </c>
    </row>
    <row r="89" spans="22:22" x14ac:dyDescent="0.2">
      <c r="V89" s="53" t="s">
        <v>1272</v>
      </c>
    </row>
    <row r="90" spans="22:22" x14ac:dyDescent="0.2">
      <c r="V90" s="54" t="s">
        <v>1276</v>
      </c>
    </row>
    <row r="91" spans="22:22" x14ac:dyDescent="0.2">
      <c r="V91" s="53" t="s">
        <v>1292</v>
      </c>
    </row>
    <row r="92" spans="22:22" x14ac:dyDescent="0.2">
      <c r="V92" s="54" t="s">
        <v>1299</v>
      </c>
    </row>
    <row r="93" spans="22:22" x14ac:dyDescent="0.2">
      <c r="V93" s="53" t="s">
        <v>1315</v>
      </c>
    </row>
    <row r="94" spans="22:22" x14ac:dyDescent="0.2">
      <c r="V94" s="54" t="s">
        <v>1320</v>
      </c>
    </row>
    <row r="95" spans="22:22" x14ac:dyDescent="0.2">
      <c r="V95" s="53" t="s">
        <v>1323</v>
      </c>
    </row>
    <row r="96" spans="22:22" x14ac:dyDescent="0.2">
      <c r="V96" s="54" t="s">
        <v>1342</v>
      </c>
    </row>
    <row r="97" spans="22:22" x14ac:dyDescent="0.2">
      <c r="V97" s="53" t="s">
        <v>1367</v>
      </c>
    </row>
    <row r="98" spans="22:22" x14ac:dyDescent="0.2">
      <c r="V98" s="54" t="s">
        <v>1378</v>
      </c>
    </row>
    <row r="99" spans="22:22" x14ac:dyDescent="0.2">
      <c r="V99" s="70" t="s">
        <v>1397</v>
      </c>
    </row>
    <row r="100" spans="22:22" x14ac:dyDescent="0.2">
      <c r="V100" s="54" t="s">
        <v>1414</v>
      </c>
    </row>
    <row r="101" spans="22:22" x14ac:dyDescent="0.2">
      <c r="V101" s="53" t="s">
        <v>1447</v>
      </c>
    </row>
    <row r="102" spans="22:22" x14ac:dyDescent="0.2">
      <c r="V102" s="54" t="s">
        <v>1450</v>
      </c>
    </row>
    <row r="103" spans="22:22" x14ac:dyDescent="0.2">
      <c r="V103" s="53" t="s">
        <v>1454</v>
      </c>
    </row>
    <row r="104" spans="22:22" x14ac:dyDescent="0.2">
      <c r="V104" s="54" t="s">
        <v>1458</v>
      </c>
    </row>
    <row r="105" spans="22:22" x14ac:dyDescent="0.2">
      <c r="V105" s="53" t="s">
        <v>1464</v>
      </c>
    </row>
    <row r="106" spans="22:22" x14ac:dyDescent="0.2">
      <c r="V106" s="69" t="s">
        <v>1472</v>
      </c>
    </row>
    <row r="107" spans="22:22" x14ac:dyDescent="0.2">
      <c r="V107" s="53" t="s">
        <v>1479</v>
      </c>
    </row>
    <row r="108" spans="22:22" x14ac:dyDescent="0.2">
      <c r="V108" s="54" t="s">
        <v>1497</v>
      </c>
    </row>
    <row r="109" spans="22:22" x14ac:dyDescent="0.2">
      <c r="V109" s="53" t="s">
        <v>1505</v>
      </c>
    </row>
    <row r="110" spans="22:22" x14ac:dyDescent="0.2">
      <c r="V110" s="70" t="s">
        <v>1511</v>
      </c>
    </row>
    <row r="111" spans="22:22" x14ac:dyDescent="0.2">
      <c r="V111" s="53" t="s">
        <v>1516</v>
      </c>
    </row>
    <row r="112" spans="22:22" x14ac:dyDescent="0.2">
      <c r="V112" s="69" t="s">
        <v>1527</v>
      </c>
    </row>
    <row r="113" spans="22:22" x14ac:dyDescent="0.2">
      <c r="V113" s="53" t="s">
        <v>1540</v>
      </c>
    </row>
    <row r="114" spans="22:22" x14ac:dyDescent="0.2">
      <c r="V114" s="54" t="s">
        <v>1544</v>
      </c>
    </row>
    <row r="115" spans="22:22" x14ac:dyDescent="0.2">
      <c r="V115" s="53" t="s">
        <v>1548</v>
      </c>
    </row>
    <row r="116" spans="22:22" x14ac:dyDescent="0.2">
      <c r="V116" s="70" t="s">
        <v>1555</v>
      </c>
    </row>
    <row r="117" spans="22:22" x14ac:dyDescent="0.2">
      <c r="V117" s="53" t="s">
        <v>1564</v>
      </c>
    </row>
    <row r="118" spans="22:22" x14ac:dyDescent="0.2">
      <c r="V118" s="54" t="s">
        <v>1577</v>
      </c>
    </row>
    <row r="119" spans="22:22" x14ac:dyDescent="0.2">
      <c r="V119" s="53" t="s">
        <v>1587</v>
      </c>
    </row>
    <row r="120" spans="22:22" x14ac:dyDescent="0.2">
      <c r="V120" s="54" t="s">
        <v>1601</v>
      </c>
    </row>
    <row r="121" spans="22:22" x14ac:dyDescent="0.2">
      <c r="V121" s="53" t="s">
        <v>1636</v>
      </c>
    </row>
    <row r="122" spans="22:22" x14ac:dyDescent="0.2">
      <c r="V122" s="54" t="s">
        <v>1645</v>
      </c>
    </row>
    <row r="123" spans="22:22" x14ac:dyDescent="0.2">
      <c r="V123" s="53" t="s">
        <v>1653</v>
      </c>
    </row>
    <row r="124" spans="22:22" x14ac:dyDescent="0.2">
      <c r="V124" s="54" t="s">
        <v>1658</v>
      </c>
    </row>
    <row r="125" spans="22:22" x14ac:dyDescent="0.2">
      <c r="V125" s="53" t="s">
        <v>1666</v>
      </c>
    </row>
    <row r="126" spans="22:22" x14ac:dyDescent="0.2">
      <c r="V126" s="54" t="s">
        <v>1671</v>
      </c>
    </row>
    <row r="127" spans="22:22" x14ac:dyDescent="0.2">
      <c r="V127" s="53" t="s">
        <v>1680</v>
      </c>
    </row>
    <row r="128" spans="22:22" x14ac:dyDescent="0.2">
      <c r="V128" s="54" t="s">
        <v>1687</v>
      </c>
    </row>
    <row r="129" spans="22:22" x14ac:dyDescent="0.2">
      <c r="V129" s="53" t="s">
        <v>1696</v>
      </c>
    </row>
    <row r="130" spans="22:22" x14ac:dyDescent="0.2">
      <c r="V130" s="54" t="s">
        <v>1707</v>
      </c>
    </row>
    <row r="131" spans="22:22" x14ac:dyDescent="0.2">
      <c r="V131" s="53" t="s">
        <v>1711</v>
      </c>
    </row>
    <row r="132" spans="22:22" x14ac:dyDescent="0.2">
      <c r="V132" s="54" t="s">
        <v>1714</v>
      </c>
    </row>
    <row r="133" spans="22:22" x14ac:dyDescent="0.2">
      <c r="V133" s="53" t="s">
        <v>1719</v>
      </c>
    </row>
    <row r="134" spans="22:22" x14ac:dyDescent="0.2">
      <c r="V134" s="54" t="s">
        <v>1738</v>
      </c>
    </row>
    <row r="135" spans="22:22" x14ac:dyDescent="0.2">
      <c r="V135" s="53" t="s">
        <v>1749</v>
      </c>
    </row>
    <row r="136" spans="22:22" x14ac:dyDescent="0.2">
      <c r="V136" s="54" t="s">
        <v>1753</v>
      </c>
    </row>
    <row r="137" spans="22:22" x14ac:dyDescent="0.2">
      <c r="V137" s="53" t="s">
        <v>1755</v>
      </c>
    </row>
    <row r="138" spans="22:22" x14ac:dyDescent="0.2">
      <c r="V138" s="54" t="s">
        <v>1764</v>
      </c>
    </row>
    <row r="139" spans="22:22" x14ac:dyDescent="0.2">
      <c r="V139" s="53" t="s">
        <v>1770</v>
      </c>
    </row>
    <row r="140" spans="22:22" x14ac:dyDescent="0.2">
      <c r="V140" s="54" t="s">
        <v>1776</v>
      </c>
    </row>
    <row r="141" spans="22:22" x14ac:dyDescent="0.2">
      <c r="V141" s="53" t="s">
        <v>1788</v>
      </c>
    </row>
    <row r="142" spans="22:22" x14ac:dyDescent="0.2">
      <c r="V142" s="54" t="s">
        <v>1793</v>
      </c>
    </row>
    <row r="143" spans="22:22" x14ac:dyDescent="0.2">
      <c r="V143" s="70" t="s">
        <v>1800</v>
      </c>
    </row>
    <row r="144" spans="22:22" x14ac:dyDescent="0.2">
      <c r="V144" s="54" t="s">
        <v>1809</v>
      </c>
    </row>
    <row r="145" spans="22:22" x14ac:dyDescent="0.2">
      <c r="V145" s="53" t="s">
        <v>1824</v>
      </c>
    </row>
    <row r="146" spans="22:22" x14ac:dyDescent="0.2">
      <c r="V146" s="54" t="s">
        <v>1844</v>
      </c>
    </row>
    <row r="147" spans="22:22" x14ac:dyDescent="0.2">
      <c r="V147" s="70" t="s">
        <v>1853</v>
      </c>
    </row>
    <row r="148" spans="22:22" x14ac:dyDescent="0.2">
      <c r="V148" s="54" t="s">
        <v>1873</v>
      </c>
    </row>
    <row r="149" spans="22:22" x14ac:dyDescent="0.2">
      <c r="V149" s="53" t="s">
        <v>1877</v>
      </c>
    </row>
    <row r="150" spans="22:22" x14ac:dyDescent="0.2">
      <c r="V150" s="54" t="s">
        <v>1891</v>
      </c>
    </row>
    <row r="151" spans="22:22" x14ac:dyDescent="0.2">
      <c r="V151" s="53" t="s">
        <v>1897</v>
      </c>
    </row>
    <row r="152" spans="22:22" x14ac:dyDescent="0.2">
      <c r="V152" s="54" t="s">
        <v>1901</v>
      </c>
    </row>
    <row r="153" spans="22:22" x14ac:dyDescent="0.2">
      <c r="V153" s="70" t="s">
        <v>1912</v>
      </c>
    </row>
    <row r="154" spans="22:22" x14ac:dyDescent="0.2">
      <c r="V154" s="54" t="s">
        <v>1917</v>
      </c>
    </row>
    <row r="155" spans="22:22" x14ac:dyDescent="0.2">
      <c r="V155" s="53" t="s">
        <v>1932</v>
      </c>
    </row>
    <row r="156" spans="22:22" x14ac:dyDescent="0.2">
      <c r="V156" s="54"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68" t="s">
        <v>2857</v>
      </c>
      <c r="B1" s="68" t="s">
        <v>2863</v>
      </c>
      <c r="C1" s="68" t="s">
        <v>2862</v>
      </c>
      <c r="D1" s="68" t="s">
        <v>2858</v>
      </c>
      <c r="E1" s="68" t="s">
        <v>2859</v>
      </c>
      <c r="F1" s="68" t="s">
        <v>2860</v>
      </c>
      <c r="G1" s="68" t="s">
        <v>2861</v>
      </c>
      <c r="H1" s="68" t="s">
        <v>2869</v>
      </c>
      <c r="I1" s="68" t="s">
        <v>2870</v>
      </c>
      <c r="J1" s="68" t="s">
        <v>2871</v>
      </c>
      <c r="K1" s="68" t="s">
        <v>2872</v>
      </c>
    </row>
    <row r="2" spans="1:11" x14ac:dyDescent="0.2">
      <c r="A2" s="68" t="s">
        <v>2864</v>
      </c>
      <c r="B2" s="68">
        <v>0.73380000000000001</v>
      </c>
      <c r="C2" s="68">
        <v>38</v>
      </c>
      <c r="D2" s="68">
        <v>0.69640000000000002</v>
      </c>
      <c r="E2" s="68">
        <v>283</v>
      </c>
      <c r="F2" s="68">
        <v>0.67449999999999999</v>
      </c>
      <c r="G2" s="68">
        <v>23</v>
      </c>
      <c r="H2" s="68">
        <v>0.70730000000000004</v>
      </c>
      <c r="I2" s="68">
        <v>19</v>
      </c>
      <c r="J2" s="68">
        <v>0.72929999999999995</v>
      </c>
      <c r="K2" s="68">
        <v>66</v>
      </c>
    </row>
    <row r="3" spans="1:11" x14ac:dyDescent="0.2">
      <c r="A3" s="68" t="s">
        <v>2865</v>
      </c>
      <c r="B3" s="68">
        <v>0.73380000000000001</v>
      </c>
      <c r="C3" s="68">
        <v>38</v>
      </c>
      <c r="D3" s="68">
        <v>0.90069999999999995</v>
      </c>
      <c r="E3" s="68">
        <v>38</v>
      </c>
      <c r="F3" s="68">
        <v>0.91559999999999997</v>
      </c>
      <c r="G3" s="68">
        <v>2</v>
      </c>
      <c r="H3" s="68">
        <v>0.93049999999999999</v>
      </c>
      <c r="I3" s="68">
        <v>8</v>
      </c>
      <c r="J3" s="68">
        <v>0.87819999999999998</v>
      </c>
      <c r="K3" s="68">
        <v>24</v>
      </c>
    </row>
    <row r="4" spans="1:11" x14ac:dyDescent="0.2">
      <c r="A4" s="68" t="s">
        <v>2866</v>
      </c>
      <c r="B4" s="68">
        <v>0.79769999999999996</v>
      </c>
      <c r="C4" s="68">
        <v>28</v>
      </c>
      <c r="D4" s="76">
        <v>1</v>
      </c>
      <c r="E4" s="68">
        <v>25</v>
      </c>
      <c r="F4" s="76">
        <v>1</v>
      </c>
      <c r="G4" s="68">
        <v>1</v>
      </c>
      <c r="H4" s="76">
        <v>0.97619999999999996</v>
      </c>
      <c r="I4" s="68">
        <v>4</v>
      </c>
      <c r="J4" s="76">
        <v>1</v>
      </c>
      <c r="K4" s="68">
        <v>11</v>
      </c>
    </row>
    <row r="5" spans="1:11" x14ac:dyDescent="0.2">
      <c r="A5" s="68" t="s">
        <v>2867</v>
      </c>
      <c r="B5" s="68">
        <v>0.84689999999999999</v>
      </c>
      <c r="C5" s="68">
        <v>15</v>
      </c>
      <c r="D5" s="76">
        <v>1</v>
      </c>
      <c r="E5" s="68">
        <v>21</v>
      </c>
      <c r="F5" s="76">
        <v>1</v>
      </c>
      <c r="G5" s="68">
        <v>1</v>
      </c>
      <c r="H5" s="76">
        <v>1</v>
      </c>
      <c r="I5" s="68">
        <v>2</v>
      </c>
      <c r="J5" s="76">
        <v>1</v>
      </c>
      <c r="K5" s="68">
        <v>9</v>
      </c>
    </row>
    <row r="6" spans="1:11" x14ac:dyDescent="0.2">
      <c r="A6" s="68" t="s">
        <v>2868</v>
      </c>
      <c r="B6" s="68">
        <v>0.81430000000000002</v>
      </c>
      <c r="C6" s="68">
        <v>24</v>
      </c>
      <c r="D6" s="68">
        <v>0.97370000000000001</v>
      </c>
      <c r="E6" s="68">
        <v>26</v>
      </c>
      <c r="F6" s="76">
        <v>1</v>
      </c>
      <c r="G6" s="68">
        <v>1</v>
      </c>
      <c r="H6" s="68">
        <v>0.90849999999999997</v>
      </c>
      <c r="I6" s="68">
        <v>7</v>
      </c>
      <c r="J6" s="76">
        <v>1</v>
      </c>
      <c r="K6" s="68">
        <v>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J287"/>
  <sheetViews>
    <sheetView tabSelected="1" topLeftCell="Z1" workbookViewId="0">
      <selection activeCell="AG184" sqref="AG184"/>
    </sheetView>
  </sheetViews>
  <sheetFormatPr baseColWidth="10" defaultRowHeight="16" x14ac:dyDescent="0.2"/>
  <cols>
    <col min="26" max="26" width="78.6640625" bestFit="1" customWidth="1"/>
  </cols>
  <sheetData>
    <row r="1" spans="1:36" x14ac:dyDescent="0.2">
      <c r="A1" t="s">
        <v>213</v>
      </c>
      <c r="B1" t="s">
        <v>214</v>
      </c>
      <c r="C1" t="s">
        <v>215</v>
      </c>
      <c r="D1" t="s">
        <v>216</v>
      </c>
      <c r="E1" t="s">
        <v>217</v>
      </c>
      <c r="F1" t="s">
        <v>218</v>
      </c>
      <c r="G1" t="s">
        <v>219</v>
      </c>
      <c r="H1" t="s">
        <v>220</v>
      </c>
      <c r="I1" t="s">
        <v>2765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2876</v>
      </c>
      <c r="AD1" t="s">
        <v>2875</v>
      </c>
      <c r="AE1" t="s">
        <v>2882</v>
      </c>
      <c r="AF1" t="s">
        <v>2883</v>
      </c>
      <c r="AG1" t="s">
        <v>243</v>
      </c>
      <c r="AH1" t="s">
        <v>244</v>
      </c>
      <c r="AI1" t="s">
        <v>245</v>
      </c>
      <c r="AJ1" t="s">
        <v>246</v>
      </c>
    </row>
    <row r="2" spans="1:36"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t="s">
        <v>260</v>
      </c>
      <c r="AI2">
        <v>280000000</v>
      </c>
      <c r="AJ2" s="3" t="s">
        <v>261</v>
      </c>
    </row>
    <row r="3" spans="1:36"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H3" t="s">
        <v>270</v>
      </c>
      <c r="AI3">
        <v>60000000</v>
      </c>
      <c r="AJ3" s="3" t="s">
        <v>271</v>
      </c>
    </row>
    <row r="4" spans="1:36" hidden="1"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AN4</f>
        <v>0</v>
      </c>
      <c r="AC4" s="23"/>
      <c r="AD4" s="23"/>
      <c r="AE4" s="23"/>
      <c r="AF4" s="23"/>
      <c r="AG4" s="23"/>
      <c r="AH4" t="s">
        <v>270</v>
      </c>
      <c r="AI4">
        <v>2000000</v>
      </c>
      <c r="AJ4" s="3" t="s">
        <v>281</v>
      </c>
    </row>
    <row r="5" spans="1:36" hidden="1"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c r="AD5" s="23"/>
      <c r="AE5" s="23"/>
      <c r="AF5" s="23"/>
      <c r="AG5" s="23"/>
      <c r="AH5" s="9" t="s">
        <v>290</v>
      </c>
      <c r="AI5" s="9">
        <v>2000000</v>
      </c>
      <c r="AJ5" s="12" t="s">
        <v>291</v>
      </c>
    </row>
    <row r="6" spans="1:36"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t="s">
        <v>260</v>
      </c>
      <c r="AI6">
        <v>572400000</v>
      </c>
      <c r="AJ6" s="3" t="s">
        <v>298</v>
      </c>
    </row>
    <row r="7" spans="1:36" hidden="1"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c r="AD7" s="23"/>
      <c r="AE7" s="23"/>
      <c r="AF7" s="23"/>
      <c r="AG7" s="23"/>
      <c r="AH7" t="s">
        <v>308</v>
      </c>
      <c r="AI7">
        <v>155000000</v>
      </c>
      <c r="AJ7" s="3" t="s">
        <v>309</v>
      </c>
    </row>
    <row r="8" spans="1:36" hidden="1"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2754</v>
      </c>
      <c r="AA8" s="7" t="s">
        <v>314</v>
      </c>
      <c r="AB8" s="23">
        <f t="shared" si="0"/>
        <v>0</v>
      </c>
      <c r="AC8" s="23"/>
      <c r="AD8" s="23"/>
      <c r="AE8" s="23"/>
      <c r="AF8" s="23"/>
      <c r="AG8" s="23"/>
      <c r="AH8" t="s">
        <v>270</v>
      </c>
      <c r="AI8">
        <v>20000000</v>
      </c>
      <c r="AJ8" s="3" t="s">
        <v>315</v>
      </c>
    </row>
    <row r="9" spans="1:36" hidden="1"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2755</v>
      </c>
      <c r="AA9" s="7" t="s">
        <v>320</v>
      </c>
      <c r="AB9" s="23">
        <f t="shared" si="0"/>
        <v>0</v>
      </c>
      <c r="AC9" s="23"/>
      <c r="AD9" s="23"/>
      <c r="AE9" s="23"/>
      <c r="AF9" s="23"/>
      <c r="AG9" s="23"/>
      <c r="AH9" t="s">
        <v>270</v>
      </c>
      <c r="AI9">
        <v>10867627</v>
      </c>
      <c r="AJ9" s="3" t="s">
        <v>321</v>
      </c>
    </row>
    <row r="10" spans="1:36"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H10" t="s">
        <v>270</v>
      </c>
      <c r="AI10">
        <v>20000000</v>
      </c>
      <c r="AJ10" s="3" t="s">
        <v>315</v>
      </c>
    </row>
    <row r="11" spans="1:36" hidden="1"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2759</v>
      </c>
      <c r="AA11" s="7" t="s">
        <v>335</v>
      </c>
      <c r="AB11" s="23">
        <f>AN11</f>
        <v>0</v>
      </c>
      <c r="AC11" s="23"/>
      <c r="AD11" s="23"/>
      <c r="AE11" s="23"/>
      <c r="AF11" s="23"/>
      <c r="AG11" s="23"/>
      <c r="AH11" t="s">
        <v>270</v>
      </c>
      <c r="AI11">
        <v>1500000000</v>
      </c>
      <c r="AJ11" s="3" t="s">
        <v>336</v>
      </c>
    </row>
    <row r="12" spans="1:36"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AN12</f>
        <v>0</v>
      </c>
      <c r="AC12" s="23"/>
      <c r="AD12" s="23"/>
      <c r="AE12" s="23"/>
      <c r="AF12" s="23"/>
      <c r="AG12" s="23"/>
      <c r="AH12" t="s">
        <v>345</v>
      </c>
      <c r="AI12">
        <v>5948000000</v>
      </c>
      <c r="AJ12" s="3" t="s">
        <v>346</v>
      </c>
    </row>
    <row r="13" spans="1:36" hidden="1"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2758</v>
      </c>
      <c r="AA13" s="7" t="s">
        <v>352</v>
      </c>
      <c r="AB13" s="23">
        <f>AN13</f>
        <v>0</v>
      </c>
      <c r="AC13" s="23"/>
      <c r="AD13" s="23"/>
      <c r="AE13" s="23"/>
      <c r="AF13" s="23"/>
      <c r="AG13" s="23"/>
      <c r="AH13" t="s">
        <v>270</v>
      </c>
      <c r="AI13">
        <v>50000000</v>
      </c>
      <c r="AJ13" s="3" t="s">
        <v>353</v>
      </c>
    </row>
    <row r="14" spans="1:36"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H14" t="s">
        <v>260</v>
      </c>
      <c r="AI14">
        <v>480000000</v>
      </c>
      <c r="AJ14" s="3" t="s">
        <v>359</v>
      </c>
    </row>
    <row r="15" spans="1:36"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t="s">
        <v>260</v>
      </c>
      <c r="AI15">
        <v>259804000</v>
      </c>
      <c r="AJ15" s="3" t="s">
        <v>368</v>
      </c>
    </row>
    <row r="16" spans="1:36"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t="s">
        <v>260</v>
      </c>
      <c r="AI16">
        <v>16000000</v>
      </c>
      <c r="AJ16" s="3" t="s">
        <v>377</v>
      </c>
    </row>
    <row r="17" spans="1:36" hidden="1"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2756</v>
      </c>
      <c r="AA17" s="7" t="s">
        <v>385</v>
      </c>
      <c r="AB17" s="23">
        <f>AN17</f>
        <v>0</v>
      </c>
      <c r="AC17" s="23"/>
      <c r="AD17" s="23"/>
      <c r="AE17" s="23"/>
      <c r="AF17" s="23"/>
      <c r="AG17" s="23"/>
      <c r="AH17" t="s">
        <v>386</v>
      </c>
    </row>
    <row r="18" spans="1:36"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AN18</f>
        <v>0</v>
      </c>
      <c r="AC18" s="23"/>
      <c r="AD18" s="23"/>
      <c r="AE18" s="23"/>
      <c r="AF18" s="23"/>
      <c r="AG18" s="23"/>
      <c r="AH18" t="s">
        <v>386</v>
      </c>
    </row>
    <row r="19" spans="1:36"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H19" t="s">
        <v>401</v>
      </c>
      <c r="AI19">
        <v>4000000</v>
      </c>
      <c r="AJ19" s="3" t="s">
        <v>281</v>
      </c>
    </row>
    <row r="20" spans="1:36"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H20" t="s">
        <v>260</v>
      </c>
      <c r="AI20">
        <v>100000000</v>
      </c>
      <c r="AJ20" s="3" t="s">
        <v>407</v>
      </c>
    </row>
    <row r="21" spans="1:36"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t="s">
        <v>260</v>
      </c>
      <c r="AI21">
        <v>127780000</v>
      </c>
      <c r="AJ21" s="3" t="s">
        <v>416</v>
      </c>
    </row>
    <row r="22" spans="1:36" hidden="1"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2755</v>
      </c>
      <c r="AA22" s="7" t="s">
        <v>320</v>
      </c>
      <c r="AB22" s="23">
        <f>AN22</f>
        <v>0</v>
      </c>
      <c r="AC22" s="23"/>
      <c r="AD22" s="23"/>
      <c r="AE22" s="23"/>
      <c r="AF22" s="23"/>
      <c r="AG22" s="23"/>
      <c r="AH22" t="s">
        <v>270</v>
      </c>
      <c r="AI22">
        <v>366118638</v>
      </c>
      <c r="AJ22" s="3" t="s">
        <v>422</v>
      </c>
    </row>
    <row r="23" spans="1:36" hidden="1"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2757</v>
      </c>
      <c r="AA23" s="7" t="s">
        <v>427</v>
      </c>
      <c r="AB23" s="23">
        <f>AN23</f>
        <v>0</v>
      </c>
      <c r="AC23" s="23"/>
      <c r="AD23" s="23"/>
      <c r="AE23" s="23"/>
      <c r="AF23" s="23"/>
      <c r="AG23" s="23"/>
      <c r="AH23" t="s">
        <v>270</v>
      </c>
      <c r="AI23">
        <v>680000000</v>
      </c>
      <c r="AJ23" s="3" t="s">
        <v>428</v>
      </c>
    </row>
    <row r="24" spans="1:36"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H24" t="s">
        <v>386</v>
      </c>
      <c r="AI24">
        <v>139997669786</v>
      </c>
      <c r="AJ24" s="3" t="s">
        <v>436</v>
      </c>
    </row>
    <row r="25" spans="1:36"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t="s">
        <v>260</v>
      </c>
      <c r="AI25">
        <v>1000000000</v>
      </c>
      <c r="AJ25" s="3" t="s">
        <v>443</v>
      </c>
    </row>
    <row r="26" spans="1:36" hidden="1"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AN26</f>
        <v>0</v>
      </c>
      <c r="AC26" s="23"/>
      <c r="AD26" s="23"/>
      <c r="AE26" s="23"/>
      <c r="AF26" s="23"/>
      <c r="AG26" s="23"/>
      <c r="AH26" t="s">
        <v>270</v>
      </c>
      <c r="AI26">
        <v>5800000</v>
      </c>
      <c r="AJ26" s="3" t="s">
        <v>448</v>
      </c>
    </row>
    <row r="27" spans="1:36"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H27" t="s">
        <v>455</v>
      </c>
      <c r="AI27">
        <v>1032000000</v>
      </c>
      <c r="AJ27" s="3" t="s">
        <v>456</v>
      </c>
    </row>
    <row r="28" spans="1:36" hidden="1"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2756</v>
      </c>
      <c r="AA28" s="7" t="s">
        <v>385</v>
      </c>
      <c r="AB28" s="23">
        <f>AN28</f>
        <v>0</v>
      </c>
      <c r="AC28" s="23"/>
      <c r="AD28" s="23"/>
      <c r="AE28" s="23"/>
      <c r="AF28" s="23"/>
      <c r="AG28" s="23"/>
      <c r="AH28" t="s">
        <v>386</v>
      </c>
      <c r="AI28">
        <v>47121000000</v>
      </c>
      <c r="AJ28" s="3" t="s">
        <v>460</v>
      </c>
    </row>
    <row r="29" spans="1:36" hidden="1"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AN29</f>
        <v>0</v>
      </c>
      <c r="AC29" s="23"/>
      <c r="AD29" s="23"/>
      <c r="AE29" s="23"/>
      <c r="AF29" s="23"/>
      <c r="AG29" s="23"/>
      <c r="AH29" t="s">
        <v>308</v>
      </c>
      <c r="AI29">
        <v>350000000</v>
      </c>
      <c r="AJ29" s="3" t="s">
        <v>469</v>
      </c>
    </row>
    <row r="30" spans="1:36" hidden="1"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2753</v>
      </c>
      <c r="AA30" s="7" t="s">
        <v>480</v>
      </c>
      <c r="AB30" s="23">
        <f>AN30</f>
        <v>0</v>
      </c>
      <c r="AC30" s="23"/>
      <c r="AD30" s="23"/>
      <c r="AE30" s="23"/>
      <c r="AF30" s="23"/>
      <c r="AG30" s="23"/>
      <c r="AH30" t="s">
        <v>386</v>
      </c>
      <c r="AI30">
        <v>2130928000000</v>
      </c>
      <c r="AJ30" s="3" t="s">
        <v>481</v>
      </c>
    </row>
    <row r="31" spans="1:36"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H31" t="s">
        <v>488</v>
      </c>
      <c r="AI31">
        <v>115000000</v>
      </c>
      <c r="AJ31" s="3" t="s">
        <v>489</v>
      </c>
    </row>
    <row r="32" spans="1:36"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H32" t="s">
        <v>260</v>
      </c>
      <c r="AI32">
        <v>220000000</v>
      </c>
      <c r="AJ32" s="3" t="s">
        <v>495</v>
      </c>
    </row>
    <row r="33" spans="1:36"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AN33</f>
        <v>0</v>
      </c>
      <c r="AC33" s="23"/>
      <c r="AD33" s="23"/>
      <c r="AE33" s="23"/>
      <c r="AF33" s="23"/>
      <c r="AG33" s="23"/>
      <c r="AH33" t="s">
        <v>345</v>
      </c>
      <c r="AI33">
        <v>4835000000</v>
      </c>
      <c r="AJ33" s="3" t="s">
        <v>499</v>
      </c>
    </row>
    <row r="34" spans="1:36" hidden="1"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AN34</f>
        <v>0</v>
      </c>
      <c r="AC34" s="23"/>
      <c r="AD34" s="23"/>
      <c r="AE34" s="23"/>
      <c r="AF34" s="23"/>
      <c r="AG34" s="23"/>
      <c r="AH34" t="s">
        <v>270</v>
      </c>
      <c r="AI34">
        <v>50000000</v>
      </c>
      <c r="AJ34" s="3" t="s">
        <v>353</v>
      </c>
    </row>
    <row r="35" spans="1:36" hidden="1"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AN35</f>
        <v>0</v>
      </c>
      <c r="AC35" s="23"/>
      <c r="AD35" s="23"/>
      <c r="AE35" s="23"/>
      <c r="AF35" s="23"/>
      <c r="AG35" s="23"/>
      <c r="AH35" t="s">
        <v>270</v>
      </c>
      <c r="AI35">
        <v>2000000</v>
      </c>
      <c r="AJ35" s="3" t="s">
        <v>281</v>
      </c>
    </row>
    <row r="36" spans="1:36"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t="s">
        <v>260</v>
      </c>
      <c r="AI36">
        <v>111760000</v>
      </c>
      <c r="AJ36" s="3" t="s">
        <v>520</v>
      </c>
    </row>
    <row r="37" spans="1:36"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AN37</f>
        <v>0</v>
      </c>
      <c r="AC37" s="23" t="s">
        <v>2873</v>
      </c>
      <c r="AD37" s="23" t="s">
        <v>2877</v>
      </c>
      <c r="AE37" s="23" t="s">
        <v>2884</v>
      </c>
      <c r="AF37" s="23" t="s">
        <v>2884</v>
      </c>
      <c r="AG37" s="23" t="s">
        <v>2852</v>
      </c>
      <c r="AH37" t="s">
        <v>270</v>
      </c>
      <c r="AI37">
        <v>150000000</v>
      </c>
      <c r="AJ37" s="3" t="s">
        <v>531</v>
      </c>
    </row>
    <row r="38" spans="1:36"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H38" t="s">
        <v>270</v>
      </c>
      <c r="AI38">
        <v>63900000</v>
      </c>
      <c r="AJ38" s="3" t="s">
        <v>539</v>
      </c>
    </row>
    <row r="39" spans="1:36"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t="s">
        <v>260</v>
      </c>
      <c r="AI39">
        <v>300000000</v>
      </c>
      <c r="AJ39" s="3" t="s">
        <v>548</v>
      </c>
    </row>
    <row r="40" spans="1:36" hidden="1"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AN40</f>
        <v>0</v>
      </c>
      <c r="AC40" s="23"/>
      <c r="AD40" s="23"/>
      <c r="AE40" s="23"/>
      <c r="AF40" s="23"/>
      <c r="AG40" s="23"/>
      <c r="AH40" t="s">
        <v>270</v>
      </c>
      <c r="AI40">
        <v>750000</v>
      </c>
      <c r="AJ40" s="3" t="s">
        <v>553</v>
      </c>
    </row>
    <row r="41" spans="1:36"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H41" t="s">
        <v>386</v>
      </c>
      <c r="AI41">
        <v>350000000000</v>
      </c>
      <c r="AJ41" s="3" t="s">
        <v>561</v>
      </c>
    </row>
    <row r="42" spans="1:36"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H42" t="s">
        <v>488</v>
      </c>
      <c r="AI42">
        <v>2000000000</v>
      </c>
      <c r="AJ42" s="3" t="s">
        <v>569</v>
      </c>
    </row>
    <row r="43" spans="1:36"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AN43</f>
        <v>0</v>
      </c>
      <c r="AC43" s="23" t="s">
        <v>2873</v>
      </c>
      <c r="AD43" s="23" t="s">
        <v>2874</v>
      </c>
      <c r="AE43" s="23" t="s">
        <v>2884</v>
      </c>
      <c r="AF43" s="23" t="s">
        <v>2884</v>
      </c>
      <c r="AG43" s="23" t="s">
        <v>2851</v>
      </c>
      <c r="AH43" t="s">
        <v>270</v>
      </c>
      <c r="AI43">
        <v>1000000000</v>
      </c>
      <c r="AJ43" s="3" t="s">
        <v>579</v>
      </c>
    </row>
    <row r="44" spans="1:36"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t="s">
        <v>270</v>
      </c>
      <c r="AI44">
        <v>700000000</v>
      </c>
      <c r="AJ44" s="3" t="s">
        <v>585</v>
      </c>
    </row>
    <row r="45" spans="1:36"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AN45</f>
        <v>0</v>
      </c>
      <c r="AC45" s="23"/>
      <c r="AD45" s="23"/>
      <c r="AE45" s="23"/>
      <c r="AF45" s="23"/>
      <c r="AG45" s="23"/>
      <c r="AH45" t="s">
        <v>591</v>
      </c>
      <c r="AI45">
        <v>10000000000</v>
      </c>
      <c r="AJ45" s="3" t="s">
        <v>592</v>
      </c>
    </row>
    <row r="46" spans="1:36"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AN46</f>
        <v>0</v>
      </c>
      <c r="AC46" s="23"/>
      <c r="AD46" s="23"/>
      <c r="AE46" s="23"/>
      <c r="AF46" s="23"/>
      <c r="AG46" s="23"/>
      <c r="AH46" t="s">
        <v>345</v>
      </c>
      <c r="AI46">
        <v>4000000000</v>
      </c>
      <c r="AJ46" s="3" t="s">
        <v>598</v>
      </c>
    </row>
    <row r="47" spans="1:36" hidden="1"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2755</v>
      </c>
      <c r="AA47" s="7" t="s">
        <v>320</v>
      </c>
      <c r="AB47" s="23">
        <f>AN47</f>
        <v>0</v>
      </c>
      <c r="AC47" s="23"/>
      <c r="AD47" s="23"/>
      <c r="AE47" s="23"/>
      <c r="AF47" s="23"/>
      <c r="AG47" s="23"/>
      <c r="AH47" t="s">
        <v>270</v>
      </c>
      <c r="AI47">
        <v>30000000</v>
      </c>
      <c r="AJ47" s="3" t="s">
        <v>602</v>
      </c>
    </row>
    <row r="48" spans="1:36"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AN48</f>
        <v>0</v>
      </c>
      <c r="AC48" s="23"/>
      <c r="AD48" s="23"/>
      <c r="AE48" s="23"/>
      <c r="AF48" s="23"/>
      <c r="AG48" s="23"/>
      <c r="AH48" t="s">
        <v>386</v>
      </c>
      <c r="AI48">
        <v>600000000000</v>
      </c>
      <c r="AJ48" s="3" t="s">
        <v>607</v>
      </c>
    </row>
    <row r="49" spans="1:36"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t="s">
        <v>260</v>
      </c>
      <c r="AI49">
        <v>140389781</v>
      </c>
      <c r="AJ49" s="3" t="s">
        <v>615</v>
      </c>
    </row>
    <row r="50" spans="1:36" hidden="1"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AN50</f>
        <v>0</v>
      </c>
      <c r="AC50" s="23"/>
      <c r="AD50" s="23"/>
      <c r="AE50" s="23"/>
      <c r="AF50" s="23"/>
      <c r="AG50" s="23"/>
      <c r="AH50" t="s">
        <v>270</v>
      </c>
      <c r="AI50">
        <v>12000000</v>
      </c>
      <c r="AJ50" s="3" t="s">
        <v>620</v>
      </c>
    </row>
    <row r="51" spans="1:36"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H51" t="s">
        <v>260</v>
      </c>
      <c r="AI51">
        <v>1200000000</v>
      </c>
      <c r="AJ51" s="3" t="s">
        <v>627</v>
      </c>
    </row>
    <row r="52" spans="1:36"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H52" t="s">
        <v>260</v>
      </c>
      <c r="AI52">
        <v>20000000</v>
      </c>
      <c r="AJ52" s="3" t="s">
        <v>636</v>
      </c>
    </row>
    <row r="53" spans="1:36" hidden="1"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AN53</f>
        <v>0</v>
      </c>
      <c r="AC53" s="23"/>
      <c r="AD53" s="23"/>
      <c r="AE53" s="23"/>
      <c r="AF53" s="23"/>
      <c r="AG53" s="23"/>
      <c r="AH53" t="s">
        <v>270</v>
      </c>
      <c r="AI53">
        <v>4000000</v>
      </c>
      <c r="AJ53" s="3" t="s">
        <v>640</v>
      </c>
    </row>
    <row r="54" spans="1:36" hidden="1"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2752</v>
      </c>
      <c r="AA54" s="7" t="s">
        <v>646</v>
      </c>
      <c r="AB54" s="23">
        <f>AN54</f>
        <v>0</v>
      </c>
      <c r="AC54" s="23"/>
      <c r="AD54" s="23"/>
      <c r="AE54" s="23"/>
      <c r="AF54" s="23"/>
      <c r="AG54" s="23"/>
      <c r="AH54" t="s">
        <v>647</v>
      </c>
      <c r="AI54">
        <v>4060000000</v>
      </c>
      <c r="AJ54" s="3" t="s">
        <v>648</v>
      </c>
    </row>
    <row r="55" spans="1:36"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AN55</f>
        <v>0</v>
      </c>
      <c r="AC55" s="23" t="s">
        <v>2895</v>
      </c>
      <c r="AD55" s="23" t="s">
        <v>2895</v>
      </c>
      <c r="AE55" s="23" t="s">
        <v>2895</v>
      </c>
      <c r="AF55" s="23" t="s">
        <v>2895</v>
      </c>
      <c r="AG55" s="23" t="s">
        <v>2895</v>
      </c>
      <c r="AH55" t="s">
        <v>270</v>
      </c>
    </row>
    <row r="56" spans="1:36" hidden="1"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2751</v>
      </c>
      <c r="AA56" s="7" t="s">
        <v>659</v>
      </c>
      <c r="AB56" s="23">
        <f>AN56</f>
        <v>0</v>
      </c>
      <c r="AC56" s="23"/>
      <c r="AD56" s="23"/>
      <c r="AE56" s="23"/>
      <c r="AF56" s="23"/>
      <c r="AG56" s="23"/>
      <c r="AH56" t="s">
        <v>270</v>
      </c>
      <c r="AI56">
        <v>153670000</v>
      </c>
      <c r="AJ56" s="3" t="s">
        <v>660</v>
      </c>
    </row>
    <row r="57" spans="1:36"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H57" t="s">
        <v>260</v>
      </c>
      <c r="AI57">
        <v>500000000</v>
      </c>
      <c r="AJ57" s="3" t="s">
        <v>667</v>
      </c>
    </row>
    <row r="58" spans="1:36"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t="s">
        <v>260</v>
      </c>
      <c r="AI58">
        <v>508960000</v>
      </c>
      <c r="AJ58" s="3" t="s">
        <v>675</v>
      </c>
    </row>
    <row r="59" spans="1:36"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H59" t="s">
        <v>260</v>
      </c>
      <c r="AI59">
        <v>1500000</v>
      </c>
      <c r="AJ59" s="3" t="s">
        <v>682</v>
      </c>
    </row>
    <row r="60" spans="1:36"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H60" t="s">
        <v>260</v>
      </c>
      <c r="AI60">
        <v>55000000</v>
      </c>
      <c r="AJ60" s="3" t="s">
        <v>690</v>
      </c>
    </row>
    <row r="61" spans="1:36"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AN61</f>
        <v>0</v>
      </c>
      <c r="AC61" s="23"/>
      <c r="AD61" s="23"/>
      <c r="AE61" s="23"/>
      <c r="AF61" s="23"/>
      <c r="AG61" s="23"/>
      <c r="AH61" t="s">
        <v>345</v>
      </c>
      <c r="AI61">
        <v>3000000000</v>
      </c>
      <c r="AJ61" s="3" t="s">
        <v>698</v>
      </c>
    </row>
    <row r="62" spans="1:36" hidden="1"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AN62</f>
        <v>0</v>
      </c>
      <c r="AC62" s="23"/>
      <c r="AD62" s="23"/>
      <c r="AE62" s="23"/>
      <c r="AF62" s="23"/>
      <c r="AG62" s="23"/>
      <c r="AH62" t="s">
        <v>260</v>
      </c>
      <c r="AI62">
        <v>185000000</v>
      </c>
      <c r="AJ62" s="3" t="s">
        <v>705</v>
      </c>
    </row>
    <row r="63" spans="1:36"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H63" t="s">
        <v>260</v>
      </c>
      <c r="AI63">
        <v>50000000</v>
      </c>
      <c r="AJ63" s="3" t="s">
        <v>710</v>
      </c>
    </row>
    <row r="64" spans="1:36"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H64" t="s">
        <v>260</v>
      </c>
      <c r="AI64">
        <v>120000000</v>
      </c>
      <c r="AJ64" s="3" t="s">
        <v>717</v>
      </c>
    </row>
    <row r="65" spans="1:36" hidden="1"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2750</v>
      </c>
      <c r="AA65" s="7" t="s">
        <v>725</v>
      </c>
      <c r="AB65" s="23">
        <f>AN65</f>
        <v>0</v>
      </c>
      <c r="AC65" s="23"/>
      <c r="AD65" s="23"/>
      <c r="AE65" s="23"/>
      <c r="AF65" s="23"/>
      <c r="AG65" s="23"/>
      <c r="AH65" t="s">
        <v>270</v>
      </c>
      <c r="AI65">
        <v>20000000</v>
      </c>
      <c r="AJ65" s="3" t="s">
        <v>315</v>
      </c>
    </row>
    <row r="66" spans="1:36"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AN66</f>
        <v>0</v>
      </c>
      <c r="AC66" s="23"/>
      <c r="AD66" s="23"/>
      <c r="AE66" s="23"/>
      <c r="AF66" s="23"/>
      <c r="AG66" s="23"/>
      <c r="AH66" t="s">
        <v>345</v>
      </c>
      <c r="AI66">
        <v>8114000000</v>
      </c>
      <c r="AJ66" s="3" t="s">
        <v>733</v>
      </c>
    </row>
    <row r="67" spans="1:36" hidden="1"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2759</v>
      </c>
      <c r="AA67" s="7" t="s">
        <v>335</v>
      </c>
      <c r="AB67" s="23">
        <f>AN67</f>
        <v>0</v>
      </c>
      <c r="AC67" s="23"/>
      <c r="AD67" s="23"/>
      <c r="AE67" s="23"/>
      <c r="AF67" s="23"/>
      <c r="AG67" s="23"/>
      <c r="AH67" t="s">
        <v>270</v>
      </c>
      <c r="AI67">
        <v>2318357000</v>
      </c>
      <c r="AJ67" s="3" t="s">
        <v>738</v>
      </c>
    </row>
    <row r="68" spans="1:36"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H68" t="s">
        <v>260</v>
      </c>
      <c r="AI68">
        <v>1050000</v>
      </c>
      <c r="AJ68" s="3" t="s">
        <v>744</v>
      </c>
    </row>
    <row r="69" spans="1:36"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H69" t="s">
        <v>488</v>
      </c>
      <c r="AI69">
        <v>5980316325</v>
      </c>
      <c r="AJ69" s="3" t="s">
        <v>750</v>
      </c>
    </row>
    <row r="70" spans="1:36" hidden="1"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2749</v>
      </c>
      <c r="AA70" s="7" t="s">
        <v>754</v>
      </c>
      <c r="AB70" s="23">
        <f>AN70</f>
        <v>0</v>
      </c>
      <c r="AC70" s="23"/>
      <c r="AD70" s="23"/>
      <c r="AE70" s="23"/>
      <c r="AF70" s="23"/>
      <c r="AG70" s="23"/>
      <c r="AH70" t="s">
        <v>270</v>
      </c>
      <c r="AI70">
        <v>27760264</v>
      </c>
      <c r="AJ70" s="3" t="s">
        <v>755</v>
      </c>
    </row>
    <row r="71" spans="1:36"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H71" t="s">
        <v>260</v>
      </c>
      <c r="AI71">
        <v>416700000</v>
      </c>
      <c r="AJ71" s="3" t="s">
        <v>761</v>
      </c>
    </row>
    <row r="72" spans="1:36" hidden="1"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AN72</f>
        <v>0</v>
      </c>
      <c r="AC72" s="23"/>
      <c r="AD72" s="23"/>
      <c r="AE72" s="23"/>
      <c r="AF72" s="23"/>
      <c r="AG72" s="23"/>
      <c r="AH72" t="s">
        <v>270</v>
      </c>
      <c r="AI72">
        <v>1000000</v>
      </c>
      <c r="AJ72" s="3" t="s">
        <v>765</v>
      </c>
    </row>
    <row r="73" spans="1:36" hidden="1"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2753</v>
      </c>
      <c r="AA73" s="7" t="s">
        <v>480</v>
      </c>
      <c r="AB73" s="23">
        <f>AN73</f>
        <v>0</v>
      </c>
      <c r="AC73" s="23"/>
      <c r="AD73" s="23"/>
      <c r="AE73" s="23"/>
      <c r="AF73" s="23"/>
      <c r="AG73" s="23"/>
      <c r="AH73" t="s">
        <v>386</v>
      </c>
      <c r="AI73">
        <v>175592000</v>
      </c>
      <c r="AJ73" s="3" t="s">
        <v>772</v>
      </c>
    </row>
    <row r="74" spans="1:36"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H74" t="s">
        <v>260</v>
      </c>
      <c r="AI74">
        <v>10000000</v>
      </c>
      <c r="AJ74" s="3" t="s">
        <v>777</v>
      </c>
    </row>
    <row r="75" spans="1:36" hidden="1"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2755</v>
      </c>
      <c r="AA75" s="7" t="s">
        <v>320</v>
      </c>
      <c r="AB75" s="23">
        <f>AN75</f>
        <v>0</v>
      </c>
      <c r="AC75" s="23"/>
      <c r="AD75" s="23"/>
      <c r="AE75" s="23"/>
      <c r="AF75" s="23"/>
      <c r="AG75" s="23"/>
      <c r="AH75" t="s">
        <v>270</v>
      </c>
      <c r="AI75">
        <v>38184061</v>
      </c>
      <c r="AJ75" s="3" t="s">
        <v>782</v>
      </c>
    </row>
    <row r="76" spans="1:36"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H76" t="s">
        <v>260</v>
      </c>
      <c r="AI76">
        <v>1294449000</v>
      </c>
      <c r="AJ76" s="3" t="s">
        <v>791</v>
      </c>
    </row>
    <row r="77" spans="1:36" hidden="1"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2748</v>
      </c>
      <c r="AA77" s="7" t="s">
        <v>798</v>
      </c>
      <c r="AB77" s="23">
        <f>AN77</f>
        <v>0</v>
      </c>
      <c r="AC77" s="23"/>
      <c r="AD77" s="23"/>
      <c r="AE77" s="23"/>
      <c r="AF77" s="23"/>
      <c r="AG77" s="23"/>
      <c r="AH77" t="s">
        <v>345</v>
      </c>
      <c r="AI77">
        <v>502100000</v>
      </c>
      <c r="AJ77" s="3" t="s">
        <v>799</v>
      </c>
    </row>
    <row r="78" spans="1:36" hidden="1"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AN78</f>
        <v>0</v>
      </c>
      <c r="AC78" s="23"/>
      <c r="AD78" s="23"/>
      <c r="AE78" s="23"/>
      <c r="AF78" s="23"/>
      <c r="AG78" s="23"/>
      <c r="AH78" t="s">
        <v>270</v>
      </c>
      <c r="AI78">
        <v>1000000</v>
      </c>
      <c r="AJ78" s="3" t="s">
        <v>765</v>
      </c>
    </row>
    <row r="79" spans="1:36"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AN79</f>
        <v>0</v>
      </c>
      <c r="AC79" s="23" t="s">
        <v>2878</v>
      </c>
      <c r="AD79" s="23" t="s">
        <v>2879</v>
      </c>
      <c r="AE79" s="23" t="s">
        <v>2884</v>
      </c>
      <c r="AF79" s="23" t="s">
        <v>2884</v>
      </c>
      <c r="AG79" s="23" t="s">
        <v>2851</v>
      </c>
      <c r="AH79" s="14" t="s">
        <v>811</v>
      </c>
      <c r="AI79" s="14">
        <v>100000000</v>
      </c>
      <c r="AJ79" s="16" t="s">
        <v>812</v>
      </c>
    </row>
    <row r="80" spans="1:36"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AN80</f>
        <v>0</v>
      </c>
      <c r="AC80" s="23" t="s">
        <v>2878</v>
      </c>
      <c r="AD80" s="23" t="s">
        <v>2880</v>
      </c>
      <c r="AE80" s="23" t="s">
        <v>2884</v>
      </c>
      <c r="AF80" s="23" t="s">
        <v>2885</v>
      </c>
      <c r="AG80" s="23" t="s">
        <v>2851</v>
      </c>
      <c r="AH80" s="14" t="s">
        <v>290</v>
      </c>
      <c r="AI80" s="14">
        <v>1500000</v>
      </c>
      <c r="AJ80" s="16" t="s">
        <v>818</v>
      </c>
    </row>
    <row r="81" spans="1:36"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H81" t="s">
        <v>260</v>
      </c>
      <c r="AI81">
        <v>318807000</v>
      </c>
      <c r="AJ81" s="3" t="s">
        <v>826</v>
      </c>
    </row>
    <row r="82" spans="1:36" hidden="1"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AN82</f>
        <v>0</v>
      </c>
      <c r="AC82" s="23"/>
      <c r="AD82" s="23"/>
      <c r="AE82" s="23"/>
      <c r="AF82" s="23"/>
      <c r="AG82" s="23"/>
      <c r="AH82" t="s">
        <v>830</v>
      </c>
      <c r="AI82">
        <v>25000000</v>
      </c>
      <c r="AJ82" s="3" t="s">
        <v>831</v>
      </c>
    </row>
    <row r="83" spans="1:36" hidden="1"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AN83</f>
        <v>0</v>
      </c>
      <c r="AC83" s="23"/>
      <c r="AD83" s="23"/>
      <c r="AE83" s="23"/>
      <c r="AF83" s="23"/>
      <c r="AG83" s="23"/>
      <c r="AH83" t="s">
        <v>308</v>
      </c>
      <c r="AI83">
        <v>350000000</v>
      </c>
      <c r="AJ83" s="3" t="s">
        <v>837</v>
      </c>
    </row>
    <row r="84" spans="1:36"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AN84</f>
        <v>0</v>
      </c>
      <c r="AC84" s="23"/>
      <c r="AD84" s="23"/>
      <c r="AE84" s="23"/>
      <c r="AF84" s="23"/>
      <c r="AG84" s="23"/>
      <c r="AH84" t="s">
        <v>345</v>
      </c>
    </row>
    <row r="85" spans="1:36"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H85" t="s">
        <v>270</v>
      </c>
      <c r="AI85">
        <v>450000000</v>
      </c>
      <c r="AJ85" s="3" t="s">
        <v>846</v>
      </c>
    </row>
    <row r="86" spans="1:36" hidden="1"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2746</v>
      </c>
      <c r="AA86" t="s">
        <v>854</v>
      </c>
      <c r="AB86" s="23">
        <f>AN86</f>
        <v>0</v>
      </c>
      <c r="AC86" s="23"/>
      <c r="AD86" s="23"/>
      <c r="AE86" s="23"/>
      <c r="AF86" s="23"/>
      <c r="AG86" s="23"/>
      <c r="AH86" t="s">
        <v>270</v>
      </c>
      <c r="AI86">
        <v>54000000</v>
      </c>
      <c r="AJ86" s="3" t="s">
        <v>855</v>
      </c>
    </row>
    <row r="87" spans="1:36"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AN87</f>
        <v>0</v>
      </c>
      <c r="AC87" s="23"/>
      <c r="AD87" s="23"/>
      <c r="AE87" s="23"/>
      <c r="AF87" s="23"/>
      <c r="AG87" s="23"/>
      <c r="AH87" t="s">
        <v>270</v>
      </c>
      <c r="AI87">
        <v>10000000</v>
      </c>
      <c r="AJ87" s="3" t="s">
        <v>863</v>
      </c>
    </row>
    <row r="88" spans="1:36"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H88" t="s">
        <v>270</v>
      </c>
      <c r="AI88">
        <v>64750000</v>
      </c>
      <c r="AJ88" s="3" t="s">
        <v>870</v>
      </c>
    </row>
    <row r="89" spans="1:36" hidden="1"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2745</v>
      </c>
      <c r="AA89" t="s">
        <v>874</v>
      </c>
      <c r="AB89" s="23">
        <f>AN89</f>
        <v>0</v>
      </c>
      <c r="AC89" s="23"/>
      <c r="AD89" s="23"/>
      <c r="AE89" s="23"/>
      <c r="AF89" s="23"/>
      <c r="AG89" s="23"/>
      <c r="AH89" t="s">
        <v>260</v>
      </c>
      <c r="AI89">
        <v>138507000</v>
      </c>
      <c r="AJ89" s="3" t="s">
        <v>875</v>
      </c>
    </row>
    <row r="90" spans="1:36"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H90" t="s">
        <v>883</v>
      </c>
      <c r="AI90">
        <v>26576111</v>
      </c>
      <c r="AJ90" s="3" t="s">
        <v>884</v>
      </c>
    </row>
    <row r="91" spans="1:36" hidden="1"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AN91</f>
        <v>0</v>
      </c>
      <c r="AC91" s="23"/>
      <c r="AD91" s="23"/>
      <c r="AE91" s="23"/>
      <c r="AF91" s="23"/>
      <c r="AG91" s="23"/>
      <c r="AH91" t="s">
        <v>270</v>
      </c>
      <c r="AI91">
        <v>10229000</v>
      </c>
      <c r="AJ91" s="3" t="s">
        <v>889</v>
      </c>
    </row>
    <row r="92" spans="1:36"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H92" t="s">
        <v>401</v>
      </c>
      <c r="AI92">
        <v>14000000</v>
      </c>
      <c r="AJ92" s="3" t="s">
        <v>895</v>
      </c>
    </row>
    <row r="93" spans="1:36"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H93" t="s">
        <v>260</v>
      </c>
    </row>
    <row r="94" spans="1:36"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AN94</f>
        <v>0</v>
      </c>
      <c r="AC94" s="23" t="s">
        <v>2878</v>
      </c>
      <c r="AD94" s="23" t="s">
        <v>2881</v>
      </c>
      <c r="AE94" s="23" t="s">
        <v>2884</v>
      </c>
      <c r="AF94" s="23" t="s">
        <v>2884</v>
      </c>
      <c r="AG94" s="23" t="s">
        <v>2851</v>
      </c>
      <c r="AH94" t="s">
        <v>345</v>
      </c>
      <c r="AI94">
        <v>2500000000</v>
      </c>
      <c r="AJ94" s="3" t="s">
        <v>907</v>
      </c>
    </row>
    <row r="95" spans="1:36"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H95" t="s">
        <v>386</v>
      </c>
      <c r="AI95">
        <v>160000000000</v>
      </c>
      <c r="AJ95" s="3" t="s">
        <v>912</v>
      </c>
    </row>
    <row r="96" spans="1:36" hidden="1"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2746</v>
      </c>
      <c r="AA96" t="s">
        <v>854</v>
      </c>
      <c r="AB96" s="23">
        <f>AN96</f>
        <v>0</v>
      </c>
      <c r="AC96" s="23"/>
      <c r="AD96" s="23"/>
      <c r="AE96" s="23"/>
      <c r="AF96" s="23"/>
      <c r="AG96" s="23"/>
      <c r="AH96" t="s">
        <v>591</v>
      </c>
      <c r="AI96">
        <v>5000000000</v>
      </c>
      <c r="AJ96" s="3" t="s">
        <v>917</v>
      </c>
    </row>
    <row r="97" spans="1:36" hidden="1"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AN97</f>
        <v>0</v>
      </c>
      <c r="AC97" s="23"/>
      <c r="AD97" s="23"/>
      <c r="AE97" s="23"/>
      <c r="AF97" s="23"/>
      <c r="AG97" s="23"/>
      <c r="AH97" t="s">
        <v>270</v>
      </c>
      <c r="AI97">
        <v>500000000</v>
      </c>
      <c r="AJ97" s="3" t="s">
        <v>922</v>
      </c>
    </row>
    <row r="98" spans="1:36"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H98" t="s">
        <v>270</v>
      </c>
      <c r="AI98">
        <v>50000000</v>
      </c>
      <c r="AJ98" s="3" t="s">
        <v>353</v>
      </c>
    </row>
    <row r="99" spans="1:36"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C99" t="s">
        <v>2873</v>
      </c>
      <c r="AD99">
        <v>0</v>
      </c>
      <c r="AE99" t="s">
        <v>2884</v>
      </c>
      <c r="AF99" t="s">
        <v>2884</v>
      </c>
      <c r="AG99" t="s">
        <v>2851</v>
      </c>
      <c r="AH99" t="s">
        <v>386</v>
      </c>
      <c r="AI99">
        <v>433000000000</v>
      </c>
      <c r="AJ99" s="3" t="s">
        <v>531</v>
      </c>
    </row>
    <row r="100" spans="1:36"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H100" t="s">
        <v>260</v>
      </c>
      <c r="AI100">
        <v>220000000</v>
      </c>
      <c r="AJ100" s="3" t="s">
        <v>942</v>
      </c>
    </row>
    <row r="101" spans="1:36"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H101" t="s">
        <v>260</v>
      </c>
      <c r="AI101">
        <v>60000000</v>
      </c>
      <c r="AJ101" s="3" t="s">
        <v>948</v>
      </c>
    </row>
    <row r="102" spans="1:36"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H102" t="s">
        <v>260</v>
      </c>
      <c r="AI102">
        <v>486000000</v>
      </c>
      <c r="AJ102" s="3" t="s">
        <v>954</v>
      </c>
    </row>
    <row r="103" spans="1:36"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H103" t="s">
        <v>260</v>
      </c>
    </row>
    <row r="104" spans="1:36"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t="s">
        <v>260</v>
      </c>
      <c r="AI104">
        <v>300000000</v>
      </c>
      <c r="AJ104" s="3" t="s">
        <v>963</v>
      </c>
    </row>
    <row r="105" spans="1:36" hidden="1"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AN105</f>
        <v>0</v>
      </c>
      <c r="AC105" s="23"/>
      <c r="AD105" s="23"/>
      <c r="AE105" s="23"/>
      <c r="AF105" s="23"/>
      <c r="AG105" s="23"/>
      <c r="AH105" t="s">
        <v>308</v>
      </c>
      <c r="AI105">
        <v>220000000</v>
      </c>
      <c r="AJ105" s="3" t="s">
        <v>969</v>
      </c>
    </row>
    <row r="106" spans="1:36"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t="s">
        <v>260</v>
      </c>
      <c r="AI106">
        <v>25247827</v>
      </c>
      <c r="AJ106" s="3" t="s">
        <v>976</v>
      </c>
    </row>
    <row r="107" spans="1:36"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AN107</f>
        <v>0</v>
      </c>
      <c r="AC107" s="23"/>
      <c r="AD107" s="23"/>
      <c r="AE107" s="23"/>
      <c r="AF107" s="23"/>
      <c r="AG107" s="23"/>
      <c r="AH107" t="s">
        <v>386</v>
      </c>
      <c r="AI107">
        <v>267173000000</v>
      </c>
      <c r="AJ107" s="3" t="s">
        <v>982</v>
      </c>
    </row>
    <row r="108" spans="1:36" hidden="1"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2744</v>
      </c>
      <c r="AA108" t="s">
        <v>986</v>
      </c>
      <c r="AB108" s="23">
        <f>AN108</f>
        <v>0</v>
      </c>
      <c r="AC108" s="23"/>
      <c r="AD108" s="23"/>
      <c r="AE108" s="23"/>
      <c r="AF108" s="23"/>
      <c r="AG108" s="23"/>
      <c r="AH108" t="s">
        <v>270</v>
      </c>
      <c r="AI108">
        <v>100000000</v>
      </c>
      <c r="AJ108" s="3" t="s">
        <v>987</v>
      </c>
    </row>
    <row r="109" spans="1:36"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AN109</f>
        <v>0</v>
      </c>
      <c r="AC109" s="23"/>
      <c r="AD109" s="23"/>
      <c r="AE109" s="23"/>
      <c r="AF109" s="23"/>
      <c r="AG109" s="23"/>
      <c r="AH109" t="s">
        <v>386</v>
      </c>
      <c r="AI109">
        <v>132827000000</v>
      </c>
      <c r="AJ109" s="3" t="s">
        <v>993</v>
      </c>
    </row>
    <row r="110" spans="1:36"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AN110</f>
        <v>0</v>
      </c>
      <c r="AC110" s="23"/>
      <c r="AD110" s="23"/>
      <c r="AE110" s="23"/>
      <c r="AF110" s="23"/>
      <c r="AG110" s="23"/>
      <c r="AH110" t="s">
        <v>345</v>
      </c>
      <c r="AI110">
        <v>4985193000</v>
      </c>
      <c r="AJ110" s="3" t="s">
        <v>999</v>
      </c>
    </row>
    <row r="111" spans="1:36"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t="s">
        <v>260</v>
      </c>
      <c r="AI111">
        <v>64064000</v>
      </c>
      <c r="AJ111" s="3" t="s">
        <v>1004</v>
      </c>
    </row>
    <row r="112" spans="1:36"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H112" t="s">
        <v>260</v>
      </c>
      <c r="AI112">
        <v>1050000000</v>
      </c>
      <c r="AJ112" s="3" t="s">
        <v>1009</v>
      </c>
    </row>
    <row r="113" spans="1:36"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AN113</f>
        <v>0</v>
      </c>
      <c r="AC113" s="23"/>
      <c r="AD113" s="23"/>
      <c r="AE113" s="23"/>
      <c r="AF113" s="23"/>
      <c r="AG113" s="23"/>
      <c r="AH113" t="s">
        <v>260</v>
      </c>
      <c r="AI113">
        <v>207600000</v>
      </c>
      <c r="AJ113" s="3" t="s">
        <v>1013</v>
      </c>
    </row>
    <row r="114" spans="1:36" hidden="1"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2755</v>
      </c>
      <c r="AA114" t="s">
        <v>320</v>
      </c>
      <c r="AB114" s="23">
        <f>AN114</f>
        <v>0</v>
      </c>
      <c r="AC114" s="23"/>
      <c r="AD114" s="23"/>
      <c r="AE114" s="23"/>
      <c r="AF114" s="23"/>
      <c r="AG114" s="23"/>
      <c r="AH114" t="s">
        <v>270</v>
      </c>
      <c r="AI114">
        <v>30000000</v>
      </c>
      <c r="AJ114" s="3" t="s">
        <v>602</v>
      </c>
    </row>
    <row r="115" spans="1:36" hidden="1"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2743</v>
      </c>
      <c r="AA115" t="s">
        <v>1024</v>
      </c>
      <c r="AB115" s="23">
        <f>AN115</f>
        <v>0</v>
      </c>
      <c r="AC115" s="23"/>
      <c r="AD115" s="23"/>
      <c r="AE115" s="23"/>
      <c r="AF115" s="23"/>
      <c r="AG115" s="23"/>
      <c r="AH115" t="s">
        <v>345</v>
      </c>
      <c r="AI115">
        <v>1100000000</v>
      </c>
      <c r="AJ115" s="3" t="s">
        <v>1025</v>
      </c>
    </row>
    <row r="116" spans="1:36" hidden="1"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AN116</f>
        <v>0</v>
      </c>
      <c r="AC116" s="23"/>
      <c r="AD116" s="23"/>
      <c r="AE116" s="23"/>
      <c r="AF116" s="23"/>
      <c r="AG116" s="23"/>
      <c r="AH116" s="9" t="s">
        <v>260</v>
      </c>
      <c r="AI116" s="9">
        <v>40150000</v>
      </c>
      <c r="AJ116" s="12" t="s">
        <v>1033</v>
      </c>
    </row>
    <row r="117" spans="1:36"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H117" t="s">
        <v>386</v>
      </c>
    </row>
    <row r="118" spans="1:36"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H118" t="s">
        <v>260</v>
      </c>
      <c r="AI118">
        <v>621000000</v>
      </c>
      <c r="AJ118" s="3" t="s">
        <v>1045</v>
      </c>
    </row>
    <row r="119" spans="1:36" hidden="1"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2755</v>
      </c>
      <c r="AA119" t="s">
        <v>320</v>
      </c>
      <c r="AB119" s="23">
        <f>AN119</f>
        <v>0</v>
      </c>
      <c r="AC119" s="23"/>
      <c r="AD119" s="23"/>
      <c r="AE119" s="23"/>
      <c r="AF119" s="23"/>
      <c r="AG119" s="23"/>
      <c r="AH119" t="s">
        <v>270</v>
      </c>
      <c r="AI119">
        <v>15605522</v>
      </c>
      <c r="AJ119" s="3" t="s">
        <v>1050</v>
      </c>
    </row>
    <row r="120" spans="1:36" hidden="1"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2757</v>
      </c>
      <c r="AA120" t="s">
        <v>427</v>
      </c>
      <c r="AB120" s="23">
        <f>AN120</f>
        <v>0</v>
      </c>
      <c r="AC120" s="23"/>
      <c r="AD120" s="23"/>
      <c r="AE120" s="23"/>
      <c r="AF120" s="23"/>
      <c r="AG120" s="23"/>
      <c r="AH120" t="s">
        <v>260</v>
      </c>
      <c r="AI120">
        <v>16000000</v>
      </c>
      <c r="AJ120" s="3" t="s">
        <v>1054</v>
      </c>
    </row>
    <row r="121" spans="1:36" hidden="1"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2751</v>
      </c>
      <c r="AA121" t="s">
        <v>659</v>
      </c>
      <c r="AB121" s="23">
        <f>AN121</f>
        <v>0</v>
      </c>
      <c r="AC121" s="23"/>
      <c r="AD121" s="23"/>
      <c r="AE121" s="23"/>
      <c r="AF121" s="23"/>
      <c r="AG121" s="23"/>
      <c r="AH121" t="s">
        <v>270</v>
      </c>
      <c r="AI121">
        <v>250230000</v>
      </c>
      <c r="AJ121" s="3" t="s">
        <v>1061</v>
      </c>
    </row>
    <row r="122" spans="1:36"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AN122</f>
        <v>0</v>
      </c>
      <c r="AC122" s="23" t="s">
        <v>2878</v>
      </c>
      <c r="AD122" s="23" t="s">
        <v>2881</v>
      </c>
      <c r="AE122" s="23" t="s">
        <v>2884</v>
      </c>
      <c r="AF122" s="23" t="s">
        <v>2884</v>
      </c>
      <c r="AG122" s="23" t="s">
        <v>2851</v>
      </c>
      <c r="AH122" t="s">
        <v>345</v>
      </c>
      <c r="AI122">
        <v>3000000000</v>
      </c>
      <c r="AJ122" s="3" t="s">
        <v>1067</v>
      </c>
    </row>
    <row r="123" spans="1:36"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H123" t="s">
        <v>270</v>
      </c>
    </row>
    <row r="124" spans="1:36"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AN124</f>
        <v>0</v>
      </c>
      <c r="AC124" s="23" t="s">
        <v>2895</v>
      </c>
      <c r="AD124" s="23" t="s">
        <v>2895</v>
      </c>
      <c r="AE124" s="23" t="s">
        <v>2895</v>
      </c>
      <c r="AF124" s="23" t="s">
        <v>2895</v>
      </c>
      <c r="AG124" s="23" t="s">
        <v>2895</v>
      </c>
      <c r="AH124" t="s">
        <v>270</v>
      </c>
    </row>
    <row r="125" spans="1:36" hidden="1"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2752</v>
      </c>
      <c r="AA125" t="s">
        <v>646</v>
      </c>
      <c r="AB125" s="23">
        <f>AN125</f>
        <v>0</v>
      </c>
      <c r="AC125" s="23"/>
      <c r="AD125" s="23"/>
      <c r="AE125" s="23"/>
      <c r="AF125" s="23"/>
      <c r="AG125" s="23"/>
      <c r="AH125" t="s">
        <v>647</v>
      </c>
      <c r="AI125">
        <v>6700000000</v>
      </c>
      <c r="AJ125" s="3" t="s">
        <v>1078</v>
      </c>
    </row>
    <row r="126" spans="1:36"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H126" t="s">
        <v>270</v>
      </c>
      <c r="AI126">
        <v>30000000</v>
      </c>
      <c r="AJ126" s="3" t="s">
        <v>602</v>
      </c>
    </row>
    <row r="127" spans="1:36" hidden="1"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2756</v>
      </c>
      <c r="AA127" t="s">
        <v>385</v>
      </c>
      <c r="AB127" s="23">
        <f>AN127</f>
        <v>0</v>
      </c>
      <c r="AC127" s="23"/>
      <c r="AD127" s="23"/>
      <c r="AE127" s="23"/>
      <c r="AF127" s="23"/>
      <c r="AG127" s="23"/>
      <c r="AH127" t="s">
        <v>386</v>
      </c>
      <c r="AI127">
        <v>80855000000</v>
      </c>
      <c r="AJ127" s="3" t="s">
        <v>1089</v>
      </c>
    </row>
    <row r="128" spans="1:36"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H128" t="s">
        <v>270</v>
      </c>
      <c r="AI128">
        <v>600000000</v>
      </c>
      <c r="AJ128" s="3" t="s">
        <v>1097</v>
      </c>
    </row>
    <row r="129" spans="1:36"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H129" t="s">
        <v>260</v>
      </c>
      <c r="AI129">
        <v>79920000</v>
      </c>
      <c r="AJ129" s="3" t="s">
        <v>1103</v>
      </c>
    </row>
    <row r="130" spans="1:36"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AN130</f>
        <v>0</v>
      </c>
      <c r="AC130" s="23"/>
      <c r="AD130" s="23"/>
      <c r="AE130" s="23"/>
      <c r="AF130" s="23"/>
      <c r="AG130" s="23"/>
      <c r="AH130" t="s">
        <v>270</v>
      </c>
      <c r="AI130">
        <v>500000000</v>
      </c>
      <c r="AJ130" s="3" t="s">
        <v>922</v>
      </c>
    </row>
    <row r="131" spans="1:36"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t="s">
        <v>270</v>
      </c>
      <c r="AI131">
        <v>1500000000</v>
      </c>
      <c r="AJ131" s="3" t="s">
        <v>336</v>
      </c>
    </row>
    <row r="132" spans="1:36"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t="s">
        <v>345</v>
      </c>
      <c r="AI132">
        <v>1300000000</v>
      </c>
      <c r="AJ132" s="3" t="s">
        <v>1122</v>
      </c>
    </row>
    <row r="133" spans="1:36" hidden="1"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2752</v>
      </c>
      <c r="AA133" t="s">
        <v>646</v>
      </c>
      <c r="AB133" s="23">
        <f t="shared" si="1"/>
        <v>0</v>
      </c>
      <c r="AC133" s="23"/>
      <c r="AD133" s="23"/>
      <c r="AE133" s="23"/>
      <c r="AF133" s="23"/>
      <c r="AG133" s="23"/>
      <c r="AH133" t="s">
        <v>647</v>
      </c>
      <c r="AI133">
        <v>3000000000</v>
      </c>
      <c r="AJ133" s="3" t="s">
        <v>1126</v>
      </c>
    </row>
    <row r="134" spans="1:36" hidden="1"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2746</v>
      </c>
      <c r="AA134" t="s">
        <v>854</v>
      </c>
      <c r="AB134" s="23">
        <f t="shared" si="1"/>
        <v>0</v>
      </c>
      <c r="AC134" s="23"/>
      <c r="AD134" s="23"/>
      <c r="AE134" s="23"/>
      <c r="AF134" s="23"/>
      <c r="AG134" s="23"/>
      <c r="AH134" t="s">
        <v>270</v>
      </c>
    </row>
    <row r="135" spans="1:36"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2878</v>
      </c>
      <c r="AD135" s="23" t="s">
        <v>2886</v>
      </c>
      <c r="AE135" s="23" t="s">
        <v>2885</v>
      </c>
      <c r="AF135" s="23" t="s">
        <v>2885</v>
      </c>
      <c r="AG135" s="23" t="s">
        <v>2851</v>
      </c>
      <c r="AH135" s="14" t="s">
        <v>270</v>
      </c>
      <c r="AI135" s="14">
        <v>500000000</v>
      </c>
      <c r="AJ135" s="16" t="s">
        <v>922</v>
      </c>
    </row>
    <row r="136" spans="1:36"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C136" t="s">
        <v>2873</v>
      </c>
      <c r="AD136">
        <v>3</v>
      </c>
      <c r="AE136" t="s">
        <v>2884</v>
      </c>
      <c r="AF136" t="s">
        <v>2885</v>
      </c>
      <c r="AG136" t="s">
        <v>2851</v>
      </c>
      <c r="AH136" t="s">
        <v>270</v>
      </c>
      <c r="AI136">
        <v>48450360</v>
      </c>
      <c r="AJ136" s="3" t="s">
        <v>1144</v>
      </c>
    </row>
    <row r="137" spans="1:36"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H137" t="s">
        <v>401</v>
      </c>
      <c r="AI137">
        <v>4000000</v>
      </c>
      <c r="AJ137" s="3" t="s">
        <v>281</v>
      </c>
    </row>
    <row r="138" spans="1:36"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AN138</f>
        <v>0</v>
      </c>
      <c r="AC138" s="23"/>
      <c r="AD138" s="23"/>
      <c r="AE138" s="23"/>
      <c r="AF138" s="23"/>
      <c r="AG138" s="23"/>
      <c r="AH138" t="s">
        <v>345</v>
      </c>
    </row>
    <row r="139" spans="1:36" hidden="1"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AN139</f>
        <v>0</v>
      </c>
      <c r="AC139" s="23"/>
      <c r="AD139" s="23"/>
      <c r="AE139" s="23"/>
      <c r="AF139" s="23"/>
      <c r="AG139" s="23"/>
      <c r="AH139" s="9" t="s">
        <v>260</v>
      </c>
      <c r="AI139" s="9">
        <v>150000000</v>
      </c>
      <c r="AJ139" s="12" t="s">
        <v>1158</v>
      </c>
    </row>
    <row r="140" spans="1:36"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H140" t="s">
        <v>260</v>
      </c>
      <c r="AI140">
        <v>61822000</v>
      </c>
      <c r="AJ140" s="3" t="s">
        <v>1163</v>
      </c>
    </row>
    <row r="141" spans="1:36" hidden="1"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2746</v>
      </c>
      <c r="AA141" t="s">
        <v>854</v>
      </c>
      <c r="AB141" s="23">
        <f>AN141</f>
        <v>0</v>
      </c>
      <c r="AC141" s="23"/>
      <c r="AD141" s="23"/>
      <c r="AE141" s="23"/>
      <c r="AF141" s="23"/>
      <c r="AG141" s="23"/>
      <c r="AH141" t="s">
        <v>308</v>
      </c>
      <c r="AI141">
        <v>200000000</v>
      </c>
      <c r="AJ141" s="3" t="s">
        <v>1168</v>
      </c>
    </row>
    <row r="142" spans="1:36"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H142" t="s">
        <v>260</v>
      </c>
      <c r="AI142">
        <v>530000000</v>
      </c>
      <c r="AJ142" s="3" t="s">
        <v>1176</v>
      </c>
    </row>
    <row r="143" spans="1:36"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AN143</f>
        <v>0</v>
      </c>
      <c r="AC143" s="23"/>
      <c r="AD143" s="23"/>
      <c r="AE143" s="23"/>
      <c r="AF143" s="23"/>
      <c r="AG143" s="23"/>
      <c r="AH143" t="s">
        <v>345</v>
      </c>
      <c r="AI143">
        <v>4100000000</v>
      </c>
      <c r="AJ143" s="3" t="s">
        <v>1182</v>
      </c>
    </row>
    <row r="144" spans="1:36" hidden="1"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AN144</f>
        <v>0</v>
      </c>
      <c r="AC144" s="23"/>
      <c r="AD144" s="23"/>
      <c r="AE144" s="23"/>
      <c r="AF144" s="23"/>
      <c r="AG144" s="23"/>
      <c r="AH144" t="s">
        <v>270</v>
      </c>
      <c r="AI144">
        <v>7000000</v>
      </c>
      <c r="AJ144" s="3" t="s">
        <v>895</v>
      </c>
    </row>
    <row r="145" spans="1:36"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AN145</f>
        <v>0</v>
      </c>
      <c r="AC145" s="23" t="s">
        <v>2878</v>
      </c>
      <c r="AD145" s="23" t="s">
        <v>2887</v>
      </c>
      <c r="AE145" s="23" t="s">
        <v>2884</v>
      </c>
      <c r="AF145" s="23" t="s">
        <v>2884</v>
      </c>
      <c r="AG145" s="23" t="s">
        <v>2851</v>
      </c>
      <c r="AH145" s="14" t="s">
        <v>270</v>
      </c>
      <c r="AI145" s="14">
        <v>500000000</v>
      </c>
      <c r="AJ145" s="16" t="s">
        <v>922</v>
      </c>
    </row>
    <row r="146" spans="1:36"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H146" t="s">
        <v>270</v>
      </c>
      <c r="AI146">
        <v>15000000</v>
      </c>
      <c r="AJ146" s="3" t="s">
        <v>1197</v>
      </c>
    </row>
    <row r="147" spans="1:36"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H147" t="s">
        <v>401</v>
      </c>
      <c r="AI147">
        <v>3000000</v>
      </c>
      <c r="AJ147" s="3" t="s">
        <v>1201</v>
      </c>
    </row>
    <row r="148" spans="1:36"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H148" t="s">
        <v>270</v>
      </c>
      <c r="AI148">
        <v>28071000</v>
      </c>
      <c r="AJ148" s="3" t="s">
        <v>1207</v>
      </c>
    </row>
    <row r="149" spans="1:36" hidden="1"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AN149</f>
        <v>0</v>
      </c>
      <c r="AC149" s="23"/>
      <c r="AD149" s="23"/>
      <c r="AE149" s="23"/>
      <c r="AF149" s="23"/>
      <c r="AG149" s="23"/>
      <c r="AH149" t="s">
        <v>270</v>
      </c>
      <c r="AI149">
        <v>1000000</v>
      </c>
      <c r="AJ149" s="3" t="s">
        <v>765</v>
      </c>
    </row>
    <row r="150" spans="1:36"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H150" t="s">
        <v>260</v>
      </c>
      <c r="AI150">
        <v>410000000</v>
      </c>
      <c r="AJ150" s="3" t="s">
        <v>1216</v>
      </c>
    </row>
    <row r="151" spans="1:36" hidden="1"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2742</v>
      </c>
      <c r="AA151" t="s">
        <v>1221</v>
      </c>
      <c r="AB151" s="23">
        <f>AN151</f>
        <v>0</v>
      </c>
      <c r="AC151" s="23"/>
      <c r="AD151" s="23"/>
      <c r="AE151" s="23"/>
      <c r="AF151" s="23"/>
      <c r="AG151" s="23"/>
      <c r="AH151" t="s">
        <v>345</v>
      </c>
      <c r="AI151">
        <v>2000000000</v>
      </c>
      <c r="AJ151" s="3" t="s">
        <v>1222</v>
      </c>
    </row>
    <row r="152" spans="1:36"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AN152</f>
        <v>0</v>
      </c>
      <c r="AC152" s="23"/>
      <c r="AD152" s="23"/>
      <c r="AE152" s="23"/>
      <c r="AF152" s="23"/>
      <c r="AG152" s="23"/>
      <c r="AH152" t="s">
        <v>345</v>
      </c>
      <c r="AI152">
        <v>2000000000</v>
      </c>
      <c r="AJ152" s="3" t="s">
        <v>1230</v>
      </c>
    </row>
    <row r="153" spans="1:36" hidden="1"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2752</v>
      </c>
      <c r="AA153" t="s">
        <v>646</v>
      </c>
      <c r="AB153" s="23">
        <f>AN153</f>
        <v>0</v>
      </c>
      <c r="AC153" s="23"/>
      <c r="AD153" s="23"/>
      <c r="AE153" s="23"/>
      <c r="AF153" s="23"/>
      <c r="AG153" s="23"/>
      <c r="AH153" t="s">
        <v>647</v>
      </c>
      <c r="AI153">
        <v>1500000000</v>
      </c>
      <c r="AJ153" s="3" t="s">
        <v>1234</v>
      </c>
    </row>
    <row r="154" spans="1:36"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H154" t="s">
        <v>260</v>
      </c>
      <c r="AI154">
        <v>475000000</v>
      </c>
      <c r="AJ154" s="3" t="s">
        <v>1242</v>
      </c>
    </row>
    <row r="155" spans="1:36" hidden="1"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2741</v>
      </c>
      <c r="AA155" t="s">
        <v>1247</v>
      </c>
      <c r="AB155" s="23">
        <f t="shared" ref="AB155:AB162" si="2">AN155</f>
        <v>0</v>
      </c>
      <c r="AC155" s="23"/>
      <c r="AD155" s="23"/>
      <c r="AE155" s="23"/>
      <c r="AF155" s="23"/>
      <c r="AG155" s="23"/>
      <c r="AH155" t="s">
        <v>270</v>
      </c>
      <c r="AI155">
        <v>500000000</v>
      </c>
      <c r="AJ155" s="3" t="s">
        <v>922</v>
      </c>
    </row>
    <row r="156" spans="1:36" hidden="1"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2752</v>
      </c>
      <c r="AA156" t="s">
        <v>646</v>
      </c>
      <c r="AB156" s="23">
        <f t="shared" si="2"/>
        <v>0</v>
      </c>
      <c r="AC156" s="23"/>
      <c r="AD156" s="23"/>
      <c r="AE156" s="23"/>
      <c r="AF156" s="23"/>
      <c r="AG156" s="23"/>
      <c r="AH156" t="s">
        <v>647</v>
      </c>
    </row>
    <row r="157" spans="1:36"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t="s">
        <v>345</v>
      </c>
    </row>
    <row r="158" spans="1:36" hidden="1"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2740</v>
      </c>
      <c r="AA158" t="s">
        <v>1258</v>
      </c>
      <c r="AB158" s="23">
        <f t="shared" si="2"/>
        <v>0</v>
      </c>
      <c r="AC158" s="23"/>
      <c r="AD158" s="23"/>
      <c r="AE158" s="23"/>
      <c r="AF158" s="23"/>
      <c r="AG158" s="23"/>
      <c r="AH158" t="s">
        <v>270</v>
      </c>
      <c r="AI158">
        <v>750000000</v>
      </c>
      <c r="AJ158" s="3" t="s">
        <v>1259</v>
      </c>
    </row>
    <row r="159" spans="1:36" hidden="1"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t="s">
        <v>270</v>
      </c>
      <c r="AI159">
        <v>880000</v>
      </c>
      <c r="AJ159" s="3" t="s">
        <v>1264</v>
      </c>
    </row>
    <row r="160" spans="1:36"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t="s">
        <v>270</v>
      </c>
      <c r="AI160">
        <v>1500000000</v>
      </c>
      <c r="AJ160" s="3" t="s">
        <v>336</v>
      </c>
    </row>
    <row r="161" spans="1:36" hidden="1"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t="s">
        <v>270</v>
      </c>
      <c r="AI161">
        <v>15000000</v>
      </c>
      <c r="AJ161" s="3" t="s">
        <v>1197</v>
      </c>
    </row>
    <row r="162" spans="1:36" hidden="1"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2739</v>
      </c>
      <c r="AA162" t="s">
        <v>1281</v>
      </c>
      <c r="AB162" s="23">
        <f t="shared" si="2"/>
        <v>0</v>
      </c>
      <c r="AC162" s="23"/>
      <c r="AD162" s="23"/>
      <c r="AE162" s="23"/>
      <c r="AF162" s="23"/>
      <c r="AG162" s="23"/>
      <c r="AH162" t="s">
        <v>1282</v>
      </c>
      <c r="AI162">
        <v>25725000</v>
      </c>
      <c r="AJ162" s="3" t="s">
        <v>1283</v>
      </c>
    </row>
    <row r="163" spans="1:36"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H163" t="s">
        <v>401</v>
      </c>
      <c r="AI163">
        <v>4000000</v>
      </c>
      <c r="AJ163" s="3" t="s">
        <v>281</v>
      </c>
    </row>
    <row r="164" spans="1:36"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AN164</f>
        <v>0</v>
      </c>
      <c r="AC164" s="23"/>
      <c r="AD164" s="23"/>
      <c r="AE164" s="23"/>
      <c r="AF164" s="23"/>
      <c r="AG164" s="23"/>
      <c r="AH164" t="s">
        <v>270</v>
      </c>
    </row>
    <row r="165" spans="1:36" hidden="1"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2738</v>
      </c>
      <c r="AA165" t="s">
        <v>1294</v>
      </c>
      <c r="AB165" s="23">
        <f>AN165</f>
        <v>0</v>
      </c>
      <c r="AC165" s="23"/>
      <c r="AD165" s="23"/>
      <c r="AE165" s="23"/>
      <c r="AF165" s="23"/>
      <c r="AG165" s="23"/>
      <c r="AH165" t="s">
        <v>270</v>
      </c>
      <c r="AI165">
        <v>80000000</v>
      </c>
      <c r="AJ165" s="3" t="s">
        <v>1295</v>
      </c>
    </row>
    <row r="166" spans="1:36" hidden="1"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2755</v>
      </c>
      <c r="AA166" t="s">
        <v>320</v>
      </c>
      <c r="AB166" s="23">
        <f>AN166</f>
        <v>0</v>
      </c>
      <c r="AC166" s="23"/>
      <c r="AD166" s="23"/>
      <c r="AE166" s="23"/>
      <c r="AF166" s="23"/>
      <c r="AG166" s="23"/>
      <c r="AH166" t="s">
        <v>270</v>
      </c>
      <c r="AI166">
        <v>48971674</v>
      </c>
      <c r="AJ166" s="3" t="s">
        <v>1300</v>
      </c>
    </row>
    <row r="167" spans="1:36"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H167" t="s">
        <v>260</v>
      </c>
      <c r="AI167">
        <v>630783000</v>
      </c>
      <c r="AJ167" s="3" t="s">
        <v>1306</v>
      </c>
    </row>
    <row r="168" spans="1:36"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H168" t="s">
        <v>270</v>
      </c>
      <c r="AI168">
        <v>20000000</v>
      </c>
      <c r="AJ168" s="3" t="s">
        <v>315</v>
      </c>
    </row>
    <row r="169" spans="1:36"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AN169</f>
        <v>0</v>
      </c>
      <c r="AC169" s="23" t="s">
        <v>2895</v>
      </c>
      <c r="AD169" s="23" t="s">
        <v>2895</v>
      </c>
      <c r="AE169" s="23" t="s">
        <v>2895</v>
      </c>
      <c r="AF169" s="23" t="s">
        <v>2895</v>
      </c>
      <c r="AG169" s="23" t="s">
        <v>2895</v>
      </c>
      <c r="AH169" t="s">
        <v>270</v>
      </c>
      <c r="AI169">
        <v>375000000</v>
      </c>
      <c r="AJ169" s="3" t="s">
        <v>1317</v>
      </c>
    </row>
    <row r="170" spans="1:36" hidden="1"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2750</v>
      </c>
      <c r="AA170" t="s">
        <v>725</v>
      </c>
      <c r="AB170" s="23">
        <f>AN170</f>
        <v>0</v>
      </c>
      <c r="AC170" s="23"/>
      <c r="AD170" s="23"/>
      <c r="AE170" s="23"/>
      <c r="AF170" s="23"/>
      <c r="AG170" s="23"/>
      <c r="AH170" t="s">
        <v>270</v>
      </c>
      <c r="AI170">
        <v>40000000</v>
      </c>
      <c r="AJ170" s="3" t="s">
        <v>1321</v>
      </c>
    </row>
    <row r="171" spans="1:36"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2878</v>
      </c>
      <c r="AD171">
        <v>0</v>
      </c>
      <c r="AE171" t="s">
        <v>2884</v>
      </c>
      <c r="AF171" t="s">
        <v>2884</v>
      </c>
      <c r="AG171" t="s">
        <v>2851</v>
      </c>
      <c r="AH171" t="s">
        <v>401</v>
      </c>
    </row>
    <row r="172" spans="1:36"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AN172</f>
        <v>0</v>
      </c>
      <c r="AC172" s="23"/>
      <c r="AD172" s="23"/>
      <c r="AE172" s="23"/>
      <c r="AF172" s="23"/>
      <c r="AG172" s="23"/>
      <c r="AH172" t="s">
        <v>345</v>
      </c>
      <c r="AI172">
        <v>1000000000</v>
      </c>
      <c r="AJ172" s="3" t="s">
        <v>1331</v>
      </c>
    </row>
    <row r="173" spans="1:36"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H173" t="s">
        <v>488</v>
      </c>
      <c r="AI173">
        <v>300000000</v>
      </c>
      <c r="AJ173" s="3" t="s">
        <v>1338</v>
      </c>
    </row>
    <row r="174" spans="1:36" hidden="1"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2755</v>
      </c>
      <c r="AA174" t="s">
        <v>320</v>
      </c>
      <c r="AB174" s="23">
        <f>AN174</f>
        <v>0</v>
      </c>
      <c r="AC174" s="23"/>
      <c r="AD174" s="23"/>
      <c r="AE174" s="23"/>
      <c r="AF174" s="23"/>
      <c r="AG174" s="23"/>
      <c r="AH174" t="s">
        <v>270</v>
      </c>
      <c r="AI174">
        <v>29917476</v>
      </c>
      <c r="AJ174" s="3" t="s">
        <v>1343</v>
      </c>
    </row>
    <row r="175" spans="1:36"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AN175</f>
        <v>0</v>
      </c>
      <c r="AC175" s="23"/>
      <c r="AD175" s="23"/>
      <c r="AE175" s="23"/>
      <c r="AF175" s="23"/>
      <c r="AG175" s="23"/>
      <c r="AH175" t="s">
        <v>345</v>
      </c>
      <c r="AI175">
        <v>1000000000</v>
      </c>
      <c r="AJ175" s="3" t="s">
        <v>1352</v>
      </c>
    </row>
    <row r="176" spans="1:36"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H176" t="s">
        <v>401</v>
      </c>
      <c r="AI176">
        <v>4000000</v>
      </c>
      <c r="AJ176" s="3" t="s">
        <v>281</v>
      </c>
    </row>
    <row r="177" spans="1:36"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H177" t="s">
        <v>260</v>
      </c>
      <c r="AI177">
        <v>115000000</v>
      </c>
      <c r="AJ177" s="3" t="s">
        <v>1363</v>
      </c>
    </row>
    <row r="178" spans="1:36"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AN178</f>
        <v>0</v>
      </c>
      <c r="AC178" s="23" t="s">
        <v>2878</v>
      </c>
      <c r="AD178" s="23" t="s">
        <v>2888</v>
      </c>
      <c r="AE178" s="23" t="s">
        <v>2884</v>
      </c>
      <c r="AF178" s="23" t="s">
        <v>2884</v>
      </c>
      <c r="AG178" s="23" t="s">
        <v>2852</v>
      </c>
      <c r="AH178" t="s">
        <v>270</v>
      </c>
      <c r="AI178">
        <v>30000000</v>
      </c>
      <c r="AJ178" s="3" t="s">
        <v>602</v>
      </c>
    </row>
    <row r="179" spans="1:36"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H179" t="s">
        <v>270</v>
      </c>
      <c r="AI179">
        <v>62536958</v>
      </c>
      <c r="AJ179" s="3" t="s">
        <v>1375</v>
      </c>
    </row>
    <row r="180" spans="1:36" hidden="1"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2755</v>
      </c>
      <c r="AA180" t="s">
        <v>320</v>
      </c>
      <c r="AB180" s="23">
        <f>AN180</f>
        <v>0</v>
      </c>
      <c r="AC180" s="23"/>
      <c r="AD180" s="23"/>
      <c r="AE180" s="23"/>
      <c r="AF180" s="23"/>
      <c r="AG180" s="23"/>
      <c r="AH180" t="s">
        <v>270</v>
      </c>
      <c r="AI180">
        <v>20697951</v>
      </c>
      <c r="AJ180" s="3" t="s">
        <v>1379</v>
      </c>
    </row>
    <row r="181" spans="1:36"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H181" t="s">
        <v>260</v>
      </c>
      <c r="AI181">
        <v>83150000</v>
      </c>
      <c r="AJ181" s="3" t="s">
        <v>1384</v>
      </c>
    </row>
    <row r="182" spans="1:36"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H182" t="s">
        <v>270</v>
      </c>
      <c r="AI182">
        <v>80000000</v>
      </c>
      <c r="AJ182" s="3" t="s">
        <v>1295</v>
      </c>
    </row>
    <row r="183" spans="1:36"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AN183</f>
        <v>0</v>
      </c>
      <c r="AC183" s="23"/>
      <c r="AD183" s="23"/>
      <c r="AE183" s="23"/>
      <c r="AF183" s="23"/>
      <c r="AG183" s="23"/>
      <c r="AH183" t="s">
        <v>591</v>
      </c>
      <c r="AI183">
        <v>7000000000</v>
      </c>
      <c r="AJ183" s="3" t="s">
        <v>1392</v>
      </c>
    </row>
    <row r="184" spans="1:36"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AN184</f>
        <v>0</v>
      </c>
      <c r="AC184" s="23" t="s">
        <v>2873</v>
      </c>
      <c r="AD184" s="23" t="s">
        <v>2893</v>
      </c>
      <c r="AE184" s="23" t="s">
        <v>2884</v>
      </c>
      <c r="AF184" s="23" t="s">
        <v>2884</v>
      </c>
      <c r="AG184" s="23" t="s">
        <v>2892</v>
      </c>
      <c r="AH184" s="14" t="s">
        <v>260</v>
      </c>
      <c r="AI184" s="14">
        <v>672500000</v>
      </c>
      <c r="AJ184" s="16" t="s">
        <v>1400</v>
      </c>
    </row>
    <row r="185" spans="1:36"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H185" t="s">
        <v>260</v>
      </c>
      <c r="AI185">
        <v>42431000</v>
      </c>
      <c r="AJ185" s="3" t="s">
        <v>1405</v>
      </c>
    </row>
    <row r="186" spans="1:36"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H186" t="s">
        <v>386</v>
      </c>
      <c r="AI186">
        <v>300000000000</v>
      </c>
      <c r="AJ186" s="3" t="s">
        <v>1411</v>
      </c>
    </row>
    <row r="187" spans="1:36"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AN187</f>
        <v>0</v>
      </c>
      <c r="AC187" s="23" t="s">
        <v>2895</v>
      </c>
      <c r="AD187" s="23" t="s">
        <v>2895</v>
      </c>
      <c r="AE187" s="23" t="s">
        <v>2895</v>
      </c>
      <c r="AF187" s="23" t="s">
        <v>2895</v>
      </c>
      <c r="AG187" s="23" t="s">
        <v>2895</v>
      </c>
      <c r="AH187" t="s">
        <v>270</v>
      </c>
    </row>
    <row r="188" spans="1:36"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H188" t="s">
        <v>386</v>
      </c>
      <c r="AI188">
        <v>657000000000</v>
      </c>
      <c r="AJ188" s="3" t="s">
        <v>1420</v>
      </c>
    </row>
    <row r="189" spans="1:36"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H189" t="s">
        <v>270</v>
      </c>
      <c r="AI189">
        <v>304150000</v>
      </c>
      <c r="AJ189" s="3" t="s">
        <v>1427</v>
      </c>
    </row>
    <row r="190" spans="1:36"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H190" t="s">
        <v>260</v>
      </c>
      <c r="AI190">
        <v>210267000</v>
      </c>
      <c r="AJ190" s="3" t="s">
        <v>1432</v>
      </c>
    </row>
    <row r="191" spans="1:36"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H191" t="s">
        <v>260</v>
      </c>
      <c r="AI191">
        <v>100000000</v>
      </c>
      <c r="AJ191" s="3" t="s">
        <v>1438</v>
      </c>
    </row>
    <row r="192" spans="1:36"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AN192</f>
        <v>0</v>
      </c>
      <c r="AC192" s="23"/>
      <c r="AD192" s="23"/>
      <c r="AE192" s="23"/>
      <c r="AF192" s="23"/>
      <c r="AG192" s="23"/>
      <c r="AH192" t="s">
        <v>1442</v>
      </c>
      <c r="AI192">
        <v>30000000</v>
      </c>
      <c r="AJ192" s="3" t="s">
        <v>1443</v>
      </c>
    </row>
    <row r="193" spans="1:36" hidden="1"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2759</v>
      </c>
      <c r="AA193" t="s">
        <v>335</v>
      </c>
      <c r="AB193" s="23">
        <f t="shared" si="3"/>
        <v>0</v>
      </c>
      <c r="AC193" s="23"/>
      <c r="AD193" s="23"/>
      <c r="AE193" s="23"/>
      <c r="AF193" s="23"/>
      <c r="AG193" s="23"/>
      <c r="AH193" t="s">
        <v>830</v>
      </c>
      <c r="AI193">
        <v>1269017000</v>
      </c>
      <c r="AJ193" s="3" t="s">
        <v>1448</v>
      </c>
    </row>
    <row r="194" spans="1:36" hidden="1"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2739</v>
      </c>
      <c r="AA194" t="s">
        <v>1281</v>
      </c>
      <c r="AB194" s="23">
        <f t="shared" si="3"/>
        <v>0</v>
      </c>
      <c r="AC194" s="23"/>
      <c r="AD194" s="23"/>
      <c r="AE194" s="23"/>
      <c r="AF194" s="23"/>
      <c r="AG194" s="23"/>
      <c r="AH194" t="s">
        <v>1282</v>
      </c>
    </row>
    <row r="195" spans="1:36" hidden="1"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2759</v>
      </c>
      <c r="AA195" t="s">
        <v>335</v>
      </c>
      <c r="AB195" s="23">
        <f t="shared" si="3"/>
        <v>0</v>
      </c>
      <c r="AC195" s="23"/>
      <c r="AD195" s="23"/>
      <c r="AE195" s="23"/>
      <c r="AF195" s="23"/>
      <c r="AG195" s="23"/>
      <c r="AH195" t="s">
        <v>830</v>
      </c>
      <c r="AI195">
        <v>1954685000</v>
      </c>
      <c r="AJ195" s="3" t="s">
        <v>1455</v>
      </c>
    </row>
    <row r="196" spans="1:36" hidden="1"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2755</v>
      </c>
      <c r="AA196" t="s">
        <v>320</v>
      </c>
      <c r="AB196" s="23">
        <f t="shared" si="3"/>
        <v>0</v>
      </c>
      <c r="AC196" s="23"/>
      <c r="AD196" s="23"/>
      <c r="AE196" s="23"/>
      <c r="AF196" s="23"/>
      <c r="AG196" s="23"/>
      <c r="AH196" t="s">
        <v>270</v>
      </c>
      <c r="AI196">
        <v>12502792</v>
      </c>
      <c r="AJ196" s="3" t="s">
        <v>1459</v>
      </c>
    </row>
    <row r="197" spans="1:36" hidden="1"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2737</v>
      </c>
      <c r="AA197" t="s">
        <v>1466</v>
      </c>
      <c r="AB197" s="23">
        <f t="shared" si="3"/>
        <v>0</v>
      </c>
      <c r="AC197" s="23"/>
      <c r="AD197" s="23"/>
      <c r="AE197" s="23"/>
      <c r="AF197" s="23"/>
      <c r="AG197" s="23"/>
      <c r="AH197" t="s">
        <v>386</v>
      </c>
      <c r="AI197">
        <v>1985525463369</v>
      </c>
      <c r="AJ197" s="3" t="s">
        <v>1467</v>
      </c>
    </row>
    <row r="198" spans="1:36" hidden="1"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9" t="s">
        <v>270</v>
      </c>
      <c r="AI198" s="9">
        <v>705000000</v>
      </c>
      <c r="AJ198" s="12" t="s">
        <v>1476</v>
      </c>
    </row>
    <row r="199" spans="1:36" hidden="1"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2755</v>
      </c>
      <c r="AA199" t="s">
        <v>320</v>
      </c>
      <c r="AB199" s="23">
        <f t="shared" si="3"/>
        <v>0</v>
      </c>
      <c r="AC199" s="23"/>
      <c r="AD199" s="23"/>
      <c r="AE199" s="23"/>
      <c r="AF199" s="23"/>
      <c r="AG199" s="23"/>
      <c r="AH199" t="s">
        <v>270</v>
      </c>
      <c r="AI199">
        <v>15196669</v>
      </c>
      <c r="AJ199" s="3" t="s">
        <v>1480</v>
      </c>
    </row>
    <row r="200" spans="1:36"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t="s">
        <v>260</v>
      </c>
      <c r="AI200">
        <v>14000000</v>
      </c>
      <c r="AJ200" s="3" t="s">
        <v>1486</v>
      </c>
    </row>
    <row r="201" spans="1:36"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AN201</f>
        <v>0</v>
      </c>
      <c r="AC201" s="23"/>
      <c r="AD201" s="23"/>
      <c r="AE201" s="23"/>
      <c r="AF201" s="23"/>
      <c r="AG201" s="23"/>
      <c r="AH201" t="s">
        <v>270</v>
      </c>
      <c r="AI201">
        <v>750000000</v>
      </c>
      <c r="AJ201" s="3" t="s">
        <v>1259</v>
      </c>
    </row>
    <row r="202" spans="1:36"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t="s">
        <v>260</v>
      </c>
      <c r="AI202">
        <v>48000000</v>
      </c>
      <c r="AJ202" s="3" t="s">
        <v>1501</v>
      </c>
    </row>
    <row r="203" spans="1:36" hidden="1"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AN203</f>
        <v>0</v>
      </c>
      <c r="AC203" s="23"/>
      <c r="AD203" s="23"/>
      <c r="AE203" s="23"/>
      <c r="AF203" s="23"/>
      <c r="AG203" s="23"/>
      <c r="AH203" t="s">
        <v>830</v>
      </c>
      <c r="AI203">
        <v>750000000</v>
      </c>
      <c r="AJ203" s="3" t="s">
        <v>1506</v>
      </c>
    </row>
    <row r="204" spans="1:36"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AN204</f>
        <v>0</v>
      </c>
      <c r="AC204" s="23" t="s">
        <v>2897</v>
      </c>
      <c r="AD204" s="23" t="s">
        <v>2897</v>
      </c>
      <c r="AE204" s="23" t="s">
        <v>2897</v>
      </c>
      <c r="AF204" s="23" t="s">
        <v>2897</v>
      </c>
      <c r="AG204" s="23" t="s">
        <v>2897</v>
      </c>
      <c r="AH204" s="14" t="s">
        <v>260</v>
      </c>
      <c r="AI204" s="14">
        <v>800000000</v>
      </c>
      <c r="AJ204" s="16" t="s">
        <v>1512</v>
      </c>
    </row>
    <row r="205" spans="1:36"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AN205</f>
        <v>0</v>
      </c>
      <c r="AC205" s="23" t="s">
        <v>2878</v>
      </c>
      <c r="AD205" s="23" t="s">
        <v>2889</v>
      </c>
      <c r="AE205" s="23" t="s">
        <v>2884</v>
      </c>
      <c r="AF205" s="23" t="s">
        <v>2885</v>
      </c>
      <c r="AG205" s="23" t="s">
        <v>2852</v>
      </c>
      <c r="AH205" t="s">
        <v>811</v>
      </c>
      <c r="AI205">
        <v>100000000</v>
      </c>
      <c r="AJ205" s="3" t="s">
        <v>1520</v>
      </c>
    </row>
    <row r="206" spans="1:36"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H206" t="s">
        <v>401</v>
      </c>
      <c r="AI206">
        <v>4500000</v>
      </c>
      <c r="AJ206" s="3" t="s">
        <v>1524</v>
      </c>
    </row>
    <row r="207" spans="1:36" hidden="1"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AN207</f>
        <v>0</v>
      </c>
      <c r="AC207" s="23"/>
      <c r="AD207" s="23"/>
      <c r="AE207" s="23"/>
      <c r="AF207" s="23"/>
      <c r="AG207" s="23"/>
      <c r="AH207" s="9" t="s">
        <v>290</v>
      </c>
      <c r="AI207" s="9">
        <v>1500000</v>
      </c>
      <c r="AJ207" s="12" t="s">
        <v>1531</v>
      </c>
    </row>
    <row r="208" spans="1:36"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H208" t="s">
        <v>260</v>
      </c>
      <c r="AI208">
        <v>492884000</v>
      </c>
      <c r="AJ208" s="3" t="s">
        <v>1537</v>
      </c>
    </row>
    <row r="209" spans="1:36" hidden="1"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AN209</f>
        <v>0</v>
      </c>
      <c r="AC209" s="23"/>
      <c r="AD209" s="23"/>
      <c r="AE209" s="23"/>
      <c r="AF209" s="23"/>
      <c r="AG209" s="23"/>
      <c r="AH209" t="s">
        <v>270</v>
      </c>
      <c r="AI209">
        <v>1000000</v>
      </c>
      <c r="AJ209" s="3" t="s">
        <v>765</v>
      </c>
    </row>
    <row r="210" spans="1:36" hidden="1"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2739</v>
      </c>
      <c r="AA210" t="s">
        <v>1281</v>
      </c>
      <c r="AB210" s="23">
        <f t="shared" si="4"/>
        <v>0</v>
      </c>
      <c r="AC210" s="23"/>
      <c r="AD210" s="23"/>
      <c r="AE210" s="23"/>
      <c r="AF210" s="23"/>
      <c r="AG210" s="23"/>
      <c r="AH210" t="s">
        <v>1282</v>
      </c>
      <c r="AI210">
        <v>30870000</v>
      </c>
      <c r="AJ210" s="3" t="s">
        <v>1545</v>
      </c>
    </row>
    <row r="211" spans="1:36" hidden="1"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2747</v>
      </c>
      <c r="AA211" t="s">
        <v>1550</v>
      </c>
      <c r="AB211" s="23">
        <f t="shared" si="4"/>
        <v>0</v>
      </c>
      <c r="AC211" s="23"/>
      <c r="AD211" s="23"/>
      <c r="AE211" s="23"/>
      <c r="AF211" s="23"/>
      <c r="AG211" s="23"/>
      <c r="AH211" t="s">
        <v>647</v>
      </c>
      <c r="AI211">
        <v>14443000000</v>
      </c>
      <c r="AJ211" s="3" t="s">
        <v>1551</v>
      </c>
    </row>
    <row r="212" spans="1:36"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t="s">
        <v>2873</v>
      </c>
      <c r="AD212" s="23" t="s">
        <v>2890</v>
      </c>
      <c r="AE212" s="23" t="s">
        <v>2884</v>
      </c>
      <c r="AF212" s="23" t="s">
        <v>2884</v>
      </c>
      <c r="AG212" s="23" t="s">
        <v>2851</v>
      </c>
      <c r="AH212" s="14" t="s">
        <v>260</v>
      </c>
      <c r="AI212" s="14">
        <v>82850000</v>
      </c>
      <c r="AJ212" s="16" t="s">
        <v>1558</v>
      </c>
    </row>
    <row r="213" spans="1:36"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t="s">
        <v>345</v>
      </c>
    </row>
    <row r="214" spans="1:36" hidden="1"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t="s">
        <v>270</v>
      </c>
      <c r="AI214">
        <v>2000000</v>
      </c>
      <c r="AJ214" s="3" t="s">
        <v>281</v>
      </c>
    </row>
    <row r="215" spans="1:36"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H215" t="s">
        <v>260</v>
      </c>
      <c r="AI215">
        <v>35000000</v>
      </c>
      <c r="AJ215" s="3" t="s">
        <v>1569</v>
      </c>
    </row>
    <row r="216" spans="1:36"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AN216</f>
        <v>0</v>
      </c>
      <c r="AC216" s="23"/>
      <c r="AD216" s="23"/>
      <c r="AE216" s="23"/>
      <c r="AF216" s="23"/>
      <c r="AG216" s="23"/>
      <c r="AH216" t="s">
        <v>270</v>
      </c>
      <c r="AI216">
        <v>10000000</v>
      </c>
      <c r="AJ216" s="3" t="s">
        <v>863</v>
      </c>
    </row>
    <row r="217" spans="1:36"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t="s">
        <v>488</v>
      </c>
      <c r="AI217">
        <v>1109925000</v>
      </c>
      <c r="AJ217" s="3" t="s">
        <v>1197</v>
      </c>
    </row>
    <row r="218" spans="1:36"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AN218</f>
        <v>0</v>
      </c>
      <c r="AC218" s="23"/>
      <c r="AD218" s="23"/>
      <c r="AE218" s="23"/>
      <c r="AF218" s="23"/>
      <c r="AG218" s="23"/>
      <c r="AH218" t="s">
        <v>270</v>
      </c>
      <c r="AI218">
        <v>1000000000</v>
      </c>
      <c r="AJ218" s="3" t="s">
        <v>579</v>
      </c>
    </row>
    <row r="219" spans="1:36" hidden="1"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2755</v>
      </c>
      <c r="AA219" t="s">
        <v>320</v>
      </c>
      <c r="AB219" s="23">
        <f>AN219</f>
        <v>0</v>
      </c>
      <c r="AC219" s="23"/>
      <c r="AD219" s="23"/>
      <c r="AE219" s="23"/>
      <c r="AF219" s="23"/>
      <c r="AG219" s="23"/>
      <c r="AH219" t="s">
        <v>270</v>
      </c>
      <c r="AI219">
        <v>73432000</v>
      </c>
      <c r="AJ219" s="3" t="s">
        <v>1588</v>
      </c>
    </row>
    <row r="220" spans="1:36"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H220" t="s">
        <v>260</v>
      </c>
      <c r="AI220">
        <v>335000000</v>
      </c>
      <c r="AJ220" s="3" t="s">
        <v>1594</v>
      </c>
    </row>
    <row r="221" spans="1:36"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H221" t="s">
        <v>260</v>
      </c>
      <c r="AI221">
        <v>620486000</v>
      </c>
      <c r="AJ221" s="3" t="s">
        <v>1600</v>
      </c>
    </row>
    <row r="222" spans="1:36" hidden="1"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2753</v>
      </c>
      <c r="AA222" t="s">
        <v>480</v>
      </c>
      <c r="AB222" s="23">
        <f>AN222</f>
        <v>0</v>
      </c>
      <c r="AC222" s="23"/>
      <c r="AD222" s="23"/>
      <c r="AE222" s="23"/>
      <c r="AF222" s="23"/>
      <c r="AG222" s="23"/>
      <c r="AH222" t="s">
        <v>386</v>
      </c>
    </row>
    <row r="223" spans="1:36"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H223" t="s">
        <v>260</v>
      </c>
      <c r="AI223">
        <v>505000000</v>
      </c>
      <c r="AJ223" s="3" t="s">
        <v>1608</v>
      </c>
    </row>
    <row r="224" spans="1:36"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H224" t="s">
        <v>260</v>
      </c>
      <c r="AI224">
        <v>1200000000</v>
      </c>
      <c r="AJ224" s="3" t="s">
        <v>1615</v>
      </c>
    </row>
    <row r="225" spans="1:36"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H225" t="s">
        <v>270</v>
      </c>
      <c r="AI225">
        <v>36962246</v>
      </c>
      <c r="AJ225" s="3" t="s">
        <v>1621</v>
      </c>
    </row>
    <row r="226" spans="1:36"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H226" t="s">
        <v>260</v>
      </c>
      <c r="AI226">
        <v>150000000</v>
      </c>
      <c r="AJ226" s="3" t="s">
        <v>1627</v>
      </c>
    </row>
    <row r="227" spans="1:36"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H227" t="s">
        <v>270</v>
      </c>
      <c r="AI227">
        <v>55539288.960000001</v>
      </c>
      <c r="AJ227" s="3" t="s">
        <v>1632</v>
      </c>
    </row>
    <row r="228" spans="1:36"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AN228</f>
        <v>0</v>
      </c>
      <c r="AC228" s="23" t="s">
        <v>2896</v>
      </c>
      <c r="AD228" s="23" t="s">
        <v>2896</v>
      </c>
      <c r="AE228" s="23" t="s">
        <v>2896</v>
      </c>
      <c r="AF228" s="23" t="s">
        <v>2896</v>
      </c>
      <c r="AG228" s="23" t="s">
        <v>2896</v>
      </c>
      <c r="AH228" t="s">
        <v>386</v>
      </c>
      <c r="AI228">
        <v>300000000000</v>
      </c>
      <c r="AJ228" s="3" t="s">
        <v>1640</v>
      </c>
    </row>
    <row r="229" spans="1:36"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H229" t="s">
        <v>270</v>
      </c>
      <c r="AI229">
        <v>262664000</v>
      </c>
      <c r="AJ229" s="3" t="s">
        <v>1650</v>
      </c>
    </row>
    <row r="230" spans="1:36" hidden="1"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AN230</f>
        <v>0</v>
      </c>
      <c r="AC230" s="23"/>
      <c r="AD230" s="23"/>
      <c r="AE230" s="23"/>
      <c r="AF230" s="23"/>
      <c r="AG230" s="23"/>
      <c r="AH230" t="s">
        <v>308</v>
      </c>
      <c r="AI230">
        <v>110000000</v>
      </c>
      <c r="AJ230" s="3" t="s">
        <v>1654</v>
      </c>
    </row>
    <row r="231" spans="1:36" hidden="1"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2736</v>
      </c>
      <c r="AA231" t="s">
        <v>1660</v>
      </c>
      <c r="AB231" s="23">
        <f>AN231</f>
        <v>0</v>
      </c>
      <c r="AC231" s="23"/>
      <c r="AD231" s="23"/>
      <c r="AE231" s="23"/>
      <c r="AF231" s="23"/>
      <c r="AG231" s="23"/>
      <c r="AH231" t="s">
        <v>270</v>
      </c>
      <c r="AI231">
        <v>1200000000</v>
      </c>
      <c r="AJ231" s="3" t="s">
        <v>1661</v>
      </c>
    </row>
    <row r="232" spans="1:36"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t="s">
        <v>270</v>
      </c>
      <c r="AI232">
        <v>35160000</v>
      </c>
      <c r="AJ232" s="3" t="s">
        <v>1667</v>
      </c>
    </row>
    <row r="233" spans="1:36" hidden="1"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AN233</f>
        <v>0</v>
      </c>
      <c r="AC233" s="23"/>
      <c r="AD233" s="23"/>
      <c r="AE233" s="23"/>
      <c r="AF233" s="23"/>
      <c r="AG233" s="23"/>
      <c r="AH233" t="s">
        <v>270</v>
      </c>
      <c r="AI233">
        <v>570000</v>
      </c>
      <c r="AJ233" s="3" t="s">
        <v>1672</v>
      </c>
    </row>
    <row r="234" spans="1:36"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H234" t="s">
        <v>260</v>
      </c>
      <c r="AI234">
        <v>200000000</v>
      </c>
      <c r="AJ234" s="3" t="s">
        <v>1677</v>
      </c>
    </row>
    <row r="235" spans="1:36" hidden="1"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2752</v>
      </c>
      <c r="AA235" t="s">
        <v>646</v>
      </c>
      <c r="AB235" s="23">
        <f>AN235</f>
        <v>0</v>
      </c>
      <c r="AC235" s="23"/>
      <c r="AD235" s="23"/>
      <c r="AE235" s="23"/>
      <c r="AF235" s="23"/>
      <c r="AG235" s="23"/>
      <c r="AH235" t="s">
        <v>647</v>
      </c>
      <c r="AI235">
        <v>8625000000</v>
      </c>
      <c r="AJ235" s="3" t="s">
        <v>1681</v>
      </c>
    </row>
    <row r="236" spans="1:36"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H236" t="s">
        <v>260</v>
      </c>
      <c r="AI236">
        <v>409000000</v>
      </c>
      <c r="AJ236" s="3" t="s">
        <v>1688</v>
      </c>
    </row>
    <row r="237" spans="1:36"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H237" t="s">
        <v>260</v>
      </c>
      <c r="AI237">
        <v>110000000</v>
      </c>
      <c r="AJ237" s="3" t="s">
        <v>1693</v>
      </c>
    </row>
    <row r="238" spans="1:36" hidden="1"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2755</v>
      </c>
      <c r="AA238" t="s">
        <v>320</v>
      </c>
      <c r="AB238" s="23">
        <f>AN238</f>
        <v>0</v>
      </c>
      <c r="AC238" s="23"/>
      <c r="AD238" s="23"/>
      <c r="AE238" s="23"/>
      <c r="AF238" s="23"/>
      <c r="AG238" s="23"/>
      <c r="AH238" t="s">
        <v>270</v>
      </c>
      <c r="AI238">
        <v>60000000</v>
      </c>
      <c r="AJ238" s="3" t="s">
        <v>271</v>
      </c>
    </row>
    <row r="239" spans="1:36"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H239" t="s">
        <v>260</v>
      </c>
      <c r="AI239">
        <v>5000000</v>
      </c>
      <c r="AJ239" s="3" t="s">
        <v>1701</v>
      </c>
    </row>
    <row r="240" spans="1:36" hidden="1"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2740</v>
      </c>
      <c r="AA240" t="s">
        <v>1258</v>
      </c>
      <c r="AB240" s="23">
        <f>AN240</f>
        <v>0</v>
      </c>
      <c r="AC240" s="23"/>
      <c r="AD240" s="23"/>
      <c r="AE240" s="23"/>
      <c r="AF240" s="23"/>
      <c r="AG240" s="23"/>
      <c r="AH240" t="s">
        <v>270</v>
      </c>
      <c r="AI240">
        <v>700000000</v>
      </c>
      <c r="AJ240" s="3" t="s">
        <v>585</v>
      </c>
    </row>
    <row r="241" spans="1:36" hidden="1"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AN241</f>
        <v>0</v>
      </c>
      <c r="AC241" s="23"/>
      <c r="AD241" s="23"/>
      <c r="AE241" s="23"/>
      <c r="AF241" s="23"/>
      <c r="AG241" s="23"/>
      <c r="AH241" t="s">
        <v>270</v>
      </c>
      <c r="AI241">
        <v>10000000</v>
      </c>
      <c r="AJ241" s="3" t="s">
        <v>863</v>
      </c>
    </row>
    <row r="242" spans="1:36"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AN242</f>
        <v>0</v>
      </c>
      <c r="AC242" s="23" t="s">
        <v>2897</v>
      </c>
      <c r="AD242" s="23" t="s">
        <v>2897</v>
      </c>
      <c r="AE242" s="23" t="s">
        <v>2897</v>
      </c>
      <c r="AF242" s="23" t="s">
        <v>2897</v>
      </c>
      <c r="AG242" s="23" t="s">
        <v>2897</v>
      </c>
      <c r="AH242" t="s">
        <v>345</v>
      </c>
      <c r="AI242">
        <v>2500000000</v>
      </c>
      <c r="AJ242" s="3" t="s">
        <v>1715</v>
      </c>
    </row>
    <row r="243" spans="1:36"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H243" t="s">
        <v>270</v>
      </c>
      <c r="AI243">
        <v>219270538</v>
      </c>
      <c r="AJ243" s="3" t="s">
        <v>1724</v>
      </c>
    </row>
    <row r="244" spans="1:36"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H244" t="s">
        <v>260</v>
      </c>
      <c r="AI244">
        <v>233000000</v>
      </c>
      <c r="AJ244" s="3" t="s">
        <v>1734</v>
      </c>
    </row>
    <row r="245" spans="1:36" hidden="1"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AN245</f>
        <v>0</v>
      </c>
      <c r="AC245" s="23"/>
      <c r="AD245" s="23"/>
      <c r="AE245" s="23"/>
      <c r="AF245" s="23"/>
      <c r="AG245" s="23"/>
      <c r="AH245" t="s">
        <v>270</v>
      </c>
      <c r="AI245">
        <v>10000000</v>
      </c>
      <c r="AJ245" s="3" t="s">
        <v>863</v>
      </c>
    </row>
    <row r="246" spans="1:36"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H246" t="s">
        <v>270</v>
      </c>
      <c r="AI246">
        <v>500000000</v>
      </c>
      <c r="AJ246" s="3" t="s">
        <v>922</v>
      </c>
    </row>
    <row r="247" spans="1:36" hidden="1"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AN247</f>
        <v>0</v>
      </c>
      <c r="AC247" s="23"/>
      <c r="AD247" s="23"/>
      <c r="AE247" s="23"/>
      <c r="AF247" s="23"/>
      <c r="AG247" s="23"/>
      <c r="AH247" t="s">
        <v>270</v>
      </c>
      <c r="AI247">
        <v>3000000</v>
      </c>
      <c r="AJ247" s="3" t="s">
        <v>1750</v>
      </c>
    </row>
    <row r="248" spans="1:36" hidden="1"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2749</v>
      </c>
      <c r="AA248" t="s">
        <v>754</v>
      </c>
      <c r="AB248" s="23">
        <f>AN248</f>
        <v>0</v>
      </c>
      <c r="AC248" s="23"/>
      <c r="AD248" s="23"/>
      <c r="AE248" s="23"/>
      <c r="AF248" s="23"/>
      <c r="AG248" s="23"/>
      <c r="AH248" t="s">
        <v>270</v>
      </c>
      <c r="AI248">
        <v>48300000</v>
      </c>
      <c r="AJ248" s="3" t="s">
        <v>1754</v>
      </c>
    </row>
    <row r="249" spans="1:36" hidden="1"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2750</v>
      </c>
      <c r="AA249" t="s">
        <v>725</v>
      </c>
      <c r="AB249" s="23">
        <f>AN249</f>
        <v>0</v>
      </c>
      <c r="AC249" s="23"/>
      <c r="AD249" s="23"/>
      <c r="AE249" s="23"/>
      <c r="AF249" s="23"/>
      <c r="AG249" s="23"/>
      <c r="AH249" t="s">
        <v>270</v>
      </c>
    </row>
    <row r="250" spans="1:36"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AN250</f>
        <v>0</v>
      </c>
      <c r="AC250" s="23"/>
      <c r="AD250" s="23"/>
      <c r="AE250" s="23"/>
      <c r="AF250" s="23"/>
      <c r="AG250" s="23"/>
      <c r="AH250" t="s">
        <v>345</v>
      </c>
      <c r="AI250">
        <v>6500000000</v>
      </c>
      <c r="AJ250" s="3" t="s">
        <v>1760</v>
      </c>
    </row>
    <row r="251" spans="1:36" hidden="1"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2757</v>
      </c>
      <c r="AA251" t="s">
        <v>427</v>
      </c>
      <c r="AB251" s="23">
        <f>AN251</f>
        <v>0</v>
      </c>
      <c r="AC251" s="23"/>
      <c r="AD251" s="23"/>
      <c r="AE251" s="23"/>
      <c r="AF251" s="23"/>
      <c r="AG251" s="23"/>
      <c r="AH251" t="s">
        <v>260</v>
      </c>
      <c r="AI251">
        <v>300000000</v>
      </c>
      <c r="AJ251" s="3" t="s">
        <v>1765</v>
      </c>
    </row>
    <row r="252" spans="1:36"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t="s">
        <v>260</v>
      </c>
      <c r="AI252">
        <v>100000000</v>
      </c>
      <c r="AJ252" s="3" t="s">
        <v>1771</v>
      </c>
    </row>
    <row r="253" spans="1:36"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t="s">
        <v>260</v>
      </c>
      <c r="AI253">
        <v>575000000</v>
      </c>
      <c r="AJ253" s="3" t="s">
        <v>1777</v>
      </c>
    </row>
    <row r="254" spans="1:36"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AN254</f>
        <v>0</v>
      </c>
      <c r="AC254" s="23"/>
      <c r="AD254" s="23"/>
      <c r="AE254" s="23"/>
      <c r="AF254" s="23"/>
      <c r="AG254" s="23"/>
      <c r="AH254" t="s">
        <v>270</v>
      </c>
      <c r="AI254">
        <v>10000000</v>
      </c>
      <c r="AJ254" s="3" t="s">
        <v>863</v>
      </c>
    </row>
    <row r="255" spans="1:36"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AN255</f>
        <v>0</v>
      </c>
      <c r="AC255" s="23"/>
      <c r="AD255" s="23"/>
      <c r="AE255" s="23"/>
      <c r="AF255" s="23"/>
      <c r="AG255" s="23"/>
      <c r="AH255" t="s">
        <v>270</v>
      </c>
      <c r="AI255">
        <v>1500000000</v>
      </c>
      <c r="AJ255" s="3" t="s">
        <v>336</v>
      </c>
    </row>
    <row r="256" spans="1:36" hidden="1"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2752</v>
      </c>
      <c r="AA256" t="s">
        <v>646</v>
      </c>
      <c r="AB256" s="23">
        <f>AN256</f>
        <v>0</v>
      </c>
      <c r="AC256" s="23"/>
      <c r="AD256" s="23"/>
      <c r="AE256" s="23"/>
      <c r="AF256" s="23"/>
      <c r="AG256" s="23"/>
      <c r="AH256" t="s">
        <v>647</v>
      </c>
      <c r="AI256">
        <v>3375000000</v>
      </c>
      <c r="AJ256" s="3" t="s">
        <v>1789</v>
      </c>
    </row>
    <row r="257" spans="1:36" hidden="1"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2735</v>
      </c>
      <c r="AA257" t="s">
        <v>1795</v>
      </c>
      <c r="AB257" s="23">
        <f>AN257</f>
        <v>0</v>
      </c>
      <c r="AC257" s="23"/>
      <c r="AD257" s="23"/>
      <c r="AE257" s="23"/>
      <c r="AF257" s="23"/>
      <c r="AG257" s="23"/>
      <c r="AH257" t="s">
        <v>386</v>
      </c>
      <c r="AI257">
        <v>200000000000</v>
      </c>
      <c r="AJ257" s="3" t="s">
        <v>1796</v>
      </c>
    </row>
    <row r="258" spans="1:36"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AN258</f>
        <v>0</v>
      </c>
      <c r="AC258" s="23" t="s">
        <v>2897</v>
      </c>
      <c r="AD258" s="23" t="s">
        <v>2897</v>
      </c>
      <c r="AE258" s="23" t="s">
        <v>2897</v>
      </c>
      <c r="AF258" s="23" t="s">
        <v>2897</v>
      </c>
      <c r="AG258" s="23" t="s">
        <v>2897</v>
      </c>
      <c r="AH258" s="14" t="s">
        <v>270</v>
      </c>
      <c r="AI258" s="14">
        <v>700000000</v>
      </c>
      <c r="AJ258" s="16" t="s">
        <v>585</v>
      </c>
    </row>
    <row r="259" spans="1:36"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H259" t="s">
        <v>260</v>
      </c>
      <c r="AI259">
        <v>300410000</v>
      </c>
      <c r="AJ259" s="3" t="s">
        <v>1806</v>
      </c>
    </row>
    <row r="260" spans="1:36" hidden="1"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2757</v>
      </c>
      <c r="AA260" t="s">
        <v>427</v>
      </c>
      <c r="AB260" s="23">
        <f>AN260</f>
        <v>0</v>
      </c>
      <c r="AC260" s="23"/>
      <c r="AD260" s="23"/>
      <c r="AE260" s="23"/>
      <c r="AF260" s="23"/>
      <c r="AG260" s="23"/>
      <c r="AH260" t="s">
        <v>260</v>
      </c>
      <c r="AI260">
        <v>64000000</v>
      </c>
      <c r="AJ260" s="3" t="s">
        <v>1810</v>
      </c>
    </row>
    <row r="261" spans="1:36"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H261" t="s">
        <v>270</v>
      </c>
      <c r="AI261">
        <v>135810000</v>
      </c>
      <c r="AJ261" s="3" t="s">
        <v>1815</v>
      </c>
    </row>
    <row r="262" spans="1:36"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H262" t="s">
        <v>260</v>
      </c>
      <c r="AI262">
        <v>605202000</v>
      </c>
      <c r="AJ262" s="3" t="s">
        <v>1821</v>
      </c>
    </row>
    <row r="263" spans="1:36" hidden="1"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AN263</f>
        <v>0</v>
      </c>
      <c r="AC263" s="23"/>
      <c r="AD263" s="23"/>
      <c r="AE263" s="23"/>
      <c r="AF263" s="23"/>
      <c r="AG263" s="23"/>
      <c r="AH263" t="s">
        <v>270</v>
      </c>
      <c r="AI263">
        <v>7000000</v>
      </c>
      <c r="AJ263" s="3" t="s">
        <v>895</v>
      </c>
    </row>
    <row r="264" spans="1:36"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AN264</f>
        <v>0</v>
      </c>
      <c r="AC264" s="23"/>
      <c r="AD264" s="23"/>
      <c r="AE264" s="23"/>
      <c r="AF264" s="23"/>
      <c r="AG264" s="23"/>
      <c r="AH264" t="s">
        <v>345</v>
      </c>
      <c r="AI264">
        <v>6000000000</v>
      </c>
      <c r="AJ264" s="3" t="s">
        <v>1828</v>
      </c>
    </row>
    <row r="265" spans="1:36"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H265" t="s">
        <v>270</v>
      </c>
      <c r="AI265">
        <v>500000000</v>
      </c>
      <c r="AJ265" s="3" t="s">
        <v>922</v>
      </c>
    </row>
    <row r="266" spans="1:36"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AN266</f>
        <v>0</v>
      </c>
      <c r="AC266" s="23"/>
      <c r="AD266" s="23"/>
      <c r="AE266" s="23"/>
      <c r="AF266" s="23"/>
      <c r="AG266" s="23"/>
      <c r="AH266" t="s">
        <v>260</v>
      </c>
      <c r="AI266">
        <v>347809000</v>
      </c>
      <c r="AJ266" s="3" t="s">
        <v>1839</v>
      </c>
    </row>
    <row r="267" spans="1:36"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2878</v>
      </c>
      <c r="AD267" s="7" t="s">
        <v>2894</v>
      </c>
      <c r="AE267" s="7"/>
      <c r="AF267" s="7"/>
      <c r="AG267" s="7" t="s">
        <v>2851</v>
      </c>
      <c r="AH267" t="s">
        <v>270</v>
      </c>
      <c r="AI267">
        <v>500000000</v>
      </c>
      <c r="AJ267" s="3" t="s">
        <v>922</v>
      </c>
    </row>
    <row r="268" spans="1:36"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AN268</f>
        <v>0</v>
      </c>
      <c r="AC268" s="23" t="s">
        <v>2878</v>
      </c>
      <c r="AD268" s="23" t="s">
        <v>2891</v>
      </c>
      <c r="AE268" s="23" t="s">
        <v>2884</v>
      </c>
      <c r="AF268" s="23" t="s">
        <v>2884</v>
      </c>
      <c r="AG268" s="23" t="s">
        <v>2851</v>
      </c>
      <c r="AH268" s="14" t="s">
        <v>345</v>
      </c>
      <c r="AI268" s="14">
        <v>4600000000</v>
      </c>
      <c r="AJ268" s="16" t="s">
        <v>1857</v>
      </c>
    </row>
    <row r="269" spans="1:36"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H269" t="s">
        <v>488</v>
      </c>
      <c r="AI269">
        <v>3107268000</v>
      </c>
      <c r="AJ269" s="3" t="s">
        <v>602</v>
      </c>
    </row>
    <row r="270" spans="1:36"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AN270</f>
        <v>0</v>
      </c>
      <c r="AC270" s="23"/>
      <c r="AD270" s="23"/>
      <c r="AE270" s="23"/>
      <c r="AF270" s="23"/>
      <c r="AG270" s="23"/>
      <c r="AH270" t="s">
        <v>345</v>
      </c>
      <c r="AI270">
        <v>6000000000</v>
      </c>
      <c r="AJ270" s="3" t="s">
        <v>1868</v>
      </c>
    </row>
    <row r="271" spans="1:36"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t="s">
        <v>260</v>
      </c>
      <c r="AI271">
        <v>210000000</v>
      </c>
      <c r="AJ271" s="3" t="s">
        <v>1874</v>
      </c>
    </row>
    <row r="272" spans="1:36" hidden="1"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2734</v>
      </c>
      <c r="AA272" t="s">
        <v>1879</v>
      </c>
      <c r="AB272" s="23">
        <f>AN272</f>
        <v>0</v>
      </c>
      <c r="AC272" s="23"/>
      <c r="AD272" s="23"/>
      <c r="AE272" s="23"/>
      <c r="AF272" s="23"/>
      <c r="AG272" s="23"/>
      <c r="AH272" t="s">
        <v>647</v>
      </c>
      <c r="AI272">
        <v>50000000000</v>
      </c>
      <c r="AJ272" s="3" t="s">
        <v>1880</v>
      </c>
    </row>
    <row r="273" spans="1:36"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AN273</f>
        <v>0</v>
      </c>
      <c r="AC273" s="23"/>
      <c r="AD273" s="23"/>
      <c r="AE273" s="23"/>
      <c r="AF273" s="23"/>
      <c r="AG273" s="23"/>
      <c r="AH273" t="s">
        <v>811</v>
      </c>
      <c r="AI273">
        <v>100000000</v>
      </c>
      <c r="AJ273" s="3" t="s">
        <v>1886</v>
      </c>
    </row>
    <row r="274" spans="1:36"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t="s">
        <v>270</v>
      </c>
      <c r="AI274">
        <v>700000000</v>
      </c>
      <c r="AJ274" s="3" t="s">
        <v>585</v>
      </c>
    </row>
    <row r="275" spans="1:36"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H275" t="s">
        <v>401</v>
      </c>
    </row>
    <row r="276" spans="1:36" hidden="1"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2739</v>
      </c>
      <c r="AA276" t="s">
        <v>1281</v>
      </c>
      <c r="AB276" s="23">
        <f>AN276</f>
        <v>0</v>
      </c>
      <c r="AC276" s="23"/>
      <c r="AD276" s="23"/>
      <c r="AE276" s="23"/>
      <c r="AF276" s="23"/>
      <c r="AG276" s="23"/>
      <c r="AH276" t="s">
        <v>1282</v>
      </c>
      <c r="AI276">
        <v>46305000</v>
      </c>
      <c r="AJ276" s="3" t="s">
        <v>1898</v>
      </c>
    </row>
    <row r="277" spans="1:36" hidden="1"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AN277</f>
        <v>0</v>
      </c>
      <c r="AC277" s="23"/>
      <c r="AD277" s="23"/>
      <c r="AE277" s="23"/>
      <c r="AF277" s="23"/>
      <c r="AG277" s="23"/>
      <c r="AH277" t="s">
        <v>270</v>
      </c>
      <c r="AI277">
        <v>1000000</v>
      </c>
      <c r="AJ277" s="3" t="s">
        <v>765</v>
      </c>
    </row>
    <row r="278" spans="1:36"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AN278</f>
        <v>0</v>
      </c>
      <c r="AC278" s="23"/>
      <c r="AD278" s="23"/>
      <c r="AE278" s="23"/>
      <c r="AF278" s="23"/>
      <c r="AG278" s="23"/>
      <c r="AH278" t="s">
        <v>345</v>
      </c>
    </row>
    <row r="279" spans="1:36"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H279" t="s">
        <v>270</v>
      </c>
      <c r="AI279">
        <v>50000000</v>
      </c>
      <c r="AJ279" s="3" t="s">
        <v>353</v>
      </c>
    </row>
    <row r="280" spans="1:36"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AN280</f>
        <v>0</v>
      </c>
      <c r="AC280" s="23" t="s">
        <v>2897</v>
      </c>
      <c r="AD280" s="23" t="s">
        <v>2897</v>
      </c>
      <c r="AE280" s="23" t="s">
        <v>2897</v>
      </c>
      <c r="AF280" s="23" t="s">
        <v>2897</v>
      </c>
      <c r="AG280" s="23" t="s">
        <v>2897</v>
      </c>
      <c r="AH280" s="14" t="s">
        <v>260</v>
      </c>
      <c r="AI280" s="14">
        <v>950000000</v>
      </c>
      <c r="AJ280" s="16" t="s">
        <v>1913</v>
      </c>
    </row>
    <row r="281" spans="1:36" hidden="1"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AN281</f>
        <v>0</v>
      </c>
      <c r="AC281" s="23"/>
      <c r="AD281" s="23"/>
      <c r="AE281" s="23"/>
      <c r="AF281" s="23"/>
      <c r="AG281" s="23"/>
      <c r="AH281" t="s">
        <v>270</v>
      </c>
      <c r="AI281">
        <v>3750000</v>
      </c>
      <c r="AJ281" s="3" t="s">
        <v>1918</v>
      </c>
    </row>
    <row r="282" spans="1:36"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H282" t="s">
        <v>260</v>
      </c>
      <c r="AI282">
        <v>40000000</v>
      </c>
      <c r="AJ282" s="3" t="s">
        <v>1923</v>
      </c>
    </row>
    <row r="283" spans="1:36"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H283" t="s">
        <v>260</v>
      </c>
      <c r="AI283">
        <v>150000000</v>
      </c>
      <c r="AJ283" s="3" t="s">
        <v>1928</v>
      </c>
    </row>
    <row r="284" spans="1:36" hidden="1"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AN284</f>
        <v>0</v>
      </c>
      <c r="AC284" s="23"/>
      <c r="AD284" s="23"/>
      <c r="AE284" s="23"/>
      <c r="AF284" s="23"/>
      <c r="AG284" s="23"/>
      <c r="AH284" t="s">
        <v>270</v>
      </c>
      <c r="AI284">
        <v>998000</v>
      </c>
      <c r="AJ284" s="3" t="s">
        <v>1933</v>
      </c>
    </row>
    <row r="285" spans="1:36"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AN285</f>
        <v>0</v>
      </c>
      <c r="AC285" s="23"/>
      <c r="AD285" s="23"/>
      <c r="AE285" s="23"/>
      <c r="AF285" s="23"/>
      <c r="AG285" s="23"/>
      <c r="AH285" t="s">
        <v>270</v>
      </c>
      <c r="AI285">
        <v>230000000</v>
      </c>
      <c r="AJ285" s="3" t="s">
        <v>1938</v>
      </c>
    </row>
    <row r="286" spans="1:36" hidden="1"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2755</v>
      </c>
      <c r="AA286" t="s">
        <v>320</v>
      </c>
      <c r="AB286" s="23">
        <f>AN286</f>
        <v>0</v>
      </c>
      <c r="AC286" s="23"/>
      <c r="AD286" s="23"/>
      <c r="AE286" s="23"/>
      <c r="AF286" s="23"/>
      <c r="AG286" s="23"/>
      <c r="AH286" t="s">
        <v>270</v>
      </c>
      <c r="AI286">
        <v>50000000</v>
      </c>
      <c r="AJ286" s="3" t="s">
        <v>353</v>
      </c>
    </row>
    <row r="287" spans="1:36"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AN287</f>
        <v>0</v>
      </c>
      <c r="AC287" s="23"/>
      <c r="AD287" s="23"/>
      <c r="AE287" s="23"/>
      <c r="AF287" s="23"/>
      <c r="AG287" s="23"/>
      <c r="AH287" t="s">
        <v>270</v>
      </c>
      <c r="AI287">
        <v>75000000</v>
      </c>
      <c r="AJ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tableParts count="1">
    <tablePart r:id="rId1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5" sqref="A2:A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8</v>
      </c>
    </row>
    <row r="34" spans="1:6" x14ac:dyDescent="0.2">
      <c r="A34" t="s">
        <v>1191</v>
      </c>
      <c r="B34" t="s">
        <v>2767</v>
      </c>
      <c r="C34">
        <v>0</v>
      </c>
      <c r="D34">
        <v>1</v>
      </c>
      <c r="E34">
        <v>0</v>
      </c>
      <c r="F34">
        <v>0</v>
      </c>
    </row>
    <row r="35" spans="1:6" x14ac:dyDescent="0.2">
      <c r="A35" t="s">
        <v>1031</v>
      </c>
      <c r="B35" t="s">
        <v>2766</v>
      </c>
      <c r="C35">
        <v>0</v>
      </c>
      <c r="D35">
        <v>1</v>
      </c>
      <c r="E35">
        <v>0</v>
      </c>
      <c r="F35">
        <v>0</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8"/>
  <sheetViews>
    <sheetView workbookViewId="0">
      <selection activeCell="A15" sqref="A15:A18"/>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2773</v>
      </c>
      <c r="B1" s="28" t="s">
        <v>2774</v>
      </c>
      <c r="C1" s="28" t="s">
        <v>2842</v>
      </c>
      <c r="D1" s="28" t="s">
        <v>2775</v>
      </c>
      <c r="E1" s="28" t="s">
        <v>2769</v>
      </c>
      <c r="F1" s="28" t="s">
        <v>2770</v>
      </c>
      <c r="G1" s="28" t="s">
        <v>2771</v>
      </c>
      <c r="H1" s="28" t="s">
        <v>2772</v>
      </c>
    </row>
    <row r="2" spans="1:8" x14ac:dyDescent="0.2">
      <c r="A2" t="s">
        <v>1142</v>
      </c>
      <c r="B2" t="s">
        <v>2766</v>
      </c>
      <c r="C2" t="s">
        <v>2843</v>
      </c>
      <c r="D2" t="s">
        <v>382</v>
      </c>
      <c r="E2" s="62">
        <v>0</v>
      </c>
      <c r="F2" s="62">
        <v>1</v>
      </c>
      <c r="G2" s="62">
        <v>0</v>
      </c>
      <c r="H2" s="62">
        <v>1</v>
      </c>
    </row>
    <row r="3" spans="1:8" x14ac:dyDescent="0.2">
      <c r="A3" t="s">
        <v>577</v>
      </c>
      <c r="B3" t="s">
        <v>2766</v>
      </c>
      <c r="C3" t="s">
        <v>2843</v>
      </c>
      <c r="D3" t="s">
        <v>382</v>
      </c>
      <c r="E3" s="62">
        <v>0</v>
      </c>
      <c r="F3" s="62">
        <v>1</v>
      </c>
      <c r="G3" s="62">
        <v>0</v>
      </c>
      <c r="H3" s="62">
        <v>1</v>
      </c>
    </row>
    <row r="4" spans="1:8" x14ac:dyDescent="0.2">
      <c r="A4" t="s">
        <v>1556</v>
      </c>
      <c r="B4" t="s">
        <v>2766</v>
      </c>
      <c r="C4" t="s">
        <v>2843</v>
      </c>
      <c r="D4" t="s">
        <v>382</v>
      </c>
      <c r="E4" s="62">
        <v>0</v>
      </c>
      <c r="F4" s="62">
        <v>1</v>
      </c>
      <c r="G4" s="62">
        <v>0</v>
      </c>
      <c r="H4" s="62">
        <v>1</v>
      </c>
    </row>
    <row r="5" spans="1:8" x14ac:dyDescent="0.2">
      <c r="A5" t="s">
        <v>1065</v>
      </c>
      <c r="B5" t="s">
        <v>2766</v>
      </c>
      <c r="C5" t="s">
        <v>2846</v>
      </c>
      <c r="D5" t="s">
        <v>382</v>
      </c>
      <c r="E5" s="62">
        <v>0</v>
      </c>
      <c r="F5" s="62">
        <v>0</v>
      </c>
      <c r="G5" s="62">
        <v>1</v>
      </c>
      <c r="H5" s="62">
        <v>4</v>
      </c>
    </row>
    <row r="6" spans="1:8" x14ac:dyDescent="0.2">
      <c r="A6" t="s">
        <v>905</v>
      </c>
      <c r="B6" t="s">
        <v>2766</v>
      </c>
      <c r="C6" t="s">
        <v>2844</v>
      </c>
      <c r="D6" t="s">
        <v>2854</v>
      </c>
      <c r="E6" s="62">
        <v>0</v>
      </c>
      <c r="F6" s="62">
        <v>0</v>
      </c>
      <c r="G6" s="62">
        <v>1</v>
      </c>
      <c r="H6" s="62">
        <v>4</v>
      </c>
    </row>
    <row r="7" spans="1:8" x14ac:dyDescent="0.2">
      <c r="A7" t="s">
        <v>2855</v>
      </c>
      <c r="B7" t="s">
        <v>2766</v>
      </c>
      <c r="C7" t="s">
        <v>2847</v>
      </c>
      <c r="D7" t="s">
        <v>382</v>
      </c>
      <c r="E7" s="62">
        <v>1</v>
      </c>
      <c r="F7" s="62">
        <v>0</v>
      </c>
      <c r="G7" s="62">
        <v>0</v>
      </c>
      <c r="H7" s="62">
        <v>3</v>
      </c>
    </row>
    <row r="8" spans="1:8" x14ac:dyDescent="0.2">
      <c r="A8" t="s">
        <v>1191</v>
      </c>
      <c r="B8" t="s">
        <v>2766</v>
      </c>
      <c r="C8" t="s">
        <v>2848</v>
      </c>
      <c r="D8" t="s">
        <v>382</v>
      </c>
      <c r="E8" s="62">
        <v>0</v>
      </c>
      <c r="F8" s="62">
        <v>0</v>
      </c>
      <c r="G8" s="62">
        <v>1</v>
      </c>
      <c r="H8" s="62">
        <v>9</v>
      </c>
    </row>
    <row r="9" spans="1:8" x14ac:dyDescent="0.2">
      <c r="A9" t="s">
        <v>816</v>
      </c>
      <c r="B9" t="s">
        <v>2766</v>
      </c>
      <c r="C9" t="s">
        <v>2847</v>
      </c>
      <c r="D9" t="s">
        <v>382</v>
      </c>
      <c r="E9" s="62">
        <v>1</v>
      </c>
      <c r="F9" s="62">
        <v>0</v>
      </c>
      <c r="G9" s="62">
        <v>0</v>
      </c>
      <c r="H9" s="62">
        <v>2</v>
      </c>
    </row>
    <row r="10" spans="1:8" x14ac:dyDescent="0.2">
      <c r="A10" t="s">
        <v>933</v>
      </c>
      <c r="B10" t="s">
        <v>2766</v>
      </c>
      <c r="C10" t="s">
        <v>2847</v>
      </c>
      <c r="D10" t="s">
        <v>2850</v>
      </c>
      <c r="E10" s="62">
        <v>0</v>
      </c>
      <c r="F10" s="62">
        <v>0</v>
      </c>
      <c r="G10" s="62">
        <v>1</v>
      </c>
      <c r="H10" s="62">
        <v>4</v>
      </c>
    </row>
    <row r="11" spans="1:8" x14ac:dyDescent="0.2">
      <c r="A11" t="s">
        <v>1846</v>
      </c>
      <c r="B11" t="s">
        <v>2766</v>
      </c>
      <c r="C11" t="s">
        <v>2847</v>
      </c>
      <c r="D11" t="s">
        <v>382</v>
      </c>
      <c r="E11" s="62">
        <v>1</v>
      </c>
      <c r="F11" s="62">
        <v>0</v>
      </c>
      <c r="G11" s="62">
        <v>0</v>
      </c>
      <c r="H11" s="62">
        <v>5</v>
      </c>
    </row>
    <row r="12" spans="1:8" x14ac:dyDescent="0.2">
      <c r="A12" t="s">
        <v>1135</v>
      </c>
      <c r="B12" t="s">
        <v>2766</v>
      </c>
      <c r="C12" t="s">
        <v>2847</v>
      </c>
      <c r="D12" t="s">
        <v>382</v>
      </c>
      <c r="E12" s="62">
        <v>1</v>
      </c>
      <c r="F12" s="62">
        <v>0</v>
      </c>
      <c r="G12" s="62">
        <v>0</v>
      </c>
      <c r="H12" s="62">
        <v>2</v>
      </c>
    </row>
    <row r="13" spans="1:8" x14ac:dyDescent="0.2">
      <c r="A13" t="s">
        <v>1855</v>
      </c>
      <c r="B13" t="s">
        <v>2766</v>
      </c>
      <c r="C13" t="s">
        <v>2847</v>
      </c>
      <c r="D13" t="s">
        <v>382</v>
      </c>
      <c r="E13" s="62">
        <v>1</v>
      </c>
      <c r="F13" s="62">
        <v>0</v>
      </c>
      <c r="G13" s="62">
        <v>0</v>
      </c>
      <c r="H13" s="62">
        <v>4</v>
      </c>
    </row>
    <row r="14" spans="1:8" x14ac:dyDescent="0.2">
      <c r="A14" t="s">
        <v>1324</v>
      </c>
      <c r="B14" t="s">
        <v>2766</v>
      </c>
      <c r="C14" t="s">
        <v>2843</v>
      </c>
      <c r="D14" t="s">
        <v>382</v>
      </c>
      <c r="E14" s="62">
        <v>0</v>
      </c>
      <c r="F14" s="62">
        <v>1</v>
      </c>
      <c r="G14" s="62">
        <v>0</v>
      </c>
      <c r="H14" s="62">
        <v>1</v>
      </c>
    </row>
    <row r="15" spans="1:8" x14ac:dyDescent="0.2">
      <c r="A15" t="s">
        <v>529</v>
      </c>
      <c r="B15" t="s">
        <v>2766</v>
      </c>
      <c r="C15" t="s">
        <v>2847</v>
      </c>
      <c r="D15" t="s">
        <v>2850</v>
      </c>
      <c r="E15" s="62">
        <v>0</v>
      </c>
      <c r="F15" s="62">
        <v>0</v>
      </c>
      <c r="G15">
        <v>1</v>
      </c>
      <c r="H15" s="62">
        <v>7</v>
      </c>
    </row>
    <row r="16" spans="1:8" x14ac:dyDescent="0.2">
      <c r="A16" t="s">
        <v>2856</v>
      </c>
      <c r="B16" t="s">
        <v>2766</v>
      </c>
      <c r="C16" t="s">
        <v>2847</v>
      </c>
      <c r="D16" t="s">
        <v>2850</v>
      </c>
      <c r="E16" s="62">
        <v>0</v>
      </c>
      <c r="F16" s="62">
        <v>0</v>
      </c>
      <c r="G16" s="62">
        <v>1</v>
      </c>
      <c r="H16" s="62">
        <v>2</v>
      </c>
    </row>
    <row r="17" spans="1:8" x14ac:dyDescent="0.2">
      <c r="A17" t="s">
        <v>1518</v>
      </c>
      <c r="B17" t="s">
        <v>2766</v>
      </c>
      <c r="C17" t="s">
        <v>2843</v>
      </c>
      <c r="D17" t="s">
        <v>2850</v>
      </c>
      <c r="E17" s="62">
        <v>0</v>
      </c>
      <c r="F17" s="62">
        <v>0</v>
      </c>
      <c r="G17" s="62">
        <v>1</v>
      </c>
      <c r="H17" s="62">
        <v>7</v>
      </c>
    </row>
    <row r="18" spans="1:8" x14ac:dyDescent="0.2">
      <c r="A18" t="s">
        <v>1398</v>
      </c>
      <c r="B18" t="s">
        <v>2766</v>
      </c>
      <c r="C18" t="s">
        <v>2843</v>
      </c>
      <c r="D18" t="s">
        <v>382</v>
      </c>
      <c r="E18" s="62">
        <v>0</v>
      </c>
      <c r="F18" s="62">
        <v>1</v>
      </c>
      <c r="G18" s="62">
        <v>0</v>
      </c>
      <c r="H18" s="62">
        <v>1</v>
      </c>
    </row>
  </sheetData>
  <autoFilter ref="C1:H18" xr:uid="{E0EC9DDE-869A-F94E-8192-2C7908C32B79}"/>
  <sortState xmlns:xlrd2="http://schemas.microsoft.com/office/spreadsheetml/2017/richdata2" ref="A3:H18">
    <sortCondition ref="A3:A18"/>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C15" sqref="C15"/>
    </sheetView>
  </sheetViews>
  <sheetFormatPr baseColWidth="10" defaultRowHeight="16" x14ac:dyDescent="0.2"/>
  <cols>
    <col min="2" max="2" width="74.5" bestFit="1" customWidth="1"/>
    <col min="3" max="3" width="45.1640625" customWidth="1"/>
  </cols>
  <sheetData>
    <row r="1" spans="1:10" x14ac:dyDescent="0.2">
      <c r="B1" t="s">
        <v>1474</v>
      </c>
      <c r="C1" t="s">
        <v>2766</v>
      </c>
      <c r="D1">
        <v>0</v>
      </c>
      <c r="E1">
        <v>0</v>
      </c>
      <c r="F1">
        <v>1</v>
      </c>
      <c r="G1">
        <v>3</v>
      </c>
    </row>
    <row r="2" spans="1:10" x14ac:dyDescent="0.2">
      <c r="B2" t="s">
        <v>2734</v>
      </c>
      <c r="C2" t="s">
        <v>2767</v>
      </c>
      <c r="D2">
        <v>0</v>
      </c>
      <c r="E2">
        <v>0</v>
      </c>
      <c r="F2">
        <v>1</v>
      </c>
      <c r="G2">
        <v>8</v>
      </c>
    </row>
    <row r="3" spans="1:10" x14ac:dyDescent="0.2">
      <c r="B3" t="s">
        <v>2753</v>
      </c>
      <c r="C3" t="s">
        <v>2767</v>
      </c>
      <c r="D3">
        <v>1</v>
      </c>
      <c r="E3">
        <v>0</v>
      </c>
      <c r="F3">
        <v>0</v>
      </c>
      <c r="G3">
        <v>0</v>
      </c>
    </row>
    <row r="6" spans="1:10" x14ac:dyDescent="0.2">
      <c r="A6" t="s">
        <v>2852</v>
      </c>
      <c r="B6" t="s">
        <v>2812</v>
      </c>
      <c r="C6" t="s">
        <v>2766</v>
      </c>
      <c r="D6" t="s">
        <v>2849</v>
      </c>
      <c r="E6">
        <v>1</v>
      </c>
      <c r="F6" s="62"/>
      <c r="G6" s="62"/>
      <c r="H6">
        <v>1</v>
      </c>
      <c r="I6" s="62">
        <v>8</v>
      </c>
    </row>
    <row r="14" spans="1:10" x14ac:dyDescent="0.2">
      <c r="A14" s="75" t="s">
        <v>2853</v>
      </c>
      <c r="B14" s="75"/>
    </row>
    <row r="15" spans="1:10" x14ac:dyDescent="0.2">
      <c r="B15" t="s">
        <v>2851</v>
      </c>
      <c r="C15" s="68" t="s">
        <v>1415</v>
      </c>
      <c r="D15" t="s">
        <v>2766</v>
      </c>
      <c r="E15" t="s">
        <v>2844</v>
      </c>
      <c r="F15">
        <v>1</v>
      </c>
      <c r="G15" s="62"/>
      <c r="H15" s="62"/>
      <c r="I15" s="62">
        <v>1</v>
      </c>
      <c r="J15" s="62">
        <v>5</v>
      </c>
    </row>
    <row r="16" spans="1:10" x14ac:dyDescent="0.2">
      <c r="B16" t="s">
        <v>2851</v>
      </c>
      <c r="C16" s="68" t="s">
        <v>1316</v>
      </c>
      <c r="D16" t="s">
        <v>2766</v>
      </c>
      <c r="E16" t="s">
        <v>2844</v>
      </c>
      <c r="F16">
        <v>1</v>
      </c>
      <c r="G16" s="62"/>
      <c r="H16" s="62"/>
      <c r="I16" s="62">
        <v>1</v>
      </c>
      <c r="J16" s="62">
        <v>4</v>
      </c>
    </row>
    <row r="17" spans="2:10" x14ac:dyDescent="0.2">
      <c r="B17" t="s">
        <v>2851</v>
      </c>
      <c r="C17" s="68" t="s">
        <v>651</v>
      </c>
      <c r="D17" t="s">
        <v>2766</v>
      </c>
      <c r="E17" t="s">
        <v>2845</v>
      </c>
      <c r="F17">
        <v>1</v>
      </c>
      <c r="G17" s="62"/>
      <c r="H17" s="62"/>
      <c r="I17" s="62">
        <v>1</v>
      </c>
      <c r="J17" s="62">
        <v>6</v>
      </c>
    </row>
    <row r="18" spans="2:10" x14ac:dyDescent="0.2">
      <c r="B18" t="s">
        <v>2851</v>
      </c>
      <c r="C18" s="68" t="s">
        <v>1072</v>
      </c>
      <c r="D18" t="s">
        <v>2766</v>
      </c>
      <c r="E18" t="s">
        <v>2843</v>
      </c>
      <c r="F18" t="s">
        <v>2850</v>
      </c>
      <c r="G18" s="62"/>
      <c r="H18" s="62"/>
      <c r="I18" s="62">
        <v>1</v>
      </c>
      <c r="J18" s="62">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results</vt:lpstr>
      <vt:lpstr>Category words</vt:lpstr>
      <vt:lpstr>start and stop times</vt:lpstr>
      <vt:lpstr>Sheet3</vt:lpstr>
      <vt:lpstr>bondsJune7</vt:lpstr>
      <vt:lpstr>expected results</vt:lpstr>
      <vt:lpstr>allocationsJune7</vt:lpstr>
      <vt:lpstr>Sheet2</vt:lpstr>
      <vt:lpstr>simScoreMap</vt:lpstr>
      <vt:lpstr>Sheet4</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2026-08-15T13:31:12Z</dcterms:modified>
</cp:coreProperties>
</file>